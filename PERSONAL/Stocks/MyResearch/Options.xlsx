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Stk2/Options/"/>
    </mc:Choice>
  </mc:AlternateContent>
  <xr:revisionPtr revIDLastSave="181" documentId="13_ncr:1_{79113484-93E7-4A94-9688-9EBA881C4AC5}" xr6:coauthVersionLast="47" xr6:coauthVersionMax="47" xr10:uidLastSave="{BA67F512-65D8-49D8-B978-0DD64DBFD25C}"/>
  <bookViews>
    <workbookView xWindow="-120" yWindow="-120" windowWidth="20730" windowHeight="11040" activeTab="1" xr2:uid="{00000000-000D-0000-FFFF-FFFF00000000}"/>
  </bookViews>
  <sheets>
    <sheet name="Details" sheetId="1" r:id="rId1"/>
    <sheet name="Interest" sheetId="11" r:id="rId2"/>
    <sheet name="Pivot" sheetId="3" r:id="rId3"/>
    <sheet name="ICICI" sheetId="5" r:id="rId4"/>
    <sheet name="Others" sheetId="6" r:id="rId5"/>
    <sheet name="OI Trend" sheetId="7" r:id="rId6"/>
    <sheet name="PV Analysis" sheetId="10" r:id="rId7"/>
    <sheet name="Strategy" sheetId="9" r:id="rId8"/>
  </sheets>
  <definedNames>
    <definedName name="_xlnm._FilterDatabase" localSheetId="0" hidden="1">Details!$A$1:$Y$870</definedName>
  </definedNames>
  <calcPr calcId="191029"/>
  <pivotCaches>
    <pivotCache cacheId="68" r:id="rId9"/>
    <pivotCache cacheId="6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1" l="1"/>
  <c r="E1" i="11" s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5" i="1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2" i="1"/>
  <c r="Q1196" i="1"/>
  <c r="W1196" i="1" s="1"/>
  <c r="R1196" i="1"/>
  <c r="S1196" i="1" s="1"/>
  <c r="X1196" i="1"/>
  <c r="Q1197" i="1"/>
  <c r="R1197" i="1"/>
  <c r="T1197" i="1" s="1"/>
  <c r="U1197" i="1" s="1"/>
  <c r="W1197" i="1"/>
  <c r="X1197" i="1"/>
  <c r="Q1198" i="1"/>
  <c r="W1198" i="1" s="1"/>
  <c r="R1198" i="1"/>
  <c r="X1198" i="1"/>
  <c r="Q1199" i="1"/>
  <c r="R1199" i="1"/>
  <c r="T1199" i="1" s="1"/>
  <c r="U1199" i="1" s="1"/>
  <c r="S1199" i="1"/>
  <c r="W1199" i="1"/>
  <c r="X1199" i="1"/>
  <c r="Q1200" i="1"/>
  <c r="W1200" i="1" s="1"/>
  <c r="R1200" i="1"/>
  <c r="X1200" i="1"/>
  <c r="Q1201" i="1"/>
  <c r="R1201" i="1"/>
  <c r="T1201" i="1" s="1"/>
  <c r="U1201" i="1" s="1"/>
  <c r="S1201" i="1"/>
  <c r="V1201" i="1" s="1"/>
  <c r="W1201" i="1"/>
  <c r="X1201" i="1"/>
  <c r="Q1202" i="1"/>
  <c r="W1202" i="1" s="1"/>
  <c r="R1202" i="1"/>
  <c r="X1202" i="1"/>
  <c r="Q1203" i="1"/>
  <c r="R1203" i="1"/>
  <c r="T1203" i="1" s="1"/>
  <c r="U1203" i="1"/>
  <c r="W1203" i="1"/>
  <c r="X1203" i="1"/>
  <c r="Q1204" i="1"/>
  <c r="W1204" i="1" s="1"/>
  <c r="R1204" i="1"/>
  <c r="X1204" i="1"/>
  <c r="Q1205" i="1"/>
  <c r="R1205" i="1"/>
  <c r="T1205" i="1" s="1"/>
  <c r="U1205" i="1" s="1"/>
  <c r="W1205" i="1"/>
  <c r="X1205" i="1"/>
  <c r="Q1206" i="1"/>
  <c r="W1206" i="1" s="1"/>
  <c r="R1206" i="1"/>
  <c r="X1206" i="1"/>
  <c r="Q1207" i="1"/>
  <c r="R1207" i="1"/>
  <c r="T1207" i="1" s="1"/>
  <c r="U1207" i="1" s="1"/>
  <c r="W1207" i="1"/>
  <c r="X1207" i="1"/>
  <c r="Q1208" i="1"/>
  <c r="W1208" i="1" s="1"/>
  <c r="R1208" i="1"/>
  <c r="X1208" i="1"/>
  <c r="Q1209" i="1"/>
  <c r="R1209" i="1"/>
  <c r="T1209" i="1" s="1"/>
  <c r="S1209" i="1"/>
  <c r="U1209" i="1"/>
  <c r="V1209" i="1"/>
  <c r="W1209" i="1"/>
  <c r="X1209" i="1"/>
  <c r="Q1210" i="1"/>
  <c r="W1210" i="1" s="1"/>
  <c r="R1210" i="1"/>
  <c r="X1210" i="1"/>
  <c r="Q1211" i="1"/>
  <c r="R1211" i="1"/>
  <c r="T1211" i="1" s="1"/>
  <c r="S1211" i="1"/>
  <c r="U1211" i="1"/>
  <c r="V1211" i="1"/>
  <c r="W1211" i="1"/>
  <c r="X1211" i="1"/>
  <c r="Q1212" i="1"/>
  <c r="R1212" i="1"/>
  <c r="W1212" i="1"/>
  <c r="X1212" i="1"/>
  <c r="Q1213" i="1"/>
  <c r="R1213" i="1"/>
  <c r="T1213" i="1" s="1"/>
  <c r="S1213" i="1"/>
  <c r="U1213" i="1"/>
  <c r="V1213" i="1" s="1"/>
  <c r="W1213" i="1"/>
  <c r="X1213" i="1"/>
  <c r="Q1214" i="1"/>
  <c r="R1214" i="1"/>
  <c r="W1214" i="1"/>
  <c r="X1214" i="1"/>
  <c r="Q1215" i="1"/>
  <c r="R1215" i="1"/>
  <c r="T1215" i="1" s="1"/>
  <c r="U1215" i="1"/>
  <c r="W1215" i="1"/>
  <c r="X1215" i="1"/>
  <c r="Q1216" i="1"/>
  <c r="R1216" i="1"/>
  <c r="W1216" i="1"/>
  <c r="X1216" i="1"/>
  <c r="Q1217" i="1"/>
  <c r="R1217" i="1"/>
  <c r="W1217" i="1"/>
  <c r="X1217" i="1"/>
  <c r="Q1218" i="1"/>
  <c r="R1218" i="1"/>
  <c r="W1218" i="1"/>
  <c r="X1218" i="1"/>
  <c r="Q1219" i="1"/>
  <c r="R1219" i="1"/>
  <c r="T1219" i="1" s="1"/>
  <c r="U1219" i="1"/>
  <c r="W1219" i="1"/>
  <c r="X1219" i="1"/>
  <c r="Q1220" i="1"/>
  <c r="R1220" i="1"/>
  <c r="W1220" i="1"/>
  <c r="X1220" i="1"/>
  <c r="Q1221" i="1"/>
  <c r="R1221" i="1"/>
  <c r="T1221" i="1" s="1"/>
  <c r="U1221" i="1" s="1"/>
  <c r="S1221" i="1"/>
  <c r="V1221" i="1" s="1"/>
  <c r="W1221" i="1"/>
  <c r="X1221" i="1"/>
  <c r="Q1222" i="1"/>
  <c r="R1222" i="1"/>
  <c r="W1222" i="1"/>
  <c r="X1222" i="1"/>
  <c r="Q1223" i="1"/>
  <c r="R1223" i="1"/>
  <c r="T1223" i="1" s="1"/>
  <c r="S1223" i="1"/>
  <c r="U1223" i="1"/>
  <c r="V1223" i="1"/>
  <c r="W1223" i="1"/>
  <c r="X1223" i="1"/>
  <c r="Q1224" i="1"/>
  <c r="R1224" i="1"/>
  <c r="W1224" i="1"/>
  <c r="X1224" i="1"/>
  <c r="Q1225" i="1"/>
  <c r="R1225" i="1"/>
  <c r="T1225" i="1" s="1"/>
  <c r="U1225" i="1" s="1"/>
  <c r="S1225" i="1"/>
  <c r="V1225" i="1" s="1"/>
  <c r="W1225" i="1"/>
  <c r="X1225" i="1"/>
  <c r="Q1226" i="1"/>
  <c r="R1226" i="1"/>
  <c r="W1226" i="1"/>
  <c r="X1226" i="1"/>
  <c r="Q1227" i="1"/>
  <c r="R1227" i="1"/>
  <c r="T1227" i="1" s="1"/>
  <c r="U1227" i="1" s="1"/>
  <c r="W1227" i="1"/>
  <c r="X1227" i="1"/>
  <c r="Q1228" i="1"/>
  <c r="R1228" i="1"/>
  <c r="W1228" i="1"/>
  <c r="X1228" i="1"/>
  <c r="Q1229" i="1"/>
  <c r="R1229" i="1"/>
  <c r="T1229" i="1" s="1"/>
  <c r="S1229" i="1"/>
  <c r="U1229" i="1"/>
  <c r="W1229" i="1"/>
  <c r="X1229" i="1"/>
  <c r="Q1230" i="1"/>
  <c r="R1230" i="1"/>
  <c r="W1230" i="1"/>
  <c r="X1230" i="1"/>
  <c r="Q1231" i="1"/>
  <c r="R1231" i="1"/>
  <c r="T1231" i="1" s="1"/>
  <c r="S1231" i="1"/>
  <c r="U1231" i="1"/>
  <c r="V1231" i="1"/>
  <c r="W1231" i="1"/>
  <c r="X1231" i="1"/>
  <c r="Q1232" i="1"/>
  <c r="R1232" i="1"/>
  <c r="W1232" i="1"/>
  <c r="X1232" i="1"/>
  <c r="Q1233" i="1"/>
  <c r="R1233" i="1"/>
  <c r="T1233" i="1" s="1"/>
  <c r="U1233" i="1"/>
  <c r="W1233" i="1"/>
  <c r="X1233" i="1"/>
  <c r="Q1234" i="1"/>
  <c r="R1234" i="1"/>
  <c r="W1234" i="1"/>
  <c r="X1234" i="1"/>
  <c r="Q1235" i="1"/>
  <c r="R1235" i="1"/>
  <c r="T1235" i="1" s="1"/>
  <c r="U1235" i="1" s="1"/>
  <c r="W1235" i="1"/>
  <c r="X1235" i="1"/>
  <c r="Q1236" i="1"/>
  <c r="R1236" i="1"/>
  <c r="W1236" i="1"/>
  <c r="X1236" i="1"/>
  <c r="Q1237" i="1"/>
  <c r="R1237" i="1"/>
  <c r="T1237" i="1" s="1"/>
  <c r="U1237" i="1" s="1"/>
  <c r="W1237" i="1"/>
  <c r="X1237" i="1"/>
  <c r="Q1238" i="1"/>
  <c r="R1238" i="1"/>
  <c r="W1238" i="1"/>
  <c r="X1238" i="1"/>
  <c r="Q1239" i="1"/>
  <c r="R1239" i="1"/>
  <c r="T1239" i="1" s="1"/>
  <c r="U1239" i="1" s="1"/>
  <c r="S1239" i="1"/>
  <c r="V1239" i="1" s="1"/>
  <c r="W1239" i="1"/>
  <c r="X1239" i="1"/>
  <c r="Q1240" i="1"/>
  <c r="R1240" i="1"/>
  <c r="W1240" i="1"/>
  <c r="X1240" i="1"/>
  <c r="Q1241" i="1"/>
  <c r="R1241" i="1"/>
  <c r="T1241" i="1" s="1"/>
  <c r="S1241" i="1"/>
  <c r="U1241" i="1"/>
  <c r="V1241" i="1"/>
  <c r="W1241" i="1"/>
  <c r="X1241" i="1"/>
  <c r="Q1242" i="1"/>
  <c r="R1242" i="1"/>
  <c r="W1242" i="1"/>
  <c r="X1242" i="1"/>
  <c r="Q1243" i="1"/>
  <c r="R1243" i="1"/>
  <c r="T1243" i="1" s="1"/>
  <c r="S1243" i="1"/>
  <c r="U1243" i="1"/>
  <c r="V1243" i="1" s="1"/>
  <c r="W1243" i="1"/>
  <c r="X1243" i="1"/>
  <c r="Q1244" i="1"/>
  <c r="R1244" i="1"/>
  <c r="W1244" i="1"/>
  <c r="X1244" i="1"/>
  <c r="Q1245" i="1"/>
  <c r="R1245" i="1"/>
  <c r="T1245" i="1" s="1"/>
  <c r="S1245" i="1"/>
  <c r="U1245" i="1"/>
  <c r="V1245" i="1"/>
  <c r="W1245" i="1"/>
  <c r="X1245" i="1"/>
  <c r="Q1246" i="1"/>
  <c r="R1246" i="1"/>
  <c r="W1246" i="1"/>
  <c r="X1246" i="1"/>
  <c r="Q1247" i="1"/>
  <c r="R1247" i="1"/>
  <c r="T1247" i="1" s="1"/>
  <c r="U1247" i="1"/>
  <c r="W1247" i="1"/>
  <c r="X1247" i="1"/>
  <c r="Q1248" i="1"/>
  <c r="R1248" i="1"/>
  <c r="W1248" i="1"/>
  <c r="X1248" i="1"/>
  <c r="Q1249" i="1"/>
  <c r="R1249" i="1"/>
  <c r="W1249" i="1"/>
  <c r="X1249" i="1"/>
  <c r="Q1250" i="1"/>
  <c r="R1250" i="1"/>
  <c r="W1250" i="1"/>
  <c r="X1250" i="1"/>
  <c r="Q1251" i="1"/>
  <c r="R1251" i="1"/>
  <c r="T1251" i="1" s="1"/>
  <c r="S1251" i="1"/>
  <c r="U1251" i="1"/>
  <c r="V1251" i="1" s="1"/>
  <c r="W1251" i="1"/>
  <c r="X1251" i="1"/>
  <c r="Q1252" i="1"/>
  <c r="R1252" i="1"/>
  <c r="W1252" i="1"/>
  <c r="X1252" i="1"/>
  <c r="Q1253" i="1"/>
  <c r="R1253" i="1"/>
  <c r="T1253" i="1" s="1"/>
  <c r="U1253" i="1" s="1"/>
  <c r="S1253" i="1"/>
  <c r="W1253" i="1"/>
  <c r="X1253" i="1"/>
  <c r="Q1254" i="1"/>
  <c r="R1254" i="1"/>
  <c r="W1254" i="1"/>
  <c r="X1254" i="1"/>
  <c r="Q1255" i="1"/>
  <c r="R1255" i="1"/>
  <c r="T1255" i="1" s="1"/>
  <c r="S1255" i="1"/>
  <c r="U1255" i="1"/>
  <c r="V1255" i="1"/>
  <c r="W1255" i="1"/>
  <c r="X1255" i="1"/>
  <c r="Q1256" i="1"/>
  <c r="R1256" i="1"/>
  <c r="W1256" i="1"/>
  <c r="X1256" i="1"/>
  <c r="Q1257" i="1"/>
  <c r="R1257" i="1"/>
  <c r="T1257" i="1" s="1"/>
  <c r="U1257" i="1" s="1"/>
  <c r="S1257" i="1"/>
  <c r="W1257" i="1"/>
  <c r="X1257" i="1"/>
  <c r="Q1258" i="1"/>
  <c r="R1258" i="1"/>
  <c r="W1258" i="1"/>
  <c r="X1258" i="1"/>
  <c r="Q1259" i="1"/>
  <c r="R1259" i="1"/>
  <c r="W1259" i="1"/>
  <c r="X1259" i="1"/>
  <c r="Q1260" i="1"/>
  <c r="R1260" i="1"/>
  <c r="W1260" i="1"/>
  <c r="X1260" i="1"/>
  <c r="Q1261" i="1"/>
  <c r="R1261" i="1"/>
  <c r="T1261" i="1" s="1"/>
  <c r="S1261" i="1"/>
  <c r="U1261" i="1"/>
  <c r="V1261" i="1"/>
  <c r="W1261" i="1"/>
  <c r="X1261" i="1"/>
  <c r="Q1262" i="1"/>
  <c r="R1262" i="1"/>
  <c r="W1262" i="1"/>
  <c r="X1262" i="1"/>
  <c r="Q1263" i="1"/>
  <c r="R1263" i="1"/>
  <c r="T1263" i="1" s="1"/>
  <c r="U1263" i="1"/>
  <c r="W1263" i="1"/>
  <c r="X1263" i="1"/>
  <c r="Q1264" i="1"/>
  <c r="R1264" i="1"/>
  <c r="W1264" i="1"/>
  <c r="X1264" i="1"/>
  <c r="Q1265" i="1"/>
  <c r="R1265" i="1"/>
  <c r="T1265" i="1" s="1"/>
  <c r="U1265" i="1" s="1"/>
  <c r="S1265" i="1"/>
  <c r="V1265" i="1" s="1"/>
  <c r="W1265" i="1"/>
  <c r="X1265" i="1"/>
  <c r="Q1266" i="1"/>
  <c r="W1266" i="1" s="1"/>
  <c r="R1266" i="1"/>
  <c r="X1266" i="1"/>
  <c r="Q1267" i="1"/>
  <c r="R1267" i="1"/>
  <c r="W1267" i="1"/>
  <c r="X1267" i="1"/>
  <c r="Q1268" i="1"/>
  <c r="W1268" i="1" s="1"/>
  <c r="R1268" i="1"/>
  <c r="X1268" i="1"/>
  <c r="Q1269" i="1"/>
  <c r="W1269" i="1" s="1"/>
  <c r="R1269" i="1"/>
  <c r="T1269" i="1" s="1"/>
  <c r="U1269" i="1" s="1"/>
  <c r="X1269" i="1"/>
  <c r="Q1270" i="1"/>
  <c r="R1270" i="1"/>
  <c r="W1270" i="1"/>
  <c r="X1270" i="1"/>
  <c r="Q1271" i="1"/>
  <c r="W1271" i="1" s="1"/>
  <c r="R1271" i="1"/>
  <c r="T1271" i="1" s="1"/>
  <c r="U1271" i="1" s="1"/>
  <c r="X1271" i="1"/>
  <c r="Q1272" i="1"/>
  <c r="R1272" i="1"/>
  <c r="W1272" i="1"/>
  <c r="X1272" i="1"/>
  <c r="Q1273" i="1"/>
  <c r="R1273" i="1"/>
  <c r="T1273" i="1" s="1"/>
  <c r="S1273" i="1"/>
  <c r="U1273" i="1"/>
  <c r="V1273" i="1"/>
  <c r="W1273" i="1"/>
  <c r="X1273" i="1"/>
  <c r="Q1274" i="1"/>
  <c r="W1274" i="1" s="1"/>
  <c r="R1274" i="1"/>
  <c r="X1274" i="1"/>
  <c r="Q1275" i="1"/>
  <c r="R1275" i="1"/>
  <c r="T1275" i="1" s="1"/>
  <c r="S1275" i="1"/>
  <c r="U1275" i="1"/>
  <c r="V1275" i="1"/>
  <c r="W1275" i="1"/>
  <c r="X1275" i="1"/>
  <c r="Q1276" i="1"/>
  <c r="W1276" i="1" s="1"/>
  <c r="R1276" i="1"/>
  <c r="X1276" i="1"/>
  <c r="Q1277" i="1"/>
  <c r="S1277" i="1" s="1"/>
  <c r="V1277" i="1" s="1"/>
  <c r="R1277" i="1"/>
  <c r="T1277" i="1" s="1"/>
  <c r="U1277" i="1"/>
  <c r="X1277" i="1"/>
  <c r="Q1278" i="1"/>
  <c r="R1278" i="1"/>
  <c r="W1278" i="1"/>
  <c r="X1278" i="1"/>
  <c r="Q1279" i="1"/>
  <c r="W1279" i="1" s="1"/>
  <c r="R1279" i="1"/>
  <c r="T1279" i="1" s="1"/>
  <c r="U1279" i="1"/>
  <c r="X1279" i="1"/>
  <c r="Q1280" i="1"/>
  <c r="W1280" i="1" s="1"/>
  <c r="R1280" i="1"/>
  <c r="X1280" i="1"/>
  <c r="Q1281" i="1"/>
  <c r="W1281" i="1" s="1"/>
  <c r="R1281" i="1"/>
  <c r="T1281" i="1" s="1"/>
  <c r="U1281" i="1" s="1"/>
  <c r="X1281" i="1"/>
  <c r="Q1282" i="1"/>
  <c r="R1282" i="1"/>
  <c r="W1282" i="1"/>
  <c r="X1282" i="1"/>
  <c r="Q1283" i="1"/>
  <c r="W1283" i="1" s="1"/>
  <c r="R1283" i="1"/>
  <c r="S1283" i="1" s="1"/>
  <c r="X1283" i="1"/>
  <c r="Q1284" i="1"/>
  <c r="R1284" i="1"/>
  <c r="W1284" i="1"/>
  <c r="X1284" i="1"/>
  <c r="Q1285" i="1"/>
  <c r="R1285" i="1"/>
  <c r="S1285" i="1"/>
  <c r="T1285" i="1"/>
  <c r="U1285" i="1" s="1"/>
  <c r="W1285" i="1"/>
  <c r="X1285" i="1"/>
  <c r="Q1286" i="1"/>
  <c r="W1286" i="1" s="1"/>
  <c r="R1286" i="1"/>
  <c r="X1286" i="1"/>
  <c r="Q1287" i="1"/>
  <c r="R1287" i="1"/>
  <c r="S1287" i="1"/>
  <c r="T1287" i="1"/>
  <c r="U1287" i="1"/>
  <c r="V1287" i="1"/>
  <c r="W1287" i="1"/>
  <c r="X1287" i="1"/>
  <c r="Q1288" i="1"/>
  <c r="W1288" i="1" s="1"/>
  <c r="R1288" i="1"/>
  <c r="X1288" i="1"/>
  <c r="Q1289" i="1"/>
  <c r="R1289" i="1"/>
  <c r="S1289" i="1"/>
  <c r="T1289" i="1"/>
  <c r="U1289" i="1"/>
  <c r="V1289" i="1"/>
  <c r="W1289" i="1"/>
  <c r="X1289" i="1"/>
  <c r="Q1290" i="1"/>
  <c r="W1290" i="1" s="1"/>
  <c r="R1290" i="1"/>
  <c r="X1290" i="1"/>
  <c r="Q1291" i="1"/>
  <c r="R1291" i="1"/>
  <c r="W1291" i="1"/>
  <c r="X1291" i="1"/>
  <c r="Q1292" i="1"/>
  <c r="R1292" i="1"/>
  <c r="W1292" i="1"/>
  <c r="X1292" i="1"/>
  <c r="Q1293" i="1"/>
  <c r="R1293" i="1"/>
  <c r="S1293" i="1" s="1"/>
  <c r="T1293" i="1"/>
  <c r="U1293" i="1" s="1"/>
  <c r="W1293" i="1"/>
  <c r="X1293" i="1"/>
  <c r="Q1294" i="1"/>
  <c r="W1294" i="1" s="1"/>
  <c r="R1294" i="1"/>
  <c r="X1294" i="1"/>
  <c r="Q1295" i="1"/>
  <c r="W1295" i="1" s="1"/>
  <c r="R1295" i="1"/>
  <c r="X1295" i="1"/>
  <c r="Q1296" i="1"/>
  <c r="R1296" i="1"/>
  <c r="W1296" i="1"/>
  <c r="X1296" i="1"/>
  <c r="Q1297" i="1"/>
  <c r="W1297" i="1" s="1"/>
  <c r="R1297" i="1"/>
  <c r="S1297" i="1" s="1"/>
  <c r="X1297" i="1"/>
  <c r="Q1298" i="1"/>
  <c r="R1298" i="1"/>
  <c r="W1298" i="1"/>
  <c r="X1298" i="1"/>
  <c r="Q1299" i="1"/>
  <c r="W1299" i="1" s="1"/>
  <c r="R1299" i="1"/>
  <c r="S1299" i="1"/>
  <c r="T1299" i="1"/>
  <c r="U1299" i="1" s="1"/>
  <c r="X1299" i="1"/>
  <c r="Q1300" i="1"/>
  <c r="R1300" i="1"/>
  <c r="W1300" i="1"/>
  <c r="X1300" i="1"/>
  <c r="Q1301" i="1"/>
  <c r="R1301" i="1"/>
  <c r="S1301" i="1" s="1"/>
  <c r="V1301" i="1" s="1"/>
  <c r="T1301" i="1"/>
  <c r="U1301" i="1"/>
  <c r="W1301" i="1"/>
  <c r="X1301" i="1"/>
  <c r="Q1302" i="1"/>
  <c r="W1302" i="1" s="1"/>
  <c r="R1302" i="1"/>
  <c r="X1302" i="1"/>
  <c r="Q1303" i="1"/>
  <c r="R1303" i="1"/>
  <c r="S1303" i="1"/>
  <c r="T1303" i="1"/>
  <c r="U1303" i="1"/>
  <c r="V1303" i="1"/>
  <c r="W1303" i="1"/>
  <c r="X1303" i="1"/>
  <c r="Q1304" i="1"/>
  <c r="W1304" i="1" s="1"/>
  <c r="R1304" i="1"/>
  <c r="X1304" i="1"/>
  <c r="Q1305" i="1"/>
  <c r="R1305" i="1"/>
  <c r="S1305" i="1"/>
  <c r="V1305" i="1" s="1"/>
  <c r="T1305" i="1"/>
  <c r="U1305" i="1"/>
  <c r="W1305" i="1"/>
  <c r="X1305" i="1"/>
  <c r="Q1306" i="1"/>
  <c r="W1306" i="1" s="1"/>
  <c r="R1306" i="1"/>
  <c r="X1306" i="1"/>
  <c r="Q1307" i="1"/>
  <c r="R1307" i="1"/>
  <c r="W1307" i="1"/>
  <c r="X1307" i="1"/>
  <c r="Q1308" i="1"/>
  <c r="W1308" i="1" s="1"/>
  <c r="R1308" i="1"/>
  <c r="X1308" i="1"/>
  <c r="Q1309" i="1"/>
  <c r="R1309" i="1"/>
  <c r="S1309" i="1" s="1"/>
  <c r="T1309" i="1"/>
  <c r="U1309" i="1" s="1"/>
  <c r="W1309" i="1"/>
  <c r="X1309" i="1"/>
  <c r="Q1310" i="1"/>
  <c r="W1310" i="1" s="1"/>
  <c r="R1310" i="1"/>
  <c r="X1310" i="1"/>
  <c r="Q1311" i="1"/>
  <c r="W1311" i="1" s="1"/>
  <c r="R1311" i="1"/>
  <c r="X1311" i="1"/>
  <c r="Q1312" i="1"/>
  <c r="R1312" i="1"/>
  <c r="W1312" i="1"/>
  <c r="X1312" i="1"/>
  <c r="Q1313" i="1"/>
  <c r="W1313" i="1" s="1"/>
  <c r="R1313" i="1"/>
  <c r="S1313" i="1"/>
  <c r="T1313" i="1"/>
  <c r="U1313" i="1" s="1"/>
  <c r="X1313" i="1"/>
  <c r="Q1314" i="1"/>
  <c r="R1314" i="1"/>
  <c r="W1314" i="1"/>
  <c r="X1314" i="1"/>
  <c r="Q1315" i="1"/>
  <c r="W1315" i="1" s="1"/>
  <c r="R1315" i="1"/>
  <c r="S1315" i="1"/>
  <c r="T1315" i="1"/>
  <c r="U1315" i="1"/>
  <c r="V1315" i="1"/>
  <c r="X1315" i="1"/>
  <c r="Q1316" i="1"/>
  <c r="R1316" i="1"/>
  <c r="W1316" i="1"/>
  <c r="X1316" i="1"/>
  <c r="Q1317" i="1"/>
  <c r="S1317" i="1" s="1"/>
  <c r="R1317" i="1"/>
  <c r="T1317" i="1"/>
  <c r="U1317" i="1" s="1"/>
  <c r="X1317" i="1"/>
  <c r="Q1318" i="1"/>
  <c r="W1318" i="1" s="1"/>
  <c r="R1318" i="1"/>
  <c r="X1318" i="1"/>
  <c r="Q1319" i="1"/>
  <c r="W1319" i="1" s="1"/>
  <c r="R1319" i="1"/>
  <c r="S1319" i="1" s="1"/>
  <c r="X1319" i="1"/>
  <c r="Q1320" i="1"/>
  <c r="W1320" i="1" s="1"/>
  <c r="R1320" i="1"/>
  <c r="X1320" i="1"/>
  <c r="Q1321" i="1"/>
  <c r="R1321" i="1"/>
  <c r="S1321" i="1"/>
  <c r="T1321" i="1"/>
  <c r="U1321" i="1"/>
  <c r="V1321" i="1"/>
  <c r="W1321" i="1"/>
  <c r="X1321" i="1"/>
  <c r="Q1322" i="1"/>
  <c r="W1322" i="1" s="1"/>
  <c r="R1322" i="1"/>
  <c r="X1322" i="1"/>
  <c r="Q1323" i="1"/>
  <c r="R1323" i="1"/>
  <c r="W1323" i="1"/>
  <c r="X1323" i="1"/>
  <c r="Q1324" i="1"/>
  <c r="W1324" i="1" s="1"/>
  <c r="R1324" i="1"/>
  <c r="X1324" i="1"/>
  <c r="Q1325" i="1"/>
  <c r="S1325" i="1" s="1"/>
  <c r="V1325" i="1" s="1"/>
  <c r="R1325" i="1"/>
  <c r="T1325" i="1"/>
  <c r="U1325" i="1" s="1"/>
  <c r="W1325" i="1"/>
  <c r="X1325" i="1"/>
  <c r="Q1326" i="1"/>
  <c r="R1326" i="1"/>
  <c r="W1326" i="1"/>
  <c r="X1326" i="1"/>
  <c r="Q1327" i="1"/>
  <c r="W1327" i="1" s="1"/>
  <c r="R1327" i="1"/>
  <c r="X1327" i="1"/>
  <c r="Q1328" i="1"/>
  <c r="W1328" i="1" s="1"/>
  <c r="R1328" i="1"/>
  <c r="X1328" i="1"/>
  <c r="Q1329" i="1"/>
  <c r="W1329" i="1" s="1"/>
  <c r="R1329" i="1"/>
  <c r="S1329" i="1" s="1"/>
  <c r="V1329" i="1" s="1"/>
  <c r="T1329" i="1"/>
  <c r="U1329" i="1" s="1"/>
  <c r="X1329" i="1"/>
  <c r="Q1330" i="1"/>
  <c r="R1330" i="1"/>
  <c r="W1330" i="1"/>
  <c r="X1330" i="1"/>
  <c r="Q1331" i="1"/>
  <c r="W1331" i="1" s="1"/>
  <c r="R1331" i="1"/>
  <c r="T1331" i="1"/>
  <c r="U1331" i="1" s="1"/>
  <c r="X1331" i="1"/>
  <c r="Q1332" i="1"/>
  <c r="R1332" i="1"/>
  <c r="W1332" i="1"/>
  <c r="X1332" i="1"/>
  <c r="Q1333" i="1"/>
  <c r="W1333" i="1" s="1"/>
  <c r="R1333" i="1"/>
  <c r="T1333" i="1" s="1"/>
  <c r="U1333" i="1" s="1"/>
  <c r="S1333" i="1"/>
  <c r="V1333" i="1" s="1"/>
  <c r="X1333" i="1"/>
  <c r="Q1334" i="1"/>
  <c r="W1334" i="1" s="1"/>
  <c r="R1334" i="1"/>
  <c r="X1334" i="1"/>
  <c r="Q1335" i="1"/>
  <c r="R1335" i="1"/>
  <c r="S1335" i="1"/>
  <c r="T1335" i="1"/>
  <c r="U1335" i="1"/>
  <c r="V1335" i="1"/>
  <c r="W1335" i="1"/>
  <c r="X1335" i="1"/>
  <c r="Q1336" i="1"/>
  <c r="W1336" i="1" s="1"/>
  <c r="R1336" i="1"/>
  <c r="X1336" i="1"/>
  <c r="Q1337" i="1"/>
  <c r="R1337" i="1"/>
  <c r="S1337" i="1"/>
  <c r="T1337" i="1"/>
  <c r="U1337" i="1" s="1"/>
  <c r="V1337" i="1" s="1"/>
  <c r="W1337" i="1"/>
  <c r="X1337" i="1"/>
  <c r="Q1338" i="1"/>
  <c r="W1338" i="1" s="1"/>
  <c r="R1338" i="1"/>
  <c r="X1338" i="1"/>
  <c r="Q1339" i="1"/>
  <c r="R1339" i="1"/>
  <c r="W1339" i="1"/>
  <c r="X1339" i="1"/>
  <c r="Q1340" i="1"/>
  <c r="R1340" i="1"/>
  <c r="W1340" i="1"/>
  <c r="X1340" i="1"/>
  <c r="Q1341" i="1"/>
  <c r="R1341" i="1"/>
  <c r="S1341" i="1" s="1"/>
  <c r="T1341" i="1"/>
  <c r="U1341" i="1" s="1"/>
  <c r="W1341" i="1"/>
  <c r="X1341" i="1"/>
  <c r="Q1342" i="1"/>
  <c r="W1342" i="1" s="1"/>
  <c r="R1342" i="1"/>
  <c r="X1342" i="1"/>
  <c r="Q1343" i="1"/>
  <c r="W1343" i="1" s="1"/>
  <c r="R1343" i="1"/>
  <c r="X1343" i="1"/>
  <c r="Q1344" i="1"/>
  <c r="W1344" i="1" s="1"/>
  <c r="R1344" i="1"/>
  <c r="X1344" i="1"/>
  <c r="Q1345" i="1"/>
  <c r="W1345" i="1" s="1"/>
  <c r="R1345" i="1"/>
  <c r="T1345" i="1"/>
  <c r="U1345" i="1" s="1"/>
  <c r="X1345" i="1"/>
  <c r="Q1346" i="1"/>
  <c r="R1346" i="1"/>
  <c r="W1346" i="1"/>
  <c r="X1346" i="1"/>
  <c r="Q1347" i="1"/>
  <c r="W1347" i="1" s="1"/>
  <c r="R1347" i="1"/>
  <c r="T1347" i="1" s="1"/>
  <c r="U1347" i="1" s="1"/>
  <c r="S1347" i="1"/>
  <c r="V1347" i="1" s="1"/>
  <c r="X1347" i="1"/>
  <c r="Q1348" i="1"/>
  <c r="R1348" i="1"/>
  <c r="W1348" i="1"/>
  <c r="X1348" i="1"/>
  <c r="Q1349" i="1"/>
  <c r="R1349" i="1"/>
  <c r="S1349" i="1"/>
  <c r="T1349" i="1"/>
  <c r="U1349" i="1"/>
  <c r="V1349" i="1"/>
  <c r="W1349" i="1"/>
  <c r="X1349" i="1"/>
  <c r="Q1350" i="1"/>
  <c r="W1350" i="1" s="1"/>
  <c r="R1350" i="1"/>
  <c r="X1350" i="1"/>
  <c r="Q1351" i="1"/>
  <c r="R1351" i="1"/>
  <c r="S1351" i="1" s="1"/>
  <c r="T1351" i="1"/>
  <c r="U1351" i="1" s="1"/>
  <c r="W1351" i="1"/>
  <c r="X1351" i="1"/>
  <c r="Q1352" i="1"/>
  <c r="W1352" i="1" s="1"/>
  <c r="R1352" i="1"/>
  <c r="X1352" i="1"/>
  <c r="Q1353" i="1"/>
  <c r="R1353" i="1"/>
  <c r="S1353" i="1"/>
  <c r="T1353" i="1"/>
  <c r="U1353" i="1" s="1"/>
  <c r="W1353" i="1"/>
  <c r="X1353" i="1"/>
  <c r="Q1354" i="1"/>
  <c r="W1354" i="1" s="1"/>
  <c r="R1354" i="1"/>
  <c r="X1354" i="1"/>
  <c r="Q1355" i="1"/>
  <c r="R1355" i="1"/>
  <c r="W1355" i="1"/>
  <c r="X1355" i="1"/>
  <c r="Q1356" i="1"/>
  <c r="W1356" i="1" s="1"/>
  <c r="R1356" i="1"/>
  <c r="X1356" i="1"/>
  <c r="Q1357" i="1"/>
  <c r="R1357" i="1"/>
  <c r="S1357" i="1" s="1"/>
  <c r="T1357" i="1"/>
  <c r="U1357" i="1" s="1"/>
  <c r="W1357" i="1"/>
  <c r="X1357" i="1"/>
  <c r="Q1358" i="1"/>
  <c r="W1358" i="1" s="1"/>
  <c r="R1358" i="1"/>
  <c r="X1358" i="1"/>
  <c r="Q1359" i="1"/>
  <c r="W1359" i="1" s="1"/>
  <c r="R1359" i="1"/>
  <c r="X1359" i="1"/>
  <c r="Q1360" i="1"/>
  <c r="R1360" i="1"/>
  <c r="W1360" i="1"/>
  <c r="X1360" i="1"/>
  <c r="Q1361" i="1"/>
  <c r="W1361" i="1" s="1"/>
  <c r="R1361" i="1"/>
  <c r="T1361" i="1" s="1"/>
  <c r="U1361" i="1" s="1"/>
  <c r="S1361" i="1"/>
  <c r="X1361" i="1"/>
  <c r="Q1362" i="1"/>
  <c r="R1362" i="1"/>
  <c r="W1362" i="1"/>
  <c r="X1362" i="1"/>
  <c r="Q1363" i="1"/>
  <c r="W1363" i="1" s="1"/>
  <c r="R1363" i="1"/>
  <c r="S1363" i="1"/>
  <c r="T1363" i="1"/>
  <c r="U1363" i="1"/>
  <c r="V1363" i="1"/>
  <c r="X1363" i="1"/>
  <c r="Q1364" i="1"/>
  <c r="R1364" i="1"/>
  <c r="W1364" i="1"/>
  <c r="X1364" i="1"/>
  <c r="Q1365" i="1"/>
  <c r="R1365" i="1"/>
  <c r="S1365" i="1"/>
  <c r="T1365" i="1"/>
  <c r="U1365" i="1"/>
  <c r="V1365" i="1" s="1"/>
  <c r="W1365" i="1"/>
  <c r="X1365" i="1"/>
  <c r="Q1366" i="1"/>
  <c r="R1366" i="1"/>
  <c r="S1366" i="1" s="1"/>
  <c r="T1366" i="1"/>
  <c r="U1366" i="1" s="1"/>
  <c r="W1366" i="1"/>
  <c r="X1366" i="1"/>
  <c r="Q1367" i="1"/>
  <c r="W1367" i="1" s="1"/>
  <c r="R1367" i="1"/>
  <c r="T1367" i="1" s="1"/>
  <c r="U1367" i="1" s="1"/>
  <c r="S1367" i="1"/>
  <c r="V1367" i="1" s="1"/>
  <c r="X1367" i="1"/>
  <c r="Q1368" i="1"/>
  <c r="R1368" i="1"/>
  <c r="S1368" i="1" s="1"/>
  <c r="T1368" i="1"/>
  <c r="U1368" i="1" s="1"/>
  <c r="W1368" i="1"/>
  <c r="X1368" i="1"/>
  <c r="Q1369" i="1"/>
  <c r="W1369" i="1" s="1"/>
  <c r="R1369" i="1"/>
  <c r="T1369" i="1" s="1"/>
  <c r="U1369" i="1" s="1"/>
  <c r="S1369" i="1"/>
  <c r="X1369" i="1"/>
  <c r="Q1370" i="1"/>
  <c r="R1370" i="1"/>
  <c r="S1370" i="1" s="1"/>
  <c r="T1370" i="1"/>
  <c r="U1370" i="1" s="1"/>
  <c r="W1370" i="1"/>
  <c r="X1370" i="1"/>
  <c r="Q1371" i="1"/>
  <c r="R1371" i="1"/>
  <c r="S1371" i="1"/>
  <c r="T1371" i="1"/>
  <c r="U1371" i="1"/>
  <c r="V1371" i="1"/>
  <c r="W1371" i="1"/>
  <c r="X1371" i="1"/>
  <c r="Q1372" i="1"/>
  <c r="R1372" i="1"/>
  <c r="S1372" i="1" s="1"/>
  <c r="T1372" i="1"/>
  <c r="U1372" i="1" s="1"/>
  <c r="W1372" i="1"/>
  <c r="X1372" i="1"/>
  <c r="Q1373" i="1"/>
  <c r="R1373" i="1"/>
  <c r="S1373" i="1" s="1"/>
  <c r="V1373" i="1" s="1"/>
  <c r="T1373" i="1"/>
  <c r="U1373" i="1"/>
  <c r="W1373" i="1"/>
  <c r="X1373" i="1"/>
  <c r="Q1374" i="1"/>
  <c r="R1374" i="1"/>
  <c r="S1374" i="1" s="1"/>
  <c r="V1374" i="1" s="1"/>
  <c r="T1374" i="1"/>
  <c r="U1374" i="1" s="1"/>
  <c r="W1374" i="1"/>
  <c r="X1374" i="1"/>
  <c r="Q1375" i="1"/>
  <c r="R1375" i="1"/>
  <c r="S1375" i="1" s="1"/>
  <c r="V1375" i="1" s="1"/>
  <c r="T1375" i="1"/>
  <c r="U1375" i="1"/>
  <c r="W1375" i="1"/>
  <c r="X1375" i="1"/>
  <c r="Q1376" i="1"/>
  <c r="R1376" i="1"/>
  <c r="S1376" i="1" s="1"/>
  <c r="T1376" i="1"/>
  <c r="U1376" i="1" s="1"/>
  <c r="W1376" i="1"/>
  <c r="X1376" i="1"/>
  <c r="Q1377" i="1"/>
  <c r="W1377" i="1" s="1"/>
  <c r="R1377" i="1"/>
  <c r="S1377" i="1" s="1"/>
  <c r="X1377" i="1"/>
  <c r="Q1378" i="1"/>
  <c r="R1378" i="1"/>
  <c r="S1378" i="1" s="1"/>
  <c r="T1378" i="1"/>
  <c r="U1378" i="1" s="1"/>
  <c r="W1378" i="1"/>
  <c r="X1378" i="1"/>
  <c r="Q1379" i="1"/>
  <c r="W1379" i="1" s="1"/>
  <c r="R1379" i="1"/>
  <c r="S1379" i="1" s="1"/>
  <c r="X1379" i="1"/>
  <c r="Q1380" i="1"/>
  <c r="R1380" i="1"/>
  <c r="S1380" i="1" s="1"/>
  <c r="T1380" i="1"/>
  <c r="U1380" i="1" s="1"/>
  <c r="W1380" i="1"/>
  <c r="X1380" i="1"/>
  <c r="Q1381" i="1"/>
  <c r="R1381" i="1"/>
  <c r="S1381" i="1"/>
  <c r="V1381" i="1" s="1"/>
  <c r="T1381" i="1"/>
  <c r="U1381" i="1"/>
  <c r="W1381" i="1"/>
  <c r="X1381" i="1"/>
  <c r="Q1382" i="1"/>
  <c r="R1382" i="1"/>
  <c r="S1382" i="1" s="1"/>
  <c r="T1382" i="1"/>
  <c r="U1382" i="1" s="1"/>
  <c r="W1382" i="1"/>
  <c r="X1382" i="1"/>
  <c r="Q1383" i="1"/>
  <c r="R1383" i="1"/>
  <c r="S1383" i="1"/>
  <c r="T1383" i="1"/>
  <c r="U1383" i="1"/>
  <c r="V1383" i="1"/>
  <c r="W1383" i="1"/>
  <c r="X1383" i="1"/>
  <c r="Q1384" i="1"/>
  <c r="R1384" i="1"/>
  <c r="S1384" i="1" s="1"/>
  <c r="T1384" i="1"/>
  <c r="U1384" i="1" s="1"/>
  <c r="W1384" i="1"/>
  <c r="X1384" i="1"/>
  <c r="Q1385" i="1"/>
  <c r="R1385" i="1"/>
  <c r="S1385" i="1"/>
  <c r="T1385" i="1"/>
  <c r="U1385" i="1"/>
  <c r="V1385" i="1"/>
  <c r="W1385" i="1"/>
  <c r="X1385" i="1"/>
  <c r="Q1386" i="1"/>
  <c r="R1386" i="1"/>
  <c r="S1386" i="1" s="1"/>
  <c r="T1386" i="1"/>
  <c r="U1386" i="1" s="1"/>
  <c r="W1386" i="1"/>
  <c r="X1386" i="1"/>
  <c r="Q1387" i="1"/>
  <c r="S1387" i="1" s="1"/>
  <c r="R1387" i="1"/>
  <c r="T1387" i="1"/>
  <c r="U1387" i="1" s="1"/>
  <c r="X1387" i="1"/>
  <c r="Q1388" i="1"/>
  <c r="R1388" i="1"/>
  <c r="S1388" i="1" s="1"/>
  <c r="T1388" i="1"/>
  <c r="U1388" i="1" s="1"/>
  <c r="W1388" i="1"/>
  <c r="X1388" i="1"/>
  <c r="Q1389" i="1"/>
  <c r="W1389" i="1" s="1"/>
  <c r="R1389" i="1"/>
  <c r="S1389" i="1" s="1"/>
  <c r="T1389" i="1"/>
  <c r="U1389" i="1" s="1"/>
  <c r="X1389" i="1"/>
  <c r="Q1390" i="1"/>
  <c r="R1390" i="1"/>
  <c r="S1390" i="1" s="1"/>
  <c r="T1390" i="1"/>
  <c r="U1390" i="1" s="1"/>
  <c r="W1390" i="1"/>
  <c r="X1390" i="1"/>
  <c r="Q1391" i="1"/>
  <c r="R1391" i="1"/>
  <c r="S1391" i="1"/>
  <c r="T1391" i="1"/>
  <c r="U1391" i="1" s="1"/>
  <c r="W1391" i="1"/>
  <c r="X1391" i="1"/>
  <c r="Q1392" i="1"/>
  <c r="R1392" i="1"/>
  <c r="S1392" i="1" s="1"/>
  <c r="V1392" i="1" s="1"/>
  <c r="T1392" i="1"/>
  <c r="U1392" i="1" s="1"/>
  <c r="W1392" i="1"/>
  <c r="X1392" i="1"/>
  <c r="Q1393" i="1"/>
  <c r="R1393" i="1"/>
  <c r="S1393" i="1"/>
  <c r="T1393" i="1"/>
  <c r="U1393" i="1"/>
  <c r="V1393" i="1"/>
  <c r="W1393" i="1"/>
  <c r="X1393" i="1"/>
  <c r="Q1394" i="1"/>
  <c r="R1394" i="1"/>
  <c r="S1394" i="1" s="1"/>
  <c r="V1394" i="1" s="1"/>
  <c r="T1394" i="1"/>
  <c r="U1394" i="1" s="1"/>
  <c r="W1394" i="1"/>
  <c r="X1394" i="1"/>
  <c r="Q1395" i="1"/>
  <c r="R1395" i="1"/>
  <c r="S1395" i="1"/>
  <c r="T1395" i="1"/>
  <c r="U1395" i="1"/>
  <c r="V1395" i="1"/>
  <c r="W1395" i="1"/>
  <c r="X1395" i="1"/>
  <c r="Q1396" i="1"/>
  <c r="R1396" i="1"/>
  <c r="S1396" i="1" s="1"/>
  <c r="V1396" i="1" s="1"/>
  <c r="T1396" i="1"/>
  <c r="U1396" i="1" s="1"/>
  <c r="W1396" i="1"/>
  <c r="X1396" i="1"/>
  <c r="Q1397" i="1"/>
  <c r="R1397" i="1"/>
  <c r="S1397" i="1"/>
  <c r="T1397" i="1"/>
  <c r="U1397" i="1"/>
  <c r="V1397" i="1"/>
  <c r="W1397" i="1"/>
  <c r="X1397" i="1"/>
  <c r="Q1398" i="1"/>
  <c r="R1398" i="1"/>
  <c r="S1398" i="1" s="1"/>
  <c r="T1398" i="1"/>
  <c r="U1398" i="1" s="1"/>
  <c r="W1398" i="1"/>
  <c r="X1398" i="1"/>
  <c r="Q1399" i="1"/>
  <c r="W1399" i="1" s="1"/>
  <c r="R1399" i="1"/>
  <c r="T1399" i="1" s="1"/>
  <c r="U1399" i="1" s="1"/>
  <c r="S1399" i="1"/>
  <c r="V1399" i="1" s="1"/>
  <c r="X1399" i="1"/>
  <c r="Q1400" i="1"/>
  <c r="R1400" i="1"/>
  <c r="S1400" i="1" s="1"/>
  <c r="T1400" i="1"/>
  <c r="U1400" i="1" s="1"/>
  <c r="W1400" i="1"/>
  <c r="X1400" i="1"/>
  <c r="Q1401" i="1"/>
  <c r="W1401" i="1" s="1"/>
  <c r="R1401" i="1"/>
  <c r="T1401" i="1" s="1"/>
  <c r="U1401" i="1" s="1"/>
  <c r="S1401" i="1"/>
  <c r="V1401" i="1" s="1"/>
  <c r="X1401" i="1"/>
  <c r="Q1402" i="1"/>
  <c r="R1402" i="1"/>
  <c r="S1402" i="1" s="1"/>
  <c r="T1402" i="1"/>
  <c r="U1402" i="1" s="1"/>
  <c r="W1402" i="1"/>
  <c r="X1402" i="1"/>
  <c r="Q1403" i="1"/>
  <c r="R1403" i="1"/>
  <c r="S1403" i="1"/>
  <c r="T1403" i="1"/>
  <c r="U1403" i="1"/>
  <c r="V1403" i="1"/>
  <c r="W1403" i="1"/>
  <c r="X1403" i="1"/>
  <c r="Q1404" i="1"/>
  <c r="R1404" i="1"/>
  <c r="S1404" i="1" s="1"/>
  <c r="V1404" i="1" s="1"/>
  <c r="T1404" i="1"/>
  <c r="U1404" i="1" s="1"/>
  <c r="W1404" i="1"/>
  <c r="X1404" i="1"/>
  <c r="Q1405" i="1"/>
  <c r="R1405" i="1"/>
  <c r="S1405" i="1"/>
  <c r="T1405" i="1"/>
  <c r="U1405" i="1"/>
  <c r="V1405" i="1"/>
  <c r="W1405" i="1"/>
  <c r="X1405" i="1"/>
  <c r="Q1406" i="1"/>
  <c r="R1406" i="1"/>
  <c r="S1406" i="1" s="1"/>
  <c r="T1406" i="1"/>
  <c r="U1406" i="1" s="1"/>
  <c r="V1406" i="1"/>
  <c r="W1406" i="1"/>
  <c r="X1406" i="1"/>
  <c r="S3" i="10"/>
  <c r="S4" i="10"/>
  <c r="S5" i="10"/>
  <c r="G163" i="11" l="1"/>
  <c r="G83" i="11"/>
  <c r="G67" i="11"/>
  <c r="G19" i="11"/>
  <c r="G160" i="11"/>
  <c r="G211" i="11"/>
  <c r="G179" i="11"/>
  <c r="G147" i="11"/>
  <c r="G115" i="11"/>
  <c r="G99" i="11"/>
  <c r="G35" i="11"/>
  <c r="G226" i="11"/>
  <c r="G210" i="11"/>
  <c r="G194" i="11"/>
  <c r="G178" i="11"/>
  <c r="G162" i="11"/>
  <c r="G146" i="11"/>
  <c r="G130" i="11"/>
  <c r="G114" i="11"/>
  <c r="G98" i="11"/>
  <c r="G82" i="11"/>
  <c r="G66" i="11"/>
  <c r="G50" i="11"/>
  <c r="G34" i="11"/>
  <c r="G18" i="11"/>
  <c r="G144" i="11"/>
  <c r="G227" i="11"/>
  <c r="G195" i="11"/>
  <c r="G131" i="11"/>
  <c r="G51" i="11"/>
  <c r="G225" i="11"/>
  <c r="G209" i="11"/>
  <c r="G193" i="11"/>
  <c r="G177" i="11"/>
  <c r="G161" i="11"/>
  <c r="G145" i="11"/>
  <c r="G129" i="11"/>
  <c r="G113" i="11"/>
  <c r="G97" i="11"/>
  <c r="G81" i="11"/>
  <c r="G65" i="11"/>
  <c r="G49" i="11"/>
  <c r="G33" i="11"/>
  <c r="G17" i="11"/>
  <c r="G95" i="11"/>
  <c r="G224" i="11"/>
  <c r="G208" i="11"/>
  <c r="G192" i="11"/>
  <c r="G176" i="11"/>
  <c r="G128" i="11"/>
  <c r="G112" i="11"/>
  <c r="G16" i="11"/>
  <c r="G223" i="11"/>
  <c r="G207" i="11"/>
  <c r="G191" i="11"/>
  <c r="G175" i="11"/>
  <c r="G159" i="11"/>
  <c r="G143" i="11"/>
  <c r="G127" i="11"/>
  <c r="G111" i="11"/>
  <c r="G79" i="11"/>
  <c r="G63" i="11"/>
  <c r="G47" i="11"/>
  <c r="G31" i="11"/>
  <c r="G15" i="11"/>
  <c r="G222" i="11"/>
  <c r="G206" i="11"/>
  <c r="G190" i="11"/>
  <c r="G174" i="11"/>
  <c r="G158" i="11"/>
  <c r="G142" i="11"/>
  <c r="G126" i="11"/>
  <c r="G110" i="11"/>
  <c r="G94" i="11"/>
  <c r="G78" i="11"/>
  <c r="G62" i="11"/>
  <c r="G46" i="11"/>
  <c r="G30" i="11"/>
  <c r="G14" i="11"/>
  <c r="G205" i="11"/>
  <c r="G189" i="11"/>
  <c r="G93" i="11"/>
  <c r="G77" i="11"/>
  <c r="G61" i="11"/>
  <c r="G45" i="11"/>
  <c r="G29" i="11"/>
  <c r="G13" i="11"/>
  <c r="G140" i="11"/>
  <c r="G124" i="11"/>
  <c r="G108" i="11"/>
  <c r="G92" i="11"/>
  <c r="G76" i="11"/>
  <c r="G60" i="11"/>
  <c r="G44" i="11"/>
  <c r="G28" i="11"/>
  <c r="G12" i="11"/>
  <c r="G96" i="11"/>
  <c r="G141" i="11"/>
  <c r="G156" i="11"/>
  <c r="G5" i="11"/>
  <c r="G219" i="11"/>
  <c r="G203" i="11"/>
  <c r="G187" i="11"/>
  <c r="G171" i="11"/>
  <c r="G155" i="11"/>
  <c r="G139" i="11"/>
  <c r="G123" i="11"/>
  <c r="G107" i="11"/>
  <c r="G91" i="11"/>
  <c r="G75" i="11"/>
  <c r="G59" i="11"/>
  <c r="G43" i="11"/>
  <c r="G27" i="11"/>
  <c r="G11" i="11"/>
  <c r="G64" i="11"/>
  <c r="G125" i="11"/>
  <c r="G172" i="11"/>
  <c r="G234" i="11"/>
  <c r="G218" i="11"/>
  <c r="G202" i="11"/>
  <c r="G186" i="11"/>
  <c r="G170" i="11"/>
  <c r="G154" i="11"/>
  <c r="G138" i="11"/>
  <c r="G122" i="11"/>
  <c r="G106" i="11"/>
  <c r="G90" i="11"/>
  <c r="G74" i="11"/>
  <c r="G58" i="11"/>
  <c r="G42" i="11"/>
  <c r="G26" i="11"/>
  <c r="G10" i="11"/>
  <c r="G221" i="11"/>
  <c r="G233" i="11"/>
  <c r="G217" i="11"/>
  <c r="G201" i="11"/>
  <c r="G185" i="11"/>
  <c r="G169" i="11"/>
  <c r="G153" i="11"/>
  <c r="G137" i="11"/>
  <c r="G121" i="11"/>
  <c r="G105" i="11"/>
  <c r="G89" i="11"/>
  <c r="G73" i="11"/>
  <c r="G57" i="11"/>
  <c r="G41" i="11"/>
  <c r="G25" i="11"/>
  <c r="G9" i="11"/>
  <c r="G32" i="11"/>
  <c r="G173" i="11"/>
  <c r="G188" i="11"/>
  <c r="G232" i="11"/>
  <c r="G216" i="11"/>
  <c r="G200" i="11"/>
  <c r="G184" i="11"/>
  <c r="G168" i="11"/>
  <c r="G152" i="11"/>
  <c r="G136" i="11"/>
  <c r="G120" i="11"/>
  <c r="G104" i="11"/>
  <c r="G88" i="11"/>
  <c r="G72" i="11"/>
  <c r="G56" i="11"/>
  <c r="G40" i="11"/>
  <c r="G24" i="11"/>
  <c r="G8" i="11"/>
  <c r="G231" i="11"/>
  <c r="G215" i="11"/>
  <c r="G199" i="11"/>
  <c r="G183" i="11"/>
  <c r="G167" i="11"/>
  <c r="G151" i="11"/>
  <c r="G135" i="11"/>
  <c r="G119" i="11"/>
  <c r="G103" i="11"/>
  <c r="G87" i="11"/>
  <c r="G71" i="11"/>
  <c r="G55" i="11"/>
  <c r="G39" i="11"/>
  <c r="G23" i="11"/>
  <c r="G7" i="11"/>
  <c r="G48" i="11"/>
  <c r="G109" i="11"/>
  <c r="G204" i="11"/>
  <c r="G230" i="11"/>
  <c r="G214" i="11"/>
  <c r="G198" i="11"/>
  <c r="G182" i="11"/>
  <c r="G166" i="11"/>
  <c r="G150" i="11"/>
  <c r="G134" i="11"/>
  <c r="G118" i="11"/>
  <c r="G102" i="11"/>
  <c r="G86" i="11"/>
  <c r="G70" i="11"/>
  <c r="G54" i="11"/>
  <c r="G38" i="11"/>
  <c r="G22" i="11"/>
  <c r="G6" i="11"/>
  <c r="G229" i="11"/>
  <c r="G213" i="11"/>
  <c r="G197" i="11"/>
  <c r="G181" i="11"/>
  <c r="G165" i="11"/>
  <c r="G149" i="11"/>
  <c r="G133" i="11"/>
  <c r="G117" i="11"/>
  <c r="G101" i="11"/>
  <c r="G85" i="11"/>
  <c r="G69" i="11"/>
  <c r="G53" i="11"/>
  <c r="G37" i="11"/>
  <c r="G21" i="11"/>
  <c r="G80" i="11"/>
  <c r="G157" i="11"/>
  <c r="G220" i="11"/>
  <c r="G228" i="11"/>
  <c r="G212" i="11"/>
  <c r="G196" i="11"/>
  <c r="G180" i="11"/>
  <c r="G164" i="11"/>
  <c r="G148" i="11"/>
  <c r="G132" i="11"/>
  <c r="G116" i="11"/>
  <c r="G100" i="11"/>
  <c r="G84" i="11"/>
  <c r="G68" i="11"/>
  <c r="G52" i="11"/>
  <c r="G36" i="11"/>
  <c r="G20" i="11"/>
  <c r="V1353" i="1"/>
  <c r="V1285" i="1"/>
  <c r="V1389" i="1"/>
  <c r="V1317" i="1"/>
  <c r="V1391" i="1"/>
  <c r="V1379" i="1"/>
  <c r="V1299" i="1"/>
  <c r="V1253" i="1"/>
  <c r="V1283" i="1"/>
  <c r="V1387" i="1"/>
  <c r="V1369" i="1"/>
  <c r="V1351" i="1"/>
  <c r="S1328" i="1"/>
  <c r="V1328" i="1" s="1"/>
  <c r="T1328" i="1"/>
  <c r="U1328" i="1" s="1"/>
  <c r="S1322" i="1"/>
  <c r="T1322" i="1"/>
  <c r="U1322" i="1" s="1"/>
  <c r="V1384" i="1"/>
  <c r="T1379" i="1"/>
  <c r="U1379" i="1" s="1"/>
  <c r="T1319" i="1"/>
  <c r="U1319" i="1" s="1"/>
  <c r="V1319" i="1" s="1"/>
  <c r="S1291" i="1"/>
  <c r="T1291" i="1"/>
  <c r="U1291" i="1" s="1"/>
  <c r="S1288" i="1"/>
  <c r="T1288" i="1"/>
  <c r="U1288" i="1" s="1"/>
  <c r="T1259" i="1"/>
  <c r="U1259" i="1" s="1"/>
  <c r="S1259" i="1"/>
  <c r="S1236" i="1"/>
  <c r="T1236" i="1"/>
  <c r="U1236" i="1" s="1"/>
  <c r="S1233" i="1"/>
  <c r="V1233" i="1" s="1"/>
  <c r="S1203" i="1"/>
  <c r="V1203" i="1" s="1"/>
  <c r="S1339" i="1"/>
  <c r="T1339" i="1"/>
  <c r="U1339" i="1" s="1"/>
  <c r="S1336" i="1"/>
  <c r="T1336" i="1"/>
  <c r="U1336" i="1" s="1"/>
  <c r="S1308" i="1"/>
  <c r="T1308" i="1"/>
  <c r="U1308" i="1" s="1"/>
  <c r="S1294" i="1"/>
  <c r="T1294" i="1"/>
  <c r="U1294" i="1" s="1"/>
  <c r="S1280" i="1"/>
  <c r="T1280" i="1"/>
  <c r="U1280" i="1" s="1"/>
  <c r="S1268" i="1"/>
  <c r="V1268" i="1" s="1"/>
  <c r="T1268" i="1"/>
  <c r="U1268" i="1" s="1"/>
  <c r="S1262" i="1"/>
  <c r="T1262" i="1"/>
  <c r="U1262" i="1" s="1"/>
  <c r="S1364" i="1"/>
  <c r="T1364" i="1"/>
  <c r="U1364" i="1" s="1"/>
  <c r="S1256" i="1"/>
  <c r="T1256" i="1"/>
  <c r="U1256" i="1" s="1"/>
  <c r="S1224" i="1"/>
  <c r="T1224" i="1"/>
  <c r="U1224" i="1" s="1"/>
  <c r="V1199" i="1"/>
  <c r="S1352" i="1"/>
  <c r="T1352" i="1"/>
  <c r="U1352" i="1" s="1"/>
  <c r="V1229" i="1"/>
  <c r="V1388" i="1"/>
  <c r="S1258" i="1"/>
  <c r="T1258" i="1"/>
  <c r="U1258" i="1" s="1"/>
  <c r="S1238" i="1"/>
  <c r="T1238" i="1"/>
  <c r="U1238" i="1" s="1"/>
  <c r="S1226" i="1"/>
  <c r="T1226" i="1"/>
  <c r="U1226" i="1" s="1"/>
  <c r="S1338" i="1"/>
  <c r="V1338" i="1" s="1"/>
  <c r="T1338" i="1"/>
  <c r="U1338" i="1" s="1"/>
  <c r="S1310" i="1"/>
  <c r="T1310" i="1"/>
  <c r="U1310" i="1" s="1"/>
  <c r="V1368" i="1"/>
  <c r="V1357" i="1"/>
  <c r="S1343" i="1"/>
  <c r="T1343" i="1"/>
  <c r="U1343" i="1" s="1"/>
  <c r="S1284" i="1"/>
  <c r="T1284" i="1"/>
  <c r="U1284" i="1" s="1"/>
  <c r="S1281" i="1"/>
  <c r="V1281" i="1" s="1"/>
  <c r="T1249" i="1"/>
  <c r="U1249" i="1" s="1"/>
  <c r="S1249" i="1"/>
  <c r="T1217" i="1"/>
  <c r="U1217" i="1" s="1"/>
  <c r="S1217" i="1"/>
  <c r="V1217" i="1" s="1"/>
  <c r="V1361" i="1"/>
  <c r="S1206" i="1"/>
  <c r="V1206" i="1" s="1"/>
  <c r="T1206" i="1"/>
  <c r="U1206" i="1" s="1"/>
  <c r="S1304" i="1"/>
  <c r="T1304" i="1"/>
  <c r="U1304" i="1" s="1"/>
  <c r="V1400" i="1"/>
  <c r="S1360" i="1"/>
  <c r="T1360" i="1"/>
  <c r="U1360" i="1" s="1"/>
  <c r="S1354" i="1"/>
  <c r="T1354" i="1"/>
  <c r="U1354" i="1" s="1"/>
  <c r="S1340" i="1"/>
  <c r="T1340" i="1"/>
  <c r="U1340" i="1" s="1"/>
  <c r="S1326" i="1"/>
  <c r="V1326" i="1" s="1"/>
  <c r="T1326" i="1"/>
  <c r="U1326" i="1" s="1"/>
  <c r="W1317" i="1"/>
  <c r="V1309" i="1"/>
  <c r="S1295" i="1"/>
  <c r="T1295" i="1"/>
  <c r="U1295" i="1" s="1"/>
  <c r="S1278" i="1"/>
  <c r="T1278" i="1"/>
  <c r="U1278" i="1" s="1"/>
  <c r="S1266" i="1"/>
  <c r="T1266" i="1"/>
  <c r="U1266" i="1" s="1"/>
  <c r="S1246" i="1"/>
  <c r="T1246" i="1"/>
  <c r="U1246" i="1" s="1"/>
  <c r="S1214" i="1"/>
  <c r="T1214" i="1"/>
  <c r="U1214" i="1" s="1"/>
  <c r="S1316" i="1"/>
  <c r="T1316" i="1"/>
  <c r="U1316" i="1" s="1"/>
  <c r="S1355" i="1"/>
  <c r="T1355" i="1"/>
  <c r="U1355" i="1" s="1"/>
  <c r="S1344" i="1"/>
  <c r="T1344" i="1"/>
  <c r="U1344" i="1" s="1"/>
  <c r="V1293" i="1"/>
  <c r="S1244" i="1"/>
  <c r="V1244" i="1" s="1"/>
  <c r="T1244" i="1"/>
  <c r="U1244" i="1" s="1"/>
  <c r="S1212" i="1"/>
  <c r="T1212" i="1"/>
  <c r="U1212" i="1" s="1"/>
  <c r="S1270" i="1"/>
  <c r="V1270" i="1" s="1"/>
  <c r="T1270" i="1"/>
  <c r="U1270" i="1" s="1"/>
  <c r="S1323" i="1"/>
  <c r="T1323" i="1"/>
  <c r="U1323" i="1" s="1"/>
  <c r="S1320" i="1"/>
  <c r="T1320" i="1"/>
  <c r="U1320" i="1" s="1"/>
  <c r="S1312" i="1"/>
  <c r="T1312" i="1"/>
  <c r="U1312" i="1" s="1"/>
  <c r="S1306" i="1"/>
  <c r="T1306" i="1"/>
  <c r="U1306" i="1" s="1"/>
  <c r="S1292" i="1"/>
  <c r="T1292" i="1"/>
  <c r="U1292" i="1" s="1"/>
  <c r="S1263" i="1"/>
  <c r="V1263" i="1" s="1"/>
  <c r="V1257" i="1"/>
  <c r="S1234" i="1"/>
  <c r="T1234" i="1"/>
  <c r="U1234" i="1" s="1"/>
  <c r="S1208" i="1"/>
  <c r="V1208" i="1" s="1"/>
  <c r="T1208" i="1"/>
  <c r="U1208" i="1" s="1"/>
  <c r="S1358" i="1"/>
  <c r="T1358" i="1"/>
  <c r="U1358" i="1" s="1"/>
  <c r="V1341" i="1"/>
  <c r="V1313" i="1"/>
  <c r="S1276" i="1"/>
  <c r="T1276" i="1"/>
  <c r="U1276" i="1" s="1"/>
  <c r="T1267" i="1"/>
  <c r="U1267" i="1" s="1"/>
  <c r="S1267" i="1"/>
  <c r="V1267" i="1" s="1"/>
  <c r="S1296" i="1"/>
  <c r="T1296" i="1"/>
  <c r="U1296" i="1" s="1"/>
  <c r="S1290" i="1"/>
  <c r="V1290" i="1" s="1"/>
  <c r="T1290" i="1"/>
  <c r="U1290" i="1" s="1"/>
  <c r="V1380" i="1"/>
  <c r="V1402" i="1"/>
  <c r="V1370" i="1"/>
  <c r="S1204" i="1"/>
  <c r="T1204" i="1"/>
  <c r="U1204" i="1" s="1"/>
  <c r="V1386" i="1"/>
  <c r="S1327" i="1"/>
  <c r="T1327" i="1"/>
  <c r="U1327" i="1" s="1"/>
  <c r="S1324" i="1"/>
  <c r="T1324" i="1"/>
  <c r="U1324" i="1" s="1"/>
  <c r="S1332" i="1"/>
  <c r="T1332" i="1"/>
  <c r="U1332" i="1" s="1"/>
  <c r="W1277" i="1"/>
  <c r="S1260" i="1"/>
  <c r="T1260" i="1"/>
  <c r="U1260" i="1" s="1"/>
  <c r="S1254" i="1"/>
  <c r="T1254" i="1"/>
  <c r="U1254" i="1" s="1"/>
  <c r="S1228" i="1"/>
  <c r="T1228" i="1"/>
  <c r="U1228" i="1" s="1"/>
  <c r="V1376" i="1"/>
  <c r="V1398" i="1"/>
  <c r="V1366" i="1"/>
  <c r="S1307" i="1"/>
  <c r="T1307" i="1"/>
  <c r="U1307" i="1" s="1"/>
  <c r="W1387" i="1"/>
  <c r="S1348" i="1"/>
  <c r="T1348" i="1"/>
  <c r="U1348" i="1" s="1"/>
  <c r="V1382" i="1"/>
  <c r="T1377" i="1"/>
  <c r="U1377" i="1" s="1"/>
  <c r="V1377" i="1" s="1"/>
  <c r="S1359" i="1"/>
  <c r="T1359" i="1"/>
  <c r="U1359" i="1" s="1"/>
  <c r="S1345" i="1"/>
  <c r="V1345" i="1" s="1"/>
  <c r="S1331" i="1"/>
  <c r="V1331" i="1" s="1"/>
  <c r="S1300" i="1"/>
  <c r="T1300" i="1"/>
  <c r="U1300" i="1" s="1"/>
  <c r="T1297" i="1"/>
  <c r="U1297" i="1" s="1"/>
  <c r="V1297" i="1" s="1"/>
  <c r="T1283" i="1"/>
  <c r="U1283" i="1" s="1"/>
  <c r="S1219" i="1"/>
  <c r="V1219" i="1" s="1"/>
  <c r="S1200" i="1"/>
  <c r="T1200" i="1"/>
  <c r="U1200" i="1" s="1"/>
  <c r="V1378" i="1"/>
  <c r="V1390" i="1"/>
  <c r="V1372" i="1"/>
  <c r="S1356" i="1"/>
  <c r="T1356" i="1"/>
  <c r="U1356" i="1" s="1"/>
  <c r="S1342" i="1"/>
  <c r="T1342" i="1"/>
  <c r="U1342" i="1" s="1"/>
  <c r="S1311" i="1"/>
  <c r="T1311" i="1"/>
  <c r="U1311" i="1" s="1"/>
  <c r="S1271" i="1"/>
  <c r="V1271" i="1" s="1"/>
  <c r="S1248" i="1"/>
  <c r="V1248" i="1" s="1"/>
  <c r="T1248" i="1"/>
  <c r="U1248" i="1" s="1"/>
  <c r="S1216" i="1"/>
  <c r="T1216" i="1"/>
  <c r="U1216" i="1" s="1"/>
  <c r="S1198" i="1"/>
  <c r="T1198" i="1"/>
  <c r="U1198" i="1" s="1"/>
  <c r="S1362" i="1"/>
  <c r="T1362" i="1"/>
  <c r="U1362" i="1" s="1"/>
  <c r="S1346" i="1"/>
  <c r="T1346" i="1"/>
  <c r="U1346" i="1" s="1"/>
  <c r="S1330" i="1"/>
  <c r="T1330" i="1"/>
  <c r="U1330" i="1" s="1"/>
  <c r="S1314" i="1"/>
  <c r="V1314" i="1" s="1"/>
  <c r="T1314" i="1"/>
  <c r="U1314" i="1" s="1"/>
  <c r="S1298" i="1"/>
  <c r="T1298" i="1"/>
  <c r="U1298" i="1" s="1"/>
  <c r="S1282" i="1"/>
  <c r="V1282" i="1" s="1"/>
  <c r="T1282" i="1"/>
  <c r="U1282" i="1" s="1"/>
  <c r="S1250" i="1"/>
  <c r="T1250" i="1"/>
  <c r="U1250" i="1" s="1"/>
  <c r="S1218" i="1"/>
  <c r="T1218" i="1"/>
  <c r="U1218" i="1" s="1"/>
  <c r="S1272" i="1"/>
  <c r="T1272" i="1"/>
  <c r="U1272" i="1" s="1"/>
  <c r="S1240" i="1"/>
  <c r="T1240" i="1"/>
  <c r="U1240" i="1" s="1"/>
  <c r="S1235" i="1"/>
  <c r="V1235" i="1" s="1"/>
  <c r="S1205" i="1"/>
  <c r="V1205" i="1" s="1"/>
  <c r="S1197" i="1"/>
  <c r="V1197" i="1" s="1"/>
  <c r="S1279" i="1"/>
  <c r="V1279" i="1" s="1"/>
  <c r="S1252" i="1"/>
  <c r="T1252" i="1"/>
  <c r="U1252" i="1" s="1"/>
  <c r="S1247" i="1"/>
  <c r="V1247" i="1" s="1"/>
  <c r="S1220" i="1"/>
  <c r="T1220" i="1"/>
  <c r="U1220" i="1" s="1"/>
  <c r="S1215" i="1"/>
  <c r="V1215" i="1" s="1"/>
  <c r="S1210" i="1"/>
  <c r="T1210" i="1"/>
  <c r="U1210" i="1" s="1"/>
  <c r="S1202" i="1"/>
  <c r="T1202" i="1"/>
  <c r="U1202" i="1" s="1"/>
  <c r="S1230" i="1"/>
  <c r="T1230" i="1"/>
  <c r="U1230" i="1" s="1"/>
  <c r="S1350" i="1"/>
  <c r="T1350" i="1"/>
  <c r="U1350" i="1" s="1"/>
  <c r="S1334" i="1"/>
  <c r="V1334" i="1" s="1"/>
  <c r="T1334" i="1"/>
  <c r="U1334" i="1" s="1"/>
  <c r="S1318" i="1"/>
  <c r="T1318" i="1"/>
  <c r="U1318" i="1" s="1"/>
  <c r="S1302" i="1"/>
  <c r="V1302" i="1" s="1"/>
  <c r="T1302" i="1"/>
  <c r="U1302" i="1" s="1"/>
  <c r="S1286" i="1"/>
  <c r="T1286" i="1"/>
  <c r="U1286" i="1" s="1"/>
  <c r="S1274" i="1"/>
  <c r="T1274" i="1"/>
  <c r="U1274" i="1" s="1"/>
  <c r="S1269" i="1"/>
  <c r="V1269" i="1" s="1"/>
  <c r="S1242" i="1"/>
  <c r="T1242" i="1"/>
  <c r="U1242" i="1" s="1"/>
  <c r="S1237" i="1"/>
  <c r="V1237" i="1" s="1"/>
  <c r="S1264" i="1"/>
  <c r="T1264" i="1"/>
  <c r="U1264" i="1" s="1"/>
  <c r="S1232" i="1"/>
  <c r="V1232" i="1" s="1"/>
  <c r="T1232" i="1"/>
  <c r="U1232" i="1" s="1"/>
  <c r="S1227" i="1"/>
  <c r="V1227" i="1" s="1"/>
  <c r="S1207" i="1"/>
  <c r="V1207" i="1" s="1"/>
  <c r="V1196" i="1"/>
  <c r="S1222" i="1"/>
  <c r="T1222" i="1"/>
  <c r="U1222" i="1" s="1"/>
  <c r="T1196" i="1"/>
  <c r="U1196" i="1" s="1"/>
  <c r="Q1052" i="1"/>
  <c r="W1052" i="1" s="1"/>
  <c r="R1052" i="1"/>
  <c r="S1052" i="1" s="1"/>
  <c r="X1052" i="1"/>
  <c r="Q1053" i="1"/>
  <c r="R1053" i="1"/>
  <c r="S1053" i="1" s="1"/>
  <c r="W1053" i="1"/>
  <c r="X1053" i="1"/>
  <c r="Q1054" i="1"/>
  <c r="W1054" i="1" s="1"/>
  <c r="R1054" i="1"/>
  <c r="S1054" i="1" s="1"/>
  <c r="X1054" i="1"/>
  <c r="Q1055" i="1"/>
  <c r="R1055" i="1"/>
  <c r="T1055" i="1" s="1"/>
  <c r="U1055" i="1" s="1"/>
  <c r="S1055" i="1"/>
  <c r="V1055" i="1"/>
  <c r="W1055" i="1"/>
  <c r="X1055" i="1"/>
  <c r="Q1056" i="1"/>
  <c r="W1056" i="1" s="1"/>
  <c r="R1056" i="1"/>
  <c r="S1056" i="1" s="1"/>
  <c r="X1056" i="1"/>
  <c r="Q1057" i="1"/>
  <c r="R1057" i="1"/>
  <c r="T1057" i="1" s="1"/>
  <c r="U1057" i="1" s="1"/>
  <c r="S1057" i="1"/>
  <c r="V1057" i="1"/>
  <c r="W1057" i="1"/>
  <c r="X1057" i="1"/>
  <c r="Q1058" i="1"/>
  <c r="W1058" i="1" s="1"/>
  <c r="R1058" i="1"/>
  <c r="S1058" i="1" s="1"/>
  <c r="X1058" i="1"/>
  <c r="Q1059" i="1"/>
  <c r="R1059" i="1"/>
  <c r="T1059" i="1" s="1"/>
  <c r="U1059" i="1" s="1"/>
  <c r="S1059" i="1"/>
  <c r="V1059" i="1" s="1"/>
  <c r="W1059" i="1"/>
  <c r="X1059" i="1"/>
  <c r="Q1060" i="1"/>
  <c r="W1060" i="1" s="1"/>
  <c r="R1060" i="1"/>
  <c r="S1060" i="1" s="1"/>
  <c r="X1060" i="1"/>
  <c r="Q1061" i="1"/>
  <c r="R1061" i="1"/>
  <c r="T1061" i="1" s="1"/>
  <c r="U1061" i="1" s="1"/>
  <c r="S1061" i="1"/>
  <c r="V1061" i="1" s="1"/>
  <c r="W1061" i="1"/>
  <c r="X1061" i="1"/>
  <c r="Q1062" i="1"/>
  <c r="W1062" i="1" s="1"/>
  <c r="R1062" i="1"/>
  <c r="S1062" i="1" s="1"/>
  <c r="X1062" i="1"/>
  <c r="Q1063" i="1"/>
  <c r="R1063" i="1"/>
  <c r="T1063" i="1" s="1"/>
  <c r="U1063" i="1" s="1"/>
  <c r="S1063" i="1"/>
  <c r="V1063" i="1" s="1"/>
  <c r="W1063" i="1"/>
  <c r="X1063" i="1"/>
  <c r="Q1064" i="1"/>
  <c r="W1064" i="1" s="1"/>
  <c r="R1064" i="1"/>
  <c r="S1064" i="1" s="1"/>
  <c r="X1064" i="1"/>
  <c r="Q1065" i="1"/>
  <c r="R1065" i="1"/>
  <c r="T1065" i="1" s="1"/>
  <c r="U1065" i="1" s="1"/>
  <c r="S1065" i="1"/>
  <c r="V1065" i="1" s="1"/>
  <c r="W1065" i="1"/>
  <c r="X1065" i="1"/>
  <c r="Q1066" i="1"/>
  <c r="W1066" i="1" s="1"/>
  <c r="R1066" i="1"/>
  <c r="S1066" i="1" s="1"/>
  <c r="X1066" i="1"/>
  <c r="Q1067" i="1"/>
  <c r="R1067" i="1"/>
  <c r="T1067" i="1" s="1"/>
  <c r="U1067" i="1" s="1"/>
  <c r="S1067" i="1"/>
  <c r="V1067" i="1" s="1"/>
  <c r="W1067" i="1"/>
  <c r="X1067" i="1"/>
  <c r="Q1068" i="1"/>
  <c r="W1068" i="1" s="1"/>
  <c r="R1068" i="1"/>
  <c r="S1068" i="1" s="1"/>
  <c r="X1068" i="1"/>
  <c r="Q1069" i="1"/>
  <c r="R1069" i="1"/>
  <c r="T1069" i="1" s="1"/>
  <c r="U1069" i="1" s="1"/>
  <c r="S1069" i="1"/>
  <c r="V1069" i="1"/>
  <c r="W1069" i="1"/>
  <c r="X1069" i="1"/>
  <c r="Q1070" i="1"/>
  <c r="W1070" i="1" s="1"/>
  <c r="R1070" i="1"/>
  <c r="S1070" i="1" s="1"/>
  <c r="X1070" i="1"/>
  <c r="Q1071" i="1"/>
  <c r="R1071" i="1"/>
  <c r="T1071" i="1" s="1"/>
  <c r="U1071" i="1" s="1"/>
  <c r="S1071" i="1"/>
  <c r="V1071" i="1" s="1"/>
  <c r="W1071" i="1"/>
  <c r="X1071" i="1"/>
  <c r="Q1072" i="1"/>
  <c r="W1072" i="1" s="1"/>
  <c r="R1072" i="1"/>
  <c r="S1072" i="1" s="1"/>
  <c r="X1072" i="1"/>
  <c r="Q1073" i="1"/>
  <c r="R1073" i="1"/>
  <c r="T1073" i="1" s="1"/>
  <c r="U1073" i="1" s="1"/>
  <c r="S1073" i="1"/>
  <c r="V1073" i="1" s="1"/>
  <c r="W1073" i="1"/>
  <c r="X1073" i="1"/>
  <c r="Q1074" i="1"/>
  <c r="W1074" i="1" s="1"/>
  <c r="R1074" i="1"/>
  <c r="S1074" i="1" s="1"/>
  <c r="X1074" i="1"/>
  <c r="Q1075" i="1"/>
  <c r="R1075" i="1"/>
  <c r="T1075" i="1" s="1"/>
  <c r="U1075" i="1" s="1"/>
  <c r="S1075" i="1"/>
  <c r="V1075" i="1"/>
  <c r="W1075" i="1"/>
  <c r="X1075" i="1"/>
  <c r="Q1076" i="1"/>
  <c r="W1076" i="1" s="1"/>
  <c r="R1076" i="1"/>
  <c r="S1076" i="1" s="1"/>
  <c r="X1076" i="1"/>
  <c r="Q1077" i="1"/>
  <c r="R1077" i="1"/>
  <c r="T1077" i="1" s="1"/>
  <c r="U1077" i="1" s="1"/>
  <c r="S1077" i="1"/>
  <c r="V1077" i="1" s="1"/>
  <c r="W1077" i="1"/>
  <c r="X1077" i="1"/>
  <c r="Q1078" i="1"/>
  <c r="W1078" i="1" s="1"/>
  <c r="R1078" i="1"/>
  <c r="S1078" i="1" s="1"/>
  <c r="X1078" i="1"/>
  <c r="Q1079" i="1"/>
  <c r="R1079" i="1"/>
  <c r="T1079" i="1" s="1"/>
  <c r="U1079" i="1" s="1"/>
  <c r="S1079" i="1"/>
  <c r="V1079" i="1"/>
  <c r="W1079" i="1"/>
  <c r="X1079" i="1"/>
  <c r="Q1080" i="1"/>
  <c r="W1080" i="1" s="1"/>
  <c r="R1080" i="1"/>
  <c r="S1080" i="1" s="1"/>
  <c r="X1080" i="1"/>
  <c r="Q1081" i="1"/>
  <c r="R1081" i="1"/>
  <c r="T1081" i="1" s="1"/>
  <c r="U1081" i="1" s="1"/>
  <c r="S1081" i="1"/>
  <c r="V1081" i="1" s="1"/>
  <c r="W1081" i="1"/>
  <c r="X1081" i="1"/>
  <c r="Q1082" i="1"/>
  <c r="W1082" i="1" s="1"/>
  <c r="R1082" i="1"/>
  <c r="S1082" i="1" s="1"/>
  <c r="X1082" i="1"/>
  <c r="Q1083" i="1"/>
  <c r="R1083" i="1"/>
  <c r="T1083" i="1" s="1"/>
  <c r="U1083" i="1" s="1"/>
  <c r="V1083" i="1" s="1"/>
  <c r="S1083" i="1"/>
  <c r="W1083" i="1"/>
  <c r="X1083" i="1"/>
  <c r="Q1084" i="1"/>
  <c r="W1084" i="1" s="1"/>
  <c r="R1084" i="1"/>
  <c r="S1084" i="1" s="1"/>
  <c r="X1084" i="1"/>
  <c r="Q1085" i="1"/>
  <c r="R1085" i="1"/>
  <c r="T1085" i="1" s="1"/>
  <c r="U1085" i="1" s="1"/>
  <c r="S1085" i="1"/>
  <c r="V1085" i="1" s="1"/>
  <c r="W1085" i="1"/>
  <c r="X1085" i="1"/>
  <c r="Q1086" i="1"/>
  <c r="W1086" i="1" s="1"/>
  <c r="R1086" i="1"/>
  <c r="S1086" i="1" s="1"/>
  <c r="X1086" i="1"/>
  <c r="Q1087" i="1"/>
  <c r="R1087" i="1"/>
  <c r="T1087" i="1" s="1"/>
  <c r="U1087" i="1" s="1"/>
  <c r="S1087" i="1"/>
  <c r="V1087" i="1"/>
  <c r="W1087" i="1"/>
  <c r="X1087" i="1"/>
  <c r="Q1088" i="1"/>
  <c r="W1088" i="1" s="1"/>
  <c r="R1088" i="1"/>
  <c r="S1088" i="1" s="1"/>
  <c r="X1088" i="1"/>
  <c r="Q1089" i="1"/>
  <c r="R1089" i="1"/>
  <c r="T1089" i="1" s="1"/>
  <c r="U1089" i="1" s="1"/>
  <c r="S1089" i="1"/>
  <c r="V1089" i="1" s="1"/>
  <c r="W1089" i="1"/>
  <c r="X1089" i="1"/>
  <c r="Q1090" i="1"/>
  <c r="W1090" i="1" s="1"/>
  <c r="R1090" i="1"/>
  <c r="S1090" i="1" s="1"/>
  <c r="X1090" i="1"/>
  <c r="Q1091" i="1"/>
  <c r="R1091" i="1"/>
  <c r="T1091" i="1" s="1"/>
  <c r="U1091" i="1" s="1"/>
  <c r="S1091" i="1"/>
  <c r="V1091" i="1" s="1"/>
  <c r="W1091" i="1"/>
  <c r="X1091" i="1"/>
  <c r="Q1092" i="1"/>
  <c r="W1092" i="1" s="1"/>
  <c r="R1092" i="1"/>
  <c r="S1092" i="1" s="1"/>
  <c r="X1092" i="1"/>
  <c r="Q1093" i="1"/>
  <c r="R1093" i="1"/>
  <c r="T1093" i="1" s="1"/>
  <c r="U1093" i="1" s="1"/>
  <c r="S1093" i="1"/>
  <c r="V1093" i="1" s="1"/>
  <c r="W1093" i="1"/>
  <c r="X1093" i="1"/>
  <c r="Q1094" i="1"/>
  <c r="W1094" i="1" s="1"/>
  <c r="R1094" i="1"/>
  <c r="S1094" i="1" s="1"/>
  <c r="X1094" i="1"/>
  <c r="Q1095" i="1"/>
  <c r="R1095" i="1"/>
  <c r="T1095" i="1" s="1"/>
  <c r="U1095" i="1" s="1"/>
  <c r="S1095" i="1"/>
  <c r="V1095" i="1"/>
  <c r="W1095" i="1"/>
  <c r="X1095" i="1"/>
  <c r="Q1096" i="1"/>
  <c r="W1096" i="1" s="1"/>
  <c r="R1096" i="1"/>
  <c r="S1096" i="1" s="1"/>
  <c r="X1096" i="1"/>
  <c r="Q1097" i="1"/>
  <c r="R1097" i="1"/>
  <c r="T1097" i="1" s="1"/>
  <c r="U1097" i="1" s="1"/>
  <c r="S1097" i="1"/>
  <c r="V1097" i="1" s="1"/>
  <c r="W1097" i="1"/>
  <c r="X1097" i="1"/>
  <c r="Q1098" i="1"/>
  <c r="W1098" i="1" s="1"/>
  <c r="R1098" i="1"/>
  <c r="S1098" i="1" s="1"/>
  <c r="X1098" i="1"/>
  <c r="Q1099" i="1"/>
  <c r="R1099" i="1"/>
  <c r="T1099" i="1" s="1"/>
  <c r="U1099" i="1" s="1"/>
  <c r="S1099" i="1"/>
  <c r="V1099" i="1"/>
  <c r="W1099" i="1"/>
  <c r="X1099" i="1"/>
  <c r="Q1100" i="1"/>
  <c r="W1100" i="1" s="1"/>
  <c r="R1100" i="1"/>
  <c r="S1100" i="1" s="1"/>
  <c r="X1100" i="1"/>
  <c r="Q1101" i="1"/>
  <c r="R1101" i="1"/>
  <c r="T1101" i="1" s="1"/>
  <c r="U1101" i="1" s="1"/>
  <c r="S1101" i="1"/>
  <c r="V1101" i="1"/>
  <c r="W1101" i="1"/>
  <c r="X1101" i="1"/>
  <c r="Q1102" i="1"/>
  <c r="W1102" i="1" s="1"/>
  <c r="R1102" i="1"/>
  <c r="S1102" i="1" s="1"/>
  <c r="X1102" i="1"/>
  <c r="Q1103" i="1"/>
  <c r="R1103" i="1"/>
  <c r="T1103" i="1" s="1"/>
  <c r="U1103" i="1" s="1"/>
  <c r="V1103" i="1" s="1"/>
  <c r="S1103" i="1"/>
  <c r="W1103" i="1"/>
  <c r="X1103" i="1"/>
  <c r="Q1104" i="1"/>
  <c r="W1104" i="1" s="1"/>
  <c r="R1104" i="1"/>
  <c r="S1104" i="1" s="1"/>
  <c r="X1104" i="1"/>
  <c r="Q1105" i="1"/>
  <c r="R1105" i="1"/>
  <c r="T1105" i="1" s="1"/>
  <c r="U1105" i="1" s="1"/>
  <c r="S1105" i="1"/>
  <c r="V1105" i="1" s="1"/>
  <c r="W1105" i="1"/>
  <c r="X1105" i="1"/>
  <c r="Q1106" i="1"/>
  <c r="W1106" i="1" s="1"/>
  <c r="R1106" i="1"/>
  <c r="S1106" i="1" s="1"/>
  <c r="X1106" i="1"/>
  <c r="Q1107" i="1"/>
  <c r="R1107" i="1"/>
  <c r="T1107" i="1" s="1"/>
  <c r="U1107" i="1" s="1"/>
  <c r="W1107" i="1"/>
  <c r="X1107" i="1"/>
  <c r="Q1108" i="1"/>
  <c r="W1108" i="1" s="1"/>
  <c r="R1108" i="1"/>
  <c r="S1108" i="1" s="1"/>
  <c r="X1108" i="1"/>
  <c r="Q1109" i="1"/>
  <c r="R1109" i="1"/>
  <c r="T1109" i="1" s="1"/>
  <c r="U1109" i="1" s="1"/>
  <c r="W1109" i="1"/>
  <c r="X1109" i="1"/>
  <c r="Q1110" i="1"/>
  <c r="W1110" i="1" s="1"/>
  <c r="R1110" i="1"/>
  <c r="S1110" i="1" s="1"/>
  <c r="X1110" i="1"/>
  <c r="Q1111" i="1"/>
  <c r="R1111" i="1"/>
  <c r="T1111" i="1" s="1"/>
  <c r="U1111" i="1" s="1"/>
  <c r="W1111" i="1"/>
  <c r="X1111" i="1"/>
  <c r="Q1112" i="1"/>
  <c r="W1112" i="1" s="1"/>
  <c r="R1112" i="1"/>
  <c r="S1112" i="1" s="1"/>
  <c r="X1112" i="1"/>
  <c r="Q1113" i="1"/>
  <c r="R1113" i="1"/>
  <c r="T1113" i="1" s="1"/>
  <c r="U1113" i="1" s="1"/>
  <c r="S1113" i="1"/>
  <c r="V1113" i="1" s="1"/>
  <c r="W1113" i="1"/>
  <c r="X1113" i="1"/>
  <c r="Q1114" i="1"/>
  <c r="W1114" i="1" s="1"/>
  <c r="R1114" i="1"/>
  <c r="S1114" i="1" s="1"/>
  <c r="X1114" i="1"/>
  <c r="Q1115" i="1"/>
  <c r="R1115" i="1"/>
  <c r="T1115" i="1" s="1"/>
  <c r="U1115" i="1" s="1"/>
  <c r="W1115" i="1"/>
  <c r="X1115" i="1"/>
  <c r="Q1116" i="1"/>
  <c r="W1116" i="1" s="1"/>
  <c r="R1116" i="1"/>
  <c r="S1116" i="1" s="1"/>
  <c r="X1116" i="1"/>
  <c r="Q1117" i="1"/>
  <c r="R1117" i="1"/>
  <c r="T1117" i="1" s="1"/>
  <c r="U1117" i="1" s="1"/>
  <c r="W1117" i="1"/>
  <c r="X1117" i="1"/>
  <c r="Q1118" i="1"/>
  <c r="W1118" i="1" s="1"/>
  <c r="R1118" i="1"/>
  <c r="S1118" i="1" s="1"/>
  <c r="X1118" i="1"/>
  <c r="Q1119" i="1"/>
  <c r="R1119" i="1"/>
  <c r="T1119" i="1" s="1"/>
  <c r="U1119" i="1" s="1"/>
  <c r="W1119" i="1"/>
  <c r="X1119" i="1"/>
  <c r="Q1120" i="1"/>
  <c r="W1120" i="1" s="1"/>
  <c r="R1120" i="1"/>
  <c r="S1120" i="1" s="1"/>
  <c r="X1120" i="1"/>
  <c r="Q1121" i="1"/>
  <c r="R1121" i="1"/>
  <c r="T1121" i="1" s="1"/>
  <c r="U1121" i="1"/>
  <c r="W1121" i="1"/>
  <c r="X1121" i="1"/>
  <c r="Q1122" i="1"/>
  <c r="W1122" i="1" s="1"/>
  <c r="R1122" i="1"/>
  <c r="S1122" i="1" s="1"/>
  <c r="X1122" i="1"/>
  <c r="Q1123" i="1"/>
  <c r="R1123" i="1"/>
  <c r="T1123" i="1" s="1"/>
  <c r="U1123" i="1"/>
  <c r="W1123" i="1"/>
  <c r="X1123" i="1"/>
  <c r="Q1124" i="1"/>
  <c r="W1124" i="1" s="1"/>
  <c r="R1124" i="1"/>
  <c r="S1124" i="1" s="1"/>
  <c r="X1124" i="1"/>
  <c r="Q1125" i="1"/>
  <c r="R1125" i="1"/>
  <c r="T1125" i="1" s="1"/>
  <c r="S1125" i="1"/>
  <c r="V1125" i="1" s="1"/>
  <c r="U1125" i="1"/>
  <c r="W1125" i="1"/>
  <c r="X1125" i="1"/>
  <c r="Q1126" i="1"/>
  <c r="W1126" i="1" s="1"/>
  <c r="R1126" i="1"/>
  <c r="S1126" i="1" s="1"/>
  <c r="X1126" i="1"/>
  <c r="Q1127" i="1"/>
  <c r="R1127" i="1"/>
  <c r="T1127" i="1" s="1"/>
  <c r="U1127" i="1"/>
  <c r="W1127" i="1"/>
  <c r="X1127" i="1"/>
  <c r="Q1128" i="1"/>
  <c r="W1128" i="1" s="1"/>
  <c r="R1128" i="1"/>
  <c r="S1128" i="1" s="1"/>
  <c r="X1128" i="1"/>
  <c r="Q1129" i="1"/>
  <c r="R1129" i="1"/>
  <c r="T1129" i="1" s="1"/>
  <c r="U1129" i="1"/>
  <c r="W1129" i="1"/>
  <c r="X1129" i="1"/>
  <c r="Q1130" i="1"/>
  <c r="W1130" i="1" s="1"/>
  <c r="R1130" i="1"/>
  <c r="S1130" i="1" s="1"/>
  <c r="X1130" i="1"/>
  <c r="Q1131" i="1"/>
  <c r="R1131" i="1"/>
  <c r="T1131" i="1" s="1"/>
  <c r="U1131" i="1" s="1"/>
  <c r="W1131" i="1"/>
  <c r="X1131" i="1"/>
  <c r="Q1132" i="1"/>
  <c r="W1132" i="1" s="1"/>
  <c r="R1132" i="1"/>
  <c r="S1132" i="1" s="1"/>
  <c r="X1132" i="1"/>
  <c r="Q1133" i="1"/>
  <c r="R1133" i="1"/>
  <c r="T1133" i="1" s="1"/>
  <c r="U1133" i="1" s="1"/>
  <c r="W1133" i="1"/>
  <c r="X1133" i="1"/>
  <c r="Q1134" i="1"/>
  <c r="W1134" i="1" s="1"/>
  <c r="R1134" i="1"/>
  <c r="S1134" i="1" s="1"/>
  <c r="X1134" i="1"/>
  <c r="Q1135" i="1"/>
  <c r="R1135" i="1"/>
  <c r="T1135" i="1" s="1"/>
  <c r="U1135" i="1" s="1"/>
  <c r="W1135" i="1"/>
  <c r="X1135" i="1"/>
  <c r="Q1136" i="1"/>
  <c r="W1136" i="1" s="1"/>
  <c r="R1136" i="1"/>
  <c r="S1136" i="1" s="1"/>
  <c r="X1136" i="1"/>
  <c r="Q1137" i="1"/>
  <c r="R1137" i="1"/>
  <c r="T1137" i="1" s="1"/>
  <c r="U1137" i="1"/>
  <c r="W1137" i="1"/>
  <c r="X1137" i="1"/>
  <c r="Q1138" i="1"/>
  <c r="W1138" i="1" s="1"/>
  <c r="R1138" i="1"/>
  <c r="S1138" i="1" s="1"/>
  <c r="X1138" i="1"/>
  <c r="Q1139" i="1"/>
  <c r="R1139" i="1"/>
  <c r="T1139" i="1" s="1"/>
  <c r="U1139" i="1"/>
  <c r="W1139" i="1"/>
  <c r="X1139" i="1"/>
  <c r="Q1140" i="1"/>
  <c r="W1140" i="1" s="1"/>
  <c r="R1140" i="1"/>
  <c r="S1140" i="1" s="1"/>
  <c r="X1140" i="1"/>
  <c r="Q1141" i="1"/>
  <c r="R1141" i="1"/>
  <c r="T1141" i="1" s="1"/>
  <c r="S1141" i="1"/>
  <c r="V1141" i="1" s="1"/>
  <c r="U1141" i="1"/>
  <c r="W1141" i="1"/>
  <c r="X1141" i="1"/>
  <c r="Q1142" i="1"/>
  <c r="W1142" i="1" s="1"/>
  <c r="R1142" i="1"/>
  <c r="S1142" i="1" s="1"/>
  <c r="X1142" i="1"/>
  <c r="Q1143" i="1"/>
  <c r="R1143" i="1"/>
  <c r="T1143" i="1" s="1"/>
  <c r="U1143" i="1"/>
  <c r="W1143" i="1"/>
  <c r="X1143" i="1"/>
  <c r="Q1144" i="1"/>
  <c r="W1144" i="1" s="1"/>
  <c r="R1144" i="1"/>
  <c r="S1144" i="1" s="1"/>
  <c r="X1144" i="1"/>
  <c r="Q1145" i="1"/>
  <c r="R1145" i="1"/>
  <c r="T1145" i="1" s="1"/>
  <c r="U1145" i="1"/>
  <c r="W1145" i="1"/>
  <c r="X1145" i="1"/>
  <c r="Q1146" i="1"/>
  <c r="W1146" i="1" s="1"/>
  <c r="R1146" i="1"/>
  <c r="S1146" i="1" s="1"/>
  <c r="X1146" i="1"/>
  <c r="Q1147" i="1"/>
  <c r="R1147" i="1"/>
  <c r="T1147" i="1" s="1"/>
  <c r="U1147" i="1" s="1"/>
  <c r="W1147" i="1"/>
  <c r="X1147" i="1"/>
  <c r="Q1148" i="1"/>
  <c r="W1148" i="1" s="1"/>
  <c r="R1148" i="1"/>
  <c r="S1148" i="1" s="1"/>
  <c r="X1148" i="1"/>
  <c r="Q1149" i="1"/>
  <c r="R1149" i="1"/>
  <c r="T1149" i="1" s="1"/>
  <c r="U1149" i="1" s="1"/>
  <c r="W1149" i="1"/>
  <c r="X1149" i="1"/>
  <c r="Q1150" i="1"/>
  <c r="W1150" i="1" s="1"/>
  <c r="R1150" i="1"/>
  <c r="S1150" i="1" s="1"/>
  <c r="X1150" i="1"/>
  <c r="Q1151" i="1"/>
  <c r="R1151" i="1"/>
  <c r="T1151" i="1" s="1"/>
  <c r="U1151" i="1" s="1"/>
  <c r="W1151" i="1"/>
  <c r="X1151" i="1"/>
  <c r="Q1152" i="1"/>
  <c r="W1152" i="1" s="1"/>
  <c r="R1152" i="1"/>
  <c r="S1152" i="1" s="1"/>
  <c r="X1152" i="1"/>
  <c r="Q1153" i="1"/>
  <c r="R1153" i="1"/>
  <c r="T1153" i="1" s="1"/>
  <c r="U1153" i="1"/>
  <c r="W1153" i="1"/>
  <c r="X1153" i="1"/>
  <c r="Q1154" i="1"/>
  <c r="W1154" i="1" s="1"/>
  <c r="R1154" i="1"/>
  <c r="S1154" i="1" s="1"/>
  <c r="X1154" i="1"/>
  <c r="Q1155" i="1"/>
  <c r="R1155" i="1"/>
  <c r="T1155" i="1" s="1"/>
  <c r="U1155" i="1"/>
  <c r="W1155" i="1"/>
  <c r="X1155" i="1"/>
  <c r="Q1156" i="1"/>
  <c r="W1156" i="1" s="1"/>
  <c r="R1156" i="1"/>
  <c r="S1156" i="1" s="1"/>
  <c r="X1156" i="1"/>
  <c r="Q1157" i="1"/>
  <c r="R1157" i="1"/>
  <c r="T1157" i="1" s="1"/>
  <c r="S1157" i="1"/>
  <c r="V1157" i="1" s="1"/>
  <c r="U1157" i="1"/>
  <c r="W1157" i="1"/>
  <c r="X1157" i="1"/>
  <c r="Q1158" i="1"/>
  <c r="W1158" i="1" s="1"/>
  <c r="R1158" i="1"/>
  <c r="S1158" i="1" s="1"/>
  <c r="X1158" i="1"/>
  <c r="Q1159" i="1"/>
  <c r="R1159" i="1"/>
  <c r="T1159" i="1" s="1"/>
  <c r="U1159" i="1" s="1"/>
  <c r="W1159" i="1"/>
  <c r="X1159" i="1"/>
  <c r="Q1160" i="1"/>
  <c r="W1160" i="1" s="1"/>
  <c r="R1160" i="1"/>
  <c r="S1160" i="1" s="1"/>
  <c r="X1160" i="1"/>
  <c r="Q1161" i="1"/>
  <c r="R1161" i="1"/>
  <c r="T1161" i="1" s="1"/>
  <c r="U1161" i="1"/>
  <c r="W1161" i="1"/>
  <c r="X1161" i="1"/>
  <c r="Q1162" i="1"/>
  <c r="W1162" i="1" s="1"/>
  <c r="R1162" i="1"/>
  <c r="S1162" i="1" s="1"/>
  <c r="X1162" i="1"/>
  <c r="Q1163" i="1"/>
  <c r="R1163" i="1"/>
  <c r="T1163" i="1" s="1"/>
  <c r="U1163" i="1" s="1"/>
  <c r="W1163" i="1"/>
  <c r="X1163" i="1"/>
  <c r="Q1164" i="1"/>
  <c r="W1164" i="1" s="1"/>
  <c r="R1164" i="1"/>
  <c r="S1164" i="1" s="1"/>
  <c r="X1164" i="1"/>
  <c r="Q1165" i="1"/>
  <c r="R1165" i="1"/>
  <c r="T1165" i="1" s="1"/>
  <c r="U1165" i="1" s="1"/>
  <c r="W1165" i="1"/>
  <c r="X1165" i="1"/>
  <c r="Q1166" i="1"/>
  <c r="W1166" i="1" s="1"/>
  <c r="R1166" i="1"/>
  <c r="S1166" i="1" s="1"/>
  <c r="X1166" i="1"/>
  <c r="Q1167" i="1"/>
  <c r="R1167" i="1"/>
  <c r="T1167" i="1" s="1"/>
  <c r="U1167" i="1" s="1"/>
  <c r="W1167" i="1"/>
  <c r="X1167" i="1"/>
  <c r="Q1168" i="1"/>
  <c r="W1168" i="1" s="1"/>
  <c r="R1168" i="1"/>
  <c r="S1168" i="1" s="1"/>
  <c r="X1168" i="1"/>
  <c r="Q1169" i="1"/>
  <c r="R1169" i="1"/>
  <c r="T1169" i="1" s="1"/>
  <c r="U1169" i="1"/>
  <c r="W1169" i="1"/>
  <c r="X1169" i="1"/>
  <c r="Q1170" i="1"/>
  <c r="W1170" i="1" s="1"/>
  <c r="R1170" i="1"/>
  <c r="S1170" i="1" s="1"/>
  <c r="X1170" i="1"/>
  <c r="Q1171" i="1"/>
  <c r="R1171" i="1"/>
  <c r="T1171" i="1" s="1"/>
  <c r="U1171" i="1"/>
  <c r="W1171" i="1"/>
  <c r="X1171" i="1"/>
  <c r="Q1172" i="1"/>
  <c r="W1172" i="1" s="1"/>
  <c r="R1172" i="1"/>
  <c r="S1172" i="1" s="1"/>
  <c r="X1172" i="1"/>
  <c r="Q1173" i="1"/>
  <c r="R1173" i="1"/>
  <c r="T1173" i="1" s="1"/>
  <c r="S1173" i="1"/>
  <c r="V1173" i="1" s="1"/>
  <c r="U1173" i="1"/>
  <c r="W1173" i="1"/>
  <c r="X1173" i="1"/>
  <c r="Q1174" i="1"/>
  <c r="W1174" i="1" s="1"/>
  <c r="R1174" i="1"/>
  <c r="S1174" i="1" s="1"/>
  <c r="X1174" i="1"/>
  <c r="Q1175" i="1"/>
  <c r="R1175" i="1"/>
  <c r="T1175" i="1" s="1"/>
  <c r="U1175" i="1" s="1"/>
  <c r="W1175" i="1"/>
  <c r="X1175" i="1"/>
  <c r="Q1176" i="1"/>
  <c r="W1176" i="1" s="1"/>
  <c r="R1176" i="1"/>
  <c r="S1176" i="1" s="1"/>
  <c r="X1176" i="1"/>
  <c r="Q1177" i="1"/>
  <c r="R1177" i="1"/>
  <c r="T1177" i="1" s="1"/>
  <c r="U1177" i="1"/>
  <c r="W1177" i="1"/>
  <c r="X1177" i="1"/>
  <c r="Q1178" i="1"/>
  <c r="W1178" i="1" s="1"/>
  <c r="R1178" i="1"/>
  <c r="S1178" i="1" s="1"/>
  <c r="X1178" i="1"/>
  <c r="Q1179" i="1"/>
  <c r="R1179" i="1"/>
  <c r="T1179" i="1" s="1"/>
  <c r="U1179" i="1" s="1"/>
  <c r="W1179" i="1"/>
  <c r="X1179" i="1"/>
  <c r="Q1180" i="1"/>
  <c r="W1180" i="1" s="1"/>
  <c r="R1180" i="1"/>
  <c r="S1180" i="1" s="1"/>
  <c r="X1180" i="1"/>
  <c r="Q1181" i="1"/>
  <c r="R1181" i="1"/>
  <c r="T1181" i="1" s="1"/>
  <c r="U1181" i="1" s="1"/>
  <c r="W1181" i="1"/>
  <c r="X1181" i="1"/>
  <c r="Q1182" i="1"/>
  <c r="W1182" i="1" s="1"/>
  <c r="R1182" i="1"/>
  <c r="S1182" i="1" s="1"/>
  <c r="X1182" i="1"/>
  <c r="Q1183" i="1"/>
  <c r="R1183" i="1"/>
  <c r="T1183" i="1" s="1"/>
  <c r="U1183" i="1" s="1"/>
  <c r="W1183" i="1"/>
  <c r="X1183" i="1"/>
  <c r="Q1184" i="1"/>
  <c r="W1184" i="1" s="1"/>
  <c r="R1184" i="1"/>
  <c r="S1184" i="1" s="1"/>
  <c r="X1184" i="1"/>
  <c r="Q1185" i="1"/>
  <c r="R1185" i="1"/>
  <c r="T1185" i="1" s="1"/>
  <c r="U1185" i="1"/>
  <c r="W1185" i="1"/>
  <c r="X1185" i="1"/>
  <c r="Q1186" i="1"/>
  <c r="W1186" i="1" s="1"/>
  <c r="R1186" i="1"/>
  <c r="S1186" i="1" s="1"/>
  <c r="X1186" i="1"/>
  <c r="Q1187" i="1"/>
  <c r="R1187" i="1"/>
  <c r="T1187" i="1" s="1"/>
  <c r="U1187" i="1"/>
  <c r="W1187" i="1"/>
  <c r="X1187" i="1"/>
  <c r="Q1188" i="1"/>
  <c r="W1188" i="1" s="1"/>
  <c r="R1188" i="1"/>
  <c r="S1188" i="1" s="1"/>
  <c r="X1188" i="1"/>
  <c r="Q1189" i="1"/>
  <c r="R1189" i="1"/>
  <c r="T1189" i="1" s="1"/>
  <c r="S1189" i="1"/>
  <c r="V1189" i="1" s="1"/>
  <c r="U1189" i="1"/>
  <c r="W1189" i="1"/>
  <c r="X1189" i="1"/>
  <c r="Q1190" i="1"/>
  <c r="W1190" i="1" s="1"/>
  <c r="R1190" i="1"/>
  <c r="S1190" i="1" s="1"/>
  <c r="X1190" i="1"/>
  <c r="Q1191" i="1"/>
  <c r="R1191" i="1"/>
  <c r="T1191" i="1" s="1"/>
  <c r="U1191" i="1" s="1"/>
  <c r="W1191" i="1"/>
  <c r="X1191" i="1"/>
  <c r="Q1192" i="1"/>
  <c r="W1192" i="1" s="1"/>
  <c r="R1192" i="1"/>
  <c r="S1192" i="1" s="1"/>
  <c r="X1192" i="1"/>
  <c r="Q1193" i="1"/>
  <c r="R1193" i="1"/>
  <c r="T1193" i="1" s="1"/>
  <c r="U1193" i="1"/>
  <c r="W1193" i="1"/>
  <c r="X1193" i="1"/>
  <c r="Q1194" i="1"/>
  <c r="W1194" i="1" s="1"/>
  <c r="R1194" i="1"/>
  <c r="S1194" i="1" s="1"/>
  <c r="X1194" i="1"/>
  <c r="Q1195" i="1"/>
  <c r="W1195" i="1" s="1"/>
  <c r="R1195" i="1"/>
  <c r="T1195" i="1" s="1"/>
  <c r="U1195" i="1" s="1"/>
  <c r="X1195" i="1"/>
  <c r="S2" i="10"/>
  <c r="Q6" i="10"/>
  <c r="S6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H5" i="10"/>
  <c r="D5" i="10"/>
  <c r="P5" i="10"/>
  <c r="L5" i="10"/>
  <c r="R933" i="1"/>
  <c r="S933" i="1" s="1"/>
  <c r="W933" i="1"/>
  <c r="X933" i="1"/>
  <c r="R934" i="1"/>
  <c r="W934" i="1"/>
  <c r="X934" i="1"/>
  <c r="R935" i="1"/>
  <c r="S935" i="1"/>
  <c r="V935" i="1" s="1"/>
  <c r="T935" i="1"/>
  <c r="U935" i="1"/>
  <c r="W935" i="1"/>
  <c r="X935" i="1"/>
  <c r="R936" i="1"/>
  <c r="S936" i="1" s="1"/>
  <c r="T936" i="1"/>
  <c r="U936" i="1" s="1"/>
  <c r="W936" i="1"/>
  <c r="X936" i="1"/>
  <c r="R937" i="1"/>
  <c r="T937" i="1" s="1"/>
  <c r="S937" i="1"/>
  <c r="V937" i="1" s="1"/>
  <c r="U937" i="1"/>
  <c r="W937" i="1"/>
  <c r="X937" i="1"/>
  <c r="R938" i="1"/>
  <c r="W938" i="1"/>
  <c r="X938" i="1"/>
  <c r="R939" i="1"/>
  <c r="S939" i="1"/>
  <c r="V939" i="1" s="1"/>
  <c r="T939" i="1"/>
  <c r="U939" i="1"/>
  <c r="W939" i="1"/>
  <c r="X939" i="1"/>
  <c r="R940" i="1"/>
  <c r="S940" i="1" s="1"/>
  <c r="V940" i="1" s="1"/>
  <c r="T940" i="1"/>
  <c r="U940" i="1" s="1"/>
  <c r="W940" i="1"/>
  <c r="X940" i="1"/>
  <c r="R941" i="1"/>
  <c r="T941" i="1" s="1"/>
  <c r="S941" i="1"/>
  <c r="U941" i="1"/>
  <c r="W941" i="1"/>
  <c r="X941" i="1"/>
  <c r="R942" i="1"/>
  <c r="W942" i="1"/>
  <c r="X942" i="1"/>
  <c r="R943" i="1"/>
  <c r="S943" i="1"/>
  <c r="V943" i="1" s="1"/>
  <c r="T943" i="1"/>
  <c r="U943" i="1"/>
  <c r="W943" i="1"/>
  <c r="X943" i="1"/>
  <c r="R944" i="1"/>
  <c r="S944" i="1" s="1"/>
  <c r="T944" i="1"/>
  <c r="U944" i="1" s="1"/>
  <c r="W944" i="1"/>
  <c r="X944" i="1"/>
  <c r="R945" i="1"/>
  <c r="T945" i="1" s="1"/>
  <c r="U945" i="1" s="1"/>
  <c r="S945" i="1"/>
  <c r="W945" i="1"/>
  <c r="X945" i="1"/>
  <c r="R946" i="1"/>
  <c r="W946" i="1"/>
  <c r="X946" i="1"/>
  <c r="R947" i="1"/>
  <c r="S947" i="1"/>
  <c r="V947" i="1" s="1"/>
  <c r="T947" i="1"/>
  <c r="U947" i="1"/>
  <c r="W947" i="1"/>
  <c r="X947" i="1"/>
  <c r="R948" i="1"/>
  <c r="S948" i="1" s="1"/>
  <c r="V948" i="1" s="1"/>
  <c r="T948" i="1"/>
  <c r="U948" i="1" s="1"/>
  <c r="W948" i="1"/>
  <c r="X948" i="1"/>
  <c r="R949" i="1"/>
  <c r="T949" i="1" s="1"/>
  <c r="U949" i="1" s="1"/>
  <c r="S949" i="1"/>
  <c r="W949" i="1"/>
  <c r="X949" i="1"/>
  <c r="R950" i="1"/>
  <c r="W950" i="1"/>
  <c r="X950" i="1"/>
  <c r="R951" i="1"/>
  <c r="S951" i="1"/>
  <c r="V951" i="1" s="1"/>
  <c r="T951" i="1"/>
  <c r="U951" i="1"/>
  <c r="W951" i="1"/>
  <c r="X951" i="1"/>
  <c r="R952" i="1"/>
  <c r="S952" i="1" s="1"/>
  <c r="T952" i="1"/>
  <c r="U952" i="1" s="1"/>
  <c r="W952" i="1"/>
  <c r="X952" i="1"/>
  <c r="R953" i="1"/>
  <c r="T953" i="1" s="1"/>
  <c r="S953" i="1"/>
  <c r="V953" i="1" s="1"/>
  <c r="U953" i="1"/>
  <c r="W953" i="1"/>
  <c r="X953" i="1"/>
  <c r="R954" i="1"/>
  <c r="W954" i="1"/>
  <c r="X954" i="1"/>
  <c r="R955" i="1"/>
  <c r="S955" i="1"/>
  <c r="V955" i="1" s="1"/>
  <c r="T955" i="1"/>
  <c r="U955" i="1"/>
  <c r="W955" i="1"/>
  <c r="X955" i="1"/>
  <c r="R956" i="1"/>
  <c r="S956" i="1" s="1"/>
  <c r="V956" i="1" s="1"/>
  <c r="T956" i="1"/>
  <c r="U956" i="1" s="1"/>
  <c r="W956" i="1"/>
  <c r="X956" i="1"/>
  <c r="R957" i="1"/>
  <c r="T957" i="1" s="1"/>
  <c r="S957" i="1"/>
  <c r="U957" i="1"/>
  <c r="W957" i="1"/>
  <c r="X957" i="1"/>
  <c r="R958" i="1"/>
  <c r="W958" i="1"/>
  <c r="X958" i="1"/>
  <c r="R959" i="1"/>
  <c r="S959" i="1"/>
  <c r="V959" i="1" s="1"/>
  <c r="T959" i="1"/>
  <c r="U959" i="1"/>
  <c r="W959" i="1"/>
  <c r="X959" i="1"/>
  <c r="R960" i="1"/>
  <c r="S960" i="1" s="1"/>
  <c r="T960" i="1"/>
  <c r="U960" i="1" s="1"/>
  <c r="W960" i="1"/>
  <c r="X960" i="1"/>
  <c r="R961" i="1"/>
  <c r="T961" i="1" s="1"/>
  <c r="U961" i="1" s="1"/>
  <c r="S961" i="1"/>
  <c r="W961" i="1"/>
  <c r="X961" i="1"/>
  <c r="R962" i="1"/>
  <c r="W962" i="1"/>
  <c r="X962" i="1"/>
  <c r="R963" i="1"/>
  <c r="S963" i="1"/>
  <c r="V963" i="1" s="1"/>
  <c r="T963" i="1"/>
  <c r="U963" i="1"/>
  <c r="W963" i="1"/>
  <c r="X963" i="1"/>
  <c r="R964" i="1"/>
  <c r="S964" i="1" s="1"/>
  <c r="V964" i="1" s="1"/>
  <c r="T964" i="1"/>
  <c r="U964" i="1" s="1"/>
  <c r="W964" i="1"/>
  <c r="X964" i="1"/>
  <c r="R965" i="1"/>
  <c r="T965" i="1" s="1"/>
  <c r="U965" i="1" s="1"/>
  <c r="S965" i="1"/>
  <c r="W965" i="1"/>
  <c r="X965" i="1"/>
  <c r="R966" i="1"/>
  <c r="W966" i="1"/>
  <c r="X966" i="1"/>
  <c r="R967" i="1"/>
  <c r="S967" i="1"/>
  <c r="V967" i="1" s="1"/>
  <c r="T967" i="1"/>
  <c r="U967" i="1"/>
  <c r="W967" i="1"/>
  <c r="X967" i="1"/>
  <c r="R968" i="1"/>
  <c r="S968" i="1" s="1"/>
  <c r="T968" i="1"/>
  <c r="U968" i="1" s="1"/>
  <c r="W968" i="1"/>
  <c r="X968" i="1"/>
  <c r="R969" i="1"/>
  <c r="T969" i="1" s="1"/>
  <c r="S969" i="1"/>
  <c r="V969" i="1" s="1"/>
  <c r="U969" i="1"/>
  <c r="W969" i="1"/>
  <c r="X969" i="1"/>
  <c r="R970" i="1"/>
  <c r="W970" i="1"/>
  <c r="X970" i="1"/>
  <c r="R971" i="1"/>
  <c r="S971" i="1"/>
  <c r="V971" i="1" s="1"/>
  <c r="T971" i="1"/>
  <c r="U971" i="1"/>
  <c r="W971" i="1"/>
  <c r="X971" i="1"/>
  <c r="R972" i="1"/>
  <c r="S972" i="1" s="1"/>
  <c r="V972" i="1" s="1"/>
  <c r="T972" i="1"/>
  <c r="U972" i="1" s="1"/>
  <c r="W972" i="1"/>
  <c r="X972" i="1"/>
  <c r="R973" i="1"/>
  <c r="T973" i="1" s="1"/>
  <c r="S973" i="1"/>
  <c r="U973" i="1"/>
  <c r="W973" i="1"/>
  <c r="X973" i="1"/>
  <c r="R974" i="1"/>
  <c r="W974" i="1"/>
  <c r="X974" i="1"/>
  <c r="R975" i="1"/>
  <c r="S975" i="1"/>
  <c r="V975" i="1" s="1"/>
  <c r="T975" i="1"/>
  <c r="U975" i="1"/>
  <c r="W975" i="1"/>
  <c r="X975" i="1"/>
  <c r="R976" i="1"/>
  <c r="S976" i="1" s="1"/>
  <c r="T976" i="1"/>
  <c r="U976" i="1" s="1"/>
  <c r="W976" i="1"/>
  <c r="X976" i="1"/>
  <c r="R977" i="1"/>
  <c r="T977" i="1" s="1"/>
  <c r="U977" i="1" s="1"/>
  <c r="S977" i="1"/>
  <c r="W977" i="1"/>
  <c r="X977" i="1"/>
  <c r="R978" i="1"/>
  <c r="W978" i="1"/>
  <c r="X978" i="1"/>
  <c r="R979" i="1"/>
  <c r="S979" i="1"/>
  <c r="V979" i="1" s="1"/>
  <c r="T979" i="1"/>
  <c r="U979" i="1"/>
  <c r="W979" i="1"/>
  <c r="X979" i="1"/>
  <c r="R980" i="1"/>
  <c r="S980" i="1" s="1"/>
  <c r="V980" i="1" s="1"/>
  <c r="T980" i="1"/>
  <c r="U980" i="1" s="1"/>
  <c r="W980" i="1"/>
  <c r="X980" i="1"/>
  <c r="R981" i="1"/>
  <c r="T981" i="1" s="1"/>
  <c r="U981" i="1" s="1"/>
  <c r="S981" i="1"/>
  <c r="W981" i="1"/>
  <c r="X981" i="1"/>
  <c r="R982" i="1"/>
  <c r="W982" i="1"/>
  <c r="X982" i="1"/>
  <c r="R983" i="1"/>
  <c r="S983" i="1"/>
  <c r="V983" i="1" s="1"/>
  <c r="T983" i="1"/>
  <c r="U983" i="1"/>
  <c r="W983" i="1"/>
  <c r="X983" i="1"/>
  <c r="R984" i="1"/>
  <c r="S984" i="1" s="1"/>
  <c r="T984" i="1"/>
  <c r="U984" i="1" s="1"/>
  <c r="W984" i="1"/>
  <c r="X984" i="1"/>
  <c r="R985" i="1"/>
  <c r="T985" i="1" s="1"/>
  <c r="S985" i="1"/>
  <c r="V985" i="1" s="1"/>
  <c r="U985" i="1"/>
  <c r="W985" i="1"/>
  <c r="X985" i="1"/>
  <c r="R986" i="1"/>
  <c r="W986" i="1"/>
  <c r="X986" i="1"/>
  <c r="R987" i="1"/>
  <c r="S987" i="1"/>
  <c r="V987" i="1" s="1"/>
  <c r="T987" i="1"/>
  <c r="U987" i="1"/>
  <c r="W987" i="1"/>
  <c r="X987" i="1"/>
  <c r="R988" i="1"/>
  <c r="S988" i="1" s="1"/>
  <c r="V988" i="1" s="1"/>
  <c r="T988" i="1"/>
  <c r="U988" i="1" s="1"/>
  <c r="W988" i="1"/>
  <c r="X988" i="1"/>
  <c r="R989" i="1"/>
  <c r="T989" i="1" s="1"/>
  <c r="S989" i="1"/>
  <c r="U989" i="1"/>
  <c r="W989" i="1"/>
  <c r="X989" i="1"/>
  <c r="R990" i="1"/>
  <c r="W990" i="1"/>
  <c r="X990" i="1"/>
  <c r="R991" i="1"/>
  <c r="S991" i="1"/>
  <c r="V991" i="1" s="1"/>
  <c r="T991" i="1"/>
  <c r="U991" i="1"/>
  <c r="W991" i="1"/>
  <c r="X991" i="1"/>
  <c r="R992" i="1"/>
  <c r="S992" i="1" s="1"/>
  <c r="T992" i="1"/>
  <c r="U992" i="1" s="1"/>
  <c r="W992" i="1"/>
  <c r="X992" i="1"/>
  <c r="R993" i="1"/>
  <c r="T993" i="1" s="1"/>
  <c r="U993" i="1" s="1"/>
  <c r="S993" i="1"/>
  <c r="W993" i="1"/>
  <c r="X993" i="1"/>
  <c r="R994" i="1"/>
  <c r="W994" i="1"/>
  <c r="X994" i="1"/>
  <c r="R995" i="1"/>
  <c r="S995" i="1"/>
  <c r="V995" i="1" s="1"/>
  <c r="T995" i="1"/>
  <c r="U995" i="1"/>
  <c r="W995" i="1"/>
  <c r="X995" i="1"/>
  <c r="R996" i="1"/>
  <c r="S996" i="1" s="1"/>
  <c r="V996" i="1" s="1"/>
  <c r="T996" i="1"/>
  <c r="U996" i="1" s="1"/>
  <c r="W996" i="1"/>
  <c r="X996" i="1"/>
  <c r="R997" i="1"/>
  <c r="T997" i="1" s="1"/>
  <c r="U997" i="1" s="1"/>
  <c r="S997" i="1"/>
  <c r="W997" i="1"/>
  <c r="X997" i="1"/>
  <c r="R998" i="1"/>
  <c r="W998" i="1"/>
  <c r="X998" i="1"/>
  <c r="R999" i="1"/>
  <c r="S999" i="1"/>
  <c r="V999" i="1" s="1"/>
  <c r="T999" i="1"/>
  <c r="U999" i="1"/>
  <c r="W999" i="1"/>
  <c r="X999" i="1"/>
  <c r="R1000" i="1"/>
  <c r="S1000" i="1" s="1"/>
  <c r="T1000" i="1"/>
  <c r="U1000" i="1" s="1"/>
  <c r="W1000" i="1"/>
  <c r="X1000" i="1"/>
  <c r="R1001" i="1"/>
  <c r="T1001" i="1" s="1"/>
  <c r="S1001" i="1"/>
  <c r="V1001" i="1" s="1"/>
  <c r="U1001" i="1"/>
  <c r="W1001" i="1"/>
  <c r="X1001" i="1"/>
  <c r="R1002" i="1"/>
  <c r="W1002" i="1"/>
  <c r="X1002" i="1"/>
  <c r="R1003" i="1"/>
  <c r="S1003" i="1"/>
  <c r="V1003" i="1" s="1"/>
  <c r="T1003" i="1"/>
  <c r="U1003" i="1"/>
  <c r="W1003" i="1"/>
  <c r="X1003" i="1"/>
  <c r="R1004" i="1"/>
  <c r="S1004" i="1" s="1"/>
  <c r="V1004" i="1" s="1"/>
  <c r="T1004" i="1"/>
  <c r="U1004" i="1" s="1"/>
  <c r="W1004" i="1"/>
  <c r="X1004" i="1"/>
  <c r="R1005" i="1"/>
  <c r="T1005" i="1" s="1"/>
  <c r="S1005" i="1"/>
  <c r="U1005" i="1"/>
  <c r="W1005" i="1"/>
  <c r="X1005" i="1"/>
  <c r="R1006" i="1"/>
  <c r="W1006" i="1"/>
  <c r="X1006" i="1"/>
  <c r="R1007" i="1"/>
  <c r="S1007" i="1"/>
  <c r="V1007" i="1" s="1"/>
  <c r="T1007" i="1"/>
  <c r="U1007" i="1"/>
  <c r="W1007" i="1"/>
  <c r="X1007" i="1"/>
  <c r="R1008" i="1"/>
  <c r="S1008" i="1" s="1"/>
  <c r="T1008" i="1"/>
  <c r="U1008" i="1" s="1"/>
  <c r="W1008" i="1"/>
  <c r="X1008" i="1"/>
  <c r="R1009" i="1"/>
  <c r="T1009" i="1" s="1"/>
  <c r="U1009" i="1" s="1"/>
  <c r="S1009" i="1"/>
  <c r="W1009" i="1"/>
  <c r="X1009" i="1"/>
  <c r="R1010" i="1"/>
  <c r="S1010" i="1" s="1"/>
  <c r="W1010" i="1"/>
  <c r="X1010" i="1"/>
  <c r="R1011" i="1"/>
  <c r="S1011" i="1"/>
  <c r="V1011" i="1" s="1"/>
  <c r="T1011" i="1"/>
  <c r="U1011" i="1"/>
  <c r="W1011" i="1"/>
  <c r="X1011" i="1"/>
  <c r="R1012" i="1"/>
  <c r="S1012" i="1" s="1"/>
  <c r="V1012" i="1" s="1"/>
  <c r="T1012" i="1"/>
  <c r="U1012" i="1" s="1"/>
  <c r="W1012" i="1"/>
  <c r="X1012" i="1"/>
  <c r="R1013" i="1"/>
  <c r="T1013" i="1" s="1"/>
  <c r="S1013" i="1"/>
  <c r="U1013" i="1"/>
  <c r="W1013" i="1"/>
  <c r="X1013" i="1"/>
  <c r="R1014" i="1"/>
  <c r="S1014" i="1" s="1"/>
  <c r="T1014" i="1"/>
  <c r="U1014" i="1" s="1"/>
  <c r="V1014" i="1" s="1"/>
  <c r="W1014" i="1"/>
  <c r="X1014" i="1"/>
  <c r="R1015" i="1"/>
  <c r="S1015" i="1"/>
  <c r="V1015" i="1" s="1"/>
  <c r="T1015" i="1"/>
  <c r="U1015" i="1"/>
  <c r="W1015" i="1"/>
  <c r="X1015" i="1"/>
  <c r="R1016" i="1"/>
  <c r="S1016" i="1" s="1"/>
  <c r="W1016" i="1"/>
  <c r="X1016" i="1"/>
  <c r="R1017" i="1"/>
  <c r="T1017" i="1" s="1"/>
  <c r="S1017" i="1"/>
  <c r="V1017" i="1" s="1"/>
  <c r="U1017" i="1"/>
  <c r="W1017" i="1"/>
  <c r="X1017" i="1"/>
  <c r="R1018" i="1"/>
  <c r="T1018" i="1" s="1"/>
  <c r="U1018" i="1" s="1"/>
  <c r="S1018" i="1"/>
  <c r="W1018" i="1"/>
  <c r="X1018" i="1"/>
  <c r="R1019" i="1"/>
  <c r="S1019" i="1" s="1"/>
  <c r="W1019" i="1"/>
  <c r="X1019" i="1"/>
  <c r="R1020" i="1"/>
  <c r="S1020" i="1"/>
  <c r="V1020" i="1" s="1"/>
  <c r="T1020" i="1"/>
  <c r="U1020" i="1"/>
  <c r="W1020" i="1"/>
  <c r="X1020" i="1"/>
  <c r="R1021" i="1"/>
  <c r="S1021" i="1" s="1"/>
  <c r="T1021" i="1"/>
  <c r="U1021" i="1" s="1"/>
  <c r="W1021" i="1"/>
  <c r="X1021" i="1"/>
  <c r="R1022" i="1"/>
  <c r="T1022" i="1" s="1"/>
  <c r="U1022" i="1" s="1"/>
  <c r="S1022" i="1"/>
  <c r="V1022" i="1" s="1"/>
  <c r="W1022" i="1"/>
  <c r="X1022" i="1"/>
  <c r="R1023" i="1"/>
  <c r="S1023" i="1" s="1"/>
  <c r="W1023" i="1"/>
  <c r="X1023" i="1"/>
  <c r="R1024" i="1"/>
  <c r="S1024" i="1"/>
  <c r="V1024" i="1" s="1"/>
  <c r="T1024" i="1"/>
  <c r="U1024" i="1"/>
  <c r="W1024" i="1"/>
  <c r="X1024" i="1"/>
  <c r="R1025" i="1"/>
  <c r="S1025" i="1" s="1"/>
  <c r="T1025" i="1"/>
  <c r="U1025" i="1" s="1"/>
  <c r="W1025" i="1"/>
  <c r="X1025" i="1"/>
  <c r="R1026" i="1"/>
  <c r="T1026" i="1" s="1"/>
  <c r="U1026" i="1" s="1"/>
  <c r="S1026" i="1"/>
  <c r="V1026" i="1" s="1"/>
  <c r="W1026" i="1"/>
  <c r="X1026" i="1"/>
  <c r="R1027" i="1"/>
  <c r="S1027" i="1" s="1"/>
  <c r="W1027" i="1"/>
  <c r="X1027" i="1"/>
  <c r="R1028" i="1"/>
  <c r="S1028" i="1"/>
  <c r="V1028" i="1" s="1"/>
  <c r="T1028" i="1"/>
  <c r="U1028" i="1"/>
  <c r="W1028" i="1"/>
  <c r="X1028" i="1"/>
  <c r="R1029" i="1"/>
  <c r="S1029" i="1" s="1"/>
  <c r="T1029" i="1"/>
  <c r="U1029" i="1" s="1"/>
  <c r="W1029" i="1"/>
  <c r="X1029" i="1"/>
  <c r="R1030" i="1"/>
  <c r="T1030" i="1" s="1"/>
  <c r="U1030" i="1" s="1"/>
  <c r="S1030" i="1"/>
  <c r="V1030" i="1" s="1"/>
  <c r="W1030" i="1"/>
  <c r="X1030" i="1"/>
  <c r="R1031" i="1"/>
  <c r="S1031" i="1" s="1"/>
  <c r="W1031" i="1"/>
  <c r="X1031" i="1"/>
  <c r="R1032" i="1"/>
  <c r="S1032" i="1"/>
  <c r="V1032" i="1" s="1"/>
  <c r="T1032" i="1"/>
  <c r="U1032" i="1"/>
  <c r="W1032" i="1"/>
  <c r="X1032" i="1"/>
  <c r="R1033" i="1"/>
  <c r="S1033" i="1" s="1"/>
  <c r="V1033" i="1" s="1"/>
  <c r="T1033" i="1"/>
  <c r="U1033" i="1" s="1"/>
  <c r="W1033" i="1"/>
  <c r="X1033" i="1"/>
  <c r="R1034" i="1"/>
  <c r="T1034" i="1" s="1"/>
  <c r="U1034" i="1" s="1"/>
  <c r="S1034" i="1"/>
  <c r="W1034" i="1"/>
  <c r="X1034" i="1"/>
  <c r="R1035" i="1"/>
  <c r="S1035" i="1" s="1"/>
  <c r="W1035" i="1"/>
  <c r="X1035" i="1"/>
  <c r="R1036" i="1"/>
  <c r="S1036" i="1"/>
  <c r="V1036" i="1" s="1"/>
  <c r="T1036" i="1"/>
  <c r="U1036" i="1"/>
  <c r="W1036" i="1"/>
  <c r="X1036" i="1"/>
  <c r="R1037" i="1"/>
  <c r="S1037" i="1" s="1"/>
  <c r="T1037" i="1"/>
  <c r="U1037" i="1" s="1"/>
  <c r="W1037" i="1"/>
  <c r="X1037" i="1"/>
  <c r="R1038" i="1"/>
  <c r="T1038" i="1" s="1"/>
  <c r="U1038" i="1" s="1"/>
  <c r="S1038" i="1"/>
  <c r="V1038" i="1" s="1"/>
  <c r="W1038" i="1"/>
  <c r="X1038" i="1"/>
  <c r="R1039" i="1"/>
  <c r="S1039" i="1" s="1"/>
  <c r="W1039" i="1"/>
  <c r="X1039" i="1"/>
  <c r="R1040" i="1"/>
  <c r="S1040" i="1"/>
  <c r="V1040" i="1" s="1"/>
  <c r="T1040" i="1"/>
  <c r="U1040" i="1"/>
  <c r="W1040" i="1"/>
  <c r="X1040" i="1"/>
  <c r="R1041" i="1"/>
  <c r="S1041" i="1" s="1"/>
  <c r="T1041" i="1"/>
  <c r="U1041" i="1" s="1"/>
  <c r="W1041" i="1"/>
  <c r="X1041" i="1"/>
  <c r="R1042" i="1"/>
  <c r="T1042" i="1" s="1"/>
  <c r="U1042" i="1" s="1"/>
  <c r="S1042" i="1"/>
  <c r="V1042" i="1" s="1"/>
  <c r="W1042" i="1"/>
  <c r="X1042" i="1"/>
  <c r="R1043" i="1"/>
  <c r="S1043" i="1" s="1"/>
  <c r="W1043" i="1"/>
  <c r="X1043" i="1"/>
  <c r="R1044" i="1"/>
  <c r="T1044" i="1"/>
  <c r="U1044" i="1"/>
  <c r="W1044" i="1"/>
  <c r="X1044" i="1"/>
  <c r="R1045" i="1"/>
  <c r="T1045" i="1" s="1"/>
  <c r="U1045" i="1" s="1"/>
  <c r="X1045" i="1"/>
  <c r="R1046" i="1"/>
  <c r="T1046" i="1" s="1"/>
  <c r="U1046" i="1" s="1"/>
  <c r="X1046" i="1"/>
  <c r="R1047" i="1"/>
  <c r="X1047" i="1"/>
  <c r="R1048" i="1"/>
  <c r="S1048" i="1"/>
  <c r="V1048" i="1" s="1"/>
  <c r="T1048" i="1"/>
  <c r="U1048" i="1"/>
  <c r="X1048" i="1"/>
  <c r="R1049" i="1"/>
  <c r="T1049" i="1"/>
  <c r="U1049" i="1" s="1"/>
  <c r="X1049" i="1"/>
  <c r="R1050" i="1"/>
  <c r="T1050" i="1" s="1"/>
  <c r="U1050" i="1" s="1"/>
  <c r="W1050" i="1"/>
  <c r="X1050" i="1"/>
  <c r="R1051" i="1"/>
  <c r="S1051" i="1" s="1"/>
  <c r="W1051" i="1"/>
  <c r="X1051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S1044" i="1" s="1"/>
  <c r="V1044" i="1" s="1"/>
  <c r="Q1045" i="1"/>
  <c r="W1045" i="1" s="1"/>
  <c r="Q1046" i="1"/>
  <c r="S1046" i="1" s="1"/>
  <c r="V1046" i="1" s="1"/>
  <c r="Q1047" i="1"/>
  <c r="W1047" i="1" s="1"/>
  <c r="Q1048" i="1"/>
  <c r="W1048" i="1" s="1"/>
  <c r="Q1049" i="1"/>
  <c r="W1049" i="1" s="1"/>
  <c r="Q1050" i="1"/>
  <c r="Q1051" i="1"/>
  <c r="H1" i="11" l="1"/>
  <c r="V1264" i="1"/>
  <c r="V1226" i="1"/>
  <c r="V1295" i="1"/>
  <c r="V1330" i="1"/>
  <c r="V1262" i="1"/>
  <c r="V1236" i="1"/>
  <c r="V1350" i="1"/>
  <c r="V1332" i="1"/>
  <c r="V1306" i="1"/>
  <c r="V1249" i="1"/>
  <c r="V1238" i="1"/>
  <c r="V1259" i="1"/>
  <c r="V1364" i="1"/>
  <c r="V1292" i="1"/>
  <c r="V1258" i="1"/>
  <c r="V1316" i="1"/>
  <c r="V1340" i="1"/>
  <c r="V1280" i="1"/>
  <c r="V1288" i="1"/>
  <c r="V1342" i="1"/>
  <c r="V1230" i="1"/>
  <c r="V1324" i="1"/>
  <c r="V1274" i="1"/>
  <c r="V1210" i="1"/>
  <c r="V1218" i="1"/>
  <c r="V1198" i="1"/>
  <c r="V1200" i="1"/>
  <c r="V1307" i="1"/>
  <c r="V1327" i="1"/>
  <c r="V1320" i="1"/>
  <c r="V1284" i="1"/>
  <c r="V1344" i="1"/>
  <c r="V1355" i="1"/>
  <c r="V1312" i="1"/>
  <c r="V1214" i="1"/>
  <c r="V1354" i="1"/>
  <c r="V1294" i="1"/>
  <c r="V1291" i="1"/>
  <c r="V1240" i="1"/>
  <c r="V1272" i="1"/>
  <c r="V1276" i="1"/>
  <c r="V1286" i="1"/>
  <c r="V1250" i="1"/>
  <c r="V1216" i="1"/>
  <c r="V1358" i="1"/>
  <c r="V1323" i="1"/>
  <c r="V1343" i="1"/>
  <c r="V1352" i="1"/>
  <c r="V1296" i="1"/>
  <c r="V1348" i="1"/>
  <c r="V1362" i="1"/>
  <c r="V1222" i="1"/>
  <c r="V1220" i="1"/>
  <c r="V1204" i="1"/>
  <c r="V1246" i="1"/>
  <c r="V1360" i="1"/>
  <c r="V1308" i="1"/>
  <c r="V1260" i="1"/>
  <c r="V1300" i="1"/>
  <c r="V1228" i="1"/>
  <c r="V1266" i="1"/>
  <c r="V1224" i="1"/>
  <c r="V1336" i="1"/>
  <c r="V1242" i="1"/>
  <c r="V1318" i="1"/>
  <c r="V1252" i="1"/>
  <c r="V1298" i="1"/>
  <c r="V1234" i="1"/>
  <c r="V1212" i="1"/>
  <c r="V1304" i="1"/>
  <c r="V1310" i="1"/>
  <c r="V1322" i="1"/>
  <c r="V1359" i="1"/>
  <c r="V1356" i="1"/>
  <c r="V1346" i="1"/>
  <c r="V1202" i="1"/>
  <c r="V1311" i="1"/>
  <c r="V1254" i="1"/>
  <c r="V1278" i="1"/>
  <c r="V1256" i="1"/>
  <c r="V1339" i="1"/>
  <c r="R6" i="10"/>
  <c r="S1183" i="1"/>
  <c r="V1183" i="1" s="1"/>
  <c r="S1167" i="1"/>
  <c r="V1167" i="1" s="1"/>
  <c r="S1151" i="1"/>
  <c r="V1151" i="1" s="1"/>
  <c r="V1138" i="1"/>
  <c r="S1135" i="1"/>
  <c r="V1135" i="1" s="1"/>
  <c r="V1122" i="1"/>
  <c r="S1119" i="1"/>
  <c r="V1119" i="1" s="1"/>
  <c r="V1098" i="1"/>
  <c r="V1176" i="1"/>
  <c r="V1094" i="1"/>
  <c r="S1195" i="1"/>
  <c r="V1195" i="1" s="1"/>
  <c r="V1182" i="1"/>
  <c r="S1179" i="1"/>
  <c r="V1179" i="1" s="1"/>
  <c r="V1166" i="1"/>
  <c r="S1163" i="1"/>
  <c r="V1163" i="1" s="1"/>
  <c r="S1147" i="1"/>
  <c r="V1147" i="1" s="1"/>
  <c r="S1131" i="1"/>
  <c r="V1131" i="1" s="1"/>
  <c r="S1115" i="1"/>
  <c r="V1115" i="1" s="1"/>
  <c r="S1185" i="1"/>
  <c r="V1185" i="1" s="1"/>
  <c r="V1172" i="1"/>
  <c r="S1169" i="1"/>
  <c r="V1169" i="1" s="1"/>
  <c r="S1153" i="1"/>
  <c r="V1153" i="1" s="1"/>
  <c r="S1137" i="1"/>
  <c r="V1137" i="1" s="1"/>
  <c r="S1121" i="1"/>
  <c r="V1121" i="1" s="1"/>
  <c r="S1111" i="1"/>
  <c r="V1111" i="1" s="1"/>
  <c r="V1068" i="1"/>
  <c r="V1194" i="1"/>
  <c r="S1191" i="1"/>
  <c r="V1191" i="1" s="1"/>
  <c r="S1175" i="1"/>
  <c r="V1175" i="1" s="1"/>
  <c r="S1159" i="1"/>
  <c r="V1159" i="1" s="1"/>
  <c r="S1143" i="1"/>
  <c r="V1143" i="1" s="1"/>
  <c r="S1127" i="1"/>
  <c r="V1127" i="1" s="1"/>
  <c r="S1107" i="1"/>
  <c r="V1107" i="1" s="1"/>
  <c r="V1096" i="1"/>
  <c r="V1064" i="1"/>
  <c r="V1184" i="1"/>
  <c r="S1181" i="1"/>
  <c r="V1181" i="1" s="1"/>
  <c r="S1165" i="1"/>
  <c r="V1165" i="1" s="1"/>
  <c r="S1149" i="1"/>
  <c r="V1149" i="1" s="1"/>
  <c r="S1133" i="1"/>
  <c r="V1133" i="1" s="1"/>
  <c r="S1117" i="1"/>
  <c r="V1117" i="1" s="1"/>
  <c r="V1110" i="1"/>
  <c r="V1078" i="1"/>
  <c r="V1190" i="1"/>
  <c r="S1187" i="1"/>
  <c r="V1187" i="1" s="1"/>
  <c r="V1174" i="1"/>
  <c r="S1171" i="1"/>
  <c r="V1171" i="1" s="1"/>
  <c r="S1155" i="1"/>
  <c r="V1155" i="1" s="1"/>
  <c r="V1142" i="1"/>
  <c r="S1139" i="1"/>
  <c r="V1139" i="1" s="1"/>
  <c r="S1123" i="1"/>
  <c r="V1123" i="1" s="1"/>
  <c r="V1074" i="1"/>
  <c r="V1112" i="1"/>
  <c r="S1193" i="1"/>
  <c r="V1193" i="1" s="1"/>
  <c r="S1177" i="1"/>
  <c r="V1177" i="1" s="1"/>
  <c r="S1161" i="1"/>
  <c r="V1161" i="1" s="1"/>
  <c r="S1145" i="1"/>
  <c r="V1145" i="1" s="1"/>
  <c r="S1129" i="1"/>
  <c r="V1129" i="1" s="1"/>
  <c r="V1102" i="1"/>
  <c r="V1070" i="1"/>
  <c r="S1109" i="1"/>
  <c r="V1109" i="1" s="1"/>
  <c r="T1053" i="1"/>
  <c r="U1053" i="1" s="1"/>
  <c r="V1053" i="1" s="1"/>
  <c r="T1194" i="1"/>
  <c r="U1194" i="1" s="1"/>
  <c r="T1192" i="1"/>
  <c r="U1192" i="1" s="1"/>
  <c r="V1192" i="1" s="1"/>
  <c r="T1190" i="1"/>
  <c r="U1190" i="1" s="1"/>
  <c r="T1188" i="1"/>
  <c r="U1188" i="1" s="1"/>
  <c r="V1188" i="1" s="1"/>
  <c r="T1186" i="1"/>
  <c r="U1186" i="1" s="1"/>
  <c r="V1186" i="1" s="1"/>
  <c r="T1184" i="1"/>
  <c r="U1184" i="1" s="1"/>
  <c r="T1182" i="1"/>
  <c r="U1182" i="1" s="1"/>
  <c r="T1180" i="1"/>
  <c r="U1180" i="1" s="1"/>
  <c r="V1180" i="1" s="1"/>
  <c r="T1178" i="1"/>
  <c r="U1178" i="1" s="1"/>
  <c r="V1178" i="1" s="1"/>
  <c r="T1176" i="1"/>
  <c r="U1176" i="1" s="1"/>
  <c r="T1174" i="1"/>
  <c r="U1174" i="1" s="1"/>
  <c r="T1172" i="1"/>
  <c r="U1172" i="1" s="1"/>
  <c r="T1170" i="1"/>
  <c r="U1170" i="1" s="1"/>
  <c r="V1170" i="1" s="1"/>
  <c r="T1168" i="1"/>
  <c r="U1168" i="1" s="1"/>
  <c r="V1168" i="1" s="1"/>
  <c r="T1166" i="1"/>
  <c r="U1166" i="1" s="1"/>
  <c r="T1164" i="1"/>
  <c r="U1164" i="1" s="1"/>
  <c r="V1164" i="1" s="1"/>
  <c r="T1162" i="1"/>
  <c r="U1162" i="1" s="1"/>
  <c r="V1162" i="1" s="1"/>
  <c r="T1160" i="1"/>
  <c r="U1160" i="1" s="1"/>
  <c r="V1160" i="1" s="1"/>
  <c r="T1158" i="1"/>
  <c r="U1158" i="1" s="1"/>
  <c r="V1158" i="1" s="1"/>
  <c r="T1156" i="1"/>
  <c r="U1156" i="1" s="1"/>
  <c r="V1156" i="1" s="1"/>
  <c r="T1154" i="1"/>
  <c r="U1154" i="1" s="1"/>
  <c r="V1154" i="1" s="1"/>
  <c r="T1152" i="1"/>
  <c r="U1152" i="1" s="1"/>
  <c r="V1152" i="1" s="1"/>
  <c r="T1150" i="1"/>
  <c r="U1150" i="1" s="1"/>
  <c r="V1150" i="1" s="1"/>
  <c r="T1148" i="1"/>
  <c r="U1148" i="1" s="1"/>
  <c r="V1148" i="1" s="1"/>
  <c r="T1146" i="1"/>
  <c r="U1146" i="1" s="1"/>
  <c r="V1146" i="1" s="1"/>
  <c r="T1144" i="1"/>
  <c r="U1144" i="1" s="1"/>
  <c r="V1144" i="1" s="1"/>
  <c r="T1142" i="1"/>
  <c r="U1142" i="1" s="1"/>
  <c r="T1140" i="1"/>
  <c r="U1140" i="1" s="1"/>
  <c r="V1140" i="1" s="1"/>
  <c r="T1138" i="1"/>
  <c r="U1138" i="1" s="1"/>
  <c r="T1136" i="1"/>
  <c r="U1136" i="1" s="1"/>
  <c r="V1136" i="1" s="1"/>
  <c r="T1134" i="1"/>
  <c r="U1134" i="1" s="1"/>
  <c r="V1134" i="1" s="1"/>
  <c r="T1132" i="1"/>
  <c r="U1132" i="1" s="1"/>
  <c r="V1132" i="1" s="1"/>
  <c r="T1130" i="1"/>
  <c r="U1130" i="1" s="1"/>
  <c r="V1130" i="1" s="1"/>
  <c r="T1128" i="1"/>
  <c r="U1128" i="1" s="1"/>
  <c r="V1128" i="1" s="1"/>
  <c r="T1126" i="1"/>
  <c r="U1126" i="1" s="1"/>
  <c r="V1126" i="1" s="1"/>
  <c r="T1124" i="1"/>
  <c r="U1124" i="1" s="1"/>
  <c r="V1124" i="1" s="1"/>
  <c r="T1122" i="1"/>
  <c r="U1122" i="1" s="1"/>
  <c r="T1120" i="1"/>
  <c r="U1120" i="1" s="1"/>
  <c r="V1120" i="1" s="1"/>
  <c r="T1118" i="1"/>
  <c r="U1118" i="1" s="1"/>
  <c r="V1118" i="1" s="1"/>
  <c r="T1116" i="1"/>
  <c r="U1116" i="1" s="1"/>
  <c r="V1116" i="1" s="1"/>
  <c r="T1114" i="1"/>
  <c r="U1114" i="1" s="1"/>
  <c r="V1114" i="1" s="1"/>
  <c r="T1112" i="1"/>
  <c r="U1112" i="1" s="1"/>
  <c r="T1110" i="1"/>
  <c r="U1110" i="1" s="1"/>
  <c r="T1108" i="1"/>
  <c r="U1108" i="1" s="1"/>
  <c r="V1108" i="1" s="1"/>
  <c r="T1106" i="1"/>
  <c r="U1106" i="1" s="1"/>
  <c r="V1106" i="1" s="1"/>
  <c r="T1104" i="1"/>
  <c r="U1104" i="1" s="1"/>
  <c r="V1104" i="1" s="1"/>
  <c r="T1102" i="1"/>
  <c r="U1102" i="1" s="1"/>
  <c r="T1100" i="1"/>
  <c r="U1100" i="1" s="1"/>
  <c r="V1100" i="1" s="1"/>
  <c r="T1098" i="1"/>
  <c r="U1098" i="1" s="1"/>
  <c r="T1096" i="1"/>
  <c r="U1096" i="1" s="1"/>
  <c r="T1094" i="1"/>
  <c r="U1094" i="1" s="1"/>
  <c r="T1092" i="1"/>
  <c r="U1092" i="1" s="1"/>
  <c r="V1092" i="1" s="1"/>
  <c r="T1090" i="1"/>
  <c r="U1090" i="1" s="1"/>
  <c r="V1090" i="1" s="1"/>
  <c r="T1088" i="1"/>
  <c r="U1088" i="1" s="1"/>
  <c r="V1088" i="1" s="1"/>
  <c r="T1086" i="1"/>
  <c r="U1086" i="1" s="1"/>
  <c r="V1086" i="1" s="1"/>
  <c r="T1084" i="1"/>
  <c r="U1084" i="1" s="1"/>
  <c r="V1084" i="1" s="1"/>
  <c r="T1082" i="1"/>
  <c r="U1082" i="1" s="1"/>
  <c r="V1082" i="1" s="1"/>
  <c r="T1080" i="1"/>
  <c r="U1080" i="1" s="1"/>
  <c r="V1080" i="1" s="1"/>
  <c r="T1078" i="1"/>
  <c r="U1078" i="1" s="1"/>
  <c r="T1076" i="1"/>
  <c r="U1076" i="1" s="1"/>
  <c r="V1076" i="1" s="1"/>
  <c r="T1074" i="1"/>
  <c r="U1074" i="1" s="1"/>
  <c r="T1072" i="1"/>
  <c r="U1072" i="1" s="1"/>
  <c r="V1072" i="1" s="1"/>
  <c r="T1070" i="1"/>
  <c r="U1070" i="1" s="1"/>
  <c r="T1068" i="1"/>
  <c r="U1068" i="1" s="1"/>
  <c r="T1066" i="1"/>
  <c r="U1066" i="1" s="1"/>
  <c r="V1066" i="1" s="1"/>
  <c r="T1064" i="1"/>
  <c r="U1064" i="1" s="1"/>
  <c r="T1062" i="1"/>
  <c r="U1062" i="1" s="1"/>
  <c r="V1062" i="1" s="1"/>
  <c r="T1060" i="1"/>
  <c r="U1060" i="1" s="1"/>
  <c r="V1060" i="1" s="1"/>
  <c r="T1058" i="1"/>
  <c r="U1058" i="1" s="1"/>
  <c r="V1058" i="1" s="1"/>
  <c r="T1056" i="1"/>
  <c r="U1056" i="1" s="1"/>
  <c r="V1056" i="1" s="1"/>
  <c r="T1054" i="1"/>
  <c r="U1054" i="1" s="1"/>
  <c r="V1054" i="1" s="1"/>
  <c r="T1052" i="1"/>
  <c r="U1052" i="1" s="1"/>
  <c r="V1052" i="1" s="1"/>
  <c r="S1050" i="1"/>
  <c r="W1046" i="1"/>
  <c r="S1047" i="1"/>
  <c r="S1049" i="1"/>
  <c r="V1049" i="1" s="1"/>
  <c r="S1045" i="1"/>
  <c r="V1045" i="1"/>
  <c r="V1031" i="1"/>
  <c r="V1029" i="1"/>
  <c r="V1041" i="1"/>
  <c r="V1025" i="1"/>
  <c r="V1050" i="1"/>
  <c r="V1037" i="1"/>
  <c r="V1034" i="1"/>
  <c r="V1021" i="1"/>
  <c r="V1018" i="1"/>
  <c r="S986" i="1"/>
  <c r="T986" i="1"/>
  <c r="U986" i="1" s="1"/>
  <c r="S970" i="1"/>
  <c r="V970" i="1" s="1"/>
  <c r="T970" i="1"/>
  <c r="U970" i="1" s="1"/>
  <c r="S954" i="1"/>
  <c r="T954" i="1"/>
  <c r="U954" i="1" s="1"/>
  <c r="S938" i="1"/>
  <c r="V938" i="1" s="1"/>
  <c r="T938" i="1"/>
  <c r="U938" i="1" s="1"/>
  <c r="T1016" i="1"/>
  <c r="U1016" i="1" s="1"/>
  <c r="V1016" i="1" s="1"/>
  <c r="V1013" i="1"/>
  <c r="T1010" i="1"/>
  <c r="U1010" i="1" s="1"/>
  <c r="V1010" i="1" s="1"/>
  <c r="S1006" i="1"/>
  <c r="T1006" i="1"/>
  <c r="U1006" i="1" s="1"/>
  <c r="V1005" i="1"/>
  <c r="V1000" i="1"/>
  <c r="S990" i="1"/>
  <c r="T990" i="1"/>
  <c r="U990" i="1" s="1"/>
  <c r="V989" i="1"/>
  <c r="V984" i="1"/>
  <c r="S974" i="1"/>
  <c r="T974" i="1"/>
  <c r="U974" i="1" s="1"/>
  <c r="V973" i="1"/>
  <c r="V968" i="1"/>
  <c r="S958" i="1"/>
  <c r="T958" i="1"/>
  <c r="U958" i="1" s="1"/>
  <c r="V957" i="1"/>
  <c r="V952" i="1"/>
  <c r="S942" i="1"/>
  <c r="T942" i="1"/>
  <c r="U942" i="1" s="1"/>
  <c r="V941" i="1"/>
  <c r="V936" i="1"/>
  <c r="S1002" i="1"/>
  <c r="T1002" i="1"/>
  <c r="U1002" i="1" s="1"/>
  <c r="T1051" i="1"/>
  <c r="U1051" i="1" s="1"/>
  <c r="V1051" i="1" s="1"/>
  <c r="T1039" i="1"/>
  <c r="U1039" i="1" s="1"/>
  <c r="V1039" i="1" s="1"/>
  <c r="T1035" i="1"/>
  <c r="U1035" i="1" s="1"/>
  <c r="V1035" i="1" s="1"/>
  <c r="T1031" i="1"/>
  <c r="U1031" i="1" s="1"/>
  <c r="T1027" i="1"/>
  <c r="U1027" i="1" s="1"/>
  <c r="V1027" i="1" s="1"/>
  <c r="T1023" i="1"/>
  <c r="U1023" i="1" s="1"/>
  <c r="V1023" i="1" s="1"/>
  <c r="T1019" i="1"/>
  <c r="U1019" i="1" s="1"/>
  <c r="V1019" i="1" s="1"/>
  <c r="V1009" i="1"/>
  <c r="S994" i="1"/>
  <c r="T994" i="1"/>
  <c r="U994" i="1" s="1"/>
  <c r="V993" i="1"/>
  <c r="S978" i="1"/>
  <c r="T978" i="1"/>
  <c r="U978" i="1" s="1"/>
  <c r="V977" i="1"/>
  <c r="S962" i="1"/>
  <c r="T962" i="1"/>
  <c r="U962" i="1" s="1"/>
  <c r="V961" i="1"/>
  <c r="S946" i="1"/>
  <c r="V946" i="1" s="1"/>
  <c r="T946" i="1"/>
  <c r="U946" i="1" s="1"/>
  <c r="V945" i="1"/>
  <c r="T1047" i="1"/>
  <c r="U1047" i="1" s="1"/>
  <c r="V1047" i="1" s="1"/>
  <c r="T1043" i="1"/>
  <c r="U1043" i="1" s="1"/>
  <c r="V1043" i="1" s="1"/>
  <c r="V1008" i="1"/>
  <c r="S998" i="1"/>
  <c r="T998" i="1"/>
  <c r="U998" i="1" s="1"/>
  <c r="V997" i="1"/>
  <c r="V992" i="1"/>
  <c r="S982" i="1"/>
  <c r="T982" i="1"/>
  <c r="U982" i="1" s="1"/>
  <c r="V981" i="1"/>
  <c r="V976" i="1"/>
  <c r="S966" i="1"/>
  <c r="T966" i="1"/>
  <c r="U966" i="1" s="1"/>
  <c r="V965" i="1"/>
  <c r="V960" i="1"/>
  <c r="S950" i="1"/>
  <c r="T950" i="1"/>
  <c r="U950" i="1" s="1"/>
  <c r="V949" i="1"/>
  <c r="V944" i="1"/>
  <c r="S934" i="1"/>
  <c r="T934" i="1"/>
  <c r="U934" i="1" s="1"/>
  <c r="V933" i="1"/>
  <c r="T933" i="1"/>
  <c r="U933" i="1" s="1"/>
  <c r="G1" i="7"/>
  <c r="M1" i="7" s="1"/>
  <c r="M11" i="9"/>
  <c r="M12" i="9"/>
  <c r="M13" i="9"/>
  <c r="M14" i="9"/>
  <c r="M15" i="9"/>
  <c r="K16" i="9"/>
  <c r="M10" i="9"/>
  <c r="O4" i="9"/>
  <c r="L4" i="9"/>
  <c r="M4" i="9"/>
  <c r="L3" i="9"/>
  <c r="I1" i="11" l="1"/>
  <c r="J1" i="11"/>
  <c r="V994" i="1"/>
  <c r="V934" i="1"/>
  <c r="V950" i="1"/>
  <c r="V966" i="1"/>
  <c r="V982" i="1"/>
  <c r="V998" i="1"/>
  <c r="V978" i="1"/>
  <c r="V954" i="1"/>
  <c r="V986" i="1"/>
  <c r="V962" i="1"/>
  <c r="V1002" i="1"/>
  <c r="V942" i="1"/>
  <c r="V958" i="1"/>
  <c r="V974" i="1"/>
  <c r="V990" i="1"/>
  <c r="V1006" i="1"/>
  <c r="M16" i="9"/>
  <c r="L16" i="9" s="1"/>
  <c r="R871" i="1"/>
  <c r="X871" i="1"/>
  <c r="R872" i="1"/>
  <c r="X872" i="1"/>
  <c r="R873" i="1"/>
  <c r="T873" i="1" s="1"/>
  <c r="U873" i="1" s="1"/>
  <c r="X873" i="1"/>
  <c r="R874" i="1"/>
  <c r="T874" i="1" s="1"/>
  <c r="U874" i="1" s="1"/>
  <c r="X874" i="1"/>
  <c r="R875" i="1"/>
  <c r="T875" i="1" s="1"/>
  <c r="U875" i="1" s="1"/>
  <c r="X875" i="1"/>
  <c r="R876" i="1"/>
  <c r="X876" i="1"/>
  <c r="R877" i="1"/>
  <c r="T877" i="1" s="1"/>
  <c r="U877" i="1" s="1"/>
  <c r="X877" i="1"/>
  <c r="R878" i="1"/>
  <c r="T878" i="1"/>
  <c r="U878" i="1" s="1"/>
  <c r="X878" i="1"/>
  <c r="R879" i="1"/>
  <c r="T879" i="1" s="1"/>
  <c r="U879" i="1" s="1"/>
  <c r="X879" i="1"/>
  <c r="R880" i="1"/>
  <c r="X880" i="1"/>
  <c r="R881" i="1"/>
  <c r="S881" i="1" s="1"/>
  <c r="T881" i="1"/>
  <c r="U881" i="1" s="1"/>
  <c r="X881" i="1"/>
  <c r="R882" i="1"/>
  <c r="T882" i="1" s="1"/>
  <c r="U882" i="1" s="1"/>
  <c r="X882" i="1"/>
  <c r="R883" i="1"/>
  <c r="T883" i="1" s="1"/>
  <c r="U883" i="1" s="1"/>
  <c r="X883" i="1"/>
  <c r="R884" i="1"/>
  <c r="X884" i="1"/>
  <c r="R885" i="1"/>
  <c r="T885" i="1" s="1"/>
  <c r="U885" i="1" s="1"/>
  <c r="X885" i="1"/>
  <c r="R886" i="1"/>
  <c r="T886" i="1"/>
  <c r="U886" i="1" s="1"/>
  <c r="X886" i="1"/>
  <c r="R887" i="1"/>
  <c r="T887" i="1" s="1"/>
  <c r="U887" i="1" s="1"/>
  <c r="X887" i="1"/>
  <c r="R888" i="1"/>
  <c r="X888" i="1"/>
  <c r="R889" i="1"/>
  <c r="T889" i="1" s="1"/>
  <c r="U889" i="1" s="1"/>
  <c r="X889" i="1"/>
  <c r="R890" i="1"/>
  <c r="T890" i="1" s="1"/>
  <c r="U890" i="1" s="1"/>
  <c r="X890" i="1"/>
  <c r="R891" i="1"/>
  <c r="T891" i="1" s="1"/>
  <c r="U891" i="1" s="1"/>
  <c r="X891" i="1"/>
  <c r="R892" i="1"/>
  <c r="S892" i="1" s="1"/>
  <c r="X892" i="1"/>
  <c r="R893" i="1"/>
  <c r="T893" i="1" s="1"/>
  <c r="U893" i="1" s="1"/>
  <c r="X893" i="1"/>
  <c r="R894" i="1"/>
  <c r="T894" i="1"/>
  <c r="U894" i="1" s="1"/>
  <c r="X894" i="1"/>
  <c r="R895" i="1"/>
  <c r="T895" i="1" s="1"/>
  <c r="U895" i="1" s="1"/>
  <c r="X895" i="1"/>
  <c r="R896" i="1"/>
  <c r="X896" i="1"/>
  <c r="R897" i="1"/>
  <c r="S897" i="1" s="1"/>
  <c r="X897" i="1"/>
  <c r="R898" i="1"/>
  <c r="T898" i="1" s="1"/>
  <c r="U898" i="1" s="1"/>
  <c r="W898" i="1"/>
  <c r="X898" i="1"/>
  <c r="R899" i="1"/>
  <c r="T899" i="1" s="1"/>
  <c r="U899" i="1" s="1"/>
  <c r="X899" i="1"/>
  <c r="R900" i="1"/>
  <c r="X900" i="1"/>
  <c r="R901" i="1"/>
  <c r="T901" i="1" s="1"/>
  <c r="U901" i="1" s="1"/>
  <c r="X901" i="1"/>
  <c r="R902" i="1"/>
  <c r="T902" i="1"/>
  <c r="U902" i="1" s="1"/>
  <c r="X902" i="1"/>
  <c r="R903" i="1"/>
  <c r="T903" i="1" s="1"/>
  <c r="U903" i="1" s="1"/>
  <c r="X903" i="1"/>
  <c r="R904" i="1"/>
  <c r="W904" i="1"/>
  <c r="X904" i="1"/>
  <c r="R905" i="1"/>
  <c r="S905" i="1" s="1"/>
  <c r="V905" i="1" s="1"/>
  <c r="T905" i="1"/>
  <c r="U905" i="1" s="1"/>
  <c r="X905" i="1"/>
  <c r="R906" i="1"/>
  <c r="S906" i="1" s="1"/>
  <c r="X906" i="1"/>
  <c r="R907" i="1"/>
  <c r="X907" i="1"/>
  <c r="R908" i="1"/>
  <c r="X908" i="1"/>
  <c r="R909" i="1"/>
  <c r="T909" i="1"/>
  <c r="U909" i="1"/>
  <c r="X909" i="1"/>
  <c r="R910" i="1"/>
  <c r="T910" i="1"/>
  <c r="U910" i="1" s="1"/>
  <c r="X910" i="1"/>
  <c r="R911" i="1"/>
  <c r="T911" i="1" s="1"/>
  <c r="U911" i="1" s="1"/>
  <c r="X911" i="1"/>
  <c r="R912" i="1"/>
  <c r="W912" i="1"/>
  <c r="X912" i="1"/>
  <c r="R913" i="1"/>
  <c r="S913" i="1" s="1"/>
  <c r="X913" i="1"/>
  <c r="R914" i="1"/>
  <c r="S914" i="1" s="1"/>
  <c r="W914" i="1"/>
  <c r="X914" i="1"/>
  <c r="R915" i="1"/>
  <c r="T915" i="1"/>
  <c r="U915" i="1" s="1"/>
  <c r="X915" i="1"/>
  <c r="R916" i="1"/>
  <c r="S916" i="1" s="1"/>
  <c r="X916" i="1"/>
  <c r="R917" i="1"/>
  <c r="T917" i="1" s="1"/>
  <c r="U917" i="1" s="1"/>
  <c r="X917" i="1"/>
  <c r="R918" i="1"/>
  <c r="T918" i="1"/>
  <c r="U918" i="1" s="1"/>
  <c r="X918" i="1"/>
  <c r="R919" i="1"/>
  <c r="T919" i="1"/>
  <c r="U919" i="1"/>
  <c r="X919" i="1"/>
  <c r="R920" i="1"/>
  <c r="W920" i="1"/>
  <c r="X920" i="1"/>
  <c r="R921" i="1"/>
  <c r="S921" i="1" s="1"/>
  <c r="T921" i="1"/>
  <c r="U921" i="1" s="1"/>
  <c r="X921" i="1"/>
  <c r="R922" i="1"/>
  <c r="W922" i="1"/>
  <c r="X922" i="1"/>
  <c r="R923" i="1"/>
  <c r="X923" i="1"/>
  <c r="R924" i="1"/>
  <c r="S924" i="1" s="1"/>
  <c r="X924" i="1"/>
  <c r="R925" i="1"/>
  <c r="T925" i="1"/>
  <c r="U925" i="1"/>
  <c r="X925" i="1"/>
  <c r="R926" i="1"/>
  <c r="T926" i="1"/>
  <c r="U926" i="1" s="1"/>
  <c r="X926" i="1"/>
  <c r="R927" i="1"/>
  <c r="T927" i="1" s="1"/>
  <c r="U927" i="1" s="1"/>
  <c r="X927" i="1"/>
  <c r="R928" i="1"/>
  <c r="W928" i="1"/>
  <c r="X928" i="1"/>
  <c r="R929" i="1"/>
  <c r="W929" i="1"/>
  <c r="X929" i="1"/>
  <c r="R930" i="1"/>
  <c r="S930" i="1" s="1"/>
  <c r="W930" i="1"/>
  <c r="X930" i="1"/>
  <c r="R931" i="1"/>
  <c r="T931" i="1"/>
  <c r="U931" i="1" s="1"/>
  <c r="X931" i="1"/>
  <c r="R932" i="1"/>
  <c r="S932" i="1" s="1"/>
  <c r="X932" i="1"/>
  <c r="Q871" i="1"/>
  <c r="W871" i="1" s="1"/>
  <c r="Q872" i="1"/>
  <c r="W872" i="1" s="1"/>
  <c r="Q873" i="1"/>
  <c r="W873" i="1" s="1"/>
  <c r="Q874" i="1"/>
  <c r="W874" i="1" s="1"/>
  <c r="Q875" i="1"/>
  <c r="W875" i="1" s="1"/>
  <c r="Q876" i="1"/>
  <c r="W876" i="1" s="1"/>
  <c r="Q877" i="1"/>
  <c r="S877" i="1" s="1"/>
  <c r="V877" i="1" s="1"/>
  <c r="Q878" i="1"/>
  <c r="W878" i="1" s="1"/>
  <c r="Q879" i="1"/>
  <c r="Q880" i="1"/>
  <c r="W880" i="1" s="1"/>
  <c r="Q881" i="1"/>
  <c r="W881" i="1" s="1"/>
  <c r="Q882" i="1"/>
  <c r="W882" i="1" s="1"/>
  <c r="Q883" i="1"/>
  <c r="W883" i="1" s="1"/>
  <c r="Q884" i="1"/>
  <c r="W884" i="1" s="1"/>
  <c r="Q885" i="1"/>
  <c r="W885" i="1" s="1"/>
  <c r="Q886" i="1"/>
  <c r="W886" i="1" s="1"/>
  <c r="Q887" i="1"/>
  <c r="Q888" i="1"/>
  <c r="W888" i="1" s="1"/>
  <c r="Q889" i="1"/>
  <c r="W889" i="1" s="1"/>
  <c r="Q890" i="1"/>
  <c r="W890" i="1" s="1"/>
  <c r="Q891" i="1"/>
  <c r="W891" i="1" s="1"/>
  <c r="Q892" i="1"/>
  <c r="W892" i="1" s="1"/>
  <c r="Q893" i="1"/>
  <c r="S893" i="1" s="1"/>
  <c r="V893" i="1" s="1"/>
  <c r="Q894" i="1"/>
  <c r="W894" i="1" s="1"/>
  <c r="Q895" i="1"/>
  <c r="Q896" i="1"/>
  <c r="W896" i="1" s="1"/>
  <c r="Q897" i="1"/>
  <c r="W897" i="1" s="1"/>
  <c r="Q898" i="1"/>
  <c r="Q899" i="1"/>
  <c r="W899" i="1" s="1"/>
  <c r="Q900" i="1"/>
  <c r="W900" i="1" s="1"/>
  <c r="Q901" i="1"/>
  <c r="W901" i="1" s="1"/>
  <c r="Q902" i="1"/>
  <c r="W902" i="1" s="1"/>
  <c r="Q903" i="1"/>
  <c r="Q904" i="1"/>
  <c r="Q905" i="1"/>
  <c r="W905" i="1" s="1"/>
  <c r="Q906" i="1"/>
  <c r="W906" i="1" s="1"/>
  <c r="Q907" i="1"/>
  <c r="W907" i="1" s="1"/>
  <c r="Q908" i="1"/>
  <c r="W908" i="1" s="1"/>
  <c r="Q909" i="1"/>
  <c r="W909" i="1" s="1"/>
  <c r="Q910" i="1"/>
  <c r="W910" i="1" s="1"/>
  <c r="Q911" i="1"/>
  <c r="Q912" i="1"/>
  <c r="Q913" i="1"/>
  <c r="W913" i="1" s="1"/>
  <c r="Q914" i="1"/>
  <c r="Q915" i="1"/>
  <c r="W915" i="1" s="1"/>
  <c r="Q916" i="1"/>
  <c r="W916" i="1" s="1"/>
  <c r="Q917" i="1"/>
  <c r="S917" i="1" s="1"/>
  <c r="V917" i="1" s="1"/>
  <c r="Q918" i="1"/>
  <c r="W918" i="1" s="1"/>
  <c r="Q919" i="1"/>
  <c r="Q920" i="1"/>
  <c r="Q921" i="1"/>
  <c r="W921" i="1" s="1"/>
  <c r="Q922" i="1"/>
  <c r="Q923" i="1"/>
  <c r="W923" i="1" s="1"/>
  <c r="Q924" i="1"/>
  <c r="W924" i="1" s="1"/>
  <c r="Q925" i="1"/>
  <c r="W925" i="1" s="1"/>
  <c r="Q926" i="1"/>
  <c r="W926" i="1" s="1"/>
  <c r="Q927" i="1"/>
  <c r="W927" i="1" s="1"/>
  <c r="Q928" i="1"/>
  <c r="Q929" i="1"/>
  <c r="Q930" i="1"/>
  <c r="Q931" i="1"/>
  <c r="W931" i="1" s="1"/>
  <c r="Q932" i="1"/>
  <c r="W932" i="1" s="1"/>
  <c r="J2" i="7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T730" i="1"/>
  <c r="U730" i="1" s="1"/>
  <c r="T738" i="1"/>
  <c r="U738" i="1" s="1"/>
  <c r="T746" i="1"/>
  <c r="U746" i="1" s="1"/>
  <c r="T754" i="1"/>
  <c r="U754" i="1" s="1"/>
  <c r="T762" i="1"/>
  <c r="U762" i="1" s="1"/>
  <c r="T770" i="1"/>
  <c r="U770" i="1" s="1"/>
  <c r="T777" i="1"/>
  <c r="U777" i="1" s="1"/>
  <c r="T782" i="1"/>
  <c r="U782" i="1" s="1"/>
  <c r="R729" i="1"/>
  <c r="T729" i="1" s="1"/>
  <c r="U729" i="1" s="1"/>
  <c r="R730" i="1"/>
  <c r="S730" i="1" s="1"/>
  <c r="R731" i="1"/>
  <c r="T731" i="1" s="1"/>
  <c r="U731" i="1" s="1"/>
  <c r="R732" i="1"/>
  <c r="T732" i="1" s="1"/>
  <c r="U732" i="1" s="1"/>
  <c r="R733" i="1"/>
  <c r="T733" i="1" s="1"/>
  <c r="U733" i="1" s="1"/>
  <c r="R734" i="1"/>
  <c r="T734" i="1" s="1"/>
  <c r="U734" i="1" s="1"/>
  <c r="R735" i="1"/>
  <c r="T735" i="1" s="1"/>
  <c r="U735" i="1" s="1"/>
  <c r="R736" i="1"/>
  <c r="S736" i="1" s="1"/>
  <c r="R737" i="1"/>
  <c r="T737" i="1" s="1"/>
  <c r="U737" i="1" s="1"/>
  <c r="R738" i="1"/>
  <c r="S738" i="1" s="1"/>
  <c r="V738" i="1" s="1"/>
  <c r="R739" i="1"/>
  <c r="T739" i="1" s="1"/>
  <c r="U739" i="1" s="1"/>
  <c r="R740" i="1"/>
  <c r="T740" i="1" s="1"/>
  <c r="U740" i="1" s="1"/>
  <c r="R741" i="1"/>
  <c r="T741" i="1" s="1"/>
  <c r="U741" i="1" s="1"/>
  <c r="R742" i="1"/>
  <c r="T742" i="1" s="1"/>
  <c r="U742" i="1" s="1"/>
  <c r="R743" i="1"/>
  <c r="T743" i="1" s="1"/>
  <c r="U743" i="1" s="1"/>
  <c r="R744" i="1"/>
  <c r="S744" i="1" s="1"/>
  <c r="R745" i="1"/>
  <c r="T745" i="1" s="1"/>
  <c r="U745" i="1" s="1"/>
  <c r="R746" i="1"/>
  <c r="S746" i="1" s="1"/>
  <c r="V746" i="1" s="1"/>
  <c r="R747" i="1"/>
  <c r="T747" i="1" s="1"/>
  <c r="U747" i="1" s="1"/>
  <c r="R748" i="1"/>
  <c r="T748" i="1" s="1"/>
  <c r="U748" i="1" s="1"/>
  <c r="R749" i="1"/>
  <c r="T749" i="1" s="1"/>
  <c r="U749" i="1" s="1"/>
  <c r="R750" i="1"/>
  <c r="T750" i="1" s="1"/>
  <c r="U750" i="1" s="1"/>
  <c r="R751" i="1"/>
  <c r="T751" i="1" s="1"/>
  <c r="U751" i="1" s="1"/>
  <c r="R752" i="1"/>
  <c r="S752" i="1" s="1"/>
  <c r="R753" i="1"/>
  <c r="T753" i="1" s="1"/>
  <c r="U753" i="1" s="1"/>
  <c r="R754" i="1"/>
  <c r="S754" i="1" s="1"/>
  <c r="V754" i="1" s="1"/>
  <c r="R755" i="1"/>
  <c r="T755" i="1" s="1"/>
  <c r="U755" i="1" s="1"/>
  <c r="R756" i="1"/>
  <c r="T756" i="1" s="1"/>
  <c r="U756" i="1" s="1"/>
  <c r="R757" i="1"/>
  <c r="T757" i="1" s="1"/>
  <c r="U757" i="1" s="1"/>
  <c r="R758" i="1"/>
  <c r="T758" i="1" s="1"/>
  <c r="U758" i="1" s="1"/>
  <c r="R759" i="1"/>
  <c r="T759" i="1" s="1"/>
  <c r="U759" i="1" s="1"/>
  <c r="R760" i="1"/>
  <c r="S760" i="1" s="1"/>
  <c r="R761" i="1"/>
  <c r="T761" i="1" s="1"/>
  <c r="U761" i="1" s="1"/>
  <c r="R762" i="1"/>
  <c r="S762" i="1" s="1"/>
  <c r="R763" i="1"/>
  <c r="T763" i="1" s="1"/>
  <c r="U763" i="1" s="1"/>
  <c r="R764" i="1"/>
  <c r="T764" i="1" s="1"/>
  <c r="U764" i="1" s="1"/>
  <c r="R765" i="1"/>
  <c r="T765" i="1" s="1"/>
  <c r="U765" i="1" s="1"/>
  <c r="R766" i="1"/>
  <c r="T766" i="1" s="1"/>
  <c r="U766" i="1" s="1"/>
  <c r="R767" i="1"/>
  <c r="T767" i="1" s="1"/>
  <c r="U767" i="1" s="1"/>
  <c r="R768" i="1"/>
  <c r="S768" i="1" s="1"/>
  <c r="R769" i="1"/>
  <c r="T769" i="1" s="1"/>
  <c r="U769" i="1" s="1"/>
  <c r="R770" i="1"/>
  <c r="S770" i="1" s="1"/>
  <c r="V770" i="1" s="1"/>
  <c r="R771" i="1"/>
  <c r="T771" i="1" s="1"/>
  <c r="U771" i="1" s="1"/>
  <c r="R772" i="1"/>
  <c r="T772" i="1" s="1"/>
  <c r="U772" i="1" s="1"/>
  <c r="R773" i="1"/>
  <c r="T773" i="1" s="1"/>
  <c r="U773" i="1" s="1"/>
  <c r="R774" i="1"/>
  <c r="T774" i="1" s="1"/>
  <c r="U774" i="1" s="1"/>
  <c r="R775" i="1"/>
  <c r="T775" i="1" s="1"/>
  <c r="U775" i="1" s="1"/>
  <c r="R776" i="1"/>
  <c r="S776" i="1" s="1"/>
  <c r="R777" i="1"/>
  <c r="S777" i="1" s="1"/>
  <c r="V777" i="1" s="1"/>
  <c r="R778" i="1"/>
  <c r="T778" i="1" s="1"/>
  <c r="U778" i="1" s="1"/>
  <c r="R779" i="1"/>
  <c r="T779" i="1" s="1"/>
  <c r="U779" i="1" s="1"/>
  <c r="R780" i="1"/>
  <c r="S780" i="1" s="1"/>
  <c r="R781" i="1"/>
  <c r="S781" i="1" s="1"/>
  <c r="R782" i="1"/>
  <c r="S782" i="1" s="1"/>
  <c r="V782" i="1" s="1"/>
  <c r="R783" i="1"/>
  <c r="T783" i="1" s="1"/>
  <c r="U783" i="1" s="1"/>
  <c r="R784" i="1"/>
  <c r="T784" i="1" s="1"/>
  <c r="U784" i="1" s="1"/>
  <c r="R785" i="1"/>
  <c r="T785" i="1" s="1"/>
  <c r="U785" i="1" s="1"/>
  <c r="R786" i="1"/>
  <c r="T786" i="1" s="1"/>
  <c r="U786" i="1" s="1"/>
  <c r="R787" i="1"/>
  <c r="T787" i="1" s="1"/>
  <c r="U787" i="1" s="1"/>
  <c r="R788" i="1"/>
  <c r="T788" i="1" s="1"/>
  <c r="U788" i="1" s="1"/>
  <c r="R789" i="1"/>
  <c r="T789" i="1" s="1"/>
  <c r="U789" i="1" s="1"/>
  <c r="R790" i="1"/>
  <c r="T790" i="1" s="1"/>
  <c r="U790" i="1" s="1"/>
  <c r="R791" i="1"/>
  <c r="T791" i="1" s="1"/>
  <c r="U791" i="1" s="1"/>
  <c r="R792" i="1"/>
  <c r="T792" i="1" s="1"/>
  <c r="U792" i="1" s="1"/>
  <c r="R793" i="1"/>
  <c r="T793" i="1" s="1"/>
  <c r="U793" i="1" s="1"/>
  <c r="R794" i="1"/>
  <c r="T794" i="1" s="1"/>
  <c r="U794" i="1" s="1"/>
  <c r="R795" i="1"/>
  <c r="T795" i="1" s="1"/>
  <c r="U795" i="1" s="1"/>
  <c r="R796" i="1"/>
  <c r="T796" i="1" s="1"/>
  <c r="U796" i="1" s="1"/>
  <c r="R797" i="1"/>
  <c r="T797" i="1" s="1"/>
  <c r="U797" i="1" s="1"/>
  <c r="R798" i="1"/>
  <c r="T798" i="1" s="1"/>
  <c r="U798" i="1" s="1"/>
  <c r="R799" i="1"/>
  <c r="T799" i="1" s="1"/>
  <c r="U799" i="1" s="1"/>
  <c r="R800" i="1"/>
  <c r="T800" i="1" s="1"/>
  <c r="U800" i="1" s="1"/>
  <c r="R801" i="1"/>
  <c r="T801" i="1" s="1"/>
  <c r="U801" i="1" s="1"/>
  <c r="R802" i="1"/>
  <c r="T802" i="1" s="1"/>
  <c r="U802" i="1" s="1"/>
  <c r="R803" i="1"/>
  <c r="T803" i="1" s="1"/>
  <c r="U803" i="1" s="1"/>
  <c r="R804" i="1"/>
  <c r="T804" i="1" s="1"/>
  <c r="U804" i="1" s="1"/>
  <c r="R805" i="1"/>
  <c r="T805" i="1" s="1"/>
  <c r="U805" i="1" s="1"/>
  <c r="R806" i="1"/>
  <c r="T806" i="1" s="1"/>
  <c r="U806" i="1" s="1"/>
  <c r="R807" i="1"/>
  <c r="T807" i="1" s="1"/>
  <c r="U807" i="1" s="1"/>
  <c r="R808" i="1"/>
  <c r="T808" i="1" s="1"/>
  <c r="U808" i="1" s="1"/>
  <c r="R809" i="1"/>
  <c r="T809" i="1" s="1"/>
  <c r="U809" i="1" s="1"/>
  <c r="R810" i="1"/>
  <c r="T810" i="1" s="1"/>
  <c r="U810" i="1" s="1"/>
  <c r="R811" i="1"/>
  <c r="T811" i="1" s="1"/>
  <c r="U811" i="1" s="1"/>
  <c r="R812" i="1"/>
  <c r="T812" i="1" s="1"/>
  <c r="U812" i="1" s="1"/>
  <c r="R813" i="1"/>
  <c r="T813" i="1" s="1"/>
  <c r="U813" i="1" s="1"/>
  <c r="R814" i="1"/>
  <c r="T814" i="1" s="1"/>
  <c r="U814" i="1" s="1"/>
  <c r="R815" i="1"/>
  <c r="T815" i="1" s="1"/>
  <c r="U815" i="1" s="1"/>
  <c r="R816" i="1"/>
  <c r="T816" i="1" s="1"/>
  <c r="U816" i="1" s="1"/>
  <c r="R817" i="1"/>
  <c r="T817" i="1" s="1"/>
  <c r="U817" i="1" s="1"/>
  <c r="R818" i="1"/>
  <c r="T818" i="1" s="1"/>
  <c r="U818" i="1" s="1"/>
  <c r="R819" i="1"/>
  <c r="T819" i="1" s="1"/>
  <c r="U819" i="1" s="1"/>
  <c r="R820" i="1"/>
  <c r="T820" i="1" s="1"/>
  <c r="U820" i="1" s="1"/>
  <c r="R821" i="1"/>
  <c r="T821" i="1" s="1"/>
  <c r="U821" i="1" s="1"/>
  <c r="R822" i="1"/>
  <c r="T822" i="1" s="1"/>
  <c r="U822" i="1" s="1"/>
  <c r="R823" i="1"/>
  <c r="T823" i="1" s="1"/>
  <c r="U823" i="1" s="1"/>
  <c r="R824" i="1"/>
  <c r="T824" i="1" s="1"/>
  <c r="U824" i="1" s="1"/>
  <c r="R825" i="1"/>
  <c r="T825" i="1" s="1"/>
  <c r="U825" i="1" s="1"/>
  <c r="R826" i="1"/>
  <c r="T826" i="1" s="1"/>
  <c r="U826" i="1" s="1"/>
  <c r="R827" i="1"/>
  <c r="T827" i="1" s="1"/>
  <c r="U827" i="1" s="1"/>
  <c r="R828" i="1"/>
  <c r="T828" i="1" s="1"/>
  <c r="U828" i="1" s="1"/>
  <c r="R829" i="1"/>
  <c r="T829" i="1" s="1"/>
  <c r="U829" i="1" s="1"/>
  <c r="R830" i="1"/>
  <c r="T830" i="1" s="1"/>
  <c r="U830" i="1" s="1"/>
  <c r="R831" i="1"/>
  <c r="T831" i="1" s="1"/>
  <c r="U831" i="1" s="1"/>
  <c r="R832" i="1"/>
  <c r="T832" i="1" s="1"/>
  <c r="U832" i="1" s="1"/>
  <c r="R833" i="1"/>
  <c r="T833" i="1" s="1"/>
  <c r="U833" i="1" s="1"/>
  <c r="R834" i="1"/>
  <c r="T834" i="1" s="1"/>
  <c r="U834" i="1" s="1"/>
  <c r="R835" i="1"/>
  <c r="T835" i="1" s="1"/>
  <c r="U835" i="1" s="1"/>
  <c r="R836" i="1"/>
  <c r="T836" i="1" s="1"/>
  <c r="U836" i="1" s="1"/>
  <c r="R837" i="1"/>
  <c r="T837" i="1" s="1"/>
  <c r="U837" i="1" s="1"/>
  <c r="R838" i="1"/>
  <c r="T838" i="1" s="1"/>
  <c r="U838" i="1" s="1"/>
  <c r="R839" i="1"/>
  <c r="T839" i="1" s="1"/>
  <c r="U839" i="1" s="1"/>
  <c r="R840" i="1"/>
  <c r="T840" i="1" s="1"/>
  <c r="U840" i="1" s="1"/>
  <c r="R841" i="1"/>
  <c r="T841" i="1" s="1"/>
  <c r="U841" i="1" s="1"/>
  <c r="R842" i="1"/>
  <c r="T842" i="1" s="1"/>
  <c r="U842" i="1" s="1"/>
  <c r="R843" i="1"/>
  <c r="T843" i="1" s="1"/>
  <c r="U843" i="1" s="1"/>
  <c r="R844" i="1"/>
  <c r="T844" i="1" s="1"/>
  <c r="U844" i="1" s="1"/>
  <c r="R845" i="1"/>
  <c r="T845" i="1" s="1"/>
  <c r="U845" i="1" s="1"/>
  <c r="R846" i="1"/>
  <c r="T846" i="1" s="1"/>
  <c r="U846" i="1" s="1"/>
  <c r="R847" i="1"/>
  <c r="R848" i="1"/>
  <c r="R849" i="1"/>
  <c r="T849" i="1" s="1"/>
  <c r="U849" i="1" s="1"/>
  <c r="R850" i="1"/>
  <c r="T850" i="1" s="1"/>
  <c r="U850" i="1" s="1"/>
  <c r="R851" i="1"/>
  <c r="R852" i="1"/>
  <c r="R853" i="1"/>
  <c r="T853" i="1" s="1"/>
  <c r="U853" i="1" s="1"/>
  <c r="R854" i="1"/>
  <c r="T854" i="1" s="1"/>
  <c r="U854" i="1" s="1"/>
  <c r="R855" i="1"/>
  <c r="R856" i="1"/>
  <c r="T856" i="1" s="1"/>
  <c r="U856" i="1" s="1"/>
  <c r="R857" i="1"/>
  <c r="T857" i="1" s="1"/>
  <c r="U857" i="1" s="1"/>
  <c r="R858" i="1"/>
  <c r="T858" i="1" s="1"/>
  <c r="U858" i="1" s="1"/>
  <c r="R859" i="1"/>
  <c r="R860" i="1"/>
  <c r="R861" i="1"/>
  <c r="T861" i="1" s="1"/>
  <c r="U861" i="1" s="1"/>
  <c r="R862" i="1"/>
  <c r="T862" i="1" s="1"/>
  <c r="U862" i="1" s="1"/>
  <c r="R863" i="1"/>
  <c r="R864" i="1"/>
  <c r="R865" i="1"/>
  <c r="T865" i="1" s="1"/>
  <c r="U865" i="1" s="1"/>
  <c r="R866" i="1"/>
  <c r="T866" i="1" s="1"/>
  <c r="U866" i="1" s="1"/>
  <c r="R867" i="1"/>
  <c r="R868" i="1"/>
  <c r="T868" i="1" s="1"/>
  <c r="U868" i="1" s="1"/>
  <c r="R869" i="1"/>
  <c r="T869" i="1" s="1"/>
  <c r="U869" i="1" s="1"/>
  <c r="R870" i="1"/>
  <c r="T870" i="1" s="1"/>
  <c r="U870" i="1" s="1"/>
  <c r="Q729" i="1"/>
  <c r="W729" i="1" s="1"/>
  <c r="Q730" i="1"/>
  <c r="W730" i="1" s="1"/>
  <c r="Q731" i="1"/>
  <c r="W731" i="1" s="1"/>
  <c r="Q732" i="1"/>
  <c r="W732" i="1" s="1"/>
  <c r="Q733" i="1"/>
  <c r="W733" i="1" s="1"/>
  <c r="Q734" i="1"/>
  <c r="W734" i="1" s="1"/>
  <c r="Q735" i="1"/>
  <c r="W735" i="1" s="1"/>
  <c r="Q736" i="1"/>
  <c r="W736" i="1" s="1"/>
  <c r="Q737" i="1"/>
  <c r="W737" i="1" s="1"/>
  <c r="Q738" i="1"/>
  <c r="W738" i="1" s="1"/>
  <c r="Q739" i="1"/>
  <c r="W739" i="1" s="1"/>
  <c r="Q740" i="1"/>
  <c r="W740" i="1" s="1"/>
  <c r="Q741" i="1"/>
  <c r="W741" i="1" s="1"/>
  <c r="Q742" i="1"/>
  <c r="W742" i="1" s="1"/>
  <c r="Q743" i="1"/>
  <c r="W743" i="1" s="1"/>
  <c r="Q744" i="1"/>
  <c r="W744" i="1" s="1"/>
  <c r="Q745" i="1"/>
  <c r="W745" i="1" s="1"/>
  <c r="Q746" i="1"/>
  <c r="W746" i="1" s="1"/>
  <c r="Q747" i="1"/>
  <c r="W747" i="1" s="1"/>
  <c r="Q748" i="1"/>
  <c r="W748" i="1" s="1"/>
  <c r="Q749" i="1"/>
  <c r="W749" i="1" s="1"/>
  <c r="Q750" i="1"/>
  <c r="W750" i="1" s="1"/>
  <c r="Q751" i="1"/>
  <c r="W751" i="1" s="1"/>
  <c r="Q752" i="1"/>
  <c r="W752" i="1" s="1"/>
  <c r="Q753" i="1"/>
  <c r="W753" i="1" s="1"/>
  <c r="Q754" i="1"/>
  <c r="W754" i="1" s="1"/>
  <c r="Q755" i="1"/>
  <c r="W755" i="1" s="1"/>
  <c r="Q756" i="1"/>
  <c r="W756" i="1" s="1"/>
  <c r="Q757" i="1"/>
  <c r="W757" i="1" s="1"/>
  <c r="Q758" i="1"/>
  <c r="W758" i="1" s="1"/>
  <c r="Q759" i="1"/>
  <c r="W759" i="1" s="1"/>
  <c r="Q760" i="1"/>
  <c r="W760" i="1" s="1"/>
  <c r="Q761" i="1"/>
  <c r="W761" i="1" s="1"/>
  <c r="Q762" i="1"/>
  <c r="W762" i="1" s="1"/>
  <c r="Q763" i="1"/>
  <c r="W763" i="1" s="1"/>
  <c r="Q764" i="1"/>
  <c r="W764" i="1" s="1"/>
  <c r="Q765" i="1"/>
  <c r="W765" i="1" s="1"/>
  <c r="Q766" i="1"/>
  <c r="W766" i="1" s="1"/>
  <c r="Q767" i="1"/>
  <c r="W767" i="1" s="1"/>
  <c r="Q768" i="1"/>
  <c r="W768" i="1" s="1"/>
  <c r="Q769" i="1"/>
  <c r="W769" i="1" s="1"/>
  <c r="Q770" i="1"/>
  <c r="W770" i="1" s="1"/>
  <c r="Q771" i="1"/>
  <c r="W771" i="1" s="1"/>
  <c r="Q772" i="1"/>
  <c r="W772" i="1" s="1"/>
  <c r="Q773" i="1"/>
  <c r="W773" i="1" s="1"/>
  <c r="Q774" i="1"/>
  <c r="W774" i="1" s="1"/>
  <c r="Q775" i="1"/>
  <c r="W775" i="1" s="1"/>
  <c r="Q776" i="1"/>
  <c r="W776" i="1" s="1"/>
  <c r="Q777" i="1"/>
  <c r="W777" i="1" s="1"/>
  <c r="Q778" i="1"/>
  <c r="W778" i="1" s="1"/>
  <c r="Q779" i="1"/>
  <c r="W779" i="1" s="1"/>
  <c r="Q780" i="1"/>
  <c r="W780" i="1" s="1"/>
  <c r="Q781" i="1"/>
  <c r="W781" i="1" s="1"/>
  <c r="Q782" i="1"/>
  <c r="W782" i="1" s="1"/>
  <c r="Q783" i="1"/>
  <c r="W783" i="1" s="1"/>
  <c r="Q784" i="1"/>
  <c r="W784" i="1" s="1"/>
  <c r="Q785" i="1"/>
  <c r="W785" i="1" s="1"/>
  <c r="Q786" i="1"/>
  <c r="W786" i="1" s="1"/>
  <c r="Q787" i="1"/>
  <c r="W787" i="1" s="1"/>
  <c r="Q788" i="1"/>
  <c r="W788" i="1" s="1"/>
  <c r="Q789" i="1"/>
  <c r="W789" i="1" s="1"/>
  <c r="Q790" i="1"/>
  <c r="W790" i="1" s="1"/>
  <c r="Q791" i="1"/>
  <c r="W791" i="1" s="1"/>
  <c r="Q792" i="1"/>
  <c r="W792" i="1" s="1"/>
  <c r="Q793" i="1"/>
  <c r="W793" i="1" s="1"/>
  <c r="Q794" i="1"/>
  <c r="W794" i="1" s="1"/>
  <c r="Q795" i="1"/>
  <c r="W795" i="1" s="1"/>
  <c r="Q796" i="1"/>
  <c r="W796" i="1" s="1"/>
  <c r="Q797" i="1"/>
  <c r="W797" i="1" s="1"/>
  <c r="Q798" i="1"/>
  <c r="W798" i="1" s="1"/>
  <c r="Q799" i="1"/>
  <c r="W799" i="1" s="1"/>
  <c r="Q800" i="1"/>
  <c r="W800" i="1" s="1"/>
  <c r="Q801" i="1"/>
  <c r="W801" i="1" s="1"/>
  <c r="Q802" i="1"/>
  <c r="W802" i="1" s="1"/>
  <c r="Q803" i="1"/>
  <c r="W803" i="1" s="1"/>
  <c r="Q804" i="1"/>
  <c r="W804" i="1" s="1"/>
  <c r="Q805" i="1"/>
  <c r="W805" i="1" s="1"/>
  <c r="Q806" i="1"/>
  <c r="W806" i="1" s="1"/>
  <c r="Q807" i="1"/>
  <c r="W807" i="1" s="1"/>
  <c r="Q808" i="1"/>
  <c r="W808" i="1" s="1"/>
  <c r="Q809" i="1"/>
  <c r="W809" i="1" s="1"/>
  <c r="Q810" i="1"/>
  <c r="W810" i="1" s="1"/>
  <c r="Q811" i="1"/>
  <c r="W811" i="1" s="1"/>
  <c r="Q812" i="1"/>
  <c r="W812" i="1" s="1"/>
  <c r="Q813" i="1"/>
  <c r="W813" i="1" s="1"/>
  <c r="Q814" i="1"/>
  <c r="W814" i="1" s="1"/>
  <c r="Q815" i="1"/>
  <c r="W815" i="1" s="1"/>
  <c r="Q816" i="1"/>
  <c r="W816" i="1" s="1"/>
  <c r="Q817" i="1"/>
  <c r="W817" i="1" s="1"/>
  <c r="Q818" i="1"/>
  <c r="W818" i="1" s="1"/>
  <c r="Q819" i="1"/>
  <c r="W819" i="1" s="1"/>
  <c r="Q820" i="1"/>
  <c r="W820" i="1" s="1"/>
  <c r="Q821" i="1"/>
  <c r="W821" i="1" s="1"/>
  <c r="Q822" i="1"/>
  <c r="W822" i="1" s="1"/>
  <c r="Q823" i="1"/>
  <c r="W823" i="1" s="1"/>
  <c r="Q824" i="1"/>
  <c r="W824" i="1" s="1"/>
  <c r="Q825" i="1"/>
  <c r="W825" i="1" s="1"/>
  <c r="Q826" i="1"/>
  <c r="W826" i="1" s="1"/>
  <c r="Q827" i="1"/>
  <c r="W827" i="1" s="1"/>
  <c r="Q828" i="1"/>
  <c r="W828" i="1" s="1"/>
  <c r="Q829" i="1"/>
  <c r="W829" i="1" s="1"/>
  <c r="Q830" i="1"/>
  <c r="W830" i="1" s="1"/>
  <c r="Q831" i="1"/>
  <c r="W831" i="1" s="1"/>
  <c r="Q832" i="1"/>
  <c r="W832" i="1" s="1"/>
  <c r="Q833" i="1"/>
  <c r="W833" i="1" s="1"/>
  <c r="Q834" i="1"/>
  <c r="W834" i="1" s="1"/>
  <c r="Q835" i="1"/>
  <c r="W835" i="1" s="1"/>
  <c r="Q836" i="1"/>
  <c r="W836" i="1" s="1"/>
  <c r="Q837" i="1"/>
  <c r="W837" i="1" s="1"/>
  <c r="Q838" i="1"/>
  <c r="W838" i="1" s="1"/>
  <c r="Q839" i="1"/>
  <c r="W839" i="1" s="1"/>
  <c r="Q840" i="1"/>
  <c r="W840" i="1" s="1"/>
  <c r="Q841" i="1"/>
  <c r="W841" i="1" s="1"/>
  <c r="Q842" i="1"/>
  <c r="W842" i="1" s="1"/>
  <c r="Q843" i="1"/>
  <c r="W843" i="1" s="1"/>
  <c r="Q844" i="1"/>
  <c r="W844" i="1" s="1"/>
  <c r="Q845" i="1"/>
  <c r="W845" i="1" s="1"/>
  <c r="Q846" i="1"/>
  <c r="S846" i="1" s="1"/>
  <c r="V846" i="1" s="1"/>
  <c r="Q847" i="1"/>
  <c r="W847" i="1" s="1"/>
  <c r="Q848" i="1"/>
  <c r="W848" i="1" s="1"/>
  <c r="Q849" i="1"/>
  <c r="W849" i="1" s="1"/>
  <c r="Q850" i="1"/>
  <c r="S850" i="1" s="1"/>
  <c r="V850" i="1" s="1"/>
  <c r="Q851" i="1"/>
  <c r="W851" i="1" s="1"/>
  <c r="Q852" i="1"/>
  <c r="W852" i="1" s="1"/>
  <c r="Q853" i="1"/>
  <c r="W853" i="1" s="1"/>
  <c r="Q854" i="1"/>
  <c r="S854" i="1" s="1"/>
  <c r="V854" i="1" s="1"/>
  <c r="Q855" i="1"/>
  <c r="W855" i="1" s="1"/>
  <c r="Q856" i="1"/>
  <c r="W856" i="1" s="1"/>
  <c r="Q857" i="1"/>
  <c r="W857" i="1" s="1"/>
  <c r="Q858" i="1"/>
  <c r="S858" i="1" s="1"/>
  <c r="V858" i="1" s="1"/>
  <c r="Q859" i="1"/>
  <c r="W859" i="1" s="1"/>
  <c r="Q860" i="1"/>
  <c r="W860" i="1" s="1"/>
  <c r="Q861" i="1"/>
  <c r="W861" i="1" s="1"/>
  <c r="Q862" i="1"/>
  <c r="S862" i="1" s="1"/>
  <c r="V862" i="1" s="1"/>
  <c r="Q863" i="1"/>
  <c r="W863" i="1" s="1"/>
  <c r="Q864" i="1"/>
  <c r="W864" i="1" s="1"/>
  <c r="Q865" i="1"/>
  <c r="W865" i="1" s="1"/>
  <c r="Q866" i="1"/>
  <c r="S866" i="1" s="1"/>
  <c r="V866" i="1" s="1"/>
  <c r="Q867" i="1"/>
  <c r="W867" i="1" s="1"/>
  <c r="Q868" i="1"/>
  <c r="W868" i="1" s="1"/>
  <c r="Q869" i="1"/>
  <c r="W869" i="1" s="1"/>
  <c r="Q870" i="1"/>
  <c r="S870" i="1" s="1"/>
  <c r="V870" i="1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2" i="1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25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6" i="9"/>
  <c r="V762" i="1" l="1"/>
  <c r="V730" i="1"/>
  <c r="V781" i="1"/>
  <c r="S867" i="1"/>
  <c r="S863" i="1"/>
  <c r="S859" i="1"/>
  <c r="S855" i="1"/>
  <c r="S851" i="1"/>
  <c r="S847" i="1"/>
  <c r="S843" i="1"/>
  <c r="V843" i="1" s="1"/>
  <c r="S839" i="1"/>
  <c r="V839" i="1" s="1"/>
  <c r="S835" i="1"/>
  <c r="V835" i="1" s="1"/>
  <c r="S831" i="1"/>
  <c r="V831" i="1" s="1"/>
  <c r="S827" i="1"/>
  <c r="V827" i="1" s="1"/>
  <c r="S823" i="1"/>
  <c r="V823" i="1" s="1"/>
  <c r="S819" i="1"/>
  <c r="V819" i="1" s="1"/>
  <c r="S815" i="1"/>
  <c r="V815" i="1" s="1"/>
  <c r="S811" i="1"/>
  <c r="V811" i="1" s="1"/>
  <c r="S807" i="1"/>
  <c r="V807" i="1" s="1"/>
  <c r="S803" i="1"/>
  <c r="V803" i="1" s="1"/>
  <c r="S799" i="1"/>
  <c r="V799" i="1" s="1"/>
  <c r="S795" i="1"/>
  <c r="V795" i="1" s="1"/>
  <c r="S791" i="1"/>
  <c r="V791" i="1" s="1"/>
  <c r="S787" i="1"/>
  <c r="V787" i="1" s="1"/>
  <c r="S783" i="1"/>
  <c r="V783" i="1" s="1"/>
  <c r="S779" i="1"/>
  <c r="V779" i="1" s="1"/>
  <c r="S775" i="1"/>
  <c r="V775" i="1" s="1"/>
  <c r="S771" i="1"/>
  <c r="V771" i="1" s="1"/>
  <c r="S767" i="1"/>
  <c r="V767" i="1" s="1"/>
  <c r="S763" i="1"/>
  <c r="V763" i="1" s="1"/>
  <c r="S759" i="1"/>
  <c r="V759" i="1" s="1"/>
  <c r="S755" i="1"/>
  <c r="V755" i="1" s="1"/>
  <c r="S751" i="1"/>
  <c r="V751" i="1" s="1"/>
  <c r="S747" i="1"/>
  <c r="V747" i="1" s="1"/>
  <c r="S743" i="1"/>
  <c r="V743" i="1" s="1"/>
  <c r="S739" i="1"/>
  <c r="V739" i="1" s="1"/>
  <c r="S735" i="1"/>
  <c r="V735" i="1" s="1"/>
  <c r="S731" i="1"/>
  <c r="V731" i="1" s="1"/>
  <c r="S842" i="1"/>
  <c r="V842" i="1" s="1"/>
  <c r="S838" i="1"/>
  <c r="V838" i="1" s="1"/>
  <c r="S834" i="1"/>
  <c r="V834" i="1" s="1"/>
  <c r="S830" i="1"/>
  <c r="V830" i="1" s="1"/>
  <c r="S826" i="1"/>
  <c r="V826" i="1" s="1"/>
  <c r="S822" i="1"/>
  <c r="V822" i="1" s="1"/>
  <c r="S818" i="1"/>
  <c r="V818" i="1" s="1"/>
  <c r="S814" i="1"/>
  <c r="V814" i="1" s="1"/>
  <c r="S810" i="1"/>
  <c r="V810" i="1" s="1"/>
  <c r="S806" i="1"/>
  <c r="V806" i="1" s="1"/>
  <c r="S802" i="1"/>
  <c r="V802" i="1" s="1"/>
  <c r="S798" i="1"/>
  <c r="V798" i="1" s="1"/>
  <c r="S794" i="1"/>
  <c r="V794" i="1" s="1"/>
  <c r="S790" i="1"/>
  <c r="V790" i="1" s="1"/>
  <c r="S786" i="1"/>
  <c r="V786" i="1" s="1"/>
  <c r="S778" i="1"/>
  <c r="V778" i="1" s="1"/>
  <c r="S774" i="1"/>
  <c r="V774" i="1" s="1"/>
  <c r="S766" i="1"/>
  <c r="V766" i="1" s="1"/>
  <c r="S758" i="1"/>
  <c r="V758" i="1" s="1"/>
  <c r="S750" i="1"/>
  <c r="V750" i="1" s="1"/>
  <c r="S742" i="1"/>
  <c r="V742" i="1" s="1"/>
  <c r="S734" i="1"/>
  <c r="V734" i="1" s="1"/>
  <c r="T781" i="1"/>
  <c r="U781" i="1" s="1"/>
  <c r="T776" i="1"/>
  <c r="U776" i="1" s="1"/>
  <c r="V776" i="1" s="1"/>
  <c r="T768" i="1"/>
  <c r="U768" i="1" s="1"/>
  <c r="V768" i="1" s="1"/>
  <c r="T760" i="1"/>
  <c r="U760" i="1" s="1"/>
  <c r="V760" i="1" s="1"/>
  <c r="T752" i="1"/>
  <c r="U752" i="1" s="1"/>
  <c r="V752" i="1" s="1"/>
  <c r="T744" i="1"/>
  <c r="U744" i="1" s="1"/>
  <c r="V744" i="1" s="1"/>
  <c r="T736" i="1"/>
  <c r="U736" i="1" s="1"/>
  <c r="V736" i="1" s="1"/>
  <c r="S841" i="1"/>
  <c r="V841" i="1" s="1"/>
  <c r="S837" i="1"/>
  <c r="V837" i="1" s="1"/>
  <c r="S833" i="1"/>
  <c r="V833" i="1" s="1"/>
  <c r="S829" i="1"/>
  <c r="V829" i="1" s="1"/>
  <c r="S825" i="1"/>
  <c r="V825" i="1" s="1"/>
  <c r="S821" i="1"/>
  <c r="V821" i="1" s="1"/>
  <c r="S817" i="1"/>
  <c r="V817" i="1" s="1"/>
  <c r="S813" i="1"/>
  <c r="V813" i="1" s="1"/>
  <c r="S809" i="1"/>
  <c r="V809" i="1" s="1"/>
  <c r="S805" i="1"/>
  <c r="V805" i="1" s="1"/>
  <c r="S801" i="1"/>
  <c r="V801" i="1" s="1"/>
  <c r="S797" i="1"/>
  <c r="V797" i="1" s="1"/>
  <c r="S793" i="1"/>
  <c r="V793" i="1" s="1"/>
  <c r="S789" i="1"/>
  <c r="V789" i="1" s="1"/>
  <c r="S785" i="1"/>
  <c r="V785" i="1" s="1"/>
  <c r="S773" i="1"/>
  <c r="V773" i="1" s="1"/>
  <c r="S769" i="1"/>
  <c r="V769" i="1" s="1"/>
  <c r="S765" i="1"/>
  <c r="V765" i="1" s="1"/>
  <c r="S761" i="1"/>
  <c r="V761" i="1" s="1"/>
  <c r="S757" i="1"/>
  <c r="V757" i="1" s="1"/>
  <c r="S753" i="1"/>
  <c r="V753" i="1" s="1"/>
  <c r="S749" i="1"/>
  <c r="V749" i="1" s="1"/>
  <c r="S745" i="1"/>
  <c r="V745" i="1" s="1"/>
  <c r="S741" i="1"/>
  <c r="V741" i="1" s="1"/>
  <c r="S737" i="1"/>
  <c r="V737" i="1" s="1"/>
  <c r="S733" i="1"/>
  <c r="V733" i="1" s="1"/>
  <c r="S729" i="1"/>
  <c r="V729" i="1" s="1"/>
  <c r="T780" i="1"/>
  <c r="U780" i="1" s="1"/>
  <c r="V780" i="1" s="1"/>
  <c r="S864" i="1"/>
  <c r="S860" i="1"/>
  <c r="S852" i="1"/>
  <c r="S848" i="1"/>
  <c r="S844" i="1"/>
  <c r="V844" i="1" s="1"/>
  <c r="S840" i="1"/>
  <c r="V840" i="1" s="1"/>
  <c r="S836" i="1"/>
  <c r="V836" i="1" s="1"/>
  <c r="S832" i="1"/>
  <c r="V832" i="1" s="1"/>
  <c r="S828" i="1"/>
  <c r="V828" i="1" s="1"/>
  <c r="S824" i="1"/>
  <c r="V824" i="1" s="1"/>
  <c r="S820" i="1"/>
  <c r="V820" i="1" s="1"/>
  <c r="S816" i="1"/>
  <c r="V816" i="1" s="1"/>
  <c r="S812" i="1"/>
  <c r="V812" i="1" s="1"/>
  <c r="S808" i="1"/>
  <c r="V808" i="1" s="1"/>
  <c r="S804" i="1"/>
  <c r="V804" i="1" s="1"/>
  <c r="S800" i="1"/>
  <c r="V800" i="1" s="1"/>
  <c r="S796" i="1"/>
  <c r="V796" i="1" s="1"/>
  <c r="S792" i="1"/>
  <c r="V792" i="1" s="1"/>
  <c r="S788" i="1"/>
  <c r="V788" i="1" s="1"/>
  <c r="S784" i="1"/>
  <c r="V784" i="1" s="1"/>
  <c r="S772" i="1"/>
  <c r="V772" i="1" s="1"/>
  <c r="S764" i="1"/>
  <c r="V764" i="1" s="1"/>
  <c r="S756" i="1"/>
  <c r="V756" i="1" s="1"/>
  <c r="S748" i="1"/>
  <c r="V748" i="1" s="1"/>
  <c r="S740" i="1"/>
  <c r="V740" i="1" s="1"/>
  <c r="S732" i="1"/>
  <c r="V732" i="1" s="1"/>
  <c r="W919" i="1"/>
  <c r="S919" i="1"/>
  <c r="V919" i="1" s="1"/>
  <c r="S911" i="1"/>
  <c r="V911" i="1" s="1"/>
  <c r="W911" i="1"/>
  <c r="S903" i="1"/>
  <c r="W903" i="1"/>
  <c r="S895" i="1"/>
  <c r="V895" i="1" s="1"/>
  <c r="W895" i="1"/>
  <c r="S887" i="1"/>
  <c r="W887" i="1"/>
  <c r="S879" i="1"/>
  <c r="V879" i="1" s="1"/>
  <c r="W879" i="1"/>
  <c r="S929" i="1"/>
  <c r="T929" i="1"/>
  <c r="U929" i="1" s="1"/>
  <c r="V921" i="1"/>
  <c r="S927" i="1"/>
  <c r="V927" i="1" s="1"/>
  <c r="S922" i="1"/>
  <c r="T922" i="1"/>
  <c r="U922" i="1" s="1"/>
  <c r="V922" i="1" s="1"/>
  <c r="S915" i="1"/>
  <c r="V915" i="1" s="1"/>
  <c r="V881" i="1"/>
  <c r="S931" i="1"/>
  <c r="V931" i="1" s="1"/>
  <c r="S923" i="1"/>
  <c r="V923" i="1" s="1"/>
  <c r="T923" i="1"/>
  <c r="U923" i="1" s="1"/>
  <c r="S907" i="1"/>
  <c r="V897" i="1"/>
  <c r="T930" i="1"/>
  <c r="U930" i="1" s="1"/>
  <c r="S926" i="1"/>
  <c r="V926" i="1" s="1"/>
  <c r="S920" i="1"/>
  <c r="W917" i="1"/>
  <c r="T914" i="1"/>
  <c r="U914" i="1" s="1"/>
  <c r="S910" i="1"/>
  <c r="V910" i="1" s="1"/>
  <c r="S904" i="1"/>
  <c r="S902" i="1"/>
  <c r="V902" i="1" s="1"/>
  <c r="S899" i="1"/>
  <c r="V899" i="1" s="1"/>
  <c r="W893" i="1"/>
  <c r="S889" i="1"/>
  <c r="V889" i="1" s="1"/>
  <c r="S888" i="1"/>
  <c r="V888" i="1" s="1"/>
  <c r="S886" i="1"/>
  <c r="V886" i="1" s="1"/>
  <c r="S883" i="1"/>
  <c r="V883" i="1" s="1"/>
  <c r="W877" i="1"/>
  <c r="S873" i="1"/>
  <c r="V873" i="1" s="1"/>
  <c r="S872" i="1"/>
  <c r="S925" i="1"/>
  <c r="V925" i="1" s="1"/>
  <c r="T913" i="1"/>
  <c r="U913" i="1" s="1"/>
  <c r="V913" i="1" s="1"/>
  <c r="S909" i="1"/>
  <c r="V909" i="1" s="1"/>
  <c r="S908" i="1"/>
  <c r="T907" i="1"/>
  <c r="U907" i="1" s="1"/>
  <c r="S901" i="1"/>
  <c r="V901" i="1" s="1"/>
  <c r="S900" i="1"/>
  <c r="S898" i="1"/>
  <c r="T897" i="1"/>
  <c r="U897" i="1" s="1"/>
  <c r="S885" i="1"/>
  <c r="V885" i="1" s="1"/>
  <c r="S884" i="1"/>
  <c r="S882" i="1"/>
  <c r="S928" i="1"/>
  <c r="S918" i="1"/>
  <c r="V918" i="1" s="1"/>
  <c r="S912" i="1"/>
  <c r="T906" i="1"/>
  <c r="U906" i="1" s="1"/>
  <c r="S896" i="1"/>
  <c r="S894" i="1"/>
  <c r="S891" i="1"/>
  <c r="V891" i="1" s="1"/>
  <c r="S880" i="1"/>
  <c r="S878" i="1"/>
  <c r="S875" i="1"/>
  <c r="V875" i="1" s="1"/>
  <c r="S890" i="1"/>
  <c r="S876" i="1"/>
  <c r="S874" i="1"/>
  <c r="V874" i="1" s="1"/>
  <c r="S871" i="1"/>
  <c r="V914" i="1"/>
  <c r="V894" i="1"/>
  <c r="V878" i="1"/>
  <c r="V930" i="1"/>
  <c r="V908" i="1"/>
  <c r="V898" i="1"/>
  <c r="V882" i="1"/>
  <c r="V906" i="1"/>
  <c r="V903" i="1"/>
  <c r="V890" i="1"/>
  <c r="V887" i="1"/>
  <c r="T871" i="1"/>
  <c r="U871" i="1" s="1"/>
  <c r="T932" i="1"/>
  <c r="U932" i="1" s="1"/>
  <c r="V932" i="1" s="1"/>
  <c r="T928" i="1"/>
  <c r="U928" i="1" s="1"/>
  <c r="V928" i="1" s="1"/>
  <c r="T924" i="1"/>
  <c r="U924" i="1" s="1"/>
  <c r="V924" i="1" s="1"/>
  <c r="T920" i="1"/>
  <c r="U920" i="1" s="1"/>
  <c r="T916" i="1"/>
  <c r="U916" i="1" s="1"/>
  <c r="V916" i="1" s="1"/>
  <c r="T912" i="1"/>
  <c r="U912" i="1" s="1"/>
  <c r="V912" i="1" s="1"/>
  <c r="T908" i="1"/>
  <c r="U908" i="1" s="1"/>
  <c r="T904" i="1"/>
  <c r="U904" i="1" s="1"/>
  <c r="T900" i="1"/>
  <c r="U900" i="1" s="1"/>
  <c r="V900" i="1" s="1"/>
  <c r="T896" i="1"/>
  <c r="U896" i="1" s="1"/>
  <c r="V896" i="1" s="1"/>
  <c r="T892" i="1"/>
  <c r="U892" i="1" s="1"/>
  <c r="V892" i="1" s="1"/>
  <c r="T888" i="1"/>
  <c r="U888" i="1" s="1"/>
  <c r="T884" i="1"/>
  <c r="U884" i="1" s="1"/>
  <c r="V884" i="1" s="1"/>
  <c r="T880" i="1"/>
  <c r="U880" i="1" s="1"/>
  <c r="V880" i="1" s="1"/>
  <c r="T876" i="1"/>
  <c r="U876" i="1" s="1"/>
  <c r="V876" i="1" s="1"/>
  <c r="T872" i="1"/>
  <c r="U872" i="1" s="1"/>
  <c r="V872" i="1" s="1"/>
  <c r="V847" i="1"/>
  <c r="W870" i="1"/>
  <c r="W866" i="1"/>
  <c r="W862" i="1"/>
  <c r="W858" i="1"/>
  <c r="W854" i="1"/>
  <c r="W850" i="1"/>
  <c r="W846" i="1"/>
  <c r="T864" i="1"/>
  <c r="U864" i="1" s="1"/>
  <c r="V864" i="1" s="1"/>
  <c r="T852" i="1"/>
  <c r="U852" i="1" s="1"/>
  <c r="V852" i="1" s="1"/>
  <c r="S869" i="1"/>
  <c r="V869" i="1" s="1"/>
  <c r="S865" i="1"/>
  <c r="V865" i="1" s="1"/>
  <c r="S861" i="1"/>
  <c r="V861" i="1" s="1"/>
  <c r="S857" i="1"/>
  <c r="V857" i="1" s="1"/>
  <c r="S853" i="1"/>
  <c r="V853" i="1" s="1"/>
  <c r="S849" i="1"/>
  <c r="V849" i="1" s="1"/>
  <c r="S845" i="1"/>
  <c r="V845" i="1" s="1"/>
  <c r="T867" i="1"/>
  <c r="U867" i="1" s="1"/>
  <c r="V867" i="1" s="1"/>
  <c r="T863" i="1"/>
  <c r="U863" i="1" s="1"/>
  <c r="V863" i="1" s="1"/>
  <c r="T859" i="1"/>
  <c r="U859" i="1" s="1"/>
  <c r="V859" i="1" s="1"/>
  <c r="T855" i="1"/>
  <c r="U855" i="1" s="1"/>
  <c r="V855" i="1" s="1"/>
  <c r="T851" i="1"/>
  <c r="U851" i="1" s="1"/>
  <c r="V851" i="1" s="1"/>
  <c r="T847" i="1"/>
  <c r="U847" i="1" s="1"/>
  <c r="T860" i="1"/>
  <c r="U860" i="1" s="1"/>
  <c r="V860" i="1" s="1"/>
  <c r="T848" i="1"/>
  <c r="U848" i="1" s="1"/>
  <c r="V848" i="1" s="1"/>
  <c r="S868" i="1"/>
  <c r="V868" i="1" s="1"/>
  <c r="S856" i="1"/>
  <c r="V856" i="1" s="1"/>
  <c r="A27" i="9"/>
  <c r="A52" i="9"/>
  <c r="A77" i="9"/>
  <c r="A2" i="9"/>
  <c r="V871" i="1" l="1"/>
  <c r="V907" i="1"/>
  <c r="V929" i="1"/>
  <c r="V904" i="1"/>
  <c r="V920" i="1"/>
  <c r="P10" i="7"/>
  <c r="Q10" i="7" s="1"/>
  <c r="J10" i="7"/>
  <c r="K10" i="7" s="1"/>
  <c r="D10" i="7"/>
  <c r="E10" i="7" s="1"/>
  <c r="P9" i="7"/>
  <c r="Q9" i="7" s="1"/>
  <c r="J9" i="7"/>
  <c r="K9" i="7" s="1"/>
  <c r="D9" i="7"/>
  <c r="E9" i="7" s="1"/>
  <c r="P5" i="7"/>
  <c r="Q5" i="7" s="1"/>
  <c r="J5" i="7"/>
  <c r="K5" i="7" s="1"/>
  <c r="D5" i="7"/>
  <c r="E5" i="7" s="1"/>
  <c r="D3" i="7"/>
  <c r="E3" i="7" s="1"/>
  <c r="D4" i="7"/>
  <c r="E4" i="7" s="1"/>
  <c r="D6" i="7"/>
  <c r="E6" i="7" s="1"/>
  <c r="D7" i="7"/>
  <c r="E7" i="7" s="1"/>
  <c r="D8" i="7"/>
  <c r="E8" i="7" s="1"/>
  <c r="D11" i="7"/>
  <c r="E11" i="7" s="1"/>
  <c r="D12" i="7"/>
  <c r="E12" i="7" s="1"/>
  <c r="D13" i="7"/>
  <c r="E13" i="7" s="1"/>
  <c r="D14" i="7"/>
  <c r="E14" i="7" s="1"/>
  <c r="D15" i="7"/>
  <c r="E15" i="7" s="1"/>
  <c r="D2" i="7"/>
  <c r="E2" i="7" s="1"/>
  <c r="P3" i="7"/>
  <c r="Q3" i="7" s="1"/>
  <c r="P4" i="7"/>
  <c r="Q4" i="7" s="1"/>
  <c r="P6" i="7"/>
  <c r="Q6" i="7" s="1"/>
  <c r="P7" i="7"/>
  <c r="Q7" i="7" s="1"/>
  <c r="P8" i="7"/>
  <c r="Q8" i="7" s="1"/>
  <c r="P11" i="7"/>
  <c r="Q11" i="7" s="1"/>
  <c r="P12" i="7"/>
  <c r="Q12" i="7" s="1"/>
  <c r="P13" i="7"/>
  <c r="Q13" i="7" s="1"/>
  <c r="P14" i="7"/>
  <c r="Q14" i="7" s="1"/>
  <c r="P15" i="7"/>
  <c r="Q15" i="7" s="1"/>
  <c r="J3" i="7"/>
  <c r="K3" i="7" s="1"/>
  <c r="J4" i="7"/>
  <c r="K4" i="7" s="1"/>
  <c r="J6" i="7"/>
  <c r="K6" i="7" s="1"/>
  <c r="J7" i="7"/>
  <c r="K7" i="7" s="1"/>
  <c r="J8" i="7"/>
  <c r="K8" i="7" s="1"/>
  <c r="J11" i="7"/>
  <c r="K11" i="7" s="1"/>
  <c r="J12" i="7"/>
  <c r="K12" i="7" s="1"/>
  <c r="J13" i="7"/>
  <c r="K13" i="7" s="1"/>
  <c r="J14" i="7"/>
  <c r="K14" i="7" s="1"/>
  <c r="J15" i="7"/>
  <c r="K15" i="7" s="1"/>
  <c r="P2" i="7"/>
  <c r="Q2" i="7" s="1"/>
  <c r="K2" i="7"/>
  <c r="T3" i="5"/>
  <c r="U3" i="5" s="1"/>
  <c r="R3" i="5"/>
  <c r="R2" i="5"/>
  <c r="P4" i="5"/>
  <c r="J1" i="6"/>
  <c r="M1" i="5"/>
  <c r="R726" i="1"/>
  <c r="R727" i="1"/>
  <c r="R728" i="1"/>
  <c r="R723" i="1"/>
  <c r="R724" i="1"/>
  <c r="R721" i="1"/>
  <c r="T721" i="1" s="1"/>
  <c r="U721" i="1" s="1"/>
  <c r="R722" i="1"/>
  <c r="R718" i="1"/>
  <c r="R719" i="1"/>
  <c r="T719" i="1" s="1"/>
  <c r="U719" i="1" s="1"/>
  <c r="R720" i="1"/>
  <c r="R715" i="1"/>
  <c r="R716" i="1"/>
  <c r="R717" i="1"/>
  <c r="T717" i="1" s="1"/>
  <c r="U717" i="1" s="1"/>
  <c r="R714" i="1"/>
  <c r="R713" i="1"/>
  <c r="R712" i="1"/>
  <c r="R711" i="1"/>
  <c r="T711" i="1" s="1"/>
  <c r="U711" i="1" s="1"/>
  <c r="R706" i="1"/>
  <c r="R707" i="1"/>
  <c r="R708" i="1"/>
  <c r="R709" i="1"/>
  <c r="R710" i="1"/>
  <c r="R705" i="1"/>
  <c r="R699" i="1"/>
  <c r="R700" i="1"/>
  <c r="R701" i="1"/>
  <c r="R702" i="1"/>
  <c r="R703" i="1"/>
  <c r="R704" i="1"/>
  <c r="R697" i="1"/>
  <c r="R698" i="1"/>
  <c r="T698" i="1" s="1"/>
  <c r="U698" i="1" s="1"/>
  <c r="R689" i="1"/>
  <c r="R690" i="1"/>
  <c r="R691" i="1"/>
  <c r="R692" i="1"/>
  <c r="R693" i="1"/>
  <c r="R694" i="1"/>
  <c r="T694" i="1" s="1"/>
  <c r="U694" i="1" s="1"/>
  <c r="R695" i="1"/>
  <c r="R696" i="1"/>
  <c r="R688" i="1"/>
  <c r="R685" i="1"/>
  <c r="R686" i="1"/>
  <c r="T686" i="1" s="1"/>
  <c r="U686" i="1" s="1"/>
  <c r="R687" i="1"/>
  <c r="R680" i="1"/>
  <c r="R681" i="1"/>
  <c r="R682" i="1"/>
  <c r="R683" i="1"/>
  <c r="R684" i="1"/>
  <c r="T684" i="1" s="1"/>
  <c r="U684" i="1" s="1"/>
  <c r="R677" i="1"/>
  <c r="R678" i="1"/>
  <c r="R679" i="1"/>
  <c r="R673" i="1"/>
  <c r="T673" i="1" s="1"/>
  <c r="U673" i="1" s="1"/>
  <c r="R674" i="1"/>
  <c r="R675" i="1"/>
  <c r="R676" i="1"/>
  <c r="R668" i="1"/>
  <c r="R669" i="1"/>
  <c r="R670" i="1"/>
  <c r="T670" i="1" s="1"/>
  <c r="U670" i="1" s="1"/>
  <c r="R671" i="1"/>
  <c r="R672" i="1"/>
  <c r="R664" i="1"/>
  <c r="R665" i="1"/>
  <c r="R666" i="1"/>
  <c r="R667" i="1"/>
  <c r="R661" i="1"/>
  <c r="R662" i="1"/>
  <c r="R663" i="1"/>
  <c r="R657" i="1"/>
  <c r="T657" i="1" s="1"/>
  <c r="U657" i="1" s="1"/>
  <c r="R658" i="1"/>
  <c r="T658" i="1" s="1"/>
  <c r="U658" i="1" s="1"/>
  <c r="R659" i="1"/>
  <c r="R660" i="1"/>
  <c r="R655" i="1"/>
  <c r="R656" i="1"/>
  <c r="R650" i="1"/>
  <c r="T650" i="1" s="1"/>
  <c r="U650" i="1" s="1"/>
  <c r="R651" i="1"/>
  <c r="R652" i="1"/>
  <c r="R653" i="1"/>
  <c r="R654" i="1"/>
  <c r="R646" i="1"/>
  <c r="R647" i="1"/>
  <c r="R648" i="1"/>
  <c r="R649" i="1"/>
  <c r="R644" i="1"/>
  <c r="R645" i="1"/>
  <c r="T645" i="1" s="1"/>
  <c r="U645" i="1" s="1"/>
  <c r="R642" i="1"/>
  <c r="R643" i="1"/>
  <c r="R639" i="1"/>
  <c r="R640" i="1"/>
  <c r="R641" i="1"/>
  <c r="R635" i="1"/>
  <c r="T635" i="1" s="1"/>
  <c r="U635" i="1" s="1"/>
  <c r="R636" i="1"/>
  <c r="R637" i="1"/>
  <c r="R638" i="1"/>
  <c r="R633" i="1"/>
  <c r="R634" i="1"/>
  <c r="T634" i="1" s="1"/>
  <c r="U634" i="1" s="1"/>
  <c r="R631" i="1"/>
  <c r="R632" i="1"/>
  <c r="R628" i="1"/>
  <c r="R629" i="1"/>
  <c r="R630" i="1"/>
  <c r="R626" i="1"/>
  <c r="T626" i="1" s="1"/>
  <c r="U626" i="1" s="1"/>
  <c r="R627" i="1"/>
  <c r="R622" i="1"/>
  <c r="R623" i="1"/>
  <c r="R624" i="1"/>
  <c r="R625" i="1"/>
  <c r="T625" i="1" s="1"/>
  <c r="U625" i="1" s="1"/>
  <c r="R619" i="1"/>
  <c r="R620" i="1"/>
  <c r="R621" i="1"/>
  <c r="R615" i="1"/>
  <c r="R616" i="1"/>
  <c r="R617" i="1"/>
  <c r="R618" i="1"/>
  <c r="R613" i="1"/>
  <c r="R614" i="1"/>
  <c r="R605" i="1"/>
  <c r="T605" i="1" s="1"/>
  <c r="U605" i="1" s="1"/>
  <c r="R606" i="1"/>
  <c r="R607" i="1"/>
  <c r="R608" i="1"/>
  <c r="R609" i="1"/>
  <c r="R610" i="1"/>
  <c r="R611" i="1"/>
  <c r="T611" i="1" s="1"/>
  <c r="U611" i="1" s="1"/>
  <c r="R612" i="1"/>
  <c r="R603" i="1"/>
  <c r="R604" i="1"/>
  <c r="R600" i="1"/>
  <c r="R601" i="1"/>
  <c r="R602" i="1"/>
  <c r="R596" i="1"/>
  <c r="R597" i="1"/>
  <c r="R598" i="1"/>
  <c r="R599" i="1"/>
  <c r="T599" i="1" s="1"/>
  <c r="U599" i="1" s="1"/>
  <c r="R594" i="1"/>
  <c r="T594" i="1" s="1"/>
  <c r="U594" i="1" s="1"/>
  <c r="R595" i="1"/>
  <c r="R592" i="1"/>
  <c r="R593" i="1"/>
  <c r="R590" i="1"/>
  <c r="R591" i="1"/>
  <c r="T591" i="1" s="1"/>
  <c r="U591" i="1" s="1"/>
  <c r="R586" i="1"/>
  <c r="R587" i="1"/>
  <c r="R588" i="1"/>
  <c r="R589" i="1"/>
  <c r="R584" i="1"/>
  <c r="R585" i="1"/>
  <c r="R580" i="1"/>
  <c r="R581" i="1"/>
  <c r="R582" i="1"/>
  <c r="R583" i="1"/>
  <c r="T583" i="1" s="1"/>
  <c r="U583" i="1" s="1"/>
  <c r="R575" i="1"/>
  <c r="R576" i="1"/>
  <c r="R577" i="1"/>
  <c r="R578" i="1"/>
  <c r="R579" i="1"/>
  <c r="R572" i="1"/>
  <c r="R573" i="1"/>
  <c r="R574" i="1"/>
  <c r="R570" i="1"/>
  <c r="R571" i="1"/>
  <c r="R564" i="1"/>
  <c r="R565" i="1"/>
  <c r="R566" i="1"/>
  <c r="R567" i="1"/>
  <c r="R568" i="1"/>
  <c r="R569" i="1"/>
  <c r="R560" i="1"/>
  <c r="R561" i="1"/>
  <c r="R562" i="1"/>
  <c r="R563" i="1"/>
  <c r="R558" i="1"/>
  <c r="R559" i="1"/>
  <c r="R557" i="1"/>
  <c r="R553" i="1"/>
  <c r="T553" i="1" s="1"/>
  <c r="U553" i="1" s="1"/>
  <c r="R554" i="1"/>
  <c r="R555" i="1"/>
  <c r="R556" i="1"/>
  <c r="R548" i="1"/>
  <c r="T548" i="1" s="1"/>
  <c r="U548" i="1" s="1"/>
  <c r="R549" i="1"/>
  <c r="R550" i="1"/>
  <c r="T550" i="1" s="1"/>
  <c r="U550" i="1" s="1"/>
  <c r="R551" i="1"/>
  <c r="R552" i="1"/>
  <c r="T552" i="1" s="1"/>
  <c r="U552" i="1" s="1"/>
  <c r="R533" i="1"/>
  <c r="R534" i="1"/>
  <c r="R535" i="1"/>
  <c r="T535" i="1" s="1"/>
  <c r="U535" i="1" s="1"/>
  <c r="R536" i="1"/>
  <c r="R537" i="1"/>
  <c r="R538" i="1"/>
  <c r="R539" i="1"/>
  <c r="R540" i="1"/>
  <c r="T540" i="1" s="1"/>
  <c r="U540" i="1" s="1"/>
  <c r="R541" i="1"/>
  <c r="R542" i="1"/>
  <c r="R543" i="1"/>
  <c r="R544" i="1"/>
  <c r="R545" i="1"/>
  <c r="R546" i="1"/>
  <c r="T546" i="1" s="1"/>
  <c r="U546" i="1" s="1"/>
  <c r="R547" i="1"/>
  <c r="R525" i="1"/>
  <c r="R526" i="1"/>
  <c r="R527" i="1"/>
  <c r="R528" i="1"/>
  <c r="R529" i="1"/>
  <c r="R530" i="1"/>
  <c r="R531" i="1"/>
  <c r="R532" i="1"/>
  <c r="R518" i="1"/>
  <c r="T518" i="1" s="1"/>
  <c r="U518" i="1" s="1"/>
  <c r="R519" i="1"/>
  <c r="R520" i="1"/>
  <c r="R521" i="1"/>
  <c r="R522" i="1"/>
  <c r="R523" i="1"/>
  <c r="R524" i="1"/>
  <c r="T524" i="1" s="1"/>
  <c r="U524" i="1" s="1"/>
  <c r="R509" i="1"/>
  <c r="R510" i="1"/>
  <c r="T510" i="1" s="1"/>
  <c r="U510" i="1" s="1"/>
  <c r="R511" i="1"/>
  <c r="R512" i="1"/>
  <c r="R513" i="1"/>
  <c r="T513" i="1" s="1"/>
  <c r="U513" i="1" s="1"/>
  <c r="R514" i="1"/>
  <c r="T514" i="1" s="1"/>
  <c r="U514" i="1" s="1"/>
  <c r="R515" i="1"/>
  <c r="R516" i="1"/>
  <c r="R517" i="1"/>
  <c r="R501" i="1"/>
  <c r="T501" i="1" s="1"/>
  <c r="U501" i="1" s="1"/>
  <c r="R502" i="1"/>
  <c r="R503" i="1"/>
  <c r="R504" i="1"/>
  <c r="R505" i="1"/>
  <c r="R506" i="1"/>
  <c r="R507" i="1"/>
  <c r="T507" i="1" s="1"/>
  <c r="U507" i="1" s="1"/>
  <c r="R508" i="1"/>
  <c r="R495" i="1"/>
  <c r="R496" i="1"/>
  <c r="R497" i="1"/>
  <c r="R498" i="1"/>
  <c r="R499" i="1"/>
  <c r="R500" i="1"/>
  <c r="R491" i="1"/>
  <c r="R492" i="1"/>
  <c r="R493" i="1"/>
  <c r="T493" i="1" s="1"/>
  <c r="U493" i="1" s="1"/>
  <c r="R494" i="1"/>
  <c r="T494" i="1" s="1"/>
  <c r="U494" i="1" s="1"/>
  <c r="R485" i="1"/>
  <c r="R486" i="1"/>
  <c r="R487" i="1"/>
  <c r="R488" i="1"/>
  <c r="R489" i="1"/>
  <c r="T489" i="1" s="1"/>
  <c r="U489" i="1" s="1"/>
  <c r="R490" i="1"/>
  <c r="R483" i="1"/>
  <c r="T483" i="1" s="1"/>
  <c r="U483" i="1" s="1"/>
  <c r="R484" i="1"/>
  <c r="R475" i="1"/>
  <c r="R476" i="1"/>
  <c r="T476" i="1" s="1"/>
  <c r="U476" i="1" s="1"/>
  <c r="R477" i="1"/>
  <c r="R478" i="1"/>
  <c r="R479" i="1"/>
  <c r="R480" i="1"/>
  <c r="R481" i="1"/>
  <c r="T481" i="1" s="1"/>
  <c r="U481" i="1" s="1"/>
  <c r="R482" i="1"/>
  <c r="R468" i="1"/>
  <c r="R469" i="1"/>
  <c r="R470" i="1"/>
  <c r="R471" i="1"/>
  <c r="R472" i="1"/>
  <c r="T472" i="1" s="1"/>
  <c r="U472" i="1" s="1"/>
  <c r="R473" i="1"/>
  <c r="R474" i="1"/>
  <c r="R464" i="1"/>
  <c r="R465" i="1"/>
  <c r="R466" i="1"/>
  <c r="R467" i="1"/>
  <c r="R458" i="1"/>
  <c r="R459" i="1"/>
  <c r="R460" i="1"/>
  <c r="R461" i="1"/>
  <c r="T461" i="1" s="1"/>
  <c r="U461" i="1" s="1"/>
  <c r="R462" i="1"/>
  <c r="R463" i="1"/>
  <c r="R447" i="1"/>
  <c r="R448" i="1"/>
  <c r="R449" i="1"/>
  <c r="R450" i="1"/>
  <c r="T450" i="1" s="1"/>
  <c r="U450" i="1" s="1"/>
  <c r="R451" i="1"/>
  <c r="R452" i="1"/>
  <c r="T452" i="1" s="1"/>
  <c r="U452" i="1" s="1"/>
  <c r="R453" i="1"/>
  <c r="R454" i="1"/>
  <c r="R455" i="1"/>
  <c r="T455" i="1" s="1"/>
  <c r="U455" i="1" s="1"/>
  <c r="R456" i="1"/>
  <c r="T456" i="1" s="1"/>
  <c r="U456" i="1" s="1"/>
  <c r="R457" i="1"/>
  <c r="R439" i="1"/>
  <c r="R440" i="1"/>
  <c r="R441" i="1"/>
  <c r="T441" i="1" s="1"/>
  <c r="U441" i="1" s="1"/>
  <c r="R442" i="1"/>
  <c r="R443" i="1"/>
  <c r="R444" i="1"/>
  <c r="R445" i="1"/>
  <c r="R446" i="1"/>
  <c r="R436" i="1"/>
  <c r="T436" i="1" s="1"/>
  <c r="U436" i="1" s="1"/>
  <c r="R437" i="1"/>
  <c r="R438" i="1"/>
  <c r="R428" i="1"/>
  <c r="R429" i="1"/>
  <c r="R430" i="1"/>
  <c r="R431" i="1"/>
  <c r="R432" i="1"/>
  <c r="R433" i="1"/>
  <c r="R434" i="1"/>
  <c r="R435" i="1"/>
  <c r="T435" i="1" s="1"/>
  <c r="U435" i="1" s="1"/>
  <c r="R414" i="1"/>
  <c r="T414" i="1" s="1"/>
  <c r="U414" i="1" s="1"/>
  <c r="R415" i="1"/>
  <c r="R416" i="1"/>
  <c r="R417" i="1"/>
  <c r="R418" i="1"/>
  <c r="R419" i="1"/>
  <c r="T419" i="1" s="1"/>
  <c r="U419" i="1" s="1"/>
  <c r="R420" i="1"/>
  <c r="R421" i="1"/>
  <c r="T421" i="1" s="1"/>
  <c r="U421" i="1" s="1"/>
  <c r="R422" i="1"/>
  <c r="R423" i="1"/>
  <c r="R424" i="1"/>
  <c r="T424" i="1" s="1"/>
  <c r="U424" i="1" s="1"/>
  <c r="R425" i="1"/>
  <c r="R426" i="1"/>
  <c r="R427" i="1"/>
  <c r="R398" i="1"/>
  <c r="R399" i="1"/>
  <c r="T399" i="1" s="1"/>
  <c r="U399" i="1" s="1"/>
  <c r="R400" i="1"/>
  <c r="R401" i="1"/>
  <c r="R402" i="1"/>
  <c r="R403" i="1"/>
  <c r="R404" i="1"/>
  <c r="R405" i="1"/>
  <c r="T405" i="1" s="1"/>
  <c r="U405" i="1" s="1"/>
  <c r="R406" i="1"/>
  <c r="R407" i="1"/>
  <c r="R408" i="1"/>
  <c r="R409" i="1"/>
  <c r="R410" i="1"/>
  <c r="R411" i="1"/>
  <c r="R412" i="1"/>
  <c r="R413" i="1"/>
  <c r="R395" i="1"/>
  <c r="R396" i="1"/>
  <c r="T396" i="1" s="1"/>
  <c r="U396" i="1" s="1"/>
  <c r="R397" i="1"/>
  <c r="R388" i="1"/>
  <c r="R389" i="1"/>
  <c r="R390" i="1"/>
  <c r="T390" i="1" s="1"/>
  <c r="U390" i="1" s="1"/>
  <c r="R391" i="1"/>
  <c r="R392" i="1"/>
  <c r="R393" i="1"/>
  <c r="R394" i="1"/>
  <c r="T394" i="1" s="1"/>
  <c r="U394" i="1" s="1"/>
  <c r="R382" i="1"/>
  <c r="R383" i="1"/>
  <c r="R384" i="1"/>
  <c r="R385" i="1"/>
  <c r="T385" i="1" s="1"/>
  <c r="U385" i="1" s="1"/>
  <c r="R386" i="1"/>
  <c r="R387" i="1"/>
  <c r="R371" i="1"/>
  <c r="R372" i="1"/>
  <c r="T372" i="1" s="1"/>
  <c r="U372" i="1" s="1"/>
  <c r="R373" i="1"/>
  <c r="R374" i="1"/>
  <c r="R375" i="1"/>
  <c r="R376" i="1"/>
  <c r="T376" i="1" s="1"/>
  <c r="U376" i="1" s="1"/>
  <c r="R377" i="1"/>
  <c r="R378" i="1"/>
  <c r="R379" i="1"/>
  <c r="R380" i="1"/>
  <c r="T380" i="1" s="1"/>
  <c r="U380" i="1" s="1"/>
  <c r="R381" i="1"/>
  <c r="R369" i="1"/>
  <c r="R370" i="1"/>
  <c r="T370" i="1" s="1"/>
  <c r="U370" i="1" s="1"/>
  <c r="R362" i="1"/>
  <c r="T362" i="1" s="1"/>
  <c r="U362" i="1" s="1"/>
  <c r="R363" i="1"/>
  <c r="R364" i="1"/>
  <c r="R365" i="1"/>
  <c r="R366" i="1"/>
  <c r="T366" i="1" s="1"/>
  <c r="U366" i="1" s="1"/>
  <c r="R367" i="1"/>
  <c r="R368" i="1"/>
  <c r="R350" i="1"/>
  <c r="R351" i="1"/>
  <c r="T351" i="1" s="1"/>
  <c r="U351" i="1" s="1"/>
  <c r="R352" i="1"/>
  <c r="R353" i="1"/>
  <c r="R354" i="1"/>
  <c r="R355" i="1"/>
  <c r="T355" i="1" s="1"/>
  <c r="U355" i="1" s="1"/>
  <c r="R356" i="1"/>
  <c r="R357" i="1"/>
  <c r="R358" i="1"/>
  <c r="R359" i="1"/>
  <c r="T359" i="1" s="1"/>
  <c r="U359" i="1" s="1"/>
  <c r="R360" i="1"/>
  <c r="R361" i="1"/>
  <c r="R331" i="1"/>
  <c r="R332" i="1"/>
  <c r="T332" i="1" s="1"/>
  <c r="U332" i="1" s="1"/>
  <c r="R333" i="1"/>
  <c r="R334" i="1"/>
  <c r="R335" i="1"/>
  <c r="R336" i="1"/>
  <c r="T336" i="1" s="1"/>
  <c r="U336" i="1" s="1"/>
  <c r="R337" i="1"/>
  <c r="R338" i="1"/>
  <c r="R339" i="1"/>
  <c r="R340" i="1"/>
  <c r="T340" i="1" s="1"/>
  <c r="U340" i="1" s="1"/>
  <c r="R341" i="1"/>
  <c r="R342" i="1"/>
  <c r="R343" i="1"/>
  <c r="R344" i="1"/>
  <c r="T344" i="1" s="1"/>
  <c r="U344" i="1" s="1"/>
  <c r="R345" i="1"/>
  <c r="R346" i="1"/>
  <c r="R347" i="1"/>
  <c r="R348" i="1"/>
  <c r="T348" i="1" s="1"/>
  <c r="U348" i="1" s="1"/>
  <c r="R349" i="1"/>
  <c r="R325" i="1"/>
  <c r="R326" i="1"/>
  <c r="R327" i="1"/>
  <c r="T327" i="1" s="1"/>
  <c r="U327" i="1" s="1"/>
  <c r="R328" i="1"/>
  <c r="R329" i="1"/>
  <c r="R330" i="1"/>
  <c r="R320" i="1"/>
  <c r="T320" i="1" s="1"/>
  <c r="U320" i="1" s="1"/>
  <c r="R321" i="1"/>
  <c r="R322" i="1"/>
  <c r="R323" i="1"/>
  <c r="R324" i="1"/>
  <c r="T324" i="1" s="1"/>
  <c r="U324" i="1" s="1"/>
  <c r="R311" i="1"/>
  <c r="R312" i="1"/>
  <c r="R313" i="1"/>
  <c r="R314" i="1"/>
  <c r="T314" i="1" s="1"/>
  <c r="U314" i="1" s="1"/>
  <c r="R315" i="1"/>
  <c r="R316" i="1"/>
  <c r="R317" i="1"/>
  <c r="R318" i="1"/>
  <c r="T318" i="1" s="1"/>
  <c r="U318" i="1" s="1"/>
  <c r="R319" i="1"/>
  <c r="R303" i="1"/>
  <c r="R304" i="1"/>
  <c r="R305" i="1"/>
  <c r="T305" i="1" s="1"/>
  <c r="U305" i="1" s="1"/>
  <c r="R306" i="1"/>
  <c r="R307" i="1"/>
  <c r="R308" i="1"/>
  <c r="T308" i="1" s="1"/>
  <c r="U308" i="1" s="1"/>
  <c r="R309" i="1"/>
  <c r="T309" i="1" s="1"/>
  <c r="U309" i="1" s="1"/>
  <c r="R310" i="1"/>
  <c r="R295" i="1"/>
  <c r="R296" i="1"/>
  <c r="R297" i="1"/>
  <c r="T297" i="1" s="1"/>
  <c r="U297" i="1" s="1"/>
  <c r="R298" i="1"/>
  <c r="R299" i="1"/>
  <c r="R300" i="1"/>
  <c r="R301" i="1"/>
  <c r="R302" i="1"/>
  <c r="R274" i="1"/>
  <c r="R275" i="1"/>
  <c r="R276" i="1"/>
  <c r="R277" i="1"/>
  <c r="R278" i="1"/>
  <c r="R279" i="1"/>
  <c r="R280" i="1"/>
  <c r="R281" i="1"/>
  <c r="R282" i="1"/>
  <c r="R283" i="1"/>
  <c r="R284" i="1"/>
  <c r="T284" i="1" s="1"/>
  <c r="U284" i="1" s="1"/>
  <c r="R285" i="1"/>
  <c r="R286" i="1"/>
  <c r="T286" i="1" s="1"/>
  <c r="U286" i="1" s="1"/>
  <c r="R287" i="1"/>
  <c r="R288" i="1"/>
  <c r="R289" i="1"/>
  <c r="R290" i="1"/>
  <c r="R291" i="1"/>
  <c r="R292" i="1"/>
  <c r="T292" i="1" s="1"/>
  <c r="U292" i="1" s="1"/>
  <c r="R293" i="1"/>
  <c r="R294" i="1"/>
  <c r="R272" i="1"/>
  <c r="R273" i="1"/>
  <c r="R270" i="1"/>
  <c r="T270" i="1" s="1"/>
  <c r="U270" i="1" s="1"/>
  <c r="R271" i="1"/>
  <c r="R249" i="1"/>
  <c r="R250" i="1"/>
  <c r="T250" i="1" s="1"/>
  <c r="U250" i="1" s="1"/>
  <c r="R251" i="1"/>
  <c r="R252" i="1"/>
  <c r="R253" i="1"/>
  <c r="T253" i="1" s="1"/>
  <c r="U253" i="1" s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T266" i="1" s="1"/>
  <c r="U266" i="1" s="1"/>
  <c r="R267" i="1"/>
  <c r="R268" i="1"/>
  <c r="T268" i="1" s="1"/>
  <c r="U268" i="1" s="1"/>
  <c r="R269" i="1"/>
  <c r="R204" i="1"/>
  <c r="R205" i="1"/>
  <c r="R206" i="1"/>
  <c r="T206" i="1" s="1"/>
  <c r="U206" i="1" s="1"/>
  <c r="R207" i="1"/>
  <c r="R208" i="1"/>
  <c r="R209" i="1"/>
  <c r="T209" i="1" s="1"/>
  <c r="U209" i="1" s="1"/>
  <c r="R210" i="1"/>
  <c r="R211" i="1"/>
  <c r="R212" i="1"/>
  <c r="R213" i="1"/>
  <c r="R214" i="1"/>
  <c r="R215" i="1"/>
  <c r="T215" i="1" s="1"/>
  <c r="U215" i="1" s="1"/>
  <c r="R216" i="1"/>
  <c r="R217" i="1"/>
  <c r="R218" i="1"/>
  <c r="R219" i="1"/>
  <c r="R220" i="1"/>
  <c r="R221" i="1"/>
  <c r="R222" i="1"/>
  <c r="T222" i="1" s="1"/>
  <c r="U222" i="1" s="1"/>
  <c r="R223" i="1"/>
  <c r="R224" i="1"/>
  <c r="R225" i="1"/>
  <c r="R226" i="1"/>
  <c r="R227" i="1"/>
  <c r="R228" i="1"/>
  <c r="R229" i="1"/>
  <c r="R230" i="1"/>
  <c r="R231" i="1"/>
  <c r="R232" i="1"/>
  <c r="T232" i="1" s="1"/>
  <c r="U232" i="1" s="1"/>
  <c r="R233" i="1"/>
  <c r="R234" i="1"/>
  <c r="R235" i="1"/>
  <c r="R236" i="1"/>
  <c r="R237" i="1"/>
  <c r="T237" i="1" s="1"/>
  <c r="U237" i="1" s="1"/>
  <c r="R238" i="1"/>
  <c r="T238" i="1" s="1"/>
  <c r="U238" i="1" s="1"/>
  <c r="R239" i="1"/>
  <c r="R240" i="1"/>
  <c r="R241" i="1"/>
  <c r="R242" i="1"/>
  <c r="R243" i="1"/>
  <c r="T243" i="1" s="1"/>
  <c r="U243" i="1" s="1"/>
  <c r="R244" i="1"/>
  <c r="R245" i="1"/>
  <c r="T245" i="1" s="1"/>
  <c r="U245" i="1" s="1"/>
  <c r="R246" i="1"/>
  <c r="R247" i="1"/>
  <c r="R248" i="1"/>
  <c r="T248" i="1" s="1"/>
  <c r="U248" i="1" s="1"/>
  <c r="R203" i="1"/>
  <c r="R200" i="1"/>
  <c r="R201" i="1"/>
  <c r="R202" i="1"/>
  <c r="R186" i="1"/>
  <c r="R187" i="1"/>
  <c r="T187" i="1" s="1"/>
  <c r="U187" i="1" s="1"/>
  <c r="R188" i="1"/>
  <c r="R189" i="1"/>
  <c r="R190" i="1"/>
  <c r="R191" i="1"/>
  <c r="R192" i="1"/>
  <c r="T192" i="1" s="1"/>
  <c r="U192" i="1" s="1"/>
  <c r="R193" i="1"/>
  <c r="R194" i="1"/>
  <c r="R195" i="1"/>
  <c r="R196" i="1"/>
  <c r="R197" i="1"/>
  <c r="T197" i="1" s="1"/>
  <c r="U197" i="1" s="1"/>
  <c r="R198" i="1"/>
  <c r="R199" i="1"/>
  <c r="T199" i="1" s="1"/>
  <c r="U199" i="1" s="1"/>
  <c r="R174" i="1"/>
  <c r="R175" i="1"/>
  <c r="R176" i="1"/>
  <c r="R177" i="1"/>
  <c r="T177" i="1" s="1"/>
  <c r="U177" i="1" s="1"/>
  <c r="R178" i="1"/>
  <c r="R179" i="1"/>
  <c r="R180" i="1"/>
  <c r="T180" i="1" s="1"/>
  <c r="U180" i="1" s="1"/>
  <c r="R181" i="1"/>
  <c r="R182" i="1"/>
  <c r="R183" i="1"/>
  <c r="R184" i="1"/>
  <c r="R185" i="1"/>
  <c r="R173" i="1"/>
  <c r="R163" i="1"/>
  <c r="R164" i="1"/>
  <c r="R165" i="1"/>
  <c r="R166" i="1"/>
  <c r="R167" i="1"/>
  <c r="R168" i="1"/>
  <c r="R169" i="1"/>
  <c r="T169" i="1" s="1"/>
  <c r="U169" i="1" s="1"/>
  <c r="R170" i="1"/>
  <c r="R171" i="1"/>
  <c r="R172" i="1"/>
  <c r="R160" i="1"/>
  <c r="R161" i="1"/>
  <c r="R162" i="1"/>
  <c r="R140" i="1"/>
  <c r="R141" i="1"/>
  <c r="T141" i="1" s="1"/>
  <c r="U141" i="1" s="1"/>
  <c r="R142" i="1"/>
  <c r="R143" i="1"/>
  <c r="T143" i="1" s="1"/>
  <c r="U143" i="1" s="1"/>
  <c r="R144" i="1"/>
  <c r="R145" i="1"/>
  <c r="R146" i="1"/>
  <c r="R147" i="1"/>
  <c r="R148" i="1"/>
  <c r="T148" i="1" s="1"/>
  <c r="U148" i="1" s="1"/>
  <c r="R149" i="1"/>
  <c r="T149" i="1" s="1"/>
  <c r="U149" i="1" s="1"/>
  <c r="R150" i="1"/>
  <c r="R151" i="1"/>
  <c r="R152" i="1"/>
  <c r="R153" i="1"/>
  <c r="R154" i="1"/>
  <c r="T154" i="1" s="1"/>
  <c r="U154" i="1" s="1"/>
  <c r="R155" i="1"/>
  <c r="R156" i="1"/>
  <c r="R157" i="1"/>
  <c r="R158" i="1"/>
  <c r="R159" i="1"/>
  <c r="T159" i="1" s="1"/>
  <c r="U159" i="1" s="1"/>
  <c r="R133" i="1"/>
  <c r="R134" i="1"/>
  <c r="R135" i="1"/>
  <c r="R136" i="1"/>
  <c r="R137" i="1"/>
  <c r="R138" i="1"/>
  <c r="T138" i="1" s="1"/>
  <c r="U138" i="1" s="1"/>
  <c r="R139" i="1"/>
  <c r="R119" i="1"/>
  <c r="R120" i="1"/>
  <c r="R121" i="1"/>
  <c r="R122" i="1"/>
  <c r="T122" i="1" s="1"/>
  <c r="U122" i="1" s="1"/>
  <c r="R123" i="1"/>
  <c r="R124" i="1"/>
  <c r="R125" i="1"/>
  <c r="R126" i="1"/>
  <c r="R127" i="1"/>
  <c r="T127" i="1" s="1"/>
  <c r="U127" i="1" s="1"/>
  <c r="R128" i="1"/>
  <c r="R129" i="1"/>
  <c r="T129" i="1" s="1"/>
  <c r="U129" i="1" s="1"/>
  <c r="R130" i="1"/>
  <c r="R131" i="1"/>
  <c r="R132" i="1"/>
  <c r="R105" i="1"/>
  <c r="T105" i="1" s="1"/>
  <c r="U105" i="1" s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89" i="1"/>
  <c r="R90" i="1"/>
  <c r="R91" i="1"/>
  <c r="T91" i="1" s="1"/>
  <c r="U91" i="1" s="1"/>
  <c r="R92" i="1"/>
  <c r="R93" i="1"/>
  <c r="R94" i="1"/>
  <c r="R95" i="1"/>
  <c r="R96" i="1"/>
  <c r="R97" i="1"/>
  <c r="R98" i="1"/>
  <c r="R99" i="1"/>
  <c r="T99" i="1" s="1"/>
  <c r="U99" i="1" s="1"/>
  <c r="R100" i="1"/>
  <c r="R101" i="1"/>
  <c r="T101" i="1" s="1"/>
  <c r="U101" i="1" s="1"/>
  <c r="R102" i="1"/>
  <c r="R103" i="1"/>
  <c r="R104" i="1"/>
  <c r="R79" i="1"/>
  <c r="R80" i="1"/>
  <c r="R81" i="1"/>
  <c r="T81" i="1" s="1"/>
  <c r="U81" i="1" s="1"/>
  <c r="R82" i="1"/>
  <c r="R83" i="1"/>
  <c r="R84" i="1"/>
  <c r="R85" i="1"/>
  <c r="R86" i="1"/>
  <c r="T86" i="1" s="1"/>
  <c r="U86" i="1" s="1"/>
  <c r="R87" i="1"/>
  <c r="R88" i="1"/>
  <c r="R66" i="1"/>
  <c r="R67" i="1"/>
  <c r="R68" i="1"/>
  <c r="T68" i="1" s="1"/>
  <c r="U68" i="1" s="1"/>
  <c r="R69" i="1"/>
  <c r="R70" i="1"/>
  <c r="R71" i="1"/>
  <c r="R72" i="1"/>
  <c r="R73" i="1"/>
  <c r="R74" i="1"/>
  <c r="T74" i="1" s="1"/>
  <c r="U74" i="1" s="1"/>
  <c r="R75" i="1"/>
  <c r="R76" i="1"/>
  <c r="R77" i="1"/>
  <c r="R78" i="1"/>
  <c r="T78" i="1" s="1"/>
  <c r="U78" i="1" s="1"/>
  <c r="R63" i="1"/>
  <c r="T63" i="1" s="1"/>
  <c r="U63" i="1" s="1"/>
  <c r="R64" i="1"/>
  <c r="R65" i="1"/>
  <c r="R45" i="1"/>
  <c r="R46" i="1"/>
  <c r="R47" i="1"/>
  <c r="T47" i="1" s="1"/>
  <c r="U47" i="1" s="1"/>
  <c r="R48" i="1"/>
  <c r="R49" i="1"/>
  <c r="R50" i="1"/>
  <c r="R51" i="1"/>
  <c r="R52" i="1"/>
  <c r="R53" i="1"/>
  <c r="T53" i="1" s="1"/>
  <c r="U53" i="1" s="1"/>
  <c r="R54" i="1"/>
  <c r="R55" i="1"/>
  <c r="R56" i="1"/>
  <c r="R57" i="1"/>
  <c r="R58" i="1"/>
  <c r="R59" i="1"/>
  <c r="R60" i="1"/>
  <c r="R61" i="1"/>
  <c r="R62" i="1"/>
  <c r="R32" i="1"/>
  <c r="R33" i="1"/>
  <c r="R34" i="1"/>
  <c r="R35" i="1"/>
  <c r="R36" i="1"/>
  <c r="R37" i="1"/>
  <c r="R38" i="1"/>
  <c r="T38" i="1" s="1"/>
  <c r="U38" i="1" s="1"/>
  <c r="R39" i="1"/>
  <c r="T39" i="1" s="1"/>
  <c r="U39" i="1" s="1"/>
  <c r="R40" i="1"/>
  <c r="R41" i="1"/>
  <c r="R42" i="1"/>
  <c r="R43" i="1"/>
  <c r="R44" i="1"/>
  <c r="R30" i="1"/>
  <c r="R31" i="1"/>
  <c r="R15" i="1"/>
  <c r="R16" i="1"/>
  <c r="T16" i="1" s="1"/>
  <c r="U16" i="1" s="1"/>
  <c r="R17" i="1"/>
  <c r="R18" i="1"/>
  <c r="R19" i="1"/>
  <c r="R20" i="1"/>
  <c r="R21" i="1"/>
  <c r="R22" i="1"/>
  <c r="T22" i="1" s="1"/>
  <c r="U22" i="1" s="1"/>
  <c r="R23" i="1"/>
  <c r="R24" i="1"/>
  <c r="R25" i="1"/>
  <c r="R26" i="1"/>
  <c r="R27" i="1"/>
  <c r="T27" i="1" s="1"/>
  <c r="U27" i="1" s="1"/>
  <c r="R28" i="1"/>
  <c r="R2" i="1"/>
  <c r="R3" i="1"/>
  <c r="R4" i="1"/>
  <c r="R5" i="1"/>
  <c r="R6" i="1"/>
  <c r="R7" i="1"/>
  <c r="R8" i="1"/>
  <c r="T8" i="1" s="1"/>
  <c r="U8" i="1" s="1"/>
  <c r="R9" i="1"/>
  <c r="R10" i="1"/>
  <c r="R11" i="1"/>
  <c r="T11" i="1" s="1"/>
  <c r="U11" i="1" s="1"/>
  <c r="R12" i="1"/>
  <c r="R13" i="1"/>
  <c r="R14" i="1"/>
  <c r="R29" i="1"/>
  <c r="R725" i="1"/>
  <c r="Q726" i="1"/>
  <c r="W726" i="1" s="1"/>
  <c r="Q727" i="1"/>
  <c r="W727" i="1" s="1"/>
  <c r="Q728" i="1"/>
  <c r="W728" i="1" s="1"/>
  <c r="Q723" i="1"/>
  <c r="W723" i="1" s="1"/>
  <c r="Q724" i="1"/>
  <c r="W724" i="1" s="1"/>
  <c r="Q721" i="1"/>
  <c r="W721" i="1" s="1"/>
  <c r="Q722" i="1"/>
  <c r="W722" i="1" s="1"/>
  <c r="Q718" i="1"/>
  <c r="W718" i="1" s="1"/>
  <c r="Q719" i="1"/>
  <c r="W719" i="1" s="1"/>
  <c r="Q720" i="1"/>
  <c r="W720" i="1" s="1"/>
  <c r="Q715" i="1"/>
  <c r="W715" i="1" s="1"/>
  <c r="Q716" i="1"/>
  <c r="W716" i="1" s="1"/>
  <c r="Q717" i="1"/>
  <c r="W717" i="1" s="1"/>
  <c r="Q714" i="1"/>
  <c r="W714" i="1" s="1"/>
  <c r="Q713" i="1"/>
  <c r="W713" i="1" s="1"/>
  <c r="Q712" i="1"/>
  <c r="W712" i="1" s="1"/>
  <c r="Q711" i="1"/>
  <c r="W711" i="1" s="1"/>
  <c r="Q706" i="1"/>
  <c r="W706" i="1" s="1"/>
  <c r="Q707" i="1"/>
  <c r="W707" i="1" s="1"/>
  <c r="Q708" i="1"/>
  <c r="W708" i="1" s="1"/>
  <c r="Q709" i="1"/>
  <c r="W709" i="1" s="1"/>
  <c r="Q710" i="1"/>
  <c r="W710" i="1" s="1"/>
  <c r="Q705" i="1"/>
  <c r="W705" i="1" s="1"/>
  <c r="Q699" i="1"/>
  <c r="W699" i="1" s="1"/>
  <c r="Q700" i="1"/>
  <c r="W700" i="1" s="1"/>
  <c r="Q701" i="1"/>
  <c r="W701" i="1" s="1"/>
  <c r="Q702" i="1"/>
  <c r="W702" i="1" s="1"/>
  <c r="Q703" i="1"/>
  <c r="W703" i="1" s="1"/>
  <c r="Q704" i="1"/>
  <c r="W704" i="1" s="1"/>
  <c r="Q697" i="1"/>
  <c r="W697" i="1" s="1"/>
  <c r="Q698" i="1"/>
  <c r="W698" i="1" s="1"/>
  <c r="Q689" i="1"/>
  <c r="W689" i="1" s="1"/>
  <c r="Q690" i="1"/>
  <c r="W690" i="1" s="1"/>
  <c r="Q691" i="1"/>
  <c r="W691" i="1" s="1"/>
  <c r="Q692" i="1"/>
  <c r="W692" i="1" s="1"/>
  <c r="Q693" i="1"/>
  <c r="W693" i="1" s="1"/>
  <c r="Q694" i="1"/>
  <c r="W694" i="1" s="1"/>
  <c r="Q695" i="1"/>
  <c r="W695" i="1" s="1"/>
  <c r="Q696" i="1"/>
  <c r="W696" i="1" s="1"/>
  <c r="Q688" i="1"/>
  <c r="W688" i="1" s="1"/>
  <c r="Q685" i="1"/>
  <c r="W685" i="1" s="1"/>
  <c r="Q686" i="1"/>
  <c r="W686" i="1" s="1"/>
  <c r="Q687" i="1"/>
  <c r="W687" i="1" s="1"/>
  <c r="Q680" i="1"/>
  <c r="W680" i="1" s="1"/>
  <c r="Q681" i="1"/>
  <c r="W681" i="1" s="1"/>
  <c r="Q682" i="1"/>
  <c r="W682" i="1" s="1"/>
  <c r="Q683" i="1"/>
  <c r="W683" i="1" s="1"/>
  <c r="Q684" i="1"/>
  <c r="W684" i="1" s="1"/>
  <c r="Q677" i="1"/>
  <c r="W677" i="1" s="1"/>
  <c r="Q678" i="1"/>
  <c r="W678" i="1" s="1"/>
  <c r="Q679" i="1"/>
  <c r="W679" i="1" s="1"/>
  <c r="Q673" i="1"/>
  <c r="W673" i="1" s="1"/>
  <c r="Q674" i="1"/>
  <c r="W674" i="1" s="1"/>
  <c r="Q675" i="1"/>
  <c r="W675" i="1" s="1"/>
  <c r="Q676" i="1"/>
  <c r="W676" i="1" s="1"/>
  <c r="Q668" i="1"/>
  <c r="W668" i="1" s="1"/>
  <c r="Q669" i="1"/>
  <c r="W669" i="1" s="1"/>
  <c r="Q670" i="1"/>
  <c r="W670" i="1" s="1"/>
  <c r="Q671" i="1"/>
  <c r="W671" i="1" s="1"/>
  <c r="Q672" i="1"/>
  <c r="W672" i="1" s="1"/>
  <c r="Q664" i="1"/>
  <c r="W664" i="1" s="1"/>
  <c r="Q665" i="1"/>
  <c r="W665" i="1" s="1"/>
  <c r="Q666" i="1"/>
  <c r="W666" i="1" s="1"/>
  <c r="Q667" i="1"/>
  <c r="W667" i="1" s="1"/>
  <c r="Q661" i="1"/>
  <c r="W661" i="1" s="1"/>
  <c r="Q662" i="1"/>
  <c r="W662" i="1" s="1"/>
  <c r="Q663" i="1"/>
  <c r="W663" i="1" s="1"/>
  <c r="Q657" i="1"/>
  <c r="W657" i="1" s="1"/>
  <c r="Q658" i="1"/>
  <c r="W658" i="1" s="1"/>
  <c r="Q659" i="1"/>
  <c r="W659" i="1" s="1"/>
  <c r="Q660" i="1"/>
  <c r="W660" i="1" s="1"/>
  <c r="Q655" i="1"/>
  <c r="W655" i="1" s="1"/>
  <c r="Q656" i="1"/>
  <c r="W656" i="1" s="1"/>
  <c r="Q650" i="1"/>
  <c r="W650" i="1" s="1"/>
  <c r="Q651" i="1"/>
  <c r="W651" i="1" s="1"/>
  <c r="Q652" i="1"/>
  <c r="W652" i="1" s="1"/>
  <c r="Q653" i="1"/>
  <c r="W653" i="1" s="1"/>
  <c r="Q654" i="1"/>
  <c r="W654" i="1" s="1"/>
  <c r="Q646" i="1"/>
  <c r="W646" i="1" s="1"/>
  <c r="Q647" i="1"/>
  <c r="W647" i="1" s="1"/>
  <c r="Q648" i="1"/>
  <c r="W648" i="1" s="1"/>
  <c r="Q649" i="1"/>
  <c r="W649" i="1" s="1"/>
  <c r="Q644" i="1"/>
  <c r="W644" i="1" s="1"/>
  <c r="Q645" i="1"/>
  <c r="W645" i="1" s="1"/>
  <c r="Q642" i="1"/>
  <c r="W642" i="1" s="1"/>
  <c r="Q643" i="1"/>
  <c r="W643" i="1" s="1"/>
  <c r="Q639" i="1"/>
  <c r="W639" i="1" s="1"/>
  <c r="Q640" i="1"/>
  <c r="W640" i="1" s="1"/>
  <c r="Q641" i="1"/>
  <c r="W641" i="1" s="1"/>
  <c r="Q635" i="1"/>
  <c r="Q636" i="1"/>
  <c r="W636" i="1" s="1"/>
  <c r="Q637" i="1"/>
  <c r="W637" i="1" s="1"/>
  <c r="Q638" i="1"/>
  <c r="W638" i="1" s="1"/>
  <c r="Q633" i="1"/>
  <c r="W633" i="1" s="1"/>
  <c r="Q634" i="1"/>
  <c r="W634" i="1" s="1"/>
  <c r="Q631" i="1"/>
  <c r="W631" i="1" s="1"/>
  <c r="Q632" i="1"/>
  <c r="W632" i="1" s="1"/>
  <c r="Q628" i="1"/>
  <c r="W628" i="1" s="1"/>
  <c r="Q629" i="1"/>
  <c r="W629" i="1" s="1"/>
  <c r="Q630" i="1"/>
  <c r="W630" i="1" s="1"/>
  <c r="Q626" i="1"/>
  <c r="W626" i="1" s="1"/>
  <c r="Q627" i="1"/>
  <c r="W627" i="1" s="1"/>
  <c r="Q622" i="1"/>
  <c r="W622" i="1" s="1"/>
  <c r="Q623" i="1"/>
  <c r="W623" i="1" s="1"/>
  <c r="Q624" i="1"/>
  <c r="W624" i="1" s="1"/>
  <c r="Q625" i="1"/>
  <c r="W625" i="1" s="1"/>
  <c r="Q619" i="1"/>
  <c r="W619" i="1" s="1"/>
  <c r="Q620" i="1"/>
  <c r="W620" i="1" s="1"/>
  <c r="Q621" i="1"/>
  <c r="W621" i="1" s="1"/>
  <c r="Q615" i="1"/>
  <c r="W615" i="1" s="1"/>
  <c r="Q616" i="1"/>
  <c r="W616" i="1" s="1"/>
  <c r="Q617" i="1"/>
  <c r="W617" i="1" s="1"/>
  <c r="Q618" i="1"/>
  <c r="W618" i="1" s="1"/>
  <c r="Q613" i="1"/>
  <c r="W613" i="1" s="1"/>
  <c r="Q614" i="1"/>
  <c r="W614" i="1" s="1"/>
  <c r="Q605" i="1"/>
  <c r="W605" i="1" s="1"/>
  <c r="Q606" i="1"/>
  <c r="W606" i="1" s="1"/>
  <c r="Q607" i="1"/>
  <c r="W607" i="1" s="1"/>
  <c r="Q608" i="1"/>
  <c r="W608" i="1" s="1"/>
  <c r="Q609" i="1"/>
  <c r="W609" i="1" s="1"/>
  <c r="Q610" i="1"/>
  <c r="W610" i="1" s="1"/>
  <c r="Q611" i="1"/>
  <c r="W611" i="1" s="1"/>
  <c r="Q612" i="1"/>
  <c r="W612" i="1" s="1"/>
  <c r="Q603" i="1"/>
  <c r="W603" i="1" s="1"/>
  <c r="Q604" i="1"/>
  <c r="W604" i="1" s="1"/>
  <c r="Q600" i="1"/>
  <c r="W600" i="1" s="1"/>
  <c r="Q601" i="1"/>
  <c r="W601" i="1" s="1"/>
  <c r="Q602" i="1"/>
  <c r="W602" i="1" s="1"/>
  <c r="Q596" i="1"/>
  <c r="W596" i="1" s="1"/>
  <c r="Q597" i="1"/>
  <c r="W597" i="1" s="1"/>
  <c r="Q598" i="1"/>
  <c r="W598" i="1" s="1"/>
  <c r="Q599" i="1"/>
  <c r="W599" i="1" s="1"/>
  <c r="Q594" i="1"/>
  <c r="W594" i="1" s="1"/>
  <c r="Q595" i="1"/>
  <c r="W595" i="1" s="1"/>
  <c r="Q592" i="1"/>
  <c r="W592" i="1" s="1"/>
  <c r="Q593" i="1"/>
  <c r="W593" i="1" s="1"/>
  <c r="Q590" i="1"/>
  <c r="W590" i="1" s="1"/>
  <c r="Q591" i="1"/>
  <c r="W591" i="1" s="1"/>
  <c r="Q586" i="1"/>
  <c r="W586" i="1" s="1"/>
  <c r="Q587" i="1"/>
  <c r="W587" i="1" s="1"/>
  <c r="Q588" i="1"/>
  <c r="W588" i="1" s="1"/>
  <c r="Q589" i="1"/>
  <c r="W589" i="1" s="1"/>
  <c r="Q584" i="1"/>
  <c r="W584" i="1" s="1"/>
  <c r="Q585" i="1"/>
  <c r="W585" i="1" s="1"/>
  <c r="Q580" i="1"/>
  <c r="W580" i="1" s="1"/>
  <c r="Q581" i="1"/>
  <c r="W581" i="1" s="1"/>
  <c r="Q582" i="1"/>
  <c r="W582" i="1" s="1"/>
  <c r="Q583" i="1"/>
  <c r="W583" i="1" s="1"/>
  <c r="Q575" i="1"/>
  <c r="W575" i="1" s="1"/>
  <c r="Q576" i="1"/>
  <c r="W576" i="1" s="1"/>
  <c r="Q577" i="1"/>
  <c r="W577" i="1" s="1"/>
  <c r="Q578" i="1"/>
  <c r="W578" i="1" s="1"/>
  <c r="Q579" i="1"/>
  <c r="W579" i="1" s="1"/>
  <c r="Q572" i="1"/>
  <c r="W572" i="1" s="1"/>
  <c r="Q573" i="1"/>
  <c r="W573" i="1" s="1"/>
  <c r="Q574" i="1"/>
  <c r="W574" i="1" s="1"/>
  <c r="Q570" i="1"/>
  <c r="W570" i="1" s="1"/>
  <c r="Q571" i="1"/>
  <c r="W571" i="1" s="1"/>
  <c r="Q564" i="1"/>
  <c r="W564" i="1" s="1"/>
  <c r="Q565" i="1"/>
  <c r="W565" i="1" s="1"/>
  <c r="Q566" i="1"/>
  <c r="W566" i="1" s="1"/>
  <c r="Q567" i="1"/>
  <c r="W567" i="1" s="1"/>
  <c r="Q568" i="1"/>
  <c r="W568" i="1" s="1"/>
  <c r="Q569" i="1"/>
  <c r="W569" i="1" s="1"/>
  <c r="Q560" i="1"/>
  <c r="W560" i="1" s="1"/>
  <c r="Q561" i="1"/>
  <c r="W561" i="1" s="1"/>
  <c r="Q562" i="1"/>
  <c r="W562" i="1" s="1"/>
  <c r="Q563" i="1"/>
  <c r="W563" i="1" s="1"/>
  <c r="Q558" i="1"/>
  <c r="W558" i="1" s="1"/>
  <c r="Q559" i="1"/>
  <c r="W559" i="1" s="1"/>
  <c r="Q557" i="1"/>
  <c r="W557" i="1" s="1"/>
  <c r="Q553" i="1"/>
  <c r="W553" i="1" s="1"/>
  <c r="Q554" i="1"/>
  <c r="W554" i="1" s="1"/>
  <c r="Q555" i="1"/>
  <c r="W555" i="1" s="1"/>
  <c r="Q556" i="1"/>
  <c r="W556" i="1" s="1"/>
  <c r="Q548" i="1"/>
  <c r="Q549" i="1"/>
  <c r="W549" i="1" s="1"/>
  <c r="Q550" i="1"/>
  <c r="W550" i="1" s="1"/>
  <c r="Q551" i="1"/>
  <c r="W551" i="1" s="1"/>
  <c r="Q552" i="1"/>
  <c r="W552" i="1" s="1"/>
  <c r="Q533" i="1"/>
  <c r="W533" i="1" s="1"/>
  <c r="Q534" i="1"/>
  <c r="W534" i="1" s="1"/>
  <c r="Q535" i="1"/>
  <c r="W535" i="1" s="1"/>
  <c r="Q536" i="1"/>
  <c r="W536" i="1" s="1"/>
  <c r="Q537" i="1"/>
  <c r="W537" i="1" s="1"/>
  <c r="Q538" i="1"/>
  <c r="W538" i="1" s="1"/>
  <c r="Q539" i="1"/>
  <c r="W539" i="1" s="1"/>
  <c r="Q540" i="1"/>
  <c r="W540" i="1" s="1"/>
  <c r="Q541" i="1"/>
  <c r="W541" i="1" s="1"/>
  <c r="Q542" i="1"/>
  <c r="W542" i="1" s="1"/>
  <c r="Q543" i="1"/>
  <c r="W543" i="1" s="1"/>
  <c r="Q544" i="1"/>
  <c r="W544" i="1" s="1"/>
  <c r="Q545" i="1"/>
  <c r="W545" i="1" s="1"/>
  <c r="Q546" i="1"/>
  <c r="W546" i="1" s="1"/>
  <c r="Q547" i="1"/>
  <c r="W547" i="1" s="1"/>
  <c r="Q525" i="1"/>
  <c r="W525" i="1" s="1"/>
  <c r="Q526" i="1"/>
  <c r="W526" i="1" s="1"/>
  <c r="Q527" i="1"/>
  <c r="W527" i="1" s="1"/>
  <c r="Q528" i="1"/>
  <c r="W528" i="1" s="1"/>
  <c r="Q529" i="1"/>
  <c r="W529" i="1" s="1"/>
  <c r="Q530" i="1"/>
  <c r="W530" i="1" s="1"/>
  <c r="Q531" i="1"/>
  <c r="W531" i="1" s="1"/>
  <c r="Q532" i="1"/>
  <c r="W532" i="1" s="1"/>
  <c r="Q518" i="1"/>
  <c r="W518" i="1" s="1"/>
  <c r="Q519" i="1"/>
  <c r="W519" i="1" s="1"/>
  <c r="Q520" i="1"/>
  <c r="W520" i="1" s="1"/>
  <c r="Q521" i="1"/>
  <c r="W521" i="1" s="1"/>
  <c r="Q522" i="1"/>
  <c r="W522" i="1" s="1"/>
  <c r="Q523" i="1"/>
  <c r="W523" i="1" s="1"/>
  <c r="Q524" i="1"/>
  <c r="W524" i="1" s="1"/>
  <c r="Q509" i="1"/>
  <c r="W509" i="1" s="1"/>
  <c r="Q510" i="1"/>
  <c r="W510" i="1" s="1"/>
  <c r="Q511" i="1"/>
  <c r="W511" i="1" s="1"/>
  <c r="Q512" i="1"/>
  <c r="W512" i="1" s="1"/>
  <c r="Q513" i="1"/>
  <c r="W513" i="1" s="1"/>
  <c r="Q514" i="1"/>
  <c r="W514" i="1" s="1"/>
  <c r="Q515" i="1"/>
  <c r="W515" i="1" s="1"/>
  <c r="Q516" i="1"/>
  <c r="W516" i="1" s="1"/>
  <c r="Q517" i="1"/>
  <c r="W517" i="1" s="1"/>
  <c r="Q501" i="1"/>
  <c r="W501" i="1" s="1"/>
  <c r="Q502" i="1"/>
  <c r="W502" i="1" s="1"/>
  <c r="Q503" i="1"/>
  <c r="W503" i="1" s="1"/>
  <c r="Q504" i="1"/>
  <c r="W504" i="1" s="1"/>
  <c r="Q505" i="1"/>
  <c r="W505" i="1" s="1"/>
  <c r="Q506" i="1"/>
  <c r="W506" i="1" s="1"/>
  <c r="Q507" i="1"/>
  <c r="W507" i="1" s="1"/>
  <c r="Q508" i="1"/>
  <c r="W508" i="1" s="1"/>
  <c r="Q495" i="1"/>
  <c r="W495" i="1" s="1"/>
  <c r="Q496" i="1"/>
  <c r="W496" i="1" s="1"/>
  <c r="Q497" i="1"/>
  <c r="W497" i="1" s="1"/>
  <c r="Q498" i="1"/>
  <c r="W498" i="1" s="1"/>
  <c r="Q499" i="1"/>
  <c r="W499" i="1" s="1"/>
  <c r="Q500" i="1"/>
  <c r="W500" i="1" s="1"/>
  <c r="Q491" i="1"/>
  <c r="W491" i="1" s="1"/>
  <c r="Q492" i="1"/>
  <c r="W492" i="1" s="1"/>
  <c r="Q493" i="1"/>
  <c r="W493" i="1" s="1"/>
  <c r="Q494" i="1"/>
  <c r="W494" i="1" s="1"/>
  <c r="Q485" i="1"/>
  <c r="W485" i="1" s="1"/>
  <c r="Q486" i="1"/>
  <c r="W486" i="1" s="1"/>
  <c r="Q487" i="1"/>
  <c r="W487" i="1" s="1"/>
  <c r="Q488" i="1"/>
  <c r="W488" i="1" s="1"/>
  <c r="Q489" i="1"/>
  <c r="W489" i="1" s="1"/>
  <c r="Q490" i="1"/>
  <c r="W490" i="1" s="1"/>
  <c r="Q483" i="1"/>
  <c r="W483" i="1" s="1"/>
  <c r="Q484" i="1"/>
  <c r="W484" i="1" s="1"/>
  <c r="Q475" i="1"/>
  <c r="W475" i="1" s="1"/>
  <c r="Q476" i="1"/>
  <c r="W476" i="1" s="1"/>
  <c r="Q477" i="1"/>
  <c r="W477" i="1" s="1"/>
  <c r="Q478" i="1"/>
  <c r="W478" i="1" s="1"/>
  <c r="Q479" i="1"/>
  <c r="W479" i="1" s="1"/>
  <c r="Q480" i="1"/>
  <c r="W480" i="1" s="1"/>
  <c r="Q481" i="1"/>
  <c r="W481" i="1" s="1"/>
  <c r="Q482" i="1"/>
  <c r="W482" i="1" s="1"/>
  <c r="Q468" i="1"/>
  <c r="W468" i="1" s="1"/>
  <c r="Q469" i="1"/>
  <c r="W469" i="1" s="1"/>
  <c r="Q470" i="1"/>
  <c r="W470" i="1" s="1"/>
  <c r="Q471" i="1"/>
  <c r="W471" i="1" s="1"/>
  <c r="Q472" i="1"/>
  <c r="W472" i="1" s="1"/>
  <c r="Q473" i="1"/>
  <c r="W473" i="1" s="1"/>
  <c r="Q474" i="1"/>
  <c r="W474" i="1" s="1"/>
  <c r="Q464" i="1"/>
  <c r="W464" i="1" s="1"/>
  <c r="Q465" i="1"/>
  <c r="W465" i="1" s="1"/>
  <c r="Q466" i="1"/>
  <c r="W466" i="1" s="1"/>
  <c r="Q467" i="1"/>
  <c r="W467" i="1" s="1"/>
  <c r="Q458" i="1"/>
  <c r="W458" i="1" s="1"/>
  <c r="Q459" i="1"/>
  <c r="W459" i="1" s="1"/>
  <c r="Q460" i="1"/>
  <c r="W460" i="1" s="1"/>
  <c r="Q461" i="1"/>
  <c r="W461" i="1" s="1"/>
  <c r="Q462" i="1"/>
  <c r="W462" i="1" s="1"/>
  <c r="Q463" i="1"/>
  <c r="W463" i="1" s="1"/>
  <c r="Q447" i="1"/>
  <c r="W447" i="1" s="1"/>
  <c r="Q448" i="1"/>
  <c r="W448" i="1" s="1"/>
  <c r="Q449" i="1"/>
  <c r="W449" i="1" s="1"/>
  <c r="Q450" i="1"/>
  <c r="W450" i="1" s="1"/>
  <c r="Q451" i="1"/>
  <c r="W451" i="1" s="1"/>
  <c r="Q452" i="1"/>
  <c r="W452" i="1" s="1"/>
  <c r="Q453" i="1"/>
  <c r="W453" i="1" s="1"/>
  <c r="Q454" i="1"/>
  <c r="W454" i="1" s="1"/>
  <c r="Q455" i="1"/>
  <c r="W455" i="1" s="1"/>
  <c r="Q456" i="1"/>
  <c r="Q457" i="1"/>
  <c r="W457" i="1" s="1"/>
  <c r="Q439" i="1"/>
  <c r="W439" i="1" s="1"/>
  <c r="Q440" i="1"/>
  <c r="W440" i="1" s="1"/>
  <c r="Q441" i="1"/>
  <c r="W441" i="1" s="1"/>
  <c r="Q442" i="1"/>
  <c r="W442" i="1" s="1"/>
  <c r="Q443" i="1"/>
  <c r="W443" i="1" s="1"/>
  <c r="Q444" i="1"/>
  <c r="W444" i="1" s="1"/>
  <c r="Q445" i="1"/>
  <c r="W445" i="1" s="1"/>
  <c r="Q446" i="1"/>
  <c r="W446" i="1" s="1"/>
  <c r="Q436" i="1"/>
  <c r="W436" i="1" s="1"/>
  <c r="Q437" i="1"/>
  <c r="W437" i="1" s="1"/>
  <c r="Q438" i="1"/>
  <c r="W438" i="1" s="1"/>
  <c r="Q428" i="1"/>
  <c r="W428" i="1" s="1"/>
  <c r="Q429" i="1"/>
  <c r="W429" i="1" s="1"/>
  <c r="Q430" i="1"/>
  <c r="W430" i="1" s="1"/>
  <c r="Q431" i="1"/>
  <c r="W431" i="1" s="1"/>
  <c r="Q432" i="1"/>
  <c r="W432" i="1" s="1"/>
  <c r="Q433" i="1"/>
  <c r="W433" i="1" s="1"/>
  <c r="Q434" i="1"/>
  <c r="W434" i="1" s="1"/>
  <c r="Q435" i="1"/>
  <c r="W435" i="1" s="1"/>
  <c r="Q414" i="1"/>
  <c r="W414" i="1" s="1"/>
  <c r="Q415" i="1"/>
  <c r="W415" i="1" s="1"/>
  <c r="Q416" i="1"/>
  <c r="W416" i="1" s="1"/>
  <c r="Q417" i="1"/>
  <c r="W417" i="1" s="1"/>
  <c r="Q418" i="1"/>
  <c r="W418" i="1" s="1"/>
  <c r="Q419" i="1"/>
  <c r="W419" i="1" s="1"/>
  <c r="Q420" i="1"/>
  <c r="W420" i="1" s="1"/>
  <c r="Q421" i="1"/>
  <c r="W421" i="1" s="1"/>
  <c r="Q422" i="1"/>
  <c r="W422" i="1" s="1"/>
  <c r="Q423" i="1"/>
  <c r="W423" i="1" s="1"/>
  <c r="Q424" i="1"/>
  <c r="W424" i="1" s="1"/>
  <c r="Q425" i="1"/>
  <c r="W425" i="1" s="1"/>
  <c r="Q426" i="1"/>
  <c r="W426" i="1" s="1"/>
  <c r="Q427" i="1"/>
  <c r="W427" i="1" s="1"/>
  <c r="Q398" i="1"/>
  <c r="W398" i="1" s="1"/>
  <c r="Q399" i="1"/>
  <c r="W399" i="1" s="1"/>
  <c r="Q400" i="1"/>
  <c r="W400" i="1" s="1"/>
  <c r="Q401" i="1"/>
  <c r="W401" i="1" s="1"/>
  <c r="Q402" i="1"/>
  <c r="W402" i="1" s="1"/>
  <c r="Q403" i="1"/>
  <c r="W403" i="1" s="1"/>
  <c r="Q404" i="1"/>
  <c r="W404" i="1" s="1"/>
  <c r="Q405" i="1"/>
  <c r="W405" i="1" s="1"/>
  <c r="Q406" i="1"/>
  <c r="W406" i="1" s="1"/>
  <c r="Q407" i="1"/>
  <c r="W407" i="1" s="1"/>
  <c r="Q408" i="1"/>
  <c r="W408" i="1" s="1"/>
  <c r="Q409" i="1"/>
  <c r="W409" i="1" s="1"/>
  <c r="Q410" i="1"/>
  <c r="W410" i="1" s="1"/>
  <c r="Q411" i="1"/>
  <c r="W411" i="1" s="1"/>
  <c r="Q412" i="1"/>
  <c r="W412" i="1" s="1"/>
  <c r="Q413" i="1"/>
  <c r="W413" i="1" s="1"/>
  <c r="Q395" i="1"/>
  <c r="W395" i="1" s="1"/>
  <c r="Q396" i="1"/>
  <c r="W396" i="1" s="1"/>
  <c r="Q397" i="1"/>
  <c r="W397" i="1" s="1"/>
  <c r="Q388" i="1"/>
  <c r="W388" i="1" s="1"/>
  <c r="Q389" i="1"/>
  <c r="W389" i="1" s="1"/>
  <c r="Q390" i="1"/>
  <c r="W390" i="1" s="1"/>
  <c r="Q391" i="1"/>
  <c r="W391" i="1" s="1"/>
  <c r="Q392" i="1"/>
  <c r="W392" i="1" s="1"/>
  <c r="Q393" i="1"/>
  <c r="W393" i="1" s="1"/>
  <c r="Q394" i="1"/>
  <c r="W394" i="1" s="1"/>
  <c r="Q382" i="1"/>
  <c r="W382" i="1" s="1"/>
  <c r="Q383" i="1"/>
  <c r="W383" i="1" s="1"/>
  <c r="Q384" i="1"/>
  <c r="W384" i="1" s="1"/>
  <c r="Q385" i="1"/>
  <c r="W385" i="1" s="1"/>
  <c r="Q386" i="1"/>
  <c r="W386" i="1" s="1"/>
  <c r="Q387" i="1"/>
  <c r="W387" i="1" s="1"/>
  <c r="Q371" i="1"/>
  <c r="W371" i="1" s="1"/>
  <c r="Q372" i="1"/>
  <c r="W372" i="1" s="1"/>
  <c r="Q373" i="1"/>
  <c r="W373" i="1" s="1"/>
  <c r="Q374" i="1"/>
  <c r="W374" i="1" s="1"/>
  <c r="Q375" i="1"/>
  <c r="W375" i="1" s="1"/>
  <c r="Q376" i="1"/>
  <c r="W376" i="1" s="1"/>
  <c r="Q377" i="1"/>
  <c r="W377" i="1" s="1"/>
  <c r="Q378" i="1"/>
  <c r="W378" i="1" s="1"/>
  <c r="Q379" i="1"/>
  <c r="W379" i="1" s="1"/>
  <c r="Q380" i="1"/>
  <c r="W380" i="1" s="1"/>
  <c r="Q381" i="1"/>
  <c r="W381" i="1" s="1"/>
  <c r="Q369" i="1"/>
  <c r="W369" i="1" s="1"/>
  <c r="Q370" i="1"/>
  <c r="W370" i="1" s="1"/>
  <c r="Q362" i="1"/>
  <c r="W362" i="1" s="1"/>
  <c r="Q363" i="1"/>
  <c r="W363" i="1" s="1"/>
  <c r="Q364" i="1"/>
  <c r="W364" i="1" s="1"/>
  <c r="Q365" i="1"/>
  <c r="W365" i="1" s="1"/>
  <c r="Q366" i="1"/>
  <c r="W366" i="1" s="1"/>
  <c r="Q367" i="1"/>
  <c r="W367" i="1" s="1"/>
  <c r="Q368" i="1"/>
  <c r="W368" i="1" s="1"/>
  <c r="Q350" i="1"/>
  <c r="W350" i="1" s="1"/>
  <c r="Q351" i="1"/>
  <c r="W351" i="1" s="1"/>
  <c r="Q352" i="1"/>
  <c r="W352" i="1" s="1"/>
  <c r="Q353" i="1"/>
  <c r="W353" i="1" s="1"/>
  <c r="Q354" i="1"/>
  <c r="W354" i="1" s="1"/>
  <c r="Q355" i="1"/>
  <c r="W355" i="1" s="1"/>
  <c r="Q356" i="1"/>
  <c r="W356" i="1" s="1"/>
  <c r="Q357" i="1"/>
  <c r="W357" i="1" s="1"/>
  <c r="Q358" i="1"/>
  <c r="W358" i="1" s="1"/>
  <c r="Q359" i="1"/>
  <c r="W359" i="1" s="1"/>
  <c r="Q360" i="1"/>
  <c r="W360" i="1" s="1"/>
  <c r="Q361" i="1"/>
  <c r="W361" i="1" s="1"/>
  <c r="Q331" i="1"/>
  <c r="W331" i="1" s="1"/>
  <c r="Q332" i="1"/>
  <c r="W332" i="1" s="1"/>
  <c r="Q333" i="1"/>
  <c r="W333" i="1" s="1"/>
  <c r="Q334" i="1"/>
  <c r="W334" i="1" s="1"/>
  <c r="Q335" i="1"/>
  <c r="W335" i="1" s="1"/>
  <c r="Q336" i="1"/>
  <c r="W336" i="1" s="1"/>
  <c r="Q337" i="1"/>
  <c r="W337" i="1" s="1"/>
  <c r="Q338" i="1"/>
  <c r="W338" i="1" s="1"/>
  <c r="Q339" i="1"/>
  <c r="W339" i="1" s="1"/>
  <c r="Q340" i="1"/>
  <c r="W340" i="1" s="1"/>
  <c r="Q341" i="1"/>
  <c r="W341" i="1" s="1"/>
  <c r="Q342" i="1"/>
  <c r="W342" i="1" s="1"/>
  <c r="Q343" i="1"/>
  <c r="W343" i="1" s="1"/>
  <c r="Q344" i="1"/>
  <c r="W344" i="1" s="1"/>
  <c r="Q345" i="1"/>
  <c r="W345" i="1" s="1"/>
  <c r="Q346" i="1"/>
  <c r="W346" i="1" s="1"/>
  <c r="Q347" i="1"/>
  <c r="W347" i="1" s="1"/>
  <c r="Q348" i="1"/>
  <c r="W348" i="1" s="1"/>
  <c r="Q349" i="1"/>
  <c r="W349" i="1" s="1"/>
  <c r="Q325" i="1"/>
  <c r="W325" i="1" s="1"/>
  <c r="Q326" i="1"/>
  <c r="W326" i="1" s="1"/>
  <c r="Q327" i="1"/>
  <c r="W327" i="1" s="1"/>
  <c r="Q328" i="1"/>
  <c r="W328" i="1" s="1"/>
  <c r="Q329" i="1"/>
  <c r="W329" i="1" s="1"/>
  <c r="Q330" i="1"/>
  <c r="W330" i="1" s="1"/>
  <c r="Q320" i="1"/>
  <c r="W320" i="1" s="1"/>
  <c r="Q321" i="1"/>
  <c r="W321" i="1" s="1"/>
  <c r="Q322" i="1"/>
  <c r="W322" i="1" s="1"/>
  <c r="Q323" i="1"/>
  <c r="W323" i="1" s="1"/>
  <c r="Q324" i="1"/>
  <c r="W324" i="1" s="1"/>
  <c r="Q311" i="1"/>
  <c r="W311" i="1" s="1"/>
  <c r="Q312" i="1"/>
  <c r="W312" i="1" s="1"/>
  <c r="Q313" i="1"/>
  <c r="W313" i="1" s="1"/>
  <c r="Q314" i="1"/>
  <c r="W314" i="1" s="1"/>
  <c r="Q315" i="1"/>
  <c r="W315" i="1" s="1"/>
  <c r="Q316" i="1"/>
  <c r="W316" i="1" s="1"/>
  <c r="Q317" i="1"/>
  <c r="W317" i="1" s="1"/>
  <c r="Q318" i="1"/>
  <c r="W318" i="1" s="1"/>
  <c r="Q319" i="1"/>
  <c r="W319" i="1" s="1"/>
  <c r="Q303" i="1"/>
  <c r="W303" i="1" s="1"/>
  <c r="Q304" i="1"/>
  <c r="W304" i="1" s="1"/>
  <c r="Q305" i="1"/>
  <c r="W305" i="1" s="1"/>
  <c r="Q306" i="1"/>
  <c r="W306" i="1" s="1"/>
  <c r="Q307" i="1"/>
  <c r="W307" i="1" s="1"/>
  <c r="Q308" i="1"/>
  <c r="Q309" i="1"/>
  <c r="W309" i="1" s="1"/>
  <c r="Q310" i="1"/>
  <c r="W310" i="1" s="1"/>
  <c r="Q295" i="1"/>
  <c r="W295" i="1" s="1"/>
  <c r="Q296" i="1"/>
  <c r="W296" i="1" s="1"/>
  <c r="Q297" i="1"/>
  <c r="W297" i="1" s="1"/>
  <c r="Q298" i="1"/>
  <c r="W298" i="1" s="1"/>
  <c r="Q299" i="1"/>
  <c r="W299" i="1" s="1"/>
  <c r="Q300" i="1"/>
  <c r="W300" i="1" s="1"/>
  <c r="Q301" i="1"/>
  <c r="W301" i="1" s="1"/>
  <c r="Q302" i="1"/>
  <c r="W302" i="1" s="1"/>
  <c r="Q274" i="1"/>
  <c r="W274" i="1" s="1"/>
  <c r="Q275" i="1"/>
  <c r="W275" i="1" s="1"/>
  <c r="Q276" i="1"/>
  <c r="W276" i="1" s="1"/>
  <c r="Q277" i="1"/>
  <c r="W277" i="1" s="1"/>
  <c r="Q278" i="1"/>
  <c r="W278" i="1" s="1"/>
  <c r="Q279" i="1"/>
  <c r="W279" i="1" s="1"/>
  <c r="Q280" i="1"/>
  <c r="W280" i="1" s="1"/>
  <c r="Q281" i="1"/>
  <c r="W281" i="1" s="1"/>
  <c r="Q282" i="1"/>
  <c r="W282" i="1" s="1"/>
  <c r="Q283" i="1"/>
  <c r="W283" i="1" s="1"/>
  <c r="Q284" i="1"/>
  <c r="W284" i="1" s="1"/>
  <c r="Q285" i="1"/>
  <c r="W285" i="1" s="1"/>
  <c r="Q286" i="1"/>
  <c r="W286" i="1" s="1"/>
  <c r="Q287" i="1"/>
  <c r="W287" i="1" s="1"/>
  <c r="Q288" i="1"/>
  <c r="W288" i="1" s="1"/>
  <c r="Q289" i="1"/>
  <c r="W289" i="1" s="1"/>
  <c r="Q290" i="1"/>
  <c r="W290" i="1" s="1"/>
  <c r="Q291" i="1"/>
  <c r="W291" i="1" s="1"/>
  <c r="Q292" i="1"/>
  <c r="W292" i="1" s="1"/>
  <c r="Q293" i="1"/>
  <c r="W293" i="1" s="1"/>
  <c r="Q294" i="1"/>
  <c r="W294" i="1" s="1"/>
  <c r="Q272" i="1"/>
  <c r="W272" i="1" s="1"/>
  <c r="Q273" i="1"/>
  <c r="W273" i="1" s="1"/>
  <c r="Q270" i="1"/>
  <c r="W270" i="1" s="1"/>
  <c r="Q271" i="1"/>
  <c r="W271" i="1" s="1"/>
  <c r="Q249" i="1"/>
  <c r="W249" i="1" s="1"/>
  <c r="Q250" i="1"/>
  <c r="W250" i="1" s="1"/>
  <c r="Q251" i="1"/>
  <c r="W251" i="1" s="1"/>
  <c r="Q252" i="1"/>
  <c r="W252" i="1" s="1"/>
  <c r="Q253" i="1"/>
  <c r="W253" i="1" s="1"/>
  <c r="Q254" i="1"/>
  <c r="W254" i="1" s="1"/>
  <c r="Q255" i="1"/>
  <c r="W255" i="1" s="1"/>
  <c r="Q256" i="1"/>
  <c r="W256" i="1" s="1"/>
  <c r="Q257" i="1"/>
  <c r="W257" i="1" s="1"/>
  <c r="Q258" i="1"/>
  <c r="W258" i="1" s="1"/>
  <c r="Q259" i="1"/>
  <c r="W259" i="1" s="1"/>
  <c r="Q260" i="1"/>
  <c r="W260" i="1" s="1"/>
  <c r="Q261" i="1"/>
  <c r="W261" i="1" s="1"/>
  <c r="Q262" i="1"/>
  <c r="W262" i="1" s="1"/>
  <c r="Q263" i="1"/>
  <c r="W263" i="1" s="1"/>
  <c r="Q264" i="1"/>
  <c r="W264" i="1" s="1"/>
  <c r="Q265" i="1"/>
  <c r="W265" i="1" s="1"/>
  <c r="Q266" i="1"/>
  <c r="W266" i="1" s="1"/>
  <c r="Q267" i="1"/>
  <c r="W267" i="1" s="1"/>
  <c r="Q268" i="1"/>
  <c r="W268" i="1" s="1"/>
  <c r="Q269" i="1"/>
  <c r="W269" i="1" s="1"/>
  <c r="Q204" i="1"/>
  <c r="W204" i="1" s="1"/>
  <c r="Q205" i="1"/>
  <c r="W205" i="1" s="1"/>
  <c r="Q206" i="1"/>
  <c r="W206" i="1" s="1"/>
  <c r="Q207" i="1"/>
  <c r="W207" i="1" s="1"/>
  <c r="Q208" i="1"/>
  <c r="W208" i="1" s="1"/>
  <c r="Q209" i="1"/>
  <c r="W209" i="1" s="1"/>
  <c r="Q210" i="1"/>
  <c r="W210" i="1" s="1"/>
  <c r="Q211" i="1"/>
  <c r="W211" i="1" s="1"/>
  <c r="Q212" i="1"/>
  <c r="W212" i="1" s="1"/>
  <c r="Q213" i="1"/>
  <c r="W213" i="1" s="1"/>
  <c r="Q214" i="1"/>
  <c r="W214" i="1" s="1"/>
  <c r="Q215" i="1"/>
  <c r="W215" i="1" s="1"/>
  <c r="Q216" i="1"/>
  <c r="W216" i="1" s="1"/>
  <c r="Q217" i="1"/>
  <c r="W217" i="1" s="1"/>
  <c r="Q218" i="1"/>
  <c r="W218" i="1" s="1"/>
  <c r="Q219" i="1"/>
  <c r="W219" i="1" s="1"/>
  <c r="Q220" i="1"/>
  <c r="W220" i="1" s="1"/>
  <c r="Q221" i="1"/>
  <c r="W221" i="1" s="1"/>
  <c r="Q222" i="1"/>
  <c r="W222" i="1" s="1"/>
  <c r="Q223" i="1"/>
  <c r="W223" i="1" s="1"/>
  <c r="Q224" i="1"/>
  <c r="W224" i="1" s="1"/>
  <c r="Q225" i="1"/>
  <c r="W225" i="1" s="1"/>
  <c r="Q226" i="1"/>
  <c r="W226" i="1" s="1"/>
  <c r="Q227" i="1"/>
  <c r="W227" i="1" s="1"/>
  <c r="Q228" i="1"/>
  <c r="W228" i="1" s="1"/>
  <c r="Q229" i="1"/>
  <c r="W229" i="1" s="1"/>
  <c r="Q230" i="1"/>
  <c r="W230" i="1" s="1"/>
  <c r="Q231" i="1"/>
  <c r="W231" i="1" s="1"/>
  <c r="Q232" i="1"/>
  <c r="W232" i="1" s="1"/>
  <c r="Q233" i="1"/>
  <c r="W233" i="1" s="1"/>
  <c r="Q234" i="1"/>
  <c r="W234" i="1" s="1"/>
  <c r="Q235" i="1"/>
  <c r="W235" i="1" s="1"/>
  <c r="Q236" i="1"/>
  <c r="W236" i="1" s="1"/>
  <c r="Q237" i="1"/>
  <c r="W237" i="1" s="1"/>
  <c r="Q238" i="1"/>
  <c r="W238" i="1" s="1"/>
  <c r="Q239" i="1"/>
  <c r="W239" i="1" s="1"/>
  <c r="Q240" i="1"/>
  <c r="W240" i="1" s="1"/>
  <c r="Q241" i="1"/>
  <c r="W241" i="1" s="1"/>
  <c r="Q242" i="1"/>
  <c r="W242" i="1" s="1"/>
  <c r="Q243" i="1"/>
  <c r="W243" i="1" s="1"/>
  <c r="Q244" i="1"/>
  <c r="W244" i="1" s="1"/>
  <c r="Q245" i="1"/>
  <c r="Q246" i="1"/>
  <c r="W246" i="1" s="1"/>
  <c r="Q247" i="1"/>
  <c r="W247" i="1" s="1"/>
  <c r="Q248" i="1"/>
  <c r="W248" i="1" s="1"/>
  <c r="Q203" i="1"/>
  <c r="W203" i="1" s="1"/>
  <c r="Q200" i="1"/>
  <c r="W200" i="1" s="1"/>
  <c r="Q201" i="1"/>
  <c r="W201" i="1" s="1"/>
  <c r="Q202" i="1"/>
  <c r="W202" i="1" s="1"/>
  <c r="Q186" i="1"/>
  <c r="W186" i="1" s="1"/>
  <c r="Q187" i="1"/>
  <c r="W187" i="1" s="1"/>
  <c r="Q188" i="1"/>
  <c r="W188" i="1" s="1"/>
  <c r="Q189" i="1"/>
  <c r="W189" i="1" s="1"/>
  <c r="Q190" i="1"/>
  <c r="W190" i="1" s="1"/>
  <c r="Q191" i="1"/>
  <c r="W191" i="1" s="1"/>
  <c r="Q192" i="1"/>
  <c r="W192" i="1" s="1"/>
  <c r="Q193" i="1"/>
  <c r="W193" i="1" s="1"/>
  <c r="Q194" i="1"/>
  <c r="W194" i="1" s="1"/>
  <c r="Q195" i="1"/>
  <c r="W195" i="1" s="1"/>
  <c r="Q196" i="1"/>
  <c r="W196" i="1" s="1"/>
  <c r="Q197" i="1"/>
  <c r="W197" i="1" s="1"/>
  <c r="Q198" i="1"/>
  <c r="W198" i="1" s="1"/>
  <c r="Q199" i="1"/>
  <c r="W199" i="1" s="1"/>
  <c r="Q174" i="1"/>
  <c r="W174" i="1" s="1"/>
  <c r="Q175" i="1"/>
  <c r="W175" i="1" s="1"/>
  <c r="Q176" i="1"/>
  <c r="W176" i="1" s="1"/>
  <c r="Q177" i="1"/>
  <c r="W177" i="1" s="1"/>
  <c r="Q178" i="1"/>
  <c r="W178" i="1" s="1"/>
  <c r="Q179" i="1"/>
  <c r="W179" i="1" s="1"/>
  <c r="Q180" i="1"/>
  <c r="W180" i="1" s="1"/>
  <c r="Q181" i="1"/>
  <c r="W181" i="1" s="1"/>
  <c r="Q182" i="1"/>
  <c r="W182" i="1" s="1"/>
  <c r="Q183" i="1"/>
  <c r="W183" i="1" s="1"/>
  <c r="Q184" i="1"/>
  <c r="W184" i="1" s="1"/>
  <c r="Q185" i="1"/>
  <c r="W185" i="1" s="1"/>
  <c r="Q173" i="1"/>
  <c r="W173" i="1" s="1"/>
  <c r="Q163" i="1"/>
  <c r="W163" i="1" s="1"/>
  <c r="Q164" i="1"/>
  <c r="W164" i="1" s="1"/>
  <c r="Q165" i="1"/>
  <c r="W165" i="1" s="1"/>
  <c r="Q166" i="1"/>
  <c r="W166" i="1" s="1"/>
  <c r="Q167" i="1"/>
  <c r="W167" i="1" s="1"/>
  <c r="Q168" i="1"/>
  <c r="W168" i="1" s="1"/>
  <c r="Q169" i="1"/>
  <c r="W169" i="1" s="1"/>
  <c r="Q170" i="1"/>
  <c r="W170" i="1" s="1"/>
  <c r="Q171" i="1"/>
  <c r="W171" i="1" s="1"/>
  <c r="Q172" i="1"/>
  <c r="W172" i="1" s="1"/>
  <c r="Q160" i="1"/>
  <c r="W160" i="1" s="1"/>
  <c r="Q161" i="1"/>
  <c r="W161" i="1" s="1"/>
  <c r="Q162" i="1"/>
  <c r="W162" i="1" s="1"/>
  <c r="Q140" i="1"/>
  <c r="W140" i="1" s="1"/>
  <c r="Q141" i="1"/>
  <c r="W141" i="1" s="1"/>
  <c r="Q142" i="1"/>
  <c r="W142" i="1" s="1"/>
  <c r="Q143" i="1"/>
  <c r="W143" i="1" s="1"/>
  <c r="Q144" i="1"/>
  <c r="W144" i="1" s="1"/>
  <c r="Q145" i="1"/>
  <c r="W145" i="1" s="1"/>
  <c r="Q146" i="1"/>
  <c r="W146" i="1" s="1"/>
  <c r="Q147" i="1"/>
  <c r="W147" i="1" s="1"/>
  <c r="Q148" i="1"/>
  <c r="W148" i="1" s="1"/>
  <c r="Q149" i="1"/>
  <c r="W149" i="1" s="1"/>
  <c r="Q150" i="1"/>
  <c r="W150" i="1" s="1"/>
  <c r="Q151" i="1"/>
  <c r="W151" i="1" s="1"/>
  <c r="Q152" i="1"/>
  <c r="W152" i="1" s="1"/>
  <c r="Q153" i="1"/>
  <c r="W153" i="1" s="1"/>
  <c r="Q154" i="1"/>
  <c r="W154" i="1" s="1"/>
  <c r="Q155" i="1"/>
  <c r="W155" i="1" s="1"/>
  <c r="Q156" i="1"/>
  <c r="W156" i="1" s="1"/>
  <c r="Q157" i="1"/>
  <c r="W157" i="1" s="1"/>
  <c r="Q158" i="1"/>
  <c r="W158" i="1" s="1"/>
  <c r="Q159" i="1"/>
  <c r="W159" i="1" s="1"/>
  <c r="Q133" i="1"/>
  <c r="W133" i="1" s="1"/>
  <c r="Q134" i="1"/>
  <c r="W134" i="1" s="1"/>
  <c r="Q135" i="1"/>
  <c r="W135" i="1" s="1"/>
  <c r="Q136" i="1"/>
  <c r="W136" i="1" s="1"/>
  <c r="Q137" i="1"/>
  <c r="W137" i="1" s="1"/>
  <c r="Q138" i="1"/>
  <c r="W138" i="1" s="1"/>
  <c r="Q139" i="1"/>
  <c r="W139" i="1" s="1"/>
  <c r="Q119" i="1"/>
  <c r="W119" i="1" s="1"/>
  <c r="Q120" i="1"/>
  <c r="W120" i="1" s="1"/>
  <c r="Q121" i="1"/>
  <c r="W121" i="1" s="1"/>
  <c r="Q122" i="1"/>
  <c r="W122" i="1" s="1"/>
  <c r="Q123" i="1"/>
  <c r="W123" i="1" s="1"/>
  <c r="Q124" i="1"/>
  <c r="W124" i="1" s="1"/>
  <c r="Q125" i="1"/>
  <c r="W125" i="1" s="1"/>
  <c r="Q126" i="1"/>
  <c r="W126" i="1" s="1"/>
  <c r="Q127" i="1"/>
  <c r="W127" i="1" s="1"/>
  <c r="Q128" i="1"/>
  <c r="W128" i="1" s="1"/>
  <c r="Q129" i="1"/>
  <c r="Q130" i="1"/>
  <c r="W130" i="1" s="1"/>
  <c r="Q131" i="1"/>
  <c r="W131" i="1" s="1"/>
  <c r="Q132" i="1"/>
  <c r="W132" i="1" s="1"/>
  <c r="Q105" i="1"/>
  <c r="W105" i="1" s="1"/>
  <c r="Q106" i="1"/>
  <c r="W106" i="1" s="1"/>
  <c r="Q107" i="1"/>
  <c r="W107" i="1" s="1"/>
  <c r="Q108" i="1"/>
  <c r="W108" i="1" s="1"/>
  <c r="Q109" i="1"/>
  <c r="W109" i="1" s="1"/>
  <c r="Q110" i="1"/>
  <c r="W110" i="1" s="1"/>
  <c r="Q111" i="1"/>
  <c r="W111" i="1" s="1"/>
  <c r="Q112" i="1"/>
  <c r="W112" i="1" s="1"/>
  <c r="Q113" i="1"/>
  <c r="W113" i="1" s="1"/>
  <c r="Q114" i="1"/>
  <c r="W114" i="1" s="1"/>
  <c r="Q115" i="1"/>
  <c r="W115" i="1" s="1"/>
  <c r="Q116" i="1"/>
  <c r="W116" i="1" s="1"/>
  <c r="Q117" i="1"/>
  <c r="W117" i="1" s="1"/>
  <c r="Q118" i="1"/>
  <c r="W118" i="1" s="1"/>
  <c r="Q89" i="1"/>
  <c r="W89" i="1" s="1"/>
  <c r="Q90" i="1"/>
  <c r="W90" i="1" s="1"/>
  <c r="Q91" i="1"/>
  <c r="W91" i="1" s="1"/>
  <c r="Q92" i="1"/>
  <c r="W92" i="1" s="1"/>
  <c r="Q93" i="1"/>
  <c r="W93" i="1" s="1"/>
  <c r="Q94" i="1"/>
  <c r="W94" i="1" s="1"/>
  <c r="Q95" i="1"/>
  <c r="W95" i="1" s="1"/>
  <c r="Q96" i="1"/>
  <c r="W96" i="1" s="1"/>
  <c r="Q97" i="1"/>
  <c r="W97" i="1" s="1"/>
  <c r="Q98" i="1"/>
  <c r="W98" i="1" s="1"/>
  <c r="Q99" i="1"/>
  <c r="Q100" i="1"/>
  <c r="W100" i="1" s="1"/>
  <c r="Q101" i="1"/>
  <c r="W101" i="1" s="1"/>
  <c r="Q102" i="1"/>
  <c r="W102" i="1" s="1"/>
  <c r="Q103" i="1"/>
  <c r="W103" i="1" s="1"/>
  <c r="Q104" i="1"/>
  <c r="W104" i="1" s="1"/>
  <c r="Q79" i="1"/>
  <c r="W79" i="1" s="1"/>
  <c r="Q80" i="1"/>
  <c r="W80" i="1" s="1"/>
  <c r="Q81" i="1"/>
  <c r="W81" i="1" s="1"/>
  <c r="Q82" i="1"/>
  <c r="W82" i="1" s="1"/>
  <c r="Q83" i="1"/>
  <c r="W83" i="1" s="1"/>
  <c r="Q84" i="1"/>
  <c r="W84" i="1" s="1"/>
  <c r="Q85" i="1"/>
  <c r="W85" i="1" s="1"/>
  <c r="Q86" i="1"/>
  <c r="W86" i="1" s="1"/>
  <c r="Q87" i="1"/>
  <c r="W87" i="1" s="1"/>
  <c r="Q88" i="1"/>
  <c r="W88" i="1" s="1"/>
  <c r="Q66" i="1"/>
  <c r="W66" i="1" s="1"/>
  <c r="Q67" i="1"/>
  <c r="W67" i="1" s="1"/>
  <c r="Q68" i="1"/>
  <c r="W68" i="1" s="1"/>
  <c r="Q69" i="1"/>
  <c r="W69" i="1" s="1"/>
  <c r="Q70" i="1"/>
  <c r="W70" i="1" s="1"/>
  <c r="Q71" i="1"/>
  <c r="W71" i="1" s="1"/>
  <c r="Q72" i="1"/>
  <c r="W72" i="1" s="1"/>
  <c r="Q73" i="1"/>
  <c r="W73" i="1" s="1"/>
  <c r="Q74" i="1"/>
  <c r="W74" i="1" s="1"/>
  <c r="Q75" i="1"/>
  <c r="W75" i="1" s="1"/>
  <c r="Q76" i="1"/>
  <c r="W76" i="1" s="1"/>
  <c r="Q77" i="1"/>
  <c r="W77" i="1" s="1"/>
  <c r="Q78" i="1"/>
  <c r="Q63" i="1"/>
  <c r="W63" i="1" s="1"/>
  <c r="Q64" i="1"/>
  <c r="W64" i="1" s="1"/>
  <c r="Q65" i="1"/>
  <c r="W65" i="1" s="1"/>
  <c r="Q45" i="1"/>
  <c r="W45" i="1" s="1"/>
  <c r="Q46" i="1"/>
  <c r="W46" i="1" s="1"/>
  <c r="Q47" i="1"/>
  <c r="W47" i="1" s="1"/>
  <c r="Q48" i="1"/>
  <c r="W48" i="1" s="1"/>
  <c r="Q49" i="1"/>
  <c r="W49" i="1" s="1"/>
  <c r="Q50" i="1"/>
  <c r="W50" i="1" s="1"/>
  <c r="Q51" i="1"/>
  <c r="W51" i="1" s="1"/>
  <c r="Q52" i="1"/>
  <c r="W52" i="1" s="1"/>
  <c r="Q53" i="1"/>
  <c r="W53" i="1" s="1"/>
  <c r="Q54" i="1"/>
  <c r="W54" i="1" s="1"/>
  <c r="Q55" i="1"/>
  <c r="W55" i="1" s="1"/>
  <c r="Q56" i="1"/>
  <c r="W56" i="1" s="1"/>
  <c r="Q57" i="1"/>
  <c r="W57" i="1" s="1"/>
  <c r="Q58" i="1"/>
  <c r="W58" i="1" s="1"/>
  <c r="Q59" i="1"/>
  <c r="W59" i="1" s="1"/>
  <c r="Q60" i="1"/>
  <c r="W60" i="1" s="1"/>
  <c r="Q61" i="1"/>
  <c r="W61" i="1" s="1"/>
  <c r="Q62" i="1"/>
  <c r="W62" i="1" s="1"/>
  <c r="Q32" i="1"/>
  <c r="W32" i="1" s="1"/>
  <c r="Q33" i="1"/>
  <c r="W33" i="1" s="1"/>
  <c r="Q34" i="1"/>
  <c r="W34" i="1" s="1"/>
  <c r="Q35" i="1"/>
  <c r="W35" i="1" s="1"/>
  <c r="Q36" i="1"/>
  <c r="W36" i="1" s="1"/>
  <c r="Q37" i="1"/>
  <c r="W37" i="1" s="1"/>
  <c r="Q38" i="1"/>
  <c r="W38" i="1" s="1"/>
  <c r="Q39" i="1"/>
  <c r="W39" i="1" s="1"/>
  <c r="Q40" i="1"/>
  <c r="W40" i="1" s="1"/>
  <c r="Q41" i="1"/>
  <c r="W41" i="1" s="1"/>
  <c r="Q42" i="1"/>
  <c r="W42" i="1" s="1"/>
  <c r="Q43" i="1"/>
  <c r="W43" i="1" s="1"/>
  <c r="Q44" i="1"/>
  <c r="W44" i="1" s="1"/>
  <c r="Q30" i="1"/>
  <c r="W30" i="1" s="1"/>
  <c r="Q31" i="1"/>
  <c r="W31" i="1" s="1"/>
  <c r="Q15" i="1"/>
  <c r="W15" i="1" s="1"/>
  <c r="Q16" i="1"/>
  <c r="W16" i="1" s="1"/>
  <c r="Q17" i="1"/>
  <c r="W17" i="1" s="1"/>
  <c r="Q18" i="1"/>
  <c r="W18" i="1" s="1"/>
  <c r="Q19" i="1"/>
  <c r="W19" i="1" s="1"/>
  <c r="Q20" i="1"/>
  <c r="W20" i="1" s="1"/>
  <c r="Q21" i="1"/>
  <c r="W21" i="1" s="1"/>
  <c r="Q22" i="1"/>
  <c r="W22" i="1" s="1"/>
  <c r="Q23" i="1"/>
  <c r="W23" i="1" s="1"/>
  <c r="Q24" i="1"/>
  <c r="W24" i="1" s="1"/>
  <c r="Q25" i="1"/>
  <c r="W25" i="1" s="1"/>
  <c r="Q26" i="1"/>
  <c r="W26" i="1" s="1"/>
  <c r="Q27" i="1"/>
  <c r="W27" i="1" s="1"/>
  <c r="Q28" i="1"/>
  <c r="W28" i="1" s="1"/>
  <c r="Q2" i="1"/>
  <c r="W2" i="1" s="1"/>
  <c r="Q3" i="1"/>
  <c r="W3" i="1" s="1"/>
  <c r="Q4" i="1"/>
  <c r="W4" i="1" s="1"/>
  <c r="Q5" i="1"/>
  <c r="W5" i="1" s="1"/>
  <c r="Q6" i="1"/>
  <c r="W6" i="1" s="1"/>
  <c r="Q7" i="1"/>
  <c r="W7" i="1" s="1"/>
  <c r="Q8" i="1"/>
  <c r="W8" i="1" s="1"/>
  <c r="Q9" i="1"/>
  <c r="W9" i="1" s="1"/>
  <c r="Q10" i="1"/>
  <c r="W10" i="1" s="1"/>
  <c r="Q11" i="1"/>
  <c r="W11" i="1" s="1"/>
  <c r="Q12" i="1"/>
  <c r="W12" i="1" s="1"/>
  <c r="Q13" i="1"/>
  <c r="W13" i="1" s="1"/>
  <c r="Q14" i="1"/>
  <c r="W14" i="1" s="1"/>
  <c r="Q29" i="1"/>
  <c r="W29" i="1" s="1"/>
  <c r="Q725" i="1"/>
  <c r="W725" i="1" s="1"/>
  <c r="S99" i="1" l="1"/>
  <c r="V99" i="1" s="1"/>
  <c r="R4" i="7"/>
  <c r="S4" i="7" s="1"/>
  <c r="R13" i="7"/>
  <c r="S13" i="7" s="1"/>
  <c r="R15" i="7"/>
  <c r="S15" i="7" s="1"/>
  <c r="R7" i="7"/>
  <c r="S7" i="7" s="1"/>
  <c r="R5" i="7"/>
  <c r="S5" i="7" s="1"/>
  <c r="R11" i="7"/>
  <c r="S11" i="7" s="1"/>
  <c r="R14" i="7"/>
  <c r="S14" i="7" s="1"/>
  <c r="R3" i="7"/>
  <c r="S3" i="7" s="1"/>
  <c r="R9" i="7"/>
  <c r="S9" i="7" s="1"/>
  <c r="R2" i="7"/>
  <c r="S2" i="7" s="1"/>
  <c r="R12" i="7"/>
  <c r="S12" i="7" s="1"/>
  <c r="R6" i="7"/>
  <c r="S6" i="7" s="1"/>
  <c r="R10" i="7"/>
  <c r="S10" i="7" s="1"/>
  <c r="R8" i="7"/>
  <c r="S8" i="7" s="1"/>
  <c r="R4" i="5"/>
  <c r="Q4" i="5" s="1"/>
  <c r="S308" i="1"/>
  <c r="V308" i="1" s="1"/>
  <c r="W308" i="1"/>
  <c r="S78" i="1"/>
  <c r="V78" i="1" s="1"/>
  <c r="W78" i="1"/>
  <c r="S129" i="1"/>
  <c r="V129" i="1" s="1"/>
  <c r="W129" i="1"/>
  <c r="S635" i="1"/>
  <c r="V635" i="1" s="1"/>
  <c r="W635" i="1"/>
  <c r="W99" i="1"/>
  <c r="S245" i="1"/>
  <c r="V245" i="1" s="1"/>
  <c r="W245" i="1"/>
  <c r="S456" i="1"/>
  <c r="V456" i="1" s="1"/>
  <c r="W456" i="1"/>
  <c r="S548" i="1"/>
  <c r="V548" i="1" s="1"/>
  <c r="W548" i="1"/>
  <c r="S14" i="1"/>
  <c r="T14" i="1"/>
  <c r="U14" i="1" s="1"/>
  <c r="S10" i="1"/>
  <c r="T10" i="1"/>
  <c r="U10" i="1" s="1"/>
  <c r="S6" i="1"/>
  <c r="T6" i="1"/>
  <c r="U6" i="1" s="1"/>
  <c r="T2" i="1"/>
  <c r="U2" i="1" s="1"/>
  <c r="S2" i="1"/>
  <c r="S25" i="1"/>
  <c r="T25" i="1"/>
  <c r="U25" i="1" s="1"/>
  <c r="T21" i="1"/>
  <c r="U21" i="1" s="1"/>
  <c r="S21" i="1"/>
  <c r="S17" i="1"/>
  <c r="T17" i="1"/>
  <c r="U17" i="1" s="1"/>
  <c r="S30" i="1"/>
  <c r="T30" i="1"/>
  <c r="U30" i="1" s="1"/>
  <c r="S41" i="1"/>
  <c r="T41" i="1"/>
  <c r="U41" i="1" s="1"/>
  <c r="S37" i="1"/>
  <c r="T37" i="1"/>
  <c r="U37" i="1" s="1"/>
  <c r="S33" i="1"/>
  <c r="T33" i="1"/>
  <c r="U33" i="1" s="1"/>
  <c r="S60" i="1"/>
  <c r="T60" i="1"/>
  <c r="U60" i="1" s="1"/>
  <c r="T56" i="1"/>
  <c r="U56" i="1" s="1"/>
  <c r="S56" i="1"/>
  <c r="S52" i="1"/>
  <c r="T52" i="1"/>
  <c r="U52" i="1" s="1"/>
  <c r="S48" i="1"/>
  <c r="T48" i="1"/>
  <c r="U48" i="1" s="1"/>
  <c r="S65" i="1"/>
  <c r="T65" i="1"/>
  <c r="U65" i="1" s="1"/>
  <c r="S77" i="1"/>
  <c r="T77" i="1"/>
  <c r="U77" i="1" s="1"/>
  <c r="S73" i="1"/>
  <c r="T73" i="1"/>
  <c r="U73" i="1" s="1"/>
  <c r="S69" i="1"/>
  <c r="T69" i="1"/>
  <c r="U69" i="1" s="1"/>
  <c r="T88" i="1"/>
  <c r="U88" i="1" s="1"/>
  <c r="S88" i="1"/>
  <c r="S84" i="1"/>
  <c r="T84" i="1"/>
  <c r="U84" i="1" s="1"/>
  <c r="T80" i="1"/>
  <c r="U80" i="1" s="1"/>
  <c r="S80" i="1"/>
  <c r="S102" i="1"/>
  <c r="T102" i="1"/>
  <c r="U102" i="1" s="1"/>
  <c r="S98" i="1"/>
  <c r="T98" i="1"/>
  <c r="U98" i="1" s="1"/>
  <c r="S94" i="1"/>
  <c r="T94" i="1"/>
  <c r="U94" i="1" s="1"/>
  <c r="S90" i="1"/>
  <c r="T90" i="1"/>
  <c r="U90" i="1" s="1"/>
  <c r="S116" i="1"/>
  <c r="T116" i="1"/>
  <c r="U116" i="1" s="1"/>
  <c r="S112" i="1"/>
  <c r="T112" i="1"/>
  <c r="U112" i="1" s="1"/>
  <c r="T108" i="1"/>
  <c r="U108" i="1" s="1"/>
  <c r="S108" i="1"/>
  <c r="S132" i="1"/>
  <c r="T132" i="1"/>
  <c r="U132" i="1" s="1"/>
  <c r="S128" i="1"/>
  <c r="T128" i="1"/>
  <c r="U128" i="1" s="1"/>
  <c r="S124" i="1"/>
  <c r="T124" i="1"/>
  <c r="U124" i="1" s="1"/>
  <c r="S120" i="1"/>
  <c r="T120" i="1"/>
  <c r="U120" i="1" s="1"/>
  <c r="S137" i="1"/>
  <c r="T137" i="1"/>
  <c r="U137" i="1" s="1"/>
  <c r="S133" i="1"/>
  <c r="T133" i="1"/>
  <c r="U133" i="1" s="1"/>
  <c r="T156" i="1"/>
  <c r="U156" i="1" s="1"/>
  <c r="S156" i="1"/>
  <c r="S152" i="1"/>
  <c r="T152" i="1"/>
  <c r="U152" i="1" s="1"/>
  <c r="S144" i="1"/>
  <c r="T144" i="1"/>
  <c r="U144" i="1" s="1"/>
  <c r="S140" i="1"/>
  <c r="T140" i="1"/>
  <c r="U140" i="1" s="1"/>
  <c r="S172" i="1"/>
  <c r="T172" i="1"/>
  <c r="U172" i="1" s="1"/>
  <c r="S168" i="1"/>
  <c r="T168" i="1"/>
  <c r="U168" i="1" s="1"/>
  <c r="S164" i="1"/>
  <c r="T164" i="1"/>
  <c r="U164" i="1" s="1"/>
  <c r="S184" i="1"/>
  <c r="T184" i="1"/>
  <c r="U184" i="1" s="1"/>
  <c r="S176" i="1"/>
  <c r="T176" i="1"/>
  <c r="U176" i="1" s="1"/>
  <c r="S198" i="1"/>
  <c r="T198" i="1"/>
  <c r="U198" i="1" s="1"/>
  <c r="S194" i="1"/>
  <c r="T194" i="1"/>
  <c r="U194" i="1" s="1"/>
  <c r="S190" i="1"/>
  <c r="T190" i="1"/>
  <c r="U190" i="1" s="1"/>
  <c r="S186" i="1"/>
  <c r="T186" i="1"/>
  <c r="U186" i="1" s="1"/>
  <c r="S180" i="1"/>
  <c r="V180" i="1" s="1"/>
  <c r="S725" i="1"/>
  <c r="T725" i="1"/>
  <c r="U725" i="1" s="1"/>
  <c r="S13" i="1"/>
  <c r="T13" i="1"/>
  <c r="U13" i="1" s="1"/>
  <c r="S9" i="1"/>
  <c r="T9" i="1"/>
  <c r="U9" i="1" s="1"/>
  <c r="S5" i="1"/>
  <c r="S28" i="1"/>
  <c r="T28" i="1"/>
  <c r="U28" i="1" s="1"/>
  <c r="S24" i="1"/>
  <c r="T24" i="1"/>
  <c r="U24" i="1" s="1"/>
  <c r="S20" i="1"/>
  <c r="T20" i="1"/>
  <c r="U20" i="1" s="1"/>
  <c r="S16" i="1"/>
  <c r="V16" i="1" s="1"/>
  <c r="S44" i="1"/>
  <c r="T44" i="1"/>
  <c r="U44" i="1" s="1"/>
  <c r="S40" i="1"/>
  <c r="T40" i="1"/>
  <c r="U40" i="1" s="1"/>
  <c r="S36" i="1"/>
  <c r="T36" i="1"/>
  <c r="U36" i="1" s="1"/>
  <c r="S32" i="1"/>
  <c r="S59" i="1"/>
  <c r="T59" i="1"/>
  <c r="U59" i="1" s="1"/>
  <c r="S55" i="1"/>
  <c r="T55" i="1"/>
  <c r="U55" i="1" s="1"/>
  <c r="S51" i="1"/>
  <c r="T51" i="1"/>
  <c r="U51" i="1" s="1"/>
  <c r="S47" i="1"/>
  <c r="V47" i="1" s="1"/>
  <c r="S64" i="1"/>
  <c r="T64" i="1"/>
  <c r="U64" i="1" s="1"/>
  <c r="S76" i="1"/>
  <c r="T76" i="1"/>
  <c r="U76" i="1" s="1"/>
  <c r="S72" i="1"/>
  <c r="T72" i="1"/>
  <c r="U72" i="1" s="1"/>
  <c r="S68" i="1"/>
  <c r="V68" i="1" s="1"/>
  <c r="S87" i="1"/>
  <c r="T87" i="1"/>
  <c r="U87" i="1" s="1"/>
  <c r="S83" i="1"/>
  <c r="T83" i="1"/>
  <c r="U83" i="1" s="1"/>
  <c r="S79" i="1"/>
  <c r="T79" i="1"/>
  <c r="U79" i="1" s="1"/>
  <c r="S101" i="1"/>
  <c r="V101" i="1" s="1"/>
  <c r="S97" i="1"/>
  <c r="T97" i="1"/>
  <c r="U97" i="1" s="1"/>
  <c r="S93" i="1"/>
  <c r="T93" i="1"/>
  <c r="U93" i="1" s="1"/>
  <c r="S89" i="1"/>
  <c r="T89" i="1"/>
  <c r="U89" i="1" s="1"/>
  <c r="S115" i="1"/>
  <c r="S111" i="1"/>
  <c r="T111" i="1"/>
  <c r="U111" i="1" s="1"/>
  <c r="S107" i="1"/>
  <c r="T107" i="1"/>
  <c r="U107" i="1" s="1"/>
  <c r="S131" i="1"/>
  <c r="T131" i="1"/>
  <c r="U131" i="1" s="1"/>
  <c r="S127" i="1"/>
  <c r="V127" i="1" s="1"/>
  <c r="S123" i="1"/>
  <c r="T123" i="1"/>
  <c r="U123" i="1" s="1"/>
  <c r="S119" i="1"/>
  <c r="T119" i="1"/>
  <c r="U119" i="1" s="1"/>
  <c r="S136" i="1"/>
  <c r="T136" i="1"/>
  <c r="U136" i="1" s="1"/>
  <c r="S159" i="1"/>
  <c r="V159" i="1" s="1"/>
  <c r="S155" i="1"/>
  <c r="T155" i="1"/>
  <c r="U155" i="1" s="1"/>
  <c r="S151" i="1"/>
  <c r="T151" i="1"/>
  <c r="U151" i="1" s="1"/>
  <c r="S147" i="1"/>
  <c r="T147" i="1"/>
  <c r="U147" i="1" s="1"/>
  <c r="S143" i="1"/>
  <c r="V143" i="1" s="1"/>
  <c r="S162" i="1"/>
  <c r="T162" i="1"/>
  <c r="U162" i="1" s="1"/>
  <c r="S171" i="1"/>
  <c r="T171" i="1"/>
  <c r="U171" i="1" s="1"/>
  <c r="S167" i="1"/>
  <c r="T167" i="1"/>
  <c r="U167" i="1" s="1"/>
  <c r="S163" i="1"/>
  <c r="S183" i="1"/>
  <c r="T183" i="1"/>
  <c r="U183" i="1" s="1"/>
  <c r="S179" i="1"/>
  <c r="T179" i="1"/>
  <c r="U179" i="1" s="1"/>
  <c r="S175" i="1"/>
  <c r="T175" i="1"/>
  <c r="U175" i="1" s="1"/>
  <c r="S197" i="1"/>
  <c r="V197" i="1" s="1"/>
  <c r="S193" i="1"/>
  <c r="T193" i="1"/>
  <c r="U193" i="1" s="1"/>
  <c r="S189" i="1"/>
  <c r="T189" i="1"/>
  <c r="U189" i="1" s="1"/>
  <c r="S202" i="1"/>
  <c r="T202" i="1"/>
  <c r="U202" i="1" s="1"/>
  <c r="S248" i="1"/>
  <c r="V248" i="1" s="1"/>
  <c r="S244" i="1"/>
  <c r="T244" i="1"/>
  <c r="U244" i="1" s="1"/>
  <c r="S240" i="1"/>
  <c r="T240" i="1"/>
  <c r="U240" i="1" s="1"/>
  <c r="S236" i="1"/>
  <c r="T236" i="1"/>
  <c r="U236" i="1" s="1"/>
  <c r="S232" i="1"/>
  <c r="V232" i="1" s="1"/>
  <c r="S228" i="1"/>
  <c r="T228" i="1"/>
  <c r="U228" i="1" s="1"/>
  <c r="S224" i="1"/>
  <c r="T224" i="1"/>
  <c r="U224" i="1" s="1"/>
  <c r="S220" i="1"/>
  <c r="T220" i="1"/>
  <c r="U220" i="1" s="1"/>
  <c r="S216" i="1"/>
  <c r="S212" i="1"/>
  <c r="T212" i="1"/>
  <c r="U212" i="1" s="1"/>
  <c r="S208" i="1"/>
  <c r="T208" i="1"/>
  <c r="U208" i="1" s="1"/>
  <c r="S204" i="1"/>
  <c r="T204" i="1"/>
  <c r="U204" i="1" s="1"/>
  <c r="S266" i="1"/>
  <c r="V266" i="1" s="1"/>
  <c r="S262" i="1"/>
  <c r="T262" i="1"/>
  <c r="U262" i="1" s="1"/>
  <c r="S258" i="1"/>
  <c r="S254" i="1"/>
  <c r="T254" i="1"/>
  <c r="U254" i="1" s="1"/>
  <c r="S250" i="1"/>
  <c r="V250" i="1" s="1"/>
  <c r="S273" i="1"/>
  <c r="T273" i="1"/>
  <c r="U273" i="1" s="1"/>
  <c r="S292" i="1"/>
  <c r="V292" i="1" s="1"/>
  <c r="S288" i="1"/>
  <c r="T288" i="1"/>
  <c r="U288" i="1" s="1"/>
  <c r="S284" i="1"/>
  <c r="V284" i="1" s="1"/>
  <c r="S280" i="1"/>
  <c r="T280" i="1"/>
  <c r="U280" i="1" s="1"/>
  <c r="S276" i="1"/>
  <c r="S301" i="1"/>
  <c r="T301" i="1"/>
  <c r="U301" i="1" s="1"/>
  <c r="S297" i="1"/>
  <c r="V297" i="1" s="1"/>
  <c r="T32" i="1"/>
  <c r="U32" i="1" s="1"/>
  <c r="T115" i="1"/>
  <c r="U115" i="1" s="1"/>
  <c r="T163" i="1"/>
  <c r="U163" i="1" s="1"/>
  <c r="T216" i="1"/>
  <c r="U216" i="1" s="1"/>
  <c r="T258" i="1"/>
  <c r="U258" i="1" s="1"/>
  <c r="T276" i="1"/>
  <c r="U276" i="1" s="1"/>
  <c r="S370" i="1"/>
  <c r="V370" i="1" s="1"/>
  <c r="S12" i="1"/>
  <c r="T12" i="1"/>
  <c r="U12" i="1" s="1"/>
  <c r="S4" i="1"/>
  <c r="T4" i="1"/>
  <c r="U4" i="1" s="1"/>
  <c r="S27" i="1"/>
  <c r="V27" i="1" s="1"/>
  <c r="S23" i="1"/>
  <c r="T23" i="1"/>
  <c r="U23" i="1" s="1"/>
  <c r="S19" i="1"/>
  <c r="T19" i="1"/>
  <c r="U19" i="1" s="1"/>
  <c r="S15" i="1"/>
  <c r="T15" i="1"/>
  <c r="U15" i="1" s="1"/>
  <c r="S43" i="1"/>
  <c r="S35" i="1"/>
  <c r="T35" i="1"/>
  <c r="U35" i="1" s="1"/>
  <c r="S62" i="1"/>
  <c r="T62" i="1"/>
  <c r="U62" i="1" s="1"/>
  <c r="S58" i="1"/>
  <c r="S54" i="1"/>
  <c r="T54" i="1"/>
  <c r="U54" i="1" s="1"/>
  <c r="S50" i="1"/>
  <c r="T50" i="1"/>
  <c r="U50" i="1" s="1"/>
  <c r="S46" i="1"/>
  <c r="T46" i="1"/>
  <c r="U46" i="1" s="1"/>
  <c r="S63" i="1"/>
  <c r="V63" i="1" s="1"/>
  <c r="S75" i="1"/>
  <c r="T75" i="1"/>
  <c r="U75" i="1" s="1"/>
  <c r="T71" i="1"/>
  <c r="U71" i="1" s="1"/>
  <c r="S71" i="1"/>
  <c r="S67" i="1"/>
  <c r="T67" i="1"/>
  <c r="U67" i="1" s="1"/>
  <c r="S86" i="1"/>
  <c r="V86" i="1" s="1"/>
  <c r="S82" i="1"/>
  <c r="T82" i="1"/>
  <c r="U82" i="1" s="1"/>
  <c r="S104" i="1"/>
  <c r="T104" i="1"/>
  <c r="U104" i="1" s="1"/>
  <c r="S100" i="1"/>
  <c r="T100" i="1"/>
  <c r="U100" i="1" s="1"/>
  <c r="S96" i="1"/>
  <c r="T92" i="1"/>
  <c r="U92" i="1" s="1"/>
  <c r="S92" i="1"/>
  <c r="S118" i="1"/>
  <c r="T118" i="1"/>
  <c r="U118" i="1" s="1"/>
  <c r="S114" i="1"/>
  <c r="T114" i="1"/>
  <c r="U114" i="1" s="1"/>
  <c r="S110" i="1"/>
  <c r="S106" i="1"/>
  <c r="T106" i="1"/>
  <c r="U106" i="1" s="1"/>
  <c r="S130" i="1"/>
  <c r="T130" i="1"/>
  <c r="U130" i="1" s="1"/>
  <c r="S126" i="1"/>
  <c r="T126" i="1"/>
  <c r="U126" i="1" s="1"/>
  <c r="S122" i="1"/>
  <c r="V122" i="1" s="1"/>
  <c r="S139" i="1"/>
  <c r="T139" i="1"/>
  <c r="U139" i="1" s="1"/>
  <c r="S135" i="1"/>
  <c r="T135" i="1"/>
  <c r="U135" i="1" s="1"/>
  <c r="S158" i="1"/>
  <c r="T158" i="1"/>
  <c r="U158" i="1" s="1"/>
  <c r="S154" i="1"/>
  <c r="V154" i="1" s="1"/>
  <c r="S150" i="1"/>
  <c r="T150" i="1"/>
  <c r="U150" i="1" s="1"/>
  <c r="S146" i="1"/>
  <c r="T146" i="1"/>
  <c r="U146" i="1" s="1"/>
  <c r="S142" i="1"/>
  <c r="T142" i="1"/>
  <c r="U142" i="1" s="1"/>
  <c r="S161" i="1"/>
  <c r="T170" i="1"/>
  <c r="U170" i="1" s="1"/>
  <c r="S170" i="1"/>
  <c r="S166" i="1"/>
  <c r="T166" i="1"/>
  <c r="U166" i="1" s="1"/>
  <c r="S173" i="1"/>
  <c r="T173" i="1"/>
  <c r="U173" i="1" s="1"/>
  <c r="S182" i="1"/>
  <c r="S178" i="1"/>
  <c r="T178" i="1"/>
  <c r="U178" i="1" s="1"/>
  <c r="S174" i="1"/>
  <c r="T174" i="1"/>
  <c r="U174" i="1" s="1"/>
  <c r="S196" i="1"/>
  <c r="T196" i="1"/>
  <c r="U196" i="1" s="1"/>
  <c r="S192" i="1"/>
  <c r="V192" i="1" s="1"/>
  <c r="S188" i="1"/>
  <c r="T188" i="1"/>
  <c r="U188" i="1" s="1"/>
  <c r="S201" i="1"/>
  <c r="T201" i="1"/>
  <c r="U201" i="1" s="1"/>
  <c r="S247" i="1"/>
  <c r="T247" i="1"/>
  <c r="U247" i="1" s="1"/>
  <c r="S243" i="1"/>
  <c r="V243" i="1" s="1"/>
  <c r="S239" i="1"/>
  <c r="T239" i="1"/>
  <c r="U239" i="1" s="1"/>
  <c r="S235" i="1"/>
  <c r="T235" i="1"/>
  <c r="U235" i="1" s="1"/>
  <c r="S231" i="1"/>
  <c r="T231" i="1"/>
  <c r="U231" i="1" s="1"/>
  <c r="S227" i="1"/>
  <c r="S223" i="1"/>
  <c r="T223" i="1"/>
  <c r="U223" i="1" s="1"/>
  <c r="S219" i="1"/>
  <c r="T219" i="1"/>
  <c r="U219" i="1" s="1"/>
  <c r="S211" i="1"/>
  <c r="S207" i="1"/>
  <c r="T207" i="1"/>
  <c r="U207" i="1" s="1"/>
  <c r="S269" i="1"/>
  <c r="T269" i="1"/>
  <c r="U269" i="1" s="1"/>
  <c r="T265" i="1"/>
  <c r="U265" i="1" s="1"/>
  <c r="S265" i="1"/>
  <c r="S261" i="1"/>
  <c r="T261" i="1"/>
  <c r="U261" i="1" s="1"/>
  <c r="T257" i="1"/>
  <c r="U257" i="1" s="1"/>
  <c r="S257" i="1"/>
  <c r="T249" i="1"/>
  <c r="U249" i="1" s="1"/>
  <c r="S249" i="1"/>
  <c r="S272" i="1"/>
  <c r="T272" i="1"/>
  <c r="U272" i="1" s="1"/>
  <c r="T291" i="1"/>
  <c r="U291" i="1" s="1"/>
  <c r="S291" i="1"/>
  <c r="S287" i="1"/>
  <c r="T287" i="1"/>
  <c r="U287" i="1" s="1"/>
  <c r="T283" i="1"/>
  <c r="U283" i="1" s="1"/>
  <c r="S283" i="1"/>
  <c r="S279" i="1"/>
  <c r="T279" i="1"/>
  <c r="U279" i="1" s="1"/>
  <c r="T275" i="1"/>
  <c r="U275" i="1" s="1"/>
  <c r="S275" i="1"/>
  <c r="S300" i="1"/>
  <c r="T300" i="1"/>
  <c r="U300" i="1" s="1"/>
  <c r="S296" i="1"/>
  <c r="T296" i="1"/>
  <c r="U296" i="1" s="1"/>
  <c r="T304" i="1"/>
  <c r="U304" i="1" s="1"/>
  <c r="S304" i="1"/>
  <c r="T317" i="1"/>
  <c r="U317" i="1" s="1"/>
  <c r="S317" i="1"/>
  <c r="S313" i="1"/>
  <c r="T313" i="1"/>
  <c r="U313" i="1" s="1"/>
  <c r="T323" i="1"/>
  <c r="U323" i="1" s="1"/>
  <c r="S323" i="1"/>
  <c r="T330" i="1"/>
  <c r="U330" i="1" s="1"/>
  <c r="S330" i="1"/>
  <c r="T326" i="1"/>
  <c r="U326" i="1" s="1"/>
  <c r="S326" i="1"/>
  <c r="S347" i="1"/>
  <c r="T347" i="1"/>
  <c r="U347" i="1" s="1"/>
  <c r="T343" i="1"/>
  <c r="U343" i="1" s="1"/>
  <c r="S343" i="1"/>
  <c r="T339" i="1"/>
  <c r="U339" i="1" s="1"/>
  <c r="S339" i="1"/>
  <c r="T335" i="1"/>
  <c r="U335" i="1" s="1"/>
  <c r="S335" i="1"/>
  <c r="S331" i="1"/>
  <c r="T331" i="1"/>
  <c r="U331" i="1" s="1"/>
  <c r="T358" i="1"/>
  <c r="U358" i="1" s="1"/>
  <c r="S358" i="1"/>
  <c r="T354" i="1"/>
  <c r="U354" i="1" s="1"/>
  <c r="S354" i="1"/>
  <c r="T350" i="1"/>
  <c r="U350" i="1" s="1"/>
  <c r="S350" i="1"/>
  <c r="S365" i="1"/>
  <c r="T365" i="1"/>
  <c r="U365" i="1" s="1"/>
  <c r="T379" i="1"/>
  <c r="U379" i="1" s="1"/>
  <c r="S379" i="1"/>
  <c r="T375" i="1"/>
  <c r="U375" i="1" s="1"/>
  <c r="S375" i="1"/>
  <c r="S371" i="1"/>
  <c r="T371" i="1"/>
  <c r="U371" i="1" s="1"/>
  <c r="T384" i="1"/>
  <c r="U384" i="1" s="1"/>
  <c r="S384" i="1"/>
  <c r="S393" i="1"/>
  <c r="T393" i="1"/>
  <c r="U393" i="1" s="1"/>
  <c r="S389" i="1"/>
  <c r="T389" i="1"/>
  <c r="U389" i="1" s="1"/>
  <c r="S395" i="1"/>
  <c r="T395" i="1"/>
  <c r="U395" i="1" s="1"/>
  <c r="S410" i="1"/>
  <c r="T410" i="1"/>
  <c r="U410" i="1" s="1"/>
  <c r="S406" i="1"/>
  <c r="T406" i="1"/>
  <c r="U406" i="1" s="1"/>
  <c r="S402" i="1"/>
  <c r="T402" i="1"/>
  <c r="U402" i="1" s="1"/>
  <c r="S398" i="1"/>
  <c r="T398" i="1"/>
  <c r="U398" i="1" s="1"/>
  <c r="S424" i="1"/>
  <c r="V424" i="1" s="1"/>
  <c r="S420" i="1"/>
  <c r="T420" i="1"/>
  <c r="U420" i="1" s="1"/>
  <c r="S416" i="1"/>
  <c r="T416" i="1"/>
  <c r="U416" i="1" s="1"/>
  <c r="S434" i="1"/>
  <c r="T434" i="1"/>
  <c r="U434" i="1" s="1"/>
  <c r="S430" i="1"/>
  <c r="T430" i="1"/>
  <c r="U430" i="1" s="1"/>
  <c r="S437" i="1"/>
  <c r="T437" i="1"/>
  <c r="U437" i="1" s="1"/>
  <c r="S444" i="1"/>
  <c r="T444" i="1"/>
  <c r="U444" i="1" s="1"/>
  <c r="S440" i="1"/>
  <c r="T440" i="1"/>
  <c r="U440" i="1" s="1"/>
  <c r="S455" i="1"/>
  <c r="V455" i="1" s="1"/>
  <c r="S451" i="1"/>
  <c r="T451" i="1"/>
  <c r="U451" i="1" s="1"/>
  <c r="S447" i="1"/>
  <c r="T447" i="1"/>
  <c r="U447" i="1" s="1"/>
  <c r="S460" i="1"/>
  <c r="T460" i="1"/>
  <c r="U460" i="1" s="1"/>
  <c r="S466" i="1"/>
  <c r="T466" i="1"/>
  <c r="U466" i="1" s="1"/>
  <c r="S473" i="1"/>
  <c r="T473" i="1"/>
  <c r="U473" i="1" s="1"/>
  <c r="S469" i="1"/>
  <c r="T469" i="1"/>
  <c r="U469" i="1" s="1"/>
  <c r="S480" i="1"/>
  <c r="T480" i="1"/>
  <c r="U480" i="1" s="1"/>
  <c r="S476" i="1"/>
  <c r="V476" i="1" s="1"/>
  <c r="S490" i="1"/>
  <c r="T490" i="1"/>
  <c r="U490" i="1" s="1"/>
  <c r="S486" i="1"/>
  <c r="T486" i="1"/>
  <c r="U486" i="1" s="1"/>
  <c r="S492" i="1"/>
  <c r="T492" i="1"/>
  <c r="U492" i="1" s="1"/>
  <c r="S498" i="1"/>
  <c r="T498" i="1"/>
  <c r="U498" i="1" s="1"/>
  <c r="S508" i="1"/>
  <c r="T508" i="1"/>
  <c r="U508" i="1" s="1"/>
  <c r="S504" i="1"/>
  <c r="T504" i="1"/>
  <c r="U504" i="1" s="1"/>
  <c r="S517" i="1"/>
  <c r="T517" i="1"/>
  <c r="U517" i="1" s="1"/>
  <c r="S513" i="1"/>
  <c r="V513" i="1" s="1"/>
  <c r="S509" i="1"/>
  <c r="T509" i="1"/>
  <c r="U509" i="1" s="1"/>
  <c r="S521" i="1"/>
  <c r="T521" i="1"/>
  <c r="U521" i="1" s="1"/>
  <c r="S532" i="1"/>
  <c r="T532" i="1"/>
  <c r="U532" i="1" s="1"/>
  <c r="S528" i="1"/>
  <c r="T528" i="1"/>
  <c r="U528" i="1" s="1"/>
  <c r="S547" i="1"/>
  <c r="T547" i="1"/>
  <c r="U547" i="1" s="1"/>
  <c r="S543" i="1"/>
  <c r="T543" i="1"/>
  <c r="U543" i="1" s="1"/>
  <c r="S539" i="1"/>
  <c r="T539" i="1"/>
  <c r="U539" i="1" s="1"/>
  <c r="S535" i="1"/>
  <c r="V535" i="1" s="1"/>
  <c r="S551" i="1"/>
  <c r="T551" i="1"/>
  <c r="U551" i="1" s="1"/>
  <c r="S556" i="1"/>
  <c r="T556" i="1"/>
  <c r="U556" i="1" s="1"/>
  <c r="S557" i="1"/>
  <c r="T557" i="1"/>
  <c r="U557" i="1" s="1"/>
  <c r="S562" i="1"/>
  <c r="T562" i="1"/>
  <c r="U562" i="1" s="1"/>
  <c r="S568" i="1"/>
  <c r="T568" i="1"/>
  <c r="U568" i="1" s="1"/>
  <c r="S564" i="1"/>
  <c r="S573" i="1"/>
  <c r="T573" i="1"/>
  <c r="U573" i="1" s="1"/>
  <c r="S577" i="1"/>
  <c r="T577" i="1"/>
  <c r="U577" i="1" s="1"/>
  <c r="S582" i="1"/>
  <c r="T582" i="1"/>
  <c r="U582" i="1" s="1"/>
  <c r="S584" i="1"/>
  <c r="T584" i="1"/>
  <c r="U584" i="1" s="1"/>
  <c r="S586" i="1"/>
  <c r="T586" i="1"/>
  <c r="U586" i="1" s="1"/>
  <c r="S592" i="1"/>
  <c r="T592" i="1"/>
  <c r="U592" i="1" s="1"/>
  <c r="S598" i="1"/>
  <c r="T598" i="1"/>
  <c r="U598" i="1" s="1"/>
  <c r="S601" i="1"/>
  <c r="T601" i="1"/>
  <c r="U601" i="1" s="1"/>
  <c r="S612" i="1"/>
  <c r="T612" i="1"/>
  <c r="U612" i="1" s="1"/>
  <c r="S608" i="1"/>
  <c r="T608" i="1"/>
  <c r="U608" i="1" s="1"/>
  <c r="S614" i="1"/>
  <c r="T614" i="1"/>
  <c r="U614" i="1" s="1"/>
  <c r="S616" i="1"/>
  <c r="T616" i="1"/>
  <c r="U616" i="1" s="1"/>
  <c r="S619" i="1"/>
  <c r="T619" i="1"/>
  <c r="U619" i="1" s="1"/>
  <c r="S622" i="1"/>
  <c r="T622" i="1"/>
  <c r="U622" i="1" s="1"/>
  <c r="S629" i="1"/>
  <c r="T629" i="1"/>
  <c r="U629" i="1" s="1"/>
  <c r="S634" i="1"/>
  <c r="V634" i="1" s="1"/>
  <c r="S636" i="1"/>
  <c r="T636" i="1"/>
  <c r="U636" i="1" s="1"/>
  <c r="S639" i="1"/>
  <c r="T639" i="1"/>
  <c r="U639" i="1" s="1"/>
  <c r="S644" i="1"/>
  <c r="T644" i="1"/>
  <c r="U644" i="1" s="1"/>
  <c r="S646" i="1"/>
  <c r="T646" i="1"/>
  <c r="U646" i="1" s="1"/>
  <c r="S651" i="1"/>
  <c r="T651" i="1"/>
  <c r="U651" i="1" s="1"/>
  <c r="S660" i="1"/>
  <c r="T660" i="1"/>
  <c r="U660" i="1" s="1"/>
  <c r="S663" i="1"/>
  <c r="T663" i="1"/>
  <c r="U663" i="1" s="1"/>
  <c r="S666" i="1"/>
  <c r="T666" i="1"/>
  <c r="U666" i="1" s="1"/>
  <c r="S671" i="1"/>
  <c r="T671" i="1"/>
  <c r="U671" i="1" s="1"/>
  <c r="S676" i="1"/>
  <c r="T676" i="1"/>
  <c r="U676" i="1" s="1"/>
  <c r="S679" i="1"/>
  <c r="T679" i="1"/>
  <c r="U679" i="1" s="1"/>
  <c r="S683" i="1"/>
  <c r="T683" i="1"/>
  <c r="U683" i="1" s="1"/>
  <c r="S687" i="1"/>
  <c r="T687" i="1"/>
  <c r="U687" i="1" s="1"/>
  <c r="S696" i="1"/>
  <c r="T696" i="1"/>
  <c r="U696" i="1" s="1"/>
  <c r="S692" i="1"/>
  <c r="T692" i="1"/>
  <c r="U692" i="1" s="1"/>
  <c r="S698" i="1"/>
  <c r="V698" i="1" s="1"/>
  <c r="S702" i="1"/>
  <c r="T702" i="1"/>
  <c r="U702" i="1" s="1"/>
  <c r="S705" i="1"/>
  <c r="T705" i="1"/>
  <c r="U705" i="1" s="1"/>
  <c r="S707" i="1"/>
  <c r="T707" i="1"/>
  <c r="U707" i="1" s="1"/>
  <c r="S713" i="1"/>
  <c r="T713" i="1"/>
  <c r="U713" i="1" s="1"/>
  <c r="S715" i="1"/>
  <c r="T715" i="1"/>
  <c r="U715" i="1" s="1"/>
  <c r="S722" i="1"/>
  <c r="T722" i="1"/>
  <c r="U722" i="1" s="1"/>
  <c r="S728" i="1"/>
  <c r="T728" i="1"/>
  <c r="U728" i="1" s="1"/>
  <c r="T58" i="1"/>
  <c r="U58" i="1" s="1"/>
  <c r="T110" i="1"/>
  <c r="U110" i="1" s="1"/>
  <c r="T182" i="1"/>
  <c r="U182" i="1" s="1"/>
  <c r="T211" i="1"/>
  <c r="U211" i="1" s="1"/>
  <c r="S8" i="1"/>
  <c r="V8" i="1" s="1"/>
  <c r="S215" i="1"/>
  <c r="V215" i="1" s="1"/>
  <c r="S29" i="1"/>
  <c r="T29" i="1"/>
  <c r="U29" i="1" s="1"/>
  <c r="S11" i="1"/>
  <c r="V11" i="1" s="1"/>
  <c r="S7" i="1"/>
  <c r="T7" i="1"/>
  <c r="U7" i="1" s="1"/>
  <c r="S3" i="1"/>
  <c r="T3" i="1"/>
  <c r="U3" i="1" s="1"/>
  <c r="S26" i="1"/>
  <c r="T26" i="1"/>
  <c r="U26" i="1" s="1"/>
  <c r="S22" i="1"/>
  <c r="V22" i="1" s="1"/>
  <c r="S18" i="1"/>
  <c r="T18" i="1"/>
  <c r="U18" i="1" s="1"/>
  <c r="S31" i="1"/>
  <c r="T31" i="1"/>
  <c r="U31" i="1" s="1"/>
  <c r="S42" i="1"/>
  <c r="S49" i="1"/>
  <c r="S121" i="1"/>
  <c r="S191" i="1"/>
  <c r="S230" i="1"/>
  <c r="S260" i="1"/>
  <c r="S405" i="1"/>
  <c r="V405" i="1" s="1"/>
  <c r="S472" i="1"/>
  <c r="V472" i="1" s="1"/>
  <c r="T5" i="1"/>
  <c r="U5" i="1" s="1"/>
  <c r="T43" i="1"/>
  <c r="U43" i="1" s="1"/>
  <c r="T96" i="1"/>
  <c r="U96" i="1" s="1"/>
  <c r="T161" i="1"/>
  <c r="U161" i="1" s="1"/>
  <c r="T227" i="1"/>
  <c r="U227" i="1" s="1"/>
  <c r="T564" i="1"/>
  <c r="U564" i="1" s="1"/>
  <c r="S39" i="1"/>
  <c r="V39" i="1" s="1"/>
  <c r="S148" i="1"/>
  <c r="V148" i="1" s="1"/>
  <c r="S253" i="1"/>
  <c r="V253" i="1" s="1"/>
  <c r="S38" i="1"/>
  <c r="V38" i="1" s="1"/>
  <c r="S34" i="1"/>
  <c r="S61" i="1"/>
  <c r="S57" i="1"/>
  <c r="S53" i="1"/>
  <c r="V53" i="1" s="1"/>
  <c r="S45" i="1"/>
  <c r="S74" i="1"/>
  <c r="V74" i="1" s="1"/>
  <c r="S70" i="1"/>
  <c r="S66" i="1"/>
  <c r="S85" i="1"/>
  <c r="S81" i="1"/>
  <c r="V81" i="1" s="1"/>
  <c r="S103" i="1"/>
  <c r="S95" i="1"/>
  <c r="S91" i="1"/>
  <c r="V91" i="1" s="1"/>
  <c r="S117" i="1"/>
  <c r="S113" i="1"/>
  <c r="S109" i="1"/>
  <c r="S105" i="1"/>
  <c r="V105" i="1" s="1"/>
  <c r="S125" i="1"/>
  <c r="S138" i="1"/>
  <c r="V138" i="1" s="1"/>
  <c r="S134" i="1"/>
  <c r="S157" i="1"/>
  <c r="S153" i="1"/>
  <c r="S149" i="1"/>
  <c r="V149" i="1" s="1"/>
  <c r="S145" i="1"/>
  <c r="S160" i="1"/>
  <c r="S169" i="1"/>
  <c r="V169" i="1" s="1"/>
  <c r="S165" i="1"/>
  <c r="S185" i="1"/>
  <c r="S181" i="1"/>
  <c r="S177" i="1"/>
  <c r="V177" i="1" s="1"/>
  <c r="S195" i="1"/>
  <c r="S187" i="1"/>
  <c r="V187" i="1" s="1"/>
  <c r="S200" i="1"/>
  <c r="S246" i="1"/>
  <c r="S242" i="1"/>
  <c r="S238" i="1"/>
  <c r="V238" i="1" s="1"/>
  <c r="S234" i="1"/>
  <c r="S226" i="1"/>
  <c r="S222" i="1"/>
  <c r="V222" i="1" s="1"/>
  <c r="S218" i="1"/>
  <c r="S214" i="1"/>
  <c r="S210" i="1"/>
  <c r="S206" i="1"/>
  <c r="V206" i="1" s="1"/>
  <c r="S264" i="1"/>
  <c r="S256" i="1"/>
  <c r="S252" i="1"/>
  <c r="S271" i="1"/>
  <c r="S294" i="1"/>
  <c r="S290" i="1"/>
  <c r="S282" i="1"/>
  <c r="S278" i="1"/>
  <c r="S274" i="1"/>
  <c r="S299" i="1"/>
  <c r="S295" i="1"/>
  <c r="S307" i="1"/>
  <c r="S303" i="1"/>
  <c r="S316" i="1"/>
  <c r="S312" i="1"/>
  <c r="S322" i="1"/>
  <c r="S329" i="1"/>
  <c r="S325" i="1"/>
  <c r="S346" i="1"/>
  <c r="S342" i="1"/>
  <c r="S338" i="1"/>
  <c r="S334" i="1"/>
  <c r="S361" i="1"/>
  <c r="S357" i="1"/>
  <c r="S353" i="1"/>
  <c r="S368" i="1"/>
  <c r="S364" i="1"/>
  <c r="S369" i="1"/>
  <c r="S378" i="1"/>
  <c r="S374" i="1"/>
  <c r="S387" i="1"/>
  <c r="S383" i="1"/>
  <c r="S392" i="1"/>
  <c r="S388" i="1"/>
  <c r="S413" i="1"/>
  <c r="S409" i="1"/>
  <c r="T409" i="1"/>
  <c r="U409" i="1" s="1"/>
  <c r="S401" i="1"/>
  <c r="T401" i="1"/>
  <c r="U401" i="1" s="1"/>
  <c r="S427" i="1"/>
  <c r="S423" i="1"/>
  <c r="T423" i="1"/>
  <c r="U423" i="1" s="1"/>
  <c r="S419" i="1"/>
  <c r="V419" i="1" s="1"/>
  <c r="S415" i="1"/>
  <c r="T415" i="1"/>
  <c r="U415" i="1" s="1"/>
  <c r="S433" i="1"/>
  <c r="S429" i="1"/>
  <c r="T429" i="1"/>
  <c r="U429" i="1" s="1"/>
  <c r="S436" i="1"/>
  <c r="V436" i="1" s="1"/>
  <c r="S443" i="1"/>
  <c r="T443" i="1"/>
  <c r="U443" i="1" s="1"/>
  <c r="S439" i="1"/>
  <c r="S454" i="1"/>
  <c r="T454" i="1"/>
  <c r="U454" i="1" s="1"/>
  <c r="S450" i="1"/>
  <c r="V450" i="1" s="1"/>
  <c r="S463" i="1"/>
  <c r="T463" i="1"/>
  <c r="U463" i="1" s="1"/>
  <c r="S459" i="1"/>
  <c r="S465" i="1"/>
  <c r="T465" i="1"/>
  <c r="U465" i="1" s="1"/>
  <c r="S468" i="1"/>
  <c r="T468" i="1"/>
  <c r="U468" i="1" s="1"/>
  <c r="S479" i="1"/>
  <c r="S475" i="1"/>
  <c r="T475" i="1"/>
  <c r="U475" i="1" s="1"/>
  <c r="S489" i="1"/>
  <c r="V489" i="1" s="1"/>
  <c r="S485" i="1"/>
  <c r="T485" i="1"/>
  <c r="U485" i="1" s="1"/>
  <c r="S491" i="1"/>
  <c r="S497" i="1"/>
  <c r="T497" i="1"/>
  <c r="U497" i="1" s="1"/>
  <c r="S507" i="1"/>
  <c r="V507" i="1" s="1"/>
  <c r="S503" i="1"/>
  <c r="T503" i="1"/>
  <c r="U503" i="1" s="1"/>
  <c r="S516" i="1"/>
  <c r="S512" i="1"/>
  <c r="T512" i="1"/>
  <c r="U512" i="1" s="1"/>
  <c r="S524" i="1"/>
  <c r="V524" i="1" s="1"/>
  <c r="S520" i="1"/>
  <c r="T520" i="1"/>
  <c r="U520" i="1" s="1"/>
  <c r="S531" i="1"/>
  <c r="S527" i="1"/>
  <c r="T527" i="1"/>
  <c r="U527" i="1" s="1"/>
  <c r="S546" i="1"/>
  <c r="V546" i="1" s="1"/>
  <c r="S542" i="1"/>
  <c r="T542" i="1"/>
  <c r="U542" i="1" s="1"/>
  <c r="S538" i="1"/>
  <c r="S534" i="1"/>
  <c r="T534" i="1"/>
  <c r="U534" i="1" s="1"/>
  <c r="S550" i="1"/>
  <c r="V550" i="1" s="1"/>
  <c r="S555" i="1"/>
  <c r="T555" i="1"/>
  <c r="U555" i="1" s="1"/>
  <c r="S559" i="1"/>
  <c r="S561" i="1"/>
  <c r="T561" i="1"/>
  <c r="U561" i="1" s="1"/>
  <c r="S567" i="1"/>
  <c r="T567" i="1"/>
  <c r="U567" i="1" s="1"/>
  <c r="S571" i="1"/>
  <c r="T571" i="1"/>
  <c r="U571" i="1" s="1"/>
  <c r="S572" i="1"/>
  <c r="S576" i="1"/>
  <c r="T576" i="1"/>
  <c r="U576" i="1" s="1"/>
  <c r="S581" i="1"/>
  <c r="T581" i="1"/>
  <c r="U581" i="1" s="1"/>
  <c r="S589" i="1"/>
  <c r="T589" i="1"/>
  <c r="U589" i="1" s="1"/>
  <c r="S591" i="1"/>
  <c r="V591" i="1" s="1"/>
  <c r="S595" i="1"/>
  <c r="T595" i="1"/>
  <c r="U595" i="1" s="1"/>
  <c r="S597" i="1"/>
  <c r="T597" i="1"/>
  <c r="U597" i="1" s="1"/>
  <c r="S600" i="1"/>
  <c r="T600" i="1"/>
  <c r="U600" i="1" s="1"/>
  <c r="S611" i="1"/>
  <c r="V611" i="1" s="1"/>
  <c r="S607" i="1"/>
  <c r="T607" i="1"/>
  <c r="U607" i="1" s="1"/>
  <c r="S613" i="1"/>
  <c r="T613" i="1"/>
  <c r="U613" i="1" s="1"/>
  <c r="S615" i="1"/>
  <c r="T615" i="1"/>
  <c r="U615" i="1" s="1"/>
  <c r="S625" i="1"/>
  <c r="V625" i="1" s="1"/>
  <c r="S627" i="1"/>
  <c r="T627" i="1"/>
  <c r="U627" i="1" s="1"/>
  <c r="S628" i="1"/>
  <c r="T628" i="1"/>
  <c r="U628" i="1" s="1"/>
  <c r="S633" i="1"/>
  <c r="T633" i="1"/>
  <c r="U633" i="1" s="1"/>
  <c r="S643" i="1"/>
  <c r="T643" i="1"/>
  <c r="U643" i="1" s="1"/>
  <c r="S649" i="1"/>
  <c r="T649" i="1"/>
  <c r="U649" i="1" s="1"/>
  <c r="S654" i="1"/>
  <c r="T654" i="1"/>
  <c r="U654" i="1" s="1"/>
  <c r="S650" i="1"/>
  <c r="V650" i="1" s="1"/>
  <c r="S659" i="1"/>
  <c r="T659" i="1"/>
  <c r="U659" i="1" s="1"/>
  <c r="S662" i="1"/>
  <c r="T662" i="1"/>
  <c r="U662" i="1" s="1"/>
  <c r="S665" i="1"/>
  <c r="T665" i="1"/>
  <c r="U665" i="1" s="1"/>
  <c r="S670" i="1"/>
  <c r="V670" i="1" s="1"/>
  <c r="S675" i="1"/>
  <c r="T675" i="1"/>
  <c r="U675" i="1" s="1"/>
  <c r="S678" i="1"/>
  <c r="T678" i="1"/>
  <c r="U678" i="1" s="1"/>
  <c r="S682" i="1"/>
  <c r="T682" i="1"/>
  <c r="U682" i="1" s="1"/>
  <c r="S686" i="1"/>
  <c r="V686" i="1" s="1"/>
  <c r="S695" i="1"/>
  <c r="T695" i="1"/>
  <c r="U695" i="1" s="1"/>
  <c r="S691" i="1"/>
  <c r="T691" i="1"/>
  <c r="U691" i="1" s="1"/>
  <c r="S697" i="1"/>
  <c r="T697" i="1"/>
  <c r="U697" i="1" s="1"/>
  <c r="S701" i="1"/>
  <c r="S710" i="1"/>
  <c r="T710" i="1"/>
  <c r="U710" i="1" s="1"/>
  <c r="S706" i="1"/>
  <c r="T706" i="1"/>
  <c r="U706" i="1" s="1"/>
  <c r="S714" i="1"/>
  <c r="T714" i="1"/>
  <c r="U714" i="1" s="1"/>
  <c r="S720" i="1"/>
  <c r="T720" i="1"/>
  <c r="U720" i="1" s="1"/>
  <c r="S721" i="1"/>
  <c r="V721" i="1" s="1"/>
  <c r="S727" i="1"/>
  <c r="T727" i="1"/>
  <c r="U727" i="1" s="1"/>
  <c r="T42" i="1"/>
  <c r="U42" i="1" s="1"/>
  <c r="T57" i="1"/>
  <c r="U57" i="1" s="1"/>
  <c r="T85" i="1"/>
  <c r="U85" i="1" s="1"/>
  <c r="T95" i="1"/>
  <c r="U95" i="1" s="1"/>
  <c r="T109" i="1"/>
  <c r="U109" i="1" s="1"/>
  <c r="T121" i="1"/>
  <c r="U121" i="1" s="1"/>
  <c r="T153" i="1"/>
  <c r="U153" i="1" s="1"/>
  <c r="T160" i="1"/>
  <c r="U160" i="1" s="1"/>
  <c r="T181" i="1"/>
  <c r="U181" i="1" s="1"/>
  <c r="T191" i="1"/>
  <c r="U191" i="1" s="1"/>
  <c r="T242" i="1"/>
  <c r="U242" i="1" s="1"/>
  <c r="T226" i="1"/>
  <c r="U226" i="1" s="1"/>
  <c r="T210" i="1"/>
  <c r="U210" i="1" s="1"/>
  <c r="T264" i="1"/>
  <c r="U264" i="1" s="1"/>
  <c r="T256" i="1"/>
  <c r="U256" i="1" s="1"/>
  <c r="T271" i="1"/>
  <c r="U271" i="1" s="1"/>
  <c r="T290" i="1"/>
  <c r="U290" i="1" s="1"/>
  <c r="T282" i="1"/>
  <c r="U282" i="1" s="1"/>
  <c r="T274" i="1"/>
  <c r="U274" i="1" s="1"/>
  <c r="T295" i="1"/>
  <c r="U295" i="1" s="1"/>
  <c r="T303" i="1"/>
  <c r="U303" i="1" s="1"/>
  <c r="T312" i="1"/>
  <c r="U312" i="1" s="1"/>
  <c r="T329" i="1"/>
  <c r="U329" i="1" s="1"/>
  <c r="T346" i="1"/>
  <c r="U346" i="1" s="1"/>
  <c r="T338" i="1"/>
  <c r="U338" i="1" s="1"/>
  <c r="T361" i="1"/>
  <c r="U361" i="1" s="1"/>
  <c r="T353" i="1"/>
  <c r="U353" i="1" s="1"/>
  <c r="T364" i="1"/>
  <c r="U364" i="1" s="1"/>
  <c r="T378" i="1"/>
  <c r="U378" i="1" s="1"/>
  <c r="T387" i="1"/>
  <c r="U387" i="1" s="1"/>
  <c r="T392" i="1"/>
  <c r="U392" i="1" s="1"/>
  <c r="T413" i="1"/>
  <c r="U413" i="1" s="1"/>
  <c r="T433" i="1"/>
  <c r="U433" i="1" s="1"/>
  <c r="T459" i="1"/>
  <c r="U459" i="1" s="1"/>
  <c r="T491" i="1"/>
  <c r="U491" i="1" s="1"/>
  <c r="T531" i="1"/>
  <c r="U531" i="1" s="1"/>
  <c r="T559" i="1"/>
  <c r="U559" i="1" s="1"/>
  <c r="T572" i="1"/>
  <c r="U572" i="1" s="1"/>
  <c r="T701" i="1"/>
  <c r="U701" i="1" s="1"/>
  <c r="S141" i="1"/>
  <c r="V141" i="1" s="1"/>
  <c r="S199" i="1"/>
  <c r="V199" i="1" s="1"/>
  <c r="S237" i="1"/>
  <c r="V237" i="1" s="1"/>
  <c r="S209" i="1"/>
  <c r="V209" i="1" s="1"/>
  <c r="S270" i="1"/>
  <c r="V270" i="1" s="1"/>
  <c r="S594" i="1"/>
  <c r="V594" i="1" s="1"/>
  <c r="S203" i="1"/>
  <c r="T203" i="1"/>
  <c r="U203" i="1" s="1"/>
  <c r="S241" i="1"/>
  <c r="T241" i="1"/>
  <c r="U241" i="1" s="1"/>
  <c r="S233" i="1"/>
  <c r="T233" i="1"/>
  <c r="U233" i="1" s="1"/>
  <c r="S229" i="1"/>
  <c r="T229" i="1"/>
  <c r="U229" i="1" s="1"/>
  <c r="S225" i="1"/>
  <c r="T225" i="1"/>
  <c r="U225" i="1" s="1"/>
  <c r="S221" i="1"/>
  <c r="T221" i="1"/>
  <c r="U221" i="1" s="1"/>
  <c r="S217" i="1"/>
  <c r="T217" i="1"/>
  <c r="U217" i="1" s="1"/>
  <c r="S213" i="1"/>
  <c r="T213" i="1"/>
  <c r="U213" i="1" s="1"/>
  <c r="S205" i="1"/>
  <c r="T205" i="1"/>
  <c r="U205" i="1" s="1"/>
  <c r="S267" i="1"/>
  <c r="T267" i="1"/>
  <c r="U267" i="1" s="1"/>
  <c r="S263" i="1"/>
  <c r="T263" i="1"/>
  <c r="U263" i="1" s="1"/>
  <c r="S259" i="1"/>
  <c r="T259" i="1"/>
  <c r="U259" i="1" s="1"/>
  <c r="S255" i="1"/>
  <c r="T255" i="1"/>
  <c r="U255" i="1" s="1"/>
  <c r="S251" i="1"/>
  <c r="T251" i="1"/>
  <c r="U251" i="1" s="1"/>
  <c r="S293" i="1"/>
  <c r="T293" i="1"/>
  <c r="U293" i="1" s="1"/>
  <c r="S289" i="1"/>
  <c r="T289" i="1"/>
  <c r="U289" i="1" s="1"/>
  <c r="S285" i="1"/>
  <c r="T285" i="1"/>
  <c r="U285" i="1" s="1"/>
  <c r="S281" i="1"/>
  <c r="T281" i="1"/>
  <c r="U281" i="1" s="1"/>
  <c r="S277" i="1"/>
  <c r="T277" i="1"/>
  <c r="U277" i="1" s="1"/>
  <c r="S302" i="1"/>
  <c r="T302" i="1"/>
  <c r="U302" i="1" s="1"/>
  <c r="S298" i="1"/>
  <c r="T298" i="1"/>
  <c r="U298" i="1" s="1"/>
  <c r="S310" i="1"/>
  <c r="T310" i="1"/>
  <c r="U310" i="1" s="1"/>
  <c r="S306" i="1"/>
  <c r="T306" i="1"/>
  <c r="U306" i="1" s="1"/>
  <c r="S319" i="1"/>
  <c r="T319" i="1"/>
  <c r="U319" i="1" s="1"/>
  <c r="S315" i="1"/>
  <c r="T315" i="1"/>
  <c r="U315" i="1" s="1"/>
  <c r="S311" i="1"/>
  <c r="T311" i="1"/>
  <c r="U311" i="1" s="1"/>
  <c r="S321" i="1"/>
  <c r="T321" i="1"/>
  <c r="U321" i="1" s="1"/>
  <c r="S328" i="1"/>
  <c r="T328" i="1"/>
  <c r="U328" i="1" s="1"/>
  <c r="S349" i="1"/>
  <c r="T349" i="1"/>
  <c r="U349" i="1" s="1"/>
  <c r="S345" i="1"/>
  <c r="T345" i="1"/>
  <c r="U345" i="1" s="1"/>
  <c r="S341" i="1"/>
  <c r="T341" i="1"/>
  <c r="U341" i="1" s="1"/>
  <c r="S337" i="1"/>
  <c r="T337" i="1"/>
  <c r="U337" i="1" s="1"/>
  <c r="S333" i="1"/>
  <c r="T333" i="1"/>
  <c r="U333" i="1" s="1"/>
  <c r="S360" i="1"/>
  <c r="T360" i="1"/>
  <c r="U360" i="1" s="1"/>
  <c r="S356" i="1"/>
  <c r="T356" i="1"/>
  <c r="U356" i="1" s="1"/>
  <c r="S352" i="1"/>
  <c r="T352" i="1"/>
  <c r="U352" i="1" s="1"/>
  <c r="S367" i="1"/>
  <c r="T367" i="1"/>
  <c r="U367" i="1" s="1"/>
  <c r="S363" i="1"/>
  <c r="T363" i="1"/>
  <c r="U363" i="1" s="1"/>
  <c r="S381" i="1"/>
  <c r="T381" i="1"/>
  <c r="U381" i="1" s="1"/>
  <c r="S377" i="1"/>
  <c r="T377" i="1"/>
  <c r="U377" i="1" s="1"/>
  <c r="S373" i="1"/>
  <c r="T373" i="1"/>
  <c r="U373" i="1" s="1"/>
  <c r="S386" i="1"/>
  <c r="T386" i="1"/>
  <c r="U386" i="1" s="1"/>
  <c r="S382" i="1"/>
  <c r="T382" i="1"/>
  <c r="U382" i="1" s="1"/>
  <c r="S391" i="1"/>
  <c r="T391" i="1"/>
  <c r="U391" i="1" s="1"/>
  <c r="S397" i="1"/>
  <c r="T397" i="1"/>
  <c r="U397" i="1" s="1"/>
  <c r="S412" i="1"/>
  <c r="T412" i="1"/>
  <c r="U412" i="1" s="1"/>
  <c r="S408" i="1"/>
  <c r="T408" i="1"/>
  <c r="U408" i="1" s="1"/>
  <c r="S404" i="1"/>
  <c r="T404" i="1"/>
  <c r="U404" i="1" s="1"/>
  <c r="T400" i="1"/>
  <c r="U400" i="1" s="1"/>
  <c r="S400" i="1"/>
  <c r="S426" i="1"/>
  <c r="T426" i="1"/>
  <c r="U426" i="1" s="1"/>
  <c r="S422" i="1"/>
  <c r="T422" i="1"/>
  <c r="U422" i="1" s="1"/>
  <c r="S418" i="1"/>
  <c r="T418" i="1"/>
  <c r="U418" i="1" s="1"/>
  <c r="S432" i="1"/>
  <c r="T432" i="1"/>
  <c r="U432" i="1" s="1"/>
  <c r="S428" i="1"/>
  <c r="T428" i="1"/>
  <c r="U428" i="1" s="1"/>
  <c r="S446" i="1"/>
  <c r="T446" i="1"/>
  <c r="U446" i="1" s="1"/>
  <c r="T442" i="1"/>
  <c r="U442" i="1" s="1"/>
  <c r="S442" i="1"/>
  <c r="S457" i="1"/>
  <c r="T457" i="1"/>
  <c r="U457" i="1" s="1"/>
  <c r="S453" i="1"/>
  <c r="T453" i="1"/>
  <c r="U453" i="1" s="1"/>
  <c r="S449" i="1"/>
  <c r="T449" i="1"/>
  <c r="U449" i="1" s="1"/>
  <c r="T462" i="1"/>
  <c r="U462" i="1" s="1"/>
  <c r="S462" i="1"/>
  <c r="S458" i="1"/>
  <c r="T458" i="1"/>
  <c r="U458" i="1" s="1"/>
  <c r="S464" i="1"/>
  <c r="T464" i="1"/>
  <c r="U464" i="1" s="1"/>
  <c r="S471" i="1"/>
  <c r="T471" i="1"/>
  <c r="U471" i="1" s="1"/>
  <c r="T482" i="1"/>
  <c r="U482" i="1" s="1"/>
  <c r="S482" i="1"/>
  <c r="S478" i="1"/>
  <c r="T478" i="1"/>
  <c r="U478" i="1" s="1"/>
  <c r="S484" i="1"/>
  <c r="T484" i="1"/>
  <c r="U484" i="1" s="1"/>
  <c r="S488" i="1"/>
  <c r="T488" i="1"/>
  <c r="U488" i="1" s="1"/>
  <c r="S500" i="1"/>
  <c r="T500" i="1"/>
  <c r="U500" i="1" s="1"/>
  <c r="S496" i="1"/>
  <c r="T496" i="1"/>
  <c r="U496" i="1" s="1"/>
  <c r="S506" i="1"/>
  <c r="T506" i="1"/>
  <c r="U506" i="1" s="1"/>
  <c r="T502" i="1"/>
  <c r="U502" i="1" s="1"/>
  <c r="S502" i="1"/>
  <c r="S515" i="1"/>
  <c r="T515" i="1"/>
  <c r="U515" i="1" s="1"/>
  <c r="S511" i="1"/>
  <c r="T511" i="1"/>
  <c r="U511" i="1" s="1"/>
  <c r="S523" i="1"/>
  <c r="T523" i="1"/>
  <c r="U523" i="1" s="1"/>
  <c r="S519" i="1"/>
  <c r="T519" i="1"/>
  <c r="U519" i="1" s="1"/>
  <c r="S530" i="1"/>
  <c r="T530" i="1"/>
  <c r="U530" i="1" s="1"/>
  <c r="T526" i="1"/>
  <c r="U526" i="1" s="1"/>
  <c r="S526" i="1"/>
  <c r="S545" i="1"/>
  <c r="T545" i="1"/>
  <c r="U545" i="1" s="1"/>
  <c r="S541" i="1"/>
  <c r="T541" i="1"/>
  <c r="U541" i="1" s="1"/>
  <c r="S537" i="1"/>
  <c r="T537" i="1"/>
  <c r="U537" i="1" s="1"/>
  <c r="S533" i="1"/>
  <c r="T533" i="1"/>
  <c r="U533" i="1" s="1"/>
  <c r="S549" i="1"/>
  <c r="T549" i="1"/>
  <c r="U549" i="1" s="1"/>
  <c r="S554" i="1"/>
  <c r="T554" i="1"/>
  <c r="U554" i="1" s="1"/>
  <c r="S558" i="1"/>
  <c r="T558" i="1"/>
  <c r="U558" i="1" s="1"/>
  <c r="T560" i="1"/>
  <c r="U560" i="1" s="1"/>
  <c r="S560" i="1"/>
  <c r="S566" i="1"/>
  <c r="T566" i="1"/>
  <c r="U566" i="1" s="1"/>
  <c r="S570" i="1"/>
  <c r="T570" i="1"/>
  <c r="U570" i="1" s="1"/>
  <c r="S579" i="1"/>
  <c r="T579" i="1"/>
  <c r="U579" i="1" s="1"/>
  <c r="S575" i="1"/>
  <c r="T575" i="1"/>
  <c r="U575" i="1" s="1"/>
  <c r="S580" i="1"/>
  <c r="T580" i="1"/>
  <c r="U580" i="1" s="1"/>
  <c r="S588" i="1"/>
  <c r="T588" i="1"/>
  <c r="U588" i="1" s="1"/>
  <c r="S590" i="1"/>
  <c r="T590" i="1"/>
  <c r="U590" i="1" s="1"/>
  <c r="S596" i="1"/>
  <c r="T596" i="1"/>
  <c r="U596" i="1" s="1"/>
  <c r="S604" i="1"/>
  <c r="T604" i="1"/>
  <c r="U604" i="1" s="1"/>
  <c r="S610" i="1"/>
  <c r="T610" i="1"/>
  <c r="U610" i="1" s="1"/>
  <c r="S606" i="1"/>
  <c r="T606" i="1"/>
  <c r="U606" i="1" s="1"/>
  <c r="S618" i="1"/>
  <c r="T618" i="1"/>
  <c r="U618" i="1" s="1"/>
  <c r="S621" i="1"/>
  <c r="T621" i="1"/>
  <c r="U621" i="1" s="1"/>
  <c r="S624" i="1"/>
  <c r="T624" i="1"/>
  <c r="U624" i="1" s="1"/>
  <c r="T61" i="1"/>
  <c r="U61" i="1" s="1"/>
  <c r="T45" i="1"/>
  <c r="U45" i="1" s="1"/>
  <c r="T66" i="1"/>
  <c r="U66" i="1" s="1"/>
  <c r="T113" i="1"/>
  <c r="U113" i="1" s="1"/>
  <c r="T125" i="1"/>
  <c r="U125" i="1" s="1"/>
  <c r="T157" i="1"/>
  <c r="U157" i="1" s="1"/>
  <c r="T185" i="1"/>
  <c r="U185" i="1" s="1"/>
  <c r="T195" i="1"/>
  <c r="U195" i="1" s="1"/>
  <c r="T246" i="1"/>
  <c r="U246" i="1" s="1"/>
  <c r="T230" i="1"/>
  <c r="U230" i="1" s="1"/>
  <c r="T214" i="1"/>
  <c r="U214" i="1" s="1"/>
  <c r="S268" i="1"/>
  <c r="V268" i="1" s="1"/>
  <c r="S286" i="1"/>
  <c r="V286" i="1" s="1"/>
  <c r="S494" i="1"/>
  <c r="V494" i="1" s="1"/>
  <c r="S309" i="1"/>
  <c r="V309" i="1" s="1"/>
  <c r="S305" i="1"/>
  <c r="V305" i="1" s="1"/>
  <c r="S318" i="1"/>
  <c r="V318" i="1" s="1"/>
  <c r="S314" i="1"/>
  <c r="V314" i="1" s="1"/>
  <c r="S324" i="1"/>
  <c r="V324" i="1" s="1"/>
  <c r="S320" i="1"/>
  <c r="V320" i="1" s="1"/>
  <c r="S327" i="1"/>
  <c r="V327" i="1" s="1"/>
  <c r="S348" i="1"/>
  <c r="V348" i="1" s="1"/>
  <c r="S344" i="1"/>
  <c r="V344" i="1" s="1"/>
  <c r="S340" i="1"/>
  <c r="V340" i="1" s="1"/>
  <c r="S336" i="1"/>
  <c r="V336" i="1" s="1"/>
  <c r="S332" i="1"/>
  <c r="V332" i="1" s="1"/>
  <c r="S359" i="1"/>
  <c r="V359" i="1" s="1"/>
  <c r="S355" i="1"/>
  <c r="V355" i="1" s="1"/>
  <c r="S351" i="1"/>
  <c r="V351" i="1" s="1"/>
  <c r="S366" i="1"/>
  <c r="V366" i="1" s="1"/>
  <c r="S362" i="1"/>
  <c r="V362" i="1" s="1"/>
  <c r="S380" i="1"/>
  <c r="V380" i="1" s="1"/>
  <c r="S376" i="1"/>
  <c r="V376" i="1" s="1"/>
  <c r="S372" i="1"/>
  <c r="V372" i="1" s="1"/>
  <c r="S385" i="1"/>
  <c r="V385" i="1" s="1"/>
  <c r="S394" i="1"/>
  <c r="V394" i="1" s="1"/>
  <c r="S390" i="1"/>
  <c r="V390" i="1" s="1"/>
  <c r="S396" i="1"/>
  <c r="V396" i="1" s="1"/>
  <c r="S411" i="1"/>
  <c r="T411" i="1"/>
  <c r="U411" i="1" s="1"/>
  <c r="S407" i="1"/>
  <c r="S403" i="1"/>
  <c r="T403" i="1"/>
  <c r="U403" i="1" s="1"/>
  <c r="S399" i="1"/>
  <c r="V399" i="1" s="1"/>
  <c r="S425" i="1"/>
  <c r="T425" i="1"/>
  <c r="U425" i="1" s="1"/>
  <c r="S421" i="1"/>
  <c r="V421" i="1" s="1"/>
  <c r="S417" i="1"/>
  <c r="T417" i="1"/>
  <c r="U417" i="1" s="1"/>
  <c r="S435" i="1"/>
  <c r="V435" i="1" s="1"/>
  <c r="S431" i="1"/>
  <c r="T431" i="1"/>
  <c r="U431" i="1" s="1"/>
  <c r="S438" i="1"/>
  <c r="S445" i="1"/>
  <c r="T445" i="1"/>
  <c r="U445" i="1" s="1"/>
  <c r="S441" i="1"/>
  <c r="V441" i="1" s="1"/>
  <c r="S452" i="1"/>
  <c r="V452" i="1" s="1"/>
  <c r="S448" i="1"/>
  <c r="T448" i="1"/>
  <c r="U448" i="1" s="1"/>
  <c r="S461" i="1"/>
  <c r="V461" i="1" s="1"/>
  <c r="S467" i="1"/>
  <c r="T467" i="1"/>
  <c r="U467" i="1" s="1"/>
  <c r="S474" i="1"/>
  <c r="S470" i="1"/>
  <c r="T470" i="1"/>
  <c r="U470" i="1" s="1"/>
  <c r="S481" i="1"/>
  <c r="V481" i="1" s="1"/>
  <c r="S477" i="1"/>
  <c r="T477" i="1"/>
  <c r="U477" i="1" s="1"/>
  <c r="S483" i="1"/>
  <c r="V483" i="1" s="1"/>
  <c r="S487" i="1"/>
  <c r="T487" i="1"/>
  <c r="U487" i="1" s="1"/>
  <c r="S493" i="1"/>
  <c r="V493" i="1" s="1"/>
  <c r="S499" i="1"/>
  <c r="T499" i="1"/>
  <c r="U499" i="1" s="1"/>
  <c r="S495" i="1"/>
  <c r="S505" i="1"/>
  <c r="T505" i="1"/>
  <c r="U505" i="1" s="1"/>
  <c r="S501" i="1"/>
  <c r="V501" i="1" s="1"/>
  <c r="S510" i="1"/>
  <c r="V510" i="1" s="1"/>
  <c r="T522" i="1"/>
  <c r="U522" i="1" s="1"/>
  <c r="S522" i="1"/>
  <c r="S518" i="1"/>
  <c r="V518" i="1" s="1"/>
  <c r="S529" i="1"/>
  <c r="T529" i="1"/>
  <c r="U529" i="1" s="1"/>
  <c r="S525" i="1"/>
  <c r="S544" i="1"/>
  <c r="T544" i="1"/>
  <c r="U544" i="1" s="1"/>
  <c r="S540" i="1"/>
  <c r="V540" i="1" s="1"/>
  <c r="S536" i="1"/>
  <c r="T536" i="1"/>
  <c r="U536" i="1" s="1"/>
  <c r="S552" i="1"/>
  <c r="V552" i="1" s="1"/>
  <c r="S553" i="1"/>
  <c r="V553" i="1" s="1"/>
  <c r="S563" i="1"/>
  <c r="T563" i="1"/>
  <c r="U563" i="1" s="1"/>
  <c r="S569" i="1"/>
  <c r="S565" i="1"/>
  <c r="T565" i="1"/>
  <c r="U565" i="1" s="1"/>
  <c r="S574" i="1"/>
  <c r="T574" i="1"/>
  <c r="U574" i="1" s="1"/>
  <c r="S578" i="1"/>
  <c r="T578" i="1"/>
  <c r="U578" i="1" s="1"/>
  <c r="S583" i="1"/>
  <c r="V583" i="1" s="1"/>
  <c r="S585" i="1"/>
  <c r="T585" i="1"/>
  <c r="U585" i="1" s="1"/>
  <c r="S587" i="1"/>
  <c r="T587" i="1"/>
  <c r="U587" i="1" s="1"/>
  <c r="S593" i="1"/>
  <c r="T593" i="1"/>
  <c r="U593" i="1" s="1"/>
  <c r="S599" i="1"/>
  <c r="V599" i="1" s="1"/>
  <c r="S602" i="1"/>
  <c r="T602" i="1"/>
  <c r="U602" i="1" s="1"/>
  <c r="S603" i="1"/>
  <c r="T603" i="1"/>
  <c r="U603" i="1" s="1"/>
  <c r="S609" i="1"/>
  <c r="T609" i="1"/>
  <c r="U609" i="1" s="1"/>
  <c r="S605" i="1"/>
  <c r="V605" i="1" s="1"/>
  <c r="T617" i="1"/>
  <c r="U617" i="1" s="1"/>
  <c r="S617" i="1"/>
  <c r="S620" i="1"/>
  <c r="T620" i="1"/>
  <c r="U620" i="1" s="1"/>
  <c r="S623" i="1"/>
  <c r="T623" i="1"/>
  <c r="U623" i="1" s="1"/>
  <c r="S630" i="1"/>
  <c r="S631" i="1"/>
  <c r="T631" i="1"/>
  <c r="U631" i="1" s="1"/>
  <c r="S637" i="1"/>
  <c r="T637" i="1"/>
  <c r="U637" i="1" s="1"/>
  <c r="S640" i="1"/>
  <c r="T640" i="1"/>
  <c r="U640" i="1" s="1"/>
  <c r="S645" i="1"/>
  <c r="V645" i="1" s="1"/>
  <c r="T647" i="1"/>
  <c r="U647" i="1" s="1"/>
  <c r="S647" i="1"/>
  <c r="S652" i="1"/>
  <c r="T652" i="1"/>
  <c r="U652" i="1" s="1"/>
  <c r="S655" i="1"/>
  <c r="T655" i="1"/>
  <c r="U655" i="1" s="1"/>
  <c r="S657" i="1"/>
  <c r="V657" i="1" s="1"/>
  <c r="S667" i="1"/>
  <c r="T667" i="1"/>
  <c r="U667" i="1" s="1"/>
  <c r="S672" i="1"/>
  <c r="T672" i="1"/>
  <c r="U672" i="1" s="1"/>
  <c r="S668" i="1"/>
  <c r="T668" i="1"/>
  <c r="U668" i="1" s="1"/>
  <c r="S673" i="1"/>
  <c r="V673" i="1" s="1"/>
  <c r="S680" i="1"/>
  <c r="T680" i="1"/>
  <c r="U680" i="1" s="1"/>
  <c r="S688" i="1"/>
  <c r="T688" i="1"/>
  <c r="U688" i="1" s="1"/>
  <c r="S693" i="1"/>
  <c r="S689" i="1"/>
  <c r="T689" i="1"/>
  <c r="U689" i="1" s="1"/>
  <c r="S703" i="1"/>
  <c r="T703" i="1"/>
  <c r="U703" i="1" s="1"/>
  <c r="S699" i="1"/>
  <c r="T699" i="1"/>
  <c r="U699" i="1" s="1"/>
  <c r="S708" i="1"/>
  <c r="T708" i="1"/>
  <c r="U708" i="1" s="1"/>
  <c r="T712" i="1"/>
  <c r="U712" i="1" s="1"/>
  <c r="S712" i="1"/>
  <c r="S716" i="1"/>
  <c r="T716" i="1"/>
  <c r="U716" i="1" s="1"/>
  <c r="S718" i="1"/>
  <c r="T718" i="1"/>
  <c r="U718" i="1" s="1"/>
  <c r="S723" i="1"/>
  <c r="T723" i="1"/>
  <c r="U723" i="1" s="1"/>
  <c r="T34" i="1"/>
  <c r="U34" i="1" s="1"/>
  <c r="T49" i="1"/>
  <c r="U49" i="1" s="1"/>
  <c r="T70" i="1"/>
  <c r="U70" i="1" s="1"/>
  <c r="T103" i="1"/>
  <c r="U103" i="1" s="1"/>
  <c r="T117" i="1"/>
  <c r="U117" i="1" s="1"/>
  <c r="T134" i="1"/>
  <c r="U134" i="1" s="1"/>
  <c r="T145" i="1"/>
  <c r="U145" i="1" s="1"/>
  <c r="T165" i="1"/>
  <c r="U165" i="1" s="1"/>
  <c r="T200" i="1"/>
  <c r="U200" i="1" s="1"/>
  <c r="T234" i="1"/>
  <c r="U234" i="1" s="1"/>
  <c r="T218" i="1"/>
  <c r="U218" i="1" s="1"/>
  <c r="T260" i="1"/>
  <c r="U260" i="1" s="1"/>
  <c r="T252" i="1"/>
  <c r="U252" i="1" s="1"/>
  <c r="T294" i="1"/>
  <c r="U294" i="1" s="1"/>
  <c r="T278" i="1"/>
  <c r="U278" i="1" s="1"/>
  <c r="T299" i="1"/>
  <c r="U299" i="1" s="1"/>
  <c r="T307" i="1"/>
  <c r="U307" i="1" s="1"/>
  <c r="T316" i="1"/>
  <c r="U316" i="1" s="1"/>
  <c r="T322" i="1"/>
  <c r="U322" i="1" s="1"/>
  <c r="T325" i="1"/>
  <c r="U325" i="1" s="1"/>
  <c r="T342" i="1"/>
  <c r="U342" i="1" s="1"/>
  <c r="T334" i="1"/>
  <c r="U334" i="1" s="1"/>
  <c r="T357" i="1"/>
  <c r="U357" i="1" s="1"/>
  <c r="T368" i="1"/>
  <c r="U368" i="1" s="1"/>
  <c r="T369" i="1"/>
  <c r="U369" i="1" s="1"/>
  <c r="T374" i="1"/>
  <c r="U374" i="1" s="1"/>
  <c r="T383" i="1"/>
  <c r="U383" i="1" s="1"/>
  <c r="T388" i="1"/>
  <c r="U388" i="1" s="1"/>
  <c r="T407" i="1"/>
  <c r="U407" i="1" s="1"/>
  <c r="T427" i="1"/>
  <c r="U427" i="1" s="1"/>
  <c r="T438" i="1"/>
  <c r="U438" i="1" s="1"/>
  <c r="T439" i="1"/>
  <c r="U439" i="1" s="1"/>
  <c r="T474" i="1"/>
  <c r="U474" i="1" s="1"/>
  <c r="T479" i="1"/>
  <c r="U479" i="1" s="1"/>
  <c r="T495" i="1"/>
  <c r="U495" i="1" s="1"/>
  <c r="T516" i="1"/>
  <c r="U516" i="1" s="1"/>
  <c r="T525" i="1"/>
  <c r="U525" i="1" s="1"/>
  <c r="T538" i="1"/>
  <c r="U538" i="1" s="1"/>
  <c r="T569" i="1"/>
  <c r="U569" i="1" s="1"/>
  <c r="T630" i="1"/>
  <c r="U630" i="1" s="1"/>
  <c r="T693" i="1"/>
  <c r="U693" i="1" s="1"/>
  <c r="S414" i="1"/>
  <c r="V414" i="1" s="1"/>
  <c r="S514" i="1"/>
  <c r="V514" i="1" s="1"/>
  <c r="S684" i="1"/>
  <c r="V684" i="1" s="1"/>
  <c r="S632" i="1"/>
  <c r="T632" i="1"/>
  <c r="U632" i="1" s="1"/>
  <c r="S638" i="1"/>
  <c r="T638" i="1"/>
  <c r="U638" i="1" s="1"/>
  <c r="S641" i="1"/>
  <c r="T641" i="1"/>
  <c r="U641" i="1" s="1"/>
  <c r="S642" i="1"/>
  <c r="T642" i="1"/>
  <c r="U642" i="1" s="1"/>
  <c r="S648" i="1"/>
  <c r="T648" i="1"/>
  <c r="U648" i="1" s="1"/>
  <c r="S653" i="1"/>
  <c r="T653" i="1"/>
  <c r="U653" i="1" s="1"/>
  <c r="S656" i="1"/>
  <c r="T656" i="1"/>
  <c r="U656" i="1" s="1"/>
  <c r="S661" i="1"/>
  <c r="T661" i="1"/>
  <c r="U661" i="1" s="1"/>
  <c r="S664" i="1"/>
  <c r="T664" i="1"/>
  <c r="U664" i="1" s="1"/>
  <c r="S669" i="1"/>
  <c r="T669" i="1"/>
  <c r="U669" i="1" s="1"/>
  <c r="S674" i="1"/>
  <c r="T674" i="1"/>
  <c r="U674" i="1" s="1"/>
  <c r="S677" i="1"/>
  <c r="T677" i="1"/>
  <c r="U677" i="1" s="1"/>
  <c r="S681" i="1"/>
  <c r="T681" i="1"/>
  <c r="U681" i="1" s="1"/>
  <c r="S685" i="1"/>
  <c r="T685" i="1"/>
  <c r="U685" i="1" s="1"/>
  <c r="S690" i="1"/>
  <c r="T690" i="1"/>
  <c r="U690" i="1" s="1"/>
  <c r="S704" i="1"/>
  <c r="T704" i="1"/>
  <c r="U704" i="1" s="1"/>
  <c r="S700" i="1"/>
  <c r="T700" i="1"/>
  <c r="U700" i="1" s="1"/>
  <c r="S709" i="1"/>
  <c r="T709" i="1"/>
  <c r="U709" i="1" s="1"/>
  <c r="S711" i="1"/>
  <c r="V711" i="1" s="1"/>
  <c r="S717" i="1"/>
  <c r="V717" i="1" s="1"/>
  <c r="S719" i="1"/>
  <c r="V719" i="1" s="1"/>
  <c r="S724" i="1"/>
  <c r="T724" i="1"/>
  <c r="U724" i="1" s="1"/>
  <c r="S726" i="1"/>
  <c r="S694" i="1"/>
  <c r="V694" i="1" s="1"/>
  <c r="S658" i="1"/>
  <c r="V658" i="1" s="1"/>
  <c r="T726" i="1"/>
  <c r="U726" i="1" s="1"/>
  <c r="S626" i="1"/>
  <c r="V626" i="1" s="1"/>
  <c r="V688" i="1" l="1"/>
  <c r="V655" i="1"/>
  <c r="V620" i="1"/>
  <c r="V593" i="1"/>
  <c r="V585" i="1"/>
  <c r="V529" i="1"/>
  <c r="V477" i="1"/>
  <c r="V431" i="1"/>
  <c r="V411" i="1"/>
  <c r="V624" i="1"/>
  <c r="V618" i="1"/>
  <c r="V610" i="1"/>
  <c r="V596" i="1"/>
  <c r="V588" i="1"/>
  <c r="V575" i="1"/>
  <c r="V570" i="1"/>
  <c r="V554" i="1"/>
  <c r="V533" i="1"/>
  <c r="V541" i="1"/>
  <c r="V519" i="1"/>
  <c r="V511" i="1"/>
  <c r="V496" i="1"/>
  <c r="V488" i="1"/>
  <c r="V478" i="1"/>
  <c r="V471" i="1"/>
  <c r="V458" i="1"/>
  <c r="V449" i="1"/>
  <c r="V457" i="1"/>
  <c r="V446" i="1"/>
  <c r="V432" i="1"/>
  <c r="V422" i="1"/>
  <c r="V408" i="1"/>
  <c r="V397" i="1"/>
  <c r="V382" i="1"/>
  <c r="V373" i="1"/>
  <c r="V381" i="1"/>
  <c r="V367" i="1"/>
  <c r="V356" i="1"/>
  <c r="V333" i="1"/>
  <c r="V341" i="1"/>
  <c r="V349" i="1"/>
  <c r="V321" i="1"/>
  <c r="V315" i="1"/>
  <c r="V306" i="1"/>
  <c r="V298" i="1"/>
  <c r="V277" i="1"/>
  <c r="V285" i="1"/>
  <c r="V293" i="1"/>
  <c r="V255" i="1"/>
  <c r="V263" i="1"/>
  <c r="V205" i="1"/>
  <c r="V217" i="1"/>
  <c r="V225" i="1"/>
  <c r="V233" i="1"/>
  <c r="V203" i="1"/>
  <c r="V714" i="1"/>
  <c r="V710" i="1"/>
  <c r="V678" i="1"/>
  <c r="V654" i="1"/>
  <c r="V643" i="1"/>
  <c r="V628" i="1"/>
  <c r="V600" i="1"/>
  <c r="V595" i="1"/>
  <c r="V567" i="1"/>
  <c r="V534" i="1"/>
  <c r="V512" i="1"/>
  <c r="V475" i="1"/>
  <c r="V463" i="1"/>
  <c r="V415" i="1"/>
  <c r="V409" i="1"/>
  <c r="V18" i="1"/>
  <c r="V722" i="1"/>
  <c r="V713" i="1"/>
  <c r="V705" i="1"/>
  <c r="V629" i="1"/>
  <c r="V619" i="1"/>
  <c r="V614" i="1"/>
  <c r="V612" i="1"/>
  <c r="V598" i="1"/>
  <c r="V586" i="1"/>
  <c r="V582" i="1"/>
  <c r="V573" i="1"/>
  <c r="V543" i="1"/>
  <c r="V528" i="1"/>
  <c r="V521" i="1"/>
  <c r="V480" i="1"/>
  <c r="V473" i="1"/>
  <c r="V460" i="1"/>
  <c r="V451" i="1"/>
  <c r="V402" i="1"/>
  <c r="V410" i="1"/>
  <c r="V389" i="1"/>
  <c r="V365" i="1"/>
  <c r="V331" i="1"/>
  <c r="V347" i="1"/>
  <c r="V313" i="1"/>
  <c r="V300" i="1"/>
  <c r="V279" i="1"/>
  <c r="V287" i="1"/>
  <c r="V272" i="1"/>
  <c r="V207" i="1"/>
  <c r="V231" i="1"/>
  <c r="V239" i="1"/>
  <c r="V174" i="1"/>
  <c r="V142" i="1"/>
  <c r="V150" i="1"/>
  <c r="V130" i="1"/>
  <c r="V100" i="1"/>
  <c r="V82" i="1"/>
  <c r="V50" i="1"/>
  <c r="V19" i="1"/>
  <c r="V280" i="1"/>
  <c r="V262" i="1"/>
  <c r="V224" i="1"/>
  <c r="V202" i="1"/>
  <c r="V193" i="1"/>
  <c r="V171" i="1"/>
  <c r="V136" i="1"/>
  <c r="V123" i="1"/>
  <c r="V569" i="1"/>
  <c r="V701" i="1"/>
  <c r="V216" i="1"/>
  <c r="V93" i="1"/>
  <c r="V72" i="1"/>
  <c r="V64" i="1"/>
  <c r="V40" i="1"/>
  <c r="V9" i="1"/>
  <c r="V725" i="1"/>
  <c r="V690" i="1"/>
  <c r="V664" i="1"/>
  <c r="V648" i="1"/>
  <c r="V632" i="1"/>
  <c r="V718" i="1"/>
  <c r="V699" i="1"/>
  <c r="V667" i="1"/>
  <c r="V574" i="1"/>
  <c r="V445" i="1"/>
  <c r="V522" i="1"/>
  <c r="V438" i="1"/>
  <c r="V459" i="1"/>
  <c r="V374" i="1"/>
  <c r="V334" i="1"/>
  <c r="V316" i="1"/>
  <c r="V256" i="1"/>
  <c r="V214" i="1"/>
  <c r="V234" i="1"/>
  <c r="V85" i="1"/>
  <c r="V121" i="1"/>
  <c r="V227" i="1"/>
  <c r="V5" i="1"/>
  <c r="V156" i="1"/>
  <c r="V80" i="1"/>
  <c r="V88" i="1"/>
  <c r="V21" i="1"/>
  <c r="V2" i="1"/>
  <c r="V681" i="1"/>
  <c r="V700" i="1"/>
  <c r="V674" i="1"/>
  <c r="V656" i="1"/>
  <c r="V641" i="1"/>
  <c r="V689" i="1"/>
  <c r="V668" i="1"/>
  <c r="V637" i="1"/>
  <c r="V609" i="1"/>
  <c r="V602" i="1"/>
  <c r="V544" i="1"/>
  <c r="V487" i="1"/>
  <c r="V448" i="1"/>
  <c r="V403" i="1"/>
  <c r="V691" i="1"/>
  <c r="V665" i="1"/>
  <c r="V659" i="1"/>
  <c r="V615" i="1"/>
  <c r="V607" i="1"/>
  <c r="V581" i="1"/>
  <c r="V555" i="1"/>
  <c r="V520" i="1"/>
  <c r="V485" i="1"/>
  <c r="V465" i="1"/>
  <c r="V429" i="1"/>
  <c r="V153" i="1"/>
  <c r="V3" i="1"/>
  <c r="V692" i="1"/>
  <c r="V687" i="1"/>
  <c r="V679" i="1"/>
  <c r="V671" i="1"/>
  <c r="V663" i="1"/>
  <c r="V651" i="1"/>
  <c r="V644" i="1"/>
  <c r="V636" i="1"/>
  <c r="V564" i="1"/>
  <c r="V562" i="1"/>
  <c r="V556" i="1"/>
  <c r="V517" i="1"/>
  <c r="V508" i="1"/>
  <c r="V492" i="1"/>
  <c r="V490" i="1"/>
  <c r="V444" i="1"/>
  <c r="V430" i="1"/>
  <c r="V416" i="1"/>
  <c r="V223" i="1"/>
  <c r="V201" i="1"/>
  <c r="V173" i="1"/>
  <c r="V135" i="1"/>
  <c r="V114" i="1"/>
  <c r="V62" i="1"/>
  <c r="V4" i="1"/>
  <c r="V301" i="1"/>
  <c r="V254" i="1"/>
  <c r="V208" i="1"/>
  <c r="V236" i="1"/>
  <c r="V244" i="1"/>
  <c r="V179" i="1"/>
  <c r="V147" i="1"/>
  <c r="V155" i="1"/>
  <c r="V107" i="1"/>
  <c r="V79" i="1"/>
  <c r="V87" i="1"/>
  <c r="V55" i="1"/>
  <c r="V20" i="1"/>
  <c r="V28" i="1"/>
  <c r="V190" i="1"/>
  <c r="V198" i="1"/>
  <c r="V184" i="1"/>
  <c r="V168" i="1"/>
  <c r="V140" i="1"/>
  <c r="V152" i="1"/>
  <c r="V133" i="1"/>
  <c r="V120" i="1"/>
  <c r="V128" i="1"/>
  <c r="V116" i="1"/>
  <c r="V94" i="1"/>
  <c r="V102" i="1"/>
  <c r="V84" i="1"/>
  <c r="V69" i="1"/>
  <c r="V77" i="1"/>
  <c r="V48" i="1"/>
  <c r="V33" i="1"/>
  <c r="V41" i="1"/>
  <c r="V17" i="1"/>
  <c r="V25" i="1"/>
  <c r="V617" i="1"/>
  <c r="V482" i="1"/>
  <c r="V462" i="1"/>
  <c r="V442" i="1"/>
  <c r="V538" i="1"/>
  <c r="V516" i="1"/>
  <c r="V479" i="1"/>
  <c r="V413" i="1"/>
  <c r="V387" i="1"/>
  <c r="V364" i="1"/>
  <c r="V361" i="1"/>
  <c r="V346" i="1"/>
  <c r="V312" i="1"/>
  <c r="V295" i="1"/>
  <c r="V282" i="1"/>
  <c r="V226" i="1"/>
  <c r="V246" i="1"/>
  <c r="V125" i="1"/>
  <c r="V61" i="1"/>
  <c r="V191" i="1"/>
  <c r="V379" i="1"/>
  <c r="V350" i="1"/>
  <c r="V358" i="1"/>
  <c r="V335" i="1"/>
  <c r="V343" i="1"/>
  <c r="V326" i="1"/>
  <c r="V323" i="1"/>
  <c r="V317" i="1"/>
  <c r="V275" i="1"/>
  <c r="V283" i="1"/>
  <c r="V291" i="1"/>
  <c r="V249" i="1"/>
  <c r="V6" i="1"/>
  <c r="V14" i="1"/>
  <c r="V693" i="1"/>
  <c r="V652" i="1"/>
  <c r="V536" i="1"/>
  <c r="V525" i="1"/>
  <c r="V499" i="1"/>
  <c r="V467" i="1"/>
  <c r="V621" i="1"/>
  <c r="V590" i="1"/>
  <c r="V566" i="1"/>
  <c r="V545" i="1"/>
  <c r="V515" i="1"/>
  <c r="V484" i="1"/>
  <c r="V428" i="1"/>
  <c r="V412" i="1"/>
  <c r="V377" i="1"/>
  <c r="V360" i="1"/>
  <c r="V328" i="1"/>
  <c r="V251" i="1"/>
  <c r="V252" i="1"/>
  <c r="V117" i="1"/>
  <c r="V211" i="1"/>
  <c r="V680" i="1"/>
  <c r="V623" i="1"/>
  <c r="V563" i="1"/>
  <c r="V425" i="1"/>
  <c r="V604" i="1"/>
  <c r="V579" i="1"/>
  <c r="V549" i="1"/>
  <c r="V530" i="1"/>
  <c r="V506" i="1"/>
  <c r="V426" i="1"/>
  <c r="V391" i="1"/>
  <c r="V363" i="1"/>
  <c r="V337" i="1"/>
  <c r="V319" i="1"/>
  <c r="V259" i="1"/>
  <c r="V210" i="1"/>
  <c r="V724" i="1"/>
  <c r="V587" i="1"/>
  <c r="V407" i="1"/>
  <c r="V606" i="1"/>
  <c r="V580" i="1"/>
  <c r="V558" i="1"/>
  <c r="V537" i="1"/>
  <c r="V523" i="1"/>
  <c r="V500" i="1"/>
  <c r="V464" i="1"/>
  <c r="V453" i="1"/>
  <c r="V418" i="1"/>
  <c r="V404" i="1"/>
  <c r="V386" i="1"/>
  <c r="V352" i="1"/>
  <c r="V345" i="1"/>
  <c r="V311" i="1"/>
  <c r="V310" i="1"/>
  <c r="V302" i="1"/>
  <c r="V281" i="1"/>
  <c r="V289" i="1"/>
  <c r="V213" i="1"/>
  <c r="V241" i="1"/>
  <c r="V706" i="1"/>
  <c r="V682" i="1"/>
  <c r="V561" i="1"/>
  <c r="V325" i="1"/>
  <c r="V290" i="1"/>
  <c r="V157" i="1"/>
  <c r="V707" i="1"/>
  <c r="V622" i="1"/>
  <c r="V601" i="1"/>
  <c r="V539" i="1"/>
  <c r="V447" i="1"/>
  <c r="V406" i="1"/>
  <c r="V371" i="1"/>
  <c r="V261" i="1"/>
  <c r="V196" i="1"/>
  <c r="V146" i="1"/>
  <c r="V106" i="1"/>
  <c r="V96" i="1"/>
  <c r="V46" i="1"/>
  <c r="V258" i="1"/>
  <c r="V228" i="1"/>
  <c r="V189" i="1"/>
  <c r="V162" i="1"/>
  <c r="V119" i="1"/>
  <c r="V44" i="1"/>
  <c r="V221" i="1"/>
  <c r="V720" i="1"/>
  <c r="V675" i="1"/>
  <c r="V649" i="1"/>
  <c r="V627" i="1"/>
  <c r="V597" i="1"/>
  <c r="V571" i="1"/>
  <c r="V443" i="1"/>
  <c r="V401" i="1"/>
  <c r="V368" i="1"/>
  <c r="V181" i="1"/>
  <c r="V34" i="1"/>
  <c r="V728" i="1"/>
  <c r="V616" i="1"/>
  <c r="V592" i="1"/>
  <c r="V577" i="1"/>
  <c r="V532" i="1"/>
  <c r="V469" i="1"/>
  <c r="V398" i="1"/>
  <c r="V395" i="1"/>
  <c r="V269" i="1"/>
  <c r="V235" i="1"/>
  <c r="V178" i="1"/>
  <c r="V161" i="1"/>
  <c r="V126" i="1"/>
  <c r="V104" i="1"/>
  <c r="V54" i="1"/>
  <c r="V23" i="1"/>
  <c r="V276" i="1"/>
  <c r="V273" i="1"/>
  <c r="V220" i="1"/>
  <c r="V167" i="1"/>
  <c r="V89" i="1"/>
  <c r="V97" i="1"/>
  <c r="V76" i="1"/>
  <c r="V36" i="1"/>
  <c r="V13" i="1"/>
  <c r="V709" i="1"/>
  <c r="V704" i="1"/>
  <c r="V685" i="1"/>
  <c r="V677" i="1"/>
  <c r="V669" i="1"/>
  <c r="V661" i="1"/>
  <c r="V653" i="1"/>
  <c r="V642" i="1"/>
  <c r="V638" i="1"/>
  <c r="V723" i="1"/>
  <c r="V716" i="1"/>
  <c r="V708" i="1"/>
  <c r="V703" i="1"/>
  <c r="V672" i="1"/>
  <c r="V647" i="1"/>
  <c r="V640" i="1"/>
  <c r="V631" i="1"/>
  <c r="V603" i="1"/>
  <c r="V578" i="1"/>
  <c r="V565" i="1"/>
  <c r="V505" i="1"/>
  <c r="V470" i="1"/>
  <c r="V417" i="1"/>
  <c r="V560" i="1"/>
  <c r="V526" i="1"/>
  <c r="V502" i="1"/>
  <c r="V400" i="1"/>
  <c r="V727" i="1"/>
  <c r="V697" i="1"/>
  <c r="V695" i="1"/>
  <c r="V662" i="1"/>
  <c r="V613" i="1"/>
  <c r="V589" i="1"/>
  <c r="V576" i="1"/>
  <c r="V559" i="1"/>
  <c r="V542" i="1"/>
  <c r="V531" i="1"/>
  <c r="V503" i="1"/>
  <c r="V491" i="1"/>
  <c r="V468" i="1"/>
  <c r="V454" i="1"/>
  <c r="V423" i="1"/>
  <c r="V392" i="1"/>
  <c r="V378" i="1"/>
  <c r="V353" i="1"/>
  <c r="V338" i="1"/>
  <c r="V329" i="1"/>
  <c r="V303" i="1"/>
  <c r="V274" i="1"/>
  <c r="V294" i="1"/>
  <c r="V264" i="1"/>
  <c r="V218" i="1"/>
  <c r="V185" i="1"/>
  <c r="V145" i="1"/>
  <c r="V134" i="1"/>
  <c r="V109" i="1"/>
  <c r="V95" i="1"/>
  <c r="V66" i="1"/>
  <c r="V260" i="1"/>
  <c r="V49" i="1"/>
  <c r="V26" i="1"/>
  <c r="V7" i="1"/>
  <c r="V696" i="1"/>
  <c r="V683" i="1"/>
  <c r="V676" i="1"/>
  <c r="V666" i="1"/>
  <c r="V660" i="1"/>
  <c r="V646" i="1"/>
  <c r="V639" i="1"/>
  <c r="V568" i="1"/>
  <c r="V557" i="1"/>
  <c r="V551" i="1"/>
  <c r="V504" i="1"/>
  <c r="V498" i="1"/>
  <c r="V486" i="1"/>
  <c r="V440" i="1"/>
  <c r="V437" i="1"/>
  <c r="V434" i="1"/>
  <c r="V420" i="1"/>
  <c r="V384" i="1"/>
  <c r="V375" i="1"/>
  <c r="V354" i="1"/>
  <c r="V339" i="1"/>
  <c r="V330" i="1"/>
  <c r="V304" i="1"/>
  <c r="V257" i="1"/>
  <c r="V265" i="1"/>
  <c r="V219" i="1"/>
  <c r="V247" i="1"/>
  <c r="V188" i="1"/>
  <c r="V182" i="1"/>
  <c r="V166" i="1"/>
  <c r="V158" i="1"/>
  <c r="V139" i="1"/>
  <c r="V110" i="1"/>
  <c r="V118" i="1"/>
  <c r="V67" i="1"/>
  <c r="V75" i="1"/>
  <c r="V58" i="1"/>
  <c r="V35" i="1"/>
  <c r="V12" i="1"/>
  <c r="V288" i="1"/>
  <c r="V204" i="1"/>
  <c r="V212" i="1"/>
  <c r="V240" i="1"/>
  <c r="V175" i="1"/>
  <c r="V183" i="1"/>
  <c r="V151" i="1"/>
  <c r="V131" i="1"/>
  <c r="V111" i="1"/>
  <c r="V83" i="1"/>
  <c r="V51" i="1"/>
  <c r="V59" i="1"/>
  <c r="V24" i="1"/>
  <c r="V186" i="1"/>
  <c r="V194" i="1"/>
  <c r="V176" i="1"/>
  <c r="V164" i="1"/>
  <c r="V172" i="1"/>
  <c r="V144" i="1"/>
  <c r="V137" i="1"/>
  <c r="V124" i="1"/>
  <c r="V132" i="1"/>
  <c r="V112" i="1"/>
  <c r="V90" i="1"/>
  <c r="V98" i="1"/>
  <c r="V73" i="1"/>
  <c r="V65" i="1"/>
  <c r="V52" i="1"/>
  <c r="V60" i="1"/>
  <c r="V37" i="1"/>
  <c r="V30" i="1"/>
  <c r="V10" i="1"/>
  <c r="V267" i="1"/>
  <c r="V229" i="1"/>
  <c r="V633" i="1"/>
  <c r="V527" i="1"/>
  <c r="V497" i="1"/>
  <c r="V433" i="1"/>
  <c r="V388" i="1"/>
  <c r="V299" i="1"/>
  <c r="V200" i="1"/>
  <c r="V160" i="1"/>
  <c r="V45" i="1"/>
  <c r="V31" i="1"/>
  <c r="V29" i="1"/>
  <c r="V715" i="1"/>
  <c r="V702" i="1"/>
  <c r="V608" i="1"/>
  <c r="V584" i="1"/>
  <c r="V547" i="1"/>
  <c r="V509" i="1"/>
  <c r="V466" i="1"/>
  <c r="V393" i="1"/>
  <c r="V296" i="1"/>
  <c r="V15" i="1"/>
  <c r="V726" i="1"/>
  <c r="V712" i="1"/>
  <c r="V630" i="1"/>
  <c r="V495" i="1"/>
  <c r="V474" i="1"/>
  <c r="V572" i="1"/>
  <c r="V439" i="1"/>
  <c r="V427" i="1"/>
  <c r="V383" i="1"/>
  <c r="V369" i="1"/>
  <c r="V357" i="1"/>
  <c r="V342" i="1"/>
  <c r="V322" i="1"/>
  <c r="V307" i="1"/>
  <c r="V278" i="1"/>
  <c r="V271" i="1"/>
  <c r="V242" i="1"/>
  <c r="V195" i="1"/>
  <c r="V165" i="1"/>
  <c r="V113" i="1"/>
  <c r="V103" i="1"/>
  <c r="V70" i="1"/>
  <c r="V57" i="1"/>
  <c r="V230" i="1"/>
  <c r="V42" i="1"/>
  <c r="V170" i="1"/>
  <c r="V92" i="1"/>
  <c r="V71" i="1"/>
  <c r="V43" i="1"/>
  <c r="V163" i="1"/>
  <c r="V115" i="1"/>
  <c r="V32" i="1"/>
  <c r="V108" i="1"/>
  <c r="V56" i="1"/>
</calcChain>
</file>

<file path=xl/sharedStrings.xml><?xml version="1.0" encoding="utf-8"?>
<sst xmlns="http://schemas.openxmlformats.org/spreadsheetml/2006/main" count="7012" uniqueCount="1912">
  <si>
    <t>Trade Date</t>
  </si>
  <si>
    <t>Contract Descriptor</t>
  </si>
  <si>
    <t>Exch</t>
  </si>
  <si>
    <t>Action</t>
  </si>
  <si>
    <t>Qty</t>
  </si>
  <si>
    <t>LTP</t>
  </si>
  <si>
    <t>Price</t>
  </si>
  <si>
    <t>Value</t>
  </si>
  <si>
    <t>Order Ref.</t>
  </si>
  <si>
    <t>Securities Transaction Tax-STT</t>
  </si>
  <si>
    <t>Transaction Charges</t>
  </si>
  <si>
    <t>Stamp Duty</t>
  </si>
  <si>
    <t>SEBI Turnover Charges</t>
  </si>
  <si>
    <t>Brokerage</t>
  </si>
  <si>
    <t>Service Tax On Brokerage</t>
  </si>
  <si>
    <t>Total Charges</t>
  </si>
  <si>
    <t>OPT-NIFTY-12-Dec-2024-24650-P-E-I</t>
  </si>
  <si>
    <t>NSE</t>
  </si>
  <si>
    <t>Sell</t>
  </si>
  <si>
    <t>#202412113700016642</t>
  </si>
  <si>
    <t>OPT-NIFTY-12-Dec-2024-24350-P-E-I</t>
  </si>
  <si>
    <t>#202412113700006420</t>
  </si>
  <si>
    <t>Buy</t>
  </si>
  <si>
    <t>#202412113700004424</t>
  </si>
  <si>
    <t>OPT-CNXBAN-24-Dec-2024-49000-P-E-I</t>
  </si>
  <si>
    <t>#202412113700000644</t>
  </si>
  <si>
    <t>#202412103700009401</t>
  </si>
  <si>
    <t>#202412103700001564</t>
  </si>
  <si>
    <t>OPT-NIFTY-12-Dec-2024-24700-P-E-I</t>
  </si>
  <si>
    <t>#202412093700015341</t>
  </si>
  <si>
    <t>#202412093700010715</t>
  </si>
  <si>
    <t>#202412063700007927</t>
  </si>
  <si>
    <t>#202412063700004140</t>
  </si>
  <si>
    <t>#202412063700002690</t>
  </si>
  <si>
    <t>#202412043700012019</t>
  </si>
  <si>
    <t>OPT-NIFTY-05-Dec-2024-24400-P-E-I</t>
  </si>
  <si>
    <t>#202412043700011560</t>
  </si>
  <si>
    <t>#202412043700010215</t>
  </si>
  <si>
    <t>#202412033700009477</t>
  </si>
  <si>
    <t>#202412023700007623</t>
  </si>
  <si>
    <t>#202411293700018464</t>
  </si>
  <si>
    <t>OPT-CNXBAN-27-Nov-2024-49000-P-E-I</t>
  </si>
  <si>
    <t>#202411263700019660</t>
  </si>
  <si>
    <t>#202411213700019130</t>
  </si>
  <si>
    <t>OPT-NIFTY-21-Nov-2024-23300-C-E-I</t>
  </si>
  <si>
    <t>#202411213700010450</t>
  </si>
  <si>
    <t>#202411213700009633</t>
  </si>
  <si>
    <t>#202411213700009035</t>
  </si>
  <si>
    <t>OPT-CNXBAN-27-Nov-2024-50000-P-E-I</t>
  </si>
  <si>
    <t>#202411213700001653</t>
  </si>
  <si>
    <t>#202411193700022342</t>
  </si>
  <si>
    <t>OPT-CNXBAN-06-Nov-2024-53000-C-E-I</t>
  </si>
  <si>
    <t>#202411063700020506</t>
  </si>
  <si>
    <t>#202411063700020488</t>
  </si>
  <si>
    <t>#202411063700020450</t>
  </si>
  <si>
    <t>#202411063700008941</t>
  </si>
  <si>
    <t>#202411063700005998</t>
  </si>
  <si>
    <t>#202411062500000737</t>
  </si>
  <si>
    <t>OPT-CNXBAN-06-Nov-2024-52000-C-E-I</t>
  </si>
  <si>
    <t>#202411053700010395</t>
  </si>
  <si>
    <t>#202411053700010072</t>
  </si>
  <si>
    <t>OPT-CNXBAN-01-Oct-2024-52600-P-E-I</t>
  </si>
  <si>
    <t>#202410013700016116</t>
  </si>
  <si>
    <t>#202410013700016095</t>
  </si>
  <si>
    <t>#202410013700016052</t>
  </si>
  <si>
    <t>#202410013700015064</t>
  </si>
  <si>
    <t>#202410013700014274</t>
  </si>
  <si>
    <t>#202410013700014076</t>
  </si>
  <si>
    <t>#202410013700013040</t>
  </si>
  <si>
    <t>#202410013700012956</t>
  </si>
  <si>
    <t>OPT-CNXBAN-25-Sep-2024-53400-P-E-I</t>
  </si>
  <si>
    <t>#202409253700018335</t>
  </si>
  <si>
    <t>#202409243700019760</t>
  </si>
  <si>
    <t>#202409243700005081</t>
  </si>
  <si>
    <t>#202409243700002217</t>
  </si>
  <si>
    <t>#202409203700028224</t>
  </si>
  <si>
    <t>#202409203700027816</t>
  </si>
  <si>
    <t>#202409203700027257</t>
  </si>
  <si>
    <t>OPT-CNXBAN-25-Sep-2024-53600-P-E-I</t>
  </si>
  <si>
    <t>#202409203700018721</t>
  </si>
  <si>
    <t>#202409203700017858</t>
  </si>
  <si>
    <t>OPT-CNXBAN-14-Aug-2024-49600-C-E-I</t>
  </si>
  <si>
    <t>#202408143700013405</t>
  </si>
  <si>
    <t>#202408143700012472</t>
  </si>
  <si>
    <t>#202408143700006914</t>
  </si>
  <si>
    <t>OPT-CNXBAN-07-Aug-2024-50200-C-E-I</t>
  </si>
  <si>
    <t>#202408073700023365</t>
  </si>
  <si>
    <t>#202408073700023346</t>
  </si>
  <si>
    <t>#202408073700017198</t>
  </si>
  <si>
    <t>#202408073700010955</t>
  </si>
  <si>
    <t>OPT-CNXBAN-24-Jul-2024-52500-C-E-I</t>
  </si>
  <si>
    <t>#202407243700012998</t>
  </si>
  <si>
    <t>#202407243700012974</t>
  </si>
  <si>
    <t>#202407243700012951</t>
  </si>
  <si>
    <t>#202407243700011697</t>
  </si>
  <si>
    <t>#202407243700001880</t>
  </si>
  <si>
    <t>#202407233700015906</t>
  </si>
  <si>
    <t>#202407233700008621</t>
  </si>
  <si>
    <t>OPT-CNXBAN-24-Jul-2024-51500-P-E-I</t>
  </si>
  <si>
    <t>#202407233700007998</t>
  </si>
  <si>
    <t>#202407233700002991</t>
  </si>
  <si>
    <t>OPT-NIFSEL-22-Jul-2024-12125-P-E-I</t>
  </si>
  <si>
    <t>#202407223700012072</t>
  </si>
  <si>
    <t>#202407223700011357</t>
  </si>
  <si>
    <t>#202407223700007233</t>
  </si>
  <si>
    <t>OPT-NIFTY-25-Jul-2024-24600-P-E-I</t>
  </si>
  <si>
    <t>#202407193700016606</t>
  </si>
  <si>
    <t>OPT-CNXBAN-24-Jul-2024-52600-C-E-I</t>
  </si>
  <si>
    <t>#202407193700013431</t>
  </si>
  <si>
    <t>#202407193700013322</t>
  </si>
  <si>
    <t>#202407193700011349</t>
  </si>
  <si>
    <t>OPT-NIFTY-18-Jul-2024-24500-P-E-I</t>
  </si>
  <si>
    <t>#202407184500001624</t>
  </si>
  <si>
    <t>#202407184500000398</t>
  </si>
  <si>
    <t>OPT-CNXBAN-16-Jul-2024-52500-P-E-I</t>
  </si>
  <si>
    <t>#202407163700011252</t>
  </si>
  <si>
    <t>#202407163700007196</t>
  </si>
  <si>
    <t>#202407163700006591</t>
  </si>
  <si>
    <t>OPT-CNXBAN-16-Jul-2024-52600-P-E-I</t>
  </si>
  <si>
    <t>#202407163700002279</t>
  </si>
  <si>
    <t>#202407163700002137</t>
  </si>
  <si>
    <t>OPT-CNXBAN-16-Jul-2024-52500-C-E-I</t>
  </si>
  <si>
    <t>#202407153700010258</t>
  </si>
  <si>
    <t>#202407153700004138</t>
  </si>
  <si>
    <t>#202407153700002786</t>
  </si>
  <si>
    <t>#202407153700002087</t>
  </si>
  <si>
    <t>#202407123700015606</t>
  </si>
  <si>
    <t>#202407123700013084</t>
  </si>
  <si>
    <t>OPT-CNXBAN-16-Jul-2024-52100-P-E-I</t>
  </si>
  <si>
    <t>#202407113700008862</t>
  </si>
  <si>
    <t>#202407113700003655</t>
  </si>
  <si>
    <t>OPT-CNXBAN-10-Jul-2024-52100-P-E-I</t>
  </si>
  <si>
    <t>#202407103700011144</t>
  </si>
  <si>
    <t>#202407103700010063</t>
  </si>
  <si>
    <t>#202407103700009739</t>
  </si>
  <si>
    <t>OPT-CNXBAN-10-Jul-2024-52600-P-E-I</t>
  </si>
  <si>
    <t>#202407093700011453</t>
  </si>
  <si>
    <t>OPT-NIFTY-11-Jul-2024-24300-C-E-I</t>
  </si>
  <si>
    <t>#202407093700011257</t>
  </si>
  <si>
    <t>#202407093700011156</t>
  </si>
  <si>
    <t>#202407093700008695</t>
  </si>
  <si>
    <t>OPT-CNXBAN-10-Jul-2024-52600-C-E-I</t>
  </si>
  <si>
    <t>#202407083700006549</t>
  </si>
  <si>
    <t>#202407083700004851</t>
  </si>
  <si>
    <t>OPT-CNXBAN-10-Jul-2024-52500-C-E-I</t>
  </si>
  <si>
    <t>#202407053700014938</t>
  </si>
  <si>
    <t>#202407053700010353</t>
  </si>
  <si>
    <t>OPT-CNXBAN-10-Jul-2024-53100-P-E-I</t>
  </si>
  <si>
    <t>#202407043700011781</t>
  </si>
  <si>
    <t>#202407043700005510</t>
  </si>
  <si>
    <t>#202407043700001154</t>
  </si>
  <si>
    <t>OPT-CNXBAN-03-Jul-2024-53000-P-E-I</t>
  </si>
  <si>
    <t>#202407033700026505</t>
  </si>
  <si>
    <t>#202407033700026043</t>
  </si>
  <si>
    <t>OPT-CNXBAN-03-Jul-2024-52300-C-E-I</t>
  </si>
  <si>
    <t>#202407023700026525</t>
  </si>
  <si>
    <t>#202407023700024978</t>
  </si>
  <si>
    <t>OPT-CNXBAN-03-Jul-2024-52100-P-E-I</t>
  </si>
  <si>
    <t>#202407023700024661</t>
  </si>
  <si>
    <t>#202407023700024209</t>
  </si>
  <si>
    <t>OPT-NIFSEL-24-Jun-2024-12100-P-E-I</t>
  </si>
  <si>
    <t>#202406243700014822</t>
  </si>
  <si>
    <t>#202406243700008253</t>
  </si>
  <si>
    <t>#202406243700002933</t>
  </si>
  <si>
    <t>OPT-CNXBAN-19-Jun-2024-50000-C-E-I</t>
  </si>
  <si>
    <t>#202406133700021077</t>
  </si>
  <si>
    <t>#202406133700014581</t>
  </si>
  <si>
    <t>OPT-NIFTY-13-Jun-2024-23500-P-E-I</t>
  </si>
  <si>
    <t>#202406133700003896</t>
  </si>
  <si>
    <t>#202406133700001549</t>
  </si>
  <si>
    <t>OPT-NIFTY-13-Jun-2024-23350-C-E-I</t>
  </si>
  <si>
    <t>#202406123700022328</t>
  </si>
  <si>
    <t>#202406123700013173</t>
  </si>
  <si>
    <t>OPT-NIFTY-06-Jun-2024-22900-C-E-I</t>
  </si>
  <si>
    <t>#202406063700026553</t>
  </si>
  <si>
    <t>#202406063700017792</t>
  </si>
  <si>
    <t>#202406063700015166</t>
  </si>
  <si>
    <t>#202406063700013681</t>
  </si>
  <si>
    <t>OPT-CNXBAN-12-Jun-2024-49800-C-E-I</t>
  </si>
  <si>
    <t>#202406063700011347</t>
  </si>
  <si>
    <t>#202406063700009153</t>
  </si>
  <si>
    <t>OPT-NIFTY-06-Jun-2024-22650-C-E-I</t>
  </si>
  <si>
    <t>#202406063700001912</t>
  </si>
  <si>
    <t>#202406063700001493</t>
  </si>
  <si>
    <t>OPT-CNXBAN-05-Jun-2024-47800-C-E-I</t>
  </si>
  <si>
    <t>#202406053700025024</t>
  </si>
  <si>
    <t>#202406053700017678</t>
  </si>
  <si>
    <t>OPT-CNXBAN-05-Jun-2024-48500-P-E-I</t>
  </si>
  <si>
    <t>#202406043700012701</t>
  </si>
  <si>
    <t>#202406043700005883</t>
  </si>
  <si>
    <t>#202406043700002587</t>
  </si>
  <si>
    <t>OPT-NIFTY-30-May-2024-22700-C-E-I</t>
  </si>
  <si>
    <t>#202405303700011119</t>
  </si>
  <si>
    <t>#202405303700009416</t>
  </si>
  <si>
    <t>#202405303700006317</t>
  </si>
  <si>
    <t>#202405303700001910</t>
  </si>
  <si>
    <t>OPT-CNXBAN-29-May-2024-48400-P-E-I</t>
  </si>
  <si>
    <t>#202405293700006389</t>
  </si>
  <si>
    <t>#202405293700004625</t>
  </si>
  <si>
    <t>OPT-CNXBAN-29-May-2024-49200-C-E-I</t>
  </si>
  <si>
    <t>#202405283700018918</t>
  </si>
  <si>
    <t>#202405283700018833</t>
  </si>
  <si>
    <t>OPT-CNXBAN-15-May-2024-48000-C-E-I</t>
  </si>
  <si>
    <t>#202405153700018923</t>
  </si>
  <si>
    <t>#202405153700015744</t>
  </si>
  <si>
    <t>OPT-CNXBAN-15-May-2024-48300-C-E-I</t>
  </si>
  <si>
    <t>#202405093700006756</t>
  </si>
  <si>
    <t>#202405093700004861</t>
  </si>
  <si>
    <t>#202405093700002392</t>
  </si>
  <si>
    <t>#202405093700000908</t>
  </si>
  <si>
    <t>OPT-CNXBAN-08-May-2024-48100-P-E-I</t>
  </si>
  <si>
    <t>#202405083700014214</t>
  </si>
  <si>
    <t>#202405083700006706</t>
  </si>
  <si>
    <t>OPT-CNXBAN-08-May-2024-49000-C-E-I</t>
  </si>
  <si>
    <t>#202405073700018858</t>
  </si>
  <si>
    <t>#202405073700017930</t>
  </si>
  <si>
    <t>#202405073700014847</t>
  </si>
  <si>
    <t>#202405073700011715</t>
  </si>
  <si>
    <t>OPT-CNXBAN-08-May-2024-48500-P-E-I</t>
  </si>
  <si>
    <t>#202405063700051514</t>
  </si>
  <si>
    <t>#202405063700049716</t>
  </si>
  <si>
    <t>OPT-CNXBAN-08-May-2024-49200-C-E-I</t>
  </si>
  <si>
    <t>#202405063700049432</t>
  </si>
  <si>
    <t>#202405063700045791</t>
  </si>
  <si>
    <t>#202405063700042400</t>
  </si>
  <si>
    <t>OPT-NIFTY-02-May-2024-22650-P-E-I</t>
  </si>
  <si>
    <t>#202405023700023691</t>
  </si>
  <si>
    <t>#202405023700022750</t>
  </si>
  <si>
    <t>#202405023700022717</t>
  </si>
  <si>
    <t>OPT-NIFFIN-30-Apr-2024-22050-C-E-I</t>
  </si>
  <si>
    <t>#202404303700025073</t>
  </si>
  <si>
    <t>#202404303700024057</t>
  </si>
  <si>
    <t>OPT-NIFTY-02-May-2024-22550-C-E-I</t>
  </si>
  <si>
    <t>#202404263700016483</t>
  </si>
  <si>
    <t>#202404263700013098</t>
  </si>
  <si>
    <t>#202404263700011485</t>
  </si>
  <si>
    <t>#202404263700011140</t>
  </si>
  <si>
    <t>OPT-CNXBAN-30-Apr-2024-48500-C-E-I</t>
  </si>
  <si>
    <t>#202404263700010858</t>
  </si>
  <si>
    <t>#202404263700010262</t>
  </si>
  <si>
    <t>OPT-CNXBAN-24-Apr-2024-47900-P-E-I</t>
  </si>
  <si>
    <t>#202404243700019658</t>
  </si>
  <si>
    <t>#202404243700015770</t>
  </si>
  <si>
    <t>OPT-CNXBAN-24-Apr-2024-46600-P-E-I</t>
  </si>
  <si>
    <t>#202404243700006563</t>
  </si>
  <si>
    <t>#202404243700006531</t>
  </si>
  <si>
    <t>#202404233700007432</t>
  </si>
  <si>
    <t>#202404233700004074</t>
  </si>
  <si>
    <t>#202404193700010218</t>
  </si>
  <si>
    <t>OPT-CNXBAN-24-Apr-2024-47400-P-E-I</t>
  </si>
  <si>
    <t>#202404183700016719</t>
  </si>
  <si>
    <t>OPT-NIFTY-18-Apr-2024-22200-C-E-I</t>
  </si>
  <si>
    <t>#202404183700010588</t>
  </si>
  <si>
    <t>#202404183700010181</t>
  </si>
  <si>
    <t>#202404183700002844</t>
  </si>
  <si>
    <t>OPT-CNXBAN-16-Apr-2024-47500-C-E-I</t>
  </si>
  <si>
    <t>#202404163700018156</t>
  </si>
  <si>
    <t>OPT-NIFTY-18-Apr-2024-22250-C-E-I</t>
  </si>
  <si>
    <t>#202404163700017777</t>
  </si>
  <si>
    <t>#202404163700010095</t>
  </si>
  <si>
    <t>#202404163700006753</t>
  </si>
  <si>
    <t>#202404163700006684</t>
  </si>
  <si>
    <t>OPT-NIFSEL-15-Apr-2024-11000-C-E-I</t>
  </si>
  <si>
    <t>#202404153700016657</t>
  </si>
  <si>
    <t>OPT-CNXBAN-16-Apr-2024-48000-C-E-I</t>
  </si>
  <si>
    <t>#202404153700016614</t>
  </si>
  <si>
    <t>#202404153700015471</t>
  </si>
  <si>
    <t>#202404153700011498</t>
  </si>
  <si>
    <t>#202404153700011440</t>
  </si>
  <si>
    <t>#202404153700011351</t>
  </si>
  <si>
    <t>#202404153700009208</t>
  </si>
  <si>
    <t>#202404153700009198</t>
  </si>
  <si>
    <t>#202404153700009195</t>
  </si>
  <si>
    <t>#202404153700009164</t>
  </si>
  <si>
    <t>#202404153700006121</t>
  </si>
  <si>
    <t>#202404153700002557</t>
  </si>
  <si>
    <t>#202404153700002536</t>
  </si>
  <si>
    <t>#202404153700002520</t>
  </si>
  <si>
    <t>#202404153700002380</t>
  </si>
  <si>
    <t>OPT-CNXBAN-16-Apr-2024-48800-C-E-I</t>
  </si>
  <si>
    <t>#202404123700022820</t>
  </si>
  <si>
    <t>OPT-NIFSEL-15-Apr-2024-11025-C-E-I</t>
  </si>
  <si>
    <t>#202404123700018998</t>
  </si>
  <si>
    <t>#202404123700015253</t>
  </si>
  <si>
    <t>#202404123700013990</t>
  </si>
  <si>
    <t>OPT-CNXBAN-16-Apr-2024-48900-C-E-I</t>
  </si>
  <si>
    <t>#202404123700011879</t>
  </si>
  <si>
    <t>#202404123700011348</t>
  </si>
  <si>
    <t>#202404123700008911</t>
  </si>
  <si>
    <t>#202404123700004941</t>
  </si>
  <si>
    <t>OPT-CNXBAN-10-Apr-2024-48700-P-E-I</t>
  </si>
  <si>
    <t>#202404103700017713</t>
  </si>
  <si>
    <t>#202404103700016211</t>
  </si>
  <si>
    <t>#202404103700015266</t>
  </si>
  <si>
    <t>#202404103700015135</t>
  </si>
  <si>
    <t>OPT-CNXBAN-10-Apr-2024-48800-C-E-I</t>
  </si>
  <si>
    <t>#202404103700002828</t>
  </si>
  <si>
    <t>#202404103700001265</t>
  </si>
  <si>
    <t>#202404103700000917</t>
  </si>
  <si>
    <t>#202404093700024551</t>
  </si>
  <si>
    <t>#202404093700024014</t>
  </si>
  <si>
    <t>OPT-NIFFIN-09-Apr-2024-21700-C-E-I</t>
  </si>
  <si>
    <t>#202404093700013097</t>
  </si>
  <si>
    <t>#202404093700010297</t>
  </si>
  <si>
    <t>#202404093700009234</t>
  </si>
  <si>
    <t>#202404093700008916</t>
  </si>
  <si>
    <t>OPT-CNXBAN-10-Apr-2024-48700-C-E-I</t>
  </si>
  <si>
    <t>#202404093700002688</t>
  </si>
  <si>
    <t>#202404093700002064</t>
  </si>
  <si>
    <t>#202404093700001158</t>
  </si>
  <si>
    <t>OPT-CNXBAN-10-Apr-2024-48500-C-E-I</t>
  </si>
  <si>
    <t>#202404083700042500</t>
  </si>
  <si>
    <t>#202404083700040839</t>
  </si>
  <si>
    <t>#202404083700032225</t>
  </si>
  <si>
    <t>#202404083700029477</t>
  </si>
  <si>
    <t>#202404083700025775</t>
  </si>
  <si>
    <t>#202404083700025210</t>
  </si>
  <si>
    <t>#202404083700024250</t>
  </si>
  <si>
    <t>#202404083700023756</t>
  </si>
  <si>
    <t>OPT-NIFTY-04-Apr-2024-22450-C-E-I</t>
  </si>
  <si>
    <t>#202404043700020035</t>
  </si>
  <si>
    <t>#202404043700017729</t>
  </si>
  <si>
    <t>#202404043700009521</t>
  </si>
  <si>
    <t>#202404043700008241</t>
  </si>
  <si>
    <t>OPT-CNXBAN-10-Apr-2024-48000-C-E-I</t>
  </si>
  <si>
    <t>#202404043700008023</t>
  </si>
  <si>
    <t>#202404043700006997</t>
  </si>
  <si>
    <t>OPT-CNXBAN-03-Apr-2024-47600-C-E-I</t>
  </si>
  <si>
    <t>#202404033700015082</t>
  </si>
  <si>
    <t>#202404033700011930</t>
  </si>
  <si>
    <t>#202404033700007430</t>
  </si>
  <si>
    <t>#202404033700002508</t>
  </si>
  <si>
    <t>OPT-CNXBAN-03-Apr-2024-47500-P-E-I</t>
  </si>
  <si>
    <t>#202404023700008850</t>
  </si>
  <si>
    <t>#202404023700006743</t>
  </si>
  <si>
    <t>#202404023700006137</t>
  </si>
  <si>
    <t>#202404023700004482</t>
  </si>
  <si>
    <t>#202404023700001769</t>
  </si>
  <si>
    <t>#202404023700001118</t>
  </si>
  <si>
    <t>#202404013700016590</t>
  </si>
  <si>
    <t>#202404013700004194</t>
  </si>
  <si>
    <t>OPT-CNXBAN-27-Mar-2024-47200-C-E-I</t>
  </si>
  <si>
    <t>#202403273700018100</t>
  </si>
  <si>
    <t>#202403273700015189</t>
  </si>
  <si>
    <t>#202403273700014315</t>
  </si>
  <si>
    <t>#202403273700011202</t>
  </si>
  <si>
    <t>#202403273700010986</t>
  </si>
  <si>
    <t>#202403273700009855</t>
  </si>
  <si>
    <t>#202403273700009592</t>
  </si>
  <si>
    <t>#202403273700008776</t>
  </si>
  <si>
    <t>OPT-CNXBAN-27-Mar-2024-46900-C-E-I</t>
  </si>
  <si>
    <t>#202403223700013517</t>
  </si>
  <si>
    <t>#202403223700008732</t>
  </si>
  <si>
    <t>OPT-CNXBAN-27-Mar-2024-46500-P-E-I</t>
  </si>
  <si>
    <t>#202403223700006428</t>
  </si>
  <si>
    <t>#202403223700004542</t>
  </si>
  <si>
    <t>#202403223700003689</t>
  </si>
  <si>
    <t>#202403223700003294</t>
  </si>
  <si>
    <t>#202403223700001634</t>
  </si>
  <si>
    <t>OPT-CNXBAN-27-Mar-2024-46800-C-E-I</t>
  </si>
  <si>
    <t>#202403213700027141</t>
  </si>
  <si>
    <t>OPT-NIFTY-21-Mar-2024-22000-P-E-I</t>
  </si>
  <si>
    <t>#202403213700022754</t>
  </si>
  <si>
    <t>#202403213700022566</t>
  </si>
  <si>
    <t>#202403213700017871</t>
  </si>
  <si>
    <t>OPT-CNXBAN-20-Mar-2024-46600-C-E-I</t>
  </si>
  <si>
    <t>#202403203700021967</t>
  </si>
  <si>
    <t>#202403203700021930</t>
  </si>
  <si>
    <t>#202403203700021876</t>
  </si>
  <si>
    <t>#202403203700011994</t>
  </si>
  <si>
    <t>#202403203700005947</t>
  </si>
  <si>
    <t>#202403203700003021</t>
  </si>
  <si>
    <t>OPT-NIFTY-21-Mar-2024-22000-C-E-I</t>
  </si>
  <si>
    <t>#202403193700022859</t>
  </si>
  <si>
    <t>OPT-CNXBAN-20-Mar-2024-46200-P-E-I</t>
  </si>
  <si>
    <t>#202403193700021940</t>
  </si>
  <si>
    <t>#202403193700021654</t>
  </si>
  <si>
    <t>#202403193700021321</t>
  </si>
  <si>
    <t>#202403193700020919</t>
  </si>
  <si>
    <t>OPT-CNXBAN-20-Mar-2024-46400-C-E-I</t>
  </si>
  <si>
    <t>#202403193700020838</t>
  </si>
  <si>
    <t>#202403193700020637</t>
  </si>
  <si>
    <t>#202403193700020425</t>
  </si>
  <si>
    <t>#202403193700017748</t>
  </si>
  <si>
    <t>#202403193700016546</t>
  </si>
  <si>
    <t>#202403193700009631</t>
  </si>
  <si>
    <t>OPT-CNXBAN-20-Mar-2024-46100-P-E-I</t>
  </si>
  <si>
    <t>#202403183700015510</t>
  </si>
  <si>
    <t>#202403183700012135</t>
  </si>
  <si>
    <t>#202403183700010537</t>
  </si>
  <si>
    <t>OPT-CNXBAN-20-Mar-2024-47900-C-E-I</t>
  </si>
  <si>
    <t>#202403183700010440</t>
  </si>
  <si>
    <t>OPT-CNXBAN-20-Mar-2024-46400-P-E-I</t>
  </si>
  <si>
    <t>#202403183700010355</t>
  </si>
  <si>
    <t>#202403183700008229</t>
  </si>
  <si>
    <t>OPT-CNXBAN-20-Mar-2024-46500-P-E-I</t>
  </si>
  <si>
    <t>#202403183700005755</t>
  </si>
  <si>
    <t>#202403183700005668</t>
  </si>
  <si>
    <t>#202403153700023749</t>
  </si>
  <si>
    <t>#202403153700020770</t>
  </si>
  <si>
    <t>#202403153700019525</t>
  </si>
  <si>
    <t>OPT-CNXBAN-20-Mar-2024-47200-C-E-I</t>
  </si>
  <si>
    <t>#202403143700025858</t>
  </si>
  <si>
    <t>#202403143700016131</t>
  </si>
  <si>
    <t>#202403143700012519</t>
  </si>
  <si>
    <t>OPT-CNXBAN-20-Mar-2024-46800-C-E-I</t>
  </si>
  <si>
    <t>#202403143700008272</t>
  </si>
  <si>
    <t>#202403143700004465</t>
  </si>
  <si>
    <t>#202403143700003320</t>
  </si>
  <si>
    <t>OPT-CNXBAN-20-Mar-2024-46700-C-E-I</t>
  </si>
  <si>
    <t>#202403143700001174</t>
  </si>
  <si>
    <t>#202403143700001014</t>
  </si>
  <si>
    <t>OPT-CNXBAN-13-Mar-2024-46900-P-E-I</t>
  </si>
  <si>
    <t>#202403133700022718</t>
  </si>
  <si>
    <t>#202403133700019248</t>
  </si>
  <si>
    <t>OPT-CNXBAN-13-Mar-2024-47100-P-E-I</t>
  </si>
  <si>
    <t>#202403133700017623</t>
  </si>
  <si>
    <t>#202403133700014950</t>
  </si>
  <si>
    <t>OPT-CNXBAN-13-Mar-2024-47400-C-E-I</t>
  </si>
  <si>
    <t>#202403133700012884</t>
  </si>
  <si>
    <t>#202403133700011981</t>
  </si>
  <si>
    <t>#202403133700010327</t>
  </si>
  <si>
    <t>#202403133700009175</t>
  </si>
  <si>
    <t>#202403133700007747</t>
  </si>
  <si>
    <t>OPT-CNXBAN-13-Mar-2024-47300-P-E-I</t>
  </si>
  <si>
    <t>#202403133700005032</t>
  </si>
  <si>
    <t>#202403133700004972</t>
  </si>
  <si>
    <t>#202403133700004486</t>
  </si>
  <si>
    <t>#202403133700004054</t>
  </si>
  <si>
    <t>#202403133700002093</t>
  </si>
  <si>
    <t>#202403123700027080</t>
  </si>
  <si>
    <t>#202403123700025035</t>
  </si>
  <si>
    <t>#202403123700024762</t>
  </si>
  <si>
    <t>OPT-CNXBAN-13-Mar-2024-47300-C-E-I</t>
  </si>
  <si>
    <t>#202403123700017350</t>
  </si>
  <si>
    <t>#202403123700017207</t>
  </si>
  <si>
    <t>#202403123700016542</t>
  </si>
  <si>
    <t>#202403123700016265</t>
  </si>
  <si>
    <t>OPT-CNXBAN-13-Mar-2024-47600-C-E-I</t>
  </si>
  <si>
    <t>#202403123700010420</t>
  </si>
  <si>
    <t>#202403123700009658</t>
  </si>
  <si>
    <t>#202403123700009535</t>
  </si>
  <si>
    <t>#202403123700008861</t>
  </si>
  <si>
    <t>OPT-CNXBAN-13-Mar-2024-48000-C-E-I</t>
  </si>
  <si>
    <t>#202403123700004000</t>
  </si>
  <si>
    <t>#202403123700003914</t>
  </si>
  <si>
    <t>#202403123700002227</t>
  </si>
  <si>
    <t>#202403123700001972</t>
  </si>
  <si>
    <t>#202403123700001482</t>
  </si>
  <si>
    <t>OPT-CNXBAN-13-Mar-2024-47600-P-E-I</t>
  </si>
  <si>
    <t>#202403113700013207</t>
  </si>
  <si>
    <t>#202403112500002974</t>
  </si>
  <si>
    <t>#202403112500002490</t>
  </si>
  <si>
    <t>#202403073700021762</t>
  </si>
  <si>
    <t>OPT-CNXBAN-13-Mar-2024-47800-P-E-I</t>
  </si>
  <si>
    <t>#202403073700012820</t>
  </si>
  <si>
    <t>#202403073700011941</t>
  </si>
  <si>
    <t>OPT-CNXBAN-13-Mar-2024-47800-C-E-I</t>
  </si>
  <si>
    <t>#202403073700010084</t>
  </si>
  <si>
    <t>#202403073700009680</t>
  </si>
  <si>
    <t>OPT-NIFTY-07-Mar-2024-22500-C-E-I</t>
  </si>
  <si>
    <t>#202403073700005493</t>
  </si>
  <si>
    <t>#202403073700004328</t>
  </si>
  <si>
    <t>OPT-CNXBAN-06-Mar-2024-48200-C-E-I</t>
  </si>
  <si>
    <t>#202403063700022683</t>
  </si>
  <si>
    <t>#202403063700016795</t>
  </si>
  <si>
    <t>OPT-CNXBAN-06-Mar-2024-47500-P-E-I</t>
  </si>
  <si>
    <t>#202403063700013002</t>
  </si>
  <si>
    <t>#202403063700010613</t>
  </si>
  <si>
    <t>#202403063700009269</t>
  </si>
  <si>
    <t>#202403063700002291</t>
  </si>
  <si>
    <t>OPT-CNXBAN-06-Mar-2024-47300-P-E-I</t>
  </si>
  <si>
    <t>#202403053700017959</t>
  </si>
  <si>
    <t>#202403053700017892</t>
  </si>
  <si>
    <t>OPT-CNXBAN-06-Mar-2024-47400-C-E-I</t>
  </si>
  <si>
    <t>#202403053700015796</t>
  </si>
  <si>
    <t>#202403053700015784</t>
  </si>
  <si>
    <t>#202403053700012944</t>
  </si>
  <si>
    <t>#202403053700010297</t>
  </si>
  <si>
    <t>#202403053700007167</t>
  </si>
  <si>
    <t>#202403053700005723</t>
  </si>
  <si>
    <t>#202403053700004949</t>
  </si>
  <si>
    <t>#202403053700004830</t>
  </si>
  <si>
    <t>#202403053700003408</t>
  </si>
  <si>
    <t>OPT-CNXBAN-06-Mar-2024-47300-C-E-I</t>
  </si>
  <si>
    <t>#202403043700042511</t>
  </si>
  <si>
    <t>#202403043700042460</t>
  </si>
  <si>
    <t>OPT-NIFFIN-05-Mar-2024-20900-C-E-I</t>
  </si>
  <si>
    <t>#202403013700020685</t>
  </si>
  <si>
    <t>#202403013700020474</t>
  </si>
  <si>
    <t>OPT-NIFTY-07-Mar-2024-22250-C-E-I</t>
  </si>
  <si>
    <t>#202403013700011864</t>
  </si>
  <si>
    <t>#202403013700011370</t>
  </si>
  <si>
    <t>OPT-NIFSEL-04-Mar-2024-10800-P-E-I</t>
  </si>
  <si>
    <t>#202403013700009839</t>
  </si>
  <si>
    <t>#202403013700006175</t>
  </si>
  <si>
    <t>#202403013700002612</t>
  </si>
  <si>
    <t>OPT-CNXBAN-29-Feb-2024-46600-C-E-I</t>
  </si>
  <si>
    <t>#202402293700028090</t>
  </si>
  <si>
    <t>#202402293700028072</t>
  </si>
  <si>
    <t>#202402293700028043</t>
  </si>
  <si>
    <t>#202402293700027521</t>
  </si>
  <si>
    <t>#202402293700027454</t>
  </si>
  <si>
    <t>#202402293700027419</t>
  </si>
  <si>
    <t>#202402293700025531</t>
  </si>
  <si>
    <t>#202402293700016432</t>
  </si>
  <si>
    <t>#202402293700016335</t>
  </si>
  <si>
    <t>#202402293700016296</t>
  </si>
  <si>
    <t>#202402293700008897</t>
  </si>
  <si>
    <t>#202402293700001087</t>
  </si>
  <si>
    <t>#202402283700028151</t>
  </si>
  <si>
    <t>#202402283700017286</t>
  </si>
  <si>
    <t>#202402283700016620</t>
  </si>
  <si>
    <t>#202402283700012865</t>
  </si>
  <si>
    <t>#202402283700009861</t>
  </si>
  <si>
    <t>#202402283700009008</t>
  </si>
  <si>
    <t>#202402283700008712</t>
  </si>
  <si>
    <t>#202402283700007754</t>
  </si>
  <si>
    <t>#202402283700007662</t>
  </si>
  <si>
    <t>#202402283700005124</t>
  </si>
  <si>
    <t>#202402283700004969</t>
  </si>
  <si>
    <t>OPT-CNXBAN-29-Feb-2024-46600-P-E-I</t>
  </si>
  <si>
    <t>#202402283700004304</t>
  </si>
  <si>
    <t>#202402283700003498</t>
  </si>
  <si>
    <t>#202402283700002316</t>
  </si>
  <si>
    <t>#202402283700002128</t>
  </si>
  <si>
    <t>#202402283700002122</t>
  </si>
  <si>
    <t>#202402283700001855</t>
  </si>
  <si>
    <t>#202402283700001762</t>
  </si>
  <si>
    <t>#202402283700001523</t>
  </si>
  <si>
    <t>OPT-NIFTY-29-Feb-2024-22250-C-E-I</t>
  </si>
  <si>
    <t>#202402273700026919</t>
  </si>
  <si>
    <t>#202402273700024779</t>
  </si>
  <si>
    <t>OPT-NIFTY-29-Feb-2024-22150-C-E-I</t>
  </si>
  <si>
    <t>#202402273700016118</t>
  </si>
  <si>
    <t>OPT-NIFFIN-27-Feb-2024-20600-C-E-I</t>
  </si>
  <si>
    <t>#202402273700007789</t>
  </si>
  <si>
    <t>#202402273700007447</t>
  </si>
  <si>
    <t>#202402273700003545</t>
  </si>
  <si>
    <t>OPT-NIFTY-29-Feb-2024-22300-C-E-I</t>
  </si>
  <si>
    <t>#202402263700007254</t>
  </si>
  <si>
    <t>OPT-NIFSEL-26-Feb-2024-11050-C-E-I</t>
  </si>
  <si>
    <t>#202402263700007190</t>
  </si>
  <si>
    <t>#202402263700005441</t>
  </si>
  <si>
    <t>#202402263700004132</t>
  </si>
  <si>
    <t>#202402263700003264</t>
  </si>
  <si>
    <t>OPT-NIFFIN-27-Feb-2024-20650-P-E-I</t>
  </si>
  <si>
    <t>#202402233700022232</t>
  </si>
  <si>
    <t>#202402233700013561</t>
  </si>
  <si>
    <t>#202402233700011703</t>
  </si>
  <si>
    <t>#202402233700009985</t>
  </si>
  <si>
    <t>#202402233700008998</t>
  </si>
  <si>
    <t>#202402233700008153</t>
  </si>
  <si>
    <t>OPT-NIFTY-29-Feb-2024-22200-P-E-I</t>
  </si>
  <si>
    <t>#202402233700007069</t>
  </si>
  <si>
    <t>#202402233700003825</t>
  </si>
  <si>
    <t>#202402233700002965</t>
  </si>
  <si>
    <t>OPT-NIFTY-22-Feb-2024-21900-P-E-I</t>
  </si>
  <si>
    <t>#202402223700017940</t>
  </si>
  <si>
    <t>#202402223700016314</t>
  </si>
  <si>
    <t>#202402223700015316</t>
  </si>
  <si>
    <t>#202402223700014837</t>
  </si>
  <si>
    <t>#202402223700014598</t>
  </si>
  <si>
    <t>#202402223700014129</t>
  </si>
  <si>
    <t>OPT-NIFTY-22-Feb-2024-22000-P-E-I</t>
  </si>
  <si>
    <t>#202402223700008533</t>
  </si>
  <si>
    <t>#202402223700007266</t>
  </si>
  <si>
    <t>OPT-CNXBAN-21-Feb-2024-47200-C-E-I</t>
  </si>
  <si>
    <t>#202402213700020089</t>
  </si>
  <si>
    <t>#202402213700018547</t>
  </si>
  <si>
    <t>OPT-CNXBAN-21-Feb-2024-47000-P-E-I</t>
  </si>
  <si>
    <t>#202402213700018507</t>
  </si>
  <si>
    <t>#202402213700012658</t>
  </si>
  <si>
    <t>#202402213700012075</t>
  </si>
  <si>
    <t>#202402213700005424</t>
  </si>
  <si>
    <t>#202402213700004280</t>
  </si>
  <si>
    <t>#202402213700002257</t>
  </si>
  <si>
    <t>OPT-NIFFIN-20-Feb-2024-20500-P-E-I</t>
  </si>
  <si>
    <t>#202402203700015322</t>
  </si>
  <si>
    <t>#202402203700015296</t>
  </si>
  <si>
    <t>#202402203700013783</t>
  </si>
  <si>
    <t>#202402203700013737</t>
  </si>
  <si>
    <t>OPT-RBLBAN-29-Feb-2024-270-C-E-S</t>
  </si>
  <si>
    <t>#202402203700012677</t>
  </si>
  <si>
    <t>#202402203700012423</t>
  </si>
  <si>
    <t>#202402203700011941</t>
  </si>
  <si>
    <t>#202402203700011029</t>
  </si>
  <si>
    <t>#202402203700008469</t>
  </si>
  <si>
    <t>#202402203700008463</t>
  </si>
  <si>
    <t>#202402203700008451</t>
  </si>
  <si>
    <t>#202402203700008395</t>
  </si>
  <si>
    <t>#202402203700008188</t>
  </si>
  <si>
    <t>#202402203700008177</t>
  </si>
  <si>
    <t>#202402203700008170</t>
  </si>
  <si>
    <t>#202402203700007642</t>
  </si>
  <si>
    <t>#202402203700007418</t>
  </si>
  <si>
    <t>#202402203700007160</t>
  </si>
  <si>
    <t>#202402203700006913</t>
  </si>
  <si>
    <t>#202402203700006778</t>
  </si>
  <si>
    <t>#202402203700004937</t>
  </si>
  <si>
    <t>OPT-NIFFIN-20-Feb-2024-20550-C-E-I</t>
  </si>
  <si>
    <t>#202402193700010047</t>
  </si>
  <si>
    <t>#202402193700008262</t>
  </si>
  <si>
    <t>OPT-NIFTY-15-Feb-2024-21900-C-E-I</t>
  </si>
  <si>
    <t>#202402153700028195</t>
  </si>
  <si>
    <t>#202402153700027982</t>
  </si>
  <si>
    <t>OPT-NIFTY-15-Feb-2024-21550-P-E-I</t>
  </si>
  <si>
    <t>#202402143700021174</t>
  </si>
  <si>
    <t>#202402143700012687</t>
  </si>
  <si>
    <t>#202402143700011711</t>
  </si>
  <si>
    <t>OPT-NIFTY-15-Feb-2024-21650-C-E-I</t>
  </si>
  <si>
    <t>#202402143700011378</t>
  </si>
  <si>
    <t>#202402143700009360</t>
  </si>
  <si>
    <t>#202402143700009186</t>
  </si>
  <si>
    <t>OPT-CNXBAN-14-Feb-2024-45000-P-E-I</t>
  </si>
  <si>
    <t>#202402143700008683</t>
  </si>
  <si>
    <t>#202402143700008180</t>
  </si>
  <si>
    <t>#202402143700008104</t>
  </si>
  <si>
    <t>#202402143700007825</t>
  </si>
  <si>
    <t>OPT-CNXBAN-14-Feb-2024-46000-C-E-I</t>
  </si>
  <si>
    <t>#202402143700007602</t>
  </si>
  <si>
    <t>#202402143700007219</t>
  </si>
  <si>
    <t>#202402143700003585</t>
  </si>
  <si>
    <t>#202402143700003174</t>
  </si>
  <si>
    <t>#202402143700001092</t>
  </si>
  <si>
    <t>#202402143700001063</t>
  </si>
  <si>
    <t>#202402143700001047</t>
  </si>
  <si>
    <t>#202402143700001031</t>
  </si>
  <si>
    <t>#202402143700001020</t>
  </si>
  <si>
    <t>#202402143700001015</t>
  </si>
  <si>
    <t>#202402143700000980</t>
  </si>
  <si>
    <t>OPT-NIFFIN-13-Feb-2024-20150-P-E-I</t>
  </si>
  <si>
    <t>#202402133700017680</t>
  </si>
  <si>
    <t>#202402133700015322</t>
  </si>
  <si>
    <t>#202402133700013031</t>
  </si>
  <si>
    <t>#202402133700012350</t>
  </si>
  <si>
    <t>#202402133700012125</t>
  </si>
  <si>
    <t>#202402133700012057</t>
  </si>
  <si>
    <t>OPT-NIFFIN-13-Feb-2024-19700-P-E-I</t>
  </si>
  <si>
    <t>#202402133700009129</t>
  </si>
  <si>
    <t>#202402133700004028</t>
  </si>
  <si>
    <t>#202402133700004022</t>
  </si>
  <si>
    <t>#202402133700004018</t>
  </si>
  <si>
    <t>#202402133700003925</t>
  </si>
  <si>
    <t>#202402133700003914</t>
  </si>
  <si>
    <t>#202402133700003898</t>
  </si>
  <si>
    <t>#202402133700003831</t>
  </si>
  <si>
    <t>#202402133700003814</t>
  </si>
  <si>
    <t>#202402133700003775</t>
  </si>
  <si>
    <t>#202402133700003764</t>
  </si>
  <si>
    <t>#202402133700003757</t>
  </si>
  <si>
    <t>#202402133700003751</t>
  </si>
  <si>
    <t>#202402133700003738</t>
  </si>
  <si>
    <t>#202402133700003733</t>
  </si>
  <si>
    <t>#202402133700003229</t>
  </si>
  <si>
    <t>#202402133700003180</t>
  </si>
  <si>
    <t>#202402133700003139</t>
  </si>
  <si>
    <t>#202402133700003113</t>
  </si>
  <si>
    <t>#202402133700003085</t>
  </si>
  <si>
    <t>#202402133700003066</t>
  </si>
  <si>
    <t>#202402133700003041</t>
  </si>
  <si>
    <t>#202402133700003011</t>
  </si>
  <si>
    <t>#202402133700002984</t>
  </si>
  <si>
    <t>#202402133700002957</t>
  </si>
  <si>
    <t>#202402133700002934</t>
  </si>
  <si>
    <t>#202402133700001883</t>
  </si>
  <si>
    <t>#202402133700001846</t>
  </si>
  <si>
    <t>#202402133700001779</t>
  </si>
  <si>
    <t>#202402133700001752</t>
  </si>
  <si>
    <t>#202402133700001696</t>
  </si>
  <si>
    <t>#202402133700001661</t>
  </si>
  <si>
    <t>#202402133700001635</t>
  </si>
  <si>
    <t>#202402133700001606</t>
  </si>
  <si>
    <t>#202402133700001590</t>
  </si>
  <si>
    <t>#202402133700001527</t>
  </si>
  <si>
    <t>#202402133700001482</t>
  </si>
  <si>
    <t>#202402133700001444</t>
  </si>
  <si>
    <t>#202402133700001411</t>
  </si>
  <si>
    <t>OPT-NIFTY-15-Feb-2024-21700-P-E-I</t>
  </si>
  <si>
    <t>#202402123700013602</t>
  </si>
  <si>
    <t>#202402093700012593</t>
  </si>
  <si>
    <t>#202402093700008677</t>
  </si>
  <si>
    <t>#202402093700004745</t>
  </si>
  <si>
    <t>OPT-NIFTY-08-Feb-2024-21750-P-E-I</t>
  </si>
  <si>
    <t>#202402083700018971</t>
  </si>
  <si>
    <t>#202402083700018472</t>
  </si>
  <si>
    <t>OPT-NIFTY-08-Feb-2024-22000-C-E-I</t>
  </si>
  <si>
    <t>#202402083700017431</t>
  </si>
  <si>
    <t>#202402083700016414</t>
  </si>
  <si>
    <t>#202402083700015702</t>
  </si>
  <si>
    <t>#202402083700014192</t>
  </si>
  <si>
    <t>#202402083700014183</t>
  </si>
  <si>
    <t>#202402083700014006</t>
  </si>
  <si>
    <t>#202402083700013938</t>
  </si>
  <si>
    <t>#202402083700013884</t>
  </si>
  <si>
    <t>#202402083700010850</t>
  </si>
  <si>
    <t>#202402083700009731</t>
  </si>
  <si>
    <t>OPT-NIFTY-08-Feb-2024-22000-P-E-I</t>
  </si>
  <si>
    <t>#202402083700004004</t>
  </si>
  <si>
    <t>#202402083700002795</t>
  </si>
  <si>
    <t>OPT-CNXBAN-07-Feb-2024-45800-C-E-I</t>
  </si>
  <si>
    <t>#202402073700021837</t>
  </si>
  <si>
    <t>#202402073700021327</t>
  </si>
  <si>
    <t>OPT-CNXBAN-07-Feb-2024-45900-C-E-I</t>
  </si>
  <si>
    <t>#202402073700019616</t>
  </si>
  <si>
    <t>#202402073700018478</t>
  </si>
  <si>
    <t>#202402073700015304</t>
  </si>
  <si>
    <t>#202402073700012883</t>
  </si>
  <si>
    <t>#202402073700010509</t>
  </si>
  <si>
    <t>#202402073700010460</t>
  </si>
  <si>
    <t>#202402073700010356</t>
  </si>
  <si>
    <t>#202402073700009047</t>
  </si>
  <si>
    <t>#202402073700007071</t>
  </si>
  <si>
    <t>#202402073700004645</t>
  </si>
  <si>
    <t>OPT-HCLTEC-29-Feb-2024-1600-C-E-S</t>
  </si>
  <si>
    <t>#202402063700021088</t>
  </si>
  <si>
    <t>OPT-NIFFIN-06-Feb-2024-20350-P-E-I</t>
  </si>
  <si>
    <t>#202402053700049655</t>
  </si>
  <si>
    <t>#202402053700038894</t>
  </si>
  <si>
    <t>#202402053700038641</t>
  </si>
  <si>
    <t>#202402053700036149</t>
  </si>
  <si>
    <t>#202402053700035872</t>
  </si>
  <si>
    <t>#202402053700035685</t>
  </si>
  <si>
    <t>#202402053700035362</t>
  </si>
  <si>
    <t>#202402053700033760</t>
  </si>
  <si>
    <t>#202402053700032491</t>
  </si>
  <si>
    <t>#202402053700031966</t>
  </si>
  <si>
    <t>#202402023700011780</t>
  </si>
  <si>
    <t>OPT-NIFTY-08-Feb-2024-21800-P-E-I</t>
  </si>
  <si>
    <t>#202402023700007581</t>
  </si>
  <si>
    <t>#202402023700003395</t>
  </si>
  <si>
    <t>OPT-CNXBAN-07-Feb-2024-45800-P-E-I</t>
  </si>
  <si>
    <t>#202402013700022935</t>
  </si>
  <si>
    <t>#202402013700019042</t>
  </si>
  <si>
    <t>#202402013700018850</t>
  </si>
  <si>
    <t>#202402013700018265</t>
  </si>
  <si>
    <t>#202402013700017520</t>
  </si>
  <si>
    <t>#202402013700017329</t>
  </si>
  <si>
    <t>#202402013700017148</t>
  </si>
  <si>
    <t>#202402013700017013</t>
  </si>
  <si>
    <t>OPT-NIFTY-01-Feb-2024-22500-C-E-I</t>
  </si>
  <si>
    <t>#202402013700012044</t>
  </si>
  <si>
    <t>#202402013700012043</t>
  </si>
  <si>
    <t>#202402013700011260</t>
  </si>
  <si>
    <t>#202402013700011236</t>
  </si>
  <si>
    <t>OPT-NIFTY-01-Feb-2024-21800-C-E-I</t>
  </si>
  <si>
    <t>#202402013700009806</t>
  </si>
  <si>
    <t>#202402013700008059</t>
  </si>
  <si>
    <t>#202402013700006332</t>
  </si>
  <si>
    <t>OPT-CNXBAN-07-Feb-2024-46000-C-E-I</t>
  </si>
  <si>
    <t>#202402013700005706</t>
  </si>
  <si>
    <t>#202402013700005369</t>
  </si>
  <si>
    <t>#202402013700005094</t>
  </si>
  <si>
    <t>#202402013700004640</t>
  </si>
  <si>
    <t>#202402013700004518</t>
  </si>
  <si>
    <t>OPT-CNXBAN-31-Jan-2024-46100-P-E-I</t>
  </si>
  <si>
    <t>#202401313700017720</t>
  </si>
  <si>
    <t>#202401313700016090</t>
  </si>
  <si>
    <t>#202401313700015820</t>
  </si>
  <si>
    <t>#202401313700015591</t>
  </si>
  <si>
    <t>#202401313700015453</t>
  </si>
  <si>
    <t>#202401313700015234</t>
  </si>
  <si>
    <t>#202401313700015147</t>
  </si>
  <si>
    <t>OPT-NIFTY-01-Feb-2024-21700-P-E-I</t>
  </si>
  <si>
    <t>#202401304500007011</t>
  </si>
  <si>
    <t>#202401304500004896</t>
  </si>
  <si>
    <t>OPT-NIFFIN-30-Jan-2024-20300-P-E-I</t>
  </si>
  <si>
    <t>#202401304500004622</t>
  </si>
  <si>
    <t>#202401304500004527</t>
  </si>
  <si>
    <t>#202401304500003924</t>
  </si>
  <si>
    <t>#202401304500003453</t>
  </si>
  <si>
    <t>#202401304500003418</t>
  </si>
  <si>
    <t>#202401304500003415</t>
  </si>
  <si>
    <t>#202401304500002794</t>
  </si>
  <si>
    <t>#202401304500002207</t>
  </si>
  <si>
    <t>#202401304500001436</t>
  </si>
  <si>
    <t>#202401304500000968</t>
  </si>
  <si>
    <t>#202401304500000931</t>
  </si>
  <si>
    <t>#202401304500000927</t>
  </si>
  <si>
    <t>OPT-NIFTY-01-Feb-2024-21500-P-E-I</t>
  </si>
  <si>
    <t>#202401293700018860</t>
  </si>
  <si>
    <t>#202401293700015173</t>
  </si>
  <si>
    <t>#202401293700014382</t>
  </si>
  <si>
    <t>OPT-NIFSEL-29-Jan-2024-10450-P-E-I</t>
  </si>
  <si>
    <t>#202401293700014362</t>
  </si>
  <si>
    <t>#202401293700012467</t>
  </si>
  <si>
    <t>#202401293700011964</t>
  </si>
  <si>
    <t>#202401293700011420</t>
  </si>
  <si>
    <t>#202401293700010256</t>
  </si>
  <si>
    <t>#202401293700007052</t>
  </si>
  <si>
    <t>#202401293700005726</t>
  </si>
  <si>
    <t>OPT-NIFSEL-29-Jan-2024-10600-C-E-I</t>
  </si>
  <si>
    <t>#202401293700004864</t>
  </si>
  <si>
    <t>#202401293700004771</t>
  </si>
  <si>
    <t>#202401293700001543</t>
  </si>
  <si>
    <t>#202401293700001118</t>
  </si>
  <si>
    <t>OPT-NIFTY-25-Jan-2024-21300-P-E-I</t>
  </si>
  <si>
    <t>#202401253700020304</t>
  </si>
  <si>
    <t>#202401253700020156</t>
  </si>
  <si>
    <t>#202401253700017592</t>
  </si>
  <si>
    <t>#202401253700016766</t>
  </si>
  <si>
    <t>OPT-NIFTY-25-Jan-2024-21400-C-E-I</t>
  </si>
  <si>
    <t>#202401253700016679</t>
  </si>
  <si>
    <t>#202401253700015563</t>
  </si>
  <si>
    <t>#202401253700015418</t>
  </si>
  <si>
    <t>#202401253700013772</t>
  </si>
  <si>
    <t>#202401253700010839</t>
  </si>
  <si>
    <t>#202401253700009131</t>
  </si>
  <si>
    <t>OPT-NIFTY-25-Jan-2024-21400-P-E-I</t>
  </si>
  <si>
    <t>#202401253700008328</t>
  </si>
  <si>
    <t>#202401253700006833</t>
  </si>
  <si>
    <t>#202401253700006307</t>
  </si>
  <si>
    <t>#202401253700005092</t>
  </si>
  <si>
    <t>#202401253700004529</t>
  </si>
  <si>
    <t>#202401252500000521</t>
  </si>
  <si>
    <t>OPT-CNXBAN-25-Jan-2024-44800-C-E-I</t>
  </si>
  <si>
    <t>#202401243700025304</t>
  </si>
  <si>
    <t>#202401243700023874</t>
  </si>
  <si>
    <t>OPT-CNXBAN-25-Jan-2024-45500-C-E-I</t>
  </si>
  <si>
    <t>#202401243700013686</t>
  </si>
  <si>
    <t>#202401243700013685</t>
  </si>
  <si>
    <t>#202401243700012661</t>
  </si>
  <si>
    <t>#202401243700012385</t>
  </si>
  <si>
    <t>OPT-CNXBAN-25-Jan-2024-45000-P-E-I</t>
  </si>
  <si>
    <t>#202401243700012190</t>
  </si>
  <si>
    <t>#202401243700012189</t>
  </si>
  <si>
    <t>#202401243700010306</t>
  </si>
  <si>
    <t>#202401243700009876</t>
  </si>
  <si>
    <t>OPT-GUJGA-25-Jan-2024-560-C-E-S</t>
  </si>
  <si>
    <t>#202401233700026904</t>
  </si>
  <si>
    <t>#202401233700016186</t>
  </si>
  <si>
    <t>OPT-NIFFIN-23-Jan-2024-20700-C-E-I</t>
  </si>
  <si>
    <t>#202401233700008238</t>
  </si>
  <si>
    <t>#202401233700007908</t>
  </si>
  <si>
    <t>#202401233700007202</t>
  </si>
  <si>
    <t>OPT-NIFTY-25-Jan-2024-21700-P-E-I</t>
  </si>
  <si>
    <t>#202401233700004840</t>
  </si>
  <si>
    <t>#202401233700004524</t>
  </si>
  <si>
    <t>#202401233700004149</t>
  </si>
  <si>
    <t>#202401233700003692</t>
  </si>
  <si>
    <t>#202401233700002870</t>
  </si>
  <si>
    <t>#202401233700002650</t>
  </si>
  <si>
    <t>#202401233700002287</t>
  </si>
  <si>
    <t>#202401233700001458</t>
  </si>
  <si>
    <t>OPT-CNXBAN-25-Jan-2024-46000-P-E-I</t>
  </si>
  <si>
    <t>#202401193700009376</t>
  </si>
  <si>
    <t>#202401193700008227</t>
  </si>
  <si>
    <t>#202401193700007925</t>
  </si>
  <si>
    <t>OPT-NIFTY-18-Jan-2024-21450-P-E-I</t>
  </si>
  <si>
    <t>#202401183700024967</t>
  </si>
  <si>
    <t>#202401183700023948</t>
  </si>
  <si>
    <t>#202401183700019735</t>
  </si>
  <si>
    <t>#202401183700016202</t>
  </si>
  <si>
    <t>OPT-NIFTY-18-Jan-2024-21300-P-E-I</t>
  </si>
  <si>
    <t>#202401183700015997</t>
  </si>
  <si>
    <t>#202401183700015996</t>
  </si>
  <si>
    <t>#202401183700015950</t>
  </si>
  <si>
    <t>#202401183700015851</t>
  </si>
  <si>
    <t>#202401183700015105</t>
  </si>
  <si>
    <t>#202401183700014798</t>
  </si>
  <si>
    <t>#202401183700011974</t>
  </si>
  <si>
    <t>#202401183700011826</t>
  </si>
  <si>
    <t>OPT-NIFTY-18-Jan-2024-21500-C-E-I</t>
  </si>
  <si>
    <t>#202401183700010258</t>
  </si>
  <si>
    <t>#202401183700010257</t>
  </si>
  <si>
    <t>#202401183700007449</t>
  </si>
  <si>
    <t>#202401183700007239</t>
  </si>
  <si>
    <t>OPT-NIFTY-18-Jan-2024-21600-C-E-I</t>
  </si>
  <si>
    <t>#202401183700004493</t>
  </si>
  <si>
    <t>#202401183700001475</t>
  </si>
  <si>
    <t>OPT-CNXBAN-17-Jan-2024-46700-C-E-I</t>
  </si>
  <si>
    <t>#202401173700021397</t>
  </si>
  <si>
    <t>#202401173700021119</t>
  </si>
  <si>
    <t>#202401173700018837</t>
  </si>
  <si>
    <t>#202401173700017802</t>
  </si>
  <si>
    <t>#202401173700016080</t>
  </si>
  <si>
    <t>#202401173700015246</t>
  </si>
  <si>
    <t>#202401173700014614</t>
  </si>
  <si>
    <t>#202401173700013513</t>
  </si>
  <si>
    <t>#202401173700012803</t>
  </si>
  <si>
    <t>#202401173700012740</t>
  </si>
  <si>
    <t>#202401173700012675</t>
  </si>
  <si>
    <t>#202401173700012615</t>
  </si>
  <si>
    <t>#202401173700012540</t>
  </si>
  <si>
    <t>OPT-NIFFIN-16-Jan-2024-21200-P-E-I</t>
  </si>
  <si>
    <t>#202401113700017478</t>
  </si>
  <si>
    <t>#202401113700017099</t>
  </si>
  <si>
    <t>OPT-CNXBAN-10-Jan-2024-47200-P-E-I</t>
  </si>
  <si>
    <t>#202401103700027464</t>
  </si>
  <si>
    <t>#202401103700026722</t>
  </si>
  <si>
    <t>#202401103700026628</t>
  </si>
  <si>
    <t>#202401103700026486</t>
  </si>
  <si>
    <t>#202401103700025116</t>
  </si>
  <si>
    <t>#202401103700024931</t>
  </si>
  <si>
    <t>#202401103700024096</t>
  </si>
  <si>
    <t>OPT-CIPLA-25-Jan-2024-1320-C-E-S</t>
  </si>
  <si>
    <t>#202401103700023218</t>
  </si>
  <si>
    <t>#202401103700022327</t>
  </si>
  <si>
    <t>#202401103700021865</t>
  </si>
  <si>
    <t>#202401103700021744</t>
  </si>
  <si>
    <t>#202401103700015608</t>
  </si>
  <si>
    <t>#202401103700014851</t>
  </si>
  <si>
    <t>#202401103700008838</t>
  </si>
  <si>
    <t>OPT-NIFFIN-09-Jan-2024-21450-P-E-I</t>
  </si>
  <si>
    <t>#202401093700019945</t>
  </si>
  <si>
    <t>#202401093700017300</t>
  </si>
  <si>
    <t>#202401093700015973</t>
  </si>
  <si>
    <t>#202401093700015743</t>
  </si>
  <si>
    <t>#202401093700015658</t>
  </si>
  <si>
    <t>#202401093700015607</t>
  </si>
  <si>
    <t>#202401093700014789</t>
  </si>
  <si>
    <t>#202401093700014597</t>
  </si>
  <si>
    <t>#202401093700014487</t>
  </si>
  <si>
    <t>#202401093700014363</t>
  </si>
  <si>
    <t>#202401093700014217</t>
  </si>
  <si>
    <t>#202401093700013489</t>
  </si>
  <si>
    <t>#202401093700013380</t>
  </si>
  <si>
    <t>Buy Closeout</t>
  </si>
  <si>
    <t>#Exchange Initiated</t>
  </si>
  <si>
    <t>CalYear</t>
  </si>
  <si>
    <t>CalMonth</t>
  </si>
  <si>
    <t>FinYear</t>
  </si>
  <si>
    <t>FinMonth</t>
  </si>
  <si>
    <t>MonthName</t>
  </si>
  <si>
    <t>FinMonth2</t>
  </si>
  <si>
    <t>FinPeriod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</si>
  <si>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</si>
  <si>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</si>
  <si>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</si>
  <si>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</si>
  <si>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</si>
  <si>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</si>
  <si>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</si>
  <si>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</si>
  <si>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</si>
  <si>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</si>
  <si>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</si>
  <si>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</si>
  <si>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Grand Total</t>
  </si>
  <si>
    <t>Amount</t>
  </si>
  <si>
    <t>Sum of Amount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</si>
  <si>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</si>
  <si>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</si>
  <si>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</si>
  <si>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</si>
  <si>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</si>
  <si>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</si>
  <si>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</si>
  <si>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</si>
  <si>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</si>
  <si>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</si>
  <si>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</si>
  <si>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</si>
  <si>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Date</t>
  </si>
  <si>
    <t>Rule</t>
  </si>
  <si>
    <t>Candle</t>
  </si>
  <si>
    <t>RSI</t>
  </si>
  <si>
    <t>P SAR</t>
  </si>
  <si>
    <t>Below Candle</t>
  </si>
  <si>
    <t>&gt;50</t>
  </si>
  <si>
    <t>&lt;50</t>
  </si>
  <si>
    <t>First Green above MA</t>
  </si>
  <si>
    <t>Total</t>
  </si>
  <si>
    <t>Slno</t>
  </si>
  <si>
    <t>Lot</t>
  </si>
  <si>
    <t>Amnt</t>
  </si>
  <si>
    <t>Above Candle</t>
  </si>
  <si>
    <t>Remarks</t>
  </si>
  <si>
    <t>Rule Follwed, Good</t>
  </si>
  <si>
    <t>Scrip</t>
  </si>
  <si>
    <t>LTIM</t>
  </si>
  <si>
    <t>Follwed</t>
  </si>
  <si>
    <t>Not Follwed</t>
  </si>
  <si>
    <t>16th Red above MA</t>
  </si>
  <si>
    <t>Blind Thought of Trend Reversal</t>
  </si>
  <si>
    <t>call OI</t>
  </si>
  <si>
    <t>Put OI</t>
  </si>
  <si>
    <t>Diff</t>
  </si>
  <si>
    <t>Go with</t>
  </si>
  <si>
    <t>low</t>
  </si>
  <si>
    <t>middle</t>
  </si>
  <si>
    <t>high</t>
  </si>
  <si>
    <t>Strong Call</t>
  </si>
  <si>
    <t>Turning to Put</t>
  </si>
  <si>
    <t>waiting for call breakout</t>
  </si>
  <si>
    <t>NA</t>
  </si>
  <si>
    <t>Turning to Call</t>
  </si>
  <si>
    <t>Put</t>
  </si>
  <si>
    <t>Strong Put</t>
  </si>
  <si>
    <t>Rangebound</t>
  </si>
  <si>
    <t>Call</t>
  </si>
  <si>
    <t>Wait</t>
  </si>
  <si>
    <t>Rangebound to break</t>
  </si>
  <si>
    <t>ColA</t>
  </si>
  <si>
    <t>Strategy</t>
  </si>
  <si>
    <t>Breakout to Happen</t>
  </si>
  <si>
    <t>Outcome</t>
  </si>
  <si>
    <t>Bal</t>
  </si>
  <si>
    <t>Jan-25</t>
  </si>
  <si>
    <t>Feb-25</t>
  </si>
  <si>
    <t>Stop Loss Followed</t>
  </si>
  <si>
    <t>Later Trading</t>
  </si>
  <si>
    <t>Opposite Trading</t>
  </si>
  <si>
    <t>OPT-NIFTY-19-Dec-2024-24650-C-E-I</t>
  </si>
  <si>
    <t>#202412133700021488</t>
  </si>
  <si>
    <t>#202412133700021055</t>
  </si>
  <si>
    <t>OPT-NIFTY-19-Dec-2024-24550-C-E-I</t>
  </si>
  <si>
    <t>#202412133700018623</t>
  </si>
  <si>
    <t>#202412133700018408</t>
  </si>
  <si>
    <t>OPT-NIFTY-19-Dec-2024-24500-P-E-I</t>
  </si>
  <si>
    <t>#202412133700001539</t>
  </si>
  <si>
    <t>#202412133700001262</t>
  </si>
  <si>
    <t>OPT-NIFTY-19-Dec-2024-24700-P-E-I</t>
  </si>
  <si>
    <t>#202412163700016230</t>
  </si>
  <si>
    <t>OPT-NIFTY-19-Dec-2024-24600-P-E-I</t>
  </si>
  <si>
    <t>#202412163700011988</t>
  </si>
  <si>
    <t>#202412163700009840</t>
  </si>
  <si>
    <t>OPT-NIFTY-19-Dec-2024-24650-P-E-I</t>
  </si>
  <si>
    <t>#202412163700007081</t>
  </si>
  <si>
    <t>#202412163700006128</t>
  </si>
  <si>
    <t>OPT-NIFTY-19-Dec-2024-24350-P-E-I</t>
  </si>
  <si>
    <t>#202412163700003620</t>
  </si>
  <si>
    <t>#202412163700003194</t>
  </si>
  <si>
    <t>#202412173700018637</t>
  </si>
  <si>
    <t>#202412173700015309</t>
  </si>
  <si>
    <t>OPT-NIFTY-19-Dec-2024-24450-C-E-I</t>
  </si>
  <si>
    <t>#202412173700011243</t>
  </si>
  <si>
    <t>#202412173700009485</t>
  </si>
  <si>
    <t>#202412173700009159</t>
  </si>
  <si>
    <t>#202412173700009048</t>
  </si>
  <si>
    <t>#202412173700001238</t>
  </si>
  <si>
    <t>OPT-NIFTY-19-Dec-2024-24150-P-E-I</t>
  </si>
  <si>
    <t>#202412183700014911</t>
  </si>
  <si>
    <t>#202412183700014869</t>
  </si>
  <si>
    <t>OPT-NIFTY-19-Dec-2024-24200-C-E-I</t>
  </si>
  <si>
    <t>#202412183700013252</t>
  </si>
  <si>
    <t>#202412183700013214</t>
  </si>
  <si>
    <t>#202412183700013129</t>
  </si>
  <si>
    <t>#202412183700012938</t>
  </si>
  <si>
    <t>OPT-ICIBAN-26-Dec-2024-1320-P-E-S</t>
  </si>
  <si>
    <t>#202412183700001568</t>
  </si>
  <si>
    <t>#202412183700000937</t>
  </si>
  <si>
    <t>OPT-ICIBAN-26-Dec-2024-1290-P-E-S</t>
  </si>
  <si>
    <t>#202412193700021166</t>
  </si>
  <si>
    <t>#202412193700021008</t>
  </si>
  <si>
    <t>#202412193700020177</t>
  </si>
  <si>
    <t>OPT-LTINFO-26-Dec-2024-6300-P-E-S</t>
  </si>
  <si>
    <t>#202412193700010102</t>
  </si>
  <si>
    <t>#202412193700009588</t>
  </si>
  <si>
    <t>#202412192500000280</t>
  </si>
  <si>
    <t>OPT-NIFTY-26-Dec-2024-23850-C-E-I</t>
  </si>
  <si>
    <t>#202412203700021315</t>
  </si>
  <si>
    <t>#202412203700016167</t>
  </si>
  <si>
    <t>#202412203700013661</t>
  </si>
  <si>
    <t>#202412203700013103</t>
  </si>
  <si>
    <t>OPT-ICIBAN-26-Dec-2024-1300-C-E-S</t>
  </si>
  <si>
    <t>#202412233700012667</t>
  </si>
  <si>
    <t>#202412233700009108</t>
  </si>
  <si>
    <t>#202412233700005004</t>
  </si>
  <si>
    <t>OPT-NIFTY-26-Dec-2024-23800-C-E-I</t>
  </si>
  <si>
    <t>#202412243700022529</t>
  </si>
  <si>
    <t>#202412243700019033</t>
  </si>
  <si>
    <t>#202412243700018377</t>
  </si>
  <si>
    <t>#202412243700017127</t>
  </si>
  <si>
    <t>#202412243700016418</t>
  </si>
  <si>
    <t>#202412243700015467</t>
  </si>
  <si>
    <t>OPT-NIFTY-26-Dec-2024-23800-P-E-I</t>
  </si>
  <si>
    <t>#202412243700009333</t>
  </si>
  <si>
    <t>#202412243700008331</t>
  </si>
  <si>
    <t>#202412243700008245</t>
  </si>
  <si>
    <t>OPT-NIFTY-26-Dec-2024-23700-P-E-I</t>
  </si>
  <si>
    <t>#202412263700015100</t>
  </si>
  <si>
    <t>#202412263700013854</t>
  </si>
  <si>
    <t>#202412263700011676</t>
  </si>
  <si>
    <t>#202412263700010390</t>
  </si>
  <si>
    <t>#202412263700010114</t>
  </si>
  <si>
    <t>#202412263700009863</t>
  </si>
  <si>
    <t>#202412263700008976</t>
  </si>
  <si>
    <t>#202412263700008945</t>
  </si>
  <si>
    <t>OPT-NIFTY-26-Dec-2024-23850-P-E-I</t>
  </si>
  <si>
    <t>#202412263700007561</t>
  </si>
  <si>
    <t>#202412263700007406</t>
  </si>
  <si>
    <t>#202412263700007045</t>
  </si>
  <si>
    <t>#202412263700006944</t>
  </si>
  <si>
    <t>#202412263700005137</t>
  </si>
  <si>
    <t>#202412263700005075</t>
  </si>
  <si>
    <t>OPT-NIFTY-02-Jan-2025-23800-P-E-I</t>
  </si>
  <si>
    <t>#202412273700011712</t>
  </si>
  <si>
    <t>#202412273700007531</t>
  </si>
  <si>
    <t>#202412273700005662</t>
  </si>
  <si>
    <t>#202412273700001345</t>
  </si>
  <si>
    <t>#202412273700001191</t>
  </si>
  <si>
    <t>#202412303700010121</t>
  </si>
  <si>
    <t>#202412303700009866</t>
  </si>
  <si>
    <t>OPT-NIFTY-02-Jan-2025-23800-C-E-I</t>
  </si>
  <si>
    <t>#202412303700002104</t>
  </si>
  <si>
    <t>#202412303700001524</t>
  </si>
  <si>
    <t>OPT-NIFTY-02-Jan-2025-23550-P-E-I</t>
  </si>
  <si>
    <t>#202412313700008524</t>
  </si>
  <si>
    <t>#202412313700008342</t>
  </si>
  <si>
    <t>#202412313700007309</t>
  </si>
  <si>
    <t>OPT-NIFTY-02-Jan-2025-23550-C-E-I</t>
  </si>
  <si>
    <t>#202412313700004232</t>
  </si>
  <si>
    <t>#202412313700004183</t>
  </si>
  <si>
    <t>#202412313700001647</t>
  </si>
  <si>
    <t>#202412313700001475</t>
  </si>
  <si>
    <t>OPT-NIFTY-02-Jan-2025-23700-C-E-I</t>
  </si>
  <si>
    <t>#202501013700009702</t>
  </si>
  <si>
    <t>#202501013700009410</t>
  </si>
  <si>
    <t>OPT-NIFTY-02-Jan-2025-23650-C-E-I</t>
  </si>
  <si>
    <t>#202501013700003215</t>
  </si>
  <si>
    <t>#202501013700003149</t>
  </si>
  <si>
    <t>OPT-NIFTY-02-Jan-2025-23650-P-E-I</t>
  </si>
  <si>
    <t>#202501013700001757</t>
  </si>
  <si>
    <t>#202501013700001371</t>
  </si>
  <si>
    <t>#202501013700001293</t>
  </si>
  <si>
    <t>#202501013700000301</t>
  </si>
  <si>
    <t>#202501023700009907</t>
  </si>
  <si>
    <t>#202501023700006484</t>
  </si>
  <si>
    <t>#202501023700004522</t>
  </si>
  <si>
    <t>#202501023700002128</t>
  </si>
  <si>
    <t>#202501023700001889</t>
  </si>
  <si>
    <t>OPT-NIFTY-09-Jan-2025-23050-P-E-I</t>
  </si>
  <si>
    <t>#202501073700004513</t>
  </si>
  <si>
    <t>#202501073700003772</t>
  </si>
  <si>
    <t>#202501083700023138</t>
  </si>
  <si>
    <t>#202501083700005951</t>
  </si>
  <si>
    <t>OPT-NIFTY-16-Jan-2025-23200-C-E-I</t>
  </si>
  <si>
    <t>#202501153700014989</t>
  </si>
  <si>
    <t>#202501153700014377</t>
  </si>
  <si>
    <t>OPT-NIFTY-30-Jan-2025-23800-C-E-I</t>
  </si>
  <si>
    <t>#202501243700020422</t>
  </si>
  <si>
    <t>#202501243700011763</t>
  </si>
  <si>
    <t>#202501283700003738</t>
  </si>
  <si>
    <t>OPT-NIFTY-30-Jan-2025-23200-C-E-I</t>
  </si>
  <si>
    <t>#202501303700012285</t>
  </si>
  <si>
    <t>#202501303700011667</t>
  </si>
  <si>
    <t>#202501303700005629</t>
  </si>
  <si>
    <t>#202501303700002724</t>
  </si>
  <si>
    <t>OPT-NIFTY-06-Feb-2025-23450-C-E-I</t>
  </si>
  <si>
    <t>#202501313700014454</t>
  </si>
  <si>
    <t>#202501313700013663</t>
  </si>
  <si>
    <t>#202501313700010076</t>
  </si>
  <si>
    <t>#202501313700009811</t>
  </si>
  <si>
    <t>OPT-NIFTY-06-Feb-2025-23400-P-E-I</t>
  </si>
  <si>
    <t>#202501313700007943</t>
  </si>
  <si>
    <t>#202501313700007785</t>
  </si>
  <si>
    <t>#202501313700007702</t>
  </si>
  <si>
    <t>#202501313700007564</t>
  </si>
  <si>
    <t>#202501313700006901</t>
  </si>
  <si>
    <t>#202501313700006839</t>
  </si>
  <si>
    <t>OPT-NIFTY-06-Feb-2025-23600-C-E-I</t>
  </si>
  <si>
    <t>#202502013700022569</t>
  </si>
  <si>
    <t>#202502013700009017</t>
  </si>
  <si>
    <t>#202502013700008356</t>
  </si>
  <si>
    <t>#202502013700007399</t>
  </si>
  <si>
    <t>#202502013700006973</t>
  </si>
  <si>
    <t>OPT-NIFTY-06-Feb-2025-23300-C-E-I</t>
  </si>
  <si>
    <t>#202502033700012940</t>
  </si>
  <si>
    <t>#202502033700010414</t>
  </si>
  <si>
    <t>#202502033700002244</t>
  </si>
  <si>
    <t>OPT-NIFTY-06-Feb-2025-23700-P-E-I</t>
  </si>
  <si>
    <t>#202502043700016451</t>
  </si>
  <si>
    <t>#202502043700016083</t>
  </si>
  <si>
    <t>#202502043700015061</t>
  </si>
  <si>
    <t>OPT-NIFTY-06-Feb-2025-23350-P-E-I</t>
  </si>
  <si>
    <t>#202502043700005707</t>
  </si>
  <si>
    <t>OPT-NIFTY-06-Feb-2025-23600-P-E-I</t>
  </si>
  <si>
    <t>#202502043700005659</t>
  </si>
  <si>
    <t>#202502043700004836</t>
  </si>
  <si>
    <t>#202502043700002651</t>
  </si>
  <si>
    <t>OPT-NIFTY-06-Feb-2025-23750-P-E-I</t>
  </si>
  <si>
    <t>#202502053700010640</t>
  </si>
  <si>
    <t>#202502053700007071</t>
  </si>
  <si>
    <t>#202502053700005846</t>
  </si>
  <si>
    <t>#202502053700005009</t>
  </si>
  <si>
    <t>#202502053700004932</t>
  </si>
  <si>
    <t>#202502053700004768</t>
  </si>
  <si>
    <t>OPT-NIFTY-06-Feb-2025-23650-C-E-I</t>
  </si>
  <si>
    <t>#202502063700012203</t>
  </si>
  <si>
    <t>#202502063700009958</t>
  </si>
  <si>
    <t>#202502063700007918</t>
  </si>
  <si>
    <t>#202502063700007382</t>
  </si>
  <si>
    <t>#202502063700006734</t>
  </si>
  <si>
    <t>202410</t>
  </si>
  <si>
    <t>202411</t>
  </si>
  <si>
    <t>OPT-NIFTY-13-Feb-2025-23750-C-E-I</t>
  </si>
  <si>
    <t>#202502073700015043</t>
  </si>
  <si>
    <t>#202502073700014524</t>
  </si>
  <si>
    <t>#202502073700012222</t>
  </si>
  <si>
    <t>OPT-NIFTY-13-Feb-2025-23550-P-E-I</t>
  </si>
  <si>
    <t>#202502073700010081</t>
  </si>
  <si>
    <t>#202502073700009473</t>
  </si>
  <si>
    <t>#202502073700003436</t>
  </si>
  <si>
    <t>#202502073700002997</t>
  </si>
  <si>
    <t>#202502073700002641</t>
  </si>
  <si>
    <t>#202502073700002307</t>
  </si>
  <si>
    <t>OPT-NIFTY-13-Feb-2025-23150-P-E-I</t>
  </si>
  <si>
    <t>#202502113700013444</t>
  </si>
  <si>
    <t>#202502113700009822</t>
  </si>
  <si>
    <t>OPT-NIFTY-13-Feb-2025-23300-C-E-I</t>
  </si>
  <si>
    <t>#202502123700019547</t>
  </si>
  <si>
    <t>OPT-NIFTY-13-Feb-2025-22950-P-E-I</t>
  </si>
  <si>
    <t>#202502123700019440</t>
  </si>
  <si>
    <t>#202502123700015237</t>
  </si>
  <si>
    <t>OPT-NIFTY-13-Feb-2025-23050-C-E-I</t>
  </si>
  <si>
    <t>#202502123700015017</t>
  </si>
  <si>
    <t>#202502123700013613</t>
  </si>
  <si>
    <t>#202502123700012516</t>
  </si>
  <si>
    <t>OPT-NIFTY-13-Feb-2025-22850-C-E-I</t>
  </si>
  <si>
    <t>#202502123700007865</t>
  </si>
  <si>
    <t>#202502123700006341</t>
  </si>
  <si>
    <t>#202502133700015608</t>
  </si>
  <si>
    <t>OPT-NIFTY-20-Feb-2025-23000-C-E-I</t>
  </si>
  <si>
    <t>#202502173700017869</t>
  </si>
  <si>
    <t>#202502173700017763</t>
  </si>
  <si>
    <t>#202502173700017102</t>
  </si>
  <si>
    <t>#202502173700016857</t>
  </si>
  <si>
    <t>OPT-NIFTY-20-Feb-2025-22900-P-E-I</t>
  </si>
  <si>
    <t>#202502173700011242</t>
  </si>
  <si>
    <t>#202502173700011022</t>
  </si>
  <si>
    <t>OPT-NIFTY-20-Feb-2025-22900-C-E-I</t>
  </si>
  <si>
    <t>#202502173700010940</t>
  </si>
  <si>
    <t>#202502173700010799</t>
  </si>
  <si>
    <t>OPT-NIFTY-20-Feb-2025-22850-P-E-I</t>
  </si>
  <si>
    <t>#202502173700008838</t>
  </si>
  <si>
    <t>#202502173700008426</t>
  </si>
  <si>
    <t>#202502173700008311</t>
  </si>
  <si>
    <t>#202502173700008195</t>
  </si>
  <si>
    <t>OPT-NIFTY-20-Feb-2025-22800-C-E-I</t>
  </si>
  <si>
    <t>#202502173700004814</t>
  </si>
  <si>
    <t>#202502173700004606</t>
  </si>
  <si>
    <t>OPT-NIFTY-20-Feb-2025-22950-C-E-I</t>
  </si>
  <si>
    <t>#202502183700014491</t>
  </si>
  <si>
    <t>#202502183700014446</t>
  </si>
  <si>
    <t>#202502183700014287</t>
  </si>
  <si>
    <t>#202502183700014265</t>
  </si>
  <si>
    <t>#202502183700010168</t>
  </si>
  <si>
    <t>#202502183700010049</t>
  </si>
  <si>
    <t>#202502183700009964</t>
  </si>
  <si>
    <t>OPT-NIFTY-20-Feb-2025-22850-C-E-I</t>
  </si>
  <si>
    <t>#202502183700007062</t>
  </si>
  <si>
    <t>#202502183700006742</t>
  </si>
  <si>
    <t>#202502183700006724</t>
  </si>
  <si>
    <t>OPT-NIFTY-20-Feb-2025-22950-P-E-I</t>
  </si>
  <si>
    <t>#202502183700004846</t>
  </si>
  <si>
    <t>#202502183700004719</t>
  </si>
  <si>
    <t>#202502183700004414</t>
  </si>
  <si>
    <t>#202502183700004187</t>
  </si>
  <si>
    <t>#202502183700003457</t>
  </si>
  <si>
    <t>#202502183700002728</t>
  </si>
  <si>
    <t>#202502183700002653</t>
  </si>
  <si>
    <t>#202502193700011444</t>
  </si>
  <si>
    <t>#202502193700011259</t>
  </si>
  <si>
    <t>#202502193700010832</t>
  </si>
  <si>
    <t>#202502193700010239</t>
  </si>
  <si>
    <t>#202502193700010144</t>
  </si>
  <si>
    <t>#202502193700010039</t>
  </si>
  <si>
    <t>#202502193700009911</t>
  </si>
  <si>
    <t>#202502193700009845</t>
  </si>
  <si>
    <t>#202502193700009713</t>
  </si>
  <si>
    <t>#202502193700003793</t>
  </si>
  <si>
    <t>#202502193700003625</t>
  </si>
  <si>
    <t>#202502203700011276</t>
  </si>
  <si>
    <t>#202502203700010856</t>
  </si>
  <si>
    <t>#202502203700009964</t>
  </si>
  <si>
    <t>#202502203700006754</t>
  </si>
  <si>
    <t>#202502203700005523</t>
  </si>
  <si>
    <t>#202502203700003732</t>
  </si>
  <si>
    <t>#202502203700003334</t>
  </si>
  <si>
    <t>#202502203700003084</t>
  </si>
  <si>
    <t>OPT-NIFTY-27-Feb-2025-22600-C-E-I</t>
  </si>
  <si>
    <t>#202502253700008694</t>
  </si>
  <si>
    <t>#202502253700006941</t>
  </si>
  <si>
    <t>OPT-NIFTY-27-Feb-2025-22600-P-E-I</t>
  </si>
  <si>
    <t>#202502253700006563</t>
  </si>
  <si>
    <t>#202502253700006254</t>
  </si>
  <si>
    <t>In Hand</t>
  </si>
  <si>
    <t>Avl for Trade</t>
  </si>
  <si>
    <t>Trade Amnt 1</t>
  </si>
  <si>
    <t>Trade Amnt 2</t>
  </si>
  <si>
    <t>Trade Amnt 3</t>
  </si>
  <si>
    <t>Amnt Total</t>
  </si>
  <si>
    <t>Continous Strong Put/Call implies Rangebound Trade</t>
  </si>
  <si>
    <t>OPT-NIFTY-03-Apr-2025-23300-P-E-I</t>
  </si>
  <si>
    <t>#202504033700018010</t>
  </si>
  <si>
    <t>#202504033700017781</t>
  </si>
  <si>
    <t>#202504033700016758</t>
  </si>
  <si>
    <t>#202504033700015423</t>
  </si>
  <si>
    <t>#202504033700014502</t>
  </si>
  <si>
    <t>#202504033700014083</t>
  </si>
  <si>
    <t>OPT-STABAN-24-Apr-2025-770-P-E-S</t>
  </si>
  <si>
    <t>#202504033700013624</t>
  </si>
  <si>
    <t>#202504033700010526</t>
  </si>
  <si>
    <t>OPT-NIFTY-03-Apr-2025-22550-P-E-I</t>
  </si>
  <si>
    <t>#202504023700014292</t>
  </si>
  <si>
    <t>OPT-NIFTY-03-Apr-2025-23150-P-E-I</t>
  </si>
  <si>
    <t>#202504023700014277</t>
  </si>
  <si>
    <t>#202504023700006643</t>
  </si>
  <si>
    <t>#202504023700005458</t>
  </si>
  <si>
    <t>#202504023700004964</t>
  </si>
  <si>
    <t>#202504023700003256</t>
  </si>
  <si>
    <t>#202504023700002403</t>
  </si>
  <si>
    <t>#202504023700001891</t>
  </si>
  <si>
    <t>#202504023700001347</t>
  </si>
  <si>
    <t>OPT-NIFTY-03-Apr-2025-23250-C-E-I</t>
  </si>
  <si>
    <t>#202504023700001224</t>
  </si>
  <si>
    <t>#202504023700000692</t>
  </si>
  <si>
    <t>#202504013700015773</t>
  </si>
  <si>
    <t>OPT-NIFTY-03-Apr-2025-23500-P-E-I</t>
  </si>
  <si>
    <t>#202504013700006262</t>
  </si>
  <si>
    <t>#202504013700005299</t>
  </si>
  <si>
    <t>#202504013700004870</t>
  </si>
  <si>
    <t>#202504013700004775</t>
  </si>
  <si>
    <t>#202504013700004563</t>
  </si>
  <si>
    <t>OPT-NIFTY-03-Apr-2025-23500-C-E-I</t>
  </si>
  <si>
    <t>#202504013700003041</t>
  </si>
  <si>
    <t>#202504013700002731</t>
  </si>
  <si>
    <t>OPT-NIFTY-03-Apr-2025-23250-P-E-I</t>
  </si>
  <si>
    <t>#202503283700008186</t>
  </si>
  <si>
    <t>#202503283700008114</t>
  </si>
  <si>
    <t>#202503283700006001</t>
  </si>
  <si>
    <t>#202503283700001412</t>
  </si>
  <si>
    <t>OPT-NIFTY-27-Mar-2025-23650-C-E-I</t>
  </si>
  <si>
    <t>#202503273700015756</t>
  </si>
  <si>
    <t>#202503273700012658</t>
  </si>
  <si>
    <t>#202503273700012529</t>
  </si>
  <si>
    <t>OPT-NIFTY-27-Mar-2025-23550-C-E-I</t>
  </si>
  <si>
    <t>#202503273700006827</t>
  </si>
  <si>
    <t>#202503273700006519</t>
  </si>
  <si>
    <t>OPT-NIFTY-27-Mar-2025-23450-P-E-I</t>
  </si>
  <si>
    <t>#202503263700018572</t>
  </si>
  <si>
    <t>#202503263700018211</t>
  </si>
  <si>
    <t>OPT-NIFTY-27-Mar-2025-23700-C-E-I</t>
  </si>
  <si>
    <t>#202503263700006640</t>
  </si>
  <si>
    <t>#202503263700005766</t>
  </si>
  <si>
    <t>OPT-NIFTY-20-Mar-2025-23100-C-E-I</t>
  </si>
  <si>
    <t>#202503203700016230</t>
  </si>
  <si>
    <t>#202503203700014633</t>
  </si>
  <si>
    <t>#202503203700014266</t>
  </si>
  <si>
    <t>OPT-NIFTY-20-Mar-2025-22950-C-E-I</t>
  </si>
  <si>
    <t>#202503193700017435</t>
  </si>
  <si>
    <t>#202503193700017393</t>
  </si>
  <si>
    <t>OPT-NIFTY-20-Mar-2025-22500-P-E-I</t>
  </si>
  <si>
    <t>#202503173700016172</t>
  </si>
  <si>
    <t>#202503173700015655</t>
  </si>
  <si>
    <t>#202503173700006056</t>
  </si>
  <si>
    <t>#202503173700005581</t>
  </si>
  <si>
    <t>OPT-NIFTY-13-Mar-2025-22350-C-E-I</t>
  </si>
  <si>
    <t>#202503123700014416</t>
  </si>
  <si>
    <t>#202503123700014084</t>
  </si>
  <si>
    <t>OPT-NIFTY-13-Mar-2025-22450-P-E-I</t>
  </si>
  <si>
    <t>#202503123700011847</t>
  </si>
  <si>
    <t>OPT-NIFTY-13-Mar-2025-22350-P-E-I</t>
  </si>
  <si>
    <t>#202503123700006973</t>
  </si>
  <si>
    <t>#202503123700002901</t>
  </si>
  <si>
    <t>#202503113700007148</t>
  </si>
  <si>
    <t>OPT-NIFTY-13-Mar-2025-22700-C-E-I</t>
  </si>
  <si>
    <t>#202503073700016083</t>
  </si>
  <si>
    <t>#202503073700014311</t>
  </si>
  <si>
    <t>#202503073700013258</t>
  </si>
  <si>
    <t>#202503073700008704</t>
  </si>
  <si>
    <t>#202503073700008543</t>
  </si>
  <si>
    <t>#202503073700007663</t>
  </si>
  <si>
    <t>#202503073700007444</t>
  </si>
  <si>
    <t>#202503073700007392</t>
  </si>
  <si>
    <t>#202503073700007288</t>
  </si>
  <si>
    <t>#202503073700005224</t>
  </si>
  <si>
    <t>#202503073700004640</t>
  </si>
  <si>
    <t>#202503073700004603</t>
  </si>
  <si>
    <t>#202503073700004565</t>
  </si>
  <si>
    <t>#202503073700003607</t>
  </si>
  <si>
    <t>#202503073700003054</t>
  </si>
  <si>
    <t>#202503073700002797</t>
  </si>
  <si>
    <t>OPT-NIFTY-06-Mar-2025-22450-C-E-I</t>
  </si>
  <si>
    <t>#202503063700015441</t>
  </si>
  <si>
    <t>#202503063700014454</t>
  </si>
  <si>
    <t>OPT-NIFTY-06-Mar-2025-22150-P-E-I</t>
  </si>
  <si>
    <t>#202503063700005686</t>
  </si>
  <si>
    <t>#202503063700002621</t>
  </si>
  <si>
    <t>OPT-NIFTY-06-Mar-2025-22050-P-E-I</t>
  </si>
  <si>
    <t>#202503043700015279</t>
  </si>
  <si>
    <t>#202503043700014966</t>
  </si>
  <si>
    <t>#202503043700014950</t>
  </si>
  <si>
    <t>OPT-NIFTY-06-Mar-2025-22250-C-E-I</t>
  </si>
  <si>
    <t>#202503043700003865</t>
  </si>
  <si>
    <t>#202503043700002804</t>
  </si>
  <si>
    <t>OPT-NIFTY-06-Mar-2025-22250-P-E-I</t>
  </si>
  <si>
    <t>#202503033700018063</t>
  </si>
  <si>
    <t>#202503033700014960</t>
  </si>
  <si>
    <t>#202503033700010257</t>
  </si>
  <si>
    <t>#202503033700009522</t>
  </si>
  <si>
    <t>#202503033700008507</t>
  </si>
  <si>
    <t>#202503033700005932</t>
  </si>
  <si>
    <t>#202503033700005611</t>
  </si>
  <si>
    <t>#202503033700003050</t>
  </si>
  <si>
    <t>OPT-NIFTY-06-Mar-2025-22300-C-E-I</t>
  </si>
  <si>
    <t>#202502283700019088</t>
  </si>
  <si>
    <t>#202502283700017550</t>
  </si>
  <si>
    <t>#202502283700012945</t>
  </si>
  <si>
    <t>#202502283700011855</t>
  </si>
  <si>
    <t>#202502283700011136</t>
  </si>
  <si>
    <t>#202502283700010736</t>
  </si>
  <si>
    <t>#202502283700010363</t>
  </si>
  <si>
    <t>#202502283700010184</t>
  </si>
  <si>
    <t>#202502283700010008</t>
  </si>
  <si>
    <t>#202502283700009540</t>
  </si>
  <si>
    <t>#202502283700001198</t>
  </si>
  <si>
    <t>OPT-NIFTY-27-Feb-2025-22550-P-E-I</t>
  </si>
  <si>
    <t>#202502273700011061</t>
  </si>
  <si>
    <t>#202502273700008806</t>
  </si>
  <si>
    <t>#202502273700008392</t>
  </si>
  <si>
    <t>#202502273700008303</t>
  </si>
  <si>
    <t>#202502273700005593</t>
  </si>
  <si>
    <t>#202502273700005564</t>
  </si>
  <si>
    <t>#202502273700005533</t>
  </si>
  <si>
    <t>#202502273700005466</t>
  </si>
  <si>
    <t>202412</t>
  </si>
  <si>
    <t>Mar-25</t>
  </si>
  <si>
    <t>202501</t>
  </si>
  <si>
    <t>Apr-25</t>
  </si>
  <si>
    <t>Time</t>
  </si>
  <si>
    <t>OI</t>
  </si>
  <si>
    <t>Current</t>
  </si>
  <si>
    <t>P/L</t>
  </si>
  <si>
    <t>Buy Value</t>
  </si>
  <si>
    <t>OPT-NIFTY-09-Apr-2025-22900-C-E-I</t>
  </si>
  <si>
    <t>#202504043700018117</t>
  </si>
  <si>
    <t>#202504043700018012</t>
  </si>
  <si>
    <t>OPT-NIFTY-09-Apr-2025-22950-P-E-I</t>
  </si>
  <si>
    <t>#202504043700015765</t>
  </si>
  <si>
    <t>#202504043700015164</t>
  </si>
  <si>
    <t>#202504043700014621</t>
  </si>
  <si>
    <t>#202504043700013703</t>
  </si>
  <si>
    <t>#202504043700013001</t>
  </si>
  <si>
    <t>#202504043700011423</t>
  </si>
  <si>
    <t>OPT-NIFTY-09-Apr-2025-23000-C-E-I</t>
  </si>
  <si>
    <t>#202504043700011100</t>
  </si>
  <si>
    <t>#202504043700010497</t>
  </si>
  <si>
    <t>OPT-NIFTY-09-Apr-2025-21500-P-E-I</t>
  </si>
  <si>
    <t>#202504073700022063</t>
  </si>
  <si>
    <t>#202504073700021653</t>
  </si>
  <si>
    <t>OPT-NIFTY-09-Apr-2025-22850-C-E-I</t>
  </si>
  <si>
    <t>#202504073700021629</t>
  </si>
  <si>
    <t>#202504073700021511</t>
  </si>
  <si>
    <t>#202504073700020729</t>
  </si>
  <si>
    <t>#202504073700007675</t>
  </si>
  <si>
    <t>#202504073700007635</t>
  </si>
  <si>
    <t>#202504073700004058</t>
  </si>
  <si>
    <t>#202504073700003414</t>
  </si>
  <si>
    <t>#202504073700001225</t>
  </si>
  <si>
    <t>#202504073700000705</t>
  </si>
  <si>
    <t>OPT-NIFTY-09-Apr-2025-22350-P-E-I</t>
  </si>
  <si>
    <t>#202504083700022230</t>
  </si>
  <si>
    <t>#202504083700022105</t>
  </si>
  <si>
    <t>OPT-NIFTY-09-Apr-2025-22650-C-E-I</t>
  </si>
  <si>
    <t>#202504083700021049</t>
  </si>
  <si>
    <t>#202504083700021012</t>
  </si>
  <si>
    <t>#202504083700019683</t>
  </si>
  <si>
    <t>#202504083700019480</t>
  </si>
  <si>
    <t>#202504083700016818</t>
  </si>
  <si>
    <t>#202504083700016377</t>
  </si>
  <si>
    <t>#202504083700015587</t>
  </si>
  <si>
    <t>#202504083700013472</t>
  </si>
  <si>
    <t>OPT-NIFTY-09-Apr-2025-22350-C-E-I</t>
  </si>
  <si>
    <t>#202504083700012620</t>
  </si>
  <si>
    <t>#202504083700011844</t>
  </si>
  <si>
    <t>#202504083700011365</t>
  </si>
  <si>
    <t>#202504083700011344</t>
  </si>
  <si>
    <t>#202504083700009580</t>
  </si>
  <si>
    <t>#202504083700009315</t>
  </si>
  <si>
    <t>OPT-NIFTY-09-Apr-2025-22400-P-E-I</t>
  </si>
  <si>
    <t>#202504093700020424</t>
  </si>
  <si>
    <t>#202504093700017156</t>
  </si>
  <si>
    <t>OPT-NIFTY-09-Apr-2025-22500-C-E-I</t>
  </si>
  <si>
    <t>#202504093700017088</t>
  </si>
  <si>
    <t>#202504093700017000</t>
  </si>
  <si>
    <t>#202504093700016598</t>
  </si>
  <si>
    <t>#202504093700015487</t>
  </si>
  <si>
    <t>#202504093700014578</t>
  </si>
  <si>
    <t>OPT-NIFTY-09-Apr-2025-22400-C-E-I</t>
  </si>
  <si>
    <t>#202504093700014289</t>
  </si>
  <si>
    <t>#202504093700014210</t>
  </si>
  <si>
    <t>#202504093700013953</t>
  </si>
  <si>
    <t>#202504093700012838</t>
  </si>
  <si>
    <t>#202504093700008064</t>
  </si>
  <si>
    <t>#202504093700007105</t>
  </si>
  <si>
    <t>#202504093700006957</t>
  </si>
  <si>
    <t>#202504093700006425</t>
  </si>
  <si>
    <t>#202504093700006200</t>
  </si>
  <si>
    <t>OPT-NIFTY-17-Apr-2025-22750-P-E-I</t>
  </si>
  <si>
    <t>#202504153700004658</t>
  </si>
  <si>
    <t>#202504153700003201</t>
  </si>
  <si>
    <t>#202504153700003067</t>
  </si>
  <si>
    <t>OPT-NIFTY-08-May-2025-24350-P-E-I</t>
  </si>
  <si>
    <t>#202505023700019488</t>
  </si>
  <si>
    <t>#202505023700019371</t>
  </si>
  <si>
    <t>#202505023700019299</t>
  </si>
  <si>
    <t>#202505023700019157</t>
  </si>
  <si>
    <t>OPT-NIFTY-08-May-2025-24300-P-E-I</t>
  </si>
  <si>
    <t>#202505023700017315</t>
  </si>
  <si>
    <t>#202505023700017303</t>
  </si>
  <si>
    <t>#202505023700017225</t>
  </si>
  <si>
    <t>#202505023700014773</t>
  </si>
  <si>
    <t>#202505023700014462</t>
  </si>
  <si>
    <t>OPT-NIFTY-08-May-2025-24450-P-E-I</t>
  </si>
  <si>
    <t>#202505023700012079</t>
  </si>
  <si>
    <t>#202505023700011548</t>
  </si>
  <si>
    <t>OPT-NIFTY-08-May-2025-24500-P-E-I</t>
  </si>
  <si>
    <t>#202505023700011205</t>
  </si>
  <si>
    <t>#202505023700010749</t>
  </si>
  <si>
    <t>#202505023700008123</t>
  </si>
  <si>
    <t>#202505023700008095</t>
  </si>
  <si>
    <t>OPT-NIFTY-08-May-2025-24450-C-E-I</t>
  </si>
  <si>
    <t>#202505023700002386</t>
  </si>
  <si>
    <t>#202505023700002229</t>
  </si>
  <si>
    <t>OPT-NIFTY-08-May-2025-24300-C-E-I</t>
  </si>
  <si>
    <t>#202505073700009231</t>
  </si>
  <si>
    <t>#202505073700009114</t>
  </si>
  <si>
    <t>#202505073700009035</t>
  </si>
  <si>
    <t>#202505073700008527</t>
  </si>
  <si>
    <t>#202505073700008461</t>
  </si>
  <si>
    <t>#202505073700007600</t>
  </si>
  <si>
    <t>#202505073700006263</t>
  </si>
  <si>
    <t>OPT-NIFTY-08-May-2025-24400-P-E-I</t>
  </si>
  <si>
    <t>#202505083700011713</t>
  </si>
  <si>
    <t>#202505083700011579</t>
  </si>
  <si>
    <t>#202505083700010422</t>
  </si>
  <si>
    <t>#202505083700009329</t>
  </si>
  <si>
    <t>#202505083700007209</t>
  </si>
  <si>
    <t>#202505083700006575</t>
  </si>
  <si>
    <t>OPT-NIFTY-15-May-2025-24650-P-E-I</t>
  </si>
  <si>
    <t>#202505153700021703</t>
  </si>
  <si>
    <t>#202505153700020609</t>
  </si>
  <si>
    <t>#202505153700020206</t>
  </si>
  <si>
    <t>#202505153700019566</t>
  </si>
  <si>
    <t>#202505153700017843</t>
  </si>
  <si>
    <t>#202505153700016785</t>
  </si>
  <si>
    <t>#202505153700016057</t>
  </si>
  <si>
    <t>#202505153700015627</t>
  </si>
  <si>
    <t>OPT-NIFTY-15-May-2025-24550-C-E-I</t>
  </si>
  <si>
    <t>#202505153700014098</t>
  </si>
  <si>
    <t>#202505153700012471</t>
  </si>
  <si>
    <t>OPT-NIFTY-22-May-2025-24750-P-E-I</t>
  </si>
  <si>
    <t>#202505213700006174</t>
  </si>
  <si>
    <t>#202505213700000977</t>
  </si>
  <si>
    <t>OPT-NIFTY-29-May-2025-24050-P-E-I</t>
  </si>
  <si>
    <t>#202505233700005571</t>
  </si>
  <si>
    <t>OPT-NIFTY-29-May-2025-24750-C-E-I</t>
  </si>
  <si>
    <t>#202505293700021886</t>
  </si>
  <si>
    <t>#202505293700021784</t>
  </si>
  <si>
    <t>#202505293700001341</t>
  </si>
  <si>
    <t>OPT-NIFTY-05-Jun-2025-24850-C-E-I</t>
  </si>
  <si>
    <t>#202506053700024913</t>
  </si>
  <si>
    <t>#202506053700018371</t>
  </si>
  <si>
    <t>OPT-NIFTY-10-Jul-2025-25400-P-E-I</t>
  </si>
  <si>
    <t>#202507043700010841</t>
  </si>
  <si>
    <t>#202507043700010716</t>
  </si>
  <si>
    <t>#202507043700010648</t>
  </si>
  <si>
    <t>#202507043700010535</t>
  </si>
  <si>
    <t>OPT-NIFTY-14-Aug-2025-24700-C-E-I</t>
  </si>
  <si>
    <t>#202508123700012255</t>
  </si>
  <si>
    <t>#202508123700010646</t>
  </si>
  <si>
    <t>#202508123700006900</t>
  </si>
  <si>
    <t>#202508123700006526</t>
  </si>
  <si>
    <t>OPT-NIFTY-21-Aug-2025-25150-C-E-I</t>
  </si>
  <si>
    <t>#202508213700018813</t>
  </si>
  <si>
    <t>#202508213700018369</t>
  </si>
  <si>
    <t>#202508213700018285</t>
  </si>
  <si>
    <t>#202508213700016581</t>
  </si>
  <si>
    <t>#202508213700016277</t>
  </si>
  <si>
    <t>#202508213700015714</t>
  </si>
  <si>
    <t>#202508213700015673</t>
  </si>
  <si>
    <t>OPT-NIFTY-28-Aug-2025-24500-P-E-I</t>
  </si>
  <si>
    <t>#202508283700020082</t>
  </si>
  <si>
    <t>#202508283700019428</t>
  </si>
  <si>
    <t>#202508283700018912</t>
  </si>
  <si>
    <t>OPT-NIFTY-28-Aug-2025-24550-C-E-I</t>
  </si>
  <si>
    <t>#202508283700005256</t>
  </si>
  <si>
    <t>#202508283700004752</t>
  </si>
  <si>
    <t>OPT-NIFTY-02-Sep-2025-24700-P-E-I</t>
  </si>
  <si>
    <t>#202509023700019020</t>
  </si>
  <si>
    <t>#202509023700018759</t>
  </si>
  <si>
    <t>#202509023700018665</t>
  </si>
  <si>
    <t>OPT-NIFTY-09-Sep-2025-24650-P-E-I</t>
  </si>
  <si>
    <t>#202509033700015732</t>
  </si>
  <si>
    <t>#202509033700015506</t>
  </si>
  <si>
    <t>#202509033700014916</t>
  </si>
  <si>
    <t>#202509033700014826</t>
  </si>
  <si>
    <t>#202509033700014620</t>
  </si>
  <si>
    <t>#202509033700014568</t>
  </si>
  <si>
    <t>#202509033700014210</t>
  </si>
  <si>
    <t>#202509033700014113</t>
  </si>
  <si>
    <t>#202509033700014091</t>
  </si>
  <si>
    <t>OPT-NIFTY-09-Sep-2025-24700-P-E-I</t>
  </si>
  <si>
    <t>#202509043700015846</t>
  </si>
  <si>
    <t>#202509043700014255</t>
  </si>
  <si>
    <t>#202509043700014101</t>
  </si>
  <si>
    <t>#202509043700011561</t>
  </si>
  <si>
    <t>#202509043700011524</t>
  </si>
  <si>
    <t>#202509043700011379</t>
  </si>
  <si>
    <t>#202509043700011274</t>
  </si>
  <si>
    <t>OPT-NIFTY-09-Sep-2025-24700-C-E-I</t>
  </si>
  <si>
    <t>#202509053700018058</t>
  </si>
  <si>
    <t>#202509053700017968</t>
  </si>
  <si>
    <t>#202509053700011778</t>
  </si>
  <si>
    <t>#202509053700011699</t>
  </si>
  <si>
    <t>#202509053700011568</t>
  </si>
  <si>
    <t>#202509053700010806</t>
  </si>
  <si>
    <t>202502</t>
  </si>
  <si>
    <t>May-25</t>
  </si>
  <si>
    <t>202503</t>
  </si>
  <si>
    <t>Jun-25</t>
  </si>
  <si>
    <t>202504</t>
  </si>
  <si>
    <t>Jul-25</t>
  </si>
  <si>
    <t>202505</t>
  </si>
  <si>
    <t>Aug-25</t>
  </si>
  <si>
    <t>202506</t>
  </si>
  <si>
    <t>Sep-25</t>
  </si>
  <si>
    <t>Methods To Recover Loss</t>
  </si>
  <si>
    <t>OPT-NIFTY-09-Sep-2025-24750-P-E-I</t>
  </si>
  <si>
    <t>#202509083700033845</t>
  </si>
  <si>
    <t>#202509083700029705</t>
  </si>
  <si>
    <t>#202509083700029191</t>
  </si>
  <si>
    <t>#202509083700029135</t>
  </si>
  <si>
    <t>#202509083700016674</t>
  </si>
  <si>
    <t>#202509083700016156</t>
  </si>
  <si>
    <t>#202509083700014695</t>
  </si>
  <si>
    <t>#202509083700011120</t>
  </si>
  <si>
    <t>#202509083700010728</t>
  </si>
  <si>
    <t>#202509083700010231</t>
  </si>
  <si>
    <t>#202509093700032000</t>
  </si>
  <si>
    <t>#202509093700031951</t>
  </si>
  <si>
    <t>#202509093700031817</t>
  </si>
  <si>
    <t>#202509093700031713</t>
  </si>
  <si>
    <t>#202509093700024548</t>
  </si>
  <si>
    <t>#202509093700022732</t>
  </si>
  <si>
    <t>#202509093700021839</t>
  </si>
  <si>
    <t>#202509093700021666</t>
  </si>
  <si>
    <t>OPT-NIFTY-09-Sep-2025-24850-P-E-I</t>
  </si>
  <si>
    <t>#202509093700011440</t>
  </si>
  <si>
    <t>#202509093700011365</t>
  </si>
  <si>
    <t>OPT-NIFTY-09-Sep-2025-24850-C-E-I</t>
  </si>
  <si>
    <t>#202509093700006739</t>
  </si>
  <si>
    <t>#202509093700005552</t>
  </si>
  <si>
    <t>OPT-NIFTY-16-Sep-2025-24950-P-E-I</t>
  </si>
  <si>
    <t>#202509103700014903</t>
  </si>
  <si>
    <t>#202509103700014737</t>
  </si>
  <si>
    <t>OPT-NIFTY-16-Sep-2025-25000-C-E-I</t>
  </si>
  <si>
    <t>#202509103700013709</t>
  </si>
  <si>
    <t>#202509103700013511</t>
  </si>
  <si>
    <t>#202509103700013364</t>
  </si>
  <si>
    <t>#202509103700012986</t>
  </si>
  <si>
    <t>#202509103700012844</t>
  </si>
  <si>
    <t>OPT-NIFTY-04-Nov-2025-25750-P-E-I</t>
  </si>
  <si>
    <t>#202511043700006125</t>
  </si>
  <si>
    <t>#202511043700005997</t>
  </si>
  <si>
    <t>OPT-NIFTY-11-Nov-2025-25600-C-E-I</t>
  </si>
  <si>
    <t>#202511103700016322</t>
  </si>
  <si>
    <t>#202511103700015958</t>
  </si>
  <si>
    <t>OPT-NIFTY-11-Nov-2025-25650-P-E-I</t>
  </si>
  <si>
    <t>#202511103700012959</t>
  </si>
  <si>
    <t>#202511103700012854</t>
  </si>
  <si>
    <t>OPT-NIFTY-18-Nov-2025-25850-P-E-I</t>
  </si>
  <si>
    <t>#202511123700013669</t>
  </si>
  <si>
    <t>OPT-NIFTY-18-Nov-2025-25950-C-E-I</t>
  </si>
  <si>
    <t>#202511123700009214</t>
  </si>
  <si>
    <t>#202511123700007622</t>
  </si>
  <si>
    <t>#202511132600000650</t>
  </si>
  <si>
    <t>OPT-NIFTY-18-Nov-2025-25750-P-E-I</t>
  </si>
  <si>
    <t>#202511143700019554</t>
  </si>
  <si>
    <t>#202511143700018575</t>
  </si>
  <si>
    <t>#202511143700018296</t>
  </si>
  <si>
    <t>OPT-NIFTY-18-Nov-2025-26000-P-E-I</t>
  </si>
  <si>
    <t>#202511173700005651</t>
  </si>
  <si>
    <t>#202511173700004824</t>
  </si>
  <si>
    <t>#202511183700027198</t>
  </si>
  <si>
    <t>#202511183700026903</t>
  </si>
  <si>
    <t>#202511183700022527</t>
  </si>
  <si>
    <t>#202511183700022281</t>
  </si>
  <si>
    <t>#202511183700019883</t>
  </si>
  <si>
    <t>#202511183700019807</t>
  </si>
  <si>
    <t>OPT-NIFTY-18-Nov-2025-26000-C-E-I</t>
  </si>
  <si>
    <t>#202511183700018572</t>
  </si>
  <si>
    <t>#202511183700004571</t>
  </si>
  <si>
    <t>#202511183700004021</t>
  </si>
  <si>
    <t>#202511183700003404</t>
  </si>
  <si>
    <t>OPT-NIFTY-25-Nov-2025-26100-P-E-I</t>
  </si>
  <si>
    <t>#202511203700008974</t>
  </si>
  <si>
    <t>#202511213700007438</t>
  </si>
  <si>
    <t>#202511243700017022</t>
  </si>
  <si>
    <t>#202511243700016998</t>
  </si>
  <si>
    <t>OPT-NIFTY-25-Nov-2025-25950-P-E-I</t>
  </si>
  <si>
    <t>#202511253700029325</t>
  </si>
  <si>
    <t>#202511253700025830</t>
  </si>
  <si>
    <t>OPT-NIFTY-02-Dec-2025-26250-P-E-I</t>
  </si>
  <si>
    <t>#202511273700012267</t>
  </si>
  <si>
    <t>OPT-NIFTY-02-Dec-2025-26100-P-E-I</t>
  </si>
  <si>
    <t>#202511283700015905</t>
  </si>
  <si>
    <t>#202511283700015879</t>
  </si>
  <si>
    <t>OPT-NIFTY-02-Dec-2025-26200-C-E-I</t>
  </si>
  <si>
    <t>#202511283700015412</t>
  </si>
  <si>
    <t>#202511283700015346</t>
  </si>
  <si>
    <t>#202512013700021299</t>
  </si>
  <si>
    <t>#202512013700011531</t>
  </si>
  <si>
    <t>#202512013700004091</t>
  </si>
  <si>
    <t>#202512013700002407</t>
  </si>
  <si>
    <t>#202512013700001235</t>
  </si>
  <si>
    <t>OPT-NIFTY-02-Dec-2025-26050-P-E-I</t>
  </si>
  <si>
    <t>#202512023700025744</t>
  </si>
  <si>
    <t>#202512023700015551</t>
  </si>
  <si>
    <t>#202512023700015171</t>
  </si>
  <si>
    <t>OPT-NIFTY-09-Dec-2025-26000-P-E-I</t>
  </si>
  <si>
    <t>#202512033700016479</t>
  </si>
  <si>
    <t>OPT-NIFTY-09-Dec-2025-25950-C-E-I</t>
  </si>
  <si>
    <t>#202512033700010578</t>
  </si>
  <si>
    <t>#202512033700010533</t>
  </si>
  <si>
    <t>#202512043700010558</t>
  </si>
  <si>
    <t>OPT-NIFTY-09-Dec-2025-26100-P-E-I</t>
  </si>
  <si>
    <t>#202512053700013831</t>
  </si>
  <si>
    <t>#202512083700013987</t>
  </si>
  <si>
    <t>OPT-NIFTY-16-Dec-2025-25800-P-E-I</t>
  </si>
  <si>
    <t>#202512113700024410</t>
  </si>
  <si>
    <t>#202512113700015729</t>
  </si>
  <si>
    <t>#202512123700036144</t>
  </si>
  <si>
    <t>#202512123700020712</t>
  </si>
  <si>
    <t>#202512123700018183</t>
  </si>
  <si>
    <t>#202512123700016184</t>
  </si>
  <si>
    <t>#202512123700010037</t>
  </si>
  <si>
    <t>#202512122600001017</t>
  </si>
  <si>
    <t>OPT-NIFTY-20-Jan-2026-26050-C-E-I</t>
  </si>
  <si>
    <t>#202601133100025909</t>
  </si>
  <si>
    <t>#202601193100004090</t>
  </si>
  <si>
    <t>OPT-NIFTY-27-Jan-2026-25000-C-E-I</t>
  </si>
  <si>
    <t>#202601272700053910</t>
  </si>
  <si>
    <t>#202601272700049123</t>
  </si>
  <si>
    <t>#202601272700048910</t>
  </si>
  <si>
    <t>OPT-NIFTY-27-Jan-2026-24950-C-E-I</t>
  </si>
  <si>
    <t>#202601272700010103</t>
  </si>
  <si>
    <t>#202601272700009601</t>
  </si>
  <si>
    <t>#202601272700006358</t>
  </si>
  <si>
    <t>#202601272700005475</t>
  </si>
  <si>
    <t>OPT-NIFTY-03-Feb-2026-25300-P-E-I</t>
  </si>
  <si>
    <t>#202601282700019192</t>
  </si>
  <si>
    <t>#202601282700019168</t>
  </si>
  <si>
    <t>OPT-NIFTY-03-Feb-2026-25400-C-E-I</t>
  </si>
  <si>
    <t>#202601282700019090</t>
  </si>
  <si>
    <t>#202601282700018753</t>
  </si>
  <si>
    <t>#202601282700017879</t>
  </si>
  <si>
    <t>#202601282700004408</t>
  </si>
  <si>
    <t>#202601282700004257</t>
  </si>
  <si>
    <t>OPT-NIFTY-03-Feb-2026-25400-P-E-I</t>
  </si>
  <si>
    <t>#202601292700028824</t>
  </si>
  <si>
    <t>#202601292700028229</t>
  </si>
  <si>
    <t>OPT-NIFTY-03-Feb-2026-25300-C-E-I</t>
  </si>
  <si>
    <t>#202601292700012571</t>
  </si>
  <si>
    <t>#202601292700003148</t>
  </si>
  <si>
    <t>OPT-NIFTY-03-Feb-2026-25250-C-E-I</t>
  </si>
  <si>
    <t>#202601302700035394</t>
  </si>
  <si>
    <t>#202601302700035163</t>
  </si>
  <si>
    <t>#202601302700033361</t>
  </si>
  <si>
    <t>#202601302700032962</t>
  </si>
  <si>
    <t>#202601302700020593</t>
  </si>
  <si>
    <t>#202601302700020353</t>
  </si>
  <si>
    <t>#202601302700005687</t>
  </si>
  <si>
    <t>#202601302700002911</t>
  </si>
  <si>
    <t>OPT-NIFTY-03-Feb-2026-25000-C-E-I</t>
  </si>
  <si>
    <t>#202602012700051991</t>
  </si>
  <si>
    <t>#202602012700051727</t>
  </si>
  <si>
    <t>#202602012700037006</t>
  </si>
  <si>
    <t>#202602012700036696</t>
  </si>
  <si>
    <t>OPT-NIFTY-03-Feb-2026-25350-P-E-I</t>
  </si>
  <si>
    <t>#202602012700007743</t>
  </si>
  <si>
    <t>#202602012700006537</t>
  </si>
  <si>
    <t>#202602012700003044</t>
  </si>
  <si>
    <t>#202602012700001323</t>
  </si>
  <si>
    <t>OPT-NIFTY-03-Feb-2026-25000-P-E-I</t>
  </si>
  <si>
    <t>#202602022700015491</t>
  </si>
  <si>
    <t>#202602022700015225</t>
  </si>
  <si>
    <t>OPT-NIFTY-03-Feb-2026-24750-C-E-I</t>
  </si>
  <si>
    <t>#202602022700010801</t>
  </si>
  <si>
    <t>#202602022700010309</t>
  </si>
  <si>
    <t>#202602022700008155</t>
  </si>
  <si>
    <t>#202602022700007860</t>
  </si>
  <si>
    <t>OPT-NIFTY-03-Feb-2026-24900-P-E-I</t>
  </si>
  <si>
    <t>#202602022700004481</t>
  </si>
  <si>
    <t>#202602022700003161</t>
  </si>
  <si>
    <t>OPT-NIFTY-03-Feb-2026-25850-P-E-I</t>
  </si>
  <si>
    <t>#202602032700041857</t>
  </si>
  <si>
    <t>#202602032700024018</t>
  </si>
  <si>
    <t>#202602032700017343</t>
  </si>
  <si>
    <t>#202602032700004937</t>
  </si>
  <si>
    <t>OPT-NIFTY-10-Feb-2026-25700-C-E-I</t>
  </si>
  <si>
    <t>#202602042700014241</t>
  </si>
  <si>
    <t>#202602042700014076</t>
  </si>
  <si>
    <t>OPT-NIFTY-10-Feb-2026-25750-C-E-I</t>
  </si>
  <si>
    <t>#202602042700011441</t>
  </si>
  <si>
    <t>#202602042700011393</t>
  </si>
  <si>
    <t>OPT-NIFTY-10-Feb-2026-25800-P-E-I</t>
  </si>
  <si>
    <t>#202602042700004029</t>
  </si>
  <si>
    <t>#202602042700003717</t>
  </si>
  <si>
    <t>#202602042700003071</t>
  </si>
  <si>
    <t>OPT-NIFTY-10-Feb-2026-25750-P-E-I</t>
  </si>
  <si>
    <t>#202602052700013840</t>
  </si>
  <si>
    <t>#202602052700013503</t>
  </si>
  <si>
    <t>#202602052700006177</t>
  </si>
  <si>
    <t>OPT-NIFTY-10-Feb-2026-25650-C-E-I</t>
  </si>
  <si>
    <t>#202602052700004901</t>
  </si>
  <si>
    <t>#202602052700004045</t>
  </si>
  <si>
    <t>#202602052700002983</t>
  </si>
  <si>
    <t>#202602052700002573</t>
  </si>
  <si>
    <t>#202602052600001220</t>
  </si>
  <si>
    <t>OPT-ICIBAN-24-Feb-2026-1380-P-E-S</t>
  </si>
  <si>
    <t>#202602112700002859</t>
  </si>
  <si>
    <t>#202602122700002139</t>
  </si>
  <si>
    <t>#202602162700016857</t>
  </si>
  <si>
    <t>OPT-NIFTY-17-Feb-2026-25750-P-E-I</t>
  </si>
  <si>
    <t>#202602172700023141</t>
  </si>
  <si>
    <t>#202602172700022984</t>
  </si>
  <si>
    <t>OPT-NIFTY-17-Feb-2026-25550-C-E-I</t>
  </si>
  <si>
    <t>#202602172700010664</t>
  </si>
  <si>
    <t>#202602172700009894</t>
  </si>
  <si>
    <t>#202602172700002346</t>
  </si>
  <si>
    <t>#202602172700002118</t>
  </si>
  <si>
    <t>OPT-NIFTY-24-Feb-2026-25700-P-E-I</t>
  </si>
  <si>
    <t>#202602182700010968</t>
  </si>
  <si>
    <t>#202602182700010073</t>
  </si>
  <si>
    <t>OPT-NIFTY-24-Feb-2026-25750-C-E-I</t>
  </si>
  <si>
    <t>#202602182700007909</t>
  </si>
  <si>
    <t>#202602182700007719</t>
  </si>
  <si>
    <t>#202602182700007680</t>
  </si>
  <si>
    <t>#202602182700007358</t>
  </si>
  <si>
    <t>#202602182700007305</t>
  </si>
  <si>
    <t>#202602182700003253</t>
  </si>
  <si>
    <t>#202602182700003132</t>
  </si>
  <si>
    <t>#202602182700001708</t>
  </si>
  <si>
    <t>#202602182700001612</t>
  </si>
  <si>
    <t>OPT-NIFTY-24-Feb-2026-25550-C-E-I</t>
  </si>
  <si>
    <t>#202602192700014494</t>
  </si>
  <si>
    <t>OPT-NIFTY-24-Feb-2026-25650-P-E-I</t>
  </si>
  <si>
    <t>#202602192700013154</t>
  </si>
  <si>
    <t>#202602192700013017</t>
  </si>
  <si>
    <t>OPT-NIFTY-24-Feb-2026-25800-C-E-I</t>
  </si>
  <si>
    <t>#202602192700005810</t>
  </si>
  <si>
    <t>#202602192700005627</t>
  </si>
  <si>
    <t>#202602192700004036</t>
  </si>
  <si>
    <t>#202602192700003666</t>
  </si>
  <si>
    <t>#202602192700003595</t>
  </si>
  <si>
    <t>#202602192700003138</t>
  </si>
  <si>
    <t>#202602192700002784</t>
  </si>
  <si>
    <t>#202602202700016569</t>
  </si>
  <si>
    <t>#202602202700016126</t>
  </si>
  <si>
    <t>OPT-NIFTY-24-Feb-2026-25350-P-E-I</t>
  </si>
  <si>
    <t>#202602202700013548</t>
  </si>
  <si>
    <t>#202602202700013058</t>
  </si>
  <si>
    <t>#202602202700012918</t>
  </si>
  <si>
    <t>#202602202700011860</t>
  </si>
  <si>
    <t>#202602202700011207</t>
  </si>
  <si>
    <t>#202602202700010965</t>
  </si>
  <si>
    <t>#202602202700009377</t>
  </si>
  <si>
    <t>#202602202700009082</t>
  </si>
  <si>
    <t>#202602202700008269</t>
  </si>
  <si>
    <t>#202602202700006057</t>
  </si>
  <si>
    <t>#202602202700003969</t>
  </si>
  <si>
    <t>#202602202700001862</t>
  </si>
  <si>
    <t>#202602232700009465</t>
  </si>
  <si>
    <t>#202602232700009126</t>
  </si>
  <si>
    <t>#202602232700009115</t>
  </si>
  <si>
    <t>#202602232700007889</t>
  </si>
  <si>
    <t>#202602232700007866</t>
  </si>
  <si>
    <t>#202602232700007831</t>
  </si>
  <si>
    <t>#202602232700007682</t>
  </si>
  <si>
    <t>OPT-NIFTY-24-Feb-2026-25650-C-E-I</t>
  </si>
  <si>
    <t>#202602232700007353</t>
  </si>
  <si>
    <t>#202602232700006977</t>
  </si>
  <si>
    <t>#202602232700002462</t>
  </si>
  <si>
    <t>#202602232700001679</t>
  </si>
  <si>
    <t>#202602232700001112</t>
  </si>
  <si>
    <t>202508</t>
  </si>
  <si>
    <t>Nov-25</t>
  </si>
  <si>
    <t>202509</t>
  </si>
  <si>
    <t>Dec-25</t>
  </si>
  <si>
    <t>202510</t>
  </si>
  <si>
    <t>Jan-26</t>
  </si>
  <si>
    <t>202511</t>
  </si>
  <si>
    <t>Feb-26</t>
  </si>
  <si>
    <t>Amount1</t>
  </si>
  <si>
    <t>Amount2</t>
  </si>
  <si>
    <t>(blank)</t>
  </si>
  <si>
    <t>&lt;09-01-2024</t>
  </si>
  <si>
    <t>2024</t>
  </si>
  <si>
    <t>2025</t>
  </si>
  <si>
    <t>2026</t>
  </si>
  <si>
    <t>Qtr1</t>
  </si>
  <si>
    <t>Qtr2</t>
  </si>
  <si>
    <t>Qtr3</t>
  </si>
  <si>
    <t>Qtr4</t>
  </si>
  <si>
    <t>Jan</t>
  </si>
  <si>
    <t>Feb</t>
  </si>
  <si>
    <t>Mar</t>
  </si>
  <si>
    <t>Years (Trade Date)</t>
  </si>
  <si>
    <t>Quarters (Trade Date)</t>
  </si>
  <si>
    <t>Months (Trade Date)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</si>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</sst>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15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wrapText="1"/>
    </xf>
    <xf numFmtId="2" fontId="0" fillId="0" borderId="1" xfId="0" applyNumberFormat="1" applyBorder="1"/>
    <xf numFmtId="0" fontId="2" fillId="2" borderId="1" xfId="0" applyFont="1" applyFill="1" applyBorder="1"/>
    <xf numFmtId="0" fontId="0" fillId="3" borderId="1" xfId="0" applyFill="1" applyBorder="1"/>
    <xf numFmtId="2" fontId="2" fillId="4" borderId="1" xfId="0" applyNumberFormat="1" applyFont="1" applyFill="1" applyBorder="1"/>
    <xf numFmtId="0" fontId="2" fillId="4" borderId="1" xfId="0" applyFont="1" applyFill="1" applyBorder="1"/>
    <xf numFmtId="1" fontId="0" fillId="0" borderId="0" xfId="0" applyNumberFormat="1"/>
    <xf numFmtId="9" fontId="0" fillId="0" borderId="0" xfId="1" applyFont="1"/>
    <xf numFmtId="0" fontId="0" fillId="0" borderId="2" xfId="0" applyBorder="1"/>
    <xf numFmtId="0" fontId="2" fillId="0" borderId="1" xfId="0" applyFont="1" applyBorder="1"/>
    <xf numFmtId="14" fontId="0" fillId="0" borderId="0" xfId="0" applyNumberFormat="1"/>
    <xf numFmtId="43" fontId="0" fillId="0" borderId="0" xfId="2" applyFo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[Options.xlsx]Pivot!PivotTable2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  <a:scene3d>
              <a:camera prst="orthographicFront"/>
              <a:lightRig rig="threePt" dir="t"/>
            </a:scene3d>
            <a:sp3d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Pivot!$H$5:$I$30</c:f>
              <c:multiLvlStrCache>
                <c:ptCount val="25"/>
                <c:lvl>
                  <c:pt idx="0">
                    <c:v>Jan-24</c:v>
                  </c:pt>
                  <c:pt idx="1">
                    <c:v>Feb-24</c:v>
                  </c:pt>
                  <c:pt idx="2">
                    <c:v>Mar-24</c:v>
                  </c:pt>
                  <c:pt idx="3">
                    <c:v>Apr-24</c:v>
                  </c:pt>
                  <c:pt idx="4">
                    <c:v>May-24</c:v>
                  </c:pt>
                  <c:pt idx="5">
                    <c:v>Jun-24</c:v>
                  </c:pt>
                  <c:pt idx="6">
                    <c:v>Jul-24</c:v>
                  </c:pt>
                  <c:pt idx="7">
                    <c:v>Aug-24</c:v>
                  </c:pt>
                  <c:pt idx="8">
                    <c:v>Sep-24</c:v>
                  </c:pt>
                  <c:pt idx="9">
                    <c:v>Oct-24</c:v>
                  </c:pt>
                  <c:pt idx="10">
                    <c:v>Nov-24</c:v>
                  </c:pt>
                  <c:pt idx="11">
                    <c:v>Dec-24</c:v>
                  </c:pt>
                  <c:pt idx="12">
                    <c:v>Jan-25</c:v>
                  </c:pt>
                  <c:pt idx="13">
                    <c:v>Feb-25</c:v>
                  </c:pt>
                  <c:pt idx="14">
                    <c:v>Mar-25</c:v>
                  </c:pt>
                  <c:pt idx="15">
                    <c:v>Apr-25</c:v>
                  </c:pt>
                  <c:pt idx="16">
                    <c:v>May-25</c:v>
                  </c:pt>
                  <c:pt idx="17">
                    <c:v>Jun-25</c:v>
                  </c:pt>
                  <c:pt idx="18">
                    <c:v>Jul-25</c:v>
                  </c:pt>
                  <c:pt idx="19">
                    <c:v>Aug-25</c:v>
                  </c:pt>
                  <c:pt idx="20">
                    <c:v>Sep-25</c:v>
                  </c:pt>
                  <c:pt idx="21">
                    <c:v>Nov-25</c:v>
                  </c:pt>
                  <c:pt idx="22">
                    <c:v>Dec-25</c:v>
                  </c:pt>
                  <c:pt idx="23">
                    <c:v>Jan-26</c:v>
                  </c:pt>
                  <c:pt idx="24">
                    <c:v>Feb-26</c:v>
                  </c:pt>
                </c:lvl>
                <c:lvl>
                  <c:pt idx="0">
                    <c:v>202310</c:v>
                  </c:pt>
                  <c:pt idx="1">
                    <c:v>202311</c:v>
                  </c:pt>
                  <c:pt idx="2">
                    <c:v>202312</c:v>
                  </c:pt>
                  <c:pt idx="3">
                    <c:v>202401</c:v>
                  </c:pt>
                  <c:pt idx="4">
                    <c:v>202402</c:v>
                  </c:pt>
                  <c:pt idx="5">
                    <c:v>202403</c:v>
                  </c:pt>
                  <c:pt idx="6">
                    <c:v>202404</c:v>
                  </c:pt>
                  <c:pt idx="7">
                    <c:v>202405</c:v>
                  </c:pt>
                  <c:pt idx="8">
                    <c:v>202406</c:v>
                  </c:pt>
                  <c:pt idx="9">
                    <c:v>202407</c:v>
                  </c:pt>
                  <c:pt idx="10">
                    <c:v>202408</c:v>
                  </c:pt>
                  <c:pt idx="11">
                    <c:v>202409</c:v>
                  </c:pt>
                  <c:pt idx="12">
                    <c:v>202410</c:v>
                  </c:pt>
                  <c:pt idx="13">
                    <c:v>202411</c:v>
                  </c:pt>
                  <c:pt idx="14">
                    <c:v>202412</c:v>
                  </c:pt>
                  <c:pt idx="15">
                    <c:v>202501</c:v>
                  </c:pt>
                  <c:pt idx="16">
                    <c:v>202502</c:v>
                  </c:pt>
                  <c:pt idx="17">
                    <c:v>202503</c:v>
                  </c:pt>
                  <c:pt idx="18">
                    <c:v>202504</c:v>
                  </c:pt>
                  <c:pt idx="19">
                    <c:v>202505</c:v>
                  </c:pt>
                  <c:pt idx="20">
                    <c:v>202506</c:v>
                  </c:pt>
                  <c:pt idx="21">
                    <c:v>202508</c:v>
                  </c:pt>
                  <c:pt idx="22">
                    <c:v>202509</c:v>
                  </c:pt>
                  <c:pt idx="23">
                    <c:v>202510</c:v>
                  </c:pt>
                  <c:pt idx="24">
                    <c:v>202511</c:v>
                  </c:pt>
                </c:lvl>
              </c:multiLvlStrCache>
            </c:multiLvlStrRef>
          </c:cat>
          <c:val>
            <c:numRef>
              <c:f>Pivot!$J$5:$J$30</c:f>
              <c:numCache>
                <c:formatCode>General</c:formatCode>
                <c:ptCount val="25"/>
                <c:pt idx="0">
                  <c:v>-22303.440000000035</c:v>
                </c:pt>
                <c:pt idx="1">
                  <c:v>-235313.75999999989</c:v>
                </c:pt>
                <c:pt idx="2">
                  <c:v>-99651.709999999977</c:v>
                </c:pt>
                <c:pt idx="3">
                  <c:v>-500.21999999998116</c:v>
                </c:pt>
                <c:pt idx="4">
                  <c:v>-66462.3</c:v>
                </c:pt>
                <c:pt idx="5">
                  <c:v>-17278.990000000005</c:v>
                </c:pt>
                <c:pt idx="6">
                  <c:v>-41935.320000000022</c:v>
                </c:pt>
                <c:pt idx="7">
                  <c:v>-36040.080000000002</c:v>
                </c:pt>
                <c:pt idx="8">
                  <c:v>-35371.870000000003</c:v>
                </c:pt>
                <c:pt idx="9">
                  <c:v>-36574.729999999996</c:v>
                </c:pt>
                <c:pt idx="10">
                  <c:v>-59892.670000000013</c:v>
                </c:pt>
                <c:pt idx="11">
                  <c:v>-115873.07</c:v>
                </c:pt>
                <c:pt idx="12">
                  <c:v>7298.4800000000105</c:v>
                </c:pt>
                <c:pt idx="13">
                  <c:v>-69862.77</c:v>
                </c:pt>
                <c:pt idx="14">
                  <c:v>7431.0199999999941</c:v>
                </c:pt>
                <c:pt idx="15">
                  <c:v>-43395.76999999999</c:v>
                </c:pt>
                <c:pt idx="16">
                  <c:v>-27869.319999999992</c:v>
                </c:pt>
                <c:pt idx="17">
                  <c:v>-2689.58</c:v>
                </c:pt>
                <c:pt idx="18">
                  <c:v>-3903.7299999999959</c:v>
                </c:pt>
                <c:pt idx="19">
                  <c:v>-10378.919999999998</c:v>
                </c:pt>
                <c:pt idx="20">
                  <c:v>-54710.090000000011</c:v>
                </c:pt>
                <c:pt idx="21">
                  <c:v>-44369.389999999992</c:v>
                </c:pt>
                <c:pt idx="22">
                  <c:v>36460.43</c:v>
                </c:pt>
                <c:pt idx="23">
                  <c:v>177.12999999999738</c:v>
                </c:pt>
                <c:pt idx="24">
                  <c:v>-7289.4600000000028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A5-4243-9CDB-B06E8F90C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001791"/>
        <c:axId val="568002751"/>
      </c:lineChart>
      <c:catAx>
        <c:axId val="5680017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2751"/>
        <c:crosses val="max"/>
        <c:auto val="1"/>
        <c:lblAlgn val="ctr"/>
        <c:lblOffset val="100"/>
        <c:noMultiLvlLbl val="0"/>
      </c:catAx>
      <c:valAx>
        <c:axId val="56800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21999383720937E-2"/>
          <c:y val="0.37380674881659132"/>
          <c:w val="0.85111432925970287"/>
          <c:h val="0.4568620677180022"/>
        </c:manualLayout>
      </c:layout>
      <c:lineChart>
        <c:grouping val="standard"/>
        <c:varyColors val="0"/>
        <c:ser>
          <c:idx val="0"/>
          <c:order val="0"/>
          <c:tx>
            <c:strRef>
              <c:f>'OI Trend'!$D$1</c:f>
              <c:strCache>
                <c:ptCount val="1"/>
                <c:pt idx="0">
                  <c:v>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'OI Trend'!$D$2:$D$15</c:f>
              <c:numCache>
                <c:formatCode>General</c:formatCode>
                <c:ptCount val="14"/>
                <c:pt idx="0">
                  <c:v>36</c:v>
                </c:pt>
                <c:pt idx="1">
                  <c:v>52</c:v>
                </c:pt>
                <c:pt idx="2">
                  <c:v>30</c:v>
                </c:pt>
                <c:pt idx="3">
                  <c:v>69</c:v>
                </c:pt>
                <c:pt idx="4">
                  <c:v>69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9-464F-9B3D-0AFF09D5F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853647"/>
        <c:axId val="1167855087"/>
      </c:lineChart>
      <c:catAx>
        <c:axId val="1167853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55087"/>
        <c:crosses val="autoZero"/>
        <c:auto val="1"/>
        <c:lblAlgn val="ctr"/>
        <c:lblOffset val="100"/>
        <c:noMultiLvlLbl val="0"/>
      </c:catAx>
      <c:valAx>
        <c:axId val="11678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5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33</xdr:row>
      <xdr:rowOff>90487</xdr:rowOff>
    </xdr:from>
    <xdr:to>
      <xdr:col>11</xdr:col>
      <xdr:colOff>1019175</xdr:colOff>
      <xdr:row>47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D6B41E-A418-21AC-91AD-B928146A2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5</xdr:col>
      <xdr:colOff>209549</xdr:colOff>
      <xdr:row>25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254A4F-3C05-4A2A-85C9-23FCDBA4A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077.60072858796" createdVersion="8" refreshedVersion="8" minRefreshableVersion="3" recordCount="1406" xr:uid="{7C89A441-7761-415E-BD9B-2E2506AF6BE7}">
  <cacheSource type="worksheet">
    <worksheetSource ref="A1:X1048576" sheet="Details"/>
  </cacheSource>
  <cacheFields count="24">
    <cacheField name="Trade Date" numFmtId="0">
      <sharedItems containsNonDate="0" containsDate="1" containsString="0" containsBlank="1" minDate="2024-01-09T00:00:00" maxDate="2026-02-24T00:00:00"/>
    </cacheField>
    <cacheField name="Contract Descriptor" numFmtId="0">
      <sharedItems containsBlank="1"/>
    </cacheField>
    <cacheField name="Exch" numFmtId="0">
      <sharedItems containsBlank="1"/>
    </cacheField>
    <cacheField name="Action" numFmtId="0">
      <sharedItems containsBlank="1" count="4">
        <s v="Sell"/>
        <s v="Buy"/>
        <s v="Buy Closeout"/>
        <m/>
      </sharedItems>
    </cacheField>
    <cacheField name="Qty" numFmtId="0">
      <sharedItems containsString="0" containsBlank="1" containsNumber="1" containsInteger="1" minValue="15" maxValue="5010"/>
    </cacheField>
    <cacheField name="LTP" numFmtId="0">
      <sharedItems containsString="0" containsBlank="1" containsNumber="1" containsInteger="1" minValue="0" maxValue="0"/>
    </cacheField>
    <cacheField name="Price" numFmtId="0">
      <sharedItems containsString="0" containsBlank="1" containsNumber="1" minValue="0" maxValue="710.25"/>
    </cacheField>
    <cacheField name="Value" numFmtId="0">
      <sharedItems containsBlank="1" containsMixedTypes="1" containsNumber="1" minValue="50.25" maxValue="152100"/>
    </cacheField>
    <cacheField name="Order Ref." numFmtId="0">
      <sharedItems containsBlank="1" containsMixedTypes="1" containsNumber="1" containsInteger="1" minValue="0" maxValue="0"/>
    </cacheField>
    <cacheField name="Securities Transaction Tax-STT" numFmtId="0">
      <sharedItems containsString="0" containsBlank="1" containsNumber="1" minValue="0" maxValue="103.01"/>
    </cacheField>
    <cacheField name="Transaction Charges" numFmtId="0">
      <sharedItems containsString="0" containsBlank="1" containsNumber="1" minValue="0" maxValue="76.8"/>
    </cacheField>
    <cacheField name="Stamp Duty" numFmtId="0">
      <sharedItems containsString="0" containsBlank="1" containsNumber="1" minValue="0" maxValue="5.17"/>
    </cacheField>
    <cacheField name="SEBI Turnover Charges" numFmtId="0">
      <sharedItems containsString="0" containsBlank="1" containsNumber="1" minValue="0" maxValue="0.15"/>
    </cacheField>
    <cacheField name="Brokerage" numFmtId="0">
      <sharedItems containsString="0" containsBlank="1" containsNumber="1" containsInteger="1" minValue="0" maxValue="1200"/>
    </cacheField>
    <cacheField name="Service Tax On Brokerage" numFmtId="0">
      <sharedItems containsString="0" containsBlank="1" containsNumber="1" minValue="0" maxValue="229.86"/>
    </cacheField>
    <cacheField name="Total Charges" numFmtId="0">
      <sharedItems containsString="0" containsBlank="1" containsNumber="1" minValue="23.62" maxValue="1601.87"/>
    </cacheField>
    <cacheField name="CalYear" numFmtId="0">
      <sharedItems containsString="0" containsBlank="1" containsNumber="1" containsInteger="1" minValue="2024" maxValue="2026"/>
    </cacheField>
    <cacheField name="CalMonth" numFmtId="0">
      <sharedItems containsString="0" containsBlank="1" containsNumber="1" containsInteger="1" minValue="1" maxValue="12"/>
    </cacheField>
    <cacheField name="FinYear" numFmtId="0">
      <sharedItems containsString="0" containsBlank="1" containsNumber="1" containsInteger="1" minValue="2023" maxValue="2025"/>
    </cacheField>
    <cacheField name="FinMonth" numFmtId="0">
      <sharedItems containsString="0" containsBlank="1" containsNumber="1" containsInteger="1" minValue="1" maxValue="12"/>
    </cacheField>
    <cacheField name="FinMonth2" numFmtId="0">
      <sharedItems containsBlank="1" containsMixedTypes="1" containsNumber="1" containsInteger="1" minValue="10" maxValue="12"/>
    </cacheField>
    <cacheField name="FinPeriod" numFmtId="0">
      <sharedItems containsBlank="1" count="26">
        <s v="202310"/>
        <s v="202311"/>
        <s v="202312"/>
        <s v="202401"/>
        <s v="202402"/>
        <s v="202403"/>
        <s v="202404"/>
        <s v="202405"/>
        <s v="202406"/>
        <s v="202407"/>
        <s v="202408"/>
        <s v="202409"/>
        <s v="202410"/>
        <s v="202411"/>
        <s v="202412"/>
        <s v="202501"/>
        <s v="202502"/>
        <s v="202503"/>
        <s v="202504"/>
        <s v="202505"/>
        <s v="202506"/>
        <s v="202508"/>
        <s v="202509"/>
        <s v="202510"/>
        <s v="202511"/>
        <m/>
      </sharedItems>
    </cacheField>
    <cacheField name="MonthName" numFmtId="0">
      <sharedItems containsBlank="1" count="26">
        <s v="Jan-24"/>
        <s v="Feb-24"/>
        <s v="Mar-24"/>
        <s v="Apr-24"/>
        <s v="May-24"/>
        <s v="Jun-24"/>
        <s v="Jul-24"/>
        <s v="Aug-24"/>
        <s v="Sep-24"/>
        <s v="Oct-24"/>
        <s v="Nov-24"/>
        <s v="Dec-24"/>
        <s v="Jan-25"/>
        <s v="Feb-25"/>
        <s v="Mar-25"/>
        <s v="Apr-25"/>
        <s v="May-25"/>
        <s v="Jun-25"/>
        <s v="Jul-25"/>
        <s v="Aug-25"/>
        <s v="Sep-25"/>
        <s v="Nov-25"/>
        <s v="Dec-25"/>
        <s v="Jan-26"/>
        <s v="Feb-26"/>
        <m/>
      </sharedItems>
    </cacheField>
    <cacheField name="Amount" numFmtId="2">
      <sharedItems containsString="0" containsBlank="1" containsNumber="1" minValue="-149964.68" maxValue="150498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077.601031018516" createdVersion="8" refreshedVersion="8" minRefreshableVersion="3" recordCount="1406" xr:uid="{57DDACA2-59E7-47AA-A652-E49964792AF6}">
  <cacheSource type="worksheet">
    <worksheetSource ref="A1:Z1048576" sheet="Details"/>
  </cacheSource>
  <cacheFields count="29">
    <cacheField name="Trade Date" numFmtId="0">
      <sharedItems containsNonDate="0" containsDate="1" containsString="0" containsBlank="1" minDate="2024-01-09T00:00:00" maxDate="2026-02-24T00:00:00" count="231">
        <d v="2024-01-09T00:00:00"/>
        <d v="2024-01-10T00:00:00"/>
        <d v="2024-01-11T00:00:00"/>
        <d v="2024-01-17T00:00:00"/>
        <d v="2024-01-18T00:00:00"/>
        <d v="2024-01-19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7T00:00:00"/>
        <d v="2024-04-01T00:00:00"/>
        <d v="2024-04-02T00:00:00"/>
        <d v="2024-04-03T00:00:00"/>
        <d v="2024-04-04T00:00:00"/>
        <d v="2024-04-08T00:00:00"/>
        <d v="2024-04-09T00:00:00"/>
        <d v="2024-04-10T00:00:00"/>
        <d v="2024-04-12T00:00:00"/>
        <d v="2024-04-15T00:00:00"/>
        <d v="2024-04-16T00:00:00"/>
        <d v="2024-04-18T00:00:00"/>
        <d v="2024-04-19T00:00:00"/>
        <d v="2024-04-23T00:00:00"/>
        <d v="2024-04-24T00:00:00"/>
        <d v="2024-04-26T00:00:00"/>
        <d v="2024-04-30T00:00:00"/>
        <d v="2024-05-02T00:00:00"/>
        <d v="2024-05-06T00:00:00"/>
        <d v="2024-05-07T00:00:00"/>
        <d v="2024-05-08T00:00:00"/>
        <d v="2024-05-09T00:00:00"/>
        <d v="2024-05-15T00:00:00"/>
        <d v="2024-05-28T00:00:00"/>
        <d v="2024-05-29T00:00:00"/>
        <d v="2024-05-30T00:00:00"/>
        <d v="2024-06-04T00:00:00"/>
        <d v="2024-06-05T00:00:00"/>
        <d v="2024-06-06T00:00:00"/>
        <d v="2024-06-12T00:00:00"/>
        <d v="2024-06-13T00:00:00"/>
        <d v="2024-06-24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8T00:00:00"/>
        <d v="2024-07-19T00:00:00"/>
        <d v="2024-07-22T00:00:00"/>
        <d v="2024-07-23T00:00:00"/>
        <d v="2024-07-24T00:00:00"/>
        <d v="2024-08-07T00:00:00"/>
        <d v="2024-08-14T00:00:00"/>
        <d v="2024-09-20T00:00:00"/>
        <d v="2024-09-24T00:00:00"/>
        <d v="2024-09-25T00:00:00"/>
        <d v="2024-10-01T00:00:00"/>
        <d v="2024-11-05T00:00:00"/>
        <d v="2024-11-06T00:00:00"/>
        <d v="2024-11-19T00:00:00"/>
        <d v="2024-11-21T00:00:00"/>
        <d v="2024-11-26T00:00:00"/>
        <d v="2024-11-29T00:00:00"/>
        <d v="2024-12-02T00:00:00"/>
        <d v="2024-12-03T00:00:00"/>
        <d v="2024-12-04T00:00:00"/>
        <d v="2024-12-06T00:00:00"/>
        <d v="2024-12-09T00:00:00"/>
        <d v="2024-12-10T00:00:00"/>
        <d v="2024-12-11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1T00:00:00"/>
        <d v="2025-01-02T00:00:00"/>
        <d v="2025-01-07T00:00:00"/>
        <d v="2025-01-08T00:00:00"/>
        <d v="2025-01-15T00:00:00"/>
        <d v="2025-01-24T00:00:00"/>
        <d v="2025-01-28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11T00:00:00"/>
        <d v="2025-02-12T00:00:00"/>
        <d v="2025-02-13T00:00:00"/>
        <d v="2025-02-17T00:00:00"/>
        <d v="2025-02-18T00:00:00"/>
        <d v="2025-02-19T00:00:00"/>
        <d v="2025-02-20T00:00:00"/>
        <d v="2025-02-25T00:00:00"/>
        <d v="2025-02-27T00:00:00"/>
        <d v="2025-02-28T00:00:00"/>
        <d v="2025-03-03T00:00:00"/>
        <d v="2025-03-04T00:00:00"/>
        <d v="2025-03-06T00:00:00"/>
        <d v="2025-03-07T00:00:00"/>
        <d v="2025-03-11T00:00:00"/>
        <d v="2025-03-12T00:00:00"/>
        <d v="2025-03-17T00:00:00"/>
        <d v="2025-03-19T00:00:00"/>
        <d v="2025-03-20T00:00:00"/>
        <d v="2025-03-26T00:00:00"/>
        <d v="2025-03-27T00:00:00"/>
        <d v="2025-03-28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5T00:00:00"/>
        <d v="2025-05-02T00:00:00"/>
        <d v="2025-05-07T00:00:00"/>
        <d v="2025-05-08T00:00:00"/>
        <d v="2025-05-15T00:00:00"/>
        <d v="2025-05-21T00:00:00"/>
        <d v="2025-05-23T00:00:00"/>
        <d v="2025-05-29T00:00:00"/>
        <d v="2025-06-05T00:00:00"/>
        <d v="2025-07-04T00:00:00"/>
        <d v="2025-08-12T00:00:00"/>
        <d v="2025-08-21T00:00:00"/>
        <d v="2025-08-28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11-04T00:00:00"/>
        <d v="2025-11-10T00:00:00"/>
        <d v="2025-11-12T00:00:00"/>
        <d v="2025-11-13T00:00:00"/>
        <d v="2025-11-14T00:00:00"/>
        <d v="2025-11-17T00:00:00"/>
        <d v="2025-11-18T00:00:00"/>
        <d v="2025-11-20T00:00:00"/>
        <d v="2025-11-21T00:00:00"/>
        <d v="2025-11-24T00:00:00"/>
        <d v="2025-11-25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11T00:00:00"/>
        <d v="2025-12-12T00:00:00"/>
        <d v="2026-01-13T00:00:00"/>
        <d v="2026-01-19T00:00:00"/>
        <d v="2026-01-27T00:00:00"/>
        <d v="2026-01-28T00:00:00"/>
        <d v="2026-01-29T00:00:00"/>
        <d v="2026-01-30T00:00:00"/>
        <d v="2026-02-01T00:00:00"/>
        <d v="2026-02-02T00:00:00"/>
        <d v="2026-02-03T00:00:00"/>
        <d v="2026-02-04T00:00:00"/>
        <d v="2026-02-05T00:00:00"/>
        <d v="2026-02-11T00:00:00"/>
        <d v="2026-02-12T00:00:00"/>
        <d v="2026-02-16T00:00:00"/>
        <d v="2026-02-17T00:00:00"/>
        <d v="2026-02-18T00:00:00"/>
        <d v="2026-02-19T00:00:00"/>
        <d v="2026-02-20T00:00:00"/>
        <d v="2026-02-23T00:00:00"/>
        <m/>
      </sharedItems>
      <fieldGroup par="28"/>
    </cacheField>
    <cacheField name="Contract Descriptor" numFmtId="0">
      <sharedItems containsBlank="1"/>
    </cacheField>
    <cacheField name="Exch" numFmtId="0">
      <sharedItems containsBlank="1"/>
    </cacheField>
    <cacheField name="Action" numFmtId="0">
      <sharedItems containsBlank="1"/>
    </cacheField>
    <cacheField name="Qty" numFmtId="0">
      <sharedItems containsString="0" containsBlank="1" containsNumber="1" containsInteger="1" minValue="15" maxValue="5010"/>
    </cacheField>
    <cacheField name="LTP" numFmtId="0">
      <sharedItems containsString="0" containsBlank="1" containsNumber="1" containsInteger="1" minValue="0" maxValue="0"/>
    </cacheField>
    <cacheField name="Price" numFmtId="0">
      <sharedItems containsString="0" containsBlank="1" containsNumber="1" minValue="0" maxValue="710.25"/>
    </cacheField>
    <cacheField name="Value" numFmtId="0">
      <sharedItems containsBlank="1" containsMixedTypes="1" containsNumber="1" minValue="50.25" maxValue="152100"/>
    </cacheField>
    <cacheField name="Order Ref." numFmtId="0">
      <sharedItems containsBlank="1" containsMixedTypes="1" containsNumber="1" containsInteger="1" minValue="0" maxValue="0"/>
    </cacheField>
    <cacheField name="Securities Transaction Tax-STT" numFmtId="0">
      <sharedItems containsString="0" containsBlank="1" containsNumber="1" minValue="0" maxValue="103.01"/>
    </cacheField>
    <cacheField name="Transaction Charges" numFmtId="0">
      <sharedItems containsString="0" containsBlank="1" containsNumber="1" minValue="0" maxValue="76.8"/>
    </cacheField>
    <cacheField name="Stamp Duty" numFmtId="0">
      <sharedItems containsString="0" containsBlank="1" containsNumber="1" minValue="0" maxValue="5.17"/>
    </cacheField>
    <cacheField name="SEBI Turnover Charges" numFmtId="0">
      <sharedItems containsString="0" containsBlank="1" containsNumber="1" minValue="0" maxValue="0.15"/>
    </cacheField>
    <cacheField name="Brokerage" numFmtId="0">
      <sharedItems containsString="0" containsBlank="1" containsNumber="1" containsInteger="1" minValue="0" maxValue="1200"/>
    </cacheField>
    <cacheField name="Service Tax On Brokerage" numFmtId="0">
      <sharedItems containsString="0" containsBlank="1" containsNumber="1" minValue="0" maxValue="229.86"/>
    </cacheField>
    <cacheField name="Total Charges" numFmtId="0">
      <sharedItems containsString="0" containsBlank="1" containsNumber="1" minValue="23.62" maxValue="1601.87"/>
    </cacheField>
    <cacheField name="CalYear" numFmtId="0">
      <sharedItems containsString="0" containsBlank="1" containsNumber="1" containsInteger="1" minValue="2024" maxValue="2026"/>
    </cacheField>
    <cacheField name="CalMonth" numFmtId="0">
      <sharedItems containsString="0" containsBlank="1" containsNumber="1" containsInteger="1" minValue="1" maxValue="12"/>
    </cacheField>
    <cacheField name="FinYear" numFmtId="0">
      <sharedItems containsString="0" containsBlank="1" containsNumber="1" containsInteger="1" minValue="2023" maxValue="2025"/>
    </cacheField>
    <cacheField name="FinMonth" numFmtId="0">
      <sharedItems containsString="0" containsBlank="1" containsNumber="1" containsInteger="1" minValue="1" maxValue="12"/>
    </cacheField>
    <cacheField name="FinMonth2" numFmtId="0">
      <sharedItems containsBlank="1" containsMixedTypes="1" containsNumber="1" containsInteger="1" minValue="10" maxValue="12"/>
    </cacheField>
    <cacheField name="FinPeriod" numFmtId="0">
      <sharedItems containsBlank="1" count="26">
        <s v="202310"/>
        <s v="202311"/>
        <s v="202312"/>
        <s v="202401"/>
        <s v="202402"/>
        <s v="202403"/>
        <s v="202404"/>
        <s v="202405"/>
        <s v="202406"/>
        <s v="202407"/>
        <s v="202408"/>
        <s v="202409"/>
        <s v="202410"/>
        <s v="202411"/>
        <s v="202412"/>
        <s v="202501"/>
        <s v="202502"/>
        <s v="202503"/>
        <s v="202504"/>
        <s v="202505"/>
        <s v="202506"/>
        <s v="202508"/>
        <s v="202509"/>
        <s v="202510"/>
        <s v="202511"/>
        <m/>
      </sharedItems>
    </cacheField>
    <cacheField name="MonthName" numFmtId="0">
      <sharedItems containsBlank="1" count="26">
        <s v="Jan-24"/>
        <s v="Feb-24"/>
        <s v="Mar-24"/>
        <s v="Apr-24"/>
        <s v="May-24"/>
        <s v="Jun-24"/>
        <s v="Jul-24"/>
        <s v="Aug-24"/>
        <s v="Sep-24"/>
        <s v="Oct-24"/>
        <s v="Nov-24"/>
        <s v="Dec-24"/>
        <s v="Jan-25"/>
        <s v="Feb-25"/>
        <s v="Mar-25"/>
        <s v="Apr-25"/>
        <s v="May-25"/>
        <s v="Jun-25"/>
        <s v="Jul-25"/>
        <s v="Aug-25"/>
        <s v="Sep-25"/>
        <s v="Nov-25"/>
        <s v="Dec-25"/>
        <s v="Jan-26"/>
        <s v="Feb-26"/>
        <m/>
      </sharedItems>
    </cacheField>
    <cacheField name="Amount" numFmtId="2">
      <sharedItems containsString="0" containsBlank="1" containsNumber="1" minValue="-149964.68" maxValue="150498.13"/>
    </cacheField>
    <cacheField name="Amount1" numFmtId="0">
      <sharedItems containsBlank="1" containsMixedTypes="1" containsNumber="1" minValue="18.89" maxValue="150498.13" count="528">
        <n v="30748.400000000001"/>
        <s v=""/>
        <n v="20426.18"/>
        <n v="4170.8999999999996"/>
        <n v="8734.15"/>
        <n v="13101.380000000001"/>
        <n v="1402.17"/>
        <n v="2110.16"/>
        <n v="101.24"/>
        <n v="111.23"/>
        <n v="123.63"/>
        <n v="1756.73"/>
        <n v="143.69999999999999"/>
        <n v="13058.96"/>
        <n v="5719.38"/>
        <n v="150.01"/>
        <n v="824.48"/>
        <n v="208.11"/>
        <n v="5414.74"/>
        <n v="6003.83"/>
        <n v="1718.02"/>
        <n v="4270.1400000000003"/>
        <n v="5645.83"/>
        <n v="10892.13"/>
        <n v="4098.22"/>
        <n v="1545.85"/>
        <n v="5774.31"/>
        <n v="1611.91"/>
        <n v="3591.99"/>
        <n v="4391.01"/>
        <n v="8841.92"/>
        <n v="18.89"/>
        <n v="5856.7"/>
        <n v="1365.96"/>
        <n v="8024.04"/>
        <n v="1307.1400000000001"/>
        <n v="1314.76"/>
        <n v="1624.4"/>
        <n v="1402.67"/>
        <n v="1370.71"/>
        <n v="1356.72"/>
        <n v="103135.23"/>
        <n v="142157.98000000001"/>
        <n v="245.91"/>
        <n v="246.07"/>
        <n v="14596.25"/>
        <n v="25003.99"/>
        <n v="8435.7900000000009"/>
        <n v="4135.92"/>
        <n v="48784.03"/>
        <n v="25379.9"/>
        <n v="6984.26"/>
        <n v="34968.47"/>
        <n v="6219.4"/>
        <n v="1715.74"/>
        <n v="12202.33"/>
        <n v="21118.51"/>
        <n v="872.62"/>
        <n v="406.36"/>
        <n v="108.73"/>
        <n v="4386.01"/>
        <n v="9077.4699999999993"/>
        <n v="9064.9699999999993"/>
        <n v="14514.09"/>
        <n v="14264.4"/>
        <n v="12289.58"/>
        <n v="773.17"/>
        <n v="31343.62"/>
        <n v="20499.53"/>
        <n v="10979.63"/>
        <n v="437.81"/>
        <n v="28102.89"/>
        <n v="11748.85"/>
        <n v="29833.43"/>
        <n v="4241.3599999999997"/>
        <n v="4241.51"/>
        <n v="23197.99"/>
        <n v="3697.14"/>
        <n v="9225.69"/>
        <n v="3599.7"/>
        <n v="13467.91"/>
        <n v="2378.96"/>
        <n v="7968.69"/>
        <n v="11795.15"/>
        <n v="33503.370000000003"/>
        <n v="11030.61"/>
        <n v="2128.4699999999998"/>
        <n v="22142.25"/>
        <n v="6950.36"/>
        <n v="1135"/>
        <n v="33136.51"/>
        <n v="4033.45"/>
        <n v="30473.06"/>
        <n v="1220.92"/>
        <n v="3303.23"/>
        <n v="3303.2200000000003"/>
        <n v="2942.16"/>
        <n v="2988.62"/>
        <n v="2943.66"/>
        <n v="4831.45"/>
        <n v="15151"/>
        <n v="65013.69"/>
        <n v="10727.28"/>
        <n v="34133.56"/>
        <n v="9797.6200000000008"/>
        <n v="26293.91"/>
        <n v="21962.71"/>
        <n v="16385.439999999999"/>
        <n v="11423.9"/>
        <n v="22400.45"/>
        <n v="11575.09"/>
        <n v="11758.31"/>
        <n v="3757.01"/>
        <n v="38212.589999999997"/>
        <n v="41725.71"/>
        <n v="31036.71"/>
        <n v="49191.15"/>
        <n v="15005.99"/>
        <n v="25220.12"/>
        <n v="37689.32"/>
        <n v="21824.51"/>
        <n v="17195.939999999999"/>
        <n v="8423.4599999999991"/>
        <n v="25640.9"/>
        <n v="22990.79"/>
        <n v="23261.18"/>
        <n v="12568.82"/>
        <n v="34080.22"/>
        <n v="26136.94"/>
        <n v="12657.62"/>
        <n v="17632.68"/>
        <n v="8262.2199999999993"/>
        <n v="5421.14"/>
        <n v="3674.25"/>
        <n v="453.2"/>
        <n v="6242.47"/>
        <n v="6343.15"/>
        <n v="56252.31"/>
        <n v="2261.11"/>
        <n v="17143.12"/>
        <n v="1598.92"/>
        <n v="150498.13"/>
        <n v="25909.95"/>
        <n v="52050.64"/>
        <n v="50378.87"/>
        <n v="5237.96"/>
        <n v="595.32000000000005"/>
        <n v="19315.86"/>
        <n v="20153.669999999998"/>
        <n v="6369.33"/>
        <n v="1068.98"/>
        <n v="22707.77"/>
        <n v="11367.76"/>
        <n v="13493.33"/>
        <n v="2604.1999999999998"/>
        <n v="1284.31"/>
        <n v="39356.959999999999"/>
        <n v="46318.28"/>
        <n v="17248.59"/>
        <n v="30981.86"/>
        <n v="22290.48"/>
        <n v="10431.77"/>
        <n v="22080.45"/>
        <n v="2099.81"/>
        <n v="28176.560000000001"/>
        <n v="13706.7"/>
        <n v="24381.64"/>
        <n v="26561.89"/>
        <n v="2309.8000000000002"/>
        <n v="6399.71"/>
        <n v="3642.43"/>
        <n v="5147.3500000000004"/>
        <n v="88.8"/>
        <n v="88.75"/>
        <n v="103.74"/>
        <n v="500.92"/>
        <n v="4438.7"/>
        <n v="20731.02"/>
        <n v="3706.86"/>
        <n v="2224.9499999999998"/>
        <n v="383.77"/>
        <n v="561.61999999999989"/>
        <n v="20036.57"/>
        <n v="27704.74"/>
        <n v="18042.18"/>
        <n v="8142.9"/>
        <n v="11235.64"/>
        <n v="11606.35"/>
        <n v="48248.07"/>
        <n v="53641.94"/>
        <n v="32651.57"/>
        <n v="27814.26"/>
        <n v="34573.769999999997"/>
        <n v="4471.54"/>
        <n v="18737.45"/>
        <n v="16134.05"/>
        <n v="480.79"/>
        <n v="582.86"/>
        <n v="53086.27"/>
        <n v="26867.77"/>
        <n v="16454.349999999999"/>
        <n v="8665.82"/>
        <n v="19265.060000000001"/>
        <n v="11816.57"/>
        <n v="12974.95"/>
        <n v="13044.61"/>
        <n v="1301"/>
        <n v="19991.25"/>
        <n v="15566.09"/>
        <n v="23079.47"/>
        <n v="65407.38"/>
        <n v="29415.279999999999"/>
        <n v="12480.02"/>
        <n v="6492.68"/>
        <n v="19470.63"/>
        <n v="22532.04"/>
        <n v="26587.79"/>
        <n v="25819.4"/>
        <n v="13009.99"/>
        <n v="14633.9"/>
        <n v="22533.31"/>
        <n v="27016.9"/>
        <n v="18356.759999999998"/>
        <n v="5808.23"/>
        <n v="4107.79"/>
        <n v="14489.36"/>
        <n v="1397.37"/>
        <n v="6404.49"/>
        <n v="6449.3099999999995"/>
        <n v="2868.2200000000003"/>
        <n v="12291.880000000001"/>
        <n v="27518.05"/>
        <n v="22393.279999999999"/>
        <n v="2309.0100000000002"/>
        <n v="3077.7200000000003"/>
        <n v="3077.62"/>
        <n v="3077.58"/>
        <n v="4201"/>
        <n v="24676.59"/>
        <n v="2088.92"/>
        <n v="785.86999999999989"/>
        <n v="2561.6"/>
        <n v="5680.61"/>
        <n v="26.63"/>
        <n v="27053.279999999999"/>
        <n v="102006.84"/>
        <n v="81910.31"/>
        <n v="68017.960000000006"/>
        <n v="3572.25"/>
        <n v="5263.92"/>
        <n v="42799.85"/>
        <n v="24036.28"/>
        <n v="21400.06"/>
        <n v="40268.879999999997"/>
        <n v="38958.239999999998"/>
        <n v="37551.629999999997"/>
        <n v="34603.1"/>
        <n v="38521.39"/>
        <n v="40762.910000000003"/>
        <n v="22484.03"/>
        <n v="27714.67"/>
        <n v="34005.75"/>
        <n v="62965.9"/>
        <n v="88198.34"/>
        <n v="21201.69"/>
        <n v="35477.21"/>
        <n v="20991.99"/>
        <n v="7219.92"/>
        <n v="7591.53"/>
        <n v="2162.27"/>
        <n v="9983.65"/>
        <n v="7649.57"/>
        <n v="17177.810000000001"/>
        <n v="15193.62"/>
        <n v="7858.95"/>
        <n v="6975.08"/>
        <n v="9656.52"/>
        <n v="10405.33"/>
        <n v="38068.71"/>
        <n v="25879.79"/>
        <n v="17949.7"/>
        <n v="19251.27"/>
        <n v="11094.68"/>
        <n v="24515.42"/>
        <n v="1492.51"/>
        <n v="936.96"/>
        <n v="4414.29"/>
        <n v="429.94"/>
        <n v="3064.51"/>
        <n v="11413.85"/>
        <n v="22987.42"/>
        <n v="23736.37"/>
        <n v="77570.13"/>
        <n v="37024.78"/>
        <n v="31001.51"/>
        <n v="25409.57"/>
        <n v="25304.240000000002"/>
        <n v="5368.73"/>
        <n v="12689.09"/>
        <n v="34801.06"/>
        <n v="5755.49"/>
        <n v="13142.59"/>
        <n v="9239.6"/>
        <n v="17365.52"/>
        <n v="17927.22"/>
        <n v="9540.61"/>
        <n v="13839.08"/>
        <n v="5195.3599999999997"/>
        <n v="8989.82"/>
        <n v="9487.67"/>
        <n v="1074.0999999999999"/>
        <n v="22008.92"/>
        <n v="19425.09"/>
        <n v="13401.06"/>
        <n v="11884.46"/>
        <n v="22135.91"/>
        <n v="20286.36"/>
        <n v="13082.76"/>
        <n v="27194.18"/>
        <n v="19290.3"/>
        <n v="23806.36"/>
        <n v="26053.18"/>
        <n v="20473.47"/>
        <n v="20541.02"/>
        <n v="19312.759999999998"/>
        <n v="25969.64"/>
        <n v="24048.66"/>
        <n v="20150.439999999999"/>
        <n v="20772.900000000001"/>
        <n v="9291.57"/>
        <n v="11746.93"/>
        <n v="23098.77"/>
        <n v="3729.07"/>
        <n v="5077.26"/>
        <n v="17819.650000000001"/>
        <n v="40237.15"/>
        <n v="50566.12"/>
        <n v="37983.9"/>
        <n v="36486.03"/>
        <n v="47760.72"/>
        <n v="13015.97"/>
        <n v="15216.23"/>
        <n v="13378.17"/>
        <n v="18141.330000000002"/>
        <n v="12520.12"/>
        <n v="8909.74"/>
        <n v="8715.02"/>
        <n v="13457.33"/>
        <n v="11689.83"/>
        <n v="7882.02"/>
        <n v="8121.37"/>
        <n v="14723.04"/>
        <n v="5238.2700000000004"/>
        <n v="5620.24"/>
        <n v="21507.32"/>
        <n v="10993.86"/>
        <n v="30822.35"/>
        <n v="7586.2"/>
        <n v="7847.85"/>
        <n v="5676.13"/>
        <n v="7876.74"/>
        <n v="3654.02"/>
        <n v="7998.1"/>
        <n v="2512.79"/>
        <n v="6230.65"/>
        <n v="5810.69"/>
        <n v="2998.89"/>
        <n v="61042.55"/>
        <n v="20635.349999999999"/>
        <n v="32083.15"/>
        <n v="1595.32"/>
        <n v="42753.8"/>
        <n v="71447.61"/>
        <n v="25356.82"/>
        <n v="3294.8"/>
        <n v="3549.36"/>
        <n v="14167.77"/>
        <n v="7642.35"/>
        <n v="8387.5499999999993"/>
        <n v="9346.19"/>
        <n v="10244.91"/>
        <n v="9495.61"/>
        <n v="9930.35"/>
        <n v="23425.94"/>
        <n v="12421.2"/>
        <n v="10409.66"/>
        <n v="13443.49"/>
        <n v="19655.93"/>
        <n v="6459.04"/>
        <n v="10428.39"/>
        <n v="9795.5400000000009"/>
        <n v="7354.01"/>
        <n v="6713.67"/>
        <n v="17078.93"/>
        <n v="11184.82"/>
        <n v="12544.09"/>
        <n v="3319.06"/>
        <n v="5087.58"/>
        <n v="2074.0300000000002"/>
        <n v="6200.66"/>
        <n v="6031.74"/>
        <n v="2582.46"/>
        <n v="21770.5"/>
        <n v="10967.64"/>
        <n v="31259.49"/>
        <n v="32472.78"/>
        <n v="32203.14"/>
        <n v="15285.24"/>
        <n v="11892.58"/>
        <n v="33970.19"/>
        <n v="15427.01"/>
        <n v="13622.06"/>
        <n v="11622.35"/>
        <n v="2189.09"/>
        <n v="3263"/>
        <n v="11827.99"/>
        <n v="5510.09"/>
        <n v="14198.76"/>
        <n v="9814.26"/>
        <n v="11517.19"/>
        <n v="4312.84"/>
        <n v="77.63"/>
        <n v="680.25"/>
        <n v="56841.69"/>
        <n v="45832.72"/>
        <n v="26598.9"/>
        <n v="5007.5"/>
        <n v="1502.26"/>
        <n v="1736.44"/>
        <n v="20602.02"/>
        <n v="33090.75"/>
        <n v="29802.6"/>
        <n v="35328.25"/>
        <n v="28120.44"/>
        <n v="28202.799999999999"/>
        <n v="14547.03"/>
        <n v="56433.51"/>
        <n v="29577.61"/>
        <n v="20789.39"/>
        <n v="67172.31"/>
        <n v="17323.57"/>
        <n v="1609.7"/>
        <n v="3069.6"/>
        <n v="2919.81"/>
        <n v="33695.57"/>
        <n v="2689.95"/>
        <n v="4782.8"/>
        <n v="4258.57"/>
        <n v="4408.3500000000004"/>
        <n v="25835.13"/>
        <n v="39314.339999999997"/>
        <n v="19624.28"/>
        <n v="17756.21"/>
        <n v="17711.669999999998"/>
        <n v="35248.75"/>
        <n v="6320.5"/>
        <n v="4777.88"/>
        <n v="7612.05"/>
        <n v="8878.02"/>
        <n v="11150.82"/>
        <n v="7249.47"/>
        <n v="8505.82"/>
        <n v="3354.71"/>
        <n v="22259.52"/>
        <n v="22200.83"/>
        <n v="8945.49"/>
        <n v="5563.67"/>
        <n v="8669.43"/>
        <n v="7829.47"/>
        <n v="17793.650000000001"/>
        <n v="62089.120000000003"/>
        <n v="11621.17"/>
        <n v="11192.56"/>
        <n v="4755.03"/>
        <n v="5751.08"/>
        <n v="9393.7099999999991"/>
        <n v="251.66"/>
        <n v="11601.97"/>
        <n v="12639"/>
        <n v="11730.45"/>
        <n v="40769.71"/>
        <n v="34801.440000000002"/>
        <n v="14239.15"/>
        <n v="21714.58"/>
        <n v="10451.92"/>
        <n v="16293.66"/>
        <n v="16835.29"/>
        <n v="13518.5"/>
        <n v="30425.18"/>
        <n v="12768.82"/>
        <n v="10427.1"/>
        <n v="13077.13"/>
        <n v="13466.57"/>
        <n v="19131.240000000002"/>
        <n v="13589.9"/>
        <n v="7374.98"/>
        <n v="12746.19"/>
        <n v="21297.83"/>
        <n v="11259.72"/>
        <n v="10993.61"/>
        <n v="25881.98"/>
        <n v="13012.22"/>
        <n v="9929.1"/>
        <n v="12161.78"/>
        <n v="28477.94"/>
        <n v="8075.89"/>
        <n v="1625.66"/>
        <n v="9565.6200000000008"/>
        <n v="4928.24"/>
        <n v="13698.48"/>
        <n v="14847.34"/>
        <n v="8533.58"/>
        <n v="9046.3700000000008"/>
        <n v="8267.18"/>
        <n v="12291.74"/>
        <n v="12900.1"/>
        <n v="6959.59"/>
        <n v="7358.76"/>
        <n v="7488.85"/>
        <n v="21902.799999999999"/>
        <n v="11129.9"/>
        <n v="38822.47"/>
        <n v="14834.45"/>
        <n v="78090.45"/>
        <n v="29694.68"/>
        <n v="11600.82"/>
        <n v="13937.2"/>
        <m/>
      </sharedItems>
    </cacheField>
    <cacheField name="Amount2" numFmtId="0">
      <sharedItems containsBlank="1" containsMixedTypes="1" containsNumber="1" minValue="-149964.68" maxValue="-18.050000000000011"/>
    </cacheField>
    <cacheField name="Months (Trade Date)" numFmtId="0" databaseField="0">
      <fieldGroup base="0">
        <rangePr groupBy="months" startDate="2024-01-09T00:00:00" endDate="2026-02-24T00:00:00"/>
        <groupItems count="14">
          <s v="&lt;09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2-2026"/>
        </groupItems>
      </fieldGroup>
    </cacheField>
    <cacheField name="Quarters (Trade Date)" numFmtId="0" databaseField="0">
      <fieldGroup base="0">
        <rangePr groupBy="quarters" startDate="2024-01-09T00:00:00" endDate="2026-02-24T00:00:00"/>
        <groupItems count="6">
          <s v="&lt;09-01-2024"/>
          <s v="Qtr1"/>
          <s v="Qtr2"/>
          <s v="Qtr3"/>
          <s v="Qtr4"/>
          <s v="&gt;24-02-2026"/>
        </groupItems>
      </fieldGroup>
    </cacheField>
    <cacheField name="Years (Trade Date)" numFmtId="0" databaseField="0">
      <fieldGroup base="0">
        <rangePr groupBy="years" startDate="2024-01-09T00:00:00" endDate="2026-02-24T00:00:00"/>
        <groupItems count="5">
          <s v="&lt;09-01-2024"/>
          <s v="2024"/>
          <s v="2025"/>
          <s v="2026"/>
          <s v="&gt;24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6">
  <r>
    <d v="2024-01-09T00:00:00"/>
    <s v="OPT-NIFFIN-09-Jan-2024-21450-P-E-I"/>
    <s v="NSE"/>
    <x v="0"/>
    <n v="600"/>
    <n v="0"/>
    <n v="51.9"/>
    <n v="31140"/>
    <s v="#202401093700019945"/>
    <n v="19"/>
    <n v="15.73"/>
    <n v="0"/>
    <n v="0.03"/>
    <n v="300"/>
    <n v="56.84"/>
    <n v="391.6"/>
    <n v="2024"/>
    <n v="1"/>
    <n v="2023"/>
    <n v="10"/>
    <n v="10"/>
    <x v="0"/>
    <x v="0"/>
    <n v="30748.400000000001"/>
  </r>
  <r>
    <d v="2024-01-09T00:00:00"/>
    <s v="OPT-NIFFIN-09-Jan-2024-21450-P-E-I"/>
    <s v="NSE"/>
    <x v="1"/>
    <n v="40"/>
    <n v="0"/>
    <n v="17.7"/>
    <n v="708"/>
    <s v="#202401093700017300"/>
    <n v="0"/>
    <n v="0.36"/>
    <n v="0"/>
    <n v="0"/>
    <n v="20"/>
    <n v="3.66"/>
    <n v="24.02"/>
    <n v="2024"/>
    <n v="1"/>
    <n v="2023"/>
    <n v="10"/>
    <n v="10"/>
    <x v="0"/>
    <x v="0"/>
    <n v="-732.02"/>
  </r>
  <r>
    <d v="2024-01-09T00:00:00"/>
    <s v="OPT-NIFFIN-09-Jan-2024-21450-P-E-I"/>
    <s v="NSE"/>
    <x v="1"/>
    <n v="40"/>
    <n v="0"/>
    <n v="21.1"/>
    <n v="844"/>
    <s v="#202401093700015973"/>
    <n v="0"/>
    <n v="0.43"/>
    <n v="0"/>
    <n v="0"/>
    <n v="20"/>
    <n v="3.68"/>
    <n v="24.11"/>
    <n v="2024"/>
    <n v="1"/>
    <n v="2023"/>
    <n v="10"/>
    <n v="10"/>
    <x v="0"/>
    <x v="0"/>
    <n v="-868.11"/>
  </r>
  <r>
    <d v="2024-01-09T00:00:00"/>
    <s v="OPT-NIFFIN-09-Jan-2024-21450-P-E-I"/>
    <s v="NSE"/>
    <x v="1"/>
    <n v="40"/>
    <n v="0"/>
    <n v="23.3"/>
    <n v="932"/>
    <s v="#202401093700015743"/>
    <n v="0"/>
    <n v="0.47"/>
    <n v="0"/>
    <n v="0"/>
    <n v="20"/>
    <n v="3.68"/>
    <n v="24.15"/>
    <n v="2024"/>
    <n v="1"/>
    <n v="2023"/>
    <n v="10"/>
    <n v="10"/>
    <x v="0"/>
    <x v="0"/>
    <n v="-956.15"/>
  </r>
  <r>
    <d v="2024-01-09T00:00:00"/>
    <s v="OPT-NIFFIN-09-Jan-2024-21450-P-E-I"/>
    <s v="NSE"/>
    <x v="1"/>
    <n v="40"/>
    <n v="0"/>
    <n v="22.1"/>
    <n v="884"/>
    <s v="#202401093700015658"/>
    <n v="0"/>
    <n v="0.45"/>
    <n v="0"/>
    <n v="0"/>
    <n v="20"/>
    <n v="3.68"/>
    <n v="24.13"/>
    <n v="2024"/>
    <n v="1"/>
    <n v="2023"/>
    <n v="10"/>
    <n v="10"/>
    <x v="0"/>
    <x v="0"/>
    <n v="-908.13"/>
  </r>
  <r>
    <d v="2024-01-09T00:00:00"/>
    <s v="OPT-NIFFIN-09-Jan-2024-21450-P-E-I"/>
    <s v="NSE"/>
    <x v="1"/>
    <n v="40"/>
    <n v="0"/>
    <n v="23.05"/>
    <n v="922"/>
    <s v="#202401093700015607"/>
    <n v="0"/>
    <n v="0.47"/>
    <n v="0"/>
    <n v="0"/>
    <n v="20"/>
    <n v="3.68"/>
    <n v="24.15"/>
    <n v="2024"/>
    <n v="1"/>
    <n v="2023"/>
    <n v="10"/>
    <n v="10"/>
    <x v="0"/>
    <x v="0"/>
    <n v="-946.15"/>
  </r>
  <r>
    <d v="2024-01-09T00:00:00"/>
    <s v="OPT-NIFFIN-09-Jan-2024-21450-P-E-I"/>
    <s v="NSE"/>
    <x v="1"/>
    <n v="40"/>
    <n v="0"/>
    <n v="28.7"/>
    <n v="1148"/>
    <s v="#202401093700014789"/>
    <n v="0"/>
    <n v="0.57999999999999996"/>
    <n v="0"/>
    <n v="0"/>
    <n v="20"/>
    <n v="3.7"/>
    <n v="24.28"/>
    <n v="2024"/>
    <n v="1"/>
    <n v="2023"/>
    <n v="10"/>
    <n v="10"/>
    <x v="0"/>
    <x v="0"/>
    <n v="-1172.28"/>
  </r>
  <r>
    <d v="2024-01-09T00:00:00"/>
    <s v="OPT-NIFFIN-09-Jan-2024-21450-P-E-I"/>
    <s v="NSE"/>
    <x v="1"/>
    <n v="40"/>
    <n v="0"/>
    <n v="26.65"/>
    <n v="1066"/>
    <s v="#202401093700014597"/>
    <n v="0"/>
    <n v="0.54"/>
    <n v="0"/>
    <n v="0"/>
    <n v="20"/>
    <n v="3.7"/>
    <n v="24.24"/>
    <n v="2024"/>
    <n v="1"/>
    <n v="2023"/>
    <n v="10"/>
    <n v="10"/>
    <x v="0"/>
    <x v="0"/>
    <n v="-1090.24"/>
  </r>
  <r>
    <d v="2024-01-09T00:00:00"/>
    <s v="OPT-NIFFIN-09-Jan-2024-21450-P-E-I"/>
    <s v="NSE"/>
    <x v="1"/>
    <n v="40"/>
    <n v="0"/>
    <n v="29"/>
    <n v="1160"/>
    <s v="#202401093700014487"/>
    <n v="0"/>
    <n v="0.59"/>
    <n v="0"/>
    <n v="0"/>
    <n v="20"/>
    <n v="3.7"/>
    <n v="24.29"/>
    <n v="2024"/>
    <n v="1"/>
    <n v="2023"/>
    <n v="10"/>
    <n v="10"/>
    <x v="0"/>
    <x v="0"/>
    <n v="-1184.29"/>
  </r>
  <r>
    <d v="2024-01-09T00:00:00"/>
    <s v="OPT-NIFFIN-09-Jan-2024-21450-P-E-I"/>
    <s v="NSE"/>
    <x v="1"/>
    <n v="40"/>
    <n v="0"/>
    <n v="32.6"/>
    <n v="1304"/>
    <s v="#202401093700014363"/>
    <n v="0"/>
    <n v="0.66"/>
    <n v="0"/>
    <n v="0"/>
    <n v="20"/>
    <n v="3.72"/>
    <n v="24.38"/>
    <n v="2024"/>
    <n v="1"/>
    <n v="2023"/>
    <n v="10"/>
    <n v="10"/>
    <x v="0"/>
    <x v="0"/>
    <n v="-1328.38"/>
  </r>
  <r>
    <d v="2024-01-09T00:00:00"/>
    <s v="OPT-NIFFIN-09-Jan-2024-21450-P-E-I"/>
    <s v="NSE"/>
    <x v="1"/>
    <n v="40"/>
    <n v="0"/>
    <n v="33.85"/>
    <n v="1354"/>
    <s v="#202401093700014217"/>
    <n v="0"/>
    <n v="0.68"/>
    <n v="0"/>
    <n v="0"/>
    <n v="20"/>
    <n v="3.72"/>
    <n v="24.4"/>
    <n v="2024"/>
    <n v="1"/>
    <n v="2023"/>
    <n v="10"/>
    <n v="10"/>
    <x v="0"/>
    <x v="0"/>
    <n v="-1378.4"/>
  </r>
  <r>
    <d v="2024-01-09T00:00:00"/>
    <s v="OPT-NIFFIN-09-Jan-2024-21450-P-E-I"/>
    <s v="NSE"/>
    <x v="1"/>
    <n v="160"/>
    <n v="0"/>
    <n v="37.15"/>
    <n v="5944"/>
    <s v="#202401093700013489"/>
    <n v="0"/>
    <n v="3"/>
    <n v="1"/>
    <n v="0"/>
    <n v="80"/>
    <n v="14.94"/>
    <n v="98.94"/>
    <n v="2024"/>
    <n v="1"/>
    <n v="2023"/>
    <n v="10"/>
    <n v="10"/>
    <x v="0"/>
    <x v="0"/>
    <n v="-6042.94"/>
  </r>
  <r>
    <d v="2024-01-09T00:00:00"/>
    <s v="OPT-NIFFIN-09-Jan-2024-21450-P-E-I"/>
    <s v="NSE"/>
    <x v="1"/>
    <n v="40"/>
    <n v="0"/>
    <n v="35.5"/>
    <n v="1420"/>
    <s v="#202401093700013380"/>
    <n v="0"/>
    <n v="0.72"/>
    <n v="0"/>
    <n v="0"/>
    <n v="20"/>
    <n v="3.72"/>
    <n v="24.44"/>
    <n v="2024"/>
    <n v="1"/>
    <n v="2023"/>
    <n v="10"/>
    <n v="10"/>
    <x v="0"/>
    <x v="0"/>
    <n v="-1444.44"/>
  </r>
  <r>
    <d v="2024-01-10T00:00:00"/>
    <s v="OPT-CNXBAN-10-Jan-2024-47200-P-E-I"/>
    <s v="NSE"/>
    <x v="1"/>
    <n v="300"/>
    <n v="0"/>
    <n v="0.5"/>
    <n v="150"/>
    <s v="#202401103700027464"/>
    <n v="0"/>
    <n v="0.08"/>
    <n v="0"/>
    <n v="0"/>
    <n v="400"/>
    <n v="72.02"/>
    <n v="472.1"/>
    <n v="2024"/>
    <n v="1"/>
    <n v="2023"/>
    <n v="10"/>
    <n v="10"/>
    <x v="0"/>
    <x v="0"/>
    <n v="-622.1"/>
  </r>
  <r>
    <d v="2024-01-10T00:00:00"/>
    <s v="OPT-CNXBAN-10-Jan-2024-47200-P-E-I"/>
    <s v="NSE"/>
    <x v="1"/>
    <n v="900"/>
    <n v="0"/>
    <n v="0.5"/>
    <n v="450"/>
    <s v="#202401103700026722"/>
    <n v="0"/>
    <n v="0.23"/>
    <n v="0.41"/>
    <n v="0"/>
    <n v="1200"/>
    <n v="216.04"/>
    <n v="1416.68"/>
    <n v="2024"/>
    <n v="1"/>
    <n v="2023"/>
    <n v="10"/>
    <n v="10"/>
    <x v="0"/>
    <x v="0"/>
    <n v="-1866.68"/>
  </r>
  <r>
    <d v="2024-01-10T00:00:00"/>
    <s v="OPT-CNXBAN-10-Jan-2024-47200-P-E-I"/>
    <s v="NSE"/>
    <x v="1"/>
    <n v="900"/>
    <n v="0"/>
    <n v="0.7"/>
    <n v="630"/>
    <s v="#202401103700026628"/>
    <n v="0"/>
    <n v="0.33"/>
    <n v="0"/>
    <n v="0"/>
    <n v="1200"/>
    <n v="216.08"/>
    <n v="1416.41"/>
    <n v="2024"/>
    <n v="1"/>
    <n v="2023"/>
    <n v="10"/>
    <n v="10"/>
    <x v="0"/>
    <x v="0"/>
    <n v="-2046.41"/>
  </r>
  <r>
    <d v="2024-01-10T00:00:00"/>
    <s v="OPT-CNXBAN-10-Jan-2024-47200-P-E-I"/>
    <s v="NSE"/>
    <x v="1"/>
    <n v="900"/>
    <n v="0"/>
    <n v="1.3"/>
    <n v="1170"/>
    <s v="#202401103700026486"/>
    <n v="0"/>
    <n v="0.6"/>
    <n v="0"/>
    <n v="0"/>
    <n v="1200"/>
    <n v="216.1"/>
    <n v="1416.7"/>
    <n v="2024"/>
    <n v="1"/>
    <n v="2023"/>
    <n v="10"/>
    <n v="10"/>
    <x v="0"/>
    <x v="0"/>
    <n v="-2586.6999999999998"/>
  </r>
  <r>
    <d v="2024-01-10T00:00:00"/>
    <s v="OPT-CNXBAN-10-Jan-2024-47200-P-E-I"/>
    <s v="NSE"/>
    <x v="1"/>
    <n v="150"/>
    <n v="0"/>
    <n v="4"/>
    <n v="600"/>
    <s v="#202401103700025116"/>
    <n v="0"/>
    <n v="0.3"/>
    <n v="0"/>
    <n v="0"/>
    <n v="200"/>
    <n v="36.06"/>
    <n v="236.36"/>
    <n v="2024"/>
    <n v="1"/>
    <n v="2023"/>
    <n v="10"/>
    <n v="10"/>
    <x v="0"/>
    <x v="0"/>
    <n v="-836.36"/>
  </r>
  <r>
    <d v="2024-01-10T00:00:00"/>
    <s v="OPT-CNXBAN-10-Jan-2024-47200-P-E-I"/>
    <s v="NSE"/>
    <x v="1"/>
    <n v="510"/>
    <n v="0"/>
    <n v="4"/>
    <n v="2040"/>
    <s v="#202401103700024931"/>
    <n v="0"/>
    <n v="1.03"/>
    <n v="0"/>
    <n v="0"/>
    <n v="680"/>
    <n v="122.58"/>
    <n v="803.61"/>
    <n v="2024"/>
    <n v="1"/>
    <n v="2023"/>
    <n v="10"/>
    <n v="10"/>
    <x v="0"/>
    <x v="0"/>
    <n v="-2843.61"/>
  </r>
  <r>
    <d v="2024-01-10T00:00:00"/>
    <s v="OPT-CNXBAN-10-Jan-2024-47200-P-E-I"/>
    <s v="NSE"/>
    <x v="1"/>
    <n v="510"/>
    <n v="0"/>
    <n v="7"/>
    <n v="3570"/>
    <s v="#202401103700024096"/>
    <n v="0"/>
    <n v="1.8"/>
    <n v="0"/>
    <n v="0"/>
    <n v="680"/>
    <n v="122.72"/>
    <n v="804.52"/>
    <n v="2024"/>
    <n v="1"/>
    <n v="2023"/>
    <n v="10"/>
    <n v="10"/>
    <x v="0"/>
    <x v="0"/>
    <n v="-4374.5200000000004"/>
  </r>
  <r>
    <d v="2024-01-10T00:00:00"/>
    <s v="OPT-CIPLA-25-Jan-2024-1320-C-E-S"/>
    <s v="NSE"/>
    <x v="0"/>
    <n v="650"/>
    <n v="0"/>
    <n v="31.5"/>
    <n v="20475"/>
    <s v="#202401103700023218"/>
    <n v="13"/>
    <n v="10.34"/>
    <n v="0"/>
    <n v="0.02"/>
    <n v="20"/>
    <n v="5.46"/>
    <n v="48.82"/>
    <n v="2024"/>
    <n v="1"/>
    <n v="2023"/>
    <n v="10"/>
    <n v="10"/>
    <x v="0"/>
    <x v="0"/>
    <n v="20426.18"/>
  </r>
  <r>
    <d v="2024-01-10T00:00:00"/>
    <s v="OPT-CNXBAN-10-Jan-2024-47200-P-E-I"/>
    <s v="NSE"/>
    <x v="1"/>
    <n v="210"/>
    <n v="0"/>
    <n v="11"/>
    <n v="2310"/>
    <s v="#202401103700022327"/>
    <n v="0"/>
    <n v="1.17"/>
    <n v="0"/>
    <n v="0"/>
    <n v="280"/>
    <n v="50.62"/>
    <n v="331.79"/>
    <n v="2024"/>
    <n v="1"/>
    <n v="2023"/>
    <n v="10"/>
    <n v="10"/>
    <x v="0"/>
    <x v="0"/>
    <n v="-2641.79"/>
  </r>
  <r>
    <d v="2024-01-10T00:00:00"/>
    <s v="OPT-CNXBAN-10-Jan-2024-47200-P-E-I"/>
    <s v="NSE"/>
    <x v="1"/>
    <n v="210"/>
    <n v="0"/>
    <n v="16"/>
    <n v="3360"/>
    <s v="#202401103700021865"/>
    <n v="0"/>
    <n v="1.69"/>
    <n v="0"/>
    <n v="0"/>
    <n v="280"/>
    <n v="50.7"/>
    <n v="332.39"/>
    <n v="2024"/>
    <n v="1"/>
    <n v="2023"/>
    <n v="10"/>
    <n v="10"/>
    <x v="0"/>
    <x v="0"/>
    <n v="-3692.39"/>
  </r>
  <r>
    <d v="2024-01-10T00:00:00"/>
    <s v="OPT-CNXBAN-10-Jan-2024-47200-P-E-I"/>
    <s v="NSE"/>
    <x v="1"/>
    <n v="210"/>
    <n v="0"/>
    <n v="19"/>
    <n v="3990"/>
    <s v="#202401103700021744"/>
    <n v="0"/>
    <n v="2.0099999999999998"/>
    <n v="0"/>
    <n v="0"/>
    <n v="280"/>
    <n v="50.76"/>
    <n v="332.77"/>
    <n v="2024"/>
    <n v="1"/>
    <n v="2023"/>
    <n v="10"/>
    <n v="10"/>
    <x v="0"/>
    <x v="0"/>
    <n v="-4322.7700000000004"/>
  </r>
  <r>
    <d v="2024-01-10T00:00:00"/>
    <s v="OPT-CNXBAN-10-Jan-2024-47200-P-E-I"/>
    <s v="NSE"/>
    <x v="1"/>
    <n v="105"/>
    <n v="0"/>
    <n v="33"/>
    <n v="3465"/>
    <s v="#202401103700015608"/>
    <n v="0"/>
    <n v="1.75"/>
    <n v="0"/>
    <n v="0"/>
    <n v="140"/>
    <n v="25.52"/>
    <n v="167.27"/>
    <n v="2024"/>
    <n v="1"/>
    <n v="2023"/>
    <n v="10"/>
    <n v="10"/>
    <x v="0"/>
    <x v="0"/>
    <n v="-3632.27"/>
  </r>
  <r>
    <d v="2024-01-10T00:00:00"/>
    <s v="OPT-CNXBAN-10-Jan-2024-47200-P-E-I"/>
    <s v="NSE"/>
    <x v="1"/>
    <n v="105"/>
    <n v="0"/>
    <n v="46.95"/>
    <n v="4929.75"/>
    <s v="#202401103700014851"/>
    <n v="0"/>
    <n v="2.5"/>
    <n v="0"/>
    <n v="0"/>
    <n v="140"/>
    <n v="25.64"/>
    <n v="168.14"/>
    <n v="2024"/>
    <n v="1"/>
    <n v="2023"/>
    <n v="10"/>
    <n v="10"/>
    <x v="0"/>
    <x v="0"/>
    <n v="-5097.8900000000003"/>
  </r>
  <r>
    <d v="2024-01-10T00:00:00"/>
    <s v="OPT-CIPLA-25-Jan-2024-1320-C-E-S"/>
    <s v="NSE"/>
    <x v="1"/>
    <n v="650"/>
    <n v="0"/>
    <n v="30.45"/>
    <n v="19792.5"/>
    <s v="#202401103700008838"/>
    <n v="0"/>
    <n v="10"/>
    <n v="0.59"/>
    <n v="0.02"/>
    <n v="20"/>
    <n v="5.4"/>
    <n v="36.01"/>
    <n v="2024"/>
    <n v="1"/>
    <n v="2023"/>
    <n v="10"/>
    <n v="10"/>
    <x v="0"/>
    <x v="0"/>
    <n v="-19828.509999999998"/>
  </r>
  <r>
    <d v="2024-01-10T00:00:00"/>
    <s v="OPT-CNXBAN-10-Jan-2024-47200-P-E-I"/>
    <s v="NSE"/>
    <x v="2"/>
    <n v="5010"/>
    <n v="0"/>
    <n v="0"/>
    <s v="#Exchange Initiated"/>
    <n v="0"/>
    <n v="0"/>
    <n v="0"/>
    <n v="0"/>
    <n v="0"/>
    <n v="0"/>
    <n v="0"/>
    <m/>
    <n v="2024"/>
    <n v="1"/>
    <n v="2023"/>
    <n v="10"/>
    <n v="10"/>
    <x v="0"/>
    <x v="0"/>
    <n v="0"/>
  </r>
  <r>
    <d v="2024-01-11T00:00:00"/>
    <s v="OPT-NIFFIN-16-Jan-2024-21200-P-E-I"/>
    <s v="NSE"/>
    <x v="0"/>
    <n v="40"/>
    <n v="0"/>
    <n v="105"/>
    <n v="4200"/>
    <s v="#202401113700017478"/>
    <n v="3"/>
    <n v="2.12"/>
    <n v="0"/>
    <n v="0"/>
    <n v="20"/>
    <n v="3.98"/>
    <n v="29.1"/>
    <n v="2024"/>
    <n v="1"/>
    <n v="2023"/>
    <n v="10"/>
    <n v="10"/>
    <x v="0"/>
    <x v="0"/>
    <n v="4170.8999999999996"/>
  </r>
  <r>
    <d v="2024-01-11T00:00:00"/>
    <s v="OPT-NIFFIN-16-Jan-2024-21200-P-E-I"/>
    <s v="NSE"/>
    <x v="1"/>
    <n v="40"/>
    <n v="0"/>
    <n v="75.75"/>
    <n v="3030"/>
    <s v="#202401113700017099"/>
    <n v="0"/>
    <n v="1.53"/>
    <n v="0"/>
    <n v="0"/>
    <n v="20"/>
    <n v="3.88"/>
    <n v="25.41"/>
    <n v="2024"/>
    <n v="1"/>
    <n v="2023"/>
    <n v="10"/>
    <n v="10"/>
    <x v="0"/>
    <x v="0"/>
    <n v="-3055.41"/>
  </r>
  <r>
    <d v="2024-01-17T00:00:00"/>
    <s v="OPT-CNXBAN-17-Jan-2024-46700-C-E-I"/>
    <s v="NSE"/>
    <x v="0"/>
    <n v="600"/>
    <n v="0"/>
    <n v="16.149999999999999"/>
    <n v="9690"/>
    <s v="#202401173700021397"/>
    <n v="6.06"/>
    <n v="4.9000000000000004"/>
    <n v="0"/>
    <n v="0.01"/>
    <n v="800"/>
    <n v="144.88"/>
    <n v="955.85"/>
    <n v="2024"/>
    <n v="1"/>
    <n v="2023"/>
    <n v="10"/>
    <n v="10"/>
    <x v="0"/>
    <x v="0"/>
    <n v="8734.15"/>
  </r>
  <r>
    <d v="2024-01-17T00:00:00"/>
    <s v="OPT-CNXBAN-17-Jan-2024-46700-C-E-I"/>
    <s v="NSE"/>
    <x v="0"/>
    <n v="900"/>
    <n v="0"/>
    <n v="16.149999999999999"/>
    <n v="14535"/>
    <s v="#202401173700021119"/>
    <n v="8.9499999999999993"/>
    <n v="7.34"/>
    <n v="0"/>
    <n v="0.01"/>
    <n v="1200"/>
    <n v="217.32"/>
    <n v="1433.62"/>
    <n v="2024"/>
    <n v="1"/>
    <n v="2023"/>
    <n v="10"/>
    <n v="10"/>
    <x v="0"/>
    <x v="0"/>
    <n v="13101.380000000001"/>
  </r>
  <r>
    <d v="2024-01-17T00:00:00"/>
    <s v="OPT-CNXBAN-17-Jan-2024-46700-C-E-I"/>
    <s v="NSE"/>
    <x v="1"/>
    <n v="300"/>
    <n v="0"/>
    <n v="31.75"/>
    <n v="9525"/>
    <s v="#202401173700018837"/>
    <n v="0"/>
    <n v="4.8"/>
    <n v="0"/>
    <n v="0"/>
    <n v="400"/>
    <n v="72.86"/>
    <n v="477.66"/>
    <n v="2024"/>
    <n v="1"/>
    <n v="2023"/>
    <n v="10"/>
    <n v="10"/>
    <x v="0"/>
    <x v="0"/>
    <n v="-10002.66"/>
  </r>
  <r>
    <d v="2024-01-17T00:00:00"/>
    <s v="OPT-CNXBAN-17-Jan-2024-46700-C-E-I"/>
    <s v="NSE"/>
    <x v="1"/>
    <n v="300"/>
    <n v="0"/>
    <n v="40.25"/>
    <n v="12075"/>
    <s v="#202401173700017802"/>
    <n v="0"/>
    <n v="6.08"/>
    <n v="0"/>
    <n v="0"/>
    <n v="400"/>
    <n v="73.099999999999994"/>
    <n v="479.18"/>
    <n v="2024"/>
    <n v="1"/>
    <n v="2023"/>
    <n v="10"/>
    <n v="10"/>
    <x v="0"/>
    <x v="0"/>
    <n v="-12554.18"/>
  </r>
  <r>
    <d v="2024-01-17T00:00:00"/>
    <s v="OPT-CNXBAN-17-Jan-2024-46700-C-E-I"/>
    <s v="NSE"/>
    <x v="1"/>
    <n v="300"/>
    <n v="0"/>
    <n v="49.15"/>
    <n v="14745"/>
    <s v="#202401173700016080"/>
    <n v="0"/>
    <n v="7.45"/>
    <n v="2"/>
    <n v="0.01"/>
    <n v="400"/>
    <n v="73.34"/>
    <n v="482.8"/>
    <n v="2024"/>
    <n v="1"/>
    <n v="2023"/>
    <n v="10"/>
    <n v="10"/>
    <x v="0"/>
    <x v="0"/>
    <n v="-15227.8"/>
  </r>
  <r>
    <d v="2024-01-17T00:00:00"/>
    <s v="OPT-CNXBAN-17-Jan-2024-46700-C-E-I"/>
    <s v="NSE"/>
    <x v="1"/>
    <n v="150"/>
    <n v="0"/>
    <n v="43.45"/>
    <n v="6517.5"/>
    <s v="#202401173700015246"/>
    <n v="0"/>
    <n v="3.29"/>
    <n v="0"/>
    <n v="0.01"/>
    <n v="200"/>
    <n v="36.6"/>
    <n v="239.9"/>
    <n v="2024"/>
    <n v="1"/>
    <n v="2023"/>
    <n v="10"/>
    <n v="10"/>
    <x v="0"/>
    <x v="0"/>
    <n v="-6757.4"/>
  </r>
  <r>
    <d v="2024-01-17T00:00:00"/>
    <s v="OPT-CNXBAN-17-Jan-2024-46700-C-E-I"/>
    <s v="NSE"/>
    <x v="1"/>
    <n v="150"/>
    <n v="0"/>
    <n v="52.55"/>
    <n v="7882.5"/>
    <s v="#202401173700014614"/>
    <n v="0"/>
    <n v="3.98"/>
    <n v="0"/>
    <n v="0.01"/>
    <n v="200"/>
    <n v="36.72"/>
    <n v="240.71"/>
    <n v="2024"/>
    <n v="1"/>
    <n v="2023"/>
    <n v="10"/>
    <n v="10"/>
    <x v="0"/>
    <x v="0"/>
    <n v="-8123.21"/>
  </r>
  <r>
    <d v="2024-01-17T00:00:00"/>
    <s v="OPT-CNXBAN-17-Jan-2024-46700-C-E-I"/>
    <s v="NSE"/>
    <x v="1"/>
    <n v="150"/>
    <n v="0"/>
    <n v="54"/>
    <n v="8100"/>
    <s v="#202401173700013513"/>
    <n v="0"/>
    <n v="4.09"/>
    <n v="0"/>
    <n v="0.01"/>
    <n v="200"/>
    <n v="36.74"/>
    <n v="240.84"/>
    <n v="2024"/>
    <n v="1"/>
    <n v="2023"/>
    <n v="10"/>
    <n v="10"/>
    <x v="0"/>
    <x v="0"/>
    <n v="-8340.84"/>
  </r>
  <r>
    <d v="2024-01-17T00:00:00"/>
    <s v="OPT-CNXBAN-17-Jan-2024-46700-C-E-I"/>
    <s v="NSE"/>
    <x v="1"/>
    <n v="90"/>
    <n v="0"/>
    <n v="74"/>
    <n v="6660"/>
    <s v="#202401173700012803"/>
    <n v="0"/>
    <n v="3.36"/>
    <n v="0"/>
    <n v="0.01"/>
    <n v="120"/>
    <n v="22.2"/>
    <n v="145.57"/>
    <n v="2024"/>
    <n v="1"/>
    <n v="2023"/>
    <n v="10"/>
    <n v="10"/>
    <x v="0"/>
    <x v="0"/>
    <n v="-6805.57"/>
  </r>
  <r>
    <d v="2024-01-17T00:00:00"/>
    <s v="OPT-CNXBAN-17-Jan-2024-46700-C-E-I"/>
    <s v="NSE"/>
    <x v="1"/>
    <n v="15"/>
    <n v="0"/>
    <n v="77.75"/>
    <n v="1166.25"/>
    <s v="#202401173700012740"/>
    <n v="0"/>
    <n v="0.59"/>
    <n v="0"/>
    <n v="0"/>
    <n v="20"/>
    <n v="3.7"/>
    <n v="24.29"/>
    <n v="2024"/>
    <n v="1"/>
    <n v="2023"/>
    <n v="10"/>
    <n v="10"/>
    <x v="0"/>
    <x v="0"/>
    <n v="-1190.54"/>
  </r>
  <r>
    <d v="2024-01-17T00:00:00"/>
    <s v="OPT-CNXBAN-17-Jan-2024-46700-C-E-I"/>
    <s v="NSE"/>
    <x v="1"/>
    <n v="15"/>
    <n v="0"/>
    <n v="79"/>
    <n v="1185"/>
    <s v="#202401173700012675"/>
    <n v="0"/>
    <n v="0.6"/>
    <n v="0"/>
    <n v="0"/>
    <n v="20"/>
    <n v="3.7"/>
    <n v="24.3"/>
    <n v="2024"/>
    <n v="1"/>
    <n v="2023"/>
    <n v="10"/>
    <n v="10"/>
    <x v="0"/>
    <x v="0"/>
    <n v="-1209.3"/>
  </r>
  <r>
    <d v="2024-01-17T00:00:00"/>
    <s v="OPT-CNXBAN-17-Jan-2024-46700-C-E-I"/>
    <s v="NSE"/>
    <x v="1"/>
    <n v="15"/>
    <n v="0"/>
    <n v="80.650000000000006"/>
    <n v="1209.75"/>
    <s v="#202401173700012615"/>
    <n v="0"/>
    <n v="0.61"/>
    <n v="0"/>
    <n v="0"/>
    <n v="20"/>
    <n v="3.7"/>
    <n v="24.31"/>
    <n v="2024"/>
    <n v="1"/>
    <n v="2023"/>
    <n v="10"/>
    <n v="10"/>
    <x v="0"/>
    <x v="0"/>
    <n v="-1234.06"/>
  </r>
  <r>
    <d v="2024-01-17T00:00:00"/>
    <s v="OPT-CNXBAN-17-Jan-2024-46700-C-E-I"/>
    <s v="NSE"/>
    <x v="1"/>
    <n v="15"/>
    <n v="0"/>
    <n v="87.6"/>
    <n v="1314"/>
    <s v="#202401173700012540"/>
    <n v="0"/>
    <n v="0.66"/>
    <n v="0"/>
    <n v="0"/>
    <n v="20"/>
    <n v="3.72"/>
    <n v="24.38"/>
    <n v="2024"/>
    <n v="1"/>
    <n v="2023"/>
    <n v="10"/>
    <n v="10"/>
    <x v="0"/>
    <x v="0"/>
    <n v="-1338.38"/>
  </r>
  <r>
    <d v="2024-01-18T00:00:00"/>
    <s v="OPT-NIFTY-18-Jan-2024-21450-P-E-I"/>
    <s v="NSE"/>
    <x v="0"/>
    <n v="50"/>
    <n v="0"/>
    <n v="28.55"/>
    <n v="1427.5"/>
    <s v="#202401183700024967"/>
    <n v="0.89"/>
    <n v="0.72"/>
    <n v="0"/>
    <n v="0"/>
    <n v="20"/>
    <n v="3.72"/>
    <n v="25.33"/>
    <n v="2024"/>
    <n v="1"/>
    <n v="2023"/>
    <n v="10"/>
    <n v="10"/>
    <x v="0"/>
    <x v="0"/>
    <n v="1402.17"/>
  </r>
  <r>
    <d v="2024-01-18T00:00:00"/>
    <s v="OPT-NIFTY-18-Jan-2024-21450-P-E-I"/>
    <s v="NSE"/>
    <x v="1"/>
    <n v="50"/>
    <n v="0"/>
    <n v="16.649999999999999"/>
    <n v="832.5"/>
    <s v="#202401183700023948"/>
    <n v="0"/>
    <n v="0.42"/>
    <n v="0"/>
    <n v="0"/>
    <n v="20"/>
    <n v="3.68"/>
    <n v="24.1"/>
    <n v="2024"/>
    <n v="1"/>
    <n v="2023"/>
    <n v="10"/>
    <n v="10"/>
    <x v="0"/>
    <x v="0"/>
    <n v="-856.6"/>
  </r>
  <r>
    <d v="2024-01-18T00:00:00"/>
    <s v="OPT-NIFTY-18-Jan-2024-21450-P-E-I"/>
    <s v="NSE"/>
    <x v="0"/>
    <n v="100"/>
    <n v="0"/>
    <n v="21.6"/>
    <n v="2160"/>
    <s v="#202401183700019735"/>
    <n v="1.35"/>
    <n v="1.0900000000000001"/>
    <n v="0"/>
    <n v="0"/>
    <n v="40"/>
    <n v="7.4"/>
    <n v="49.84"/>
    <n v="2024"/>
    <n v="1"/>
    <n v="2023"/>
    <n v="10"/>
    <n v="10"/>
    <x v="0"/>
    <x v="0"/>
    <n v="2110.16"/>
  </r>
  <r>
    <d v="2024-01-18T00:00:00"/>
    <s v="OPT-NIFTY-18-Jan-2024-21450-P-E-I"/>
    <s v="NSE"/>
    <x v="1"/>
    <n v="100"/>
    <n v="0"/>
    <n v="10.8"/>
    <n v="1080"/>
    <s v="#202401183700016202"/>
    <n v="0"/>
    <n v="0.54"/>
    <n v="0"/>
    <n v="0"/>
    <n v="40"/>
    <n v="7.28"/>
    <n v="47.82"/>
    <n v="2024"/>
    <n v="1"/>
    <n v="2023"/>
    <n v="10"/>
    <n v="10"/>
    <x v="0"/>
    <x v="0"/>
    <n v="-1127.82"/>
  </r>
  <r>
    <d v="2024-01-18T00:00:00"/>
    <s v="OPT-NIFTY-18-Jan-2024-21300-P-E-I"/>
    <s v="NSE"/>
    <x v="0"/>
    <n v="50"/>
    <n v="0"/>
    <n v="2.5"/>
    <n v="125"/>
    <s v="#202401183700015997"/>
    <n v="0.08"/>
    <n v="0.06"/>
    <n v="0"/>
    <n v="0"/>
    <n v="20"/>
    <n v="3.62"/>
    <n v="23.76"/>
    <n v="2024"/>
    <n v="1"/>
    <n v="2023"/>
    <n v="10"/>
    <n v="10"/>
    <x v="0"/>
    <x v="0"/>
    <n v="101.24"/>
  </r>
  <r>
    <d v="2024-01-18T00:00:00"/>
    <s v="OPT-NIFTY-18-Jan-2024-21300-P-E-I"/>
    <s v="NSE"/>
    <x v="0"/>
    <n v="50"/>
    <n v="0"/>
    <n v="2.5"/>
    <n v="125"/>
    <s v="#202401183700015996"/>
    <n v="0.08"/>
    <n v="0.06"/>
    <n v="0"/>
    <n v="0"/>
    <n v="20"/>
    <n v="3.62"/>
    <n v="23.76"/>
    <n v="2024"/>
    <n v="1"/>
    <n v="2023"/>
    <n v="10"/>
    <n v="10"/>
    <x v="0"/>
    <x v="0"/>
    <n v="101.24"/>
  </r>
  <r>
    <d v="2024-01-18T00:00:00"/>
    <s v="OPT-NIFTY-18-Jan-2024-21300-P-E-I"/>
    <s v="NSE"/>
    <x v="0"/>
    <n v="50"/>
    <n v="0"/>
    <n v="2.7"/>
    <n v="135"/>
    <s v="#202401183700015950"/>
    <n v="0.08"/>
    <n v="7.0000000000000007E-2"/>
    <n v="0"/>
    <n v="0"/>
    <n v="20"/>
    <n v="3.62"/>
    <n v="23.77"/>
    <n v="2024"/>
    <n v="1"/>
    <n v="2023"/>
    <n v="10"/>
    <n v="10"/>
    <x v="0"/>
    <x v="0"/>
    <n v="111.23"/>
  </r>
  <r>
    <d v="2024-01-18T00:00:00"/>
    <s v="OPT-NIFTY-18-Jan-2024-21300-P-E-I"/>
    <s v="NSE"/>
    <x v="0"/>
    <n v="50"/>
    <n v="0"/>
    <n v="2.95"/>
    <n v="147.5"/>
    <s v="#202401183700015851"/>
    <n v="0.18"/>
    <n v="7.0000000000000007E-2"/>
    <n v="0"/>
    <n v="0"/>
    <n v="20"/>
    <n v="3.62"/>
    <n v="23.87"/>
    <n v="2024"/>
    <n v="1"/>
    <n v="2023"/>
    <n v="10"/>
    <n v="10"/>
    <x v="0"/>
    <x v="0"/>
    <n v="123.63"/>
  </r>
  <r>
    <d v="2024-01-18T00:00:00"/>
    <s v="OPT-NIFTY-18-Jan-2024-21300-P-E-I"/>
    <s v="NSE"/>
    <x v="1"/>
    <n v="50"/>
    <n v="0"/>
    <n v="3.2"/>
    <n v="160"/>
    <s v="#202401183700015105"/>
    <n v="0"/>
    <n v="0.08"/>
    <n v="0"/>
    <n v="0"/>
    <n v="20"/>
    <n v="3.62"/>
    <n v="23.7"/>
    <n v="2024"/>
    <n v="1"/>
    <n v="2023"/>
    <n v="10"/>
    <n v="10"/>
    <x v="0"/>
    <x v="0"/>
    <n v="-183.7"/>
  </r>
  <r>
    <d v="2024-01-18T00:00:00"/>
    <s v="OPT-NIFTY-18-Jan-2024-21300-P-E-I"/>
    <s v="NSE"/>
    <x v="1"/>
    <n v="50"/>
    <n v="0"/>
    <n v="3.7"/>
    <n v="185"/>
    <s v="#202401183700014798"/>
    <n v="0"/>
    <n v="0.09"/>
    <n v="0"/>
    <n v="0"/>
    <n v="20"/>
    <n v="3.62"/>
    <n v="23.71"/>
    <n v="2024"/>
    <n v="1"/>
    <n v="2023"/>
    <n v="10"/>
    <n v="10"/>
    <x v="0"/>
    <x v="0"/>
    <n v="-208.71"/>
  </r>
  <r>
    <d v="2024-01-18T00:00:00"/>
    <s v="OPT-NIFTY-18-Jan-2024-21300-P-E-I"/>
    <s v="NSE"/>
    <x v="1"/>
    <n v="50"/>
    <n v="0"/>
    <n v="5.75"/>
    <n v="287.5"/>
    <s v="#202401183700011974"/>
    <n v="0"/>
    <n v="0.15"/>
    <n v="0"/>
    <n v="0"/>
    <n v="20"/>
    <n v="3.62"/>
    <n v="23.77"/>
    <n v="2024"/>
    <n v="1"/>
    <n v="2023"/>
    <n v="10"/>
    <n v="10"/>
    <x v="0"/>
    <x v="0"/>
    <n v="-311.27"/>
  </r>
  <r>
    <d v="2024-01-18T00:00:00"/>
    <s v="OPT-NIFTY-18-Jan-2024-21300-P-E-I"/>
    <s v="NSE"/>
    <x v="1"/>
    <n v="50"/>
    <n v="0"/>
    <n v="6.35"/>
    <n v="317.5"/>
    <s v="#202401183700011826"/>
    <n v="0"/>
    <n v="0.16"/>
    <n v="0"/>
    <n v="0"/>
    <n v="20"/>
    <n v="3.62"/>
    <n v="23.78"/>
    <n v="2024"/>
    <n v="1"/>
    <n v="2023"/>
    <n v="10"/>
    <n v="10"/>
    <x v="0"/>
    <x v="0"/>
    <n v="-341.28"/>
  </r>
  <r>
    <d v="2024-01-18T00:00:00"/>
    <s v="OPT-NIFTY-18-Jan-2024-21500-C-E-I"/>
    <s v="NSE"/>
    <x v="0"/>
    <n v="50"/>
    <n v="0"/>
    <n v="35.65"/>
    <n v="1782.5"/>
    <s v="#202401183700010258"/>
    <n v="1.1100000000000001"/>
    <n v="0.9"/>
    <n v="0"/>
    <n v="0"/>
    <n v="20"/>
    <n v="3.76"/>
    <n v="25.77"/>
    <n v="2024"/>
    <n v="1"/>
    <n v="2023"/>
    <n v="10"/>
    <n v="10"/>
    <x v="0"/>
    <x v="0"/>
    <n v="1756.73"/>
  </r>
  <r>
    <d v="2024-01-18T00:00:00"/>
    <s v="OPT-NIFTY-18-Jan-2024-21500-C-E-I"/>
    <s v="NSE"/>
    <x v="0"/>
    <n v="50"/>
    <n v="0"/>
    <n v="35.65"/>
    <n v="1782.5"/>
    <s v="#202401183700010257"/>
    <n v="1.1100000000000001"/>
    <n v="0.9"/>
    <n v="0"/>
    <n v="0"/>
    <n v="20"/>
    <n v="3.76"/>
    <n v="25.77"/>
    <n v="2024"/>
    <n v="1"/>
    <n v="2023"/>
    <n v="10"/>
    <n v="10"/>
    <x v="0"/>
    <x v="0"/>
    <n v="1756.73"/>
  </r>
  <r>
    <d v="2024-01-18T00:00:00"/>
    <s v="OPT-NIFTY-18-Jan-2024-21500-C-E-I"/>
    <s v="NSE"/>
    <x v="1"/>
    <n v="50"/>
    <n v="0"/>
    <n v="10.75"/>
    <n v="537.5"/>
    <s v="#202401183700007449"/>
    <n v="0"/>
    <n v="0.27"/>
    <n v="0"/>
    <n v="0"/>
    <n v="20"/>
    <n v="3.64"/>
    <n v="23.91"/>
    <n v="2024"/>
    <n v="1"/>
    <n v="2023"/>
    <n v="10"/>
    <n v="10"/>
    <x v="0"/>
    <x v="0"/>
    <n v="-561.41"/>
  </r>
  <r>
    <d v="2024-01-18T00:00:00"/>
    <s v="OPT-NIFTY-18-Jan-2024-21500-C-E-I"/>
    <s v="NSE"/>
    <x v="1"/>
    <n v="50"/>
    <n v="0"/>
    <n v="10.6"/>
    <n v="530"/>
    <s v="#202401183700007239"/>
    <n v="0"/>
    <n v="0.27"/>
    <n v="0"/>
    <n v="0"/>
    <n v="20"/>
    <n v="3.64"/>
    <n v="23.91"/>
    <n v="2024"/>
    <n v="1"/>
    <n v="2023"/>
    <n v="10"/>
    <n v="10"/>
    <x v="0"/>
    <x v="0"/>
    <n v="-553.91"/>
  </r>
  <r>
    <d v="2024-01-18T00:00:00"/>
    <s v="OPT-NIFTY-18-Jan-2024-21600-C-E-I"/>
    <s v="NSE"/>
    <x v="0"/>
    <n v="50"/>
    <n v="0"/>
    <n v="3.35"/>
    <n v="167.5"/>
    <s v="#202401183700004493"/>
    <n v="0.1"/>
    <n v="0.08"/>
    <n v="0"/>
    <n v="0"/>
    <n v="20"/>
    <n v="3.62"/>
    <n v="23.8"/>
    <n v="2024"/>
    <n v="1"/>
    <n v="2023"/>
    <n v="10"/>
    <n v="10"/>
    <x v="0"/>
    <x v="0"/>
    <n v="143.69999999999999"/>
  </r>
  <r>
    <d v="2024-01-18T00:00:00"/>
    <s v="OPT-NIFTY-18-Jan-2024-21600-C-E-I"/>
    <s v="NSE"/>
    <x v="1"/>
    <n v="50"/>
    <n v="0"/>
    <n v="9.5"/>
    <n v="475"/>
    <s v="#202401183700001475"/>
    <n v="0"/>
    <n v="0.24"/>
    <n v="0"/>
    <n v="0"/>
    <n v="20"/>
    <n v="3.64"/>
    <n v="23.88"/>
    <n v="2024"/>
    <n v="1"/>
    <n v="2023"/>
    <n v="10"/>
    <n v="10"/>
    <x v="0"/>
    <x v="0"/>
    <n v="-498.88"/>
  </r>
  <r>
    <d v="2024-01-19T00:00:00"/>
    <s v="OPT-CNXBAN-25-Jan-2024-46000-P-E-I"/>
    <s v="NSE"/>
    <x v="0"/>
    <n v="30"/>
    <n v="0"/>
    <n v="437.4"/>
    <n v="13122"/>
    <s v="#202401193700009376"/>
    <n v="8"/>
    <n v="6.63"/>
    <n v="0"/>
    <n v="0.01"/>
    <n v="40"/>
    <n v="8.4"/>
    <n v="63.04"/>
    <n v="2024"/>
    <n v="1"/>
    <n v="2023"/>
    <n v="10"/>
    <n v="10"/>
    <x v="0"/>
    <x v="0"/>
    <n v="13058.96"/>
  </r>
  <r>
    <d v="2024-01-19T00:00:00"/>
    <s v="OPT-CNXBAN-25-Jan-2024-46000-P-E-I"/>
    <s v="NSE"/>
    <x v="1"/>
    <n v="15"/>
    <n v="0"/>
    <n v="324"/>
    <n v="4860"/>
    <s v="#202401193700008227"/>
    <n v="0"/>
    <n v="2.4500000000000002"/>
    <n v="0"/>
    <n v="0"/>
    <n v="20"/>
    <n v="4.04"/>
    <n v="26.49"/>
    <n v="2024"/>
    <n v="1"/>
    <n v="2023"/>
    <n v="10"/>
    <n v="10"/>
    <x v="0"/>
    <x v="0"/>
    <n v="-4886.49"/>
  </r>
  <r>
    <d v="2024-01-19T00:00:00"/>
    <s v="OPT-CNXBAN-25-Jan-2024-46000-P-E-I"/>
    <s v="NSE"/>
    <x v="1"/>
    <n v="15"/>
    <n v="0"/>
    <n v="323.45"/>
    <n v="4851.75"/>
    <s v="#202401193700007925"/>
    <n v="0"/>
    <n v="2.4500000000000002"/>
    <n v="0"/>
    <n v="0"/>
    <n v="20"/>
    <n v="4.04"/>
    <n v="26.49"/>
    <n v="2024"/>
    <n v="1"/>
    <n v="2023"/>
    <n v="10"/>
    <n v="10"/>
    <x v="0"/>
    <x v="0"/>
    <n v="-4878.24"/>
  </r>
  <r>
    <d v="2024-01-23T00:00:00"/>
    <s v="OPT-GUJGA-25-Jan-2024-560-C-E-S"/>
    <s v="NSE"/>
    <x v="0"/>
    <n v="1250"/>
    <n v="0"/>
    <n v="4.5999999999999996"/>
    <n v="5750"/>
    <s v="#202401233700026904"/>
    <n v="3.59"/>
    <n v="2.9"/>
    <n v="0"/>
    <n v="0.01"/>
    <n v="20"/>
    <n v="4.12"/>
    <n v="30.62"/>
    <n v="2024"/>
    <n v="1"/>
    <n v="2023"/>
    <n v="10"/>
    <n v="10"/>
    <x v="0"/>
    <x v="0"/>
    <n v="5719.38"/>
  </r>
  <r>
    <d v="2024-01-23T00:00:00"/>
    <s v="OPT-GUJGA-25-Jan-2024-560-C-E-S"/>
    <s v="NSE"/>
    <x v="1"/>
    <n v="1250"/>
    <n v="0"/>
    <n v="7.5"/>
    <n v="9375"/>
    <s v="#202401233700016186"/>
    <n v="0"/>
    <n v="4.7300000000000004"/>
    <n v="0.71"/>
    <n v="0.01"/>
    <n v="20"/>
    <n v="4.46"/>
    <n v="29.91"/>
    <n v="2024"/>
    <n v="1"/>
    <n v="2023"/>
    <n v="10"/>
    <n v="10"/>
    <x v="0"/>
    <x v="0"/>
    <n v="-9404.91"/>
  </r>
  <r>
    <d v="2024-01-23T00:00:00"/>
    <s v="OPT-NIFFIN-23-Jan-2024-20700-C-E-I"/>
    <s v="NSE"/>
    <x v="0"/>
    <n v="40"/>
    <n v="0"/>
    <n v="4.3499999999999996"/>
    <n v="174"/>
    <s v="#202401233700008238"/>
    <n v="0.28000000000000003"/>
    <n v="0.09"/>
    <n v="0"/>
    <n v="0"/>
    <n v="20"/>
    <n v="3.62"/>
    <n v="23.99"/>
    <n v="2024"/>
    <n v="1"/>
    <n v="2023"/>
    <n v="10"/>
    <n v="10"/>
    <x v="0"/>
    <x v="0"/>
    <n v="150.01"/>
  </r>
  <r>
    <d v="2024-01-23T00:00:00"/>
    <s v="OPT-NIFFIN-23-Jan-2024-20700-C-E-I"/>
    <s v="NSE"/>
    <x v="0"/>
    <n v="160"/>
    <n v="0"/>
    <n v="5.75"/>
    <n v="920"/>
    <s v="#202401233700007908"/>
    <n v="0.57999999999999996"/>
    <n v="0.46"/>
    <n v="0"/>
    <n v="0"/>
    <n v="80"/>
    <n v="14.48"/>
    <n v="95.52"/>
    <n v="2024"/>
    <n v="1"/>
    <n v="2023"/>
    <n v="10"/>
    <n v="10"/>
    <x v="0"/>
    <x v="0"/>
    <n v="824.48"/>
  </r>
  <r>
    <d v="2024-01-23T00:00:00"/>
    <s v="OPT-NIFFIN-23-Jan-2024-20700-C-E-I"/>
    <s v="NSE"/>
    <x v="0"/>
    <n v="40"/>
    <n v="0"/>
    <n v="5.8"/>
    <n v="232"/>
    <s v="#202401233700007202"/>
    <n v="0.15"/>
    <n v="0.12"/>
    <n v="0"/>
    <n v="0"/>
    <n v="20"/>
    <n v="3.62"/>
    <n v="23.89"/>
    <n v="2024"/>
    <n v="1"/>
    <n v="2023"/>
    <n v="10"/>
    <n v="10"/>
    <x v="0"/>
    <x v="0"/>
    <n v="208.11"/>
  </r>
  <r>
    <d v="2024-01-23T00:00:00"/>
    <s v="OPT-NIFTY-25-Jan-2024-21700-P-E-I"/>
    <s v="NSE"/>
    <x v="0"/>
    <n v="50"/>
    <n v="0"/>
    <n v="108.9"/>
    <n v="5445"/>
    <s v="#202401233700004840"/>
    <n v="3.4"/>
    <n v="2.75"/>
    <n v="0"/>
    <n v="0.01"/>
    <n v="20"/>
    <n v="4.0999999999999996"/>
    <n v="30.26"/>
    <n v="2024"/>
    <n v="1"/>
    <n v="2023"/>
    <n v="10"/>
    <n v="10"/>
    <x v="0"/>
    <x v="0"/>
    <n v="5414.74"/>
  </r>
  <r>
    <d v="2024-01-23T00:00:00"/>
    <s v="OPT-NIFFIN-23-Jan-2024-20700-C-E-I"/>
    <s v="NSE"/>
    <x v="1"/>
    <n v="40"/>
    <n v="0"/>
    <n v="11.25"/>
    <n v="450"/>
    <s v="#202401233700004524"/>
    <n v="0"/>
    <n v="0.23"/>
    <n v="0"/>
    <n v="0"/>
    <n v="20"/>
    <n v="3.64"/>
    <n v="23.87"/>
    <n v="2024"/>
    <n v="1"/>
    <n v="2023"/>
    <n v="10"/>
    <n v="10"/>
    <x v="0"/>
    <x v="0"/>
    <n v="-473.87"/>
  </r>
  <r>
    <d v="2024-01-23T00:00:00"/>
    <s v="OPT-NIFFIN-23-Jan-2024-20700-C-E-I"/>
    <s v="NSE"/>
    <x v="1"/>
    <n v="40"/>
    <n v="0"/>
    <n v="16.55"/>
    <n v="662"/>
    <s v="#202401233700004149"/>
    <n v="0"/>
    <n v="0.33"/>
    <n v="0"/>
    <n v="0"/>
    <n v="20"/>
    <n v="3.66"/>
    <n v="23.99"/>
    <n v="2024"/>
    <n v="1"/>
    <n v="2023"/>
    <n v="10"/>
    <n v="10"/>
    <x v="0"/>
    <x v="0"/>
    <n v="-685.99"/>
  </r>
  <r>
    <d v="2024-01-23T00:00:00"/>
    <s v="OPT-NIFFIN-23-Jan-2024-20700-C-E-I"/>
    <s v="NSE"/>
    <x v="1"/>
    <n v="40"/>
    <n v="0"/>
    <n v="22.05"/>
    <n v="882"/>
    <s v="#202401233700003692"/>
    <n v="0"/>
    <n v="0.45"/>
    <n v="0"/>
    <n v="0"/>
    <n v="20"/>
    <n v="3.68"/>
    <n v="24.13"/>
    <n v="2024"/>
    <n v="1"/>
    <n v="2023"/>
    <n v="10"/>
    <n v="10"/>
    <x v="0"/>
    <x v="0"/>
    <n v="-906.13"/>
  </r>
  <r>
    <d v="2024-01-23T00:00:00"/>
    <s v="OPT-NIFTY-25-Jan-2024-21700-P-E-I"/>
    <s v="NSE"/>
    <x v="1"/>
    <n v="50"/>
    <n v="0"/>
    <n v="75.7"/>
    <n v="3785"/>
    <s v="#202401233700002870"/>
    <n v="0"/>
    <n v="1.91"/>
    <n v="0.11"/>
    <n v="0"/>
    <n v="20"/>
    <n v="3.94"/>
    <n v="25.96"/>
    <n v="2024"/>
    <n v="1"/>
    <n v="2023"/>
    <n v="10"/>
    <n v="10"/>
    <x v="0"/>
    <x v="0"/>
    <n v="-3810.96"/>
  </r>
  <r>
    <d v="2024-01-23T00:00:00"/>
    <s v="OPT-NIFFIN-23-Jan-2024-20700-C-E-I"/>
    <s v="NSE"/>
    <x v="1"/>
    <n v="40"/>
    <n v="0"/>
    <n v="24.3"/>
    <n v="972"/>
    <s v="#202401233700002650"/>
    <n v="0"/>
    <n v="0.49"/>
    <n v="0"/>
    <n v="0"/>
    <n v="20"/>
    <n v="3.68"/>
    <n v="24.17"/>
    <n v="2024"/>
    <n v="1"/>
    <n v="2023"/>
    <n v="10"/>
    <n v="10"/>
    <x v="0"/>
    <x v="0"/>
    <n v="-996.17"/>
  </r>
  <r>
    <d v="2024-01-23T00:00:00"/>
    <s v="OPT-NIFFIN-23-Jan-2024-20700-C-E-I"/>
    <s v="NSE"/>
    <x v="1"/>
    <n v="40"/>
    <n v="0"/>
    <n v="30.1"/>
    <n v="1204"/>
    <s v="#202401233700002287"/>
    <n v="0"/>
    <n v="0.61"/>
    <n v="0"/>
    <n v="0"/>
    <n v="20"/>
    <n v="3.7"/>
    <n v="24.31"/>
    <n v="2024"/>
    <n v="1"/>
    <n v="2023"/>
    <n v="10"/>
    <n v="10"/>
    <x v="0"/>
    <x v="0"/>
    <n v="-1228.31"/>
  </r>
  <r>
    <d v="2024-01-23T00:00:00"/>
    <s v="OPT-NIFFIN-23-Jan-2024-20700-C-E-I"/>
    <s v="NSE"/>
    <x v="1"/>
    <n v="40"/>
    <n v="0"/>
    <n v="41.9"/>
    <n v="1676"/>
    <s v="#202401233700001458"/>
    <n v="0"/>
    <n v="0.85"/>
    <n v="0.18"/>
    <n v="0"/>
    <n v="20"/>
    <n v="3.76"/>
    <n v="24.79"/>
    <n v="2024"/>
    <n v="1"/>
    <n v="2023"/>
    <n v="10"/>
    <n v="10"/>
    <x v="0"/>
    <x v="0"/>
    <n v="-1700.79"/>
  </r>
  <r>
    <d v="2024-01-24T00:00:00"/>
    <s v="OPT-CNXBAN-25-Jan-2024-44800-C-E-I"/>
    <s v="NSE"/>
    <x v="0"/>
    <n v="15"/>
    <n v="0"/>
    <n v="402.3"/>
    <n v="6034.5"/>
    <s v="#202401243700025304"/>
    <n v="3.45"/>
    <n v="3.05"/>
    <n v="0"/>
    <n v="0.01"/>
    <n v="20"/>
    <n v="4.16"/>
    <n v="30.67"/>
    <n v="2024"/>
    <n v="1"/>
    <n v="2023"/>
    <n v="10"/>
    <n v="10"/>
    <x v="0"/>
    <x v="0"/>
    <n v="6003.83"/>
  </r>
  <r>
    <d v="2024-01-24T00:00:00"/>
    <s v="OPT-CNXBAN-25-Jan-2024-44800-C-E-I"/>
    <s v="NSE"/>
    <x v="1"/>
    <n v="15"/>
    <n v="0"/>
    <n v="248.5"/>
    <n v="3727.5"/>
    <s v="#202401243700023874"/>
    <n v="0"/>
    <n v="1.88"/>
    <n v="0"/>
    <n v="0"/>
    <n v="20"/>
    <n v="3.94"/>
    <n v="25.82"/>
    <n v="2024"/>
    <n v="1"/>
    <n v="2023"/>
    <n v="10"/>
    <n v="10"/>
    <x v="0"/>
    <x v="0"/>
    <n v="-3753.32"/>
  </r>
  <r>
    <d v="2024-01-24T00:00:00"/>
    <s v="OPT-CNXBAN-25-Jan-2024-45500-C-E-I"/>
    <s v="NSE"/>
    <x v="0"/>
    <n v="15"/>
    <n v="0"/>
    <n v="116.25"/>
    <n v="1743.75"/>
    <s v="#202401243700013686"/>
    <n v="1.0900000000000001"/>
    <n v="0.88"/>
    <n v="0"/>
    <n v="0"/>
    <n v="20"/>
    <n v="3.76"/>
    <n v="25.73"/>
    <n v="2024"/>
    <n v="1"/>
    <n v="2023"/>
    <n v="10"/>
    <n v="10"/>
    <x v="0"/>
    <x v="0"/>
    <n v="1718.02"/>
  </r>
  <r>
    <d v="2024-01-24T00:00:00"/>
    <s v="OPT-CNXBAN-25-Jan-2024-45500-C-E-I"/>
    <s v="NSE"/>
    <x v="0"/>
    <n v="15"/>
    <n v="0"/>
    <n v="116.25"/>
    <n v="1743.75"/>
    <s v="#202401243700013685"/>
    <n v="1.0900000000000001"/>
    <n v="0.88"/>
    <n v="0"/>
    <n v="0"/>
    <n v="20"/>
    <n v="3.76"/>
    <n v="25.73"/>
    <n v="2024"/>
    <n v="1"/>
    <n v="2023"/>
    <n v="10"/>
    <n v="10"/>
    <x v="0"/>
    <x v="0"/>
    <n v="1718.02"/>
  </r>
  <r>
    <d v="2024-01-24T00:00:00"/>
    <s v="OPT-CNXBAN-25-Jan-2024-45500-C-E-I"/>
    <s v="NSE"/>
    <x v="1"/>
    <n v="15"/>
    <n v="0"/>
    <n v="95.8"/>
    <n v="1437"/>
    <s v="#202401243700012661"/>
    <n v="0"/>
    <n v="0.73"/>
    <n v="0"/>
    <n v="0"/>
    <n v="20"/>
    <n v="3.74"/>
    <n v="24.47"/>
    <n v="2024"/>
    <n v="1"/>
    <n v="2023"/>
    <n v="10"/>
    <n v="10"/>
    <x v="0"/>
    <x v="0"/>
    <n v="-1461.47"/>
  </r>
  <r>
    <d v="2024-01-24T00:00:00"/>
    <s v="OPT-CNXBAN-25-Jan-2024-45500-C-E-I"/>
    <s v="NSE"/>
    <x v="1"/>
    <n v="15"/>
    <n v="0"/>
    <n v="104.5"/>
    <n v="1567.5"/>
    <s v="#202401243700012385"/>
    <n v="0"/>
    <n v="0.79"/>
    <n v="0"/>
    <n v="0"/>
    <n v="20"/>
    <n v="3.74"/>
    <n v="24.53"/>
    <n v="2024"/>
    <n v="1"/>
    <n v="2023"/>
    <n v="10"/>
    <n v="10"/>
    <x v="0"/>
    <x v="0"/>
    <n v="-1592.03"/>
  </r>
  <r>
    <d v="2024-01-24T00:00:00"/>
    <s v="OPT-CNXBAN-25-Jan-2024-45000-P-E-I"/>
    <s v="NSE"/>
    <x v="0"/>
    <n v="15"/>
    <n v="0"/>
    <n v="286.60000000000002"/>
    <n v="4299"/>
    <s v="#202401243700012190"/>
    <n v="2.69"/>
    <n v="2.17"/>
    <n v="0"/>
    <n v="0"/>
    <n v="20"/>
    <n v="4"/>
    <n v="28.86"/>
    <n v="2024"/>
    <n v="1"/>
    <n v="2023"/>
    <n v="10"/>
    <n v="10"/>
    <x v="0"/>
    <x v="0"/>
    <n v="4270.1400000000003"/>
  </r>
  <r>
    <d v="2024-01-24T00:00:00"/>
    <s v="OPT-CNXBAN-25-Jan-2024-45000-P-E-I"/>
    <s v="NSE"/>
    <x v="0"/>
    <n v="15"/>
    <n v="0"/>
    <n v="286.60000000000002"/>
    <n v="4299"/>
    <s v="#202401243700012189"/>
    <n v="2.69"/>
    <n v="2.17"/>
    <n v="0"/>
    <n v="0"/>
    <n v="20"/>
    <n v="4"/>
    <n v="28.86"/>
    <n v="2024"/>
    <n v="1"/>
    <n v="2023"/>
    <n v="10"/>
    <n v="10"/>
    <x v="0"/>
    <x v="0"/>
    <n v="4270.1400000000003"/>
  </r>
  <r>
    <d v="2024-01-24T00:00:00"/>
    <s v="OPT-CNXBAN-25-Jan-2024-45000-P-E-I"/>
    <s v="NSE"/>
    <x v="1"/>
    <n v="15"/>
    <n v="0"/>
    <n v="157.19999999999999"/>
    <n v="2358"/>
    <s v="#202401243700010306"/>
    <n v="0"/>
    <n v="1.19"/>
    <n v="0"/>
    <n v="0"/>
    <n v="20"/>
    <n v="3.82"/>
    <n v="25.01"/>
    <n v="2024"/>
    <n v="1"/>
    <n v="2023"/>
    <n v="10"/>
    <n v="10"/>
    <x v="0"/>
    <x v="0"/>
    <n v="-2383.0100000000002"/>
  </r>
  <r>
    <d v="2024-01-24T00:00:00"/>
    <s v="OPT-CNXBAN-25-Jan-2024-45000-P-E-I"/>
    <s v="NSE"/>
    <x v="1"/>
    <n v="15"/>
    <n v="0"/>
    <n v="216.95"/>
    <n v="3254.25"/>
    <s v="#202401243700009876"/>
    <n v="0"/>
    <n v="1.64"/>
    <n v="0"/>
    <n v="0"/>
    <n v="20"/>
    <n v="3.9"/>
    <n v="25.54"/>
    <n v="2024"/>
    <n v="1"/>
    <n v="2023"/>
    <n v="10"/>
    <n v="10"/>
    <x v="0"/>
    <x v="0"/>
    <n v="-3279.79"/>
  </r>
  <r>
    <d v="2024-01-25T00:00:00"/>
    <s v="OPT-NIFTY-25-Jan-2024-21300-P-E-I"/>
    <s v="NSE"/>
    <x v="0"/>
    <n v="100"/>
    <n v="0"/>
    <n v="57"/>
    <n v="5700"/>
    <s v="#202401253700020304"/>
    <n v="3.56"/>
    <n v="2.88"/>
    <n v="0"/>
    <n v="0.01"/>
    <n v="40"/>
    <n v="7.72"/>
    <n v="54.17"/>
    <n v="2024"/>
    <n v="1"/>
    <n v="2023"/>
    <n v="10"/>
    <n v="10"/>
    <x v="0"/>
    <x v="0"/>
    <n v="5645.83"/>
  </r>
  <r>
    <d v="2024-01-25T00:00:00"/>
    <s v="OPT-NIFTY-25-Jan-2024-21300-P-E-I"/>
    <s v="NSE"/>
    <x v="1"/>
    <n v="100"/>
    <n v="0"/>
    <n v="44.85"/>
    <n v="4485"/>
    <s v="#202401253700020156"/>
    <n v="0"/>
    <n v="2.2599999999999998"/>
    <n v="0.37"/>
    <n v="0"/>
    <n v="40"/>
    <n v="7.6"/>
    <n v="50.23"/>
    <n v="2024"/>
    <n v="1"/>
    <n v="2023"/>
    <n v="10"/>
    <n v="10"/>
    <x v="0"/>
    <x v="0"/>
    <n v="-4535.2299999999996"/>
  </r>
  <r>
    <d v="2024-01-25T00:00:00"/>
    <s v="OPT-NIFTY-25-Jan-2024-21300-P-E-I"/>
    <s v="NSE"/>
    <x v="0"/>
    <n v="200"/>
    <n v="0"/>
    <n v="55"/>
    <n v="11000"/>
    <s v="#202401253700017592"/>
    <n v="6.88"/>
    <n v="5.56"/>
    <n v="0"/>
    <n v="0.01"/>
    <n v="80"/>
    <n v="15.42"/>
    <n v="107.87"/>
    <n v="2024"/>
    <n v="1"/>
    <n v="2023"/>
    <n v="10"/>
    <n v="10"/>
    <x v="0"/>
    <x v="0"/>
    <n v="10892.13"/>
  </r>
  <r>
    <d v="2024-01-25T00:00:00"/>
    <s v="OPT-NIFTY-25-Jan-2024-21300-P-E-I"/>
    <s v="NSE"/>
    <x v="1"/>
    <n v="200"/>
    <n v="0"/>
    <n v="45.4"/>
    <n v="9080"/>
    <s v="#202401253700016766"/>
    <n v="0"/>
    <n v="4.59"/>
    <n v="0"/>
    <n v="0"/>
    <n v="80"/>
    <n v="15.22"/>
    <n v="99.81"/>
    <n v="2024"/>
    <n v="1"/>
    <n v="2023"/>
    <n v="10"/>
    <n v="10"/>
    <x v="0"/>
    <x v="0"/>
    <n v="-9179.81"/>
  </r>
  <r>
    <d v="2024-01-25T00:00:00"/>
    <s v="OPT-NIFTY-25-Jan-2024-21400-C-E-I"/>
    <s v="NSE"/>
    <x v="0"/>
    <n v="300"/>
    <n v="0"/>
    <n v="14.15"/>
    <n v="4245"/>
    <s v="#202401253700016679"/>
    <n v="2.65"/>
    <n v="2.15"/>
    <n v="0"/>
    <n v="0"/>
    <n v="120"/>
    <n v="21.98"/>
    <n v="146.78"/>
    <n v="2024"/>
    <n v="1"/>
    <n v="2023"/>
    <n v="10"/>
    <n v="10"/>
    <x v="0"/>
    <x v="0"/>
    <n v="4098.22"/>
  </r>
  <r>
    <d v="2024-01-25T00:00:00"/>
    <s v="OPT-NIFTY-25-Jan-2024-21400-C-E-I"/>
    <s v="NSE"/>
    <x v="1"/>
    <n v="100"/>
    <n v="0"/>
    <n v="19.75"/>
    <n v="1975"/>
    <s v="#202401253700015563"/>
    <n v="0"/>
    <n v="1"/>
    <n v="0"/>
    <n v="0"/>
    <n v="40"/>
    <n v="7.38"/>
    <n v="48.38"/>
    <n v="2024"/>
    <n v="1"/>
    <n v="2023"/>
    <n v="10"/>
    <n v="10"/>
    <x v="0"/>
    <x v="0"/>
    <n v="-2023.38"/>
  </r>
  <r>
    <d v="2024-01-25T00:00:00"/>
    <s v="OPT-NIFTY-25-Jan-2024-21400-C-E-I"/>
    <s v="NSE"/>
    <x v="1"/>
    <n v="100"/>
    <n v="0"/>
    <n v="19.8"/>
    <n v="1980"/>
    <s v="#202401253700015418"/>
    <n v="0"/>
    <n v="1"/>
    <n v="0.4"/>
    <n v="0"/>
    <n v="40"/>
    <n v="7.38"/>
    <n v="48.78"/>
    <n v="2024"/>
    <n v="1"/>
    <n v="2023"/>
    <n v="10"/>
    <n v="10"/>
    <x v="0"/>
    <x v="0"/>
    <n v="-2028.78"/>
  </r>
  <r>
    <d v="2024-01-25T00:00:00"/>
    <s v="OPT-NIFTY-25-Jan-2024-21400-C-E-I"/>
    <s v="NSE"/>
    <x v="1"/>
    <n v="100"/>
    <n v="0"/>
    <n v="21.55"/>
    <n v="2155"/>
    <s v="#202401253700013772"/>
    <n v="0"/>
    <n v="1.0900000000000001"/>
    <n v="0"/>
    <n v="0"/>
    <n v="40"/>
    <n v="7.4"/>
    <n v="48.49"/>
    <n v="2024"/>
    <n v="1"/>
    <n v="2023"/>
    <n v="10"/>
    <n v="10"/>
    <x v="0"/>
    <x v="0"/>
    <n v="-2203.4899999999998"/>
  </r>
  <r>
    <d v="2024-01-25T00:00:00"/>
    <s v="OPT-NIFTY-25-Jan-2024-21400-C-E-I"/>
    <s v="NSE"/>
    <x v="0"/>
    <n v="100"/>
    <n v="0"/>
    <n v="15.95"/>
    <n v="1595"/>
    <s v="#202401253700010839"/>
    <n v="1"/>
    <n v="0.81"/>
    <n v="0"/>
    <n v="0"/>
    <n v="40"/>
    <n v="7.34"/>
    <n v="49.15"/>
    <n v="2024"/>
    <n v="1"/>
    <n v="2023"/>
    <n v="10"/>
    <n v="10"/>
    <x v="0"/>
    <x v="0"/>
    <n v="1545.85"/>
  </r>
  <r>
    <d v="2024-01-25T00:00:00"/>
    <s v="OPT-NIFTY-25-Jan-2024-21400-C-E-I"/>
    <s v="NSE"/>
    <x v="1"/>
    <n v="100"/>
    <n v="0"/>
    <n v="26.65"/>
    <n v="2665"/>
    <s v="#202401253700009131"/>
    <n v="0"/>
    <n v="1.35"/>
    <n v="0"/>
    <n v="0"/>
    <n v="40"/>
    <n v="7.44"/>
    <n v="48.79"/>
    <n v="2024"/>
    <n v="1"/>
    <n v="2023"/>
    <n v="10"/>
    <n v="10"/>
    <x v="0"/>
    <x v="0"/>
    <n v="-2713.79"/>
  </r>
  <r>
    <d v="2024-01-25T00:00:00"/>
    <s v="OPT-NIFTY-25-Jan-2024-21400-P-E-I"/>
    <s v="NSE"/>
    <x v="0"/>
    <n v="50"/>
    <n v="0"/>
    <n v="116.1"/>
    <n v="5805"/>
    <s v="#202401253700008328"/>
    <n v="3.63"/>
    <n v="2.93"/>
    <n v="0"/>
    <n v="0.01"/>
    <n v="20"/>
    <n v="4.12"/>
    <n v="30.69"/>
    <n v="2024"/>
    <n v="1"/>
    <n v="2023"/>
    <n v="10"/>
    <n v="10"/>
    <x v="0"/>
    <x v="0"/>
    <n v="5774.31"/>
  </r>
  <r>
    <d v="2024-01-25T00:00:00"/>
    <s v="OPT-NIFTY-25-Jan-2024-21400-C-E-I"/>
    <s v="NSE"/>
    <x v="0"/>
    <n v="50"/>
    <n v="0"/>
    <n v="32.75"/>
    <n v="1637.5"/>
    <s v="#202401253700006833"/>
    <n v="1.02"/>
    <n v="0.83"/>
    <n v="0"/>
    <n v="0"/>
    <n v="20"/>
    <n v="3.74"/>
    <n v="25.59"/>
    <n v="2024"/>
    <n v="1"/>
    <n v="2023"/>
    <n v="10"/>
    <n v="10"/>
    <x v="0"/>
    <x v="0"/>
    <n v="1611.91"/>
  </r>
  <r>
    <d v="2024-01-25T00:00:00"/>
    <s v="OPT-NIFTY-25-Jan-2024-21400-P-E-I"/>
    <s v="NSE"/>
    <x v="1"/>
    <n v="50"/>
    <n v="0"/>
    <n v="83.7"/>
    <n v="4185"/>
    <s v="#202401253700006307"/>
    <n v="0"/>
    <n v="2.11"/>
    <n v="0"/>
    <n v="0"/>
    <n v="20"/>
    <n v="3.98"/>
    <n v="26.09"/>
    <n v="2024"/>
    <n v="1"/>
    <n v="2023"/>
    <n v="10"/>
    <n v="10"/>
    <x v="0"/>
    <x v="0"/>
    <n v="-4211.09"/>
  </r>
  <r>
    <d v="2024-01-25T00:00:00"/>
    <s v="OPT-NIFTY-25-Jan-2024-21400-P-E-I"/>
    <s v="NSE"/>
    <x v="0"/>
    <n v="50"/>
    <n v="0"/>
    <n v="72.400000000000006"/>
    <n v="3620"/>
    <s v="#202401253700005092"/>
    <n v="2.2599999999999998"/>
    <n v="1.83"/>
    <n v="0"/>
    <n v="0"/>
    <n v="20"/>
    <n v="3.92"/>
    <n v="28.01"/>
    <n v="2024"/>
    <n v="1"/>
    <n v="2023"/>
    <n v="10"/>
    <n v="10"/>
    <x v="0"/>
    <x v="0"/>
    <n v="3591.99"/>
  </r>
  <r>
    <d v="2024-01-25T00:00:00"/>
    <s v="OPT-NIFTY-25-Jan-2024-21400-P-E-I"/>
    <s v="NSE"/>
    <x v="1"/>
    <n v="50"/>
    <n v="0"/>
    <n v="67.95"/>
    <n v="3397.5"/>
    <s v="#202401253700004529"/>
    <n v="0"/>
    <n v="1.72"/>
    <n v="0.23"/>
    <n v="0"/>
    <n v="20"/>
    <n v="3.9"/>
    <n v="25.85"/>
    <n v="2024"/>
    <n v="1"/>
    <n v="2023"/>
    <n v="10"/>
    <n v="10"/>
    <x v="0"/>
    <x v="0"/>
    <n v="-3423.35"/>
  </r>
  <r>
    <d v="2024-01-25T00:00:00"/>
    <s v="OPT-NIFTY-25-Jan-2024-21400-C-E-I"/>
    <s v="NSE"/>
    <x v="1"/>
    <n v="50"/>
    <n v="0"/>
    <n v="89.05"/>
    <n v="4452.5"/>
    <s v="#202401252500000521"/>
    <n v="0"/>
    <n v="2.25"/>
    <n v="0"/>
    <n v="0"/>
    <n v="20"/>
    <n v="4"/>
    <n v="26.25"/>
    <n v="2024"/>
    <n v="1"/>
    <n v="2023"/>
    <n v="10"/>
    <n v="10"/>
    <x v="0"/>
    <x v="0"/>
    <n v="-4478.75"/>
  </r>
  <r>
    <d v="2024-01-29T00:00:00"/>
    <s v="OPT-NIFTY-01-Feb-2024-21500-P-E-I"/>
    <s v="NSE"/>
    <x v="0"/>
    <n v="50"/>
    <n v="0"/>
    <n v="88.4"/>
    <n v="4420"/>
    <s v="#202401293700018860"/>
    <n v="2.76"/>
    <n v="2.23"/>
    <n v="0"/>
    <n v="0"/>
    <n v="20"/>
    <n v="4"/>
    <n v="28.99"/>
    <n v="2024"/>
    <n v="1"/>
    <n v="2023"/>
    <n v="10"/>
    <n v="10"/>
    <x v="0"/>
    <x v="0"/>
    <n v="4391.01"/>
  </r>
  <r>
    <d v="2024-01-29T00:00:00"/>
    <s v="OPT-NIFTY-01-Feb-2024-21500-P-E-I"/>
    <s v="NSE"/>
    <x v="1"/>
    <n v="50"/>
    <n v="0"/>
    <n v="95"/>
    <n v="4750"/>
    <s v="#202401293700015173"/>
    <n v="0"/>
    <n v="2.4"/>
    <n v="0"/>
    <n v="0"/>
    <n v="20"/>
    <n v="4.04"/>
    <n v="26.44"/>
    <n v="2024"/>
    <n v="1"/>
    <n v="2023"/>
    <n v="10"/>
    <n v="10"/>
    <x v="0"/>
    <x v="0"/>
    <n v="-4776.4399999999996"/>
  </r>
  <r>
    <d v="2024-01-29T00:00:00"/>
    <s v="OPT-NIFTY-01-Feb-2024-21500-P-E-I"/>
    <s v="NSE"/>
    <x v="0"/>
    <n v="100"/>
    <n v="0"/>
    <n v="89"/>
    <n v="8900"/>
    <s v="#202401293700014382"/>
    <n v="5.56"/>
    <n v="4.49"/>
    <n v="0"/>
    <n v="0.01"/>
    <n v="40"/>
    <n v="8.02"/>
    <n v="58.08"/>
    <n v="2024"/>
    <n v="1"/>
    <n v="2023"/>
    <n v="10"/>
    <n v="10"/>
    <x v="0"/>
    <x v="0"/>
    <n v="8841.92"/>
  </r>
  <r>
    <d v="2024-01-29T00:00:00"/>
    <s v="OPT-NIFSEL-29-Jan-2024-10450-P-E-I"/>
    <s v="NSE"/>
    <x v="0"/>
    <n v="225"/>
    <n v="0"/>
    <n v="0.4"/>
    <n v="90"/>
    <s v="#202401293700014362"/>
    <n v="0.26"/>
    <n v="0.05"/>
    <n v="0"/>
    <n v="0"/>
    <n v="60"/>
    <n v="10.8"/>
    <n v="71.11"/>
    <n v="2024"/>
    <n v="1"/>
    <n v="2023"/>
    <n v="10"/>
    <n v="10"/>
    <x v="0"/>
    <x v="0"/>
    <n v="18.89"/>
  </r>
  <r>
    <d v="2024-01-29T00:00:00"/>
    <s v="OPT-NIFSEL-29-Jan-2024-10450-P-E-I"/>
    <s v="NSE"/>
    <x v="1"/>
    <n v="150"/>
    <n v="0"/>
    <n v="2.2000000000000002"/>
    <n v="330"/>
    <s v="#202401293700012467"/>
    <n v="0"/>
    <n v="0.17"/>
    <n v="0.02"/>
    <n v="0"/>
    <n v="40"/>
    <n v="7.24"/>
    <n v="47.43"/>
    <n v="2024"/>
    <n v="1"/>
    <n v="2023"/>
    <n v="10"/>
    <n v="10"/>
    <x v="0"/>
    <x v="0"/>
    <n v="-377.43"/>
  </r>
  <r>
    <d v="2024-01-29T00:00:00"/>
    <s v="OPT-NIFTY-01-Feb-2024-21500-P-E-I"/>
    <s v="NSE"/>
    <x v="1"/>
    <n v="50"/>
    <n v="0"/>
    <n v="105.45"/>
    <n v="5272.5"/>
    <s v="#202401293700011964"/>
    <n v="0"/>
    <n v="2.66"/>
    <n v="0"/>
    <n v="0.01"/>
    <n v="20"/>
    <n v="4.08"/>
    <n v="26.75"/>
    <n v="2024"/>
    <n v="1"/>
    <n v="2023"/>
    <n v="10"/>
    <n v="10"/>
    <x v="0"/>
    <x v="0"/>
    <n v="-5299.25"/>
  </r>
  <r>
    <d v="2024-01-29T00:00:00"/>
    <s v="OPT-NIFSEL-29-Jan-2024-10450-P-E-I"/>
    <s v="NSE"/>
    <x v="1"/>
    <n v="75"/>
    <n v="0"/>
    <n v="3.55"/>
    <n v="266.25"/>
    <s v="#202401293700011420"/>
    <n v="0"/>
    <n v="0.13"/>
    <n v="0"/>
    <n v="0"/>
    <n v="20"/>
    <n v="3.62"/>
    <n v="23.75"/>
    <n v="2024"/>
    <n v="1"/>
    <n v="2023"/>
    <n v="10"/>
    <n v="10"/>
    <x v="0"/>
    <x v="0"/>
    <n v="-290"/>
  </r>
  <r>
    <d v="2024-01-29T00:00:00"/>
    <s v="OPT-NIFTY-01-Feb-2024-21500-P-E-I"/>
    <s v="NSE"/>
    <x v="1"/>
    <n v="50"/>
    <n v="0"/>
    <n v="120"/>
    <n v="6000"/>
    <s v="#202401293700010256"/>
    <n v="0"/>
    <n v="3.03"/>
    <n v="0"/>
    <n v="0.01"/>
    <n v="20"/>
    <n v="4.1399999999999997"/>
    <n v="27.18"/>
    <n v="2024"/>
    <n v="1"/>
    <n v="2023"/>
    <n v="10"/>
    <n v="10"/>
    <x v="0"/>
    <x v="0"/>
    <n v="-6027.18"/>
  </r>
  <r>
    <d v="2024-01-29T00:00:00"/>
    <s v="OPT-NIFTY-01-Feb-2024-21500-P-E-I"/>
    <s v="NSE"/>
    <x v="0"/>
    <n v="50"/>
    <n v="0"/>
    <n v="117.75"/>
    <n v="5887.5"/>
    <s v="#202401293700007052"/>
    <n v="3.68"/>
    <n v="2.97"/>
    <n v="0"/>
    <n v="0.01"/>
    <n v="20"/>
    <n v="4.1399999999999997"/>
    <n v="30.8"/>
    <n v="2024"/>
    <n v="1"/>
    <n v="2023"/>
    <n v="10"/>
    <n v="10"/>
    <x v="0"/>
    <x v="0"/>
    <n v="5856.7"/>
  </r>
  <r>
    <d v="2024-01-29T00:00:00"/>
    <s v="OPT-NIFTY-01-Feb-2024-21500-P-E-I"/>
    <s v="NSE"/>
    <x v="1"/>
    <n v="50"/>
    <n v="0"/>
    <n v="114.2"/>
    <n v="5710"/>
    <s v="#202401293700005726"/>
    <n v="0"/>
    <n v="2.88"/>
    <n v="0.96"/>
    <n v="0.01"/>
    <n v="20"/>
    <n v="4.12"/>
    <n v="27.97"/>
    <n v="2024"/>
    <n v="1"/>
    <n v="2023"/>
    <n v="10"/>
    <n v="10"/>
    <x v="0"/>
    <x v="0"/>
    <n v="-5737.97"/>
  </r>
  <r>
    <d v="2024-01-29T00:00:00"/>
    <s v="OPT-NIFSEL-29-Jan-2024-10600-C-E-I"/>
    <s v="NSE"/>
    <x v="0"/>
    <n v="75"/>
    <n v="0"/>
    <n v="18.55"/>
    <n v="1391.25"/>
    <s v="#202401293700004864"/>
    <n v="0.87"/>
    <n v="0.7"/>
    <n v="0"/>
    <n v="0"/>
    <n v="20"/>
    <n v="3.72"/>
    <n v="25.29"/>
    <n v="2024"/>
    <n v="1"/>
    <n v="2023"/>
    <n v="10"/>
    <n v="10"/>
    <x v="0"/>
    <x v="0"/>
    <n v="1365.96"/>
  </r>
  <r>
    <d v="2024-01-29T00:00:00"/>
    <s v="OPT-NIFSEL-29-Jan-2024-10600-C-E-I"/>
    <s v="NSE"/>
    <x v="0"/>
    <n v="75"/>
    <n v="0"/>
    <n v="18.55"/>
    <n v="1391.25"/>
    <s v="#202401293700004771"/>
    <n v="0.87"/>
    <n v="0.7"/>
    <n v="0"/>
    <n v="0"/>
    <n v="20"/>
    <n v="3.72"/>
    <n v="25.29"/>
    <n v="2024"/>
    <n v="1"/>
    <n v="2023"/>
    <n v="10"/>
    <n v="10"/>
    <x v="0"/>
    <x v="0"/>
    <n v="1365.96"/>
  </r>
  <r>
    <d v="2024-01-29T00:00:00"/>
    <s v="OPT-NIFSEL-29-Jan-2024-10600-C-E-I"/>
    <s v="NSE"/>
    <x v="1"/>
    <n v="75"/>
    <n v="0"/>
    <n v="3.45"/>
    <n v="258.75"/>
    <s v="#202401293700001543"/>
    <n v="0"/>
    <n v="0.13"/>
    <n v="0"/>
    <n v="0"/>
    <n v="20"/>
    <n v="3.62"/>
    <n v="23.75"/>
    <n v="2024"/>
    <n v="1"/>
    <n v="2023"/>
    <n v="10"/>
    <n v="10"/>
    <x v="0"/>
    <x v="0"/>
    <n v="-282.5"/>
  </r>
  <r>
    <d v="2024-01-29T00:00:00"/>
    <s v="OPT-NIFSEL-29-Jan-2024-10600-C-E-I"/>
    <s v="NSE"/>
    <x v="1"/>
    <n v="75"/>
    <n v="0"/>
    <n v="3.55"/>
    <n v="266.25"/>
    <s v="#202401293700001118"/>
    <n v="0"/>
    <n v="0.13"/>
    <n v="0.02"/>
    <n v="0"/>
    <n v="20"/>
    <n v="3.62"/>
    <n v="23.77"/>
    <n v="2024"/>
    <n v="1"/>
    <n v="2023"/>
    <n v="10"/>
    <n v="10"/>
    <x v="0"/>
    <x v="0"/>
    <n v="-290.02"/>
  </r>
  <r>
    <d v="2024-01-30T00:00:00"/>
    <s v="OPT-NIFTY-01-Feb-2024-21700-P-E-I"/>
    <s v="NSE"/>
    <x v="0"/>
    <n v="50"/>
    <n v="0"/>
    <n v="161.15"/>
    <n v="8057.5"/>
    <s v="#202401304500007011"/>
    <n v="5.04"/>
    <n v="4.07"/>
    <n v="0"/>
    <n v="0.01"/>
    <n v="20"/>
    <n v="4.34"/>
    <n v="33.46"/>
    <n v="2024"/>
    <n v="1"/>
    <n v="2023"/>
    <n v="10"/>
    <n v="10"/>
    <x v="0"/>
    <x v="0"/>
    <n v="8024.04"/>
  </r>
  <r>
    <d v="2024-01-30T00:00:00"/>
    <s v="OPT-NIFTY-01-Feb-2024-21700-P-E-I"/>
    <s v="NSE"/>
    <x v="1"/>
    <n v="50"/>
    <n v="0"/>
    <n v="137.94999999999999"/>
    <n v="6897.5"/>
    <s v="#202401304500004896"/>
    <n v="0"/>
    <n v="3.48"/>
    <n v="0.21"/>
    <n v="0.01"/>
    <n v="20"/>
    <n v="4.22"/>
    <n v="27.92"/>
    <n v="2024"/>
    <n v="1"/>
    <n v="2023"/>
    <n v="10"/>
    <n v="10"/>
    <x v="0"/>
    <x v="0"/>
    <n v="-6925.42"/>
  </r>
  <r>
    <d v="2024-01-30T00:00:00"/>
    <s v="OPT-NIFFIN-30-Jan-2024-20300-P-E-I"/>
    <s v="NSE"/>
    <x v="0"/>
    <n v="40"/>
    <n v="0"/>
    <n v="33.299999999999997"/>
    <n v="1332"/>
    <s v="#202401304500004622"/>
    <n v="0.47"/>
    <n v="0.67"/>
    <n v="0"/>
    <n v="0"/>
    <n v="20"/>
    <n v="3.72"/>
    <n v="24.86"/>
    <n v="2024"/>
    <n v="1"/>
    <n v="2023"/>
    <n v="10"/>
    <n v="10"/>
    <x v="0"/>
    <x v="0"/>
    <n v="1307.1400000000001"/>
  </r>
  <r>
    <d v="2024-01-30T00:00:00"/>
    <s v="OPT-NIFFIN-30-Jan-2024-20300-P-E-I"/>
    <s v="NSE"/>
    <x v="0"/>
    <n v="40"/>
    <n v="0"/>
    <n v="33.5"/>
    <n v="1340"/>
    <s v="#202401304500004527"/>
    <n v="0.84"/>
    <n v="0.68"/>
    <n v="0"/>
    <n v="0"/>
    <n v="20"/>
    <n v="3.72"/>
    <n v="25.24"/>
    <n v="2024"/>
    <n v="1"/>
    <n v="2023"/>
    <n v="10"/>
    <n v="10"/>
    <x v="0"/>
    <x v="0"/>
    <n v="1314.76"/>
  </r>
  <r>
    <d v="2024-01-30T00:00:00"/>
    <s v="OPT-NIFFIN-30-Jan-2024-20300-P-E-I"/>
    <s v="NSE"/>
    <x v="0"/>
    <n v="40"/>
    <n v="0"/>
    <n v="41.25"/>
    <n v="1650"/>
    <s v="#202401304500003924"/>
    <n v="1.03"/>
    <n v="0.83"/>
    <n v="0"/>
    <n v="0"/>
    <n v="20"/>
    <n v="3.74"/>
    <n v="25.6"/>
    <n v="2024"/>
    <n v="1"/>
    <n v="2023"/>
    <n v="10"/>
    <n v="10"/>
    <x v="0"/>
    <x v="0"/>
    <n v="1624.4"/>
  </r>
  <r>
    <d v="2024-01-30T00:00:00"/>
    <s v="OPT-NIFFIN-30-Jan-2024-20300-P-E-I"/>
    <s v="NSE"/>
    <x v="0"/>
    <n v="40"/>
    <n v="0"/>
    <n v="35.700000000000003"/>
    <n v="1428"/>
    <s v="#202401304500003453"/>
    <n v="0.89"/>
    <n v="0.72"/>
    <n v="0"/>
    <n v="0"/>
    <n v="20"/>
    <n v="3.72"/>
    <n v="25.33"/>
    <n v="2024"/>
    <n v="1"/>
    <n v="2023"/>
    <n v="10"/>
    <n v="10"/>
    <x v="0"/>
    <x v="0"/>
    <n v="1402.67"/>
  </r>
  <r>
    <d v="2024-01-30T00:00:00"/>
    <s v="OPT-NIFFIN-30-Jan-2024-20300-P-E-I"/>
    <s v="NSE"/>
    <x v="0"/>
    <n v="40"/>
    <n v="0"/>
    <n v="34.9"/>
    <n v="1396"/>
    <s v="#202401304500003418"/>
    <n v="0.87"/>
    <n v="0.7"/>
    <n v="0"/>
    <n v="0"/>
    <n v="20"/>
    <n v="3.72"/>
    <n v="25.29"/>
    <n v="2024"/>
    <n v="1"/>
    <n v="2023"/>
    <n v="10"/>
    <n v="10"/>
    <x v="0"/>
    <x v="0"/>
    <n v="1370.71"/>
  </r>
  <r>
    <d v="2024-01-30T00:00:00"/>
    <s v="OPT-NIFFIN-30-Jan-2024-20300-P-E-I"/>
    <s v="NSE"/>
    <x v="0"/>
    <n v="40"/>
    <n v="0"/>
    <n v="34.549999999999997"/>
    <n v="1382"/>
    <s v="#202401304500003415"/>
    <n v="0.86"/>
    <n v="0.7"/>
    <n v="0"/>
    <n v="0"/>
    <n v="20"/>
    <n v="3.72"/>
    <n v="25.28"/>
    <n v="2024"/>
    <n v="1"/>
    <n v="2023"/>
    <n v="10"/>
    <n v="10"/>
    <x v="0"/>
    <x v="0"/>
    <n v="1356.72"/>
  </r>
  <r>
    <d v="2024-01-30T00:00:00"/>
    <s v="OPT-NIFFIN-30-Jan-2024-20300-P-E-I"/>
    <s v="NSE"/>
    <x v="1"/>
    <n v="40"/>
    <n v="0"/>
    <n v="44.25"/>
    <n v="1770"/>
    <s v="#202401304500002794"/>
    <n v="0"/>
    <n v="0.89"/>
    <n v="0"/>
    <n v="0"/>
    <n v="20"/>
    <n v="3.76"/>
    <n v="24.65"/>
    <n v="2024"/>
    <n v="1"/>
    <n v="2023"/>
    <n v="10"/>
    <n v="10"/>
    <x v="0"/>
    <x v="0"/>
    <n v="-1794.65"/>
  </r>
  <r>
    <d v="2024-01-30T00:00:00"/>
    <s v="OPT-NIFFIN-30-Jan-2024-20300-P-E-I"/>
    <s v="NSE"/>
    <x v="1"/>
    <n v="40"/>
    <n v="0"/>
    <n v="48.5"/>
    <n v="1940"/>
    <s v="#202401304500002207"/>
    <n v="0"/>
    <n v="0.98"/>
    <n v="0"/>
    <n v="0"/>
    <n v="20"/>
    <n v="3.78"/>
    <n v="24.76"/>
    <n v="2024"/>
    <n v="1"/>
    <n v="2023"/>
    <n v="10"/>
    <n v="10"/>
    <x v="0"/>
    <x v="0"/>
    <n v="-1964.76"/>
  </r>
  <r>
    <d v="2024-01-30T00:00:00"/>
    <s v="OPT-NIFFIN-30-Jan-2024-20300-P-E-I"/>
    <s v="NSE"/>
    <x v="1"/>
    <n v="40"/>
    <n v="0"/>
    <n v="45.85"/>
    <n v="1834"/>
    <s v="#202401304500001436"/>
    <n v="0"/>
    <n v="0.93"/>
    <n v="0.79"/>
    <n v="0"/>
    <n v="20"/>
    <n v="3.76"/>
    <n v="25.48"/>
    <n v="2024"/>
    <n v="1"/>
    <n v="2023"/>
    <n v="10"/>
    <n v="10"/>
    <x v="0"/>
    <x v="0"/>
    <n v="-1859.48"/>
  </r>
  <r>
    <d v="2024-01-30T00:00:00"/>
    <s v="OPT-NIFFIN-30-Jan-2024-20300-P-E-I"/>
    <s v="NSE"/>
    <x v="1"/>
    <n v="40"/>
    <n v="0"/>
    <n v="48.35"/>
    <n v="1934"/>
    <s v="#202401304500000968"/>
    <n v="0"/>
    <n v="0.98"/>
    <n v="0"/>
    <n v="0"/>
    <n v="20"/>
    <n v="3.78"/>
    <n v="24.76"/>
    <n v="2024"/>
    <n v="1"/>
    <n v="2023"/>
    <n v="10"/>
    <n v="10"/>
    <x v="0"/>
    <x v="0"/>
    <n v="-1958.76"/>
  </r>
  <r>
    <d v="2024-01-30T00:00:00"/>
    <s v="OPT-NIFFIN-30-Jan-2024-20300-P-E-I"/>
    <s v="NSE"/>
    <x v="1"/>
    <n v="40"/>
    <n v="0"/>
    <n v="51.4"/>
    <n v="2056"/>
    <s v="#202401304500000931"/>
    <n v="0"/>
    <n v="1.04"/>
    <n v="0"/>
    <n v="0"/>
    <n v="20"/>
    <n v="3.78"/>
    <n v="24.82"/>
    <n v="2024"/>
    <n v="1"/>
    <n v="2023"/>
    <n v="10"/>
    <n v="10"/>
    <x v="0"/>
    <x v="0"/>
    <n v="-2080.8200000000002"/>
  </r>
  <r>
    <d v="2024-01-30T00:00:00"/>
    <s v="OPT-NIFFIN-30-Jan-2024-20300-P-E-I"/>
    <s v="NSE"/>
    <x v="1"/>
    <n v="40"/>
    <n v="0"/>
    <n v="52.5"/>
    <n v="2100"/>
    <s v="#202401304500000927"/>
    <n v="0"/>
    <n v="1.06"/>
    <n v="0"/>
    <n v="0"/>
    <n v="20"/>
    <n v="3.8"/>
    <n v="24.86"/>
    <n v="2024"/>
    <n v="1"/>
    <n v="2023"/>
    <n v="10"/>
    <n v="10"/>
    <x v="0"/>
    <x v="0"/>
    <n v="-2124.86"/>
  </r>
  <r>
    <d v="2024-01-31T00:00:00"/>
    <s v="OPT-CNXBAN-31-Jan-2024-46100-P-E-I"/>
    <s v="NSE"/>
    <x v="0"/>
    <n v="540"/>
    <n v="0"/>
    <n v="192.8"/>
    <n v="104112"/>
    <s v="#202401313700017720"/>
    <n v="65.010000000000005"/>
    <n v="52.57"/>
    <n v="0"/>
    <n v="0.11"/>
    <n v="720"/>
    <n v="139.08000000000001"/>
    <n v="976.77"/>
    <n v="2024"/>
    <n v="1"/>
    <n v="2023"/>
    <n v="10"/>
    <n v="10"/>
    <x v="0"/>
    <x v="0"/>
    <n v="103135.23"/>
  </r>
  <r>
    <d v="2024-01-31T00:00:00"/>
    <s v="OPT-CNXBAN-31-Jan-2024-46100-P-E-I"/>
    <s v="NSE"/>
    <x v="1"/>
    <n v="75"/>
    <n v="0"/>
    <n v="92"/>
    <n v="6900"/>
    <s v="#202401313700016090"/>
    <n v="0"/>
    <n v="3.49"/>
    <n v="0"/>
    <n v="0.01"/>
    <n v="100"/>
    <n v="18.62"/>
    <n v="122.12"/>
    <n v="2024"/>
    <n v="1"/>
    <n v="2023"/>
    <n v="10"/>
    <n v="10"/>
    <x v="0"/>
    <x v="0"/>
    <n v="-7022.12"/>
  </r>
  <r>
    <d v="2024-01-31T00:00:00"/>
    <s v="OPT-CNXBAN-31-Jan-2024-46100-P-E-I"/>
    <s v="NSE"/>
    <x v="1"/>
    <n v="75"/>
    <n v="0"/>
    <n v="90.55"/>
    <n v="6791.25"/>
    <s v="#202401313700015820"/>
    <n v="0"/>
    <n v="3.45"/>
    <n v="0"/>
    <n v="0"/>
    <n v="100"/>
    <n v="18.600000000000001"/>
    <n v="122.05"/>
    <n v="2024"/>
    <n v="1"/>
    <n v="2023"/>
    <n v="10"/>
    <n v="10"/>
    <x v="0"/>
    <x v="0"/>
    <n v="-6913.3"/>
  </r>
  <r>
    <d v="2024-01-31T00:00:00"/>
    <s v="OPT-CNXBAN-31-Jan-2024-46100-P-E-I"/>
    <s v="NSE"/>
    <x v="1"/>
    <n v="90"/>
    <n v="0"/>
    <n v="94.11"/>
    <n v="8469.75"/>
    <s v="#202401313700015591"/>
    <n v="0"/>
    <n v="4.2699999999999996"/>
    <n v="0"/>
    <n v="0.01"/>
    <n v="120"/>
    <n v="22.36"/>
    <n v="146.63999999999999"/>
    <n v="2024"/>
    <n v="1"/>
    <n v="2023"/>
    <n v="10"/>
    <n v="10"/>
    <x v="0"/>
    <x v="0"/>
    <n v="-8616.39"/>
  </r>
  <r>
    <d v="2024-01-31T00:00:00"/>
    <s v="OPT-CNXBAN-31-Jan-2024-46100-P-E-I"/>
    <s v="NSE"/>
    <x v="1"/>
    <n v="75"/>
    <n v="0"/>
    <n v="103.8"/>
    <n v="7785"/>
    <s v="#202401313700015453"/>
    <n v="0"/>
    <n v="3.94"/>
    <n v="0"/>
    <n v="0.01"/>
    <n v="100"/>
    <n v="18.7"/>
    <n v="122.65"/>
    <n v="2024"/>
    <n v="1"/>
    <n v="2023"/>
    <n v="10"/>
    <n v="10"/>
    <x v="0"/>
    <x v="0"/>
    <n v="-7907.65"/>
  </r>
  <r>
    <d v="2024-01-31T00:00:00"/>
    <s v="OPT-CNXBAN-31-Jan-2024-46100-P-E-I"/>
    <s v="NSE"/>
    <x v="1"/>
    <n v="210"/>
    <n v="0"/>
    <n v="103.1"/>
    <n v="21651"/>
    <s v="#202401313700015234"/>
    <n v="0"/>
    <n v="10.93"/>
    <n v="2"/>
    <n v="0.02"/>
    <n v="280"/>
    <n v="52.38"/>
    <n v="345.33"/>
    <n v="2024"/>
    <n v="1"/>
    <n v="2023"/>
    <n v="10"/>
    <n v="10"/>
    <x v="0"/>
    <x v="0"/>
    <n v="-21996.33"/>
  </r>
  <r>
    <d v="2024-01-31T00:00:00"/>
    <s v="OPT-CNXBAN-31-Jan-2024-46100-P-E-I"/>
    <s v="NSE"/>
    <x v="1"/>
    <n v="15"/>
    <n v="0"/>
    <n v="103.2"/>
    <n v="1548"/>
    <s v="#202401313700015147"/>
    <n v="0"/>
    <n v="0.78"/>
    <n v="0"/>
    <n v="0"/>
    <n v="20"/>
    <n v="3.74"/>
    <n v="24.52"/>
    <n v="2024"/>
    <n v="1"/>
    <n v="2023"/>
    <n v="10"/>
    <n v="10"/>
    <x v="0"/>
    <x v="0"/>
    <n v="-1572.52"/>
  </r>
  <r>
    <d v="2024-02-01T00:00:00"/>
    <s v="OPT-CNXBAN-07-Feb-2024-45800-P-E-I"/>
    <s v="NSE"/>
    <x v="0"/>
    <n v="330"/>
    <n v="0"/>
    <n v="432.88"/>
    <n v="142851.75"/>
    <s v="#202402013700022935"/>
    <n v="89.29"/>
    <n v="72.14"/>
    <n v="0"/>
    <n v="0.14000000000000001"/>
    <n v="440"/>
    <n v="92.2"/>
    <n v="693.77"/>
    <n v="2024"/>
    <n v="2"/>
    <n v="2023"/>
    <n v="11"/>
    <n v="11"/>
    <x v="1"/>
    <x v="1"/>
    <n v="142157.98000000001"/>
  </r>
  <r>
    <d v="2024-02-01T00:00:00"/>
    <s v="OPT-CNXBAN-07-Feb-2024-45800-P-E-I"/>
    <s v="NSE"/>
    <x v="1"/>
    <n v="45"/>
    <n v="0"/>
    <n v="327.75"/>
    <n v="14748.75"/>
    <s v="#202402013700019042"/>
    <n v="0"/>
    <n v="7.45"/>
    <n v="0"/>
    <n v="0.01"/>
    <n v="60"/>
    <n v="12.14"/>
    <n v="79.599999999999994"/>
    <n v="2024"/>
    <n v="2"/>
    <n v="2023"/>
    <n v="11"/>
    <n v="11"/>
    <x v="1"/>
    <x v="1"/>
    <n v="-14828.35"/>
  </r>
  <r>
    <d v="2024-02-01T00:00:00"/>
    <s v="OPT-CNXBAN-07-Feb-2024-45800-P-E-I"/>
    <s v="NSE"/>
    <x v="1"/>
    <n v="30"/>
    <n v="0"/>
    <n v="355.3"/>
    <n v="10659"/>
    <s v="#202402013700018850"/>
    <n v="0"/>
    <n v="5.38"/>
    <n v="0"/>
    <n v="0.01"/>
    <n v="40"/>
    <n v="8.18"/>
    <n v="53.57"/>
    <n v="2024"/>
    <n v="2"/>
    <n v="2023"/>
    <n v="11"/>
    <n v="11"/>
    <x v="1"/>
    <x v="1"/>
    <n v="-10712.57"/>
  </r>
  <r>
    <d v="2024-02-01T00:00:00"/>
    <s v="OPT-CNXBAN-07-Feb-2024-45800-P-E-I"/>
    <s v="NSE"/>
    <x v="1"/>
    <n v="30"/>
    <n v="0"/>
    <n v="401.85"/>
    <n v="12055.5"/>
    <s v="#202402013700018265"/>
    <n v="0"/>
    <n v="6.09"/>
    <n v="0"/>
    <n v="0.01"/>
    <n v="40"/>
    <n v="8.3000000000000007"/>
    <n v="54.4"/>
    <n v="2024"/>
    <n v="2"/>
    <n v="2023"/>
    <n v="11"/>
    <n v="11"/>
    <x v="1"/>
    <x v="1"/>
    <n v="-12109.9"/>
  </r>
  <r>
    <d v="2024-02-01T00:00:00"/>
    <s v="OPT-CNXBAN-07-Feb-2024-45800-P-E-I"/>
    <s v="NSE"/>
    <x v="1"/>
    <n v="75"/>
    <n v="0"/>
    <n v="409.95"/>
    <n v="30746.25"/>
    <s v="#202402013700017520"/>
    <n v="0"/>
    <n v="15.53"/>
    <n v="0"/>
    <n v="0.03"/>
    <n v="100"/>
    <n v="20.8"/>
    <n v="136.36000000000001"/>
    <n v="2024"/>
    <n v="2"/>
    <n v="2023"/>
    <n v="11"/>
    <n v="11"/>
    <x v="1"/>
    <x v="1"/>
    <n v="-30882.61"/>
  </r>
  <r>
    <d v="2024-02-01T00:00:00"/>
    <s v="OPT-CNXBAN-07-Feb-2024-45800-P-E-I"/>
    <s v="NSE"/>
    <x v="1"/>
    <n v="75"/>
    <n v="0"/>
    <n v="418.81"/>
    <n v="31410.75"/>
    <s v="#202402013700017329"/>
    <n v="0"/>
    <n v="15.86"/>
    <n v="3.75"/>
    <n v="0.04"/>
    <n v="100"/>
    <n v="20.86"/>
    <n v="140.51"/>
    <n v="2024"/>
    <n v="2"/>
    <n v="2023"/>
    <n v="11"/>
    <n v="11"/>
    <x v="1"/>
    <x v="1"/>
    <n v="-31551.26"/>
  </r>
  <r>
    <d v="2024-02-01T00:00:00"/>
    <s v="OPT-CNXBAN-07-Feb-2024-45800-P-E-I"/>
    <s v="NSE"/>
    <x v="1"/>
    <n v="60"/>
    <n v="0"/>
    <n v="431.9"/>
    <n v="25914"/>
    <s v="#202402013700017148"/>
    <n v="0"/>
    <n v="13.08"/>
    <n v="0"/>
    <n v="0.02"/>
    <n v="80"/>
    <n v="16.760000000000002"/>
    <n v="109.86"/>
    <n v="2024"/>
    <n v="2"/>
    <n v="2023"/>
    <n v="11"/>
    <n v="11"/>
    <x v="1"/>
    <x v="1"/>
    <n v="-26023.86"/>
  </r>
  <r>
    <d v="2024-02-01T00:00:00"/>
    <s v="OPT-CNXBAN-07-Feb-2024-45800-P-E-I"/>
    <s v="NSE"/>
    <x v="1"/>
    <n v="15"/>
    <n v="0"/>
    <n v="427.35"/>
    <n v="6410.25"/>
    <s v="#202402013700017013"/>
    <n v="0"/>
    <n v="3.24"/>
    <n v="0"/>
    <n v="0.01"/>
    <n v="20"/>
    <n v="4.18"/>
    <n v="27.43"/>
    <n v="2024"/>
    <n v="2"/>
    <n v="2023"/>
    <n v="11"/>
    <n v="11"/>
    <x v="1"/>
    <x v="1"/>
    <n v="-6437.68"/>
  </r>
  <r>
    <d v="2024-02-01T00:00:00"/>
    <s v="OPT-NIFTY-01-Feb-2024-22500-C-E-I"/>
    <s v="NSE"/>
    <x v="0"/>
    <n v="50"/>
    <n v="0"/>
    <n v="5.4"/>
    <n v="270"/>
    <s v="#202402013700012044"/>
    <n v="0.33"/>
    <n v="0.14000000000000001"/>
    <n v="0"/>
    <n v="0"/>
    <n v="20"/>
    <n v="3.62"/>
    <n v="24.09"/>
    <n v="2024"/>
    <n v="2"/>
    <n v="2023"/>
    <n v="11"/>
    <n v="11"/>
    <x v="1"/>
    <x v="1"/>
    <n v="245.91"/>
  </r>
  <r>
    <d v="2024-02-01T00:00:00"/>
    <s v="OPT-NIFTY-01-Feb-2024-22500-C-E-I"/>
    <s v="NSE"/>
    <x v="0"/>
    <n v="50"/>
    <n v="0"/>
    <n v="5.4"/>
    <n v="270"/>
    <s v="#202402013700012043"/>
    <n v="0.17"/>
    <n v="0.14000000000000001"/>
    <n v="0"/>
    <n v="0"/>
    <n v="20"/>
    <n v="3.62"/>
    <n v="23.93"/>
    <n v="2024"/>
    <n v="2"/>
    <n v="2023"/>
    <n v="11"/>
    <n v="11"/>
    <x v="1"/>
    <x v="1"/>
    <n v="246.07"/>
  </r>
  <r>
    <d v="2024-02-01T00:00:00"/>
    <s v="OPT-NIFTY-01-Feb-2024-22500-C-E-I"/>
    <s v="NSE"/>
    <x v="1"/>
    <n v="50"/>
    <n v="0"/>
    <n v="5.3"/>
    <n v="265"/>
    <s v="#202402013700011260"/>
    <n v="0"/>
    <n v="0.13"/>
    <n v="0"/>
    <n v="0"/>
    <n v="20"/>
    <n v="3.62"/>
    <n v="23.75"/>
    <n v="2024"/>
    <n v="2"/>
    <n v="2023"/>
    <n v="11"/>
    <n v="11"/>
    <x v="1"/>
    <x v="1"/>
    <n v="-288.75"/>
  </r>
  <r>
    <d v="2024-02-01T00:00:00"/>
    <s v="OPT-NIFTY-01-Feb-2024-22500-C-E-I"/>
    <s v="NSE"/>
    <x v="1"/>
    <n v="50"/>
    <n v="0"/>
    <n v="5.0999999999999996"/>
    <n v="255"/>
    <s v="#202402013700011236"/>
    <n v="0"/>
    <n v="0.13"/>
    <n v="0.02"/>
    <n v="0"/>
    <n v="20"/>
    <n v="3.62"/>
    <n v="23.77"/>
    <n v="2024"/>
    <n v="2"/>
    <n v="2023"/>
    <n v="11"/>
    <n v="11"/>
    <x v="1"/>
    <x v="1"/>
    <n v="-278.77"/>
  </r>
  <r>
    <d v="2024-02-01T00:00:00"/>
    <s v="OPT-NIFTY-01-Feb-2024-21800-C-E-I"/>
    <s v="NSE"/>
    <x v="0"/>
    <n v="150"/>
    <n v="0"/>
    <n v="97.9"/>
    <n v="14685"/>
    <s v="#202402013700009806"/>
    <n v="9.18"/>
    <n v="7.42"/>
    <n v="0"/>
    <n v="0.01"/>
    <n v="60"/>
    <n v="12.14"/>
    <n v="88.75"/>
    <n v="2024"/>
    <n v="2"/>
    <n v="2023"/>
    <n v="11"/>
    <n v="11"/>
    <x v="1"/>
    <x v="1"/>
    <n v="14596.25"/>
  </r>
  <r>
    <d v="2024-02-01T00:00:00"/>
    <s v="OPT-NIFTY-01-Feb-2024-21800-C-E-I"/>
    <s v="NSE"/>
    <x v="1"/>
    <n v="150"/>
    <n v="0"/>
    <n v="76.05"/>
    <n v="11407.5"/>
    <s v="#202402013700008059"/>
    <n v="0"/>
    <n v="5.76"/>
    <n v="0"/>
    <n v="0.01"/>
    <n v="60"/>
    <n v="11.84"/>
    <n v="77.61"/>
    <n v="2024"/>
    <n v="2"/>
    <n v="2023"/>
    <n v="11"/>
    <n v="11"/>
    <x v="1"/>
    <x v="1"/>
    <n v="-11485.11"/>
  </r>
  <r>
    <d v="2024-02-01T00:00:00"/>
    <s v="OPT-NIFTY-01-Feb-2024-21800-C-E-I"/>
    <s v="NSE"/>
    <x v="0"/>
    <n v="350"/>
    <n v="0"/>
    <n v="72"/>
    <n v="25200"/>
    <s v="#202402013700006332"/>
    <n v="15.75"/>
    <n v="12.73"/>
    <n v="0"/>
    <n v="0.03"/>
    <n v="140"/>
    <n v="27.5"/>
    <n v="196.01"/>
    <n v="2024"/>
    <n v="2"/>
    <n v="2023"/>
    <n v="11"/>
    <n v="11"/>
    <x v="1"/>
    <x v="1"/>
    <n v="25003.99"/>
  </r>
  <r>
    <d v="2024-02-01T00:00:00"/>
    <s v="OPT-CNXBAN-07-Feb-2024-46000-C-E-I"/>
    <s v="NSE"/>
    <x v="0"/>
    <n v="15"/>
    <n v="0"/>
    <n v="564.65"/>
    <n v="8469.75"/>
    <s v="#202402013700005706"/>
    <n v="5.29"/>
    <n v="4.28"/>
    <n v="0"/>
    <n v="0.01"/>
    <n v="20"/>
    <n v="4.38"/>
    <n v="33.96"/>
    <n v="2024"/>
    <n v="2"/>
    <n v="2023"/>
    <n v="11"/>
    <n v="11"/>
    <x v="1"/>
    <x v="1"/>
    <n v="8435.7900000000009"/>
  </r>
  <r>
    <d v="2024-02-01T00:00:00"/>
    <s v="OPT-NIFTY-01-Feb-2024-21800-C-E-I"/>
    <s v="NSE"/>
    <x v="1"/>
    <n v="150"/>
    <n v="0"/>
    <n v="59"/>
    <n v="8850"/>
    <s v="#202402013700005369"/>
    <n v="0"/>
    <n v="4.47"/>
    <n v="0"/>
    <n v="0.01"/>
    <n v="60"/>
    <n v="11.6"/>
    <n v="76.08"/>
    <n v="2024"/>
    <n v="2"/>
    <n v="2023"/>
    <n v="11"/>
    <n v="11"/>
    <x v="1"/>
    <x v="1"/>
    <n v="-8926.08"/>
  </r>
  <r>
    <d v="2024-02-01T00:00:00"/>
    <s v="OPT-CNXBAN-07-Feb-2024-46000-C-E-I"/>
    <s v="NSE"/>
    <x v="1"/>
    <n v="15"/>
    <n v="0"/>
    <n v="527.9"/>
    <n v="7918.5"/>
    <s v="#202402013700005094"/>
    <n v="0"/>
    <n v="4"/>
    <n v="0.24"/>
    <n v="0.01"/>
    <n v="20"/>
    <n v="4.32"/>
    <n v="28.57"/>
    <n v="2024"/>
    <n v="2"/>
    <n v="2023"/>
    <n v="11"/>
    <n v="11"/>
    <x v="1"/>
    <x v="1"/>
    <n v="-7947.07"/>
  </r>
  <r>
    <d v="2024-02-01T00:00:00"/>
    <s v="OPT-NIFTY-01-Feb-2024-21800-C-E-I"/>
    <s v="NSE"/>
    <x v="1"/>
    <n v="150"/>
    <n v="0"/>
    <n v="63.67"/>
    <n v="9550"/>
    <s v="#202402013700004640"/>
    <n v="0"/>
    <n v="4.82"/>
    <n v="0.99"/>
    <n v="0.01"/>
    <n v="60"/>
    <n v="11.66"/>
    <n v="77.48"/>
    <n v="2024"/>
    <n v="2"/>
    <n v="2023"/>
    <n v="11"/>
    <n v="11"/>
    <x v="1"/>
    <x v="1"/>
    <n v="-9627.48"/>
  </r>
  <r>
    <d v="2024-02-01T00:00:00"/>
    <s v="OPT-NIFTY-01-Feb-2024-21800-C-E-I"/>
    <s v="NSE"/>
    <x v="1"/>
    <n v="50"/>
    <n v="0"/>
    <n v="65.400000000000006"/>
    <n v="3270"/>
    <s v="#202402013700004518"/>
    <n v="0"/>
    <n v="1.65"/>
    <n v="0"/>
    <n v="0"/>
    <n v="20"/>
    <n v="3.9"/>
    <n v="25.55"/>
    <n v="2024"/>
    <n v="2"/>
    <n v="2023"/>
    <n v="11"/>
    <n v="11"/>
    <x v="1"/>
    <x v="1"/>
    <n v="-3295.55"/>
  </r>
  <r>
    <d v="2024-02-02T00:00:00"/>
    <s v="OPT-HCLTEC-29-Feb-2024-1600-C-E-S"/>
    <s v="NSE"/>
    <x v="1"/>
    <n v="700"/>
    <n v="0"/>
    <n v="45.25"/>
    <n v="31675"/>
    <s v="#202402023700011780"/>
    <n v="0"/>
    <n v="16"/>
    <n v="0.86"/>
    <n v="0.03"/>
    <n v="20"/>
    <n v="6.48"/>
    <n v="43.37"/>
    <n v="2024"/>
    <n v="2"/>
    <n v="2023"/>
    <n v="11"/>
    <n v="11"/>
    <x v="1"/>
    <x v="1"/>
    <n v="-31718.37"/>
  </r>
  <r>
    <d v="2024-02-02T00:00:00"/>
    <s v="OPT-NIFTY-08-Feb-2024-21800-P-E-I"/>
    <s v="NSE"/>
    <x v="0"/>
    <n v="50"/>
    <n v="0"/>
    <n v="83.3"/>
    <n v="4165"/>
    <s v="#202402023700007581"/>
    <n v="3"/>
    <n v="2.1"/>
    <n v="0"/>
    <n v="0"/>
    <n v="20"/>
    <n v="3.98"/>
    <n v="29.08"/>
    <n v="2024"/>
    <n v="2"/>
    <n v="2023"/>
    <n v="11"/>
    <n v="11"/>
    <x v="1"/>
    <x v="1"/>
    <n v="4135.92"/>
  </r>
  <r>
    <d v="2024-02-02T00:00:00"/>
    <s v="OPT-NIFTY-08-Feb-2024-21800-P-E-I"/>
    <s v="NSE"/>
    <x v="1"/>
    <n v="50"/>
    <n v="0"/>
    <n v="90.95"/>
    <n v="4547.5"/>
    <s v="#202402023700003395"/>
    <n v="0"/>
    <n v="2.2999999999999998"/>
    <n v="0.14000000000000001"/>
    <n v="0"/>
    <n v="20"/>
    <n v="4.0199999999999996"/>
    <n v="26.46"/>
    <n v="2024"/>
    <n v="2"/>
    <n v="2023"/>
    <n v="11"/>
    <n v="11"/>
    <x v="1"/>
    <x v="1"/>
    <n v="-4573.96"/>
  </r>
  <r>
    <d v="2024-02-05T00:00:00"/>
    <s v="OPT-NIFFIN-06-Feb-2024-20350-P-E-I"/>
    <s v="NSE"/>
    <x v="0"/>
    <n v="400"/>
    <n v="0"/>
    <n v="122.7"/>
    <n v="49080"/>
    <s v="#202402053700049655"/>
    <n v="30.68"/>
    <n v="24.78"/>
    <n v="0"/>
    <n v="0.05"/>
    <n v="200"/>
    <n v="40.46"/>
    <n v="295.97000000000003"/>
    <n v="2024"/>
    <n v="2"/>
    <n v="2023"/>
    <n v="11"/>
    <n v="11"/>
    <x v="1"/>
    <x v="1"/>
    <n v="48784.03"/>
  </r>
  <r>
    <d v="2024-02-05T00:00:00"/>
    <s v="OPT-NIFFIN-06-Feb-2024-20350-P-E-I"/>
    <s v="NSE"/>
    <x v="1"/>
    <n v="400"/>
    <n v="0"/>
    <n v="90.03"/>
    <n v="36012"/>
    <s v="#202402053700038894"/>
    <n v="0"/>
    <n v="18.190000000000001"/>
    <n v="2"/>
    <n v="0.03"/>
    <n v="200"/>
    <n v="39.28"/>
    <n v="259.5"/>
    <n v="2024"/>
    <n v="2"/>
    <n v="2023"/>
    <n v="11"/>
    <n v="11"/>
    <x v="1"/>
    <x v="1"/>
    <n v="-36271.5"/>
  </r>
  <r>
    <d v="2024-02-05T00:00:00"/>
    <s v="OPT-NIFFIN-06-Feb-2024-20350-P-E-I"/>
    <s v="NSE"/>
    <x v="0"/>
    <n v="320"/>
    <n v="0"/>
    <n v="80"/>
    <n v="25600"/>
    <s v="#202402053700038641"/>
    <n v="16"/>
    <n v="12.93"/>
    <n v="0"/>
    <n v="0.03"/>
    <n v="160"/>
    <n v="31.14"/>
    <n v="220.1"/>
    <n v="2024"/>
    <n v="2"/>
    <n v="2023"/>
    <n v="11"/>
    <n v="11"/>
    <x v="1"/>
    <x v="1"/>
    <n v="25379.9"/>
  </r>
  <r>
    <d v="2024-02-05T00:00:00"/>
    <s v="OPT-NIFFIN-06-Feb-2024-20350-P-E-I"/>
    <s v="NSE"/>
    <x v="1"/>
    <n v="40"/>
    <n v="0"/>
    <n v="106.25"/>
    <n v="4250"/>
    <s v="#202402053700036149"/>
    <n v="0"/>
    <n v="2.15"/>
    <n v="0"/>
    <n v="0"/>
    <n v="20"/>
    <n v="3.98"/>
    <n v="26.13"/>
    <n v="2024"/>
    <n v="2"/>
    <n v="2023"/>
    <n v="11"/>
    <n v="11"/>
    <x v="1"/>
    <x v="1"/>
    <n v="-4276.13"/>
  </r>
  <r>
    <d v="2024-02-05T00:00:00"/>
    <s v="OPT-NIFFIN-06-Feb-2024-20350-P-E-I"/>
    <s v="NSE"/>
    <x v="1"/>
    <n v="40"/>
    <n v="0"/>
    <n v="104.75"/>
    <n v="4190"/>
    <s v="#202402053700035872"/>
    <n v="0"/>
    <n v="2.12"/>
    <n v="0"/>
    <n v="0"/>
    <n v="20"/>
    <n v="3.98"/>
    <n v="26.1"/>
    <n v="2024"/>
    <n v="2"/>
    <n v="2023"/>
    <n v="11"/>
    <n v="11"/>
    <x v="1"/>
    <x v="1"/>
    <n v="-4216.1000000000004"/>
  </r>
  <r>
    <d v="2024-02-05T00:00:00"/>
    <s v="OPT-NIFFIN-06-Feb-2024-20350-P-E-I"/>
    <s v="NSE"/>
    <x v="1"/>
    <n v="80"/>
    <n v="0"/>
    <n v="106.25"/>
    <n v="8500"/>
    <s v="#202402053700035685"/>
    <n v="0"/>
    <n v="4.29"/>
    <n v="0"/>
    <n v="0.01"/>
    <n v="40"/>
    <n v="7.98"/>
    <n v="52.28"/>
    <n v="2024"/>
    <n v="2"/>
    <n v="2023"/>
    <n v="11"/>
    <n v="11"/>
    <x v="1"/>
    <x v="1"/>
    <n v="-8552.2800000000007"/>
  </r>
  <r>
    <d v="2024-02-05T00:00:00"/>
    <s v="OPT-NIFFIN-06-Feb-2024-20350-P-E-I"/>
    <s v="NSE"/>
    <x v="1"/>
    <n v="160"/>
    <n v="0"/>
    <n v="122.2"/>
    <n v="19552"/>
    <s v="#202402053700035362"/>
    <n v="0"/>
    <n v="9.8800000000000008"/>
    <n v="0"/>
    <n v="0.01"/>
    <n v="80"/>
    <n v="16.18"/>
    <n v="106.07"/>
    <n v="2024"/>
    <n v="2"/>
    <n v="2023"/>
    <n v="11"/>
    <n v="11"/>
    <x v="1"/>
    <x v="1"/>
    <n v="-19658.07"/>
  </r>
  <r>
    <d v="2024-02-05T00:00:00"/>
    <s v="OPT-NIFFIN-06-Feb-2024-20350-P-E-I"/>
    <s v="NSE"/>
    <x v="0"/>
    <n v="80"/>
    <n v="0"/>
    <n v="88"/>
    <n v="7040"/>
    <s v="#202402053700033760"/>
    <n v="4.33"/>
    <n v="3.56"/>
    <n v="0"/>
    <n v="0.01"/>
    <n v="40"/>
    <n v="7.84"/>
    <n v="55.74"/>
    <n v="2024"/>
    <n v="2"/>
    <n v="2023"/>
    <n v="11"/>
    <n v="11"/>
    <x v="1"/>
    <x v="1"/>
    <n v="6984.26"/>
  </r>
  <r>
    <d v="2024-02-05T00:00:00"/>
    <s v="OPT-NIFFIN-06-Feb-2024-20350-P-E-I"/>
    <s v="NSE"/>
    <x v="1"/>
    <n v="40"/>
    <n v="0"/>
    <n v="76.5"/>
    <n v="3060"/>
    <s v="#202402053700032491"/>
    <n v="0"/>
    <n v="1.55"/>
    <n v="0"/>
    <n v="0"/>
    <n v="20"/>
    <n v="3.88"/>
    <n v="25.43"/>
    <n v="2024"/>
    <n v="2"/>
    <n v="2023"/>
    <n v="11"/>
    <n v="11"/>
    <x v="1"/>
    <x v="1"/>
    <n v="-3085.43"/>
  </r>
  <r>
    <d v="2024-02-05T00:00:00"/>
    <s v="OPT-NIFFIN-06-Feb-2024-20350-P-E-I"/>
    <s v="NSE"/>
    <x v="1"/>
    <n v="40"/>
    <n v="0"/>
    <n v="93.1"/>
    <n v="3724"/>
    <s v="#202402053700031966"/>
    <n v="0"/>
    <n v="1.88"/>
    <n v="0"/>
    <n v="0"/>
    <n v="20"/>
    <n v="3.94"/>
    <n v="25.82"/>
    <n v="2024"/>
    <n v="2"/>
    <n v="2023"/>
    <n v="11"/>
    <n v="11"/>
    <x v="1"/>
    <x v="1"/>
    <n v="-3749.82"/>
  </r>
  <r>
    <d v="2024-02-06T00:00:00"/>
    <s v="OPT-HCLTEC-29-Feb-2024-1600-C-E-S"/>
    <s v="NSE"/>
    <x v="0"/>
    <n v="700"/>
    <n v="0"/>
    <n v="50.05"/>
    <n v="35035"/>
    <s v="#202402063700021088"/>
    <n v="22"/>
    <n v="17.690000000000001"/>
    <n v="0"/>
    <n v="0.04"/>
    <n v="20"/>
    <n v="6.8"/>
    <n v="66.53"/>
    <n v="2024"/>
    <n v="2"/>
    <n v="2023"/>
    <n v="11"/>
    <n v="11"/>
    <x v="1"/>
    <x v="1"/>
    <n v="34968.47"/>
  </r>
  <r>
    <d v="2024-02-07T00:00:00"/>
    <s v="OPT-CNXBAN-07-Feb-2024-45800-C-E-I"/>
    <s v="NSE"/>
    <x v="0"/>
    <n v="225"/>
    <n v="0"/>
    <n v="29.25"/>
    <n v="6581.25"/>
    <s v="#202402073700021837"/>
    <n v="3.95"/>
    <n v="3.3"/>
    <n v="0"/>
    <n v="0"/>
    <n v="300"/>
    <n v="54.6"/>
    <n v="361.85"/>
    <n v="2024"/>
    <n v="2"/>
    <n v="2023"/>
    <n v="11"/>
    <n v="11"/>
    <x v="1"/>
    <x v="1"/>
    <n v="6219.4"/>
  </r>
  <r>
    <d v="2024-02-07T00:00:00"/>
    <s v="OPT-CNXBAN-07-Feb-2024-45800-C-E-I"/>
    <s v="NSE"/>
    <x v="1"/>
    <n v="225"/>
    <n v="0"/>
    <n v="38"/>
    <n v="8550"/>
    <s v="#202402073700021327"/>
    <n v="0"/>
    <n v="4.32"/>
    <n v="0.26"/>
    <n v="0.01"/>
    <n v="300"/>
    <n v="54.78"/>
    <n v="359.37"/>
    <n v="2024"/>
    <n v="2"/>
    <n v="2023"/>
    <n v="11"/>
    <n v="11"/>
    <x v="1"/>
    <x v="1"/>
    <n v="-8909.3700000000008"/>
  </r>
  <r>
    <d v="2024-02-07T00:00:00"/>
    <s v="OPT-CNXBAN-07-Feb-2024-45900-C-E-I"/>
    <s v="NSE"/>
    <x v="0"/>
    <n v="135"/>
    <n v="0"/>
    <n v="14.3"/>
    <n v="1930.5"/>
    <s v="#202402073700019616"/>
    <n v="1.2"/>
    <n v="0.98"/>
    <n v="0"/>
    <n v="0"/>
    <n v="180"/>
    <n v="32.58"/>
    <n v="214.76"/>
    <n v="2024"/>
    <n v="2"/>
    <n v="2023"/>
    <n v="11"/>
    <n v="11"/>
    <x v="1"/>
    <x v="1"/>
    <n v="1715.74"/>
  </r>
  <r>
    <d v="2024-02-07T00:00:00"/>
    <s v="OPT-CNXBAN-07-Feb-2024-45900-C-E-I"/>
    <s v="NSE"/>
    <x v="0"/>
    <n v="900"/>
    <n v="0"/>
    <n v="15.15"/>
    <n v="13635"/>
    <s v="#202402073700018478"/>
    <n v="8.52"/>
    <n v="6.89"/>
    <n v="0"/>
    <n v="0.02"/>
    <n v="1200"/>
    <n v="217.24"/>
    <n v="1432.67"/>
    <n v="2024"/>
    <n v="2"/>
    <n v="2023"/>
    <n v="11"/>
    <n v="11"/>
    <x v="1"/>
    <x v="1"/>
    <n v="12202.33"/>
  </r>
  <r>
    <d v="2024-02-07T00:00:00"/>
    <s v="OPT-CNXBAN-07-Feb-2024-45900-C-E-I"/>
    <s v="NSE"/>
    <x v="1"/>
    <n v="345"/>
    <n v="0"/>
    <n v="16.899999999999999"/>
    <n v="5830.5"/>
    <s v="#202402073700015304"/>
    <n v="0"/>
    <n v="2.95"/>
    <n v="0"/>
    <n v="0"/>
    <n v="460"/>
    <n v="83.34"/>
    <n v="546.29"/>
    <n v="2024"/>
    <n v="2"/>
    <n v="2023"/>
    <n v="11"/>
    <n v="11"/>
    <x v="1"/>
    <x v="1"/>
    <n v="-6376.79"/>
  </r>
  <r>
    <d v="2024-02-07T00:00:00"/>
    <s v="OPT-CNXBAN-07-Feb-2024-45900-C-E-I"/>
    <s v="NSE"/>
    <x v="1"/>
    <n v="345"/>
    <n v="0"/>
    <n v="23.35"/>
    <n v="8055.75"/>
    <s v="#202402073700012883"/>
    <n v="0"/>
    <n v="4.07"/>
    <n v="0.99"/>
    <n v="0.01"/>
    <n v="460"/>
    <n v="83.54"/>
    <n v="548.61"/>
    <n v="2024"/>
    <n v="2"/>
    <n v="2023"/>
    <n v="11"/>
    <n v="11"/>
    <x v="1"/>
    <x v="1"/>
    <n v="-8604.36"/>
  </r>
  <r>
    <d v="2024-02-07T00:00:00"/>
    <s v="OPT-CNXBAN-07-Feb-2024-45900-C-E-I"/>
    <s v="NSE"/>
    <x v="1"/>
    <n v="60"/>
    <n v="0"/>
    <n v="41.6"/>
    <n v="2496"/>
    <s v="#202402073700010509"/>
    <n v="0"/>
    <n v="1.26"/>
    <n v="0"/>
    <n v="0"/>
    <n v="80"/>
    <n v="14.62"/>
    <n v="95.88"/>
    <n v="2024"/>
    <n v="2"/>
    <n v="2023"/>
    <n v="11"/>
    <n v="11"/>
    <x v="1"/>
    <x v="1"/>
    <n v="-2591.88"/>
  </r>
  <r>
    <d v="2024-02-07T00:00:00"/>
    <s v="OPT-CNXBAN-07-Feb-2024-45900-C-E-I"/>
    <s v="NSE"/>
    <x v="1"/>
    <n v="45"/>
    <n v="0"/>
    <n v="42.65"/>
    <n v="1919.25"/>
    <s v="#202402073700010460"/>
    <n v="0"/>
    <n v="0.97"/>
    <n v="0"/>
    <n v="0"/>
    <n v="60"/>
    <n v="10.98"/>
    <n v="71.95"/>
    <n v="2024"/>
    <n v="2"/>
    <n v="2023"/>
    <n v="11"/>
    <n v="11"/>
    <x v="1"/>
    <x v="1"/>
    <n v="-1991.2"/>
  </r>
  <r>
    <d v="2024-02-07T00:00:00"/>
    <s v="OPT-CNXBAN-07-Feb-2024-45900-C-E-I"/>
    <s v="NSE"/>
    <x v="1"/>
    <n v="240"/>
    <n v="0"/>
    <n v="47.09"/>
    <n v="11301"/>
    <s v="#202402073700010356"/>
    <n v="0"/>
    <n v="5.71"/>
    <n v="0"/>
    <n v="0"/>
    <n v="320"/>
    <n v="58.64"/>
    <n v="384.35"/>
    <n v="2024"/>
    <n v="2"/>
    <n v="2023"/>
    <n v="11"/>
    <n v="11"/>
    <x v="1"/>
    <x v="1"/>
    <n v="-11685.35"/>
  </r>
  <r>
    <d v="2024-02-07T00:00:00"/>
    <s v="OPT-NIFTY-08-Feb-2024-22000-C-E-I"/>
    <s v="NSE"/>
    <x v="0"/>
    <n v="250"/>
    <n v="0"/>
    <n v="85.05"/>
    <n v="21262.5"/>
    <s v="#202402073700009047"/>
    <n v="13.29"/>
    <n v="10.74"/>
    <n v="0"/>
    <n v="0.02"/>
    <n v="100"/>
    <n v="19.940000000000001"/>
    <n v="143.99"/>
    <n v="2024"/>
    <n v="2"/>
    <n v="2023"/>
    <n v="11"/>
    <n v="11"/>
    <x v="1"/>
    <x v="1"/>
    <n v="21118.51"/>
  </r>
  <r>
    <d v="2024-02-07T00:00:00"/>
    <s v="OPT-NIFTY-08-Feb-2024-22000-C-E-I"/>
    <s v="NSE"/>
    <x v="1"/>
    <n v="200"/>
    <n v="0"/>
    <n v="98.45"/>
    <n v="19690"/>
    <s v="#202402073700007071"/>
    <n v="0"/>
    <n v="9.94"/>
    <n v="0.75"/>
    <n v="0.02"/>
    <n v="80"/>
    <n v="16.2"/>
    <n v="106.91"/>
    <n v="2024"/>
    <n v="2"/>
    <n v="2023"/>
    <n v="11"/>
    <n v="11"/>
    <x v="1"/>
    <x v="1"/>
    <n v="-19796.91"/>
  </r>
  <r>
    <d v="2024-02-07T00:00:00"/>
    <s v="OPT-NIFTY-08-Feb-2024-22000-C-E-I"/>
    <s v="NSE"/>
    <x v="1"/>
    <n v="50"/>
    <n v="0"/>
    <n v="103.8"/>
    <n v="5190"/>
    <s v="#202402073700004645"/>
    <n v="0"/>
    <n v="2.62"/>
    <n v="0"/>
    <n v="0.01"/>
    <n v="20"/>
    <n v="4.08"/>
    <n v="26.71"/>
    <n v="2024"/>
    <n v="2"/>
    <n v="2023"/>
    <n v="11"/>
    <n v="11"/>
    <x v="1"/>
    <x v="1"/>
    <n v="-5216.71"/>
  </r>
  <r>
    <d v="2024-02-08T00:00:00"/>
    <s v="OPT-NIFTY-08-Feb-2024-21750-P-E-I"/>
    <s v="NSE"/>
    <x v="0"/>
    <n v="50"/>
    <n v="0"/>
    <n v="17.95"/>
    <n v="897.5"/>
    <s v="#202402083700018971"/>
    <n v="0.75"/>
    <n v="0.45"/>
    <n v="0"/>
    <n v="0"/>
    <n v="20"/>
    <n v="3.68"/>
    <n v="24.88"/>
    <n v="2024"/>
    <n v="2"/>
    <n v="2023"/>
    <n v="11"/>
    <n v="11"/>
    <x v="1"/>
    <x v="1"/>
    <n v="872.62"/>
  </r>
  <r>
    <d v="2024-02-08T00:00:00"/>
    <s v="OPT-NIFTY-08-Feb-2024-21750-P-E-I"/>
    <s v="NSE"/>
    <x v="1"/>
    <n v="50"/>
    <n v="0"/>
    <n v="25.2"/>
    <n v="1260"/>
    <s v="#202402083700018472"/>
    <n v="0"/>
    <n v="0.64"/>
    <n v="0"/>
    <n v="0"/>
    <n v="20"/>
    <n v="3.72"/>
    <n v="24.36"/>
    <n v="2024"/>
    <n v="2"/>
    <n v="2023"/>
    <n v="11"/>
    <n v="11"/>
    <x v="1"/>
    <x v="1"/>
    <n v="-1284.3599999999999"/>
  </r>
  <r>
    <d v="2024-02-08T00:00:00"/>
    <s v="OPT-NIFTY-08-Feb-2024-22000-C-E-I"/>
    <s v="NSE"/>
    <x v="0"/>
    <n v="250"/>
    <n v="0"/>
    <n v="2.1"/>
    <n v="525"/>
    <s v="#202402083700017431"/>
    <n v="0.33"/>
    <n v="0.27"/>
    <n v="0"/>
    <n v="0"/>
    <n v="100"/>
    <n v="18.04"/>
    <n v="118.64"/>
    <n v="2024"/>
    <n v="2"/>
    <n v="2023"/>
    <n v="11"/>
    <n v="11"/>
    <x v="1"/>
    <x v="1"/>
    <n v="406.36"/>
  </r>
  <r>
    <d v="2024-02-08T00:00:00"/>
    <s v="OPT-NIFTY-08-Feb-2024-22000-C-E-I"/>
    <s v="NSE"/>
    <x v="0"/>
    <n v="50"/>
    <n v="0"/>
    <n v="2.65"/>
    <n v="132.5"/>
    <s v="#202402083700016414"/>
    <n v="0.08"/>
    <n v="7.0000000000000007E-2"/>
    <n v="0"/>
    <n v="0"/>
    <n v="20"/>
    <n v="3.62"/>
    <n v="23.77"/>
    <n v="2024"/>
    <n v="2"/>
    <n v="2023"/>
    <n v="11"/>
    <n v="11"/>
    <x v="1"/>
    <x v="1"/>
    <n v="108.73"/>
  </r>
  <r>
    <d v="2024-02-08T00:00:00"/>
    <s v="OPT-NIFTY-08-Feb-2024-22000-C-E-I"/>
    <s v="NSE"/>
    <x v="0"/>
    <n v="50"/>
    <n v="0"/>
    <n v="2.65"/>
    <n v="132.5"/>
    <s v="#202402083700015702"/>
    <n v="0.08"/>
    <n v="7.0000000000000007E-2"/>
    <n v="0"/>
    <n v="0"/>
    <n v="20"/>
    <n v="3.62"/>
    <n v="23.77"/>
    <n v="2024"/>
    <n v="2"/>
    <n v="2023"/>
    <n v="11"/>
    <n v="11"/>
    <x v="1"/>
    <x v="1"/>
    <n v="108.73"/>
  </r>
  <r>
    <d v="2024-02-08T00:00:00"/>
    <s v="OPT-NIFTY-08-Feb-2024-22000-C-E-I"/>
    <s v="NSE"/>
    <x v="1"/>
    <n v="50"/>
    <n v="0"/>
    <n v="3.15"/>
    <n v="157.5"/>
    <s v="#202402083700014192"/>
    <n v="0"/>
    <n v="0.08"/>
    <n v="0"/>
    <n v="0"/>
    <n v="20"/>
    <n v="3.62"/>
    <n v="23.7"/>
    <n v="2024"/>
    <n v="2"/>
    <n v="2023"/>
    <n v="11"/>
    <n v="11"/>
    <x v="1"/>
    <x v="1"/>
    <n v="-181.2"/>
  </r>
  <r>
    <d v="2024-02-08T00:00:00"/>
    <s v="OPT-NIFTY-08-Feb-2024-22000-C-E-I"/>
    <s v="NSE"/>
    <x v="1"/>
    <n v="50"/>
    <n v="0"/>
    <n v="3.15"/>
    <n v="157.5"/>
    <s v="#202402083700014183"/>
    <n v="0"/>
    <n v="0.08"/>
    <n v="0"/>
    <n v="0"/>
    <n v="20"/>
    <n v="3.62"/>
    <n v="23.7"/>
    <n v="2024"/>
    <n v="2"/>
    <n v="2023"/>
    <n v="11"/>
    <n v="11"/>
    <x v="1"/>
    <x v="1"/>
    <n v="-181.2"/>
  </r>
  <r>
    <d v="2024-02-08T00:00:00"/>
    <s v="OPT-NIFTY-08-Feb-2024-22000-C-E-I"/>
    <s v="NSE"/>
    <x v="1"/>
    <n v="50"/>
    <n v="0"/>
    <n v="2.95"/>
    <n v="147.5"/>
    <s v="#202402083700014006"/>
    <n v="0"/>
    <n v="7.0000000000000007E-2"/>
    <n v="0"/>
    <n v="0"/>
    <n v="20"/>
    <n v="3.62"/>
    <n v="23.69"/>
    <n v="2024"/>
    <n v="2"/>
    <n v="2023"/>
    <n v="11"/>
    <n v="11"/>
    <x v="1"/>
    <x v="1"/>
    <n v="-171.19"/>
  </r>
  <r>
    <d v="2024-02-08T00:00:00"/>
    <s v="OPT-NIFTY-08-Feb-2024-22000-C-E-I"/>
    <s v="NSE"/>
    <x v="1"/>
    <n v="50"/>
    <n v="0"/>
    <n v="3.15"/>
    <n v="157.5"/>
    <s v="#202402083700013938"/>
    <n v="0"/>
    <n v="0.08"/>
    <n v="0"/>
    <n v="0"/>
    <n v="20"/>
    <n v="3.62"/>
    <n v="23.7"/>
    <n v="2024"/>
    <n v="2"/>
    <n v="2023"/>
    <n v="11"/>
    <n v="11"/>
    <x v="1"/>
    <x v="1"/>
    <n v="-181.2"/>
  </r>
  <r>
    <d v="2024-02-08T00:00:00"/>
    <s v="OPT-NIFTY-08-Feb-2024-22000-C-E-I"/>
    <s v="NSE"/>
    <x v="1"/>
    <n v="50"/>
    <n v="0"/>
    <n v="3.25"/>
    <n v="162.5"/>
    <s v="#202402083700013884"/>
    <n v="0"/>
    <n v="0.08"/>
    <n v="0"/>
    <n v="0"/>
    <n v="20"/>
    <n v="3.62"/>
    <n v="23.7"/>
    <n v="2024"/>
    <n v="2"/>
    <n v="2023"/>
    <n v="11"/>
    <n v="11"/>
    <x v="1"/>
    <x v="1"/>
    <n v="-186.2"/>
  </r>
  <r>
    <d v="2024-02-08T00:00:00"/>
    <s v="OPT-NIFTY-08-Feb-2024-22000-C-E-I"/>
    <s v="NSE"/>
    <x v="1"/>
    <n v="50"/>
    <n v="0"/>
    <n v="5.9"/>
    <n v="295"/>
    <s v="#202402083700010850"/>
    <n v="0"/>
    <n v="0.15"/>
    <n v="0"/>
    <n v="0"/>
    <n v="20"/>
    <n v="3.62"/>
    <n v="23.77"/>
    <n v="2024"/>
    <n v="2"/>
    <n v="2023"/>
    <n v="11"/>
    <n v="11"/>
    <x v="1"/>
    <x v="1"/>
    <n v="-318.77"/>
  </r>
  <r>
    <d v="2024-02-08T00:00:00"/>
    <s v="OPT-NIFTY-08-Feb-2024-22000-C-E-I"/>
    <s v="NSE"/>
    <x v="1"/>
    <n v="50"/>
    <n v="0"/>
    <n v="8.8000000000000007"/>
    <n v="440"/>
    <s v="#202402083700009731"/>
    <n v="0"/>
    <n v="0.22"/>
    <n v="0"/>
    <n v="0"/>
    <n v="20"/>
    <n v="3.64"/>
    <n v="23.86"/>
    <n v="2024"/>
    <n v="2"/>
    <n v="2023"/>
    <n v="11"/>
    <n v="11"/>
    <x v="1"/>
    <x v="1"/>
    <n v="-463.86"/>
  </r>
  <r>
    <d v="2024-02-08T00:00:00"/>
    <s v="OPT-NIFTY-08-Feb-2024-22000-P-E-I"/>
    <s v="NSE"/>
    <x v="0"/>
    <n v="50"/>
    <n v="0"/>
    <n v="88.3"/>
    <n v="4415"/>
    <s v="#202402083700004004"/>
    <n v="2.76"/>
    <n v="2.23"/>
    <n v="0"/>
    <n v="0"/>
    <n v="20"/>
    <n v="4"/>
    <n v="28.99"/>
    <n v="2024"/>
    <n v="2"/>
    <n v="2023"/>
    <n v="11"/>
    <n v="11"/>
    <x v="1"/>
    <x v="1"/>
    <n v="4386.01"/>
  </r>
  <r>
    <d v="2024-02-08T00:00:00"/>
    <s v="OPT-NIFTY-08-Feb-2024-22000-P-E-I"/>
    <s v="NSE"/>
    <x v="1"/>
    <n v="50"/>
    <n v="0"/>
    <n v="61.85"/>
    <n v="3092.5"/>
    <s v="#202402083700002795"/>
    <n v="0"/>
    <n v="1.56"/>
    <n v="0"/>
    <n v="0"/>
    <n v="20"/>
    <n v="3.88"/>
    <n v="25.44"/>
    <n v="2024"/>
    <n v="2"/>
    <n v="2023"/>
    <n v="11"/>
    <n v="11"/>
    <x v="1"/>
    <x v="1"/>
    <n v="-3117.94"/>
  </r>
  <r>
    <d v="2024-02-09T00:00:00"/>
    <s v="OPT-NIFTY-15-Feb-2024-21700-P-E-I"/>
    <s v="NSE"/>
    <x v="1"/>
    <n v="50"/>
    <n v="0"/>
    <n v="151.85"/>
    <n v="7592.5"/>
    <s v="#202402093700012593"/>
    <n v="0"/>
    <n v="3.83"/>
    <n v="0"/>
    <n v="0.01"/>
    <n v="20"/>
    <n v="4.3"/>
    <n v="28.14"/>
    <n v="2024"/>
    <n v="2"/>
    <n v="2023"/>
    <n v="11"/>
    <n v="11"/>
    <x v="1"/>
    <x v="1"/>
    <n v="-7620.64"/>
  </r>
  <r>
    <d v="2024-02-09T00:00:00"/>
    <s v="OPT-NIFTY-15-Feb-2024-21700-P-E-I"/>
    <s v="NSE"/>
    <x v="0"/>
    <n v="50"/>
    <n v="0"/>
    <n v="182.25"/>
    <n v="9112.5"/>
    <s v="#202402093700008677"/>
    <n v="6"/>
    <n v="4.5999999999999996"/>
    <n v="0"/>
    <n v="0.01"/>
    <n v="20"/>
    <n v="4.42"/>
    <n v="35.03"/>
    <n v="2024"/>
    <n v="2"/>
    <n v="2023"/>
    <n v="11"/>
    <n v="11"/>
    <x v="1"/>
    <x v="1"/>
    <n v="9077.4699999999993"/>
  </r>
  <r>
    <d v="2024-02-09T00:00:00"/>
    <s v="OPT-NIFTY-15-Feb-2024-21700-P-E-I"/>
    <s v="NSE"/>
    <x v="1"/>
    <n v="50"/>
    <n v="0"/>
    <n v="180.55"/>
    <n v="9027.5"/>
    <s v="#202402093700004745"/>
    <n v="0"/>
    <n v="4.5599999999999996"/>
    <n v="1"/>
    <n v="0.01"/>
    <n v="20"/>
    <n v="4.42"/>
    <n v="29.99"/>
    <n v="2024"/>
    <n v="2"/>
    <n v="2023"/>
    <n v="11"/>
    <n v="11"/>
    <x v="1"/>
    <x v="1"/>
    <n v="-9057.49"/>
  </r>
  <r>
    <d v="2024-02-12T00:00:00"/>
    <s v="OPT-NIFTY-15-Feb-2024-21700-P-E-I"/>
    <s v="NSE"/>
    <x v="0"/>
    <n v="50"/>
    <n v="0"/>
    <n v="182"/>
    <n v="9100"/>
    <s v="#202402123700013602"/>
    <n v="6"/>
    <n v="4.5999999999999996"/>
    <n v="0"/>
    <n v="0.01"/>
    <n v="20"/>
    <n v="4.42"/>
    <n v="35.03"/>
    <n v="2024"/>
    <n v="2"/>
    <n v="2023"/>
    <n v="11"/>
    <n v="11"/>
    <x v="1"/>
    <x v="1"/>
    <n v="9064.9699999999993"/>
  </r>
  <r>
    <d v="2024-02-13T00:00:00"/>
    <s v="OPT-NIFFIN-13-Feb-2024-20150-P-E-I"/>
    <s v="NSE"/>
    <x v="0"/>
    <n v="200"/>
    <n v="0"/>
    <n v="73.25"/>
    <n v="14650"/>
    <s v="#202402133700017680"/>
    <n v="9.16"/>
    <n v="7.4"/>
    <n v="0"/>
    <n v="0.01"/>
    <n v="100"/>
    <n v="19.34"/>
    <n v="135.91"/>
    <n v="2024"/>
    <n v="2"/>
    <n v="2023"/>
    <n v="11"/>
    <n v="11"/>
    <x v="1"/>
    <x v="1"/>
    <n v="14514.09"/>
  </r>
  <r>
    <d v="2024-02-13T00:00:00"/>
    <s v="OPT-NIFFIN-13-Feb-2024-20150-P-E-I"/>
    <s v="NSE"/>
    <x v="0"/>
    <n v="200"/>
    <n v="0"/>
    <n v="72"/>
    <n v="14400"/>
    <s v="#202402133700015322"/>
    <n v="9"/>
    <n v="7.27"/>
    <n v="0"/>
    <n v="0.01"/>
    <n v="100"/>
    <n v="19.32"/>
    <n v="135.6"/>
    <n v="2024"/>
    <n v="2"/>
    <n v="2023"/>
    <n v="11"/>
    <n v="11"/>
    <x v="1"/>
    <x v="1"/>
    <n v="14264.4"/>
  </r>
  <r>
    <d v="2024-02-13T00:00:00"/>
    <s v="OPT-NIFFIN-13-Feb-2024-20150-P-E-I"/>
    <s v="NSE"/>
    <x v="1"/>
    <n v="400"/>
    <n v="0"/>
    <n v="42.09"/>
    <n v="16836"/>
    <s v="#202402133700013031"/>
    <n v="0"/>
    <n v="8.5"/>
    <n v="0"/>
    <n v="0.02"/>
    <n v="200"/>
    <n v="37.54"/>
    <n v="246.06"/>
    <n v="2024"/>
    <n v="2"/>
    <n v="2023"/>
    <n v="11"/>
    <n v="11"/>
    <x v="1"/>
    <x v="1"/>
    <n v="-17082.060000000001"/>
  </r>
  <r>
    <d v="2024-02-13T00:00:00"/>
    <s v="OPT-NIFFIN-13-Feb-2024-20150-P-E-I"/>
    <s v="NSE"/>
    <x v="0"/>
    <n v="280"/>
    <n v="0"/>
    <n v="44.54"/>
    <n v="12470"/>
    <s v="#202402133700012350"/>
    <n v="7.8"/>
    <n v="6.3"/>
    <n v="0"/>
    <n v="0"/>
    <n v="140"/>
    <n v="26.32"/>
    <n v="180.42"/>
    <n v="2024"/>
    <n v="2"/>
    <n v="2023"/>
    <n v="11"/>
    <n v="11"/>
    <x v="1"/>
    <x v="1"/>
    <n v="12289.58"/>
  </r>
  <r>
    <d v="2024-02-13T00:00:00"/>
    <s v="OPT-NIFFIN-13-Feb-2024-20150-P-E-I"/>
    <s v="NSE"/>
    <x v="1"/>
    <n v="240"/>
    <n v="0"/>
    <n v="35.5"/>
    <n v="8520"/>
    <s v="#202402133700012125"/>
    <n v="0"/>
    <n v="4.3"/>
    <n v="0.73"/>
    <n v="0.01"/>
    <n v="120"/>
    <n v="22.38"/>
    <n v="147.41999999999999"/>
    <n v="2024"/>
    <n v="2"/>
    <n v="2023"/>
    <n v="11"/>
    <n v="11"/>
    <x v="1"/>
    <x v="1"/>
    <n v="-8667.42"/>
  </r>
  <r>
    <d v="2024-02-13T00:00:00"/>
    <s v="OPT-NIFFIN-13-Feb-2024-20150-P-E-I"/>
    <s v="NSE"/>
    <x v="1"/>
    <n v="40"/>
    <n v="0"/>
    <n v="35.4"/>
    <n v="1416"/>
    <s v="#202402133700012057"/>
    <n v="0"/>
    <n v="0.72"/>
    <n v="0"/>
    <n v="0"/>
    <n v="20"/>
    <n v="3.72"/>
    <n v="24.44"/>
    <n v="2024"/>
    <n v="2"/>
    <n v="2023"/>
    <n v="11"/>
    <n v="11"/>
    <x v="1"/>
    <x v="1"/>
    <n v="-1440.44"/>
  </r>
  <r>
    <d v="2024-02-13T00:00:00"/>
    <s v="OPT-NIFFIN-13-Feb-2024-19700-P-E-I"/>
    <s v="NSE"/>
    <x v="0"/>
    <n v="1520"/>
    <n v="0"/>
    <n v="1.1000000000000001"/>
    <n v="1672"/>
    <s v="#202402133700009129"/>
    <n v="1.05"/>
    <n v="0.84"/>
    <n v="0"/>
    <n v="0"/>
    <n v="760"/>
    <n v="136.94"/>
    <n v="898.83"/>
    <n v="2024"/>
    <n v="2"/>
    <n v="2023"/>
    <n v="11"/>
    <n v="11"/>
    <x v="1"/>
    <x v="1"/>
    <n v="773.17"/>
  </r>
  <r>
    <d v="2024-02-13T00:00:00"/>
    <s v="OPT-NIFFIN-13-Feb-2024-19700-P-E-I"/>
    <s v="NSE"/>
    <x v="1"/>
    <n v="40"/>
    <n v="0"/>
    <n v="4.45"/>
    <n v="178"/>
    <s v="#202402133700004028"/>
    <n v="0"/>
    <n v="0.09"/>
    <n v="0"/>
    <n v="0"/>
    <n v="20"/>
    <n v="3.62"/>
    <n v="23.71"/>
    <n v="2024"/>
    <n v="2"/>
    <n v="2023"/>
    <n v="11"/>
    <n v="11"/>
    <x v="1"/>
    <x v="1"/>
    <n v="-201.71"/>
  </r>
  <r>
    <d v="2024-02-13T00:00:00"/>
    <s v="OPT-NIFFIN-13-Feb-2024-19700-P-E-I"/>
    <s v="NSE"/>
    <x v="1"/>
    <n v="40"/>
    <n v="0"/>
    <n v="4.5999999999999996"/>
    <n v="184"/>
    <s v="#202402133700004022"/>
    <n v="0"/>
    <n v="0.09"/>
    <n v="0"/>
    <n v="0"/>
    <n v="20"/>
    <n v="3.62"/>
    <n v="23.71"/>
    <n v="2024"/>
    <n v="2"/>
    <n v="2023"/>
    <n v="11"/>
    <n v="11"/>
    <x v="1"/>
    <x v="1"/>
    <n v="-207.71"/>
  </r>
  <r>
    <d v="2024-02-13T00:00:00"/>
    <s v="OPT-NIFFIN-13-Feb-2024-19700-P-E-I"/>
    <s v="NSE"/>
    <x v="1"/>
    <n v="40"/>
    <n v="0"/>
    <n v="4.6500000000000004"/>
    <n v="186"/>
    <s v="#202402133700004018"/>
    <n v="0"/>
    <n v="0.09"/>
    <n v="0"/>
    <n v="0"/>
    <n v="20"/>
    <n v="3.62"/>
    <n v="23.71"/>
    <n v="2024"/>
    <n v="2"/>
    <n v="2023"/>
    <n v="11"/>
    <n v="11"/>
    <x v="1"/>
    <x v="1"/>
    <n v="-209.71"/>
  </r>
  <r>
    <d v="2024-02-13T00:00:00"/>
    <s v="OPT-NIFFIN-13-Feb-2024-19700-P-E-I"/>
    <s v="NSE"/>
    <x v="1"/>
    <n v="40"/>
    <n v="0"/>
    <n v="4.4000000000000004"/>
    <n v="176"/>
    <s v="#202402133700003925"/>
    <n v="0"/>
    <n v="0.09"/>
    <n v="0"/>
    <n v="0"/>
    <n v="20"/>
    <n v="3.62"/>
    <n v="23.71"/>
    <n v="2024"/>
    <n v="2"/>
    <n v="2023"/>
    <n v="11"/>
    <n v="11"/>
    <x v="1"/>
    <x v="1"/>
    <n v="-199.71"/>
  </r>
  <r>
    <d v="2024-02-13T00:00:00"/>
    <s v="OPT-NIFFIN-13-Feb-2024-19700-P-E-I"/>
    <s v="NSE"/>
    <x v="1"/>
    <n v="40"/>
    <n v="0"/>
    <n v="4.4000000000000004"/>
    <n v="176"/>
    <s v="#202402133700003914"/>
    <n v="0"/>
    <n v="0.09"/>
    <n v="0"/>
    <n v="0"/>
    <n v="20"/>
    <n v="3.62"/>
    <n v="23.71"/>
    <n v="2024"/>
    <n v="2"/>
    <n v="2023"/>
    <n v="11"/>
    <n v="11"/>
    <x v="1"/>
    <x v="1"/>
    <n v="-199.71"/>
  </r>
  <r>
    <d v="2024-02-13T00:00:00"/>
    <s v="OPT-NIFFIN-13-Feb-2024-19700-P-E-I"/>
    <s v="NSE"/>
    <x v="1"/>
    <n v="40"/>
    <n v="0"/>
    <n v="4.25"/>
    <n v="170"/>
    <s v="#202402133700003898"/>
    <n v="0"/>
    <n v="0.09"/>
    <n v="0"/>
    <n v="0"/>
    <n v="20"/>
    <n v="3.62"/>
    <n v="23.71"/>
    <n v="2024"/>
    <n v="2"/>
    <n v="2023"/>
    <n v="11"/>
    <n v="11"/>
    <x v="1"/>
    <x v="1"/>
    <n v="-193.71"/>
  </r>
  <r>
    <d v="2024-02-13T00:00:00"/>
    <s v="OPT-NIFFIN-13-Feb-2024-19700-P-E-I"/>
    <s v="NSE"/>
    <x v="1"/>
    <n v="40"/>
    <n v="0"/>
    <n v="4.1500000000000004"/>
    <n v="166"/>
    <s v="#202402133700003831"/>
    <n v="0"/>
    <n v="0.08"/>
    <n v="0"/>
    <n v="0"/>
    <n v="20"/>
    <n v="3.62"/>
    <n v="23.7"/>
    <n v="2024"/>
    <n v="2"/>
    <n v="2023"/>
    <n v="11"/>
    <n v="11"/>
    <x v="1"/>
    <x v="1"/>
    <n v="-189.7"/>
  </r>
  <r>
    <d v="2024-02-13T00:00:00"/>
    <s v="OPT-NIFFIN-13-Feb-2024-19700-P-E-I"/>
    <s v="NSE"/>
    <x v="1"/>
    <n v="40"/>
    <n v="0"/>
    <n v="4.2"/>
    <n v="168"/>
    <s v="#202402133700003814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4.2"/>
    <n v="168"/>
    <s v="#202402133700003775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4.25"/>
    <n v="170"/>
    <s v="#202402133700003764"/>
    <n v="0"/>
    <n v="0.09"/>
    <n v="0"/>
    <n v="0"/>
    <n v="20"/>
    <n v="3.62"/>
    <n v="23.71"/>
    <n v="2024"/>
    <n v="2"/>
    <n v="2023"/>
    <n v="11"/>
    <n v="11"/>
    <x v="1"/>
    <x v="1"/>
    <n v="-193.71"/>
  </r>
  <r>
    <d v="2024-02-13T00:00:00"/>
    <s v="OPT-NIFFIN-13-Feb-2024-19700-P-E-I"/>
    <s v="NSE"/>
    <x v="1"/>
    <n v="40"/>
    <n v="0"/>
    <n v="4.1500000000000004"/>
    <n v="166"/>
    <s v="#202402133700003757"/>
    <n v="0"/>
    <n v="0.08"/>
    <n v="0"/>
    <n v="0"/>
    <n v="20"/>
    <n v="3.62"/>
    <n v="23.7"/>
    <n v="2024"/>
    <n v="2"/>
    <n v="2023"/>
    <n v="11"/>
    <n v="11"/>
    <x v="1"/>
    <x v="1"/>
    <n v="-189.7"/>
  </r>
  <r>
    <d v="2024-02-13T00:00:00"/>
    <s v="OPT-NIFFIN-13-Feb-2024-19700-P-E-I"/>
    <s v="NSE"/>
    <x v="1"/>
    <n v="40"/>
    <n v="0"/>
    <n v="4.25"/>
    <n v="170"/>
    <s v="#202402133700003751"/>
    <n v="0"/>
    <n v="0.09"/>
    <n v="0"/>
    <n v="0"/>
    <n v="20"/>
    <n v="3.62"/>
    <n v="23.71"/>
    <n v="2024"/>
    <n v="2"/>
    <n v="2023"/>
    <n v="11"/>
    <n v="11"/>
    <x v="1"/>
    <x v="1"/>
    <n v="-193.71"/>
  </r>
  <r>
    <d v="2024-02-13T00:00:00"/>
    <s v="OPT-NIFFIN-13-Feb-2024-19700-P-E-I"/>
    <s v="NSE"/>
    <x v="1"/>
    <n v="40"/>
    <n v="0"/>
    <n v="4.2"/>
    <n v="168"/>
    <s v="#202402133700003738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4.2"/>
    <n v="168"/>
    <s v="#202402133700003733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5.25"/>
    <n v="210"/>
    <s v="#202402133700003229"/>
    <n v="0"/>
    <n v="0.11"/>
    <n v="0"/>
    <n v="0"/>
    <n v="20"/>
    <n v="3.62"/>
    <n v="23.73"/>
    <n v="2024"/>
    <n v="2"/>
    <n v="2023"/>
    <n v="11"/>
    <n v="11"/>
    <x v="1"/>
    <x v="1"/>
    <n v="-233.73"/>
  </r>
  <r>
    <d v="2024-02-13T00:00:00"/>
    <s v="OPT-NIFFIN-13-Feb-2024-19700-P-E-I"/>
    <s v="NSE"/>
    <x v="1"/>
    <n v="40"/>
    <n v="0"/>
    <n v="5.2"/>
    <n v="208"/>
    <s v="#202402133700003180"/>
    <n v="0"/>
    <n v="0.11"/>
    <n v="0"/>
    <n v="0"/>
    <n v="20"/>
    <n v="3.62"/>
    <n v="23.73"/>
    <n v="2024"/>
    <n v="2"/>
    <n v="2023"/>
    <n v="11"/>
    <n v="11"/>
    <x v="1"/>
    <x v="1"/>
    <n v="-231.73"/>
  </r>
  <r>
    <d v="2024-02-13T00:00:00"/>
    <s v="OPT-NIFFIN-13-Feb-2024-19700-P-E-I"/>
    <s v="NSE"/>
    <x v="1"/>
    <n v="40"/>
    <n v="0"/>
    <n v="5.3"/>
    <n v="212"/>
    <s v="#202402133700003139"/>
    <n v="0"/>
    <n v="0.11"/>
    <n v="0"/>
    <n v="0"/>
    <n v="20"/>
    <n v="3.62"/>
    <n v="23.73"/>
    <n v="2024"/>
    <n v="2"/>
    <n v="2023"/>
    <n v="11"/>
    <n v="11"/>
    <x v="1"/>
    <x v="1"/>
    <n v="-235.73"/>
  </r>
  <r>
    <d v="2024-02-13T00:00:00"/>
    <s v="OPT-NIFFIN-13-Feb-2024-19700-P-E-I"/>
    <s v="NSE"/>
    <x v="1"/>
    <n v="40"/>
    <n v="0"/>
    <n v="5.15"/>
    <n v="206"/>
    <s v="#202402133700003113"/>
    <n v="0"/>
    <n v="0.1"/>
    <n v="0"/>
    <n v="0"/>
    <n v="20"/>
    <n v="3.62"/>
    <n v="23.72"/>
    <n v="2024"/>
    <n v="2"/>
    <n v="2023"/>
    <n v="11"/>
    <n v="11"/>
    <x v="1"/>
    <x v="1"/>
    <n v="-229.72"/>
  </r>
  <r>
    <d v="2024-02-13T00:00:00"/>
    <s v="OPT-NIFFIN-13-Feb-2024-19700-P-E-I"/>
    <s v="NSE"/>
    <x v="1"/>
    <n v="40"/>
    <n v="0"/>
    <n v="5.4"/>
    <n v="216"/>
    <s v="#202402133700003085"/>
    <n v="0"/>
    <n v="0.11"/>
    <n v="0"/>
    <n v="0"/>
    <n v="20"/>
    <n v="3.62"/>
    <n v="23.73"/>
    <n v="2024"/>
    <n v="2"/>
    <n v="2023"/>
    <n v="11"/>
    <n v="11"/>
    <x v="1"/>
    <x v="1"/>
    <n v="-239.73"/>
  </r>
  <r>
    <d v="2024-02-13T00:00:00"/>
    <s v="OPT-NIFFIN-13-Feb-2024-19700-P-E-I"/>
    <s v="NSE"/>
    <x v="1"/>
    <n v="40"/>
    <n v="0"/>
    <n v="5.45"/>
    <n v="218"/>
    <s v="#202402133700003066"/>
    <n v="0"/>
    <n v="0.11"/>
    <n v="0"/>
    <n v="0"/>
    <n v="20"/>
    <n v="3.62"/>
    <n v="23.73"/>
    <n v="2024"/>
    <n v="2"/>
    <n v="2023"/>
    <n v="11"/>
    <n v="11"/>
    <x v="1"/>
    <x v="1"/>
    <n v="-241.73"/>
  </r>
  <r>
    <d v="2024-02-13T00:00:00"/>
    <s v="OPT-NIFFIN-13-Feb-2024-19700-P-E-I"/>
    <s v="NSE"/>
    <x v="1"/>
    <n v="40"/>
    <n v="0"/>
    <n v="6.05"/>
    <n v="242"/>
    <s v="#202402133700003041"/>
    <n v="0"/>
    <n v="0.12"/>
    <n v="0"/>
    <n v="0"/>
    <n v="20"/>
    <n v="3.62"/>
    <n v="23.74"/>
    <n v="2024"/>
    <n v="2"/>
    <n v="2023"/>
    <n v="11"/>
    <n v="11"/>
    <x v="1"/>
    <x v="1"/>
    <n v="-265.74"/>
  </r>
  <r>
    <d v="2024-02-13T00:00:00"/>
    <s v="OPT-NIFFIN-13-Feb-2024-19700-P-E-I"/>
    <s v="NSE"/>
    <x v="1"/>
    <n v="40"/>
    <n v="0"/>
    <n v="6.2"/>
    <n v="248"/>
    <s v="#202402133700003011"/>
    <n v="0"/>
    <n v="0.13"/>
    <n v="0"/>
    <n v="0"/>
    <n v="20"/>
    <n v="3.62"/>
    <n v="23.75"/>
    <n v="2024"/>
    <n v="2"/>
    <n v="2023"/>
    <n v="11"/>
    <n v="11"/>
    <x v="1"/>
    <x v="1"/>
    <n v="-271.75"/>
  </r>
  <r>
    <d v="2024-02-13T00:00:00"/>
    <s v="OPT-NIFFIN-13-Feb-2024-19700-P-E-I"/>
    <s v="NSE"/>
    <x v="1"/>
    <n v="40"/>
    <n v="0"/>
    <n v="6.7"/>
    <n v="268"/>
    <s v="#202402133700002984"/>
    <n v="0"/>
    <n v="0.14000000000000001"/>
    <n v="0"/>
    <n v="0"/>
    <n v="20"/>
    <n v="3.62"/>
    <n v="23.76"/>
    <n v="2024"/>
    <n v="2"/>
    <n v="2023"/>
    <n v="11"/>
    <n v="11"/>
    <x v="1"/>
    <x v="1"/>
    <n v="-291.76"/>
  </r>
  <r>
    <d v="2024-02-13T00:00:00"/>
    <s v="OPT-NIFFIN-13-Feb-2024-19700-P-E-I"/>
    <s v="NSE"/>
    <x v="1"/>
    <n v="40"/>
    <n v="0"/>
    <n v="7.6"/>
    <n v="304"/>
    <s v="#202402133700002957"/>
    <n v="0"/>
    <n v="0.15"/>
    <n v="0"/>
    <n v="0"/>
    <n v="20"/>
    <n v="3.62"/>
    <n v="23.77"/>
    <n v="2024"/>
    <n v="2"/>
    <n v="2023"/>
    <n v="11"/>
    <n v="11"/>
    <x v="1"/>
    <x v="1"/>
    <n v="-327.77"/>
  </r>
  <r>
    <d v="2024-02-13T00:00:00"/>
    <s v="OPT-NIFFIN-13-Feb-2024-19700-P-E-I"/>
    <s v="NSE"/>
    <x v="1"/>
    <n v="40"/>
    <n v="0"/>
    <n v="7.15"/>
    <n v="286"/>
    <s v="#202402133700002934"/>
    <n v="0"/>
    <n v="0.14000000000000001"/>
    <n v="0"/>
    <n v="0"/>
    <n v="20"/>
    <n v="3.62"/>
    <n v="23.76"/>
    <n v="2024"/>
    <n v="2"/>
    <n v="2023"/>
    <n v="11"/>
    <n v="11"/>
    <x v="1"/>
    <x v="1"/>
    <n v="-309.76"/>
  </r>
  <r>
    <d v="2024-02-13T00:00:00"/>
    <s v="OPT-NIFFIN-13-Feb-2024-19700-P-E-I"/>
    <s v="NSE"/>
    <x v="1"/>
    <n v="40"/>
    <n v="0"/>
    <n v="7.75"/>
    <n v="310"/>
    <s v="#202402133700001883"/>
    <n v="0"/>
    <n v="0.16"/>
    <n v="0.27"/>
    <n v="0"/>
    <n v="20"/>
    <n v="3.62"/>
    <n v="24.05"/>
    <n v="2024"/>
    <n v="2"/>
    <n v="2023"/>
    <n v="11"/>
    <n v="11"/>
    <x v="1"/>
    <x v="1"/>
    <n v="-334.05"/>
  </r>
  <r>
    <d v="2024-02-13T00:00:00"/>
    <s v="OPT-NIFFIN-13-Feb-2024-19700-P-E-I"/>
    <s v="NSE"/>
    <x v="1"/>
    <n v="40"/>
    <n v="0"/>
    <n v="7.65"/>
    <n v="306"/>
    <s v="#202402133700001846"/>
    <n v="0"/>
    <n v="0.15"/>
    <n v="0"/>
    <n v="0"/>
    <n v="20"/>
    <n v="3.62"/>
    <n v="23.77"/>
    <n v="2024"/>
    <n v="2"/>
    <n v="2023"/>
    <n v="11"/>
    <n v="11"/>
    <x v="1"/>
    <x v="1"/>
    <n v="-329.77"/>
  </r>
  <r>
    <d v="2024-02-13T00:00:00"/>
    <s v="OPT-NIFFIN-13-Feb-2024-19700-P-E-I"/>
    <s v="NSE"/>
    <x v="1"/>
    <n v="40"/>
    <n v="0"/>
    <n v="7.45"/>
    <n v="298"/>
    <s v="#202402133700001779"/>
    <n v="0"/>
    <n v="0.15"/>
    <n v="0"/>
    <n v="0"/>
    <n v="20"/>
    <n v="3.62"/>
    <n v="23.77"/>
    <n v="2024"/>
    <n v="2"/>
    <n v="2023"/>
    <n v="11"/>
    <n v="11"/>
    <x v="1"/>
    <x v="1"/>
    <n v="-321.77"/>
  </r>
  <r>
    <d v="2024-02-13T00:00:00"/>
    <s v="OPT-NIFFIN-13-Feb-2024-19700-P-E-I"/>
    <s v="NSE"/>
    <x v="1"/>
    <n v="40"/>
    <n v="0"/>
    <n v="7.55"/>
    <n v="302"/>
    <s v="#202402133700001752"/>
    <n v="0"/>
    <n v="0.15"/>
    <n v="0"/>
    <n v="0"/>
    <n v="20"/>
    <n v="3.62"/>
    <n v="23.77"/>
    <n v="2024"/>
    <n v="2"/>
    <n v="2023"/>
    <n v="11"/>
    <n v="11"/>
    <x v="1"/>
    <x v="1"/>
    <n v="-325.77"/>
  </r>
  <r>
    <d v="2024-02-13T00:00:00"/>
    <s v="OPT-NIFFIN-13-Feb-2024-19700-P-E-I"/>
    <s v="NSE"/>
    <x v="1"/>
    <n v="40"/>
    <n v="0"/>
    <n v="7.55"/>
    <n v="302"/>
    <s v="#202402133700001696"/>
    <n v="0"/>
    <n v="0.15"/>
    <n v="0"/>
    <n v="0"/>
    <n v="20"/>
    <n v="3.62"/>
    <n v="23.77"/>
    <n v="2024"/>
    <n v="2"/>
    <n v="2023"/>
    <n v="11"/>
    <n v="11"/>
    <x v="1"/>
    <x v="1"/>
    <n v="-325.77"/>
  </r>
  <r>
    <d v="2024-02-13T00:00:00"/>
    <s v="OPT-NIFFIN-13-Feb-2024-19700-P-E-I"/>
    <s v="NSE"/>
    <x v="1"/>
    <n v="40"/>
    <n v="0"/>
    <n v="6.85"/>
    <n v="274"/>
    <s v="#202402133700001661"/>
    <n v="0"/>
    <n v="0.14000000000000001"/>
    <n v="0"/>
    <n v="0"/>
    <n v="20"/>
    <n v="3.62"/>
    <n v="23.76"/>
    <n v="2024"/>
    <n v="2"/>
    <n v="2023"/>
    <n v="11"/>
    <n v="11"/>
    <x v="1"/>
    <x v="1"/>
    <n v="-297.76"/>
  </r>
  <r>
    <d v="2024-02-13T00:00:00"/>
    <s v="OPT-NIFFIN-13-Feb-2024-19700-P-E-I"/>
    <s v="NSE"/>
    <x v="1"/>
    <n v="40"/>
    <n v="0"/>
    <n v="6.35"/>
    <n v="254"/>
    <s v="#202402133700001635"/>
    <n v="0"/>
    <n v="0.13"/>
    <n v="0"/>
    <n v="0"/>
    <n v="20"/>
    <n v="3.62"/>
    <n v="23.75"/>
    <n v="2024"/>
    <n v="2"/>
    <n v="2023"/>
    <n v="11"/>
    <n v="11"/>
    <x v="1"/>
    <x v="1"/>
    <n v="-277.75"/>
  </r>
  <r>
    <d v="2024-02-13T00:00:00"/>
    <s v="OPT-NIFFIN-13-Feb-2024-19700-P-E-I"/>
    <s v="NSE"/>
    <x v="1"/>
    <n v="40"/>
    <n v="0"/>
    <n v="6.65"/>
    <n v="266"/>
    <s v="#202402133700001606"/>
    <n v="0"/>
    <n v="0.13"/>
    <n v="0"/>
    <n v="0"/>
    <n v="20"/>
    <n v="3.62"/>
    <n v="23.75"/>
    <n v="2024"/>
    <n v="2"/>
    <n v="2023"/>
    <n v="11"/>
    <n v="11"/>
    <x v="1"/>
    <x v="1"/>
    <n v="-289.75"/>
  </r>
  <r>
    <d v="2024-02-13T00:00:00"/>
    <s v="OPT-NIFFIN-13-Feb-2024-19700-P-E-I"/>
    <s v="NSE"/>
    <x v="1"/>
    <n v="40"/>
    <n v="0"/>
    <n v="6.9"/>
    <n v="276"/>
    <s v="#202402133700001590"/>
    <n v="0"/>
    <n v="0.14000000000000001"/>
    <n v="0"/>
    <n v="0"/>
    <n v="20"/>
    <n v="3.62"/>
    <n v="23.76"/>
    <n v="2024"/>
    <n v="2"/>
    <n v="2023"/>
    <n v="11"/>
    <n v="11"/>
    <x v="1"/>
    <x v="1"/>
    <n v="-299.76"/>
  </r>
  <r>
    <d v="2024-02-13T00:00:00"/>
    <s v="OPT-NIFFIN-13-Feb-2024-19700-P-E-I"/>
    <s v="NSE"/>
    <x v="1"/>
    <n v="40"/>
    <n v="0"/>
    <n v="7.7"/>
    <n v="308"/>
    <s v="#202402133700001527"/>
    <n v="0"/>
    <n v="0.16"/>
    <n v="0"/>
    <n v="0"/>
    <n v="20"/>
    <n v="3.62"/>
    <n v="23.78"/>
    <n v="2024"/>
    <n v="2"/>
    <n v="2023"/>
    <n v="11"/>
    <n v="11"/>
    <x v="1"/>
    <x v="1"/>
    <n v="-331.78"/>
  </r>
  <r>
    <d v="2024-02-13T00:00:00"/>
    <s v="OPT-NIFFIN-13-Feb-2024-19700-P-E-I"/>
    <s v="NSE"/>
    <x v="1"/>
    <n v="40"/>
    <n v="0"/>
    <n v="9"/>
    <n v="360"/>
    <s v="#202402133700001482"/>
    <n v="0"/>
    <n v="0.18"/>
    <n v="0"/>
    <n v="0"/>
    <n v="20"/>
    <n v="3.64"/>
    <n v="23.82"/>
    <n v="2024"/>
    <n v="2"/>
    <n v="2023"/>
    <n v="11"/>
    <n v="11"/>
    <x v="1"/>
    <x v="1"/>
    <n v="-383.82"/>
  </r>
  <r>
    <d v="2024-02-13T00:00:00"/>
    <s v="OPT-NIFFIN-13-Feb-2024-19700-P-E-I"/>
    <s v="NSE"/>
    <x v="1"/>
    <n v="40"/>
    <n v="0"/>
    <n v="10.3"/>
    <n v="412"/>
    <s v="#202402133700001444"/>
    <n v="0"/>
    <n v="0.21"/>
    <n v="0"/>
    <n v="0"/>
    <n v="20"/>
    <n v="3.64"/>
    <n v="23.85"/>
    <n v="2024"/>
    <n v="2"/>
    <n v="2023"/>
    <n v="11"/>
    <n v="11"/>
    <x v="1"/>
    <x v="1"/>
    <n v="-435.85"/>
  </r>
  <r>
    <d v="2024-02-13T00:00:00"/>
    <s v="OPT-NIFFIN-13-Feb-2024-19700-P-E-I"/>
    <s v="NSE"/>
    <x v="1"/>
    <n v="40"/>
    <n v="0"/>
    <n v="9.8000000000000007"/>
    <n v="392"/>
    <s v="#202402133700001411"/>
    <n v="0"/>
    <n v="0.2"/>
    <n v="0"/>
    <n v="0"/>
    <n v="20"/>
    <n v="3.64"/>
    <n v="23.84"/>
    <n v="2024"/>
    <n v="2"/>
    <n v="2023"/>
    <n v="11"/>
    <n v="11"/>
    <x v="1"/>
    <x v="1"/>
    <n v="-415.84"/>
  </r>
  <r>
    <d v="2024-02-14T00:00:00"/>
    <s v="OPT-NIFTY-15-Feb-2024-21550-P-E-I"/>
    <s v="NSE"/>
    <x v="0"/>
    <n v="800"/>
    <n v="0"/>
    <n v="39.700000000000003"/>
    <n v="31760"/>
    <s v="#202402143700021174"/>
    <n v="19.84"/>
    <n v="16.03"/>
    <n v="0"/>
    <n v="0.03"/>
    <n v="320"/>
    <n v="60.48"/>
    <n v="416.38"/>
    <n v="2024"/>
    <n v="2"/>
    <n v="2023"/>
    <n v="11"/>
    <n v="11"/>
    <x v="1"/>
    <x v="1"/>
    <n v="31343.62"/>
  </r>
  <r>
    <d v="2024-02-14T00:00:00"/>
    <s v="OPT-NIFTY-15-Feb-2024-21550-P-E-I"/>
    <s v="NSE"/>
    <x v="1"/>
    <n v="400"/>
    <n v="0"/>
    <n v="53.53"/>
    <n v="21412.5"/>
    <s v="#202402143700012687"/>
    <n v="0"/>
    <n v="10.81"/>
    <n v="1.42"/>
    <n v="0.01"/>
    <n v="160"/>
    <n v="30.74"/>
    <n v="202.98"/>
    <n v="2024"/>
    <n v="2"/>
    <n v="2023"/>
    <n v="11"/>
    <n v="11"/>
    <x v="1"/>
    <x v="1"/>
    <n v="-21615.48"/>
  </r>
  <r>
    <d v="2024-02-14T00:00:00"/>
    <s v="OPT-NIFTY-15-Feb-2024-21550-P-E-I"/>
    <s v="NSE"/>
    <x v="1"/>
    <n v="400"/>
    <n v="0"/>
    <n v="64.8"/>
    <n v="25920"/>
    <s v="#202402143700011711"/>
    <n v="0"/>
    <n v="13.09"/>
    <n v="0"/>
    <n v="0.03"/>
    <n v="160"/>
    <n v="31.16"/>
    <n v="204.28"/>
    <n v="2024"/>
    <n v="2"/>
    <n v="2023"/>
    <n v="11"/>
    <n v="11"/>
    <x v="1"/>
    <x v="1"/>
    <n v="-26124.28"/>
  </r>
  <r>
    <d v="2024-02-14T00:00:00"/>
    <s v="OPT-NIFTY-15-Feb-2024-21650-C-E-I"/>
    <s v="NSE"/>
    <x v="0"/>
    <n v="350"/>
    <n v="0"/>
    <n v="59.11"/>
    <n v="20690"/>
    <s v="#202402143700011378"/>
    <n v="12.94"/>
    <n v="10.45"/>
    <n v="0"/>
    <n v="0.02"/>
    <n v="140"/>
    <n v="27.06"/>
    <n v="190.47"/>
    <n v="2024"/>
    <n v="2"/>
    <n v="2023"/>
    <n v="11"/>
    <n v="11"/>
    <x v="1"/>
    <x v="1"/>
    <n v="20499.53"/>
  </r>
  <r>
    <d v="2024-02-14T00:00:00"/>
    <s v="OPT-NIFTY-15-Feb-2024-21650-C-E-I"/>
    <s v="NSE"/>
    <x v="1"/>
    <n v="300"/>
    <n v="0"/>
    <n v="69.17"/>
    <n v="20750"/>
    <s v="#202402143700009360"/>
    <n v="0"/>
    <n v="10.48"/>
    <n v="0"/>
    <n v="0.02"/>
    <n v="120"/>
    <n v="23.52"/>
    <n v="154.02000000000001"/>
    <n v="2024"/>
    <n v="2"/>
    <n v="2023"/>
    <n v="11"/>
    <n v="11"/>
    <x v="1"/>
    <x v="1"/>
    <n v="-20904.02"/>
  </r>
  <r>
    <d v="2024-02-14T00:00:00"/>
    <s v="OPT-NIFTY-15-Feb-2024-21650-C-E-I"/>
    <s v="NSE"/>
    <x v="1"/>
    <n v="50"/>
    <n v="0"/>
    <n v="71.7"/>
    <n v="3585"/>
    <s v="#202402143700009186"/>
    <n v="0"/>
    <n v="1.81"/>
    <n v="0"/>
    <n v="0"/>
    <n v="20"/>
    <n v="3.92"/>
    <n v="25.73"/>
    <n v="2024"/>
    <n v="2"/>
    <n v="2023"/>
    <n v="11"/>
    <n v="11"/>
    <x v="1"/>
    <x v="1"/>
    <n v="-3610.73"/>
  </r>
  <r>
    <d v="2024-02-14T00:00:00"/>
    <s v="OPT-CNXBAN-14-Feb-2024-45000-P-E-I"/>
    <s v="NSE"/>
    <x v="0"/>
    <n v="195"/>
    <n v="0"/>
    <n v="57.95"/>
    <n v="11300.25"/>
    <s v="#202402143700008683"/>
    <n v="7.07"/>
    <n v="5.71"/>
    <n v="0"/>
    <n v="0"/>
    <n v="260"/>
    <n v="47.84"/>
    <n v="320.62"/>
    <n v="2024"/>
    <n v="2"/>
    <n v="2023"/>
    <n v="11"/>
    <n v="11"/>
    <x v="1"/>
    <x v="1"/>
    <n v="10979.63"/>
  </r>
  <r>
    <d v="2024-02-14T00:00:00"/>
    <s v="OPT-CNXBAN-14-Feb-2024-45000-P-E-I"/>
    <s v="NSE"/>
    <x v="1"/>
    <n v="90"/>
    <n v="0"/>
    <n v="66.7"/>
    <n v="6003"/>
    <s v="#202402143700008180"/>
    <n v="0"/>
    <n v="3.03"/>
    <n v="0.41"/>
    <n v="0.01"/>
    <n v="120"/>
    <n v="22.14"/>
    <n v="145.59"/>
    <n v="2024"/>
    <n v="2"/>
    <n v="2023"/>
    <n v="11"/>
    <n v="11"/>
    <x v="1"/>
    <x v="1"/>
    <n v="-6148.59"/>
  </r>
  <r>
    <d v="2024-02-14T00:00:00"/>
    <s v="OPT-CNXBAN-14-Feb-2024-45000-P-E-I"/>
    <s v="NSE"/>
    <x v="1"/>
    <n v="90"/>
    <n v="0"/>
    <n v="67.3"/>
    <n v="6057"/>
    <s v="#202402143700008104"/>
    <n v="0"/>
    <n v="3.06"/>
    <n v="0"/>
    <n v="0.01"/>
    <n v="120"/>
    <n v="22.16"/>
    <n v="145.22999999999999"/>
    <n v="2024"/>
    <n v="2"/>
    <n v="2023"/>
    <n v="11"/>
    <n v="11"/>
    <x v="1"/>
    <x v="1"/>
    <n v="-6202.23"/>
  </r>
  <r>
    <d v="2024-02-14T00:00:00"/>
    <s v="OPT-CNXBAN-14-Feb-2024-45000-P-E-I"/>
    <s v="NSE"/>
    <x v="1"/>
    <n v="15"/>
    <n v="0"/>
    <n v="108.2"/>
    <n v="1623"/>
    <s v="#202402143700007825"/>
    <n v="0"/>
    <n v="0.82"/>
    <n v="0"/>
    <n v="0"/>
    <n v="20"/>
    <n v="3.74"/>
    <n v="24.56"/>
    <n v="2024"/>
    <n v="2"/>
    <n v="2023"/>
    <n v="11"/>
    <n v="11"/>
    <x v="1"/>
    <x v="1"/>
    <n v="-1647.56"/>
  </r>
  <r>
    <d v="2024-02-14T00:00:00"/>
    <s v="OPT-CNXBAN-14-Feb-2024-46000-C-E-I"/>
    <s v="NSE"/>
    <x v="0"/>
    <n v="105"/>
    <n v="0"/>
    <n v="5.75"/>
    <n v="603.75"/>
    <s v="#202402143700007602"/>
    <n v="0.38"/>
    <n v="0.3"/>
    <n v="0"/>
    <n v="0"/>
    <n v="140"/>
    <n v="25.26"/>
    <n v="165.94"/>
    <n v="2024"/>
    <n v="2"/>
    <n v="2023"/>
    <n v="11"/>
    <n v="11"/>
    <x v="1"/>
    <x v="1"/>
    <n v="437.81"/>
  </r>
  <r>
    <d v="2024-02-14T00:00:00"/>
    <s v="OPT-NIFTY-15-Feb-2024-21650-C-E-I"/>
    <s v="NSE"/>
    <x v="0"/>
    <n v="450"/>
    <n v="0"/>
    <n v="63"/>
    <n v="28350"/>
    <s v="#202402143700007219"/>
    <n v="17.78"/>
    <n v="14.32"/>
    <n v="0"/>
    <n v="0.03"/>
    <n v="180"/>
    <n v="34.979999999999997"/>
    <n v="247.11"/>
    <n v="2024"/>
    <n v="2"/>
    <n v="2023"/>
    <n v="11"/>
    <n v="11"/>
    <x v="1"/>
    <x v="1"/>
    <n v="28102.89"/>
  </r>
  <r>
    <d v="2024-02-14T00:00:00"/>
    <s v="OPT-NIFTY-15-Feb-2024-21650-C-E-I"/>
    <s v="NSE"/>
    <x v="1"/>
    <n v="400"/>
    <n v="0"/>
    <n v="53.8"/>
    <n v="21520"/>
    <s v="#202402143700003585"/>
    <n v="0"/>
    <n v="10.87"/>
    <n v="1.1399999999999999"/>
    <n v="0.02"/>
    <n v="160"/>
    <n v="30.76"/>
    <n v="202.79"/>
    <n v="2024"/>
    <n v="2"/>
    <n v="2023"/>
    <n v="11"/>
    <n v="11"/>
    <x v="1"/>
    <x v="1"/>
    <n v="-21722.79"/>
  </r>
  <r>
    <d v="2024-02-14T00:00:00"/>
    <s v="OPT-NIFTY-15-Feb-2024-21650-C-E-I"/>
    <s v="NSE"/>
    <x v="1"/>
    <n v="50"/>
    <n v="0"/>
    <n v="51.75"/>
    <n v="2587.5"/>
    <s v="#202402143700003174"/>
    <n v="0"/>
    <n v="1.31"/>
    <n v="0"/>
    <n v="0"/>
    <n v="20"/>
    <n v="3.84"/>
    <n v="25.15"/>
    <n v="2024"/>
    <n v="2"/>
    <n v="2023"/>
    <n v="11"/>
    <n v="11"/>
    <x v="1"/>
    <x v="1"/>
    <n v="-2612.65"/>
  </r>
  <r>
    <d v="2024-02-14T00:00:00"/>
    <s v="OPT-CNXBAN-14-Feb-2024-46000-C-E-I"/>
    <s v="NSE"/>
    <x v="1"/>
    <n v="15"/>
    <n v="0"/>
    <n v="9.5"/>
    <n v="142.5"/>
    <s v="#202402143700001092"/>
    <n v="0"/>
    <n v="7.0000000000000007E-2"/>
    <n v="0.03"/>
    <n v="0"/>
    <n v="20"/>
    <n v="3.62"/>
    <n v="23.72"/>
    <n v="2024"/>
    <n v="2"/>
    <n v="2023"/>
    <n v="11"/>
    <n v="11"/>
    <x v="1"/>
    <x v="1"/>
    <n v="-166.22"/>
  </r>
  <r>
    <d v="2024-02-14T00:00:00"/>
    <s v="OPT-CNXBAN-14-Feb-2024-46000-C-E-I"/>
    <s v="NSE"/>
    <x v="1"/>
    <n v="15"/>
    <n v="0"/>
    <n v="9.5"/>
    <n v="142.5"/>
    <s v="#202402143700001063"/>
    <n v="0"/>
    <n v="7.0000000000000007E-2"/>
    <n v="0"/>
    <n v="0"/>
    <n v="20"/>
    <n v="3.62"/>
    <n v="23.69"/>
    <n v="2024"/>
    <n v="2"/>
    <n v="2023"/>
    <n v="11"/>
    <n v="11"/>
    <x v="1"/>
    <x v="1"/>
    <n v="-166.19"/>
  </r>
  <r>
    <d v="2024-02-14T00:00:00"/>
    <s v="OPT-CNXBAN-14-Feb-2024-46000-C-E-I"/>
    <s v="NSE"/>
    <x v="1"/>
    <n v="15"/>
    <n v="0"/>
    <n v="9.1"/>
    <n v="136.5"/>
    <s v="#202402143700001047"/>
    <n v="0"/>
    <n v="7.0000000000000007E-2"/>
    <n v="0"/>
    <n v="0"/>
    <n v="20"/>
    <n v="3.62"/>
    <n v="23.69"/>
    <n v="2024"/>
    <n v="2"/>
    <n v="2023"/>
    <n v="11"/>
    <n v="11"/>
    <x v="1"/>
    <x v="1"/>
    <n v="-160.19"/>
  </r>
  <r>
    <d v="2024-02-14T00:00:00"/>
    <s v="OPT-CNXBAN-14-Feb-2024-46000-C-E-I"/>
    <s v="NSE"/>
    <x v="1"/>
    <n v="15"/>
    <n v="0"/>
    <n v="9.15"/>
    <n v="137.25"/>
    <s v="#202402143700001031"/>
    <n v="0"/>
    <n v="7.0000000000000007E-2"/>
    <n v="0"/>
    <n v="0"/>
    <n v="20"/>
    <n v="3.62"/>
    <n v="23.69"/>
    <n v="2024"/>
    <n v="2"/>
    <n v="2023"/>
    <n v="11"/>
    <n v="11"/>
    <x v="1"/>
    <x v="1"/>
    <n v="-160.94"/>
  </r>
  <r>
    <d v="2024-02-14T00:00:00"/>
    <s v="OPT-CNXBAN-14-Feb-2024-46000-C-E-I"/>
    <s v="NSE"/>
    <x v="1"/>
    <n v="15"/>
    <n v="0"/>
    <n v="8.9499999999999993"/>
    <n v="134.25"/>
    <s v="#202402143700001020"/>
    <n v="0"/>
    <n v="7.0000000000000007E-2"/>
    <n v="0"/>
    <n v="0"/>
    <n v="20"/>
    <n v="3.62"/>
    <n v="23.69"/>
    <n v="2024"/>
    <n v="2"/>
    <n v="2023"/>
    <n v="11"/>
    <n v="11"/>
    <x v="1"/>
    <x v="1"/>
    <n v="-157.94"/>
  </r>
  <r>
    <d v="2024-02-14T00:00:00"/>
    <s v="OPT-CNXBAN-14-Feb-2024-46000-C-E-I"/>
    <s v="NSE"/>
    <x v="1"/>
    <n v="15"/>
    <n v="0"/>
    <n v="8.75"/>
    <n v="131.25"/>
    <s v="#202402143700001015"/>
    <n v="0"/>
    <n v="7.0000000000000007E-2"/>
    <n v="0"/>
    <n v="0"/>
    <n v="20"/>
    <n v="3.62"/>
    <n v="23.69"/>
    <n v="2024"/>
    <n v="2"/>
    <n v="2023"/>
    <n v="11"/>
    <n v="11"/>
    <x v="1"/>
    <x v="1"/>
    <n v="-154.94"/>
  </r>
  <r>
    <d v="2024-02-14T00:00:00"/>
    <s v="OPT-CNXBAN-14-Feb-2024-46000-C-E-I"/>
    <s v="NSE"/>
    <x v="1"/>
    <n v="15"/>
    <n v="0"/>
    <n v="8.6"/>
    <n v="129"/>
    <s v="#202402143700000980"/>
    <n v="0"/>
    <n v="7.0000000000000007E-2"/>
    <n v="0"/>
    <n v="0"/>
    <n v="20"/>
    <n v="3.62"/>
    <n v="23.69"/>
    <n v="2024"/>
    <n v="2"/>
    <n v="2023"/>
    <n v="11"/>
    <n v="11"/>
    <x v="1"/>
    <x v="1"/>
    <n v="-152.69"/>
  </r>
  <r>
    <d v="2024-02-15T00:00:00"/>
    <s v="OPT-NIFTY-15-Feb-2024-21900-C-E-I"/>
    <s v="NSE"/>
    <x v="0"/>
    <n v="500"/>
    <n v="0"/>
    <n v="24"/>
    <n v="12000"/>
    <s v="#202402153700028195"/>
    <n v="8"/>
    <n v="6.06"/>
    <n v="0"/>
    <n v="0.01"/>
    <n v="200"/>
    <n v="37.08"/>
    <n v="251.15"/>
    <n v="2024"/>
    <n v="2"/>
    <n v="2023"/>
    <n v="11"/>
    <n v="11"/>
    <x v="1"/>
    <x v="1"/>
    <n v="11748.85"/>
  </r>
  <r>
    <d v="2024-02-15T00:00:00"/>
    <s v="OPT-NIFTY-15-Feb-2024-21900-C-E-I"/>
    <s v="NSE"/>
    <x v="1"/>
    <n v="500"/>
    <n v="0"/>
    <n v="14.95"/>
    <n v="7475"/>
    <s v="#202402153700027982"/>
    <n v="0"/>
    <n v="3.77"/>
    <n v="0"/>
    <n v="0.01"/>
    <n v="200"/>
    <n v="36.68"/>
    <n v="240.46"/>
    <n v="2024"/>
    <n v="2"/>
    <n v="2023"/>
    <n v="11"/>
    <n v="11"/>
    <x v="1"/>
    <x v="1"/>
    <n v="-7715.46"/>
  </r>
  <r>
    <d v="2024-02-19T00:00:00"/>
    <s v="OPT-NIFFIN-20-Feb-2024-20550-C-E-I"/>
    <s v="NSE"/>
    <x v="0"/>
    <n v="240"/>
    <n v="0"/>
    <n v="125.05"/>
    <n v="30012"/>
    <s v="#202402193700010047"/>
    <n v="19.010000000000002"/>
    <n v="15.17"/>
    <n v="0"/>
    <n v="0.05"/>
    <n v="120"/>
    <n v="24.34"/>
    <n v="178.57"/>
    <n v="2024"/>
    <n v="2"/>
    <n v="2023"/>
    <n v="11"/>
    <n v="11"/>
    <x v="1"/>
    <x v="1"/>
    <n v="29833.43"/>
  </r>
  <r>
    <d v="2024-02-19T00:00:00"/>
    <s v="OPT-NIFFIN-20-Feb-2024-20550-C-E-I"/>
    <s v="NSE"/>
    <x v="1"/>
    <n v="240"/>
    <n v="0"/>
    <n v="99.95"/>
    <n v="23988"/>
    <s v="#202402193700008262"/>
    <n v="0"/>
    <n v="12.11"/>
    <n v="1"/>
    <n v="0.02"/>
    <n v="120"/>
    <n v="23.78"/>
    <n v="156.91"/>
    <n v="2024"/>
    <n v="2"/>
    <n v="2023"/>
    <n v="11"/>
    <n v="11"/>
    <x v="1"/>
    <x v="1"/>
    <n v="-24144.91"/>
  </r>
  <r>
    <d v="2024-02-20T00:00:00"/>
    <s v="OPT-NIFFIN-20-Feb-2024-20500-P-E-I"/>
    <s v="NSE"/>
    <x v="0"/>
    <n v="1800"/>
    <n v="0"/>
    <n v="2.95"/>
    <n v="5310"/>
    <s v="#202402203700015322"/>
    <n v="3.44"/>
    <n v="2.68"/>
    <n v="0"/>
    <n v="0"/>
    <n v="900"/>
    <n v="162.52000000000001"/>
    <n v="1068.6400000000001"/>
    <n v="2024"/>
    <n v="2"/>
    <n v="2023"/>
    <n v="11"/>
    <n v="11"/>
    <x v="1"/>
    <x v="1"/>
    <n v="4241.3599999999997"/>
  </r>
  <r>
    <d v="2024-02-20T00:00:00"/>
    <s v="OPT-NIFFIN-20-Feb-2024-20500-P-E-I"/>
    <s v="NSE"/>
    <x v="0"/>
    <n v="1800"/>
    <n v="0"/>
    <n v="2.95"/>
    <n v="5310"/>
    <s v="#202402203700015296"/>
    <n v="3.32"/>
    <n v="2.69"/>
    <n v="0"/>
    <n v="0"/>
    <n v="900"/>
    <n v="162.47999999999999"/>
    <n v="1068.49"/>
    <n v="2024"/>
    <n v="2"/>
    <n v="2023"/>
    <n v="11"/>
    <n v="11"/>
    <x v="1"/>
    <x v="1"/>
    <n v="4241.51"/>
  </r>
  <r>
    <d v="2024-02-20T00:00:00"/>
    <s v="OPT-NIFFIN-20-Feb-2024-20500-P-E-I"/>
    <s v="NSE"/>
    <x v="1"/>
    <n v="1800"/>
    <n v="0"/>
    <n v="5.0999999999999996"/>
    <n v="9180"/>
    <s v="#202402203700013783"/>
    <n v="0"/>
    <n v="4.63"/>
    <n v="1.3"/>
    <n v="0"/>
    <n v="900"/>
    <n v="162.82"/>
    <n v="1068.75"/>
    <n v="2024"/>
    <n v="2"/>
    <n v="2023"/>
    <n v="11"/>
    <n v="11"/>
    <x v="1"/>
    <x v="1"/>
    <n v="-10248.75"/>
  </r>
  <r>
    <d v="2024-02-20T00:00:00"/>
    <s v="OPT-NIFFIN-20-Feb-2024-20500-P-E-I"/>
    <s v="NSE"/>
    <x v="1"/>
    <n v="1800"/>
    <n v="0"/>
    <n v="6.1"/>
    <n v="10980"/>
    <s v="#202402203700013737"/>
    <n v="0"/>
    <n v="5.54"/>
    <n v="0"/>
    <n v="0.01"/>
    <n v="900"/>
    <n v="162.97999999999999"/>
    <n v="1068.53"/>
    <n v="2024"/>
    <n v="2"/>
    <n v="2023"/>
    <n v="11"/>
    <n v="11"/>
    <x v="1"/>
    <x v="1"/>
    <n v="-12048.53"/>
  </r>
  <r>
    <d v="2024-02-20T00:00:00"/>
    <s v="OPT-RBLBAN-29-Feb-2024-270-C-E-S"/>
    <s v="NSE"/>
    <x v="0"/>
    <n v="2500"/>
    <n v="0"/>
    <n v="9.3000000000000007"/>
    <n v="23250"/>
    <s v="#202402203700012677"/>
    <n v="14.53"/>
    <n v="11.74"/>
    <n v="0"/>
    <n v="0.02"/>
    <n v="20"/>
    <n v="5.72"/>
    <n v="52.01"/>
    <n v="2024"/>
    <n v="2"/>
    <n v="2023"/>
    <n v="11"/>
    <n v="11"/>
    <x v="1"/>
    <x v="1"/>
    <n v="23197.99"/>
  </r>
  <r>
    <d v="2024-02-20T00:00:00"/>
    <s v="OPT-RBLBAN-29-Feb-2024-270-C-E-S"/>
    <s v="NSE"/>
    <x v="1"/>
    <n v="2500"/>
    <n v="0"/>
    <n v="9.35"/>
    <n v="23375"/>
    <s v="#202402203700012423"/>
    <n v="0"/>
    <n v="11.8"/>
    <n v="0.7"/>
    <n v="0.02"/>
    <n v="20"/>
    <n v="5.72"/>
    <n v="38.24"/>
    <n v="2024"/>
    <n v="2"/>
    <n v="2023"/>
    <n v="11"/>
    <n v="11"/>
    <x v="1"/>
    <x v="1"/>
    <n v="-23413.24"/>
  </r>
  <r>
    <d v="2024-02-20T00:00:00"/>
    <s v="OPT-NIFFIN-20-Feb-2024-20500-P-E-I"/>
    <s v="NSE"/>
    <x v="0"/>
    <n v="1040"/>
    <n v="0"/>
    <n v="4.1500000000000004"/>
    <n v="4316"/>
    <s v="#202402203700011941"/>
    <n v="2.7"/>
    <n v="2.1800000000000002"/>
    <n v="0"/>
    <n v="0"/>
    <n v="520"/>
    <n v="93.98"/>
    <n v="618.86"/>
    <n v="2024"/>
    <n v="2"/>
    <n v="2023"/>
    <n v="11"/>
    <n v="11"/>
    <x v="1"/>
    <x v="1"/>
    <n v="3697.14"/>
  </r>
  <r>
    <d v="2024-02-20T00:00:00"/>
    <s v="OPT-NIFFIN-20-Feb-2024-20500-P-E-I"/>
    <s v="NSE"/>
    <x v="1"/>
    <n v="520"/>
    <n v="0"/>
    <n v="7.5"/>
    <n v="3900"/>
    <s v="#202402203700011029"/>
    <n v="0"/>
    <n v="1.97"/>
    <n v="0"/>
    <n v="0"/>
    <n v="260"/>
    <n v="47.14"/>
    <n v="309.11"/>
    <n v="2024"/>
    <n v="2"/>
    <n v="2023"/>
    <n v="11"/>
    <n v="11"/>
    <x v="1"/>
    <x v="1"/>
    <n v="-4209.1099999999997"/>
  </r>
  <r>
    <d v="2024-02-20T00:00:00"/>
    <s v="OPT-NIFFIN-20-Feb-2024-20500-P-E-I"/>
    <s v="NSE"/>
    <x v="1"/>
    <n v="40"/>
    <n v="0"/>
    <n v="9.5500000000000007"/>
    <n v="382"/>
    <s v="#202402203700008469"/>
    <n v="0"/>
    <n v="0.19"/>
    <n v="0"/>
    <n v="0"/>
    <n v="20"/>
    <n v="3.64"/>
    <n v="23.83"/>
    <n v="2024"/>
    <n v="2"/>
    <n v="2023"/>
    <n v="11"/>
    <n v="11"/>
    <x v="1"/>
    <x v="1"/>
    <n v="-405.83"/>
  </r>
  <r>
    <d v="2024-02-20T00:00:00"/>
    <s v="OPT-NIFFIN-20-Feb-2024-20500-P-E-I"/>
    <s v="NSE"/>
    <x v="1"/>
    <n v="40"/>
    <n v="0"/>
    <n v="9.65"/>
    <n v="386"/>
    <s v="#202402203700008463"/>
    <n v="0"/>
    <n v="0.19"/>
    <n v="0"/>
    <n v="0"/>
    <n v="20"/>
    <n v="3.64"/>
    <n v="23.83"/>
    <n v="2024"/>
    <n v="2"/>
    <n v="2023"/>
    <n v="11"/>
    <n v="11"/>
    <x v="1"/>
    <x v="1"/>
    <n v="-409.83"/>
  </r>
  <r>
    <d v="2024-02-20T00:00:00"/>
    <s v="OPT-NIFFIN-20-Feb-2024-20500-P-E-I"/>
    <s v="NSE"/>
    <x v="1"/>
    <n v="40"/>
    <n v="0"/>
    <n v="9.65"/>
    <n v="386"/>
    <s v="#202402203700008451"/>
    <n v="0"/>
    <n v="0.19"/>
    <n v="0"/>
    <n v="0"/>
    <n v="20"/>
    <n v="3.64"/>
    <n v="23.83"/>
    <n v="2024"/>
    <n v="2"/>
    <n v="2023"/>
    <n v="11"/>
    <n v="11"/>
    <x v="1"/>
    <x v="1"/>
    <n v="-409.83"/>
  </r>
  <r>
    <d v="2024-02-20T00:00:00"/>
    <s v="OPT-NIFFIN-20-Feb-2024-20500-P-E-I"/>
    <s v="NSE"/>
    <x v="1"/>
    <n v="40"/>
    <n v="0"/>
    <n v="9.75"/>
    <n v="390"/>
    <s v="#202402203700008395"/>
    <n v="0"/>
    <n v="0.2"/>
    <n v="0"/>
    <n v="0"/>
    <n v="20"/>
    <n v="3.64"/>
    <n v="23.84"/>
    <n v="2024"/>
    <n v="2"/>
    <n v="2023"/>
    <n v="11"/>
    <n v="11"/>
    <x v="1"/>
    <x v="1"/>
    <n v="-413.84"/>
  </r>
  <r>
    <d v="2024-02-20T00:00:00"/>
    <s v="OPT-NIFFIN-20-Feb-2024-20500-P-E-I"/>
    <s v="NSE"/>
    <x v="1"/>
    <n v="40"/>
    <n v="0"/>
    <n v="9.9"/>
    <n v="396"/>
    <s v="#202402203700008188"/>
    <n v="0"/>
    <n v="0.2"/>
    <n v="0"/>
    <n v="0"/>
    <n v="20"/>
    <n v="3.64"/>
    <n v="23.84"/>
    <n v="2024"/>
    <n v="2"/>
    <n v="2023"/>
    <n v="11"/>
    <n v="11"/>
    <x v="1"/>
    <x v="1"/>
    <n v="-419.84"/>
  </r>
  <r>
    <d v="2024-02-20T00:00:00"/>
    <s v="OPT-NIFFIN-20-Feb-2024-20500-P-E-I"/>
    <s v="NSE"/>
    <x v="1"/>
    <n v="40"/>
    <n v="0"/>
    <n v="9.9"/>
    <n v="396"/>
    <s v="#202402203700008177"/>
    <n v="0"/>
    <n v="0.2"/>
    <n v="0"/>
    <n v="0"/>
    <n v="20"/>
    <n v="3.64"/>
    <n v="23.84"/>
    <n v="2024"/>
    <n v="2"/>
    <n v="2023"/>
    <n v="11"/>
    <n v="11"/>
    <x v="1"/>
    <x v="1"/>
    <n v="-419.84"/>
  </r>
  <r>
    <d v="2024-02-20T00:00:00"/>
    <s v="OPT-NIFFIN-20-Feb-2024-20500-P-E-I"/>
    <s v="NSE"/>
    <x v="1"/>
    <n v="40"/>
    <n v="0"/>
    <n v="10"/>
    <n v="400"/>
    <s v="#202402203700008170"/>
    <n v="0"/>
    <n v="0.2"/>
    <n v="0"/>
    <n v="0"/>
    <n v="20"/>
    <n v="3.64"/>
    <n v="23.84"/>
    <n v="2024"/>
    <n v="2"/>
    <n v="2023"/>
    <n v="11"/>
    <n v="11"/>
    <x v="1"/>
    <x v="1"/>
    <n v="-423.84"/>
  </r>
  <r>
    <d v="2024-02-20T00:00:00"/>
    <s v="OPT-NIFFIN-20-Feb-2024-20500-P-E-I"/>
    <s v="NSE"/>
    <x v="1"/>
    <n v="40"/>
    <n v="0"/>
    <n v="9.15"/>
    <n v="366"/>
    <s v="#202402203700007642"/>
    <n v="0"/>
    <n v="0.18"/>
    <n v="0"/>
    <n v="0"/>
    <n v="20"/>
    <n v="3.64"/>
    <n v="23.82"/>
    <n v="2024"/>
    <n v="2"/>
    <n v="2023"/>
    <n v="11"/>
    <n v="11"/>
    <x v="1"/>
    <x v="1"/>
    <n v="-389.82"/>
  </r>
  <r>
    <d v="2024-02-20T00:00:00"/>
    <s v="OPT-NIFFIN-20-Feb-2024-20500-P-E-I"/>
    <s v="NSE"/>
    <x v="1"/>
    <n v="40"/>
    <n v="0"/>
    <n v="9.0500000000000007"/>
    <n v="362"/>
    <s v="#202402203700007418"/>
    <n v="0"/>
    <n v="0.18"/>
    <n v="0"/>
    <n v="0"/>
    <n v="20"/>
    <n v="3.64"/>
    <n v="23.82"/>
    <n v="2024"/>
    <n v="2"/>
    <n v="2023"/>
    <n v="11"/>
    <n v="11"/>
    <x v="1"/>
    <x v="1"/>
    <n v="-385.82"/>
  </r>
  <r>
    <d v="2024-02-20T00:00:00"/>
    <s v="OPT-NIFFIN-20-Feb-2024-20500-P-E-I"/>
    <s v="NSE"/>
    <x v="1"/>
    <n v="40"/>
    <n v="0"/>
    <n v="12.6"/>
    <n v="504"/>
    <s v="#202402203700007160"/>
    <n v="0"/>
    <n v="0.25"/>
    <n v="0"/>
    <n v="0"/>
    <n v="20"/>
    <n v="3.64"/>
    <n v="23.89"/>
    <n v="2024"/>
    <n v="2"/>
    <n v="2023"/>
    <n v="11"/>
    <n v="11"/>
    <x v="1"/>
    <x v="1"/>
    <n v="-527.89"/>
  </r>
  <r>
    <d v="2024-02-20T00:00:00"/>
    <s v="OPT-NIFFIN-20-Feb-2024-20500-P-E-I"/>
    <s v="NSE"/>
    <x v="1"/>
    <n v="40"/>
    <n v="0"/>
    <n v="12.55"/>
    <n v="502"/>
    <s v="#202402203700006913"/>
    <n v="0"/>
    <n v="0.25"/>
    <n v="0"/>
    <n v="0"/>
    <n v="20"/>
    <n v="3.64"/>
    <n v="23.89"/>
    <n v="2024"/>
    <n v="2"/>
    <n v="2023"/>
    <n v="11"/>
    <n v="11"/>
    <x v="1"/>
    <x v="1"/>
    <n v="-525.89"/>
  </r>
  <r>
    <d v="2024-02-20T00:00:00"/>
    <s v="OPT-NIFFIN-20-Feb-2024-20500-P-E-I"/>
    <s v="NSE"/>
    <x v="1"/>
    <n v="40"/>
    <n v="0"/>
    <n v="14.4"/>
    <n v="576"/>
    <s v="#202402203700006778"/>
    <n v="0"/>
    <n v="0.28999999999999998"/>
    <n v="0"/>
    <n v="0"/>
    <n v="20"/>
    <n v="3.66"/>
    <n v="23.95"/>
    <n v="2024"/>
    <n v="2"/>
    <n v="2023"/>
    <n v="11"/>
    <n v="11"/>
    <x v="1"/>
    <x v="1"/>
    <n v="-599.95000000000005"/>
  </r>
  <r>
    <d v="2024-02-20T00:00:00"/>
    <s v="OPT-NIFFIN-20-Feb-2024-20500-P-E-I"/>
    <s v="NSE"/>
    <x v="1"/>
    <n v="40"/>
    <n v="0"/>
    <n v="30"/>
    <n v="1200"/>
    <s v="#202402203700004937"/>
    <n v="0"/>
    <n v="0.61"/>
    <n v="0"/>
    <n v="0"/>
    <n v="20"/>
    <n v="3.7"/>
    <n v="24.31"/>
    <n v="2024"/>
    <n v="2"/>
    <n v="2023"/>
    <n v="11"/>
    <n v="11"/>
    <x v="1"/>
    <x v="1"/>
    <n v="-1224.31"/>
  </r>
  <r>
    <d v="2024-02-21T00:00:00"/>
    <s v="OPT-CNXBAN-21-Feb-2024-47200-C-E-I"/>
    <s v="NSE"/>
    <x v="0"/>
    <n v="120"/>
    <n v="0"/>
    <n v="78.55"/>
    <n v="9426"/>
    <s v="#202402213700020089"/>
    <n v="5.9"/>
    <n v="4.7699999999999996"/>
    <n v="0"/>
    <n v="0"/>
    <n v="160"/>
    <n v="29.64"/>
    <n v="200.31"/>
    <n v="2024"/>
    <n v="2"/>
    <n v="2023"/>
    <n v="11"/>
    <n v="11"/>
    <x v="1"/>
    <x v="1"/>
    <n v="9225.69"/>
  </r>
  <r>
    <d v="2024-02-21T00:00:00"/>
    <s v="OPT-CNXBAN-21-Feb-2024-47200-C-E-I"/>
    <s v="NSE"/>
    <x v="1"/>
    <n v="120"/>
    <n v="0"/>
    <n v="68.3"/>
    <n v="8196"/>
    <s v="#202402213700018547"/>
    <n v="0"/>
    <n v="4.1399999999999997"/>
    <n v="0.25"/>
    <n v="0.01"/>
    <n v="160"/>
    <n v="29.54"/>
    <n v="193.94"/>
    <n v="2024"/>
    <n v="2"/>
    <n v="2023"/>
    <n v="11"/>
    <n v="11"/>
    <x v="1"/>
    <x v="1"/>
    <n v="-8389.94"/>
  </r>
  <r>
    <d v="2024-02-21T00:00:00"/>
    <s v="OPT-CNXBAN-21-Feb-2024-47000-P-E-I"/>
    <s v="NSE"/>
    <x v="0"/>
    <n v="105"/>
    <n v="0"/>
    <n v="35.9"/>
    <n v="3769.5"/>
    <s v="#202402213700018507"/>
    <n v="2.36"/>
    <n v="1.9"/>
    <n v="0"/>
    <n v="0"/>
    <n v="140"/>
    <n v="25.54"/>
    <n v="169.8"/>
    <n v="2024"/>
    <n v="2"/>
    <n v="2023"/>
    <n v="11"/>
    <n v="11"/>
    <x v="1"/>
    <x v="1"/>
    <n v="3599.7"/>
  </r>
  <r>
    <d v="2024-02-21T00:00:00"/>
    <s v="OPT-CNXBAN-21-Feb-2024-47000-P-E-I"/>
    <s v="NSE"/>
    <x v="1"/>
    <n v="105"/>
    <n v="0"/>
    <n v="135.15"/>
    <n v="14190.75"/>
    <s v="#202402213700012658"/>
    <n v="0"/>
    <n v="7.17"/>
    <n v="0.75"/>
    <n v="0.01"/>
    <n v="140"/>
    <n v="26.48"/>
    <n v="174.41"/>
    <n v="2024"/>
    <n v="2"/>
    <n v="2023"/>
    <n v="11"/>
    <n v="11"/>
    <x v="1"/>
    <x v="1"/>
    <n v="-14365.16"/>
  </r>
  <r>
    <d v="2024-02-21T00:00:00"/>
    <s v="OPT-CNXBAN-21-Feb-2024-47000-P-E-I"/>
    <s v="NSE"/>
    <x v="0"/>
    <n v="105"/>
    <n v="0"/>
    <n v="130"/>
    <n v="13650"/>
    <s v="#202402213700012075"/>
    <n v="8.75"/>
    <n v="6.89"/>
    <n v="0"/>
    <n v="0.01"/>
    <n v="140"/>
    <n v="26.44"/>
    <n v="182.09"/>
    <n v="2024"/>
    <n v="2"/>
    <n v="2023"/>
    <n v="11"/>
    <n v="11"/>
    <x v="1"/>
    <x v="1"/>
    <n v="13467.91"/>
  </r>
  <r>
    <d v="2024-02-21T00:00:00"/>
    <s v="OPT-CNXBAN-21-Feb-2024-47000-P-E-I"/>
    <s v="NSE"/>
    <x v="1"/>
    <n v="45"/>
    <n v="0"/>
    <n v="51.45"/>
    <n v="2315.25"/>
    <s v="#202402213700005424"/>
    <n v="0"/>
    <n v="1.17"/>
    <n v="0"/>
    <n v="0"/>
    <n v="60"/>
    <n v="11.02"/>
    <n v="72.19"/>
    <n v="2024"/>
    <n v="2"/>
    <n v="2023"/>
    <n v="11"/>
    <n v="11"/>
    <x v="1"/>
    <x v="1"/>
    <n v="-2387.44"/>
  </r>
  <r>
    <d v="2024-02-21T00:00:00"/>
    <s v="OPT-CNXBAN-21-Feb-2024-47000-P-E-I"/>
    <s v="NSE"/>
    <x v="1"/>
    <n v="45"/>
    <n v="0"/>
    <n v="69.849999999999994"/>
    <n v="3143.25"/>
    <s v="#202402213700004280"/>
    <n v="0"/>
    <n v="1.59"/>
    <n v="0"/>
    <n v="0"/>
    <n v="60"/>
    <n v="11.1"/>
    <n v="72.69"/>
    <n v="2024"/>
    <n v="2"/>
    <n v="2023"/>
    <n v="11"/>
    <n v="11"/>
    <x v="1"/>
    <x v="1"/>
    <n v="-3215.94"/>
  </r>
  <r>
    <d v="2024-02-21T00:00:00"/>
    <s v="OPT-CNXBAN-21-Feb-2024-47000-P-E-I"/>
    <s v="NSE"/>
    <x v="1"/>
    <n v="15"/>
    <n v="0"/>
    <n v="122.3"/>
    <n v="1834.5"/>
    <s v="#202402213700002257"/>
    <n v="0"/>
    <n v="0.93"/>
    <n v="0"/>
    <n v="0"/>
    <n v="20"/>
    <n v="3.76"/>
    <n v="24.69"/>
    <n v="2024"/>
    <n v="2"/>
    <n v="2023"/>
    <n v="11"/>
    <n v="11"/>
    <x v="1"/>
    <x v="1"/>
    <n v="-1859.19"/>
  </r>
  <r>
    <d v="2024-02-22T00:00:00"/>
    <s v="OPT-NIFTY-22-Feb-2024-21900-P-E-I"/>
    <s v="NSE"/>
    <x v="0"/>
    <n v="250"/>
    <n v="0"/>
    <n v="10"/>
    <n v="2500"/>
    <s v="#202402223700017940"/>
    <n v="1.56"/>
    <n v="1.26"/>
    <n v="0"/>
    <n v="0"/>
    <n v="100"/>
    <n v="18.22"/>
    <n v="121.04"/>
    <n v="2024"/>
    <n v="2"/>
    <n v="2023"/>
    <n v="11"/>
    <n v="11"/>
    <x v="1"/>
    <x v="1"/>
    <n v="2378.96"/>
  </r>
  <r>
    <d v="2024-02-22T00:00:00"/>
    <s v="OPT-NIFTY-22-Feb-2024-21900-P-E-I"/>
    <s v="NSE"/>
    <x v="1"/>
    <n v="50"/>
    <n v="0"/>
    <n v="21.65"/>
    <n v="1082.5"/>
    <s v="#202402223700016314"/>
    <n v="0"/>
    <n v="0.55000000000000004"/>
    <n v="0"/>
    <n v="0"/>
    <n v="20"/>
    <n v="3.7"/>
    <n v="24.25"/>
    <n v="2024"/>
    <n v="2"/>
    <n v="2023"/>
    <n v="11"/>
    <n v="11"/>
    <x v="1"/>
    <x v="1"/>
    <n v="-1106.75"/>
  </r>
  <r>
    <d v="2024-02-22T00:00:00"/>
    <s v="OPT-NIFTY-22-Feb-2024-21900-P-E-I"/>
    <s v="NSE"/>
    <x v="1"/>
    <n v="50"/>
    <n v="0"/>
    <n v="30"/>
    <n v="1500"/>
    <s v="#202402223700015316"/>
    <n v="0"/>
    <n v="0.76"/>
    <n v="0"/>
    <n v="0"/>
    <n v="20"/>
    <n v="3.74"/>
    <n v="24.5"/>
    <n v="2024"/>
    <n v="2"/>
    <n v="2023"/>
    <n v="11"/>
    <n v="11"/>
    <x v="1"/>
    <x v="1"/>
    <n v="-1524.5"/>
  </r>
  <r>
    <d v="2024-02-22T00:00:00"/>
    <s v="OPT-NIFTY-22-Feb-2024-21900-P-E-I"/>
    <s v="NSE"/>
    <x v="1"/>
    <n v="50"/>
    <n v="0"/>
    <n v="26.4"/>
    <n v="1320"/>
    <s v="#202402223700014837"/>
    <n v="0"/>
    <n v="0.67"/>
    <n v="0"/>
    <n v="0"/>
    <n v="20"/>
    <n v="3.72"/>
    <n v="24.39"/>
    <n v="2024"/>
    <n v="2"/>
    <n v="2023"/>
    <n v="11"/>
    <n v="11"/>
    <x v="1"/>
    <x v="1"/>
    <n v="-1344.39"/>
  </r>
  <r>
    <d v="2024-02-22T00:00:00"/>
    <s v="OPT-NIFTY-22-Feb-2024-21900-P-E-I"/>
    <s v="NSE"/>
    <x v="1"/>
    <n v="50"/>
    <n v="0"/>
    <n v="40"/>
    <n v="2000"/>
    <s v="#202402223700014598"/>
    <n v="0"/>
    <n v="1.01"/>
    <n v="0"/>
    <n v="0"/>
    <n v="20"/>
    <n v="3.78"/>
    <n v="24.79"/>
    <n v="2024"/>
    <n v="2"/>
    <n v="2023"/>
    <n v="11"/>
    <n v="11"/>
    <x v="1"/>
    <x v="1"/>
    <n v="-2024.79"/>
  </r>
  <r>
    <d v="2024-02-22T00:00:00"/>
    <s v="OPT-NIFTY-22-Feb-2024-21900-P-E-I"/>
    <s v="NSE"/>
    <x v="1"/>
    <n v="50"/>
    <n v="0"/>
    <n v="49.5"/>
    <n v="2475"/>
    <s v="#202402223700014129"/>
    <n v="0"/>
    <n v="1.25"/>
    <n v="0"/>
    <n v="0"/>
    <n v="20"/>
    <n v="3.82"/>
    <n v="25.07"/>
    <n v="2024"/>
    <n v="2"/>
    <n v="2023"/>
    <n v="11"/>
    <n v="11"/>
    <x v="1"/>
    <x v="1"/>
    <n v="-2500.0700000000002"/>
  </r>
  <r>
    <d v="2024-02-22T00:00:00"/>
    <s v="OPT-NIFTY-22-Feb-2024-22000-P-E-I"/>
    <s v="NSE"/>
    <x v="0"/>
    <n v="50"/>
    <n v="0"/>
    <n v="160.05000000000001"/>
    <n v="8002.5"/>
    <s v="#202402223700008533"/>
    <n v="5.44"/>
    <n v="4.04"/>
    <n v="0"/>
    <n v="0.01"/>
    <n v="20"/>
    <n v="4.32"/>
    <n v="33.81"/>
    <n v="2024"/>
    <n v="2"/>
    <n v="2023"/>
    <n v="11"/>
    <n v="11"/>
    <x v="1"/>
    <x v="1"/>
    <n v="7968.69"/>
  </r>
  <r>
    <d v="2024-02-22T00:00:00"/>
    <s v="OPT-NIFTY-22-Feb-2024-22000-P-E-I"/>
    <s v="NSE"/>
    <x v="1"/>
    <n v="50"/>
    <n v="0"/>
    <n v="136.05000000000001"/>
    <n v="6802.5"/>
    <s v="#202402223700007266"/>
    <n v="0"/>
    <n v="3.44"/>
    <n v="0"/>
    <n v="0.01"/>
    <n v="20"/>
    <n v="4.22"/>
    <n v="27.67"/>
    <n v="2024"/>
    <n v="2"/>
    <n v="2023"/>
    <n v="11"/>
    <n v="11"/>
    <x v="1"/>
    <x v="1"/>
    <n v="-6830.17"/>
  </r>
  <r>
    <d v="2024-02-23T00:00:00"/>
    <s v="OPT-NIFFIN-27-Feb-2024-20650-P-E-I"/>
    <s v="NSE"/>
    <x v="0"/>
    <n v="120"/>
    <n v="0"/>
    <n v="99"/>
    <n v="11880"/>
    <s v="#202402233700022232"/>
    <n v="6.96"/>
    <n v="6"/>
    <n v="0"/>
    <n v="0.01"/>
    <n v="60"/>
    <n v="11.88"/>
    <n v="84.85"/>
    <n v="2024"/>
    <n v="2"/>
    <n v="2023"/>
    <n v="11"/>
    <n v="11"/>
    <x v="1"/>
    <x v="1"/>
    <n v="11795.15"/>
  </r>
  <r>
    <d v="2024-02-23T00:00:00"/>
    <s v="OPT-NIFTY-29-Feb-2024-22300-C-E-I"/>
    <s v="NSE"/>
    <x v="1"/>
    <n v="100"/>
    <n v="0"/>
    <n v="147.75"/>
    <n v="14775"/>
    <s v="#202402233700013561"/>
    <n v="0"/>
    <n v="7.46"/>
    <n v="0.67"/>
    <n v="0.01"/>
    <n v="40"/>
    <n v="8.5399999999999991"/>
    <n v="56.68"/>
    <n v="2024"/>
    <n v="2"/>
    <n v="2023"/>
    <n v="11"/>
    <n v="11"/>
    <x v="1"/>
    <x v="1"/>
    <n v="-14831.68"/>
  </r>
  <r>
    <d v="2024-02-23T00:00:00"/>
    <s v="OPT-NIFTY-29-Feb-2024-22300-C-E-I"/>
    <s v="NSE"/>
    <x v="1"/>
    <n v="50"/>
    <n v="0"/>
    <n v="147.94999999999999"/>
    <n v="7397.5"/>
    <s v="#202402233700011703"/>
    <n v="0"/>
    <n v="3.74"/>
    <n v="0"/>
    <n v="0.01"/>
    <n v="20"/>
    <n v="4.28"/>
    <n v="28.03"/>
    <n v="2024"/>
    <n v="2"/>
    <n v="2023"/>
    <n v="11"/>
    <n v="11"/>
    <x v="1"/>
    <x v="1"/>
    <n v="-7425.53"/>
  </r>
  <r>
    <d v="2024-02-23T00:00:00"/>
    <s v="OPT-NIFFIN-27-Feb-2024-20650-P-E-I"/>
    <s v="NSE"/>
    <x v="1"/>
    <n v="40"/>
    <n v="0"/>
    <n v="72.900000000000006"/>
    <n v="2916"/>
    <s v="#202402233700009985"/>
    <n v="0"/>
    <n v="1.47"/>
    <n v="0"/>
    <n v="0"/>
    <n v="20"/>
    <n v="3.86"/>
    <n v="25.33"/>
    <n v="2024"/>
    <n v="2"/>
    <n v="2023"/>
    <n v="11"/>
    <n v="11"/>
    <x v="1"/>
    <x v="1"/>
    <n v="-2941.33"/>
  </r>
  <r>
    <d v="2024-02-23T00:00:00"/>
    <s v="OPT-NIFFIN-27-Feb-2024-20650-P-E-I"/>
    <s v="NSE"/>
    <x v="1"/>
    <n v="40"/>
    <n v="0"/>
    <n v="92.1"/>
    <n v="3684"/>
    <s v="#202402233700008998"/>
    <n v="0"/>
    <n v="1.86"/>
    <n v="0"/>
    <n v="0"/>
    <n v="20"/>
    <n v="3.94"/>
    <n v="25.8"/>
    <n v="2024"/>
    <n v="2"/>
    <n v="2023"/>
    <n v="11"/>
    <n v="11"/>
    <x v="1"/>
    <x v="1"/>
    <n v="-3709.8"/>
  </r>
  <r>
    <d v="2024-02-23T00:00:00"/>
    <s v="OPT-NIFFIN-27-Feb-2024-20650-P-E-I"/>
    <s v="NSE"/>
    <x v="1"/>
    <n v="40"/>
    <n v="0"/>
    <n v="98.75"/>
    <n v="3950"/>
    <s v="#202402233700008153"/>
    <n v="0"/>
    <n v="1.99"/>
    <n v="0.32"/>
    <n v="0"/>
    <n v="20"/>
    <n v="3.96"/>
    <n v="26.27"/>
    <n v="2024"/>
    <n v="2"/>
    <n v="2023"/>
    <n v="11"/>
    <n v="11"/>
    <x v="1"/>
    <x v="1"/>
    <n v="-3976.27"/>
  </r>
  <r>
    <d v="2024-02-23T00:00:00"/>
    <s v="OPT-NIFTY-29-Feb-2024-22200-P-E-I"/>
    <s v="NSE"/>
    <x v="0"/>
    <n v="250"/>
    <n v="0"/>
    <n v="134.65"/>
    <n v="33662.5"/>
    <s v="#202402233700007069"/>
    <n v="21.04"/>
    <n v="17"/>
    <n v="0"/>
    <n v="0.03"/>
    <n v="100"/>
    <n v="21.06"/>
    <n v="159.13"/>
    <n v="2024"/>
    <n v="2"/>
    <n v="2023"/>
    <n v="11"/>
    <n v="11"/>
    <x v="1"/>
    <x v="1"/>
    <n v="33503.370000000003"/>
  </r>
  <r>
    <d v="2024-02-23T00:00:00"/>
    <s v="OPT-NIFTY-29-Feb-2024-22200-P-E-I"/>
    <s v="NSE"/>
    <x v="1"/>
    <n v="200"/>
    <n v="0"/>
    <n v="129.25"/>
    <n v="25850"/>
    <s v="#202402233700003825"/>
    <n v="0"/>
    <n v="13.05"/>
    <n v="1.01"/>
    <n v="0.03"/>
    <n v="80"/>
    <n v="16.760000000000002"/>
    <n v="110.85"/>
    <n v="2024"/>
    <n v="2"/>
    <n v="2023"/>
    <n v="11"/>
    <n v="11"/>
    <x v="1"/>
    <x v="1"/>
    <n v="-25960.85"/>
  </r>
  <r>
    <d v="2024-02-23T00:00:00"/>
    <s v="OPT-NIFTY-29-Feb-2024-22200-P-E-I"/>
    <s v="NSE"/>
    <x v="1"/>
    <n v="50"/>
    <n v="0"/>
    <n v="130.85"/>
    <n v="6542.5"/>
    <s v="#202402233700002965"/>
    <n v="0"/>
    <n v="3.3"/>
    <n v="0"/>
    <n v="0.01"/>
    <n v="20"/>
    <n v="4.2"/>
    <n v="27.51"/>
    <n v="2024"/>
    <n v="2"/>
    <n v="2023"/>
    <n v="11"/>
    <n v="11"/>
    <x v="1"/>
    <x v="1"/>
    <n v="-6570.01"/>
  </r>
  <r>
    <d v="2024-02-26T00:00:00"/>
    <s v="OPT-NIFTY-29-Feb-2024-22300-C-E-I"/>
    <s v="NSE"/>
    <x v="0"/>
    <n v="150"/>
    <n v="0"/>
    <n v="74.099999999999994"/>
    <n v="11115"/>
    <s v="#202402263700007254"/>
    <n v="6.95"/>
    <n v="5.61"/>
    <n v="0"/>
    <n v="0.01"/>
    <n v="60"/>
    <n v="11.82"/>
    <n v="84.39"/>
    <n v="2024"/>
    <n v="2"/>
    <n v="2023"/>
    <n v="11"/>
    <n v="11"/>
    <x v="1"/>
    <x v="1"/>
    <n v="11030.61"/>
  </r>
  <r>
    <d v="2024-02-26T00:00:00"/>
    <s v="OPT-NIFSEL-26-Feb-2024-11050-C-E-I"/>
    <s v="NSE"/>
    <x v="0"/>
    <n v="450"/>
    <n v="0"/>
    <n v="5.05"/>
    <n v="2272.5"/>
    <s v="#202402263700007190"/>
    <n v="1.06"/>
    <n v="1.1499999999999999"/>
    <n v="0"/>
    <n v="0"/>
    <n v="120"/>
    <n v="21.82"/>
    <n v="144.03"/>
    <n v="2024"/>
    <n v="2"/>
    <n v="2023"/>
    <n v="11"/>
    <n v="11"/>
    <x v="1"/>
    <x v="1"/>
    <n v="2128.4699999999998"/>
  </r>
  <r>
    <d v="2024-02-26T00:00:00"/>
    <s v="OPT-NIFSEL-26-Feb-2024-11050-C-E-I"/>
    <s v="NSE"/>
    <x v="1"/>
    <n v="150"/>
    <n v="0"/>
    <n v="6.45"/>
    <n v="967.5"/>
    <s v="#202402263700005441"/>
    <n v="0"/>
    <n v="0.48"/>
    <n v="0"/>
    <n v="0"/>
    <n v="40"/>
    <n v="7.28"/>
    <n v="47.76"/>
    <n v="2024"/>
    <n v="2"/>
    <n v="2023"/>
    <n v="11"/>
    <n v="11"/>
    <x v="1"/>
    <x v="1"/>
    <n v="-1015.26"/>
  </r>
  <r>
    <d v="2024-02-26T00:00:00"/>
    <s v="OPT-NIFSEL-26-Feb-2024-11050-C-E-I"/>
    <s v="NSE"/>
    <x v="1"/>
    <n v="150"/>
    <n v="0"/>
    <n v="12.65"/>
    <n v="1897.5"/>
    <s v="#202402263700004132"/>
    <n v="0"/>
    <n v="0.96"/>
    <n v="0"/>
    <n v="0"/>
    <n v="40"/>
    <n v="7.38"/>
    <n v="48.34"/>
    <n v="2024"/>
    <n v="2"/>
    <n v="2023"/>
    <n v="11"/>
    <n v="11"/>
    <x v="1"/>
    <x v="1"/>
    <n v="-1945.84"/>
  </r>
  <r>
    <d v="2024-02-26T00:00:00"/>
    <s v="OPT-NIFSEL-26-Feb-2024-11050-C-E-I"/>
    <s v="NSE"/>
    <x v="1"/>
    <n v="150"/>
    <n v="0"/>
    <n v="32.65"/>
    <n v="4897.5"/>
    <s v="#202402263700003264"/>
    <n v="0"/>
    <n v="2.4700000000000002"/>
    <n v="0"/>
    <n v="0"/>
    <n v="40"/>
    <n v="7.64"/>
    <n v="50.11"/>
    <n v="2024"/>
    <n v="2"/>
    <n v="2023"/>
    <n v="11"/>
    <n v="11"/>
    <x v="1"/>
    <x v="1"/>
    <n v="-4947.6099999999997"/>
  </r>
  <r>
    <d v="2024-02-27T00:00:00"/>
    <s v="OPT-NIFTY-29-Feb-2024-22250-C-E-I"/>
    <s v="NSE"/>
    <x v="0"/>
    <n v="250"/>
    <n v="0"/>
    <n v="89.15"/>
    <n v="22287.5"/>
    <s v="#202402273700026919"/>
    <n v="13.93"/>
    <n v="11.26"/>
    <n v="0"/>
    <n v="0.02"/>
    <n v="100"/>
    <n v="20.04"/>
    <n v="145.25"/>
    <n v="2024"/>
    <n v="2"/>
    <n v="2023"/>
    <n v="11"/>
    <n v="11"/>
    <x v="1"/>
    <x v="1"/>
    <n v="22142.25"/>
  </r>
  <r>
    <d v="2024-02-27T00:00:00"/>
    <s v="OPT-NIFTY-29-Feb-2024-22250-C-E-I"/>
    <s v="NSE"/>
    <x v="1"/>
    <n v="250"/>
    <n v="0"/>
    <n v="80.95"/>
    <n v="20237.5"/>
    <s v="#202402273700024779"/>
    <n v="0"/>
    <n v="10.210000000000001"/>
    <n v="0.79"/>
    <n v="0.01"/>
    <n v="100"/>
    <n v="19.82"/>
    <n v="130.83000000000001"/>
    <n v="2024"/>
    <n v="2"/>
    <n v="2023"/>
    <n v="11"/>
    <n v="11"/>
    <x v="1"/>
    <x v="1"/>
    <n v="-20368.330000000002"/>
  </r>
  <r>
    <d v="2024-02-27T00:00:00"/>
    <s v="OPT-NIFTY-29-Feb-2024-22150-C-E-I"/>
    <s v="NSE"/>
    <x v="0"/>
    <n v="50"/>
    <n v="0"/>
    <n v="139.65"/>
    <n v="6982.5"/>
    <s v="#202402273700016118"/>
    <n v="4.3600000000000003"/>
    <n v="3.53"/>
    <n v="0"/>
    <n v="0.01"/>
    <n v="20"/>
    <n v="4.24"/>
    <n v="32.14"/>
    <n v="2024"/>
    <n v="2"/>
    <n v="2023"/>
    <n v="11"/>
    <n v="11"/>
    <x v="1"/>
    <x v="1"/>
    <n v="6950.36"/>
  </r>
  <r>
    <d v="2024-02-27T00:00:00"/>
    <s v="OPT-NIFFIN-27-Feb-2024-20600-C-E-I"/>
    <s v="NSE"/>
    <x v="0"/>
    <n v="40"/>
    <n v="0"/>
    <n v="29"/>
    <n v="1160"/>
    <s v="#202402273700007789"/>
    <n v="0.71"/>
    <n v="0.59"/>
    <n v="0"/>
    <n v="0"/>
    <n v="20"/>
    <n v="3.7"/>
    <n v="25"/>
    <n v="2024"/>
    <n v="2"/>
    <n v="2023"/>
    <n v="11"/>
    <n v="11"/>
    <x v="1"/>
    <x v="1"/>
    <n v="1135"/>
  </r>
  <r>
    <d v="2024-02-27T00:00:00"/>
    <s v="OPT-NIFFIN-27-Feb-2024-20600-C-E-I"/>
    <s v="NSE"/>
    <x v="1"/>
    <n v="40"/>
    <n v="0"/>
    <n v="26.65"/>
    <n v="1066"/>
    <s v="#202402273700007447"/>
    <n v="0"/>
    <n v="0.54"/>
    <n v="0.03"/>
    <n v="0"/>
    <n v="20"/>
    <n v="3.7"/>
    <n v="24.27"/>
    <n v="2024"/>
    <n v="2"/>
    <n v="2023"/>
    <n v="11"/>
    <n v="11"/>
    <x v="1"/>
    <x v="1"/>
    <n v="-1090.27"/>
  </r>
  <r>
    <d v="2024-02-27T00:00:00"/>
    <s v="OPT-NIFTY-29-Feb-2024-22150-C-E-I"/>
    <s v="NSE"/>
    <x v="1"/>
    <n v="50"/>
    <n v="0"/>
    <n v="119.25"/>
    <n v="5962.5"/>
    <s v="#202402273700003545"/>
    <n v="0"/>
    <n v="3.01"/>
    <n v="0.18"/>
    <n v="0.01"/>
    <n v="20"/>
    <n v="4.1399999999999997"/>
    <n v="27.34"/>
    <n v="2024"/>
    <n v="2"/>
    <n v="2023"/>
    <n v="11"/>
    <n v="11"/>
    <x v="1"/>
    <x v="1"/>
    <n v="-5989.84"/>
  </r>
  <r>
    <d v="2024-02-28T00:00:00"/>
    <s v="OPT-CNXBAN-29-Feb-2024-46600-C-E-I"/>
    <s v="NSE"/>
    <x v="1"/>
    <n v="600"/>
    <n v="0"/>
    <n v="55"/>
    <n v="33000"/>
    <s v="#202402283700028151"/>
    <n v="0"/>
    <n v="16.670000000000002"/>
    <n v="0"/>
    <n v="0.03"/>
    <n v="800"/>
    <n v="147.02000000000001"/>
    <n v="963.72"/>
    <n v="2024"/>
    <n v="2"/>
    <n v="2023"/>
    <n v="11"/>
    <n v="11"/>
    <x v="1"/>
    <x v="1"/>
    <n v="-33963.72"/>
  </r>
  <r>
    <d v="2024-02-28T00:00:00"/>
    <s v="OPT-CNXBAN-29-Feb-2024-46600-C-E-I"/>
    <s v="NSE"/>
    <x v="1"/>
    <n v="600"/>
    <n v="0"/>
    <n v="115"/>
    <n v="69000"/>
    <s v="#202402283700017286"/>
    <n v="0"/>
    <n v="34.85"/>
    <n v="5.14"/>
    <n v="7.0000000000000007E-2"/>
    <n v="800"/>
    <n v="150.28"/>
    <n v="990.34"/>
    <n v="2024"/>
    <n v="2"/>
    <n v="2023"/>
    <n v="11"/>
    <n v="11"/>
    <x v="1"/>
    <x v="1"/>
    <n v="-69990.34"/>
  </r>
  <r>
    <d v="2024-02-28T00:00:00"/>
    <s v="OPT-CNXBAN-29-Feb-2024-46600-C-E-I"/>
    <s v="NSE"/>
    <x v="0"/>
    <n v="315"/>
    <n v="0"/>
    <n v="106.9"/>
    <n v="33673.5"/>
    <s v="#202402283700016620"/>
    <n v="21.29"/>
    <n v="17.010000000000002"/>
    <n v="0"/>
    <n v="0.03"/>
    <n v="420"/>
    <n v="78.66"/>
    <n v="536.99"/>
    <n v="2024"/>
    <n v="2"/>
    <n v="2023"/>
    <n v="11"/>
    <n v="11"/>
    <x v="1"/>
    <x v="1"/>
    <n v="33136.51"/>
  </r>
  <r>
    <d v="2024-02-28T00:00:00"/>
    <s v="OPT-CNXBAN-29-Feb-2024-46600-C-E-I"/>
    <s v="NSE"/>
    <x v="1"/>
    <n v="60"/>
    <n v="0"/>
    <n v="117.5"/>
    <n v="7050"/>
    <s v="#202402283700012865"/>
    <n v="0"/>
    <n v="3.56"/>
    <n v="0"/>
    <n v="0.01"/>
    <n v="80"/>
    <n v="15.04"/>
    <n v="98.61"/>
    <n v="2024"/>
    <n v="2"/>
    <n v="2023"/>
    <n v="11"/>
    <n v="11"/>
    <x v="1"/>
    <x v="1"/>
    <n v="-7148.61"/>
  </r>
  <r>
    <d v="2024-02-28T00:00:00"/>
    <s v="OPT-CNXBAN-29-Feb-2024-46600-C-E-I"/>
    <s v="NSE"/>
    <x v="1"/>
    <n v="60"/>
    <n v="0"/>
    <n v="179.6"/>
    <n v="10776"/>
    <s v="#202402283700009861"/>
    <n v="0"/>
    <n v="5.44"/>
    <n v="0"/>
    <n v="0.01"/>
    <n v="80"/>
    <n v="15.38"/>
    <n v="100.83"/>
    <n v="2024"/>
    <n v="2"/>
    <n v="2023"/>
    <n v="11"/>
    <n v="11"/>
    <x v="1"/>
    <x v="1"/>
    <n v="-10876.83"/>
  </r>
  <r>
    <d v="2024-02-28T00:00:00"/>
    <s v="OPT-CNXBAN-29-Feb-2024-46600-C-E-I"/>
    <s v="NSE"/>
    <x v="1"/>
    <n v="60"/>
    <n v="0"/>
    <n v="196.9"/>
    <n v="11814"/>
    <s v="#202402283700009008"/>
    <n v="0"/>
    <n v="5.97"/>
    <n v="0"/>
    <n v="0.01"/>
    <n v="80"/>
    <n v="15.48"/>
    <n v="101.46"/>
    <n v="2024"/>
    <n v="2"/>
    <n v="2023"/>
    <n v="11"/>
    <n v="11"/>
    <x v="1"/>
    <x v="1"/>
    <n v="-11915.46"/>
  </r>
  <r>
    <d v="2024-02-28T00:00:00"/>
    <s v="OPT-CNXBAN-29-Feb-2024-46600-C-E-I"/>
    <s v="NSE"/>
    <x v="1"/>
    <n v="60"/>
    <n v="0"/>
    <n v="238.3"/>
    <n v="14298"/>
    <s v="#202402283700008712"/>
    <n v="0"/>
    <n v="7.22"/>
    <n v="0"/>
    <n v="0.02"/>
    <n v="80"/>
    <n v="15.72"/>
    <n v="102.96"/>
    <n v="2024"/>
    <n v="2"/>
    <n v="2023"/>
    <n v="11"/>
    <n v="11"/>
    <x v="1"/>
    <x v="1"/>
    <n v="-14400.96"/>
  </r>
  <r>
    <d v="2024-02-28T00:00:00"/>
    <s v="OPT-CNXBAN-29-Feb-2024-46600-C-E-I"/>
    <s v="NSE"/>
    <x v="1"/>
    <n v="15"/>
    <n v="0"/>
    <n v="277.7"/>
    <n v="4165.5"/>
    <s v="#202402283700007754"/>
    <n v="0"/>
    <n v="2.1"/>
    <n v="0"/>
    <n v="0"/>
    <n v="20"/>
    <n v="3.98"/>
    <n v="26.08"/>
    <n v="2024"/>
    <n v="2"/>
    <n v="2023"/>
    <n v="11"/>
    <n v="11"/>
    <x v="1"/>
    <x v="1"/>
    <n v="-4191.58"/>
  </r>
  <r>
    <d v="2024-02-28T00:00:00"/>
    <s v="OPT-CNXBAN-29-Feb-2024-46600-C-E-I"/>
    <s v="NSE"/>
    <x v="1"/>
    <n v="60"/>
    <n v="0"/>
    <n v="293.95"/>
    <n v="17637"/>
    <s v="#202402283700007662"/>
    <n v="0"/>
    <n v="8.91"/>
    <n v="0"/>
    <n v="0.01"/>
    <n v="80"/>
    <n v="16"/>
    <n v="104.92"/>
    <n v="2024"/>
    <n v="2"/>
    <n v="2023"/>
    <n v="11"/>
    <n v="11"/>
    <x v="1"/>
    <x v="1"/>
    <n v="-17741.919999999998"/>
  </r>
  <r>
    <d v="2024-02-28T00:00:00"/>
    <s v="OPT-CNXBAN-29-Feb-2024-46600-C-E-I"/>
    <s v="NSE"/>
    <x v="0"/>
    <n v="15"/>
    <n v="0"/>
    <n v="270.8"/>
    <n v="4062"/>
    <s v="#202402283700005124"/>
    <n v="2.54"/>
    <n v="2.0499999999999998"/>
    <n v="0"/>
    <n v="0"/>
    <n v="20"/>
    <n v="3.96"/>
    <n v="28.55"/>
    <n v="2024"/>
    <n v="2"/>
    <n v="2023"/>
    <n v="11"/>
    <n v="11"/>
    <x v="1"/>
    <x v="1"/>
    <n v="4033.45"/>
  </r>
  <r>
    <d v="2024-02-28T00:00:00"/>
    <s v="OPT-CNXBAN-29-Feb-2024-46600-C-E-I"/>
    <s v="NSE"/>
    <x v="1"/>
    <n v="15"/>
    <n v="0"/>
    <n v="239.05"/>
    <n v="3585.75"/>
    <s v="#202402283700004969"/>
    <n v="0"/>
    <n v="1.81"/>
    <n v="0"/>
    <n v="0"/>
    <n v="20"/>
    <n v="3.92"/>
    <n v="25.73"/>
    <n v="2024"/>
    <n v="2"/>
    <n v="2023"/>
    <n v="11"/>
    <n v="11"/>
    <x v="1"/>
    <x v="1"/>
    <n v="-3611.48"/>
  </r>
  <r>
    <d v="2024-02-28T00:00:00"/>
    <s v="OPT-CNXBAN-29-Feb-2024-46600-P-E-I"/>
    <s v="NSE"/>
    <x v="0"/>
    <n v="105"/>
    <n v="0"/>
    <n v="292.14999999999998"/>
    <n v="30675.75"/>
    <s v="#202402283700004304"/>
    <n v="19.18"/>
    <n v="15.49"/>
    <n v="0"/>
    <n v="0.02"/>
    <n v="140"/>
    <n v="28"/>
    <n v="202.69"/>
    <n v="2024"/>
    <n v="2"/>
    <n v="2023"/>
    <n v="11"/>
    <n v="11"/>
    <x v="1"/>
    <x v="1"/>
    <n v="30473.06"/>
  </r>
  <r>
    <d v="2024-02-28T00:00:00"/>
    <s v="OPT-CNXBAN-29-Feb-2024-46600-P-E-I"/>
    <s v="NSE"/>
    <x v="1"/>
    <n v="15"/>
    <n v="0"/>
    <n v="253.6"/>
    <n v="3804"/>
    <s v="#202402283700003498"/>
    <n v="0"/>
    <n v="1.92"/>
    <n v="0"/>
    <n v="0"/>
    <n v="20"/>
    <n v="3.94"/>
    <n v="25.86"/>
    <n v="2024"/>
    <n v="2"/>
    <n v="2023"/>
    <n v="11"/>
    <n v="11"/>
    <x v="1"/>
    <x v="1"/>
    <n v="-3829.86"/>
  </r>
  <r>
    <d v="2024-02-28T00:00:00"/>
    <s v="OPT-CNXBAN-29-Feb-2024-46600-P-E-I"/>
    <s v="NSE"/>
    <x v="1"/>
    <n v="15"/>
    <n v="0"/>
    <n v="263.3"/>
    <n v="3949.5"/>
    <s v="#202402283700002316"/>
    <n v="0"/>
    <n v="1.99"/>
    <n v="0"/>
    <n v="0"/>
    <n v="20"/>
    <n v="3.96"/>
    <n v="25.95"/>
    <n v="2024"/>
    <n v="2"/>
    <n v="2023"/>
    <n v="11"/>
    <n v="11"/>
    <x v="1"/>
    <x v="1"/>
    <n v="-3975.45"/>
  </r>
  <r>
    <d v="2024-02-28T00:00:00"/>
    <s v="OPT-CNXBAN-29-Feb-2024-46600-P-E-I"/>
    <s v="NSE"/>
    <x v="1"/>
    <n v="15"/>
    <n v="0"/>
    <n v="276.39999999999998"/>
    <n v="4146"/>
    <s v="#202402283700002128"/>
    <n v="0"/>
    <n v="2.09"/>
    <n v="0"/>
    <n v="0"/>
    <n v="20"/>
    <n v="3.98"/>
    <n v="26.07"/>
    <n v="2024"/>
    <n v="2"/>
    <n v="2023"/>
    <n v="11"/>
    <n v="11"/>
    <x v="1"/>
    <x v="1"/>
    <n v="-4172.07"/>
  </r>
  <r>
    <d v="2024-02-28T00:00:00"/>
    <s v="OPT-CNXBAN-29-Feb-2024-46600-P-E-I"/>
    <s v="NSE"/>
    <x v="1"/>
    <n v="15"/>
    <n v="0"/>
    <n v="277.45"/>
    <n v="4161.75"/>
    <s v="#202402283700002122"/>
    <n v="0"/>
    <n v="2.1"/>
    <n v="0.86"/>
    <n v="0"/>
    <n v="20"/>
    <n v="3.98"/>
    <n v="26.94"/>
    <n v="2024"/>
    <n v="2"/>
    <n v="2023"/>
    <n v="11"/>
    <n v="11"/>
    <x v="1"/>
    <x v="1"/>
    <n v="-4188.6899999999996"/>
  </r>
  <r>
    <d v="2024-02-28T00:00:00"/>
    <s v="OPT-CNXBAN-29-Feb-2024-46600-P-E-I"/>
    <s v="NSE"/>
    <x v="1"/>
    <n v="15"/>
    <n v="0"/>
    <n v="278.45"/>
    <n v="4176.75"/>
    <s v="#202402283700001855"/>
    <n v="0"/>
    <n v="2.11"/>
    <n v="0"/>
    <n v="0"/>
    <n v="20"/>
    <n v="3.98"/>
    <n v="26.09"/>
    <n v="2024"/>
    <n v="2"/>
    <n v="2023"/>
    <n v="11"/>
    <n v="11"/>
    <x v="1"/>
    <x v="1"/>
    <n v="-4202.84"/>
  </r>
  <r>
    <d v="2024-02-28T00:00:00"/>
    <s v="OPT-CNXBAN-29-Feb-2024-46600-P-E-I"/>
    <s v="NSE"/>
    <x v="1"/>
    <n v="15"/>
    <n v="0"/>
    <n v="280.7"/>
    <n v="4210.5"/>
    <s v="#202402283700001762"/>
    <n v="0"/>
    <n v="2.13"/>
    <n v="0"/>
    <n v="0"/>
    <n v="20"/>
    <n v="3.98"/>
    <n v="26.11"/>
    <n v="2024"/>
    <n v="2"/>
    <n v="2023"/>
    <n v="11"/>
    <n v="11"/>
    <x v="1"/>
    <x v="1"/>
    <n v="-4236.6099999999997"/>
  </r>
  <r>
    <d v="2024-02-28T00:00:00"/>
    <s v="OPT-CNXBAN-29-Feb-2024-46600-P-E-I"/>
    <s v="NSE"/>
    <x v="1"/>
    <n v="15"/>
    <n v="0"/>
    <n v="276.05"/>
    <n v="4140.75"/>
    <s v="#202402283700001523"/>
    <n v="0"/>
    <n v="2.09"/>
    <n v="0"/>
    <n v="0"/>
    <n v="20"/>
    <n v="3.98"/>
    <n v="26.07"/>
    <n v="2024"/>
    <n v="2"/>
    <n v="2023"/>
    <n v="11"/>
    <n v="11"/>
    <x v="1"/>
    <x v="1"/>
    <n v="-4166.82"/>
  </r>
  <r>
    <d v="2024-02-29T00:00:00"/>
    <s v="OPT-CNXBAN-29-Feb-2024-46600-C-E-I"/>
    <s v="NSE"/>
    <x v="0"/>
    <n v="300"/>
    <n v="0"/>
    <n v="5.65"/>
    <n v="1695"/>
    <s v="#202402293700028090"/>
    <n v="1.06"/>
    <n v="0.86"/>
    <n v="0"/>
    <n v="0"/>
    <n v="400"/>
    <n v="72.16"/>
    <n v="474.08"/>
    <n v="2024"/>
    <n v="2"/>
    <n v="2023"/>
    <n v="11"/>
    <n v="11"/>
    <x v="1"/>
    <x v="1"/>
    <n v="1220.92"/>
  </r>
  <r>
    <d v="2024-02-29T00:00:00"/>
    <s v="OPT-CNXBAN-29-Feb-2024-46600-C-E-I"/>
    <s v="NSE"/>
    <x v="0"/>
    <n v="900"/>
    <n v="0"/>
    <n v="5.25"/>
    <n v="4725"/>
    <s v="#202402293700028072"/>
    <n v="2.95"/>
    <n v="2.38"/>
    <n v="0"/>
    <n v="0"/>
    <n v="1200"/>
    <n v="216.44"/>
    <n v="1421.77"/>
    <n v="2024"/>
    <n v="2"/>
    <n v="2023"/>
    <n v="11"/>
    <n v="11"/>
    <x v="1"/>
    <x v="1"/>
    <n v="3303.23"/>
  </r>
  <r>
    <d v="2024-02-29T00:00:00"/>
    <s v="OPT-CNXBAN-29-Feb-2024-46600-C-E-I"/>
    <s v="NSE"/>
    <x v="0"/>
    <n v="900"/>
    <n v="0"/>
    <n v="5.25"/>
    <n v="4725"/>
    <s v="#202402293700028043"/>
    <n v="2.95"/>
    <n v="2.39"/>
    <n v="0"/>
    <n v="0"/>
    <n v="1200"/>
    <n v="216.44"/>
    <n v="1421.78"/>
    <n v="2024"/>
    <n v="2"/>
    <n v="2023"/>
    <n v="11"/>
    <n v="11"/>
    <x v="1"/>
    <x v="1"/>
    <n v="3303.2200000000003"/>
  </r>
  <r>
    <d v="2024-02-29T00:00:00"/>
    <s v="OPT-CNXBAN-29-Feb-2024-46600-C-E-I"/>
    <s v="NSE"/>
    <x v="0"/>
    <n v="900"/>
    <n v="0"/>
    <n v="4.8499999999999996"/>
    <n v="4363.5"/>
    <s v="#202402293700027521"/>
    <n v="2.73"/>
    <n v="2.21"/>
    <n v="0"/>
    <n v="0"/>
    <n v="1200"/>
    <n v="216.4"/>
    <n v="1421.34"/>
    <n v="2024"/>
    <n v="2"/>
    <n v="2023"/>
    <n v="11"/>
    <n v="11"/>
    <x v="1"/>
    <x v="1"/>
    <n v="2942.16"/>
  </r>
  <r>
    <d v="2024-02-29T00:00:00"/>
    <s v="OPT-CNXBAN-29-Feb-2024-46600-C-E-I"/>
    <s v="NSE"/>
    <x v="0"/>
    <n v="900"/>
    <n v="0"/>
    <n v="4.9000000000000004"/>
    <n v="4410"/>
    <s v="#202402293700027454"/>
    <n v="2.75"/>
    <n v="2.23"/>
    <n v="0"/>
    <n v="0"/>
    <n v="1200"/>
    <n v="216.4"/>
    <n v="1421.38"/>
    <n v="2024"/>
    <n v="2"/>
    <n v="2023"/>
    <n v="11"/>
    <n v="11"/>
    <x v="1"/>
    <x v="1"/>
    <n v="2988.62"/>
  </r>
  <r>
    <d v="2024-02-29T00:00:00"/>
    <s v="OPT-CNXBAN-29-Feb-2024-46600-C-E-I"/>
    <s v="NSE"/>
    <x v="0"/>
    <n v="900"/>
    <n v="0"/>
    <n v="4.8499999999999996"/>
    <n v="4365"/>
    <s v="#202402293700027419"/>
    <n v="2.74"/>
    <n v="2.2000000000000002"/>
    <n v="0"/>
    <n v="0"/>
    <n v="1200"/>
    <n v="216.4"/>
    <n v="1421.34"/>
    <n v="2024"/>
    <n v="2"/>
    <n v="2023"/>
    <n v="11"/>
    <n v="11"/>
    <x v="1"/>
    <x v="1"/>
    <n v="2943.66"/>
  </r>
  <r>
    <d v="2024-02-29T00:00:00"/>
    <s v="OPT-CNXBAN-29-Feb-2024-46600-C-E-I"/>
    <s v="NSE"/>
    <x v="0"/>
    <n v="900"/>
    <n v="0"/>
    <n v="6.95"/>
    <n v="6255"/>
    <s v="#202402293700025531"/>
    <n v="3.84"/>
    <n v="3.17"/>
    <n v="0"/>
    <n v="0"/>
    <n v="1200"/>
    <n v="216.54"/>
    <n v="1423.55"/>
    <n v="2024"/>
    <n v="2"/>
    <n v="2023"/>
    <n v="11"/>
    <n v="11"/>
    <x v="1"/>
    <x v="1"/>
    <n v="4831.45"/>
  </r>
  <r>
    <d v="2024-02-29T00:00:00"/>
    <s v="OPT-CNXBAN-29-Feb-2024-46600-C-E-I"/>
    <s v="NSE"/>
    <x v="1"/>
    <n v="900"/>
    <n v="0"/>
    <n v="8.9499999999999993"/>
    <n v="8055"/>
    <s v="#202402293700016432"/>
    <n v="0"/>
    <n v="4.07"/>
    <n v="0"/>
    <n v="0"/>
    <n v="1200"/>
    <n v="216.74"/>
    <n v="1420.81"/>
    <n v="2024"/>
    <n v="2"/>
    <n v="2023"/>
    <n v="11"/>
    <n v="11"/>
    <x v="1"/>
    <x v="1"/>
    <n v="-9475.81"/>
  </r>
  <r>
    <d v="2024-02-29T00:00:00"/>
    <s v="OPT-CNXBAN-29-Feb-2024-46600-C-E-I"/>
    <s v="NSE"/>
    <x v="1"/>
    <n v="900"/>
    <n v="0"/>
    <n v="9.6999999999999993"/>
    <n v="8730"/>
    <s v="#202402293700016335"/>
    <n v="0"/>
    <n v="4.41"/>
    <n v="0"/>
    <n v="0"/>
    <n v="1200"/>
    <n v="216.8"/>
    <n v="1421.21"/>
    <n v="2024"/>
    <n v="2"/>
    <n v="2023"/>
    <n v="11"/>
    <n v="11"/>
    <x v="1"/>
    <x v="1"/>
    <n v="-10151.209999999999"/>
  </r>
  <r>
    <d v="2024-02-29T00:00:00"/>
    <s v="OPT-CNXBAN-29-Feb-2024-46600-C-E-I"/>
    <s v="NSE"/>
    <x v="1"/>
    <n v="900"/>
    <n v="0"/>
    <n v="9.1"/>
    <n v="8190"/>
    <s v="#202402293700016296"/>
    <n v="0"/>
    <n v="4.13"/>
    <n v="2"/>
    <n v="0.01"/>
    <n v="1200"/>
    <n v="216.76"/>
    <n v="1422.9"/>
    <n v="2024"/>
    <n v="2"/>
    <n v="2023"/>
    <n v="11"/>
    <n v="11"/>
    <x v="1"/>
    <x v="1"/>
    <n v="-9612.9"/>
  </r>
  <r>
    <d v="2024-02-29T00:00:00"/>
    <s v="OPT-CNXBAN-29-Feb-2024-46600-C-E-I"/>
    <s v="NSE"/>
    <x v="1"/>
    <n v="900"/>
    <n v="0"/>
    <n v="18.2"/>
    <n v="16379.25"/>
    <s v="#202402293700008897"/>
    <n v="0"/>
    <n v="8.2799999999999994"/>
    <n v="0"/>
    <n v="0.01"/>
    <n v="1200"/>
    <n v="217.5"/>
    <n v="1425.79"/>
    <n v="2024"/>
    <n v="2"/>
    <n v="2023"/>
    <n v="11"/>
    <n v="11"/>
    <x v="1"/>
    <x v="1"/>
    <n v="-17805.04"/>
  </r>
  <r>
    <d v="2024-02-29T00:00:00"/>
    <s v="OPT-CNXBAN-29-Feb-2024-46600-C-E-I"/>
    <s v="NSE"/>
    <x v="1"/>
    <n v="900"/>
    <n v="0"/>
    <n v="25.7"/>
    <n v="23130"/>
    <s v="#202402293700001087"/>
    <n v="0"/>
    <n v="11.67"/>
    <n v="0"/>
    <n v="0.01"/>
    <n v="1200"/>
    <n v="218.12"/>
    <n v="1429.8"/>
    <n v="2024"/>
    <n v="2"/>
    <n v="2023"/>
    <n v="11"/>
    <n v="11"/>
    <x v="1"/>
    <x v="1"/>
    <n v="-24559.8"/>
  </r>
  <r>
    <d v="2024-03-01T00:00:00"/>
    <s v="OPT-NIFFIN-05-Mar-2024-20900-C-E-I"/>
    <s v="NSE"/>
    <x v="0"/>
    <n v="160"/>
    <n v="0"/>
    <n v="95.4"/>
    <n v="15264"/>
    <s v="#202403013700020685"/>
    <n v="9.4700000000000006"/>
    <n v="7.71"/>
    <n v="0"/>
    <n v="0.02"/>
    <n v="80"/>
    <n v="15.8"/>
    <n v="113"/>
    <n v="2024"/>
    <n v="3"/>
    <n v="2023"/>
    <n v="12"/>
    <n v="12"/>
    <x v="2"/>
    <x v="2"/>
    <n v="15151"/>
  </r>
  <r>
    <d v="2024-03-01T00:00:00"/>
    <s v="OPT-NIFFIN-05-Mar-2024-20900-C-E-I"/>
    <s v="NSE"/>
    <x v="1"/>
    <n v="160"/>
    <n v="0"/>
    <n v="89.3"/>
    <n v="14288"/>
    <s v="#202403013700020474"/>
    <n v="0"/>
    <n v="7.21"/>
    <n v="0.43"/>
    <n v="0.01"/>
    <n v="80"/>
    <n v="15.7"/>
    <n v="103.35"/>
    <n v="2024"/>
    <n v="3"/>
    <n v="2023"/>
    <n v="12"/>
    <n v="12"/>
    <x v="2"/>
    <x v="2"/>
    <n v="-14391.35"/>
  </r>
  <r>
    <d v="2024-03-01T00:00:00"/>
    <s v="OPT-NIFTY-07-Mar-2024-22250-C-E-I"/>
    <s v="NSE"/>
    <x v="0"/>
    <n v="300"/>
    <n v="0"/>
    <n v="217.45"/>
    <n v="65235"/>
    <s v="#202403013700011864"/>
    <n v="40.770000000000003"/>
    <n v="32.94"/>
    <n v="0"/>
    <n v="0.06"/>
    <n v="120"/>
    <n v="27.54"/>
    <n v="221.31"/>
    <n v="2024"/>
    <n v="3"/>
    <n v="2023"/>
    <n v="12"/>
    <n v="12"/>
    <x v="2"/>
    <x v="2"/>
    <n v="65013.69"/>
  </r>
  <r>
    <d v="2024-03-01T00:00:00"/>
    <s v="OPT-NIFTY-07-Mar-2024-22250-C-E-I"/>
    <s v="NSE"/>
    <x v="1"/>
    <n v="300"/>
    <n v="0"/>
    <n v="185.2"/>
    <n v="55560"/>
    <s v="#202403013700011370"/>
    <n v="0"/>
    <n v="28.06"/>
    <n v="2.17"/>
    <n v="0.06"/>
    <n v="120"/>
    <n v="26.66"/>
    <n v="176.95"/>
    <n v="2024"/>
    <n v="3"/>
    <n v="2023"/>
    <n v="12"/>
    <n v="12"/>
    <x v="2"/>
    <x v="2"/>
    <n v="-55736.95"/>
  </r>
  <r>
    <d v="2024-03-01T00:00:00"/>
    <s v="OPT-NIFSEL-04-Mar-2024-10800-P-E-I"/>
    <s v="NSE"/>
    <x v="0"/>
    <n v="225"/>
    <n v="0"/>
    <n v="48.05"/>
    <n v="10811.25"/>
    <s v="#202403013700009839"/>
    <n v="6.75"/>
    <n v="5.46"/>
    <n v="0"/>
    <n v="0"/>
    <n v="60"/>
    <n v="11.76"/>
    <n v="83.97"/>
    <n v="2024"/>
    <n v="3"/>
    <n v="2023"/>
    <n v="12"/>
    <n v="12"/>
    <x v="2"/>
    <x v="2"/>
    <n v="10727.28"/>
  </r>
  <r>
    <d v="2024-03-01T00:00:00"/>
    <s v="OPT-NIFSEL-04-Mar-2024-10800-P-E-I"/>
    <s v="NSE"/>
    <x v="1"/>
    <n v="150"/>
    <n v="0"/>
    <n v="56.65"/>
    <n v="8497.5"/>
    <s v="#202403013700006175"/>
    <n v="0"/>
    <n v="4.29"/>
    <n v="0.4"/>
    <n v="0.01"/>
    <n v="40"/>
    <n v="7.98"/>
    <n v="52.68"/>
    <n v="2024"/>
    <n v="3"/>
    <n v="2023"/>
    <n v="12"/>
    <n v="12"/>
    <x v="2"/>
    <x v="2"/>
    <n v="-8550.18"/>
  </r>
  <r>
    <d v="2024-03-01T00:00:00"/>
    <s v="OPT-NIFSEL-04-Mar-2024-10800-P-E-I"/>
    <s v="NSE"/>
    <x v="1"/>
    <n v="75"/>
    <n v="0"/>
    <n v="64.2"/>
    <n v="4815"/>
    <s v="#202403013700002612"/>
    <n v="0"/>
    <n v="2.4300000000000002"/>
    <n v="0"/>
    <n v="0"/>
    <n v="20"/>
    <n v="4.04"/>
    <n v="26.47"/>
    <n v="2024"/>
    <n v="3"/>
    <n v="2023"/>
    <n v="12"/>
    <n v="12"/>
    <x v="2"/>
    <x v="2"/>
    <n v="-4841.47"/>
  </r>
  <r>
    <d v="2024-03-04T00:00:00"/>
    <s v="OPT-CNXBAN-06-Mar-2024-47300-C-E-I"/>
    <s v="NSE"/>
    <x v="0"/>
    <n v="105"/>
    <n v="0"/>
    <n v="327.05"/>
    <n v="34340.25"/>
    <s v="#202403043700042511"/>
    <n v="21"/>
    <n v="17.34"/>
    <n v="0"/>
    <n v="0.03"/>
    <n v="140"/>
    <n v="28.32"/>
    <n v="206.69"/>
    <n v="2024"/>
    <n v="3"/>
    <n v="2023"/>
    <n v="12"/>
    <n v="12"/>
    <x v="2"/>
    <x v="2"/>
    <n v="34133.56"/>
  </r>
  <r>
    <d v="2024-03-04T00:00:00"/>
    <s v="OPT-CNXBAN-06-Mar-2024-47300-C-E-I"/>
    <s v="NSE"/>
    <x v="1"/>
    <n v="105"/>
    <n v="0"/>
    <n v="302.51"/>
    <n v="31763.25"/>
    <s v="#202403043700042460"/>
    <n v="0"/>
    <n v="16.04"/>
    <n v="1"/>
    <n v="0.03"/>
    <n v="140"/>
    <n v="28.1"/>
    <n v="185.17"/>
    <n v="2024"/>
    <n v="3"/>
    <n v="2023"/>
    <n v="12"/>
    <n v="12"/>
    <x v="2"/>
    <x v="2"/>
    <n v="-31948.42"/>
  </r>
  <r>
    <d v="2024-03-05T00:00:00"/>
    <s v="OPT-CNXBAN-06-Mar-2024-47300-P-E-I"/>
    <s v="NSE"/>
    <x v="0"/>
    <n v="105"/>
    <n v="0"/>
    <n v="95"/>
    <n v="9975"/>
    <s v="#202403053700017959"/>
    <n v="6.23"/>
    <n v="5.04"/>
    <n v="0"/>
    <n v="0.01"/>
    <n v="140"/>
    <n v="26.1"/>
    <n v="177.38"/>
    <n v="2024"/>
    <n v="3"/>
    <n v="2023"/>
    <n v="12"/>
    <n v="12"/>
    <x v="2"/>
    <x v="2"/>
    <n v="9797.6200000000008"/>
  </r>
  <r>
    <d v="2024-03-05T00:00:00"/>
    <s v="OPT-CNXBAN-06-Mar-2024-47300-P-E-I"/>
    <s v="NSE"/>
    <x v="1"/>
    <n v="105"/>
    <n v="0"/>
    <n v="83.85"/>
    <n v="8804.25"/>
    <s v="#202403053700017892"/>
    <n v="0"/>
    <n v="4.46"/>
    <n v="0"/>
    <n v="0.01"/>
    <n v="140"/>
    <n v="26.02"/>
    <n v="170.49"/>
    <n v="2024"/>
    <n v="3"/>
    <n v="2023"/>
    <n v="12"/>
    <n v="12"/>
    <x v="2"/>
    <x v="2"/>
    <n v="-8974.74"/>
  </r>
  <r>
    <d v="2024-03-05T00:00:00"/>
    <s v="OPT-CNXBAN-06-Mar-2024-47400-C-E-I"/>
    <s v="NSE"/>
    <x v="0"/>
    <n v="105"/>
    <n v="0"/>
    <n v="252.3"/>
    <n v="26491.5"/>
    <s v="#202403053700015796"/>
    <n v="16.559999999999999"/>
    <n v="13.38"/>
    <n v="0"/>
    <n v="0.03"/>
    <n v="140"/>
    <n v="27.62"/>
    <n v="197.59"/>
    <n v="2024"/>
    <n v="3"/>
    <n v="2023"/>
    <n v="12"/>
    <n v="12"/>
    <x v="2"/>
    <x v="2"/>
    <n v="26293.91"/>
  </r>
  <r>
    <d v="2024-03-05T00:00:00"/>
    <s v="OPT-CNXBAN-06-Mar-2024-47400-C-E-I"/>
    <s v="NSE"/>
    <x v="1"/>
    <n v="105"/>
    <n v="0"/>
    <n v="239.85"/>
    <n v="25184.25"/>
    <s v="#202403053700015784"/>
    <n v="0"/>
    <n v="12.72"/>
    <n v="0"/>
    <n v="0.02"/>
    <n v="140"/>
    <n v="27.5"/>
    <n v="180.24"/>
    <n v="2024"/>
    <n v="3"/>
    <n v="2023"/>
    <n v="12"/>
    <n v="12"/>
    <x v="2"/>
    <x v="2"/>
    <n v="-25364.49"/>
  </r>
  <r>
    <d v="2024-03-05T00:00:00"/>
    <s v="OPT-CNXBAN-06-Mar-2024-47400-C-E-I"/>
    <s v="NSE"/>
    <x v="0"/>
    <n v="105"/>
    <n v="0"/>
    <n v="211"/>
    <n v="22155"/>
    <s v="#202403053700012944"/>
    <n v="13.85"/>
    <n v="11.19"/>
    <n v="0"/>
    <n v="0.03"/>
    <n v="140"/>
    <n v="27.22"/>
    <n v="192.29"/>
    <n v="2024"/>
    <n v="3"/>
    <n v="2023"/>
    <n v="12"/>
    <n v="12"/>
    <x v="2"/>
    <x v="2"/>
    <n v="21962.71"/>
  </r>
  <r>
    <d v="2024-03-05T00:00:00"/>
    <s v="OPT-CNXBAN-06-Mar-2024-47400-C-E-I"/>
    <s v="NSE"/>
    <x v="1"/>
    <n v="105"/>
    <n v="0"/>
    <n v="201.35"/>
    <n v="21141.75"/>
    <s v="#202403053700010297"/>
    <n v="0"/>
    <n v="10.68"/>
    <n v="1.98"/>
    <n v="0.02"/>
    <n v="140"/>
    <n v="27.12"/>
    <n v="179.8"/>
    <n v="2024"/>
    <n v="3"/>
    <n v="2023"/>
    <n v="12"/>
    <n v="12"/>
    <x v="2"/>
    <x v="2"/>
    <n v="-21321.55"/>
  </r>
  <r>
    <d v="2024-03-05T00:00:00"/>
    <s v="OPT-CNXBAN-06-Mar-2024-47300-P-E-I"/>
    <s v="NSE"/>
    <x v="0"/>
    <n v="60"/>
    <n v="0"/>
    <n v="275"/>
    <n v="16500"/>
    <s v="#202403053700007167"/>
    <n v="10.31"/>
    <n v="8.33"/>
    <n v="0"/>
    <n v="0.02"/>
    <n v="80"/>
    <n v="15.9"/>
    <n v="114.56"/>
    <n v="2024"/>
    <n v="3"/>
    <n v="2023"/>
    <n v="12"/>
    <n v="12"/>
    <x v="2"/>
    <x v="2"/>
    <n v="16385.439999999999"/>
  </r>
  <r>
    <d v="2024-03-05T00:00:00"/>
    <s v="OPT-CNXBAN-06-Mar-2024-47300-P-E-I"/>
    <s v="NSE"/>
    <x v="0"/>
    <n v="45"/>
    <n v="0"/>
    <n v="255.75"/>
    <n v="11508.75"/>
    <s v="#202403053700005723"/>
    <n v="7.19"/>
    <n v="5.81"/>
    <n v="0"/>
    <n v="0.01"/>
    <n v="60"/>
    <n v="11.84"/>
    <n v="84.85"/>
    <n v="2024"/>
    <n v="3"/>
    <n v="2023"/>
    <n v="12"/>
    <n v="12"/>
    <x v="2"/>
    <x v="2"/>
    <n v="11423.9"/>
  </r>
  <r>
    <d v="2024-03-05T00:00:00"/>
    <s v="OPT-CNXBAN-06-Mar-2024-47300-P-E-I"/>
    <s v="NSE"/>
    <x v="1"/>
    <n v="105"/>
    <n v="0"/>
    <n v="239.8"/>
    <n v="25179"/>
    <s v="#202403053700004949"/>
    <n v="0"/>
    <n v="12.72"/>
    <n v="1.02"/>
    <n v="0.03"/>
    <n v="140"/>
    <n v="27.5"/>
    <n v="181.27"/>
    <n v="2024"/>
    <n v="3"/>
    <n v="2023"/>
    <n v="12"/>
    <n v="12"/>
    <x v="2"/>
    <x v="2"/>
    <n v="-25360.27"/>
  </r>
  <r>
    <d v="2024-03-05T00:00:00"/>
    <s v="OPT-CNXBAN-06-Mar-2024-47400-C-E-I"/>
    <s v="NSE"/>
    <x v="0"/>
    <n v="105"/>
    <n v="0"/>
    <n v="215.17"/>
    <n v="22593"/>
    <s v="#202403053700004830"/>
    <n v="13.86"/>
    <n v="11.41"/>
    <n v="0"/>
    <n v="0.02"/>
    <n v="140"/>
    <n v="27.26"/>
    <n v="192.55"/>
    <n v="2024"/>
    <n v="3"/>
    <n v="2023"/>
    <n v="12"/>
    <n v="12"/>
    <x v="2"/>
    <x v="2"/>
    <n v="22400.45"/>
  </r>
  <r>
    <d v="2024-03-05T00:00:00"/>
    <s v="OPT-CNXBAN-06-Mar-2024-47400-C-E-I"/>
    <s v="NSE"/>
    <x v="1"/>
    <n v="105"/>
    <n v="0"/>
    <n v="252.3"/>
    <n v="26491.5"/>
    <s v="#202403053700003408"/>
    <n v="0"/>
    <n v="13.37"/>
    <n v="0"/>
    <n v="0.03"/>
    <n v="140"/>
    <n v="27.6"/>
    <n v="181"/>
    <n v="2024"/>
    <n v="3"/>
    <n v="2023"/>
    <n v="12"/>
    <n v="12"/>
    <x v="2"/>
    <x v="2"/>
    <n v="-26672.5"/>
  </r>
  <r>
    <d v="2024-03-06T00:00:00"/>
    <s v="OPT-CNXBAN-06-Mar-2024-48200-C-E-I"/>
    <s v="NSE"/>
    <x v="0"/>
    <n v="525"/>
    <n v="0"/>
    <n v="23.65"/>
    <n v="12416.25"/>
    <s v="#202403063700022683"/>
    <n v="7.76"/>
    <n v="6.27"/>
    <n v="0"/>
    <n v="0.01"/>
    <n v="700"/>
    <n v="127.12"/>
    <n v="841.16"/>
    <n v="2024"/>
    <n v="3"/>
    <n v="2023"/>
    <n v="12"/>
    <n v="12"/>
    <x v="2"/>
    <x v="2"/>
    <n v="11575.09"/>
  </r>
  <r>
    <d v="2024-03-06T00:00:00"/>
    <s v="OPT-CNXBAN-06-Mar-2024-48200-C-E-I"/>
    <s v="NSE"/>
    <x v="1"/>
    <n v="525"/>
    <n v="0"/>
    <n v="52"/>
    <n v="27300"/>
    <s v="#202403063700016795"/>
    <n v="0"/>
    <n v="13.79"/>
    <n v="0.82"/>
    <n v="0.03"/>
    <n v="700"/>
    <n v="128.47999999999999"/>
    <n v="843.12"/>
    <n v="2024"/>
    <n v="3"/>
    <n v="2023"/>
    <n v="12"/>
    <n v="12"/>
    <x v="2"/>
    <x v="2"/>
    <n v="-28143.119999999999"/>
  </r>
  <r>
    <d v="2024-03-06T00:00:00"/>
    <s v="OPT-CNXBAN-06-Mar-2024-47500-P-E-I"/>
    <s v="NSE"/>
    <x v="0"/>
    <n v="510"/>
    <n v="0"/>
    <n v="24.66"/>
    <n v="12576"/>
    <s v="#202403063700013002"/>
    <n v="7.79"/>
    <n v="6.36"/>
    <n v="0"/>
    <n v="0"/>
    <n v="680"/>
    <n v="123.54"/>
    <n v="817.69"/>
    <n v="2024"/>
    <n v="3"/>
    <n v="2023"/>
    <n v="12"/>
    <n v="12"/>
    <x v="2"/>
    <x v="2"/>
    <n v="11758.31"/>
  </r>
  <r>
    <d v="2024-03-06T00:00:00"/>
    <s v="OPT-CNXBAN-06-Mar-2024-47500-P-E-I"/>
    <s v="NSE"/>
    <x v="1"/>
    <n v="510"/>
    <n v="0"/>
    <n v="41"/>
    <n v="20910"/>
    <s v="#202403063700010613"/>
    <n v="0"/>
    <n v="10.56"/>
    <n v="1.18"/>
    <n v="0.02"/>
    <n v="680"/>
    <n v="124.3"/>
    <n v="816.06"/>
    <n v="2024"/>
    <n v="3"/>
    <n v="2023"/>
    <n v="12"/>
    <n v="12"/>
    <x v="2"/>
    <x v="2"/>
    <n v="-21726.06"/>
  </r>
  <r>
    <d v="2024-03-06T00:00:00"/>
    <s v="OPT-CNXBAN-06-Mar-2024-47500-P-E-I"/>
    <s v="NSE"/>
    <x v="0"/>
    <n v="105"/>
    <n v="0"/>
    <n v="37.4"/>
    <n v="3927"/>
    <s v="#202403063700009269"/>
    <n v="2.4500000000000002"/>
    <n v="1.98"/>
    <n v="0"/>
    <n v="0"/>
    <n v="140"/>
    <n v="25.56"/>
    <n v="169.99"/>
    <n v="2024"/>
    <n v="3"/>
    <n v="2023"/>
    <n v="12"/>
    <n v="12"/>
    <x v="2"/>
    <x v="2"/>
    <n v="3757.01"/>
  </r>
  <r>
    <d v="2024-03-06T00:00:00"/>
    <s v="OPT-CNXBAN-06-Mar-2024-47500-P-E-I"/>
    <s v="NSE"/>
    <x v="1"/>
    <n v="105"/>
    <n v="0"/>
    <n v="134.69999999999999"/>
    <n v="14143.5"/>
    <s v="#202403063700002291"/>
    <n v="0"/>
    <n v="7.14"/>
    <n v="0"/>
    <n v="0.01"/>
    <n v="140"/>
    <n v="26.48"/>
    <n v="173.63"/>
    <n v="2024"/>
    <n v="3"/>
    <n v="2023"/>
    <n v="12"/>
    <n v="12"/>
    <x v="2"/>
    <x v="2"/>
    <n v="-14317.13"/>
  </r>
  <r>
    <d v="2024-03-07T00:00:00"/>
    <s v="OPT-CNXBAN-13-Mar-2024-48000-C-E-I"/>
    <s v="NSE"/>
    <x v="1"/>
    <n v="75"/>
    <n v="0"/>
    <n v="346.55"/>
    <n v="25991.25"/>
    <s v="#202403073700021762"/>
    <n v="0"/>
    <n v="13.13"/>
    <n v="0.78"/>
    <n v="0.03"/>
    <n v="100"/>
    <n v="20.36"/>
    <n v="134.30000000000001"/>
    <n v="2024"/>
    <n v="3"/>
    <n v="2023"/>
    <n v="12"/>
    <n v="12"/>
    <x v="2"/>
    <x v="2"/>
    <n v="-26125.55"/>
  </r>
  <r>
    <d v="2024-03-07T00:00:00"/>
    <s v="OPT-CNXBAN-13-Mar-2024-47800-P-E-I"/>
    <s v="NSE"/>
    <x v="0"/>
    <n v="105"/>
    <n v="0"/>
    <n v="365.95"/>
    <n v="38424.75"/>
    <s v="#202403073700012820"/>
    <n v="24.02"/>
    <n v="19.399999999999999"/>
    <n v="0"/>
    <n v="0.04"/>
    <n v="140"/>
    <n v="28.7"/>
    <n v="212.16"/>
    <n v="2024"/>
    <n v="3"/>
    <n v="2023"/>
    <n v="12"/>
    <n v="12"/>
    <x v="2"/>
    <x v="2"/>
    <n v="38212.589999999997"/>
  </r>
  <r>
    <d v="2024-03-07T00:00:00"/>
    <s v="OPT-CNXBAN-13-Mar-2024-47800-P-E-I"/>
    <s v="NSE"/>
    <x v="1"/>
    <n v="105"/>
    <n v="0"/>
    <n v="350.4"/>
    <n v="36792"/>
    <s v="#202403073700011941"/>
    <n v="0"/>
    <n v="18.579999999999998"/>
    <n v="1.1000000000000001"/>
    <n v="0.04"/>
    <n v="140"/>
    <n v="28.56"/>
    <n v="188.28"/>
    <n v="2024"/>
    <n v="3"/>
    <n v="2023"/>
    <n v="12"/>
    <n v="12"/>
    <x v="2"/>
    <x v="2"/>
    <n v="-36980.28"/>
  </r>
  <r>
    <d v="2024-03-07T00:00:00"/>
    <s v="OPT-CNXBAN-13-Mar-2024-47800-C-E-I"/>
    <s v="NSE"/>
    <x v="0"/>
    <n v="105"/>
    <n v="0"/>
    <n v="399.45"/>
    <n v="41942.25"/>
    <s v="#202403073700010084"/>
    <n v="26.3"/>
    <n v="21.18"/>
    <n v="0"/>
    <n v="0.04"/>
    <n v="140"/>
    <n v="29.02"/>
    <n v="216.54"/>
    <n v="2024"/>
    <n v="3"/>
    <n v="2023"/>
    <n v="12"/>
    <n v="12"/>
    <x v="2"/>
    <x v="2"/>
    <n v="41725.71"/>
  </r>
  <r>
    <d v="2024-03-07T00:00:00"/>
    <s v="OPT-CNXBAN-13-Mar-2024-47800-C-E-I"/>
    <s v="NSE"/>
    <x v="1"/>
    <n v="105"/>
    <n v="0"/>
    <n v="390.85"/>
    <n v="41039.25"/>
    <s v="#202403073700009680"/>
    <n v="0"/>
    <n v="20.72"/>
    <n v="1.28"/>
    <n v="0.04"/>
    <n v="140"/>
    <n v="28.94"/>
    <n v="190.98"/>
    <n v="2024"/>
    <n v="3"/>
    <n v="2023"/>
    <n v="12"/>
    <n v="12"/>
    <x v="2"/>
    <x v="2"/>
    <n v="-41230.230000000003"/>
  </r>
  <r>
    <d v="2024-03-07T00:00:00"/>
    <s v="OPT-NIFTY-07-Mar-2024-22500-C-E-I"/>
    <s v="NSE"/>
    <x v="0"/>
    <n v="900"/>
    <n v="0"/>
    <n v="35"/>
    <n v="31500"/>
    <s v="#202403073700005493"/>
    <n v="19.690000000000001"/>
    <n v="15.91"/>
    <n v="0"/>
    <n v="0.03"/>
    <n v="360"/>
    <n v="67.66"/>
    <n v="463.29"/>
    <n v="2024"/>
    <n v="3"/>
    <n v="2023"/>
    <n v="12"/>
    <n v="12"/>
    <x v="2"/>
    <x v="2"/>
    <n v="31036.71"/>
  </r>
  <r>
    <d v="2024-03-07T00:00:00"/>
    <s v="OPT-NIFTY-07-Mar-2024-22500-C-E-I"/>
    <s v="NSE"/>
    <x v="1"/>
    <n v="900"/>
    <n v="0"/>
    <n v="31"/>
    <n v="27900"/>
    <s v="#202403073700004328"/>
    <n v="0"/>
    <n v="14.09"/>
    <n v="0.84"/>
    <n v="0.03"/>
    <n v="360"/>
    <n v="67.34"/>
    <n v="442.3"/>
    <n v="2024"/>
    <n v="3"/>
    <n v="2023"/>
    <n v="12"/>
    <n v="12"/>
    <x v="2"/>
    <x v="2"/>
    <n v="-28342.3"/>
  </r>
  <r>
    <d v="2024-03-11T00:00:00"/>
    <s v="OPT-CNXBAN-13-Mar-2024-47600-P-E-I"/>
    <s v="NSE"/>
    <x v="0"/>
    <n v="120"/>
    <n v="0"/>
    <n v="412"/>
    <n v="49440"/>
    <s v="#202403113700013207"/>
    <n v="30.54"/>
    <n v="24.96"/>
    <n v="0"/>
    <n v="0.05"/>
    <n v="160"/>
    <n v="33.299999999999997"/>
    <n v="248.85"/>
    <n v="2024"/>
    <n v="3"/>
    <n v="2023"/>
    <n v="12"/>
    <n v="12"/>
    <x v="2"/>
    <x v="2"/>
    <n v="49191.15"/>
  </r>
  <r>
    <d v="2024-03-11T00:00:00"/>
    <s v="OPT-CNXBAN-13-Mar-2024-47600-P-E-I"/>
    <s v="NSE"/>
    <x v="1"/>
    <n v="120"/>
    <n v="0"/>
    <n v="301.10000000000002"/>
    <n v="36132"/>
    <s v="#202403112500002974"/>
    <n v="0"/>
    <n v="18.239999999999998"/>
    <n v="1"/>
    <n v="0.04"/>
    <n v="160"/>
    <n v="32.08"/>
    <n v="211.36"/>
    <n v="2024"/>
    <n v="3"/>
    <n v="2023"/>
    <n v="12"/>
    <n v="12"/>
    <x v="2"/>
    <x v="2"/>
    <n v="-36343.360000000001"/>
  </r>
  <r>
    <d v="2024-03-11T00:00:00"/>
    <s v="OPT-CNXBAN-13-Mar-2024-48000-C-E-I"/>
    <s v="NSE"/>
    <x v="0"/>
    <n v="75"/>
    <n v="0"/>
    <n v="201.9"/>
    <n v="15142.5"/>
    <s v="#202403112500002490"/>
    <n v="9.4600000000000009"/>
    <n v="7.65"/>
    <n v="0"/>
    <n v="0.02"/>
    <n v="100"/>
    <n v="19.38"/>
    <n v="136.51"/>
    <n v="2024"/>
    <n v="3"/>
    <n v="2023"/>
    <n v="12"/>
    <n v="12"/>
    <x v="2"/>
    <x v="2"/>
    <n v="15005.99"/>
  </r>
  <r>
    <d v="2024-03-12T00:00:00"/>
    <s v="OPT-CNXBAN-13-Mar-2024-47300-P-E-I"/>
    <s v="NSE"/>
    <x v="0"/>
    <n v="120"/>
    <n v="0"/>
    <n v="212"/>
    <n v="25440"/>
    <s v="#202403123700027080"/>
    <n v="15.9"/>
    <n v="12.85"/>
    <n v="0"/>
    <n v="0.03"/>
    <n v="160"/>
    <n v="31.1"/>
    <n v="219.88"/>
    <n v="2024"/>
    <n v="3"/>
    <n v="2023"/>
    <n v="12"/>
    <n v="12"/>
    <x v="2"/>
    <x v="2"/>
    <n v="25220.12"/>
  </r>
  <r>
    <d v="2024-03-12T00:00:00"/>
    <s v="OPT-CNXBAN-13-Mar-2024-47300-P-E-I"/>
    <s v="NSE"/>
    <x v="1"/>
    <n v="60"/>
    <n v="0"/>
    <n v="232"/>
    <n v="13920"/>
    <s v="#202403123700025035"/>
    <n v="0"/>
    <n v="7.03"/>
    <n v="0"/>
    <n v="0.01"/>
    <n v="80"/>
    <n v="15.66"/>
    <n v="102.7"/>
    <n v="2024"/>
    <n v="3"/>
    <n v="2023"/>
    <n v="12"/>
    <n v="12"/>
    <x v="2"/>
    <x v="2"/>
    <n v="-14022.7"/>
  </r>
  <r>
    <d v="2024-03-12T00:00:00"/>
    <s v="OPT-CNXBAN-13-Mar-2024-47300-P-E-I"/>
    <s v="NSE"/>
    <x v="1"/>
    <n v="60"/>
    <n v="0"/>
    <n v="237.4"/>
    <n v="14244"/>
    <s v="#202403123700024762"/>
    <n v="0"/>
    <n v="7.19"/>
    <n v="0.84"/>
    <n v="0.01"/>
    <n v="80"/>
    <n v="15.7"/>
    <n v="103.74"/>
    <n v="2024"/>
    <n v="3"/>
    <n v="2023"/>
    <n v="12"/>
    <n v="12"/>
    <x v="2"/>
    <x v="2"/>
    <n v="-14347.74"/>
  </r>
  <r>
    <d v="2024-03-12T00:00:00"/>
    <s v="OPT-CNXBAN-13-Mar-2024-47300-C-E-I"/>
    <s v="NSE"/>
    <x v="0"/>
    <n v="135"/>
    <n v="0"/>
    <n v="281.10000000000002"/>
    <n v="37948.5"/>
    <s v="#202403123700017350"/>
    <n v="24.12"/>
    <n v="19.16"/>
    <n v="0"/>
    <n v="0.04"/>
    <n v="180"/>
    <n v="35.86"/>
    <n v="259.18"/>
    <n v="2024"/>
    <n v="3"/>
    <n v="2023"/>
    <n v="12"/>
    <n v="12"/>
    <x v="2"/>
    <x v="2"/>
    <n v="37689.32"/>
  </r>
  <r>
    <d v="2024-03-12T00:00:00"/>
    <s v="OPT-CNXBAN-13-Mar-2024-47300-C-E-I"/>
    <s v="NSE"/>
    <x v="1"/>
    <n v="45"/>
    <n v="0"/>
    <n v="237.95"/>
    <n v="10707.75"/>
    <s v="#202403123700017207"/>
    <n v="0"/>
    <n v="5.4"/>
    <n v="0"/>
    <n v="0.01"/>
    <n v="60"/>
    <n v="11.76"/>
    <n v="77.17"/>
    <n v="2024"/>
    <n v="3"/>
    <n v="2023"/>
    <n v="12"/>
    <n v="12"/>
    <x v="2"/>
    <x v="2"/>
    <n v="-10784.92"/>
  </r>
  <r>
    <d v="2024-03-12T00:00:00"/>
    <s v="OPT-CNXBAN-13-Mar-2024-47300-C-E-I"/>
    <s v="NSE"/>
    <x v="1"/>
    <n v="45"/>
    <n v="0"/>
    <n v="238.55"/>
    <n v="10734.75"/>
    <s v="#202403123700016542"/>
    <n v="0"/>
    <n v="5.42"/>
    <n v="1.0900000000000001"/>
    <n v="0.01"/>
    <n v="60"/>
    <n v="11.78"/>
    <n v="78.3"/>
    <n v="2024"/>
    <n v="3"/>
    <n v="2023"/>
    <n v="12"/>
    <n v="12"/>
    <x v="2"/>
    <x v="2"/>
    <n v="-10813.05"/>
  </r>
  <r>
    <d v="2024-03-12T00:00:00"/>
    <s v="OPT-CNXBAN-13-Mar-2024-47300-C-E-I"/>
    <s v="NSE"/>
    <x v="1"/>
    <n v="45"/>
    <n v="0"/>
    <n v="301.8"/>
    <n v="13581"/>
    <s v="#202403123700016265"/>
    <n v="0"/>
    <n v="6.86"/>
    <n v="0"/>
    <n v="0.01"/>
    <n v="60"/>
    <n v="12.04"/>
    <n v="78.91"/>
    <n v="2024"/>
    <n v="3"/>
    <n v="2023"/>
    <n v="12"/>
    <n v="12"/>
    <x v="2"/>
    <x v="2"/>
    <n v="-13659.91"/>
  </r>
  <r>
    <d v="2024-03-12T00:00:00"/>
    <s v="OPT-CNXBAN-13-Mar-2024-47600-C-E-I"/>
    <s v="NSE"/>
    <x v="0"/>
    <n v="150"/>
    <n v="0"/>
    <n v="147.25"/>
    <n v="22087.5"/>
    <s v="#202403123700010420"/>
    <n v="13.8"/>
    <n v="11.15"/>
    <n v="0"/>
    <n v="0.02"/>
    <n v="200"/>
    <n v="38.020000000000003"/>
    <n v="262.99"/>
    <n v="2024"/>
    <n v="3"/>
    <n v="2023"/>
    <n v="12"/>
    <n v="12"/>
    <x v="2"/>
    <x v="2"/>
    <n v="21824.51"/>
  </r>
  <r>
    <d v="2024-03-12T00:00:00"/>
    <s v="OPT-CNXBAN-13-Mar-2024-47600-C-E-I"/>
    <s v="NSE"/>
    <x v="1"/>
    <n v="60"/>
    <n v="0"/>
    <n v="105.25"/>
    <n v="6315"/>
    <s v="#202403123700009658"/>
    <n v="0"/>
    <n v="3.19"/>
    <n v="0.61"/>
    <n v="0.01"/>
    <n v="80"/>
    <n v="14.98"/>
    <n v="98.79"/>
    <n v="2024"/>
    <n v="3"/>
    <n v="2023"/>
    <n v="12"/>
    <n v="12"/>
    <x v="2"/>
    <x v="2"/>
    <n v="-6413.79"/>
  </r>
  <r>
    <d v="2024-03-12T00:00:00"/>
    <s v="OPT-CNXBAN-13-Mar-2024-47600-C-E-I"/>
    <s v="NSE"/>
    <x v="1"/>
    <n v="60"/>
    <n v="0"/>
    <n v="99.03"/>
    <n v="5941.5"/>
    <s v="#202403123700009535"/>
    <n v="0"/>
    <n v="3"/>
    <n v="0"/>
    <n v="0"/>
    <n v="80"/>
    <n v="14.94"/>
    <n v="97.94"/>
    <n v="2024"/>
    <n v="3"/>
    <n v="2023"/>
    <n v="12"/>
    <n v="12"/>
    <x v="2"/>
    <x v="2"/>
    <n v="-6039.44"/>
  </r>
  <r>
    <d v="2024-03-12T00:00:00"/>
    <s v="OPT-CNXBAN-13-Mar-2024-47600-C-E-I"/>
    <s v="NSE"/>
    <x v="1"/>
    <n v="30"/>
    <n v="0"/>
    <n v="270.05"/>
    <n v="8101.5"/>
    <s v="#202403123700008861"/>
    <n v="0"/>
    <n v="4.09"/>
    <n v="0"/>
    <n v="0.01"/>
    <n v="40"/>
    <n v="7.94"/>
    <n v="52.04"/>
    <n v="2024"/>
    <n v="3"/>
    <n v="2023"/>
    <n v="12"/>
    <n v="12"/>
    <x v="2"/>
    <x v="2"/>
    <n v="-8153.54"/>
  </r>
  <r>
    <d v="2024-03-12T00:00:00"/>
    <s v="OPT-CNXBAN-13-Mar-2024-48000-C-E-I"/>
    <s v="NSE"/>
    <x v="0"/>
    <n v="120"/>
    <n v="0"/>
    <n v="145.05000000000001"/>
    <n v="17406"/>
    <s v="#202403123700004000"/>
    <n v="10.88"/>
    <n v="8.7899999999999991"/>
    <n v="0"/>
    <n v="0.01"/>
    <n v="160"/>
    <n v="30.38"/>
    <n v="210.06"/>
    <n v="2024"/>
    <n v="3"/>
    <n v="2023"/>
    <n v="12"/>
    <n v="12"/>
    <x v="2"/>
    <x v="2"/>
    <n v="17195.939999999999"/>
  </r>
  <r>
    <d v="2024-03-12T00:00:00"/>
    <s v="OPT-CNXBAN-13-Mar-2024-48000-C-E-I"/>
    <s v="NSE"/>
    <x v="1"/>
    <n v="120"/>
    <n v="0"/>
    <n v="127.18"/>
    <n v="15261"/>
    <s v="#202403123700003914"/>
    <n v="0"/>
    <n v="7.71"/>
    <n v="0.46"/>
    <n v="0.01"/>
    <n v="160"/>
    <n v="30.18"/>
    <n v="198.36"/>
    <n v="2024"/>
    <n v="3"/>
    <n v="2023"/>
    <n v="12"/>
    <n v="12"/>
    <x v="2"/>
    <x v="2"/>
    <n v="-15459.36"/>
  </r>
  <r>
    <d v="2024-03-12T00:00:00"/>
    <s v="OPT-CNXBAN-13-Mar-2024-47300-C-E-I"/>
    <s v="NSE"/>
    <x v="0"/>
    <n v="30"/>
    <n v="0"/>
    <n v="282.7"/>
    <n v="8481"/>
    <s v="#202403123700002227"/>
    <n v="5.3"/>
    <n v="4.28"/>
    <n v="0"/>
    <n v="0"/>
    <n v="40"/>
    <n v="7.96"/>
    <n v="57.54"/>
    <n v="2024"/>
    <n v="3"/>
    <n v="2023"/>
    <n v="12"/>
    <n v="12"/>
    <x v="2"/>
    <x v="2"/>
    <n v="8423.4599999999991"/>
  </r>
  <r>
    <d v="2024-03-12T00:00:00"/>
    <s v="OPT-CNXBAN-13-Mar-2024-47300-C-E-I"/>
    <s v="NSE"/>
    <x v="1"/>
    <n v="15"/>
    <n v="0"/>
    <n v="232.9"/>
    <n v="3493.5"/>
    <s v="#202403123700001972"/>
    <n v="0"/>
    <n v="1.76"/>
    <n v="0"/>
    <n v="0"/>
    <n v="20"/>
    <n v="3.92"/>
    <n v="25.68"/>
    <n v="2024"/>
    <n v="3"/>
    <n v="2023"/>
    <n v="12"/>
    <n v="12"/>
    <x v="2"/>
    <x v="2"/>
    <n v="-3519.18"/>
  </r>
  <r>
    <d v="2024-03-12T00:00:00"/>
    <s v="OPT-CNXBAN-13-Mar-2024-47300-C-E-I"/>
    <s v="NSE"/>
    <x v="1"/>
    <n v="15"/>
    <n v="0"/>
    <n v="242.5"/>
    <n v="3637.5"/>
    <s v="#202403123700001482"/>
    <n v="0"/>
    <n v="1.84"/>
    <n v="0"/>
    <n v="0"/>
    <n v="20"/>
    <n v="3.94"/>
    <n v="25.78"/>
    <n v="2024"/>
    <n v="3"/>
    <n v="2023"/>
    <n v="12"/>
    <n v="12"/>
    <x v="2"/>
    <x v="2"/>
    <n v="-3663.28"/>
  </r>
  <r>
    <d v="2024-03-13T00:00:00"/>
    <s v="OPT-CNXBAN-13-Mar-2024-46900-P-E-I"/>
    <s v="NSE"/>
    <x v="0"/>
    <n v="900"/>
    <n v="0"/>
    <n v="30.1"/>
    <n v="27090"/>
    <s v="#202403133700022718"/>
    <n v="16.93"/>
    <n v="13.68"/>
    <n v="0"/>
    <n v="0.03"/>
    <n v="1200"/>
    <n v="218.46"/>
    <n v="1449.1"/>
    <n v="2024"/>
    <n v="3"/>
    <n v="2023"/>
    <n v="12"/>
    <n v="12"/>
    <x v="2"/>
    <x v="2"/>
    <n v="25640.9"/>
  </r>
  <r>
    <d v="2024-03-13T00:00:00"/>
    <s v="OPT-CNXBAN-13-Mar-2024-46900-P-E-I"/>
    <s v="NSE"/>
    <x v="1"/>
    <n v="900"/>
    <n v="0"/>
    <n v="49.1"/>
    <n v="44190"/>
    <s v="#202403133700019248"/>
    <n v="0"/>
    <n v="22.32"/>
    <n v="1.33"/>
    <n v="0.03"/>
    <n v="1200"/>
    <n v="220"/>
    <n v="1443.68"/>
    <n v="2024"/>
    <n v="3"/>
    <n v="2023"/>
    <n v="12"/>
    <n v="12"/>
    <x v="2"/>
    <x v="2"/>
    <n v="-45633.68"/>
  </r>
  <r>
    <d v="2024-03-13T00:00:00"/>
    <s v="OPT-CNXBAN-13-Mar-2024-47100-P-E-I"/>
    <s v="NSE"/>
    <x v="0"/>
    <n v="300"/>
    <n v="0"/>
    <n v="78.31"/>
    <n v="23491.5"/>
    <s v="#202403133700017623"/>
    <n v="14.68"/>
    <n v="11.87"/>
    <n v="0"/>
    <n v="0.02"/>
    <n v="400"/>
    <n v="74.14"/>
    <n v="500.71"/>
    <n v="2024"/>
    <n v="3"/>
    <n v="2023"/>
    <n v="12"/>
    <n v="12"/>
    <x v="2"/>
    <x v="2"/>
    <n v="22990.79"/>
  </r>
  <r>
    <d v="2024-03-13T00:00:00"/>
    <s v="OPT-CNXBAN-13-Mar-2024-47100-P-E-I"/>
    <s v="NSE"/>
    <x v="1"/>
    <n v="300"/>
    <n v="0"/>
    <n v="105.45"/>
    <n v="31635"/>
    <s v="#202403133700014950"/>
    <n v="0"/>
    <n v="15.98"/>
    <n v="0.95"/>
    <n v="0.03"/>
    <n v="400"/>
    <n v="74.88"/>
    <n v="491.84"/>
    <n v="2024"/>
    <n v="3"/>
    <n v="2023"/>
    <n v="12"/>
    <n v="12"/>
    <x v="2"/>
    <x v="2"/>
    <n v="-32126.84"/>
  </r>
  <r>
    <d v="2024-03-13T00:00:00"/>
    <s v="OPT-CNXBAN-13-Mar-2024-47400-C-E-I"/>
    <s v="NSE"/>
    <x v="0"/>
    <n v="600"/>
    <n v="0"/>
    <n v="40.39"/>
    <n v="24234.75"/>
    <s v="#202403133700012884"/>
    <n v="15.18"/>
    <n v="12.23"/>
    <n v="0"/>
    <n v="0"/>
    <n v="800"/>
    <n v="146.16"/>
    <n v="973.57"/>
    <n v="2024"/>
    <n v="3"/>
    <n v="2023"/>
    <n v="12"/>
    <n v="12"/>
    <x v="2"/>
    <x v="2"/>
    <n v="23261.18"/>
  </r>
  <r>
    <d v="2024-03-13T00:00:00"/>
    <s v="OPT-CNXBAN-13-Mar-2024-47400-C-E-I"/>
    <s v="NSE"/>
    <x v="1"/>
    <n v="600"/>
    <n v="0"/>
    <n v="47.95"/>
    <n v="28771.5"/>
    <s v="#202403133700011981"/>
    <n v="0"/>
    <n v="14.54"/>
    <n v="2.84"/>
    <n v="0.03"/>
    <n v="800"/>
    <n v="146.63999999999999"/>
    <n v="964.05"/>
    <n v="2024"/>
    <n v="3"/>
    <n v="2023"/>
    <n v="12"/>
    <n v="12"/>
    <x v="2"/>
    <x v="2"/>
    <n v="-29735.55"/>
  </r>
  <r>
    <d v="2024-03-13T00:00:00"/>
    <s v="OPT-CNXBAN-13-Mar-2024-47400-C-E-I"/>
    <s v="NSE"/>
    <x v="0"/>
    <n v="210"/>
    <n v="0"/>
    <n v="61.5"/>
    <n v="12915"/>
    <s v="#202403133700010327"/>
    <n v="8.07"/>
    <n v="6.52"/>
    <n v="0"/>
    <n v="0.01"/>
    <n v="280"/>
    <n v="51.58"/>
    <n v="346.18"/>
    <n v="2024"/>
    <n v="3"/>
    <n v="2023"/>
    <n v="12"/>
    <n v="12"/>
    <x v="2"/>
    <x v="2"/>
    <n v="12568.82"/>
  </r>
  <r>
    <d v="2024-03-13T00:00:00"/>
    <s v="OPT-CNXBAN-13-Mar-2024-47400-C-E-I"/>
    <s v="NSE"/>
    <x v="1"/>
    <n v="105"/>
    <n v="0"/>
    <n v="72.349999999999994"/>
    <n v="7596.75"/>
    <s v="#202403133700009175"/>
    <n v="0"/>
    <n v="3.84"/>
    <n v="0"/>
    <n v="0.01"/>
    <n v="140"/>
    <n v="25.9"/>
    <n v="169.75"/>
    <n v="2024"/>
    <n v="3"/>
    <n v="2023"/>
    <n v="12"/>
    <n v="12"/>
    <x v="2"/>
    <x v="2"/>
    <n v="-7766.5"/>
  </r>
  <r>
    <d v="2024-03-13T00:00:00"/>
    <s v="OPT-CNXBAN-13-Mar-2024-47400-C-E-I"/>
    <s v="NSE"/>
    <x v="1"/>
    <n v="105"/>
    <n v="0"/>
    <n v="107.45"/>
    <n v="11282.25"/>
    <s v="#202403133700007747"/>
    <n v="0"/>
    <n v="5.7"/>
    <n v="0"/>
    <n v="0.01"/>
    <n v="140"/>
    <n v="26.22"/>
    <n v="171.93"/>
    <n v="2024"/>
    <n v="3"/>
    <n v="2023"/>
    <n v="12"/>
    <n v="12"/>
    <x v="2"/>
    <x v="2"/>
    <n v="-11454.18"/>
  </r>
  <r>
    <d v="2024-03-13T00:00:00"/>
    <s v="OPT-CNXBAN-13-Mar-2024-47300-P-E-I"/>
    <s v="NSE"/>
    <x v="0"/>
    <n v="240"/>
    <n v="0"/>
    <n v="143.75"/>
    <n v="34500"/>
    <s v="#202403133700005032"/>
    <n v="21.56"/>
    <n v="17.420000000000002"/>
    <n v="0"/>
    <n v="0.04"/>
    <n v="320"/>
    <n v="60.76"/>
    <n v="419.78"/>
    <n v="2024"/>
    <n v="3"/>
    <n v="2023"/>
    <n v="12"/>
    <n v="12"/>
    <x v="2"/>
    <x v="2"/>
    <n v="34080.22"/>
  </r>
  <r>
    <d v="2024-03-13T00:00:00"/>
    <s v="OPT-CNXBAN-13-Mar-2024-47300-P-E-I"/>
    <s v="NSE"/>
    <x v="1"/>
    <n v="240"/>
    <n v="0"/>
    <n v="122.9"/>
    <n v="29496"/>
    <s v="#202403133700004972"/>
    <n v="0"/>
    <n v="14.9"/>
    <n v="0.88"/>
    <n v="0.03"/>
    <n v="320"/>
    <n v="60.28"/>
    <n v="396.09"/>
    <n v="2024"/>
    <n v="3"/>
    <n v="2023"/>
    <n v="12"/>
    <n v="12"/>
    <x v="2"/>
    <x v="2"/>
    <n v="-29892.09"/>
  </r>
  <r>
    <d v="2024-03-13T00:00:00"/>
    <s v="OPT-CNXBAN-13-Mar-2024-47400-C-E-I"/>
    <s v="NSE"/>
    <x v="0"/>
    <n v="240"/>
    <n v="0"/>
    <n v="110.61"/>
    <n v="26547"/>
    <s v="#202403133700004486"/>
    <n v="16.59"/>
    <n v="13.41"/>
    <n v="0"/>
    <n v="0.02"/>
    <n v="320"/>
    <n v="60.04"/>
    <n v="410.06"/>
    <n v="2024"/>
    <n v="3"/>
    <n v="2023"/>
    <n v="12"/>
    <n v="12"/>
    <x v="2"/>
    <x v="2"/>
    <n v="26136.94"/>
  </r>
  <r>
    <d v="2024-03-13T00:00:00"/>
    <s v="OPT-CNXBAN-13-Mar-2024-47400-C-E-I"/>
    <s v="NSE"/>
    <x v="1"/>
    <n v="120"/>
    <n v="0"/>
    <n v="126.05"/>
    <n v="15126"/>
    <s v="#202403133700004054"/>
    <n v="0"/>
    <n v="7.64"/>
    <n v="0"/>
    <n v="0.01"/>
    <n v="160"/>
    <n v="30.16"/>
    <n v="197.81"/>
    <n v="2024"/>
    <n v="3"/>
    <n v="2023"/>
    <n v="12"/>
    <n v="12"/>
    <x v="2"/>
    <x v="2"/>
    <n v="-15323.81"/>
  </r>
  <r>
    <d v="2024-03-13T00:00:00"/>
    <s v="OPT-CNXBAN-13-Mar-2024-47400-C-E-I"/>
    <s v="NSE"/>
    <x v="1"/>
    <n v="120"/>
    <n v="0"/>
    <n v="140.22999999999999"/>
    <n v="16827.75"/>
    <s v="#202403133700002093"/>
    <n v="0"/>
    <n v="8.5"/>
    <n v="0"/>
    <n v="0.02"/>
    <n v="160"/>
    <n v="30.34"/>
    <n v="198.86"/>
    <n v="2024"/>
    <n v="3"/>
    <n v="2023"/>
    <n v="12"/>
    <n v="12"/>
    <x v="2"/>
    <x v="2"/>
    <n v="-17026.61"/>
  </r>
  <r>
    <d v="2024-03-14T00:00:00"/>
    <s v="OPT-CNXBAN-20-Mar-2024-47200-C-E-I"/>
    <s v="NSE"/>
    <x v="0"/>
    <n v="45"/>
    <n v="0"/>
    <n v="283.2"/>
    <n v="12744"/>
    <s v="#202403143700025858"/>
    <n v="7.97"/>
    <n v="6.44"/>
    <n v="0"/>
    <n v="0.01"/>
    <n v="60"/>
    <n v="11.96"/>
    <n v="86.38"/>
    <n v="2024"/>
    <n v="3"/>
    <n v="2023"/>
    <n v="12"/>
    <n v="12"/>
    <x v="2"/>
    <x v="2"/>
    <n v="12657.62"/>
  </r>
  <r>
    <d v="2024-03-14T00:00:00"/>
    <s v="OPT-CNXBAN-20-Mar-2024-47200-C-E-I"/>
    <s v="NSE"/>
    <x v="1"/>
    <n v="30"/>
    <n v="0"/>
    <n v="488.45"/>
    <n v="14653.5"/>
    <s v="#202403143700016131"/>
    <n v="0"/>
    <n v="7.4"/>
    <n v="0.3"/>
    <n v="0.01"/>
    <n v="40"/>
    <n v="8.5399999999999991"/>
    <n v="56.25"/>
    <n v="2024"/>
    <n v="3"/>
    <n v="2023"/>
    <n v="12"/>
    <n v="12"/>
    <x v="2"/>
    <x v="2"/>
    <n v="-14709.75"/>
  </r>
  <r>
    <d v="2024-03-14T00:00:00"/>
    <s v="OPT-CNXBAN-20-Mar-2024-47200-C-E-I"/>
    <s v="NSE"/>
    <x v="1"/>
    <n v="15"/>
    <n v="0"/>
    <n v="479.1"/>
    <n v="7186.5"/>
    <s v="#202403143700012519"/>
    <n v="0"/>
    <n v="3.63"/>
    <n v="0"/>
    <n v="0.01"/>
    <n v="20"/>
    <n v="4.26"/>
    <n v="27.9"/>
    <n v="2024"/>
    <n v="3"/>
    <n v="2023"/>
    <n v="12"/>
    <n v="12"/>
    <x v="2"/>
    <x v="2"/>
    <n v="-7214.4"/>
  </r>
  <r>
    <d v="2024-03-14T00:00:00"/>
    <s v="OPT-CNXBAN-20-Mar-2024-46800-C-E-I"/>
    <s v="NSE"/>
    <x v="0"/>
    <n v="30"/>
    <n v="0"/>
    <n v="590.04999999999995"/>
    <n v="17701.5"/>
    <s v="#202403143700008272"/>
    <n v="11.06"/>
    <n v="8.94"/>
    <n v="0"/>
    <n v="0.02"/>
    <n v="40"/>
    <n v="8.8000000000000007"/>
    <n v="68.819999999999993"/>
    <n v="2024"/>
    <n v="3"/>
    <n v="2023"/>
    <n v="12"/>
    <n v="12"/>
    <x v="2"/>
    <x v="2"/>
    <n v="17632.68"/>
  </r>
  <r>
    <d v="2024-03-14T00:00:00"/>
    <s v="OPT-CNXBAN-20-Mar-2024-46800-C-E-I"/>
    <s v="NSE"/>
    <x v="1"/>
    <n v="15"/>
    <n v="0"/>
    <n v="486.45"/>
    <n v="7296.75"/>
    <s v="#202403143700004465"/>
    <n v="0"/>
    <n v="3.68"/>
    <n v="0.46"/>
    <n v="0.01"/>
    <n v="20"/>
    <n v="4.26"/>
    <n v="28.41"/>
    <n v="2024"/>
    <n v="3"/>
    <n v="2023"/>
    <n v="12"/>
    <n v="12"/>
    <x v="2"/>
    <x v="2"/>
    <n v="-7325.16"/>
  </r>
  <r>
    <d v="2024-03-14T00:00:00"/>
    <s v="OPT-CNXBAN-20-Mar-2024-46800-C-E-I"/>
    <s v="NSE"/>
    <x v="1"/>
    <n v="15"/>
    <n v="0"/>
    <n v="529.70000000000005"/>
    <n v="7945.5"/>
    <s v="#202403143700003320"/>
    <n v="0"/>
    <n v="4.01"/>
    <n v="0"/>
    <n v="0.01"/>
    <n v="20"/>
    <n v="4.32"/>
    <n v="28.34"/>
    <n v="2024"/>
    <n v="3"/>
    <n v="2023"/>
    <n v="12"/>
    <n v="12"/>
    <x v="2"/>
    <x v="2"/>
    <n v="-7973.84"/>
  </r>
  <r>
    <d v="2024-03-14T00:00:00"/>
    <s v="OPT-CNXBAN-20-Mar-2024-46700-C-E-I"/>
    <s v="NSE"/>
    <x v="0"/>
    <n v="15"/>
    <n v="0"/>
    <n v="553.04999999999995"/>
    <n v="8295.75"/>
    <s v="#202403143700001174"/>
    <n v="4.97"/>
    <n v="4.1900000000000004"/>
    <n v="0"/>
    <n v="0.01"/>
    <n v="20"/>
    <n v="4.3600000000000003"/>
    <n v="33.53"/>
    <n v="2024"/>
    <n v="3"/>
    <n v="2023"/>
    <n v="12"/>
    <n v="12"/>
    <x v="2"/>
    <x v="2"/>
    <n v="8262.2199999999993"/>
  </r>
  <r>
    <d v="2024-03-14T00:00:00"/>
    <s v="OPT-CNXBAN-20-Mar-2024-46700-C-E-I"/>
    <s v="NSE"/>
    <x v="1"/>
    <n v="15"/>
    <n v="0"/>
    <n v="527.9"/>
    <n v="7918.5"/>
    <s v="#202403143700001014"/>
    <n v="0"/>
    <n v="4"/>
    <n v="0.24"/>
    <n v="0.01"/>
    <n v="20"/>
    <n v="4.32"/>
    <n v="28.57"/>
    <n v="2024"/>
    <n v="3"/>
    <n v="2023"/>
    <n v="12"/>
    <n v="12"/>
    <x v="2"/>
    <x v="2"/>
    <n v="-7947.07"/>
  </r>
  <r>
    <d v="2024-03-15T00:00:00"/>
    <s v="OPT-CNXBAN-20-Mar-2024-47900-C-E-I"/>
    <s v="NSE"/>
    <x v="1"/>
    <n v="30"/>
    <n v="0"/>
    <n v="35.700000000000003"/>
    <n v="1071"/>
    <s v="#202403153700023749"/>
    <n v="0"/>
    <n v="0.54"/>
    <n v="0"/>
    <n v="0"/>
    <n v="40"/>
    <n v="7.3"/>
    <n v="47.84"/>
    <n v="2024"/>
    <n v="3"/>
    <n v="2023"/>
    <n v="12"/>
    <n v="12"/>
    <x v="2"/>
    <x v="2"/>
    <n v="-1118.8399999999999"/>
  </r>
  <r>
    <d v="2024-03-15T00:00:00"/>
    <s v="OPT-CNXBAN-20-Mar-2024-46400-P-E-I"/>
    <s v="NSE"/>
    <x v="0"/>
    <n v="15"/>
    <n v="0"/>
    <n v="363.4"/>
    <n v="5451"/>
    <s v="#202403153700020770"/>
    <n v="3"/>
    <n v="2.75"/>
    <n v="0"/>
    <n v="0.01"/>
    <n v="20"/>
    <n v="4.0999999999999996"/>
    <n v="29.86"/>
    <n v="2024"/>
    <n v="3"/>
    <n v="2023"/>
    <n v="12"/>
    <n v="12"/>
    <x v="2"/>
    <x v="2"/>
    <n v="5421.14"/>
  </r>
  <r>
    <d v="2024-03-15T00:00:00"/>
    <s v="OPT-CNXBAN-20-Mar-2024-46400-P-E-I"/>
    <s v="NSE"/>
    <x v="1"/>
    <n v="15"/>
    <n v="0"/>
    <n v="264.64999999999998"/>
    <n v="3969.75"/>
    <s v="#202403153700019525"/>
    <n v="0"/>
    <n v="2"/>
    <n v="0"/>
    <n v="0"/>
    <n v="20"/>
    <n v="3.96"/>
    <n v="25.96"/>
    <n v="2024"/>
    <n v="3"/>
    <n v="2023"/>
    <n v="12"/>
    <n v="12"/>
    <x v="2"/>
    <x v="2"/>
    <n v="-3995.71"/>
  </r>
  <r>
    <d v="2024-03-18T00:00:00"/>
    <s v="OPT-CNXBAN-20-Mar-2024-46100-P-E-I"/>
    <s v="NSE"/>
    <x v="0"/>
    <n v="30"/>
    <n v="0"/>
    <n v="124.2"/>
    <n v="3726"/>
    <s v="#202403183700015510"/>
    <n v="2.33"/>
    <n v="1.88"/>
    <n v="0"/>
    <n v="0"/>
    <n v="40"/>
    <n v="7.54"/>
    <n v="51.75"/>
    <n v="2024"/>
    <n v="3"/>
    <n v="2023"/>
    <n v="12"/>
    <n v="12"/>
    <x v="2"/>
    <x v="2"/>
    <n v="3674.25"/>
  </r>
  <r>
    <d v="2024-03-18T00:00:00"/>
    <s v="OPT-CNXBAN-20-Mar-2024-46100-P-E-I"/>
    <s v="NSE"/>
    <x v="1"/>
    <n v="15"/>
    <n v="0"/>
    <n v="255.45"/>
    <n v="3831.75"/>
    <s v="#202403183700012135"/>
    <n v="0"/>
    <n v="1.94"/>
    <n v="0.69"/>
    <n v="0"/>
    <n v="20"/>
    <n v="3.94"/>
    <n v="26.57"/>
    <n v="2024"/>
    <n v="3"/>
    <n v="2023"/>
    <n v="12"/>
    <n v="12"/>
    <x v="2"/>
    <x v="2"/>
    <n v="-3858.32"/>
  </r>
  <r>
    <d v="2024-03-18T00:00:00"/>
    <s v="OPT-CNXBAN-20-Mar-2024-46100-P-E-I"/>
    <s v="NSE"/>
    <x v="1"/>
    <n v="15"/>
    <n v="0"/>
    <n v="277.3"/>
    <n v="4159.5"/>
    <s v="#202403183700010537"/>
    <n v="0"/>
    <n v="2.1"/>
    <n v="0"/>
    <n v="0"/>
    <n v="20"/>
    <n v="3.98"/>
    <n v="26.08"/>
    <n v="2024"/>
    <n v="3"/>
    <n v="2023"/>
    <n v="12"/>
    <n v="12"/>
    <x v="2"/>
    <x v="2"/>
    <n v="-4185.58"/>
  </r>
  <r>
    <d v="2024-03-18T00:00:00"/>
    <s v="OPT-CNXBAN-20-Mar-2024-47900-C-E-I"/>
    <s v="NSE"/>
    <x v="0"/>
    <n v="30"/>
    <n v="0"/>
    <n v="16.7"/>
    <n v="501"/>
    <s v="#202403183700010440"/>
    <n v="0.31"/>
    <n v="0.25"/>
    <n v="0"/>
    <n v="0"/>
    <n v="40"/>
    <n v="7.24"/>
    <n v="47.8"/>
    <n v="2024"/>
    <n v="3"/>
    <n v="2023"/>
    <n v="12"/>
    <n v="12"/>
    <x v="2"/>
    <x v="2"/>
    <n v="453.2"/>
  </r>
  <r>
    <d v="2024-03-18T00:00:00"/>
    <s v="OPT-CNXBAN-20-Mar-2024-46400-P-E-I"/>
    <s v="NSE"/>
    <x v="0"/>
    <n v="15"/>
    <n v="0"/>
    <n v="418.25"/>
    <n v="6273.75"/>
    <s v="#202403183700010355"/>
    <n v="3.92"/>
    <n v="3.17"/>
    <n v="0"/>
    <n v="0.01"/>
    <n v="20"/>
    <n v="4.18"/>
    <n v="31.28"/>
    <n v="2024"/>
    <n v="3"/>
    <n v="2023"/>
    <n v="12"/>
    <n v="12"/>
    <x v="2"/>
    <x v="2"/>
    <n v="6242.47"/>
  </r>
  <r>
    <d v="2024-03-18T00:00:00"/>
    <s v="OPT-CNXBAN-20-Mar-2024-46400-P-E-I"/>
    <s v="NSE"/>
    <x v="1"/>
    <n v="15"/>
    <n v="0"/>
    <n v="331.5"/>
    <n v="4972.5"/>
    <s v="#202403183700008229"/>
    <n v="0"/>
    <n v="2.5099999999999998"/>
    <n v="0.15"/>
    <n v="0"/>
    <n v="20"/>
    <n v="4.0599999999999996"/>
    <n v="26.72"/>
    <n v="2024"/>
    <n v="3"/>
    <n v="2023"/>
    <n v="12"/>
    <n v="12"/>
    <x v="2"/>
    <x v="2"/>
    <n v="-4999.22"/>
  </r>
  <r>
    <d v="2024-03-18T00:00:00"/>
    <s v="OPT-CNXBAN-20-Mar-2024-46500-P-E-I"/>
    <s v="NSE"/>
    <x v="0"/>
    <n v="15"/>
    <n v="0"/>
    <n v="425"/>
    <n v="6375"/>
    <s v="#202403183700005755"/>
    <n v="4.4400000000000004"/>
    <n v="3.22"/>
    <n v="0"/>
    <n v="0.01"/>
    <n v="20"/>
    <n v="4.18"/>
    <n v="31.85"/>
    <n v="2024"/>
    <n v="3"/>
    <n v="2023"/>
    <n v="12"/>
    <n v="12"/>
    <x v="2"/>
    <x v="2"/>
    <n v="6343.15"/>
  </r>
  <r>
    <d v="2024-03-18T00:00:00"/>
    <s v="OPT-CNXBAN-20-Mar-2024-46500-P-E-I"/>
    <s v="NSE"/>
    <x v="1"/>
    <n v="15"/>
    <n v="0"/>
    <n v="364.05"/>
    <n v="5460.75"/>
    <s v="#202403183700005668"/>
    <n v="0"/>
    <n v="2.76"/>
    <n v="0.16"/>
    <n v="0.01"/>
    <n v="20"/>
    <n v="4.0999999999999996"/>
    <n v="27.03"/>
    <n v="2024"/>
    <n v="3"/>
    <n v="2023"/>
    <n v="12"/>
    <n v="12"/>
    <x v="2"/>
    <x v="2"/>
    <n v="-5487.78"/>
  </r>
  <r>
    <d v="2024-03-19T00:00:00"/>
    <s v="OPT-NIFTY-21-Mar-2024-22000-C-E-I"/>
    <s v="NSE"/>
    <x v="1"/>
    <n v="50"/>
    <n v="0"/>
    <n v="45.65"/>
    <n v="2282.5"/>
    <s v="#202403193700022859"/>
    <n v="0"/>
    <n v="1.1499999999999999"/>
    <n v="7.0000000000000007E-2"/>
    <n v="0"/>
    <n v="20"/>
    <n v="3.8"/>
    <n v="25.02"/>
    <n v="2024"/>
    <n v="3"/>
    <n v="2023"/>
    <n v="12"/>
    <n v="12"/>
    <x v="2"/>
    <x v="2"/>
    <n v="-2307.52"/>
  </r>
  <r>
    <d v="2024-03-19T00:00:00"/>
    <s v="OPT-CNXBAN-20-Mar-2024-46200-P-E-I"/>
    <s v="NSE"/>
    <x v="0"/>
    <n v="450"/>
    <n v="0"/>
    <n v="126.73"/>
    <n v="57030"/>
    <s v="#202403193700021940"/>
    <n v="35.65"/>
    <n v="28.8"/>
    <n v="0"/>
    <n v="0.04"/>
    <n v="600"/>
    <n v="113.2"/>
    <n v="777.69"/>
    <n v="2024"/>
    <n v="3"/>
    <n v="2023"/>
    <n v="12"/>
    <n v="12"/>
    <x v="2"/>
    <x v="2"/>
    <n v="56252.31"/>
  </r>
  <r>
    <d v="2024-03-19T00:00:00"/>
    <s v="OPT-CNXBAN-20-Mar-2024-46200-P-E-I"/>
    <s v="NSE"/>
    <x v="1"/>
    <n v="225"/>
    <n v="0"/>
    <n v="149.56"/>
    <n v="33651"/>
    <s v="#202403193700021654"/>
    <n v="0"/>
    <n v="16.989999999999998"/>
    <n v="0"/>
    <n v="0.04"/>
    <n v="300"/>
    <n v="57.08"/>
    <n v="374.11"/>
    <n v="2024"/>
    <n v="3"/>
    <n v="2023"/>
    <n v="12"/>
    <n v="12"/>
    <x v="2"/>
    <x v="2"/>
    <n v="-34025.11"/>
  </r>
  <r>
    <d v="2024-03-19T00:00:00"/>
    <s v="OPT-CNXBAN-20-Mar-2024-46200-P-E-I"/>
    <s v="NSE"/>
    <x v="1"/>
    <n v="225"/>
    <n v="0"/>
    <n v="197.69"/>
    <n v="44481"/>
    <s v="#202403193700021321"/>
    <n v="0"/>
    <n v="22.46"/>
    <n v="2.34"/>
    <n v="0.05"/>
    <n v="300"/>
    <n v="58.06"/>
    <n v="382.91"/>
    <n v="2024"/>
    <n v="3"/>
    <n v="2023"/>
    <n v="12"/>
    <n v="12"/>
    <x v="2"/>
    <x v="2"/>
    <n v="-44863.91"/>
  </r>
  <r>
    <d v="2024-03-19T00:00:00"/>
    <s v="OPT-NIFTY-21-Mar-2024-22000-C-E-I"/>
    <s v="NSE"/>
    <x v="0"/>
    <n v="50"/>
    <n v="0"/>
    <n v="45.75"/>
    <n v="2287.5"/>
    <s v="#202403193700020919"/>
    <n v="1.43"/>
    <n v="1.1599999999999999"/>
    <n v="0"/>
    <n v="0"/>
    <n v="20"/>
    <n v="3.8"/>
    <n v="26.39"/>
    <n v="2024"/>
    <n v="3"/>
    <n v="2023"/>
    <n v="12"/>
    <n v="12"/>
    <x v="2"/>
    <x v="2"/>
    <n v="2261.11"/>
  </r>
  <r>
    <d v="2024-03-19T00:00:00"/>
    <s v="OPT-CNXBAN-20-Mar-2024-46400-C-E-I"/>
    <s v="NSE"/>
    <x v="0"/>
    <n v="105"/>
    <n v="0"/>
    <n v="165.04"/>
    <n v="17329.5"/>
    <s v="#202403193700020838"/>
    <n v="10.83"/>
    <n v="8.75"/>
    <n v="0"/>
    <n v="0"/>
    <n v="140"/>
    <n v="26.8"/>
    <n v="186.38"/>
    <n v="2024"/>
    <n v="3"/>
    <n v="2023"/>
    <n v="12"/>
    <n v="12"/>
    <x v="2"/>
    <x v="2"/>
    <n v="17143.12"/>
  </r>
  <r>
    <d v="2024-03-19T00:00:00"/>
    <s v="OPT-CNXBAN-20-Mar-2024-46600-C-E-I"/>
    <s v="NSE"/>
    <x v="0"/>
    <n v="15"/>
    <n v="0"/>
    <n v="108.3"/>
    <n v="1624.5"/>
    <s v="#202403193700020637"/>
    <n v="1.02"/>
    <n v="0.82"/>
    <n v="0"/>
    <n v="0"/>
    <n v="20"/>
    <n v="3.74"/>
    <n v="25.58"/>
    <n v="2024"/>
    <n v="3"/>
    <n v="2023"/>
    <n v="12"/>
    <n v="12"/>
    <x v="2"/>
    <x v="2"/>
    <n v="1598.92"/>
  </r>
  <r>
    <d v="2024-03-19T00:00:00"/>
    <s v="OPT-CNXBAN-20-Mar-2024-46400-C-E-I"/>
    <s v="NSE"/>
    <x v="1"/>
    <n v="105"/>
    <n v="0"/>
    <n v="178.35"/>
    <n v="18726.75"/>
    <s v="#202403193700020425"/>
    <n v="0"/>
    <n v="9.4600000000000009"/>
    <n v="0.56000000000000005"/>
    <n v="0.02"/>
    <n v="140"/>
    <n v="26.9"/>
    <n v="176.94"/>
    <n v="2024"/>
    <n v="3"/>
    <n v="2023"/>
    <n v="12"/>
    <n v="12"/>
    <x v="2"/>
    <x v="2"/>
    <n v="-18903.689999999999"/>
  </r>
  <r>
    <d v="2024-03-19T00:00:00"/>
    <s v="OPT-CNXBAN-20-Mar-2024-46600-C-E-I"/>
    <s v="NSE"/>
    <x v="0"/>
    <n v="900"/>
    <n v="0"/>
    <n v="169"/>
    <n v="152100"/>
    <s v="#202403193700017748"/>
    <n v="95.07"/>
    <n v="76.8"/>
    <n v="0"/>
    <n v="0.14000000000000001"/>
    <n v="1200"/>
    <n v="229.86"/>
    <n v="1601.87"/>
    <n v="2024"/>
    <n v="3"/>
    <n v="2023"/>
    <n v="12"/>
    <n v="12"/>
    <x v="2"/>
    <x v="2"/>
    <n v="150498.13"/>
  </r>
  <r>
    <d v="2024-03-19T00:00:00"/>
    <s v="OPT-CNXBAN-20-Mar-2024-46600-C-E-I"/>
    <s v="NSE"/>
    <x v="1"/>
    <n v="900"/>
    <n v="0"/>
    <n v="164.95"/>
    <n v="148455"/>
    <s v="#202403193700016546"/>
    <n v="0"/>
    <n v="74.98"/>
    <n v="5.03"/>
    <n v="0.15"/>
    <n v="1200"/>
    <n v="229.52"/>
    <n v="1509.68"/>
    <n v="2024"/>
    <n v="3"/>
    <n v="2023"/>
    <n v="12"/>
    <n v="12"/>
    <x v="2"/>
    <x v="2"/>
    <n v="-149964.68"/>
  </r>
  <r>
    <d v="2024-03-19T00:00:00"/>
    <s v="OPT-CNXBAN-20-Mar-2024-46600-C-E-I"/>
    <s v="NSE"/>
    <x v="1"/>
    <n v="15"/>
    <n v="0"/>
    <n v="171"/>
    <n v="2565"/>
    <s v="#202403193700009631"/>
    <n v="0"/>
    <n v="1.3"/>
    <n v="0"/>
    <n v="0"/>
    <n v="20"/>
    <n v="3.84"/>
    <n v="25.14"/>
    <n v="2024"/>
    <n v="3"/>
    <n v="2023"/>
    <n v="12"/>
    <n v="12"/>
    <x v="2"/>
    <x v="2"/>
    <n v="-2590.14"/>
  </r>
  <r>
    <d v="2024-03-20T00:00:00"/>
    <s v="OPT-CNXBAN-20-Mar-2024-46600-C-E-I"/>
    <s v="NSE"/>
    <x v="0"/>
    <n v="450"/>
    <n v="0"/>
    <n v="59.22"/>
    <n v="26650.5"/>
    <s v="#202403203700021967"/>
    <n v="16.670000000000002"/>
    <n v="13.46"/>
    <n v="0"/>
    <n v="0.02"/>
    <n v="600"/>
    <n v="110.4"/>
    <n v="740.55"/>
    <n v="2024"/>
    <n v="3"/>
    <n v="2023"/>
    <n v="12"/>
    <n v="12"/>
    <x v="2"/>
    <x v="2"/>
    <n v="25909.95"/>
  </r>
  <r>
    <d v="2024-03-20T00:00:00"/>
    <s v="OPT-CNXBAN-20-Mar-2024-46600-C-E-I"/>
    <s v="NSE"/>
    <x v="0"/>
    <n v="900"/>
    <n v="0"/>
    <n v="59.48"/>
    <n v="53532"/>
    <s v="#202403203700021930"/>
    <n v="33.479999999999997"/>
    <n v="27.02"/>
    <n v="0"/>
    <n v="0.04"/>
    <n v="1200"/>
    <n v="220.82"/>
    <n v="1481.36"/>
    <n v="2024"/>
    <n v="3"/>
    <n v="2023"/>
    <n v="12"/>
    <n v="12"/>
    <x v="2"/>
    <x v="2"/>
    <n v="52050.64"/>
  </r>
  <r>
    <d v="2024-03-20T00:00:00"/>
    <s v="OPT-CNXBAN-20-Mar-2024-46600-C-E-I"/>
    <s v="NSE"/>
    <x v="0"/>
    <n v="900"/>
    <n v="0"/>
    <n v="57.62"/>
    <n v="51858.75"/>
    <s v="#202403203700021876"/>
    <n v="32.880000000000003"/>
    <n v="26.19"/>
    <n v="0"/>
    <n v="0.05"/>
    <n v="1200"/>
    <n v="220.76"/>
    <n v="1479.88"/>
    <n v="2024"/>
    <n v="3"/>
    <n v="2023"/>
    <n v="12"/>
    <n v="12"/>
    <x v="2"/>
    <x v="2"/>
    <n v="50378.87"/>
  </r>
  <r>
    <d v="2024-03-20T00:00:00"/>
    <s v="OPT-CNXBAN-20-Mar-2024-46600-C-E-I"/>
    <s v="NSE"/>
    <x v="1"/>
    <n v="900"/>
    <n v="0"/>
    <n v="14.4"/>
    <n v="12960"/>
    <s v="#202403203700011994"/>
    <n v="0"/>
    <n v="6.55"/>
    <n v="0"/>
    <n v="0.01"/>
    <n v="1200"/>
    <n v="217.2"/>
    <n v="1423.76"/>
    <n v="2024"/>
    <n v="3"/>
    <n v="2023"/>
    <n v="12"/>
    <n v="12"/>
    <x v="2"/>
    <x v="2"/>
    <n v="-14383.76"/>
  </r>
  <r>
    <d v="2024-03-20T00:00:00"/>
    <s v="OPT-CNXBAN-20-Mar-2024-46600-C-E-I"/>
    <s v="NSE"/>
    <x v="1"/>
    <n v="450"/>
    <n v="0"/>
    <n v="30.05"/>
    <n v="13520.25"/>
    <s v="#202403203700005947"/>
    <n v="0"/>
    <n v="6.89"/>
    <n v="0"/>
    <n v="0"/>
    <n v="600"/>
    <n v="109.2"/>
    <n v="716.09"/>
    <n v="2024"/>
    <n v="3"/>
    <n v="2023"/>
    <n v="12"/>
    <n v="12"/>
    <x v="2"/>
    <x v="2"/>
    <n v="-14236.34"/>
  </r>
  <r>
    <d v="2024-03-20T00:00:00"/>
    <s v="OPT-CNXBAN-20-Mar-2024-46600-C-E-I"/>
    <s v="NSE"/>
    <x v="1"/>
    <n v="900"/>
    <n v="0"/>
    <n v="94.52"/>
    <n v="85069.5"/>
    <s v="#202403203700003021"/>
    <n v="0"/>
    <n v="42.94"/>
    <n v="3"/>
    <n v="0.11"/>
    <n v="1200"/>
    <n v="223.76"/>
    <n v="1469.81"/>
    <n v="2024"/>
    <n v="3"/>
    <n v="2023"/>
    <n v="12"/>
    <n v="12"/>
    <x v="2"/>
    <x v="2"/>
    <n v="-86539.31"/>
  </r>
  <r>
    <d v="2024-03-21T00:00:00"/>
    <s v="OPT-CNXBAN-27-Mar-2024-46800-C-E-I"/>
    <s v="NSE"/>
    <x v="0"/>
    <n v="15"/>
    <n v="0"/>
    <n v="351.2"/>
    <n v="5268"/>
    <s v="#202403213700027141"/>
    <n v="3.29"/>
    <n v="2.66"/>
    <n v="0"/>
    <n v="0.01"/>
    <n v="20"/>
    <n v="4.08"/>
    <n v="30.04"/>
    <n v="2024"/>
    <n v="3"/>
    <n v="2023"/>
    <n v="12"/>
    <n v="12"/>
    <x v="2"/>
    <x v="2"/>
    <n v="5237.96"/>
  </r>
  <r>
    <d v="2024-03-21T00:00:00"/>
    <s v="OPT-NIFTY-21-Mar-2024-22000-P-E-I"/>
    <s v="NSE"/>
    <x v="0"/>
    <n v="50"/>
    <n v="0"/>
    <n v="12.4"/>
    <n v="620"/>
    <s v="#202403213700022754"/>
    <n v="0.71"/>
    <n v="0.31"/>
    <n v="0"/>
    <n v="0"/>
    <n v="20"/>
    <n v="3.66"/>
    <n v="24.68"/>
    <n v="2024"/>
    <n v="3"/>
    <n v="2023"/>
    <n v="12"/>
    <n v="12"/>
    <x v="2"/>
    <x v="2"/>
    <n v="595.32000000000005"/>
  </r>
  <r>
    <d v="2024-03-21T00:00:00"/>
    <s v="OPT-NIFTY-21-Mar-2024-22000-P-E-I"/>
    <s v="NSE"/>
    <x v="1"/>
    <n v="50"/>
    <n v="0"/>
    <n v="14.55"/>
    <n v="727.5"/>
    <s v="#202403213700022566"/>
    <n v="0"/>
    <n v="0.37"/>
    <n v="0"/>
    <n v="0"/>
    <n v="20"/>
    <n v="3.66"/>
    <n v="24.03"/>
    <n v="2024"/>
    <n v="3"/>
    <n v="2023"/>
    <n v="12"/>
    <n v="12"/>
    <x v="2"/>
    <x v="2"/>
    <n v="-751.53"/>
  </r>
  <r>
    <d v="2024-03-21T00:00:00"/>
    <s v="OPT-CNXBAN-27-Mar-2024-46800-C-E-I"/>
    <s v="NSE"/>
    <x v="1"/>
    <n v="15"/>
    <n v="0"/>
    <n v="392.1"/>
    <n v="5881.5"/>
    <s v="#202403213700017871"/>
    <n v="0"/>
    <n v="2.97"/>
    <n v="0"/>
    <n v="0.01"/>
    <n v="20"/>
    <n v="4.1399999999999997"/>
    <n v="27.12"/>
    <n v="2024"/>
    <n v="3"/>
    <n v="2023"/>
    <n v="12"/>
    <n v="12"/>
    <x v="2"/>
    <x v="2"/>
    <n v="-5908.62"/>
  </r>
  <r>
    <d v="2024-03-22T00:00:00"/>
    <s v="OPT-CNXBAN-27-Mar-2024-46900-C-E-I"/>
    <s v="NSE"/>
    <x v="0"/>
    <n v="60"/>
    <n v="0"/>
    <n v="323.89999999999998"/>
    <n v="19434"/>
    <s v="#202403223700013517"/>
    <n v="12.14"/>
    <n v="9.82"/>
    <n v="0"/>
    <n v="0.02"/>
    <n v="80"/>
    <n v="16.16"/>
    <n v="118.14"/>
    <n v="2024"/>
    <n v="3"/>
    <n v="2023"/>
    <n v="12"/>
    <n v="12"/>
    <x v="2"/>
    <x v="2"/>
    <n v="19315.86"/>
  </r>
  <r>
    <d v="2024-03-22T00:00:00"/>
    <s v="OPT-CNXBAN-27-Mar-2024-46900-C-E-I"/>
    <s v="NSE"/>
    <x v="1"/>
    <n v="60"/>
    <n v="0"/>
    <n v="378.5"/>
    <n v="22710"/>
    <s v="#202403223700008732"/>
    <n v="0"/>
    <n v="11.47"/>
    <n v="0.68"/>
    <n v="0.03"/>
    <n v="80"/>
    <n v="16.48"/>
    <n v="108.66"/>
    <n v="2024"/>
    <n v="3"/>
    <n v="2023"/>
    <n v="12"/>
    <n v="12"/>
    <x v="2"/>
    <x v="2"/>
    <n v="-22818.66"/>
  </r>
  <r>
    <d v="2024-03-22T00:00:00"/>
    <s v="OPT-CNXBAN-27-Mar-2024-46500-P-E-I"/>
    <s v="NSE"/>
    <x v="0"/>
    <n v="105"/>
    <n v="0"/>
    <n v="193.75"/>
    <n v="20343.75"/>
    <s v="#202403223700006428"/>
    <n v="12.72"/>
    <n v="10.28"/>
    <n v="0"/>
    <n v="0.02"/>
    <n v="140"/>
    <n v="27.06"/>
    <n v="190.08"/>
    <n v="2024"/>
    <n v="3"/>
    <n v="2023"/>
    <n v="12"/>
    <n v="12"/>
    <x v="2"/>
    <x v="2"/>
    <n v="20153.669999999998"/>
  </r>
  <r>
    <d v="2024-03-22T00:00:00"/>
    <s v="OPT-CNXBAN-27-Mar-2024-46500-P-E-I"/>
    <s v="NSE"/>
    <x v="1"/>
    <n v="105"/>
    <n v="0"/>
    <n v="226.66"/>
    <n v="23799"/>
    <s v="#202403223700004542"/>
    <n v="0"/>
    <n v="12.02"/>
    <n v="1.32"/>
    <n v="0.02"/>
    <n v="140"/>
    <n v="27.36"/>
    <n v="180.72"/>
    <n v="2024"/>
    <n v="3"/>
    <n v="2023"/>
    <n v="12"/>
    <n v="12"/>
    <x v="2"/>
    <x v="2"/>
    <n v="-23979.72"/>
  </r>
  <r>
    <d v="2024-03-22T00:00:00"/>
    <s v="OPT-CNXBAN-27-Mar-2024-46500-P-E-I"/>
    <s v="NSE"/>
    <x v="0"/>
    <n v="30"/>
    <n v="0"/>
    <n v="214.15"/>
    <n v="6424.5"/>
    <s v="#202403223700003689"/>
    <n v="4.1399999999999997"/>
    <n v="3.24"/>
    <n v="0"/>
    <n v="0.01"/>
    <n v="40"/>
    <n v="7.78"/>
    <n v="55.17"/>
    <n v="2024"/>
    <n v="3"/>
    <n v="2023"/>
    <n v="12"/>
    <n v="12"/>
    <x v="2"/>
    <x v="2"/>
    <n v="6369.33"/>
  </r>
  <r>
    <d v="2024-03-22T00:00:00"/>
    <s v="OPT-CNXBAN-27-Mar-2024-46500-P-E-I"/>
    <s v="NSE"/>
    <x v="1"/>
    <n v="15"/>
    <n v="0"/>
    <n v="214.65"/>
    <n v="3219.75"/>
    <s v="#202403223700003294"/>
    <n v="0"/>
    <n v="1.63"/>
    <n v="0"/>
    <n v="0"/>
    <n v="20"/>
    <n v="3.9"/>
    <n v="25.53"/>
    <n v="2024"/>
    <n v="3"/>
    <n v="2023"/>
    <n v="12"/>
    <n v="12"/>
    <x v="2"/>
    <x v="2"/>
    <n v="-3245.28"/>
  </r>
  <r>
    <d v="2024-03-22T00:00:00"/>
    <s v="OPT-CNXBAN-27-Mar-2024-46500-P-E-I"/>
    <s v="NSE"/>
    <x v="1"/>
    <n v="15"/>
    <n v="0"/>
    <n v="266.45"/>
    <n v="3996.75"/>
    <s v="#202403223700001634"/>
    <n v="0"/>
    <n v="2.02"/>
    <n v="0"/>
    <n v="0"/>
    <n v="20"/>
    <n v="3.96"/>
    <n v="25.98"/>
    <n v="2024"/>
    <n v="3"/>
    <n v="2023"/>
    <n v="12"/>
    <n v="12"/>
    <x v="2"/>
    <x v="2"/>
    <n v="-4022.73"/>
  </r>
  <r>
    <d v="2024-03-27T00:00:00"/>
    <s v="OPT-CNXBAN-27-Mar-2024-47200-C-E-I"/>
    <s v="NSE"/>
    <x v="0"/>
    <n v="840"/>
    <n v="0"/>
    <n v="2.85"/>
    <n v="2394"/>
    <s v="#202403273700018100"/>
    <n v="2"/>
    <n v="1.2"/>
    <n v="0"/>
    <n v="0"/>
    <n v="1120"/>
    <n v="201.82"/>
    <n v="1325.02"/>
    <n v="2024"/>
    <n v="3"/>
    <n v="2023"/>
    <n v="12"/>
    <n v="12"/>
    <x v="2"/>
    <x v="2"/>
    <n v="1068.98"/>
  </r>
  <r>
    <d v="2024-03-27T00:00:00"/>
    <s v="OPT-CNXBAN-27-Mar-2024-47200-C-E-I"/>
    <s v="NSE"/>
    <x v="1"/>
    <n v="120"/>
    <n v="0"/>
    <n v="3.95"/>
    <n v="474"/>
    <s v="#202403273700015189"/>
    <n v="0"/>
    <n v="0.24"/>
    <n v="0"/>
    <n v="0"/>
    <n v="160"/>
    <n v="28.84"/>
    <n v="189.08"/>
    <n v="2024"/>
    <n v="3"/>
    <n v="2023"/>
    <n v="12"/>
    <n v="12"/>
    <x v="2"/>
    <x v="2"/>
    <n v="-663.08"/>
  </r>
  <r>
    <d v="2024-03-27T00:00:00"/>
    <s v="OPT-CNXBAN-27-Mar-2024-47200-C-E-I"/>
    <s v="NSE"/>
    <x v="1"/>
    <n v="120"/>
    <n v="0"/>
    <n v="6.1"/>
    <n v="732"/>
    <s v="#202403273700014315"/>
    <n v="0"/>
    <n v="0.37"/>
    <n v="0"/>
    <n v="0"/>
    <n v="160"/>
    <n v="28.86"/>
    <n v="189.23"/>
    <n v="2024"/>
    <n v="3"/>
    <n v="2023"/>
    <n v="12"/>
    <n v="12"/>
    <x v="2"/>
    <x v="2"/>
    <n v="-921.23"/>
  </r>
  <r>
    <d v="2024-03-27T00:00:00"/>
    <s v="OPT-CNXBAN-27-Mar-2024-47200-C-E-I"/>
    <s v="NSE"/>
    <x v="1"/>
    <n v="120"/>
    <n v="0"/>
    <n v="6.9"/>
    <n v="828"/>
    <s v="#202403273700011202"/>
    <n v="0"/>
    <n v="0.42"/>
    <n v="0"/>
    <n v="0"/>
    <n v="160"/>
    <n v="28.88"/>
    <n v="189.3"/>
    <n v="2024"/>
    <n v="3"/>
    <n v="2023"/>
    <n v="12"/>
    <n v="12"/>
    <x v="2"/>
    <x v="2"/>
    <n v="-1017.3"/>
  </r>
  <r>
    <d v="2024-03-27T00:00:00"/>
    <s v="OPT-CNXBAN-27-Mar-2024-47200-C-E-I"/>
    <s v="NSE"/>
    <x v="1"/>
    <n v="120"/>
    <n v="0"/>
    <n v="6.61"/>
    <n v="792.75"/>
    <s v="#202403273700010986"/>
    <n v="0"/>
    <n v="0.4"/>
    <n v="0"/>
    <n v="0"/>
    <n v="160"/>
    <n v="28.86"/>
    <n v="189.26"/>
    <n v="2024"/>
    <n v="3"/>
    <n v="2023"/>
    <n v="12"/>
    <n v="12"/>
    <x v="2"/>
    <x v="2"/>
    <n v="-982.01"/>
  </r>
  <r>
    <d v="2024-03-27T00:00:00"/>
    <s v="OPT-CNXBAN-27-Mar-2024-47200-C-E-I"/>
    <s v="NSE"/>
    <x v="1"/>
    <n v="120"/>
    <n v="0"/>
    <n v="11.35"/>
    <n v="1362"/>
    <s v="#202403273700009855"/>
    <n v="0"/>
    <n v="0.69"/>
    <n v="0"/>
    <n v="0"/>
    <n v="160"/>
    <n v="28.92"/>
    <n v="189.61"/>
    <n v="2024"/>
    <n v="3"/>
    <n v="2023"/>
    <n v="12"/>
    <n v="12"/>
    <x v="2"/>
    <x v="2"/>
    <n v="-1551.6100000000001"/>
  </r>
  <r>
    <d v="2024-03-27T00:00:00"/>
    <s v="OPT-CNXBAN-27-Mar-2024-47200-C-E-I"/>
    <s v="NSE"/>
    <x v="1"/>
    <n v="120"/>
    <n v="0"/>
    <n v="12.75"/>
    <n v="1530"/>
    <s v="#202403273700009592"/>
    <n v="0"/>
    <n v="0.77"/>
    <n v="0"/>
    <n v="0"/>
    <n v="160"/>
    <n v="28.94"/>
    <n v="189.71"/>
    <n v="2024"/>
    <n v="3"/>
    <n v="2023"/>
    <n v="12"/>
    <n v="12"/>
    <x v="2"/>
    <x v="2"/>
    <n v="-1719.71"/>
  </r>
  <r>
    <d v="2024-03-27T00:00:00"/>
    <s v="OPT-CNXBAN-27-Mar-2024-47200-C-E-I"/>
    <s v="NSE"/>
    <x v="1"/>
    <n v="120"/>
    <n v="0"/>
    <n v="26.24"/>
    <n v="3148.5"/>
    <s v="#202403273700008776"/>
    <n v="0"/>
    <n v="1.6"/>
    <n v="0"/>
    <n v="0"/>
    <n v="160"/>
    <n v="29.1"/>
    <n v="190.7"/>
    <n v="2024"/>
    <n v="3"/>
    <n v="2023"/>
    <n v="12"/>
    <n v="12"/>
    <x v="2"/>
    <x v="2"/>
    <n v="-3339.2"/>
  </r>
  <r>
    <d v="2024-04-01T00:00:00"/>
    <s v="OPT-CNXBAN-03-Apr-2024-47600-C-E-I"/>
    <s v="NSE"/>
    <x v="0"/>
    <n v="105"/>
    <n v="0"/>
    <n v="218.1"/>
    <n v="22900.5"/>
    <s v="#202404013700016590"/>
    <n v="14"/>
    <n v="11.45"/>
    <n v="0"/>
    <n v="0.02"/>
    <n v="140"/>
    <n v="27.26"/>
    <n v="192.73"/>
    <n v="2024"/>
    <n v="4"/>
    <n v="2024"/>
    <n v="1"/>
    <s v="01"/>
    <x v="3"/>
    <x v="3"/>
    <n v="22707.77"/>
  </r>
  <r>
    <d v="2024-04-01T00:00:00"/>
    <s v="OPT-CNXBAN-03-Apr-2024-47600-C-E-I"/>
    <s v="NSE"/>
    <x v="1"/>
    <n v="105"/>
    <n v="0"/>
    <n v="267.04000000000002"/>
    <n v="28038.75"/>
    <s v="#202404013700004194"/>
    <n v="0"/>
    <n v="14.03"/>
    <n v="1"/>
    <n v="0.03"/>
    <n v="140"/>
    <n v="27.72"/>
    <n v="182.78"/>
    <n v="2024"/>
    <n v="4"/>
    <n v="2024"/>
    <n v="1"/>
    <s v="01"/>
    <x v="3"/>
    <x v="3"/>
    <n v="-28221.53"/>
  </r>
  <r>
    <d v="2024-04-02T00:00:00"/>
    <s v="OPT-CNXBAN-03-Apr-2024-47500-P-E-I"/>
    <s v="NSE"/>
    <x v="0"/>
    <n v="105"/>
    <n v="0"/>
    <n v="109.97"/>
    <n v="11547"/>
    <s v="#202404023700008850"/>
    <n v="7.21"/>
    <n v="5.78"/>
    <n v="0"/>
    <n v="0.01"/>
    <n v="140"/>
    <n v="26.24"/>
    <n v="179.24"/>
    <n v="2024"/>
    <n v="4"/>
    <n v="2024"/>
    <n v="1"/>
    <s v="01"/>
    <x v="3"/>
    <x v="3"/>
    <n v="11367.76"/>
  </r>
  <r>
    <d v="2024-04-02T00:00:00"/>
    <s v="OPT-CNXBAN-03-Apr-2024-47500-P-E-I"/>
    <s v="NSE"/>
    <x v="1"/>
    <n v="105"/>
    <n v="0"/>
    <n v="129"/>
    <n v="13545"/>
    <s v="#202404023700006743"/>
    <n v="0"/>
    <n v="6.77"/>
    <n v="0.93"/>
    <n v="0.01"/>
    <n v="140"/>
    <n v="26.42"/>
    <n v="174.13"/>
    <n v="2024"/>
    <n v="4"/>
    <n v="2024"/>
    <n v="1"/>
    <s v="01"/>
    <x v="3"/>
    <x v="3"/>
    <n v="-13719.13"/>
  </r>
  <r>
    <d v="2024-04-02T00:00:00"/>
    <s v="OPT-CNXBAN-03-Apr-2024-47500-P-E-I"/>
    <s v="NSE"/>
    <x v="0"/>
    <n v="105"/>
    <n v="0"/>
    <n v="130.24"/>
    <n v="13674.75"/>
    <s v="#202404023700006137"/>
    <n v="8.14"/>
    <n v="6.83"/>
    <n v="0"/>
    <n v="0.01"/>
    <n v="140"/>
    <n v="26.44"/>
    <n v="181.42"/>
    <n v="2024"/>
    <n v="4"/>
    <n v="2024"/>
    <n v="1"/>
    <s v="01"/>
    <x v="3"/>
    <x v="3"/>
    <n v="13493.33"/>
  </r>
  <r>
    <d v="2024-04-02T00:00:00"/>
    <s v="OPT-CNXBAN-03-Apr-2024-47500-P-E-I"/>
    <s v="NSE"/>
    <x v="1"/>
    <n v="105"/>
    <n v="0"/>
    <n v="153.99"/>
    <n v="16168.5"/>
    <s v="#202404023700004482"/>
    <n v="0"/>
    <n v="8.09"/>
    <n v="0"/>
    <n v="0.01"/>
    <n v="140"/>
    <n v="26.66"/>
    <n v="174.76"/>
    <n v="2024"/>
    <n v="4"/>
    <n v="2024"/>
    <n v="1"/>
    <s v="01"/>
    <x v="3"/>
    <x v="3"/>
    <n v="-16343.26"/>
  </r>
  <r>
    <d v="2024-04-02T00:00:00"/>
    <s v="OPT-CNXBAN-03-Apr-2024-47600-C-E-I"/>
    <s v="NSE"/>
    <x v="0"/>
    <n v="15"/>
    <n v="0"/>
    <n v="175.4"/>
    <n v="2631"/>
    <s v="#202404023700001769"/>
    <n v="1.64"/>
    <n v="1.32"/>
    <n v="0"/>
    <n v="0"/>
    <n v="20"/>
    <n v="3.84"/>
    <n v="26.8"/>
    <n v="2024"/>
    <n v="4"/>
    <n v="2024"/>
    <n v="1"/>
    <s v="01"/>
    <x v="3"/>
    <x v="3"/>
    <n v="2604.1999999999998"/>
  </r>
  <r>
    <d v="2024-04-02T00:00:00"/>
    <s v="OPT-CNXBAN-03-Apr-2024-47600-C-E-I"/>
    <s v="NSE"/>
    <x v="1"/>
    <n v="15"/>
    <n v="0"/>
    <n v="151.19999999999999"/>
    <n v="2268"/>
    <s v="#202404023700001118"/>
    <n v="0"/>
    <n v="1.1299999999999999"/>
    <n v="7.0000000000000007E-2"/>
    <n v="0"/>
    <n v="20"/>
    <n v="3.8"/>
    <n v="25"/>
    <n v="2024"/>
    <n v="4"/>
    <n v="2024"/>
    <n v="1"/>
    <s v="01"/>
    <x v="3"/>
    <x v="3"/>
    <n v="-2293"/>
  </r>
  <r>
    <d v="2024-04-03T00:00:00"/>
    <s v="OPT-CNXBAN-03-Apr-2024-47600-C-E-I"/>
    <s v="NSE"/>
    <x v="0"/>
    <n v="15"/>
    <n v="0"/>
    <n v="87.3"/>
    <n v="1309.5"/>
    <s v="#202404033700015082"/>
    <n v="0.82"/>
    <n v="0.65"/>
    <n v="0"/>
    <n v="0"/>
    <n v="20"/>
    <n v="3.72"/>
    <n v="25.19"/>
    <n v="2024"/>
    <n v="4"/>
    <n v="2024"/>
    <n v="1"/>
    <s v="01"/>
    <x v="3"/>
    <x v="3"/>
    <n v="1284.31"/>
  </r>
  <r>
    <d v="2024-04-03T00:00:00"/>
    <s v="OPT-CNXBAN-03-Apr-2024-47600-C-E-I"/>
    <s v="NSE"/>
    <x v="1"/>
    <n v="15"/>
    <n v="0"/>
    <n v="31.1"/>
    <n v="466.5"/>
    <s v="#202404033700011930"/>
    <n v="0"/>
    <n v="0.23"/>
    <n v="0"/>
    <n v="0"/>
    <n v="20"/>
    <n v="3.64"/>
    <n v="23.87"/>
    <n v="2024"/>
    <n v="4"/>
    <n v="2024"/>
    <n v="1"/>
    <s v="01"/>
    <x v="3"/>
    <x v="3"/>
    <n v="-490.37"/>
  </r>
  <r>
    <d v="2024-04-03T00:00:00"/>
    <s v="OPT-CNXBAN-03-Apr-2024-47600-C-E-I"/>
    <s v="NSE"/>
    <x v="0"/>
    <n v="600"/>
    <n v="0"/>
    <n v="67.25"/>
    <n v="40350"/>
    <s v="#202404033700007430"/>
    <n v="25.18"/>
    <n v="20.18"/>
    <n v="0"/>
    <n v="0.04"/>
    <n v="800"/>
    <n v="147.63999999999999"/>
    <n v="993.04"/>
    <n v="2024"/>
    <n v="4"/>
    <n v="2024"/>
    <n v="1"/>
    <s v="01"/>
    <x v="3"/>
    <x v="3"/>
    <n v="39356.959999999999"/>
  </r>
  <r>
    <d v="2024-04-03T00:00:00"/>
    <s v="OPT-CNXBAN-03-Apr-2024-47600-C-E-I"/>
    <s v="NSE"/>
    <x v="1"/>
    <n v="600"/>
    <n v="0"/>
    <n v="34.1"/>
    <n v="20460"/>
    <s v="#202404033700002508"/>
    <n v="0"/>
    <n v="10.23"/>
    <n v="1"/>
    <n v="0.02"/>
    <n v="800"/>
    <n v="145.84"/>
    <n v="957.09"/>
    <n v="2024"/>
    <n v="4"/>
    <n v="2024"/>
    <n v="1"/>
    <s v="01"/>
    <x v="3"/>
    <x v="3"/>
    <n v="-21417.09"/>
  </r>
  <r>
    <d v="2024-04-04T00:00:00"/>
    <s v="OPT-NIFTY-04-Apr-2024-22450-C-E-I"/>
    <s v="NSE"/>
    <x v="0"/>
    <n v="900"/>
    <n v="0"/>
    <n v="52"/>
    <n v="46800"/>
    <s v="#202404043700020035"/>
    <n v="29.25"/>
    <n v="23.4"/>
    <n v="0"/>
    <n v="0.05"/>
    <n v="360"/>
    <n v="69.02"/>
    <n v="481.72"/>
    <n v="2024"/>
    <n v="4"/>
    <n v="2024"/>
    <n v="1"/>
    <s v="01"/>
    <x v="3"/>
    <x v="3"/>
    <n v="46318.28"/>
  </r>
  <r>
    <d v="2024-04-04T00:00:00"/>
    <s v="OPT-NIFTY-04-Apr-2024-22450-C-E-I"/>
    <s v="NSE"/>
    <x v="1"/>
    <n v="300"/>
    <n v="0"/>
    <n v="25.05"/>
    <n v="7515"/>
    <s v="#202404043700017729"/>
    <n v="0"/>
    <n v="3.76"/>
    <n v="0.51"/>
    <n v="0.01"/>
    <n v="120"/>
    <n v="22.28"/>
    <n v="146.56"/>
    <n v="2024"/>
    <n v="4"/>
    <n v="2024"/>
    <n v="1"/>
    <s v="01"/>
    <x v="3"/>
    <x v="3"/>
    <n v="-7661.56"/>
  </r>
  <r>
    <d v="2024-04-04T00:00:00"/>
    <s v="OPT-NIFTY-04-Apr-2024-22450-C-E-I"/>
    <s v="NSE"/>
    <x v="1"/>
    <n v="300"/>
    <n v="0"/>
    <n v="21"/>
    <n v="6300"/>
    <s v="#202404043700009521"/>
    <n v="0"/>
    <n v="3.18"/>
    <n v="0"/>
    <n v="0"/>
    <n v="120"/>
    <n v="22.2"/>
    <n v="145.38"/>
    <n v="2024"/>
    <n v="4"/>
    <n v="2024"/>
    <n v="1"/>
    <s v="01"/>
    <x v="3"/>
    <x v="3"/>
    <n v="-6445.38"/>
  </r>
  <r>
    <d v="2024-04-04T00:00:00"/>
    <s v="OPT-NIFTY-04-Apr-2024-22450-C-E-I"/>
    <s v="NSE"/>
    <x v="1"/>
    <n v="300"/>
    <n v="0"/>
    <n v="41"/>
    <n v="12300"/>
    <s v="#202404043700008241"/>
    <n v="0"/>
    <n v="6.15"/>
    <n v="0"/>
    <n v="0.01"/>
    <n v="120"/>
    <n v="22.7"/>
    <n v="148.86000000000001"/>
    <n v="2024"/>
    <n v="4"/>
    <n v="2024"/>
    <n v="1"/>
    <s v="01"/>
    <x v="3"/>
    <x v="3"/>
    <n v="-12448.86"/>
  </r>
  <r>
    <d v="2024-04-04T00:00:00"/>
    <s v="OPT-CNXBAN-10-Apr-2024-48000-C-E-I"/>
    <s v="NSE"/>
    <x v="0"/>
    <n v="60"/>
    <n v="0"/>
    <n v="289.39999999999998"/>
    <n v="17364"/>
    <s v="#202404043700008023"/>
    <n v="10.75"/>
    <n v="8.68"/>
    <n v="0"/>
    <n v="0.02"/>
    <n v="80"/>
    <n v="15.96"/>
    <n v="115.41"/>
    <n v="2024"/>
    <n v="4"/>
    <n v="2024"/>
    <n v="1"/>
    <s v="01"/>
    <x v="3"/>
    <x v="3"/>
    <n v="17248.59"/>
  </r>
  <r>
    <d v="2024-04-04T00:00:00"/>
    <s v="OPT-CNXBAN-10-Apr-2024-48000-C-E-I"/>
    <s v="NSE"/>
    <x v="1"/>
    <n v="60"/>
    <n v="0"/>
    <n v="272.08"/>
    <n v="16324.5"/>
    <s v="#202404043700006997"/>
    <n v="0"/>
    <n v="8.16"/>
    <n v="0.49"/>
    <n v="0.01"/>
    <n v="80"/>
    <n v="15.86"/>
    <n v="104.52"/>
    <n v="2024"/>
    <n v="4"/>
    <n v="2024"/>
    <n v="1"/>
    <s v="01"/>
    <x v="3"/>
    <x v="3"/>
    <n v="-16429.02"/>
  </r>
  <r>
    <d v="2024-04-08T00:00:00"/>
    <s v="OPT-CNXBAN-10-Apr-2024-48500-C-E-I"/>
    <s v="NSE"/>
    <x v="0"/>
    <n v="105"/>
    <n v="0"/>
    <n v="297"/>
    <n v="31185"/>
    <s v="#202404083700042500"/>
    <n v="19.489999999999998"/>
    <n v="15.6"/>
    <n v="0"/>
    <n v="0.03"/>
    <n v="140"/>
    <n v="28.02"/>
    <n v="203.14"/>
    <n v="2024"/>
    <n v="4"/>
    <n v="2024"/>
    <n v="1"/>
    <s v="01"/>
    <x v="3"/>
    <x v="3"/>
    <n v="30981.86"/>
  </r>
  <r>
    <d v="2024-04-08T00:00:00"/>
    <s v="OPT-CNXBAN-10-Apr-2024-48500-C-E-I"/>
    <s v="NSE"/>
    <x v="1"/>
    <n v="105"/>
    <n v="0"/>
    <n v="289.08999999999997"/>
    <n v="30354.75"/>
    <s v="#202404083700040839"/>
    <n v="0"/>
    <n v="15.18"/>
    <n v="2"/>
    <n v="0.02"/>
    <n v="140"/>
    <n v="27.96"/>
    <n v="185.16"/>
    <n v="2024"/>
    <n v="4"/>
    <n v="2024"/>
    <n v="1"/>
    <s v="01"/>
    <x v="3"/>
    <x v="3"/>
    <n v="-30539.91"/>
  </r>
  <r>
    <d v="2024-04-08T00:00:00"/>
    <s v="OPT-CNXBAN-10-Apr-2024-48500-C-E-I"/>
    <s v="NSE"/>
    <x v="0"/>
    <n v="75"/>
    <n v="0"/>
    <n v="299.14999999999998"/>
    <n v="22436.25"/>
    <s v="#202404083700032225"/>
    <n v="14.51"/>
    <n v="11.22"/>
    <n v="0"/>
    <n v="0.02"/>
    <n v="100"/>
    <n v="20.02"/>
    <n v="145.77000000000001"/>
    <n v="2024"/>
    <n v="4"/>
    <n v="2024"/>
    <n v="1"/>
    <s v="01"/>
    <x v="3"/>
    <x v="3"/>
    <n v="22290.48"/>
  </r>
  <r>
    <d v="2024-04-08T00:00:00"/>
    <s v="OPT-CNXBAN-10-Apr-2024-48500-C-E-I"/>
    <s v="NSE"/>
    <x v="1"/>
    <n v="15"/>
    <n v="0"/>
    <n v="271.25"/>
    <n v="4068.75"/>
    <s v="#202404083700029477"/>
    <n v="0"/>
    <n v="2.0299999999999998"/>
    <n v="0"/>
    <n v="0"/>
    <n v="20"/>
    <n v="3.96"/>
    <n v="25.99"/>
    <n v="2024"/>
    <n v="4"/>
    <n v="2024"/>
    <n v="1"/>
    <s v="01"/>
    <x v="3"/>
    <x v="3"/>
    <n v="-4094.74"/>
  </r>
  <r>
    <d v="2024-04-08T00:00:00"/>
    <s v="OPT-CNXBAN-10-Apr-2024-48500-C-E-I"/>
    <s v="NSE"/>
    <x v="1"/>
    <n v="15"/>
    <n v="0"/>
    <n v="270.14999999999998"/>
    <n v="4052.25"/>
    <s v="#202404083700025775"/>
    <n v="0"/>
    <n v="2.0299999999999998"/>
    <n v="0"/>
    <n v="0"/>
    <n v="20"/>
    <n v="3.96"/>
    <n v="25.99"/>
    <n v="2024"/>
    <n v="4"/>
    <n v="2024"/>
    <n v="1"/>
    <s v="01"/>
    <x v="3"/>
    <x v="3"/>
    <n v="-4078.24"/>
  </r>
  <r>
    <d v="2024-04-08T00:00:00"/>
    <s v="OPT-CNXBAN-10-Apr-2024-48500-C-E-I"/>
    <s v="NSE"/>
    <x v="1"/>
    <n v="15"/>
    <n v="0"/>
    <n v="291"/>
    <n v="4365"/>
    <s v="#202404083700025210"/>
    <n v="0"/>
    <n v="2.1800000000000002"/>
    <n v="0"/>
    <n v="0"/>
    <n v="20"/>
    <n v="4"/>
    <n v="26.18"/>
    <n v="2024"/>
    <n v="4"/>
    <n v="2024"/>
    <n v="1"/>
    <s v="01"/>
    <x v="3"/>
    <x v="3"/>
    <n v="-4391.18"/>
  </r>
  <r>
    <d v="2024-04-08T00:00:00"/>
    <s v="OPT-CNXBAN-10-Apr-2024-48500-C-E-I"/>
    <s v="NSE"/>
    <x v="1"/>
    <n v="15"/>
    <n v="0"/>
    <n v="315.39999999999998"/>
    <n v="4731"/>
    <s v="#202404083700024250"/>
    <n v="0"/>
    <n v="2.37"/>
    <n v="0"/>
    <n v="0"/>
    <n v="20"/>
    <n v="4.0199999999999996"/>
    <n v="26.39"/>
    <n v="2024"/>
    <n v="4"/>
    <n v="2024"/>
    <n v="1"/>
    <s v="01"/>
    <x v="3"/>
    <x v="3"/>
    <n v="-4757.3900000000003"/>
  </r>
  <r>
    <d v="2024-04-08T00:00:00"/>
    <s v="OPT-CNXBAN-10-Apr-2024-48500-C-E-I"/>
    <s v="NSE"/>
    <x v="1"/>
    <n v="15"/>
    <n v="0"/>
    <n v="301.39999999999998"/>
    <n v="4521"/>
    <s v="#202404083700023756"/>
    <n v="0"/>
    <n v="2.2599999999999998"/>
    <n v="0"/>
    <n v="0"/>
    <n v="20"/>
    <n v="4"/>
    <n v="26.26"/>
    <n v="2024"/>
    <n v="4"/>
    <n v="2024"/>
    <n v="1"/>
    <s v="01"/>
    <x v="3"/>
    <x v="3"/>
    <n v="-4547.26"/>
  </r>
  <r>
    <d v="2024-04-09T00:00:00"/>
    <s v="OPT-CNXBAN-10-Apr-2024-48700-P-E-I"/>
    <s v="NSE"/>
    <x v="0"/>
    <n v="60"/>
    <n v="0"/>
    <n v="175.65"/>
    <n v="10539"/>
    <s v="#202404093700024551"/>
    <n v="6.59"/>
    <n v="5.27"/>
    <n v="0"/>
    <n v="0.01"/>
    <n v="80"/>
    <n v="15.36"/>
    <n v="107.23"/>
    <n v="2024"/>
    <n v="4"/>
    <n v="2024"/>
    <n v="1"/>
    <s v="01"/>
    <x v="3"/>
    <x v="3"/>
    <n v="10431.77"/>
  </r>
  <r>
    <d v="2024-04-09T00:00:00"/>
    <s v="OPT-CNXBAN-10-Apr-2024-48700-P-E-I"/>
    <s v="NSE"/>
    <x v="1"/>
    <n v="60"/>
    <n v="0"/>
    <n v="155.05000000000001"/>
    <n v="9303"/>
    <s v="#202404093700024014"/>
    <n v="0"/>
    <n v="4.6500000000000004"/>
    <n v="0.28000000000000003"/>
    <n v="0.01"/>
    <n v="80"/>
    <n v="15.24"/>
    <n v="100.18"/>
    <n v="2024"/>
    <n v="4"/>
    <n v="2024"/>
    <n v="1"/>
    <s v="01"/>
    <x v="3"/>
    <x v="3"/>
    <n v="-9403.18"/>
  </r>
  <r>
    <d v="2024-04-09T00:00:00"/>
    <s v="OPT-NIFFIN-09-Apr-2024-21700-C-E-I"/>
    <s v="NSE"/>
    <x v="0"/>
    <n v="360"/>
    <n v="0"/>
    <n v="62"/>
    <n v="22320"/>
    <s v="#202404093700013097"/>
    <n v="13.95"/>
    <n v="11.16"/>
    <n v="0"/>
    <n v="0.02"/>
    <n v="180"/>
    <n v="34.42"/>
    <n v="239.55"/>
    <n v="2024"/>
    <n v="4"/>
    <n v="2024"/>
    <n v="1"/>
    <s v="01"/>
    <x v="3"/>
    <x v="3"/>
    <n v="22080.45"/>
  </r>
  <r>
    <d v="2024-04-09T00:00:00"/>
    <s v="OPT-NIFFIN-09-Apr-2024-21700-C-E-I"/>
    <s v="NSE"/>
    <x v="1"/>
    <n v="360"/>
    <n v="0"/>
    <n v="37.200000000000003"/>
    <n v="13392"/>
    <s v="#202404093700010297"/>
    <n v="0"/>
    <n v="6.7"/>
    <n v="0.43"/>
    <n v="0.01"/>
    <n v="180"/>
    <n v="33.6"/>
    <n v="220.74"/>
    <n v="2024"/>
    <n v="4"/>
    <n v="2024"/>
    <n v="1"/>
    <s v="01"/>
    <x v="3"/>
    <x v="3"/>
    <n v="-13612.74"/>
  </r>
  <r>
    <d v="2024-04-09T00:00:00"/>
    <s v="OPT-NIFFIN-09-Apr-2024-21700-C-E-I"/>
    <s v="NSE"/>
    <x v="0"/>
    <n v="40"/>
    <n v="0"/>
    <n v="53.15"/>
    <n v="2126"/>
    <s v="#202404093700009234"/>
    <n v="1.33"/>
    <n v="1.06"/>
    <n v="0"/>
    <n v="0"/>
    <n v="20"/>
    <n v="3.8"/>
    <n v="26.19"/>
    <n v="2024"/>
    <n v="4"/>
    <n v="2024"/>
    <n v="1"/>
    <s v="01"/>
    <x v="3"/>
    <x v="3"/>
    <n v="2099.81"/>
  </r>
  <r>
    <d v="2024-04-09T00:00:00"/>
    <s v="OPT-NIFFIN-09-Apr-2024-21700-C-E-I"/>
    <s v="NSE"/>
    <x v="1"/>
    <n v="40"/>
    <n v="0"/>
    <n v="25.2"/>
    <n v="1008"/>
    <s v="#202404093700008916"/>
    <n v="0"/>
    <n v="0.5"/>
    <n v="0"/>
    <n v="0"/>
    <n v="20"/>
    <n v="3.7"/>
    <n v="24.2"/>
    <n v="2024"/>
    <n v="4"/>
    <n v="2024"/>
    <n v="1"/>
    <s v="01"/>
    <x v="3"/>
    <x v="3"/>
    <n v="-1032.2"/>
  </r>
  <r>
    <d v="2024-04-09T00:00:00"/>
    <s v="OPT-CNXBAN-10-Apr-2024-48700-C-E-I"/>
    <s v="NSE"/>
    <x v="0"/>
    <n v="150"/>
    <n v="0"/>
    <n v="189.65"/>
    <n v="28447.5"/>
    <s v="#202404093700002688"/>
    <n v="18.13"/>
    <n v="14.22"/>
    <n v="0"/>
    <n v="0.03"/>
    <n v="200"/>
    <n v="38.56"/>
    <n v="270.94"/>
    <n v="2024"/>
    <n v="4"/>
    <n v="2024"/>
    <n v="1"/>
    <s v="01"/>
    <x v="3"/>
    <x v="3"/>
    <n v="28176.560000000001"/>
  </r>
  <r>
    <d v="2024-04-09T00:00:00"/>
    <s v="OPT-CNXBAN-10-Apr-2024-48700-C-E-I"/>
    <s v="NSE"/>
    <x v="1"/>
    <n v="45"/>
    <n v="0"/>
    <n v="171.28"/>
    <n v="7707.75"/>
    <s v="#202404093700002064"/>
    <n v="0"/>
    <n v="3.85"/>
    <n v="0"/>
    <n v="0.01"/>
    <n v="60"/>
    <n v="11.5"/>
    <n v="75.36"/>
    <n v="2024"/>
    <n v="4"/>
    <n v="2024"/>
    <n v="1"/>
    <s v="01"/>
    <x v="3"/>
    <x v="3"/>
    <n v="-7783.11"/>
  </r>
  <r>
    <d v="2024-04-09T00:00:00"/>
    <s v="OPT-CNXBAN-10-Apr-2024-48700-C-E-I"/>
    <s v="NSE"/>
    <x v="1"/>
    <n v="105"/>
    <n v="0"/>
    <n v="183.35"/>
    <n v="19251.75"/>
    <s v="#202404093700001158"/>
    <n v="0"/>
    <n v="9.6300000000000008"/>
    <n v="1.29"/>
    <n v="0.02"/>
    <n v="140"/>
    <n v="26.94"/>
    <n v="177.88"/>
    <n v="2024"/>
    <n v="4"/>
    <n v="2024"/>
    <n v="1"/>
    <s v="01"/>
    <x v="3"/>
    <x v="3"/>
    <n v="-19429.63"/>
  </r>
  <r>
    <d v="2024-04-10T00:00:00"/>
    <s v="OPT-CNXBAN-10-Apr-2024-48700-P-E-I"/>
    <s v="NSE"/>
    <x v="0"/>
    <n v="420"/>
    <n v="0"/>
    <n v="34.25"/>
    <n v="14385"/>
    <s v="#202404103700017713"/>
    <n v="8.99"/>
    <n v="7.2"/>
    <n v="0"/>
    <n v="0.01"/>
    <n v="560"/>
    <n v="102.1"/>
    <n v="678.3"/>
    <n v="2024"/>
    <n v="4"/>
    <n v="2024"/>
    <n v="1"/>
    <s v="01"/>
    <x v="3"/>
    <x v="3"/>
    <n v="13706.7"/>
  </r>
  <r>
    <d v="2024-04-10T00:00:00"/>
    <s v="OPT-CNXBAN-10-Apr-2024-48700-P-E-I"/>
    <s v="NSE"/>
    <x v="1"/>
    <n v="210"/>
    <n v="0"/>
    <n v="24"/>
    <n v="5040"/>
    <s v="#202404103700016211"/>
    <n v="0"/>
    <n v="2.52"/>
    <n v="0.34"/>
    <n v="0.01"/>
    <n v="280"/>
    <n v="50.86"/>
    <n v="333.73"/>
    <n v="2024"/>
    <n v="4"/>
    <n v="2024"/>
    <n v="1"/>
    <s v="01"/>
    <x v="3"/>
    <x v="3"/>
    <n v="-5373.73"/>
  </r>
  <r>
    <d v="2024-04-10T00:00:00"/>
    <s v="OPT-CNXBAN-10-Apr-2024-48700-P-E-I"/>
    <s v="NSE"/>
    <x v="1"/>
    <n v="105"/>
    <n v="0"/>
    <n v="28.55"/>
    <n v="2997.75"/>
    <s v="#202404103700015266"/>
    <n v="0"/>
    <n v="1.49"/>
    <n v="0"/>
    <n v="0"/>
    <n v="140"/>
    <n v="25.48"/>
    <n v="166.97"/>
    <n v="2024"/>
    <n v="4"/>
    <n v="2024"/>
    <n v="1"/>
    <s v="01"/>
    <x v="3"/>
    <x v="3"/>
    <n v="-3164.72"/>
  </r>
  <r>
    <d v="2024-04-10T00:00:00"/>
    <s v="OPT-CNXBAN-10-Apr-2024-48700-P-E-I"/>
    <s v="NSE"/>
    <x v="1"/>
    <n v="105"/>
    <n v="0"/>
    <n v="32.6"/>
    <n v="3423"/>
    <s v="#202404103700015135"/>
    <n v="0"/>
    <n v="1.69"/>
    <n v="0"/>
    <n v="0"/>
    <n v="140"/>
    <n v="25.5"/>
    <n v="167.19"/>
    <n v="2024"/>
    <n v="4"/>
    <n v="2024"/>
    <n v="1"/>
    <s v="01"/>
    <x v="3"/>
    <x v="3"/>
    <n v="-3590.19"/>
  </r>
  <r>
    <d v="2024-04-10T00:00:00"/>
    <s v="OPT-CNXBAN-10-Apr-2024-48800-C-E-I"/>
    <s v="NSE"/>
    <x v="0"/>
    <n v="120"/>
    <n v="0"/>
    <n v="205"/>
    <n v="24600"/>
    <s v="#202404103700002828"/>
    <n v="15.01"/>
    <n v="12.3"/>
    <n v="0"/>
    <n v="0.03"/>
    <n v="160"/>
    <n v="31.02"/>
    <n v="218.36"/>
    <n v="2024"/>
    <n v="4"/>
    <n v="2024"/>
    <n v="1"/>
    <s v="01"/>
    <x v="3"/>
    <x v="3"/>
    <n v="24381.64"/>
  </r>
  <r>
    <d v="2024-04-10T00:00:00"/>
    <s v="OPT-CNXBAN-10-Apr-2024-48800-C-E-I"/>
    <s v="NSE"/>
    <x v="1"/>
    <n v="105"/>
    <n v="0"/>
    <n v="109.1"/>
    <n v="11455.5"/>
    <s v="#202404103700001265"/>
    <n v="0"/>
    <n v="5.73"/>
    <n v="0.66"/>
    <n v="0.01"/>
    <n v="140"/>
    <n v="26.24"/>
    <n v="172.64"/>
    <n v="2024"/>
    <n v="4"/>
    <n v="2024"/>
    <n v="1"/>
    <s v="01"/>
    <x v="3"/>
    <x v="3"/>
    <n v="-11628.14"/>
  </r>
  <r>
    <d v="2024-04-10T00:00:00"/>
    <s v="OPT-CNXBAN-10-Apr-2024-48800-C-E-I"/>
    <s v="NSE"/>
    <x v="1"/>
    <n v="15"/>
    <n v="0"/>
    <n v="111.7"/>
    <n v="1675.5"/>
    <s v="#202404103700000917"/>
    <n v="0"/>
    <n v="0.84"/>
    <n v="0"/>
    <n v="0"/>
    <n v="20"/>
    <n v="3.76"/>
    <n v="24.6"/>
    <n v="2024"/>
    <n v="4"/>
    <n v="2024"/>
    <n v="1"/>
    <s v="01"/>
    <x v="3"/>
    <x v="3"/>
    <n v="-1700.1"/>
  </r>
  <r>
    <d v="2024-04-12T00:00:00"/>
    <s v="OPT-CNXBAN-16-Apr-2024-48800-C-E-I"/>
    <s v="NSE"/>
    <x v="0"/>
    <n v="150"/>
    <n v="0"/>
    <n v="178.87"/>
    <n v="26830.5"/>
    <s v="#202404123700022820"/>
    <n v="16.77"/>
    <n v="13.41"/>
    <n v="0"/>
    <n v="0.03"/>
    <n v="200"/>
    <n v="38.4"/>
    <n v="268.61"/>
    <n v="2024"/>
    <n v="4"/>
    <n v="2024"/>
    <n v="1"/>
    <s v="01"/>
    <x v="3"/>
    <x v="3"/>
    <n v="26561.89"/>
  </r>
  <r>
    <d v="2024-04-12T00:00:00"/>
    <s v="OPT-NIFSEL-15-Apr-2024-11025-C-E-I"/>
    <s v="NSE"/>
    <x v="0"/>
    <n v="75"/>
    <n v="0"/>
    <n v="31.15"/>
    <n v="2336.25"/>
    <s v="#202404123700018998"/>
    <n v="1.46"/>
    <n v="1.17"/>
    <n v="0"/>
    <n v="0"/>
    <n v="20"/>
    <n v="3.82"/>
    <n v="26.45"/>
    <n v="2024"/>
    <n v="4"/>
    <n v="2024"/>
    <n v="1"/>
    <s v="01"/>
    <x v="3"/>
    <x v="3"/>
    <n v="2309.8000000000002"/>
  </r>
  <r>
    <d v="2024-04-12T00:00:00"/>
    <s v="OPT-CNXBAN-16-Apr-2024-48800-C-E-I"/>
    <s v="NSE"/>
    <x v="1"/>
    <n v="45"/>
    <n v="0"/>
    <n v="196.9"/>
    <n v="8860.5"/>
    <s v="#202404123700015253"/>
    <n v="0"/>
    <n v="4.43"/>
    <n v="0"/>
    <n v="0.01"/>
    <n v="60"/>
    <n v="11.6"/>
    <n v="76.040000000000006"/>
    <n v="2024"/>
    <n v="4"/>
    <n v="2024"/>
    <n v="1"/>
    <s v="01"/>
    <x v="3"/>
    <x v="3"/>
    <n v="-8936.5400000000009"/>
  </r>
  <r>
    <d v="2024-04-12T00:00:00"/>
    <s v="OPT-NIFSEL-15-Apr-2024-11025-C-E-I"/>
    <s v="NSE"/>
    <x v="1"/>
    <n v="75"/>
    <n v="0"/>
    <n v="41.65"/>
    <n v="3123.75"/>
    <s v="#202404123700013990"/>
    <n v="0"/>
    <n v="1.56"/>
    <n v="0.09"/>
    <n v="0"/>
    <n v="20"/>
    <n v="3.88"/>
    <n v="25.53"/>
    <n v="2024"/>
    <n v="4"/>
    <n v="2024"/>
    <n v="1"/>
    <s v="01"/>
    <x v="3"/>
    <x v="3"/>
    <n v="-3149.28"/>
  </r>
  <r>
    <d v="2024-04-12T00:00:00"/>
    <s v="OPT-CNXBAN-16-Apr-2024-48900-C-E-I"/>
    <s v="NSE"/>
    <x v="0"/>
    <n v="30"/>
    <n v="0"/>
    <n v="215.15"/>
    <n v="6454.5"/>
    <s v="#202404123700011879"/>
    <n v="3.77"/>
    <n v="3.23"/>
    <n v="0"/>
    <n v="0.01"/>
    <n v="40"/>
    <n v="7.78"/>
    <n v="54.79"/>
    <n v="2024"/>
    <n v="4"/>
    <n v="2024"/>
    <n v="1"/>
    <s v="01"/>
    <x v="3"/>
    <x v="3"/>
    <n v="6399.71"/>
  </r>
  <r>
    <d v="2024-04-12T00:00:00"/>
    <s v="OPT-CNXBAN-16-Apr-2024-48800-C-E-I"/>
    <s v="NSE"/>
    <x v="1"/>
    <n v="105"/>
    <n v="0"/>
    <n v="227.5"/>
    <n v="23887.5"/>
    <s v="#202404123700011348"/>
    <n v="0"/>
    <n v="11.94"/>
    <n v="0.75"/>
    <n v="0.02"/>
    <n v="140"/>
    <n v="27.36"/>
    <n v="180.07"/>
    <n v="2024"/>
    <n v="4"/>
    <n v="2024"/>
    <n v="1"/>
    <s v="01"/>
    <x v="3"/>
    <x v="3"/>
    <n v="-24067.57"/>
  </r>
  <r>
    <d v="2024-04-12T00:00:00"/>
    <s v="OPT-CNXBAN-16-Apr-2024-48900-C-E-I"/>
    <s v="NSE"/>
    <x v="1"/>
    <n v="15"/>
    <n v="0"/>
    <n v="167"/>
    <n v="2505"/>
    <s v="#202404123700008911"/>
    <n v="0"/>
    <n v="1.25"/>
    <n v="0"/>
    <n v="0"/>
    <n v="20"/>
    <n v="3.82"/>
    <n v="25.07"/>
    <n v="2024"/>
    <n v="4"/>
    <n v="2024"/>
    <n v="1"/>
    <s v="01"/>
    <x v="3"/>
    <x v="3"/>
    <n v="-2530.0700000000002"/>
  </r>
  <r>
    <d v="2024-04-12T00:00:00"/>
    <s v="OPT-CNXBAN-16-Apr-2024-48900-C-E-I"/>
    <s v="NSE"/>
    <x v="1"/>
    <n v="15"/>
    <n v="0"/>
    <n v="182.6"/>
    <n v="2739"/>
    <s v="#202404123700004941"/>
    <n v="0"/>
    <n v="1.37"/>
    <n v="0.16"/>
    <n v="0"/>
    <n v="20"/>
    <n v="3.84"/>
    <n v="25.37"/>
    <n v="2024"/>
    <n v="4"/>
    <n v="2024"/>
    <n v="1"/>
    <s v="01"/>
    <x v="3"/>
    <x v="3"/>
    <n v="-2764.37"/>
  </r>
  <r>
    <d v="2024-04-15T00:00:00"/>
    <s v="OPT-NIFSEL-15-Apr-2024-11000-C-E-I"/>
    <s v="NSE"/>
    <x v="0"/>
    <n v="1200"/>
    <n v="0"/>
    <n v="0.3"/>
    <n v="360"/>
    <s v="#202404153700016657"/>
    <n v="0.23"/>
    <n v="0.18"/>
    <n v="0"/>
    <n v="0"/>
    <n v="320"/>
    <n v="57.64"/>
    <n v="378.05"/>
    <n v="2024"/>
    <n v="4"/>
    <n v="2024"/>
    <n v="1"/>
    <s v="01"/>
    <x v="3"/>
    <x v="3"/>
    <n v="-18.050000000000011"/>
  </r>
  <r>
    <d v="2024-04-15T00:00:00"/>
    <s v="OPT-CNXBAN-16-Apr-2024-48000-C-E-I"/>
    <s v="NSE"/>
    <x v="0"/>
    <n v="15"/>
    <n v="0"/>
    <n v="244.7"/>
    <n v="3670.5"/>
    <s v="#202404153700016614"/>
    <n v="2.29"/>
    <n v="1.84"/>
    <n v="0"/>
    <n v="0"/>
    <n v="20"/>
    <n v="3.94"/>
    <n v="28.07"/>
    <n v="2024"/>
    <n v="4"/>
    <n v="2024"/>
    <n v="1"/>
    <s v="01"/>
    <x v="3"/>
    <x v="3"/>
    <n v="3642.43"/>
  </r>
  <r>
    <d v="2024-04-15T00:00:00"/>
    <s v="OPT-CNXBAN-16-Apr-2024-48000-C-E-I"/>
    <s v="NSE"/>
    <x v="1"/>
    <n v="15"/>
    <n v="0"/>
    <n v="269.5"/>
    <n v="4042.5"/>
    <s v="#202404153700015471"/>
    <n v="0"/>
    <n v="2.02"/>
    <n v="0"/>
    <n v="0"/>
    <n v="20"/>
    <n v="3.96"/>
    <n v="25.98"/>
    <n v="2024"/>
    <n v="4"/>
    <n v="2024"/>
    <n v="1"/>
    <s v="01"/>
    <x v="3"/>
    <x v="3"/>
    <n v="-4068.48"/>
  </r>
  <r>
    <d v="2024-04-15T00:00:00"/>
    <s v="OPT-CNXBAN-16-Apr-2024-48000-C-E-I"/>
    <s v="NSE"/>
    <x v="0"/>
    <n v="15"/>
    <n v="0"/>
    <n v="345.15"/>
    <n v="5177.25"/>
    <s v="#202404153700011498"/>
    <n v="3.24"/>
    <n v="2.59"/>
    <n v="0"/>
    <n v="0.01"/>
    <n v="20"/>
    <n v="4.0599999999999996"/>
    <n v="29.9"/>
    <n v="2024"/>
    <n v="4"/>
    <n v="2024"/>
    <n v="1"/>
    <s v="01"/>
    <x v="3"/>
    <x v="3"/>
    <n v="5147.3500000000004"/>
  </r>
  <r>
    <d v="2024-04-15T00:00:00"/>
    <s v="OPT-NIFSEL-15-Apr-2024-11000-C-E-I"/>
    <s v="NSE"/>
    <x v="1"/>
    <n v="600"/>
    <n v="0"/>
    <n v="1.9"/>
    <n v="1140"/>
    <s v="#202404153700011440"/>
    <n v="0"/>
    <n v="0.56999999999999995"/>
    <n v="0"/>
    <n v="0"/>
    <n v="160"/>
    <n v="28.9"/>
    <n v="189.47"/>
    <n v="2024"/>
    <n v="4"/>
    <n v="2024"/>
    <n v="1"/>
    <s v="01"/>
    <x v="3"/>
    <x v="3"/>
    <n v="-1329.47"/>
  </r>
  <r>
    <d v="2024-04-15T00:00:00"/>
    <s v="OPT-CNXBAN-16-Apr-2024-48000-C-E-I"/>
    <s v="NSE"/>
    <x v="1"/>
    <n v="15"/>
    <n v="0"/>
    <n v="316.3"/>
    <n v="4744.5"/>
    <s v="#202404153700011351"/>
    <n v="0"/>
    <n v="2.37"/>
    <n v="0"/>
    <n v="0"/>
    <n v="20"/>
    <n v="4.0199999999999996"/>
    <n v="26.39"/>
    <n v="2024"/>
    <n v="4"/>
    <n v="2024"/>
    <n v="1"/>
    <s v="01"/>
    <x v="3"/>
    <x v="3"/>
    <n v="-4770.8900000000003"/>
  </r>
  <r>
    <d v="2024-04-15T00:00:00"/>
    <s v="OPT-NIFSEL-15-Apr-2024-11000-C-E-I"/>
    <s v="NSE"/>
    <x v="0"/>
    <n v="75"/>
    <n v="0"/>
    <n v="1.5"/>
    <n v="112.5"/>
    <s v="#202404153700009208"/>
    <n v="0.02"/>
    <n v="0.06"/>
    <n v="0"/>
    <n v="0"/>
    <n v="20"/>
    <n v="3.62"/>
    <n v="23.7"/>
    <n v="2024"/>
    <n v="4"/>
    <n v="2024"/>
    <n v="1"/>
    <s v="01"/>
    <x v="3"/>
    <x v="3"/>
    <n v="88.8"/>
  </r>
  <r>
    <d v="2024-04-15T00:00:00"/>
    <s v="OPT-NIFSEL-15-Apr-2024-11000-C-E-I"/>
    <s v="NSE"/>
    <x v="0"/>
    <n v="75"/>
    <n v="0"/>
    <n v="1.5"/>
    <n v="112.5"/>
    <s v="#202404153700009198"/>
    <n v="7.0000000000000007E-2"/>
    <n v="0.06"/>
    <n v="0"/>
    <n v="0"/>
    <n v="20"/>
    <n v="3.62"/>
    <n v="23.75"/>
    <n v="2024"/>
    <n v="4"/>
    <n v="2024"/>
    <n v="1"/>
    <s v="01"/>
    <x v="3"/>
    <x v="3"/>
    <n v="88.75"/>
  </r>
  <r>
    <d v="2024-04-15T00:00:00"/>
    <s v="OPT-NIFSEL-15-Apr-2024-11000-C-E-I"/>
    <s v="NSE"/>
    <x v="0"/>
    <n v="75"/>
    <n v="0"/>
    <n v="1.5"/>
    <n v="112.5"/>
    <s v="#202404153700009195"/>
    <n v="7.0000000000000007E-2"/>
    <n v="0.06"/>
    <n v="0"/>
    <n v="0"/>
    <n v="20"/>
    <n v="3.62"/>
    <n v="23.75"/>
    <n v="2024"/>
    <n v="4"/>
    <n v="2024"/>
    <n v="1"/>
    <s v="01"/>
    <x v="3"/>
    <x v="3"/>
    <n v="88.75"/>
  </r>
  <r>
    <d v="2024-04-15T00:00:00"/>
    <s v="OPT-NIFSEL-15-Apr-2024-11000-C-E-I"/>
    <s v="NSE"/>
    <x v="0"/>
    <n v="75"/>
    <n v="0"/>
    <n v="1.7"/>
    <n v="127.5"/>
    <s v="#202404153700009164"/>
    <n v="0.08"/>
    <n v="0.06"/>
    <n v="0"/>
    <n v="0"/>
    <n v="20"/>
    <n v="3.62"/>
    <n v="23.76"/>
    <n v="2024"/>
    <n v="4"/>
    <n v="2024"/>
    <n v="1"/>
    <s v="01"/>
    <x v="3"/>
    <x v="3"/>
    <n v="103.74"/>
  </r>
  <r>
    <d v="2024-04-15T00:00:00"/>
    <s v="OPT-NIFSEL-15-Apr-2024-11000-C-E-I"/>
    <s v="NSE"/>
    <x v="1"/>
    <n v="600"/>
    <n v="0"/>
    <n v="2.2999999999999998"/>
    <n v="1380"/>
    <s v="#202404153700006121"/>
    <n v="0"/>
    <n v="0.69"/>
    <n v="0"/>
    <n v="0"/>
    <n v="160"/>
    <n v="28.92"/>
    <n v="189.61"/>
    <n v="2024"/>
    <n v="4"/>
    <n v="2024"/>
    <n v="1"/>
    <s v="01"/>
    <x v="3"/>
    <x v="3"/>
    <n v="-1569.6100000000001"/>
  </r>
  <r>
    <d v="2024-04-15T00:00:00"/>
    <s v="OPT-NIFSEL-15-Apr-2024-11000-C-E-I"/>
    <s v="NSE"/>
    <x v="1"/>
    <n v="75"/>
    <n v="0"/>
    <n v="3.95"/>
    <n v="296.25"/>
    <s v="#202404153700002557"/>
    <n v="0"/>
    <n v="0.15"/>
    <n v="0"/>
    <n v="0"/>
    <n v="20"/>
    <n v="3.62"/>
    <n v="23.77"/>
    <n v="2024"/>
    <n v="4"/>
    <n v="2024"/>
    <n v="1"/>
    <s v="01"/>
    <x v="3"/>
    <x v="3"/>
    <n v="-320.02"/>
  </r>
  <r>
    <d v="2024-04-15T00:00:00"/>
    <s v="OPT-NIFSEL-15-Apr-2024-11000-C-E-I"/>
    <s v="NSE"/>
    <x v="1"/>
    <n v="75"/>
    <n v="0"/>
    <n v="3.9"/>
    <n v="292.5"/>
    <s v="#202404153700002536"/>
    <n v="0"/>
    <n v="0.15"/>
    <n v="0"/>
    <n v="0"/>
    <n v="20"/>
    <n v="3.62"/>
    <n v="23.77"/>
    <n v="2024"/>
    <n v="4"/>
    <n v="2024"/>
    <n v="1"/>
    <s v="01"/>
    <x v="3"/>
    <x v="3"/>
    <n v="-316.27"/>
  </r>
  <r>
    <d v="2024-04-15T00:00:00"/>
    <s v="OPT-NIFSEL-15-Apr-2024-11000-C-E-I"/>
    <s v="NSE"/>
    <x v="1"/>
    <n v="75"/>
    <n v="0"/>
    <n v="3.85"/>
    <n v="288.75"/>
    <s v="#202404153700002520"/>
    <n v="0"/>
    <n v="0.14000000000000001"/>
    <n v="0"/>
    <n v="0"/>
    <n v="20"/>
    <n v="3.62"/>
    <n v="23.76"/>
    <n v="2024"/>
    <n v="4"/>
    <n v="2024"/>
    <n v="1"/>
    <s v="01"/>
    <x v="3"/>
    <x v="3"/>
    <n v="-312.51"/>
  </r>
  <r>
    <d v="2024-04-15T00:00:00"/>
    <s v="OPT-NIFSEL-15-Apr-2024-11000-C-E-I"/>
    <s v="NSE"/>
    <x v="1"/>
    <n v="75"/>
    <n v="0"/>
    <n v="4.1500000000000004"/>
    <n v="311.25"/>
    <s v="#202404153700002380"/>
    <n v="0"/>
    <n v="0.16"/>
    <n v="0"/>
    <n v="0"/>
    <n v="20"/>
    <n v="3.62"/>
    <n v="23.78"/>
    <n v="2024"/>
    <n v="4"/>
    <n v="2024"/>
    <n v="1"/>
    <s v="01"/>
    <x v="3"/>
    <x v="3"/>
    <n v="-335.03"/>
  </r>
  <r>
    <d v="2024-04-16T00:00:00"/>
    <s v="OPT-CNXBAN-16-Apr-2024-47500-C-E-I"/>
    <s v="NSE"/>
    <x v="0"/>
    <n v="15"/>
    <n v="0"/>
    <n v="35"/>
    <n v="525"/>
    <s v="#202404163700018156"/>
    <n v="0.18"/>
    <n v="0.26"/>
    <n v="0"/>
    <n v="0"/>
    <n v="20"/>
    <n v="3.64"/>
    <n v="24.08"/>
    <n v="2024"/>
    <n v="4"/>
    <n v="2024"/>
    <n v="1"/>
    <s v="01"/>
    <x v="3"/>
    <x v="3"/>
    <n v="500.92"/>
  </r>
  <r>
    <d v="2024-04-16T00:00:00"/>
    <s v="OPT-NIFTY-18-Apr-2024-22250-C-E-I"/>
    <s v="NSE"/>
    <x v="0"/>
    <n v="150"/>
    <n v="0"/>
    <n v="30.1"/>
    <n v="4515"/>
    <s v="#202404163700017777"/>
    <n v="2.82"/>
    <n v="2.2599999999999998"/>
    <n v="0"/>
    <n v="0"/>
    <n v="60"/>
    <n v="11.22"/>
    <n v="76.3"/>
    <n v="2024"/>
    <n v="4"/>
    <n v="2024"/>
    <n v="1"/>
    <s v="01"/>
    <x v="3"/>
    <x v="3"/>
    <n v="4438.7"/>
  </r>
  <r>
    <d v="2024-04-16T00:00:00"/>
    <s v="OPT-CNXBAN-16-Apr-2024-47500-C-E-I"/>
    <s v="NSE"/>
    <x v="1"/>
    <n v="15"/>
    <n v="0"/>
    <n v="79.5"/>
    <n v="1192.5"/>
    <s v="#202404163700010095"/>
    <n v="0"/>
    <n v="0.6"/>
    <n v="0"/>
    <n v="0"/>
    <n v="20"/>
    <n v="3.7"/>
    <n v="24.3"/>
    <n v="2024"/>
    <n v="4"/>
    <n v="2024"/>
    <n v="1"/>
    <s v="01"/>
    <x v="3"/>
    <x v="3"/>
    <n v="-1216.8"/>
  </r>
  <r>
    <d v="2024-04-16T00:00:00"/>
    <s v="OPT-NIFTY-18-Apr-2024-22250-C-E-I"/>
    <s v="NSE"/>
    <x v="1"/>
    <n v="50"/>
    <n v="0"/>
    <n v="52.05"/>
    <n v="2602.5"/>
    <s v="#202404163700006753"/>
    <n v="0"/>
    <n v="1.3"/>
    <n v="0"/>
    <n v="0"/>
    <n v="20"/>
    <n v="3.84"/>
    <n v="25.14"/>
    <n v="2024"/>
    <n v="4"/>
    <n v="2024"/>
    <n v="1"/>
    <s v="01"/>
    <x v="3"/>
    <x v="3"/>
    <n v="-2627.64"/>
  </r>
  <r>
    <d v="2024-04-16T00:00:00"/>
    <s v="OPT-NIFTY-18-Apr-2024-22250-C-E-I"/>
    <s v="NSE"/>
    <x v="1"/>
    <n v="100"/>
    <n v="0"/>
    <n v="58.93"/>
    <n v="5892.5"/>
    <s v="#202404163700006684"/>
    <n v="0"/>
    <n v="2.94"/>
    <n v="0"/>
    <n v="0"/>
    <n v="40"/>
    <n v="7.72"/>
    <n v="50.66"/>
    <n v="2024"/>
    <n v="4"/>
    <n v="2024"/>
    <n v="1"/>
    <s v="01"/>
    <x v="3"/>
    <x v="3"/>
    <n v="-5943.16"/>
  </r>
  <r>
    <d v="2024-04-18T00:00:00"/>
    <s v="OPT-CNXBAN-24-Apr-2024-47400-P-E-I"/>
    <s v="NSE"/>
    <x v="0"/>
    <n v="105"/>
    <n v="0"/>
    <n v="199.25"/>
    <n v="20921.25"/>
    <s v="#202404183700016719"/>
    <n v="12.67"/>
    <n v="10.46"/>
    <n v="0"/>
    <n v="0.02"/>
    <n v="140"/>
    <n v="27.08"/>
    <n v="190.23"/>
    <n v="2024"/>
    <n v="4"/>
    <n v="2024"/>
    <n v="1"/>
    <s v="01"/>
    <x v="3"/>
    <x v="3"/>
    <n v="20731.02"/>
  </r>
  <r>
    <d v="2024-04-18T00:00:00"/>
    <s v="OPT-NIFTY-18-Apr-2024-22200-C-E-I"/>
    <s v="NSE"/>
    <x v="0"/>
    <n v="50"/>
    <n v="0"/>
    <n v="74.7"/>
    <n v="3735"/>
    <s v="#202404183700010588"/>
    <n v="2.33"/>
    <n v="1.87"/>
    <n v="0"/>
    <n v="0"/>
    <n v="20"/>
    <n v="3.94"/>
    <n v="28.14"/>
    <n v="2024"/>
    <n v="4"/>
    <n v="2024"/>
    <n v="1"/>
    <s v="01"/>
    <x v="3"/>
    <x v="3"/>
    <n v="3706.86"/>
  </r>
  <r>
    <d v="2024-04-18T00:00:00"/>
    <s v="OPT-NIFTY-18-Apr-2024-22200-C-E-I"/>
    <s v="NSE"/>
    <x v="1"/>
    <n v="50"/>
    <n v="0"/>
    <n v="33"/>
    <n v="1650"/>
    <s v="#202404183700010181"/>
    <n v="0"/>
    <n v="0.83"/>
    <n v="0.05"/>
    <n v="0"/>
    <n v="20"/>
    <n v="3.74"/>
    <n v="24.62"/>
    <n v="2024"/>
    <n v="4"/>
    <n v="2024"/>
    <n v="1"/>
    <s v="01"/>
    <x v="3"/>
    <x v="3"/>
    <n v="-1674.62"/>
  </r>
  <r>
    <d v="2024-04-18T00:00:00"/>
    <s v="OPT-CNXBAN-24-Apr-2024-47400-P-E-I"/>
    <s v="NSE"/>
    <x v="1"/>
    <n v="105"/>
    <n v="0"/>
    <n v="219.35"/>
    <n v="23031.75"/>
    <s v="#202404183700002844"/>
    <n v="0"/>
    <n v="11.52"/>
    <n v="0.95"/>
    <n v="0.02"/>
    <n v="140"/>
    <n v="27.28"/>
    <n v="179.77"/>
    <n v="2024"/>
    <n v="4"/>
    <n v="2024"/>
    <n v="1"/>
    <s v="01"/>
    <x v="3"/>
    <x v="3"/>
    <n v="-23211.52"/>
  </r>
  <r>
    <d v="2024-04-19T00:00:00"/>
    <s v="OPT-CNXBAN-24-Apr-2024-46600-P-E-I"/>
    <s v="NSE"/>
    <x v="1"/>
    <n v="15"/>
    <n v="0"/>
    <n v="292.2"/>
    <n v="4383"/>
    <s v="#202404193700010218"/>
    <n v="0"/>
    <n v="2.19"/>
    <n v="0"/>
    <n v="0"/>
    <n v="20"/>
    <n v="4"/>
    <n v="26.19"/>
    <n v="2024"/>
    <n v="4"/>
    <n v="2024"/>
    <n v="1"/>
    <s v="01"/>
    <x v="3"/>
    <x v="3"/>
    <n v="-4409.1899999999996"/>
  </r>
  <r>
    <d v="2024-04-23T00:00:00"/>
    <s v="OPT-CNXBAN-24-Apr-2024-46600-P-E-I"/>
    <s v="NSE"/>
    <x v="1"/>
    <n v="900"/>
    <n v="0"/>
    <n v="11.75"/>
    <n v="10575"/>
    <s v="#202404233700007432"/>
    <n v="0"/>
    <n v="5.31"/>
    <n v="1"/>
    <n v="0.01"/>
    <n v="1200"/>
    <n v="217.02"/>
    <n v="1423.34"/>
    <n v="2024"/>
    <n v="4"/>
    <n v="2024"/>
    <n v="1"/>
    <s v="01"/>
    <x v="3"/>
    <x v="3"/>
    <n v="-11998.34"/>
  </r>
  <r>
    <d v="2024-04-23T00:00:00"/>
    <s v="OPT-CNXBAN-24-Apr-2024-46600-P-E-I"/>
    <s v="NSE"/>
    <x v="1"/>
    <n v="600"/>
    <n v="0"/>
    <n v="20.2"/>
    <n v="12120"/>
    <s v="#202404233700004074"/>
    <n v="0"/>
    <n v="6.06"/>
    <n v="0"/>
    <n v="0"/>
    <n v="800"/>
    <n v="145.08000000000001"/>
    <n v="951.14"/>
    <n v="2024"/>
    <n v="4"/>
    <n v="2024"/>
    <n v="1"/>
    <s v="01"/>
    <x v="3"/>
    <x v="3"/>
    <n v="-13071.14"/>
  </r>
  <r>
    <d v="2024-04-24T00:00:00"/>
    <s v="OPT-CNXBAN-24-Apr-2024-47900-P-E-I"/>
    <s v="NSE"/>
    <x v="0"/>
    <n v="900"/>
    <n v="0"/>
    <n v="4.05"/>
    <n v="3645"/>
    <s v="#202404243700019658"/>
    <n v="1.91"/>
    <n v="1.82"/>
    <n v="0"/>
    <n v="0"/>
    <n v="1200"/>
    <n v="216.32"/>
    <n v="1420.05"/>
    <n v="2024"/>
    <n v="4"/>
    <n v="2024"/>
    <n v="1"/>
    <s v="01"/>
    <x v="3"/>
    <x v="3"/>
    <n v="2224.9499999999998"/>
  </r>
  <r>
    <d v="2024-04-24T00:00:00"/>
    <s v="OPT-CNXBAN-24-Apr-2024-47900-P-E-I"/>
    <s v="NSE"/>
    <x v="1"/>
    <n v="900"/>
    <n v="0"/>
    <n v="11.5"/>
    <n v="10350"/>
    <s v="#202404243700015770"/>
    <n v="0"/>
    <n v="5.22"/>
    <n v="0"/>
    <n v="0"/>
    <n v="1200"/>
    <n v="216.92"/>
    <n v="1422.14"/>
    <n v="2024"/>
    <n v="4"/>
    <n v="2024"/>
    <n v="1"/>
    <s v="01"/>
    <x v="3"/>
    <x v="3"/>
    <n v="-11772.14"/>
  </r>
  <r>
    <d v="2024-04-24T00:00:00"/>
    <s v="OPT-CNXBAN-24-Apr-2024-46600-P-E-I"/>
    <s v="NSE"/>
    <x v="0"/>
    <n v="615"/>
    <n v="0"/>
    <n v="2.2000000000000002"/>
    <n v="1353"/>
    <s v="#202404243700006563"/>
    <n v="0.84"/>
    <n v="0.67"/>
    <n v="0"/>
    <n v="0"/>
    <n v="820"/>
    <n v="147.72"/>
    <n v="969.23"/>
    <n v="2024"/>
    <n v="4"/>
    <n v="2024"/>
    <n v="1"/>
    <s v="01"/>
    <x v="3"/>
    <x v="3"/>
    <n v="383.77"/>
  </r>
  <r>
    <d v="2024-04-24T00:00:00"/>
    <s v="OPT-CNXBAN-24-Apr-2024-46600-P-E-I"/>
    <s v="NSE"/>
    <x v="0"/>
    <n v="900"/>
    <n v="0"/>
    <n v="2.2000000000000002"/>
    <n v="1980"/>
    <s v="#202404243700006531"/>
    <n v="1.24"/>
    <n v="0.98"/>
    <n v="0"/>
    <n v="0"/>
    <n v="1200"/>
    <n v="216.16"/>
    <n v="1418.38"/>
    <n v="2024"/>
    <n v="4"/>
    <n v="2024"/>
    <n v="1"/>
    <s v="01"/>
    <x v="3"/>
    <x v="3"/>
    <n v="561.61999999999989"/>
  </r>
  <r>
    <d v="2024-04-26T00:00:00"/>
    <s v="OPT-NIFTY-02-May-2024-22550-C-E-I"/>
    <s v="NSE"/>
    <x v="0"/>
    <n v="200"/>
    <n v="0"/>
    <n v="101.25"/>
    <n v="20250"/>
    <s v="#202404263700016483"/>
    <n v="12.66"/>
    <n v="10.130000000000001"/>
    <n v="0"/>
    <n v="0.02"/>
    <n v="160"/>
    <n v="30.62"/>
    <n v="213.43"/>
    <n v="2024"/>
    <n v="4"/>
    <n v="2024"/>
    <n v="1"/>
    <s v="01"/>
    <x v="3"/>
    <x v="3"/>
    <n v="20036.57"/>
  </r>
  <r>
    <d v="2024-04-26T00:00:00"/>
    <s v="OPT-NIFTY-02-May-2024-22550-C-E-I"/>
    <s v="NSE"/>
    <x v="1"/>
    <n v="100"/>
    <n v="0"/>
    <n v="131.25"/>
    <n v="13125"/>
    <s v="#202404263700013098"/>
    <n v="0"/>
    <n v="6.56"/>
    <n v="1.21"/>
    <n v="0.01"/>
    <n v="80"/>
    <n v="15.58"/>
    <n v="103.36"/>
    <n v="2024"/>
    <n v="4"/>
    <n v="2024"/>
    <n v="1"/>
    <s v="01"/>
    <x v="3"/>
    <x v="3"/>
    <n v="-13228.36"/>
  </r>
  <r>
    <d v="2024-04-26T00:00:00"/>
    <s v="OPT-NIFTY-02-May-2024-22550-C-E-I"/>
    <s v="NSE"/>
    <x v="1"/>
    <n v="50"/>
    <n v="0"/>
    <n v="131.25"/>
    <n v="6562.5"/>
    <s v="#202404263700011485"/>
    <n v="0"/>
    <n v="3.28"/>
    <n v="0"/>
    <n v="0.01"/>
    <n v="40"/>
    <n v="7.8"/>
    <n v="51.09"/>
    <n v="2024"/>
    <n v="4"/>
    <n v="2024"/>
    <n v="1"/>
    <s v="01"/>
    <x v="3"/>
    <x v="3"/>
    <n v="-6613.59"/>
  </r>
  <r>
    <d v="2024-04-26T00:00:00"/>
    <s v="OPT-NIFTY-02-May-2024-22550-C-E-I"/>
    <s v="NSE"/>
    <x v="1"/>
    <n v="50"/>
    <n v="0"/>
    <n v="146.1"/>
    <n v="7305"/>
    <s v="#202404263700011140"/>
    <n v="0"/>
    <n v="3.65"/>
    <n v="0"/>
    <n v="0.01"/>
    <n v="40"/>
    <n v="7.86"/>
    <n v="51.52"/>
    <n v="2024"/>
    <n v="4"/>
    <n v="2024"/>
    <n v="1"/>
    <s v="01"/>
    <x v="3"/>
    <x v="3"/>
    <n v="-7356.52"/>
  </r>
  <r>
    <d v="2024-04-26T00:00:00"/>
    <s v="OPT-CNXBAN-30-Apr-2024-48500-C-E-I"/>
    <s v="NSE"/>
    <x v="0"/>
    <n v="105"/>
    <n v="0"/>
    <n v="265.75"/>
    <n v="27903.75"/>
    <s v="#202404263700010858"/>
    <n v="17.34"/>
    <n v="13.94"/>
    <n v="0"/>
    <n v="0.01"/>
    <n v="140"/>
    <n v="27.72"/>
    <n v="199.01"/>
    <n v="2024"/>
    <n v="4"/>
    <n v="2024"/>
    <n v="1"/>
    <s v="01"/>
    <x v="3"/>
    <x v="3"/>
    <n v="27704.74"/>
  </r>
  <r>
    <d v="2024-04-26T00:00:00"/>
    <s v="OPT-CNXBAN-30-Apr-2024-48500-C-E-I"/>
    <s v="NSE"/>
    <x v="1"/>
    <n v="105"/>
    <n v="0"/>
    <n v="251.25"/>
    <n v="26381.25"/>
    <s v="#202404263700010262"/>
    <n v="0"/>
    <n v="13.19"/>
    <n v="0.79"/>
    <n v="0.03"/>
    <n v="140"/>
    <n v="27.58"/>
    <n v="181.59"/>
    <n v="2024"/>
    <n v="4"/>
    <n v="2024"/>
    <n v="1"/>
    <s v="01"/>
    <x v="3"/>
    <x v="3"/>
    <n v="-26562.84"/>
  </r>
  <r>
    <d v="2024-04-30T00:00:00"/>
    <s v="OPT-NIFFIN-30-Apr-2024-22050-C-E-I"/>
    <s v="NSE"/>
    <x v="0"/>
    <n v="400"/>
    <n v="0"/>
    <n v="45.75"/>
    <n v="18300"/>
    <s v="#202404303700025073"/>
    <n v="11"/>
    <n v="9.17"/>
    <n v="0"/>
    <n v="0.01"/>
    <n v="200"/>
    <n v="37.64"/>
    <n v="257.82"/>
    <n v="2024"/>
    <n v="4"/>
    <n v="2024"/>
    <n v="1"/>
    <s v="01"/>
    <x v="3"/>
    <x v="3"/>
    <n v="18042.18"/>
  </r>
  <r>
    <d v="2024-04-30T00:00:00"/>
    <s v="OPT-NIFFIN-30-Apr-2024-22050-C-E-I"/>
    <s v="NSE"/>
    <x v="1"/>
    <n v="400"/>
    <n v="0"/>
    <n v="31.95"/>
    <n v="12780"/>
    <s v="#202404303700024057"/>
    <n v="0"/>
    <n v="6.39"/>
    <n v="0"/>
    <n v="0.01"/>
    <n v="200"/>
    <n v="37.159999999999997"/>
    <n v="243.56"/>
    <n v="2024"/>
    <n v="4"/>
    <n v="2024"/>
    <n v="1"/>
    <s v="01"/>
    <x v="3"/>
    <x v="3"/>
    <n v="-13023.56"/>
  </r>
  <r>
    <d v="2024-05-02T00:00:00"/>
    <s v="OPT-NIFTY-02-May-2024-22650-P-E-I"/>
    <s v="NSE"/>
    <x v="0"/>
    <n v="500"/>
    <n v="0"/>
    <n v="17.25"/>
    <n v="8625"/>
    <s v="#202405023700023691"/>
    <n v="5"/>
    <n v="4.3099999999999996"/>
    <n v="0"/>
    <n v="0.01"/>
    <n v="400"/>
    <n v="72.78"/>
    <n v="482.1"/>
    <n v="2024"/>
    <n v="5"/>
    <n v="2024"/>
    <n v="2"/>
    <s v="02"/>
    <x v="4"/>
    <x v="4"/>
    <n v="8142.9"/>
  </r>
  <r>
    <d v="2024-05-02T00:00:00"/>
    <s v="OPT-NIFTY-02-May-2024-22650-P-E-I"/>
    <s v="NSE"/>
    <x v="1"/>
    <n v="250"/>
    <n v="0"/>
    <n v="17.149999999999999"/>
    <n v="4287.5"/>
    <s v="#202405023700022750"/>
    <n v="0"/>
    <n v="2.15"/>
    <n v="0"/>
    <n v="0"/>
    <n v="200"/>
    <n v="36.380000000000003"/>
    <n v="238.53"/>
    <n v="2024"/>
    <n v="5"/>
    <n v="2024"/>
    <n v="2"/>
    <s v="02"/>
    <x v="4"/>
    <x v="4"/>
    <n v="-4526.03"/>
  </r>
  <r>
    <d v="2024-05-02T00:00:00"/>
    <s v="OPT-NIFTY-02-May-2024-22650-P-E-I"/>
    <s v="NSE"/>
    <x v="1"/>
    <n v="250"/>
    <n v="0"/>
    <n v="20.3"/>
    <n v="5075"/>
    <s v="#202405023700022717"/>
    <n v="0"/>
    <n v="2.54"/>
    <n v="0"/>
    <n v="0"/>
    <n v="200"/>
    <n v="36.46"/>
    <n v="239"/>
    <n v="2024"/>
    <n v="5"/>
    <n v="2024"/>
    <n v="2"/>
    <s v="02"/>
    <x v="4"/>
    <x v="4"/>
    <n v="-5314"/>
  </r>
  <r>
    <d v="2024-05-06T00:00:00"/>
    <s v="OPT-CNXBAN-08-May-2024-48500-P-E-I"/>
    <s v="NSE"/>
    <x v="0"/>
    <n v="135"/>
    <n v="0"/>
    <n v="84.9"/>
    <n v="11461.5"/>
    <s v="#202405063700051514"/>
    <n v="6.68"/>
    <n v="5.73"/>
    <n v="0"/>
    <n v="0.01"/>
    <n v="180"/>
    <n v="33.44"/>
    <n v="225.86"/>
    <n v="2024"/>
    <n v="5"/>
    <n v="2024"/>
    <n v="2"/>
    <s v="02"/>
    <x v="4"/>
    <x v="4"/>
    <n v="11235.64"/>
  </r>
  <r>
    <d v="2024-05-06T00:00:00"/>
    <s v="OPT-CNXBAN-08-May-2024-48500-P-E-I"/>
    <s v="NSE"/>
    <x v="1"/>
    <n v="135"/>
    <n v="0"/>
    <n v="121.25"/>
    <n v="16368.75"/>
    <s v="#202405063700049716"/>
    <n v="0"/>
    <n v="8.18"/>
    <n v="0.49"/>
    <n v="0.02"/>
    <n v="180"/>
    <n v="33.880000000000003"/>
    <n v="222.57"/>
    <n v="2024"/>
    <n v="5"/>
    <n v="2024"/>
    <n v="2"/>
    <s v="02"/>
    <x v="4"/>
    <x v="4"/>
    <n v="-16591.32"/>
  </r>
  <r>
    <d v="2024-05-06T00:00:00"/>
    <s v="OPT-CNXBAN-08-May-2024-49200-C-E-I"/>
    <s v="NSE"/>
    <x v="0"/>
    <n v="60"/>
    <n v="0"/>
    <n v="195.25"/>
    <n v="11715"/>
    <s v="#202405063700049432"/>
    <n v="7.32"/>
    <n v="5.86"/>
    <n v="0"/>
    <n v="0.01"/>
    <n v="80"/>
    <n v="15.46"/>
    <n v="108.65"/>
    <n v="2024"/>
    <n v="5"/>
    <n v="2024"/>
    <n v="2"/>
    <s v="02"/>
    <x v="4"/>
    <x v="4"/>
    <n v="11606.35"/>
  </r>
  <r>
    <d v="2024-05-06T00:00:00"/>
    <s v="OPT-CNXBAN-08-May-2024-49200-C-E-I"/>
    <s v="NSE"/>
    <x v="1"/>
    <n v="30"/>
    <n v="0"/>
    <n v="229.5"/>
    <n v="6885"/>
    <s v="#202405063700045791"/>
    <n v="0"/>
    <n v="3.44"/>
    <n v="0.51"/>
    <n v="0.01"/>
    <n v="40"/>
    <n v="7.82"/>
    <n v="51.78"/>
    <n v="2024"/>
    <n v="5"/>
    <n v="2024"/>
    <n v="2"/>
    <s v="02"/>
    <x v="4"/>
    <x v="4"/>
    <n v="-6936.78"/>
  </r>
  <r>
    <d v="2024-05-06T00:00:00"/>
    <s v="OPT-CNXBAN-08-May-2024-49200-C-E-I"/>
    <s v="NSE"/>
    <x v="1"/>
    <n v="30"/>
    <n v="0"/>
    <n v="313.2"/>
    <n v="9396"/>
    <s v="#202405063700042400"/>
    <n v="0"/>
    <n v="4.7"/>
    <n v="0"/>
    <n v="0"/>
    <n v="40"/>
    <n v="8.0399999999999991"/>
    <n v="52.74"/>
    <n v="2024"/>
    <n v="5"/>
    <n v="2024"/>
    <n v="2"/>
    <s v="02"/>
    <x v="4"/>
    <x v="4"/>
    <n v="-9448.74"/>
  </r>
  <r>
    <d v="2024-05-07T00:00:00"/>
    <s v="OPT-CNXBAN-08-May-2024-49000-C-E-I"/>
    <s v="NSE"/>
    <x v="0"/>
    <n v="900"/>
    <n v="0"/>
    <n v="55.25"/>
    <n v="49725"/>
    <s v="#202405073700018858"/>
    <n v="31.55"/>
    <n v="24.86"/>
    <n v="0"/>
    <n v="0.04"/>
    <n v="1200"/>
    <n v="220.48"/>
    <n v="1476.93"/>
    <n v="2024"/>
    <n v="5"/>
    <n v="2024"/>
    <n v="2"/>
    <s v="02"/>
    <x v="4"/>
    <x v="4"/>
    <n v="48248.07"/>
  </r>
  <r>
    <d v="2024-05-07T00:00:00"/>
    <s v="OPT-CNXBAN-08-May-2024-49000-C-E-I"/>
    <s v="NSE"/>
    <x v="1"/>
    <n v="900"/>
    <n v="0"/>
    <n v="65.95"/>
    <n v="59355"/>
    <s v="#202405073700017930"/>
    <n v="0"/>
    <n v="29.68"/>
    <n v="0"/>
    <n v="0.06"/>
    <n v="1200"/>
    <n v="221.36"/>
    <n v="1451.1"/>
    <n v="2024"/>
    <n v="5"/>
    <n v="2024"/>
    <n v="2"/>
    <s v="02"/>
    <x v="4"/>
    <x v="4"/>
    <n v="-60806.1"/>
  </r>
  <r>
    <d v="2024-05-07T00:00:00"/>
    <s v="OPT-CNXBAN-08-May-2024-49000-C-E-I"/>
    <s v="NSE"/>
    <x v="0"/>
    <n v="900"/>
    <n v="0"/>
    <n v="61.25"/>
    <n v="55125"/>
    <s v="#202405073700014847"/>
    <n v="34.450000000000003"/>
    <n v="27.58"/>
    <n v="0"/>
    <n v="0.05"/>
    <n v="1200"/>
    <n v="220.98"/>
    <n v="1483.06"/>
    <n v="2024"/>
    <n v="5"/>
    <n v="2024"/>
    <n v="2"/>
    <s v="02"/>
    <x v="4"/>
    <x v="4"/>
    <n v="53641.94"/>
  </r>
  <r>
    <d v="2024-05-07T00:00:00"/>
    <s v="OPT-CNXBAN-08-May-2024-49000-C-E-I"/>
    <s v="NSE"/>
    <x v="1"/>
    <n v="900"/>
    <n v="0"/>
    <n v="91.25"/>
    <n v="82125"/>
    <s v="#202405073700011715"/>
    <n v="0"/>
    <n v="41.07"/>
    <n v="4"/>
    <n v="0.08"/>
    <n v="1200"/>
    <n v="223.42"/>
    <n v="1468.57"/>
    <n v="2024"/>
    <n v="5"/>
    <n v="2024"/>
    <n v="2"/>
    <s v="02"/>
    <x v="4"/>
    <x v="4"/>
    <n v="-83593.570000000007"/>
  </r>
  <r>
    <d v="2024-05-08T00:00:00"/>
    <s v="OPT-CNXBAN-08-May-2024-48100-P-E-I"/>
    <s v="NSE"/>
    <x v="0"/>
    <n v="210"/>
    <n v="0"/>
    <n v="157.25"/>
    <n v="33022.5"/>
    <s v="#202405083700014214"/>
    <n v="21"/>
    <n v="16.52"/>
    <n v="0"/>
    <n v="0.03"/>
    <n v="280"/>
    <n v="53.38"/>
    <n v="370.93"/>
    <n v="2024"/>
    <n v="5"/>
    <n v="2024"/>
    <n v="2"/>
    <s v="02"/>
    <x v="4"/>
    <x v="4"/>
    <n v="32651.57"/>
  </r>
  <r>
    <d v="2024-05-08T00:00:00"/>
    <s v="OPT-CNXBAN-08-May-2024-48100-P-E-I"/>
    <s v="NSE"/>
    <x v="1"/>
    <n v="210"/>
    <n v="0"/>
    <n v="127.37"/>
    <n v="26748"/>
    <s v="#202405083700006706"/>
    <n v="0"/>
    <n v="13.38"/>
    <n v="1"/>
    <n v="0.02"/>
    <n v="280"/>
    <n v="52.82"/>
    <n v="347.22"/>
    <n v="2024"/>
    <n v="5"/>
    <n v="2024"/>
    <n v="2"/>
    <s v="02"/>
    <x v="4"/>
    <x v="4"/>
    <n v="-27095.22"/>
  </r>
  <r>
    <d v="2024-05-09T00:00:00"/>
    <s v="OPT-CNXBAN-15-May-2024-48300-C-E-I"/>
    <s v="NSE"/>
    <x v="0"/>
    <n v="105"/>
    <n v="0"/>
    <n v="266.79000000000002"/>
    <n v="28013.25"/>
    <s v="#202405093700006756"/>
    <n v="17.25"/>
    <n v="14"/>
    <n v="0"/>
    <n v="0.02"/>
    <n v="140"/>
    <n v="27.72"/>
    <n v="198.99"/>
    <n v="2024"/>
    <n v="5"/>
    <n v="2024"/>
    <n v="2"/>
    <s v="02"/>
    <x v="4"/>
    <x v="4"/>
    <n v="27814.26"/>
  </r>
  <r>
    <d v="2024-05-09T00:00:00"/>
    <s v="OPT-CNXBAN-15-May-2024-48300-C-E-I"/>
    <s v="NSE"/>
    <x v="1"/>
    <n v="105"/>
    <n v="0"/>
    <n v="328.26"/>
    <n v="34467.75"/>
    <s v="#202405093700004861"/>
    <n v="0"/>
    <n v="17.23"/>
    <n v="2"/>
    <n v="0.03"/>
    <n v="140"/>
    <n v="28.3"/>
    <n v="187.56"/>
    <n v="2024"/>
    <n v="5"/>
    <n v="2024"/>
    <n v="2"/>
    <s v="02"/>
    <x v="4"/>
    <x v="4"/>
    <n v="-34655.31"/>
  </r>
  <r>
    <d v="2024-05-09T00:00:00"/>
    <s v="OPT-CNXBAN-15-May-2024-48300-C-E-I"/>
    <s v="NSE"/>
    <x v="0"/>
    <n v="105"/>
    <n v="0"/>
    <n v="331.25"/>
    <n v="34781.25"/>
    <s v="#202405093700002392"/>
    <n v="21.74"/>
    <n v="17.39"/>
    <n v="0"/>
    <n v="0.03"/>
    <n v="140"/>
    <n v="28.32"/>
    <n v="207.48"/>
    <n v="2024"/>
    <n v="5"/>
    <n v="2024"/>
    <n v="2"/>
    <s v="02"/>
    <x v="4"/>
    <x v="4"/>
    <n v="34573.769999999997"/>
  </r>
  <r>
    <d v="2024-05-09T00:00:00"/>
    <s v="OPT-CNXBAN-15-May-2024-48300-C-E-I"/>
    <s v="NSE"/>
    <x v="1"/>
    <n v="105"/>
    <n v="0"/>
    <n v="361"/>
    <n v="37905"/>
    <s v="#202405093700000908"/>
    <n v="0"/>
    <n v="18.95"/>
    <n v="0"/>
    <n v="0.05"/>
    <n v="140"/>
    <n v="28.6"/>
    <n v="187.6"/>
    <n v="2024"/>
    <n v="5"/>
    <n v="2024"/>
    <n v="2"/>
    <s v="02"/>
    <x v="4"/>
    <x v="4"/>
    <n v="-38092.6"/>
  </r>
  <r>
    <d v="2024-05-15T00:00:00"/>
    <s v="OPT-CNXBAN-15-May-2024-48000-C-E-I"/>
    <s v="NSE"/>
    <x v="0"/>
    <n v="900"/>
    <n v="0"/>
    <n v="6.55"/>
    <n v="5895"/>
    <s v="#202405153700018923"/>
    <n v="3.99"/>
    <n v="2.95"/>
    <n v="0"/>
    <n v="0"/>
    <n v="1200"/>
    <n v="216.52"/>
    <n v="1423.46"/>
    <n v="2024"/>
    <n v="5"/>
    <n v="2024"/>
    <n v="2"/>
    <s v="02"/>
    <x v="4"/>
    <x v="4"/>
    <n v="4471.54"/>
  </r>
  <r>
    <d v="2024-05-15T00:00:00"/>
    <s v="OPT-CNXBAN-15-May-2024-48000-C-E-I"/>
    <s v="NSE"/>
    <x v="1"/>
    <n v="900"/>
    <n v="0"/>
    <n v="12.15"/>
    <n v="10935"/>
    <s v="#202405153700015744"/>
    <n v="0"/>
    <n v="5.47"/>
    <n v="0"/>
    <n v="0.01"/>
    <n v="1200"/>
    <n v="216.98"/>
    <n v="1422.46"/>
    <n v="2024"/>
    <n v="5"/>
    <n v="2024"/>
    <n v="2"/>
    <s v="02"/>
    <x v="4"/>
    <x v="4"/>
    <n v="-12357.46"/>
  </r>
  <r>
    <d v="2024-05-28T00:00:00"/>
    <s v="OPT-CNXBAN-29-May-2024-49200-C-E-I"/>
    <s v="NSE"/>
    <x v="0"/>
    <n v="60"/>
    <n v="0"/>
    <n v="314.25"/>
    <n v="18855"/>
    <s v="#202405283700018918"/>
    <n v="12"/>
    <n v="9.43"/>
    <n v="0"/>
    <n v="0.02"/>
    <n v="80"/>
    <n v="16.100000000000001"/>
    <n v="117.55"/>
    <n v="2024"/>
    <n v="5"/>
    <n v="2024"/>
    <n v="2"/>
    <s v="02"/>
    <x v="4"/>
    <x v="4"/>
    <n v="18737.45"/>
  </r>
  <r>
    <d v="2024-05-28T00:00:00"/>
    <s v="OPT-CNXBAN-29-May-2024-49200-C-E-I"/>
    <s v="NSE"/>
    <x v="1"/>
    <n v="60"/>
    <n v="0"/>
    <n v="289.60000000000002"/>
    <n v="17376"/>
    <s v="#202405283700018833"/>
    <n v="0"/>
    <n v="8.69"/>
    <n v="1"/>
    <n v="0.02"/>
    <n v="80"/>
    <n v="15.96"/>
    <n v="105.67"/>
    <n v="2024"/>
    <n v="5"/>
    <n v="2024"/>
    <n v="2"/>
    <s v="02"/>
    <x v="4"/>
    <x v="4"/>
    <n v="-17481.669999999998"/>
  </r>
  <r>
    <d v="2024-05-29T00:00:00"/>
    <s v="OPT-CNXBAN-29-May-2024-48400-P-E-I"/>
    <s v="NSE"/>
    <x v="0"/>
    <n v="510"/>
    <n v="0"/>
    <n v="33.25"/>
    <n v="16957.5"/>
    <s v="#202405293700006389"/>
    <n v="11.01"/>
    <n v="8.49"/>
    <n v="0"/>
    <n v="0.01"/>
    <n v="680"/>
    <n v="123.94"/>
    <n v="823.45"/>
    <n v="2024"/>
    <n v="5"/>
    <n v="2024"/>
    <n v="2"/>
    <s v="02"/>
    <x v="4"/>
    <x v="4"/>
    <n v="16134.05"/>
  </r>
  <r>
    <d v="2024-05-29T00:00:00"/>
    <s v="OPT-CNXBAN-29-May-2024-48400-P-E-I"/>
    <s v="NSE"/>
    <x v="1"/>
    <n v="510"/>
    <n v="0"/>
    <n v="29"/>
    <n v="14790"/>
    <s v="#202405293700004625"/>
    <n v="0"/>
    <n v="7.4"/>
    <n v="0"/>
    <n v="0.01"/>
    <n v="680"/>
    <n v="123.74"/>
    <n v="811.15"/>
    <n v="2024"/>
    <n v="5"/>
    <n v="2024"/>
    <n v="2"/>
    <s v="02"/>
    <x v="4"/>
    <x v="4"/>
    <n v="-15601.15"/>
  </r>
  <r>
    <d v="2024-05-30T00:00:00"/>
    <s v="OPT-NIFTY-30-May-2024-22700-C-E-I"/>
    <s v="NSE"/>
    <x v="0"/>
    <n v="25"/>
    <n v="0"/>
    <n v="20.2"/>
    <n v="505"/>
    <s v="#202405303700011119"/>
    <n v="0.32"/>
    <n v="0.25"/>
    <n v="0"/>
    <n v="0"/>
    <n v="20"/>
    <n v="3.64"/>
    <n v="24.21"/>
    <n v="2024"/>
    <n v="5"/>
    <n v="2024"/>
    <n v="2"/>
    <s v="02"/>
    <x v="4"/>
    <x v="4"/>
    <n v="480.79"/>
  </r>
  <r>
    <d v="2024-05-30T00:00:00"/>
    <s v="OPT-NIFTY-30-May-2024-22700-C-E-I"/>
    <s v="NSE"/>
    <x v="0"/>
    <n v="25"/>
    <n v="0"/>
    <n v="24.3"/>
    <n v="607.5"/>
    <s v="#202405303700009416"/>
    <n v="0.68"/>
    <n v="0.3"/>
    <n v="0"/>
    <n v="0"/>
    <n v="20"/>
    <n v="3.66"/>
    <n v="24.64"/>
    <n v="2024"/>
    <n v="5"/>
    <n v="2024"/>
    <n v="2"/>
    <s v="02"/>
    <x v="4"/>
    <x v="4"/>
    <n v="582.86"/>
  </r>
  <r>
    <d v="2024-05-30T00:00:00"/>
    <s v="OPT-NIFTY-30-May-2024-22700-C-E-I"/>
    <s v="NSE"/>
    <x v="1"/>
    <n v="25"/>
    <n v="0"/>
    <n v="31.2"/>
    <n v="780"/>
    <s v="#202405303700006317"/>
    <n v="0"/>
    <n v="0.39"/>
    <n v="0"/>
    <n v="0"/>
    <n v="20"/>
    <n v="3.68"/>
    <n v="24.07"/>
    <n v="2024"/>
    <n v="5"/>
    <n v="2024"/>
    <n v="2"/>
    <s v="02"/>
    <x v="4"/>
    <x v="4"/>
    <n v="-804.07"/>
  </r>
  <r>
    <d v="2024-05-30T00:00:00"/>
    <s v="OPT-NIFTY-30-May-2024-22700-C-E-I"/>
    <s v="NSE"/>
    <x v="1"/>
    <n v="25"/>
    <n v="0"/>
    <n v="58.2"/>
    <n v="1455"/>
    <s v="#202405303700001910"/>
    <n v="0"/>
    <n v="0.73"/>
    <n v="0"/>
    <n v="0"/>
    <n v="20"/>
    <n v="3.74"/>
    <n v="24.47"/>
    <n v="2024"/>
    <n v="5"/>
    <n v="2024"/>
    <n v="2"/>
    <s v="02"/>
    <x v="4"/>
    <x v="4"/>
    <n v="-1479.47"/>
  </r>
  <r>
    <d v="2024-06-04T00:00:00"/>
    <s v="OPT-CNXBAN-05-Jun-2024-48500-P-E-I"/>
    <s v="NSE"/>
    <x v="0"/>
    <n v="75"/>
    <n v="0"/>
    <n v="710.25"/>
    <n v="53268.75"/>
    <s v="#202406043700012701"/>
    <n v="33"/>
    <n v="26.63"/>
    <n v="0"/>
    <n v="0.05"/>
    <n v="100"/>
    <n v="22.8"/>
    <n v="182.48"/>
    <n v="2024"/>
    <n v="6"/>
    <n v="2024"/>
    <n v="3"/>
    <s v="03"/>
    <x v="5"/>
    <x v="5"/>
    <n v="53086.27"/>
  </r>
  <r>
    <d v="2024-06-04T00:00:00"/>
    <s v="OPT-CNXBAN-05-Jun-2024-48500-P-E-I"/>
    <s v="NSE"/>
    <x v="1"/>
    <n v="60"/>
    <n v="0"/>
    <n v="520.5"/>
    <n v="31230"/>
    <s v="#202406043700005883"/>
    <n v="0"/>
    <n v="15.62"/>
    <n v="1"/>
    <n v="0.04"/>
    <n v="80"/>
    <n v="17.2"/>
    <n v="113.86"/>
    <n v="2024"/>
    <n v="6"/>
    <n v="2024"/>
    <n v="3"/>
    <s v="03"/>
    <x v="5"/>
    <x v="5"/>
    <n v="-31343.86"/>
  </r>
  <r>
    <d v="2024-06-04T00:00:00"/>
    <s v="OPT-CNXBAN-05-Jun-2024-48500-P-E-I"/>
    <s v="NSE"/>
    <x v="1"/>
    <n v="15"/>
    <n v="0"/>
    <n v="482.65"/>
    <n v="7239.75"/>
    <s v="#202406043700002587"/>
    <n v="0"/>
    <n v="3.62"/>
    <n v="0"/>
    <n v="0.01"/>
    <n v="20"/>
    <n v="4.26"/>
    <n v="27.89"/>
    <n v="2024"/>
    <n v="6"/>
    <n v="2024"/>
    <n v="3"/>
    <s v="03"/>
    <x v="5"/>
    <x v="5"/>
    <n v="-7267.64"/>
  </r>
  <r>
    <d v="2024-06-05T00:00:00"/>
    <s v="OPT-CNXBAN-05-Jun-2024-47800-C-E-I"/>
    <s v="NSE"/>
    <x v="0"/>
    <n v="75"/>
    <n v="0"/>
    <n v="360.25"/>
    <n v="27018.75"/>
    <s v="#202406053700025024"/>
    <n v="17"/>
    <n v="13.51"/>
    <n v="0"/>
    <n v="0.03"/>
    <n v="100"/>
    <n v="20.440000000000001"/>
    <n v="150.97999999999999"/>
    <n v="2024"/>
    <n v="6"/>
    <n v="2024"/>
    <n v="3"/>
    <s v="03"/>
    <x v="5"/>
    <x v="5"/>
    <n v="26867.77"/>
  </r>
  <r>
    <d v="2024-06-05T00:00:00"/>
    <s v="OPT-CNXBAN-05-Jun-2024-47800-C-E-I"/>
    <s v="NSE"/>
    <x v="1"/>
    <n v="75"/>
    <n v="0"/>
    <n v="311.64999999999998"/>
    <n v="23373.75"/>
    <s v="#202406053700017678"/>
    <n v="0"/>
    <n v="11.69"/>
    <n v="1"/>
    <n v="0.02"/>
    <n v="100"/>
    <n v="20.100000000000001"/>
    <n v="132.81"/>
    <n v="2024"/>
    <n v="6"/>
    <n v="2024"/>
    <n v="3"/>
    <s v="03"/>
    <x v="5"/>
    <x v="5"/>
    <n v="-23506.560000000001"/>
  </r>
  <r>
    <d v="2024-06-06T00:00:00"/>
    <s v="OPT-NIFTY-06-Jun-2024-22900-C-E-I"/>
    <s v="NSE"/>
    <x v="0"/>
    <n v="900"/>
    <n v="0"/>
    <n v="19.25"/>
    <n v="17325"/>
    <s v="#202406063700026553"/>
    <n v="10.82"/>
    <n v="8.66"/>
    <n v="0"/>
    <n v="0.01"/>
    <n v="720"/>
    <n v="131.16"/>
    <n v="870.65"/>
    <n v="2024"/>
    <n v="6"/>
    <n v="2024"/>
    <n v="3"/>
    <s v="03"/>
    <x v="5"/>
    <x v="5"/>
    <n v="16454.349999999999"/>
  </r>
  <r>
    <d v="2024-06-06T00:00:00"/>
    <s v="OPT-NIFTY-06-Jun-2024-22900-C-E-I"/>
    <s v="NSE"/>
    <x v="1"/>
    <n v="450"/>
    <n v="0"/>
    <n v="41.05"/>
    <n v="18472.5"/>
    <s v="#202406063700017792"/>
    <n v="0"/>
    <n v="9.24"/>
    <n v="1.29"/>
    <n v="0.02"/>
    <n v="360"/>
    <n v="66.459999999999994"/>
    <n v="437.01"/>
    <n v="2024"/>
    <n v="6"/>
    <n v="2024"/>
    <n v="3"/>
    <s v="03"/>
    <x v="5"/>
    <x v="5"/>
    <n v="-18909.509999999998"/>
  </r>
  <r>
    <d v="2024-06-06T00:00:00"/>
    <s v="OPT-NIFTY-06-Jun-2024-22900-C-E-I"/>
    <s v="NSE"/>
    <x v="1"/>
    <n v="225"/>
    <n v="0"/>
    <n v="58.25"/>
    <n v="13106.25"/>
    <s v="#202406063700015166"/>
    <n v="0"/>
    <n v="6.56"/>
    <n v="0"/>
    <n v="0.01"/>
    <n v="180"/>
    <n v="33.58"/>
    <n v="220.15"/>
    <n v="2024"/>
    <n v="6"/>
    <n v="2024"/>
    <n v="3"/>
    <s v="03"/>
    <x v="5"/>
    <x v="5"/>
    <n v="-13326.4"/>
  </r>
  <r>
    <d v="2024-06-06T00:00:00"/>
    <s v="OPT-NIFTY-06-Jun-2024-22900-C-E-I"/>
    <s v="NSE"/>
    <x v="1"/>
    <n v="225"/>
    <n v="0"/>
    <n v="63.25"/>
    <n v="14231.25"/>
    <s v="#202406063700013681"/>
    <n v="0"/>
    <n v="7.12"/>
    <n v="0"/>
    <n v="0.01"/>
    <n v="180"/>
    <n v="33.68"/>
    <n v="220.81"/>
    <n v="2024"/>
    <n v="6"/>
    <n v="2024"/>
    <n v="3"/>
    <s v="03"/>
    <x v="5"/>
    <x v="5"/>
    <n v="-14452.06"/>
  </r>
  <r>
    <d v="2024-06-06T00:00:00"/>
    <s v="OPT-CNXBAN-12-Jun-2024-49800-C-E-I"/>
    <s v="NSE"/>
    <x v="0"/>
    <n v="15"/>
    <n v="0"/>
    <n v="580"/>
    <n v="8700"/>
    <s v="#202406063700011347"/>
    <n v="5.44"/>
    <n v="4.3499999999999996"/>
    <n v="0"/>
    <n v="0.01"/>
    <n v="20"/>
    <n v="4.38"/>
    <n v="34.18"/>
    <n v="2024"/>
    <n v="6"/>
    <n v="2024"/>
    <n v="3"/>
    <s v="03"/>
    <x v="5"/>
    <x v="5"/>
    <n v="8665.82"/>
  </r>
  <r>
    <d v="2024-06-06T00:00:00"/>
    <s v="OPT-CNXBAN-12-Jun-2024-49800-C-E-I"/>
    <s v="NSE"/>
    <x v="1"/>
    <n v="15"/>
    <n v="0"/>
    <n v="539.85"/>
    <n v="8097.75"/>
    <s v="#202406063700009153"/>
    <n v="0"/>
    <n v="4.05"/>
    <n v="0.24"/>
    <n v="0.01"/>
    <n v="20"/>
    <n v="4.34"/>
    <n v="28.64"/>
    <n v="2024"/>
    <n v="6"/>
    <n v="2024"/>
    <n v="3"/>
    <s v="03"/>
    <x v="5"/>
    <x v="5"/>
    <n v="-8126.39"/>
  </r>
  <r>
    <d v="2024-06-06T00:00:00"/>
    <s v="OPT-NIFTY-06-Jun-2024-22650-C-E-I"/>
    <s v="NSE"/>
    <x v="0"/>
    <n v="125"/>
    <n v="0"/>
    <n v="155.25"/>
    <n v="19406.25"/>
    <s v="#202406063700001912"/>
    <n v="11.73"/>
    <n v="9.6999999999999993"/>
    <n v="0"/>
    <n v="0.02"/>
    <n v="100"/>
    <n v="19.739999999999998"/>
    <n v="141.19"/>
    <n v="2024"/>
    <n v="6"/>
    <n v="2024"/>
    <n v="3"/>
    <s v="03"/>
    <x v="5"/>
    <x v="5"/>
    <n v="19265.060000000001"/>
  </r>
  <r>
    <d v="2024-06-06T00:00:00"/>
    <s v="OPT-NIFTY-06-Jun-2024-22650-C-E-I"/>
    <s v="NSE"/>
    <x v="1"/>
    <n v="125"/>
    <n v="0"/>
    <n v="125.17"/>
    <n v="15646.25"/>
    <s v="#202406063700001493"/>
    <n v="0"/>
    <n v="7.82"/>
    <n v="0.47"/>
    <n v="0.02"/>
    <n v="100"/>
    <n v="19.399999999999999"/>
    <n v="127.71"/>
    <n v="2024"/>
    <n v="6"/>
    <n v="2024"/>
    <n v="3"/>
    <s v="03"/>
    <x v="5"/>
    <x v="5"/>
    <n v="-15773.96"/>
  </r>
  <r>
    <d v="2024-06-12T00:00:00"/>
    <s v="OPT-NIFTY-13-Jun-2024-23350-C-E-I"/>
    <s v="NSE"/>
    <x v="0"/>
    <n v="100"/>
    <n v="0"/>
    <n v="119.25"/>
    <n v="11925"/>
    <s v="#202406123700022328"/>
    <n v="7"/>
    <n v="5.96"/>
    <n v="0"/>
    <n v="0.01"/>
    <n v="80"/>
    <n v="15.46"/>
    <n v="108.43"/>
    <n v="2024"/>
    <n v="6"/>
    <n v="2024"/>
    <n v="3"/>
    <s v="03"/>
    <x v="5"/>
    <x v="5"/>
    <n v="11816.57"/>
  </r>
  <r>
    <d v="2024-06-12T00:00:00"/>
    <s v="OPT-NIFTY-13-Jun-2024-23350-C-E-I"/>
    <s v="NSE"/>
    <x v="1"/>
    <n v="100"/>
    <n v="0"/>
    <n v="138.6"/>
    <n v="13860"/>
    <s v="#202406123700013173"/>
    <n v="0"/>
    <n v="6.93"/>
    <n v="0"/>
    <n v="0.01"/>
    <n v="80"/>
    <n v="15.64"/>
    <n v="102.58"/>
    <n v="2024"/>
    <n v="6"/>
    <n v="2024"/>
    <n v="3"/>
    <s v="03"/>
    <x v="5"/>
    <x v="5"/>
    <n v="-13962.58"/>
  </r>
  <r>
    <d v="2024-06-13T00:00:00"/>
    <s v="OPT-CNXBAN-19-Jun-2024-50000-C-E-I"/>
    <s v="NSE"/>
    <x v="0"/>
    <n v="45"/>
    <n v="0"/>
    <n v="290.25"/>
    <n v="13061.25"/>
    <s v="#202406133700021077"/>
    <n v="7.78"/>
    <n v="6.53"/>
    <n v="0"/>
    <n v="0.01"/>
    <n v="60"/>
    <n v="11.98"/>
    <n v="86.3"/>
    <n v="2024"/>
    <n v="6"/>
    <n v="2024"/>
    <n v="3"/>
    <s v="03"/>
    <x v="5"/>
    <x v="5"/>
    <n v="12974.95"/>
  </r>
  <r>
    <d v="2024-06-13T00:00:00"/>
    <s v="OPT-CNXBAN-19-Jun-2024-50000-C-E-I"/>
    <s v="NSE"/>
    <x v="1"/>
    <n v="45"/>
    <n v="0"/>
    <n v="360.4"/>
    <n v="16218"/>
    <s v="#202406133700014581"/>
    <n v="0"/>
    <n v="8.11"/>
    <n v="0.7"/>
    <n v="0.02"/>
    <n v="60"/>
    <n v="12.26"/>
    <n v="81.09"/>
    <n v="2024"/>
    <n v="6"/>
    <n v="2024"/>
    <n v="3"/>
    <s v="03"/>
    <x v="5"/>
    <x v="5"/>
    <n v="-16299.09"/>
  </r>
  <r>
    <d v="2024-06-13T00:00:00"/>
    <s v="OPT-NIFTY-13-Jun-2024-23500-P-E-I"/>
    <s v="NSE"/>
    <x v="0"/>
    <n v="100"/>
    <n v="0"/>
    <n v="131.55000000000001"/>
    <n v="13155"/>
    <s v="#202406133700003896"/>
    <n v="8.2200000000000006"/>
    <n v="6.58"/>
    <n v="0"/>
    <n v="0.01"/>
    <n v="80"/>
    <n v="15.58"/>
    <n v="110.39"/>
    <n v="2024"/>
    <n v="6"/>
    <n v="2024"/>
    <n v="3"/>
    <s v="03"/>
    <x v="5"/>
    <x v="5"/>
    <n v="13044.61"/>
  </r>
  <r>
    <d v="2024-06-13T00:00:00"/>
    <s v="OPT-NIFTY-13-Jun-2024-23500-P-E-I"/>
    <s v="NSE"/>
    <x v="1"/>
    <n v="100"/>
    <n v="0"/>
    <n v="100.19"/>
    <n v="10018.75"/>
    <s v="#202406133700001549"/>
    <n v="0"/>
    <n v="5.01"/>
    <n v="0.3"/>
    <n v="0.01"/>
    <n v="80"/>
    <n v="15.3"/>
    <n v="100.62"/>
    <n v="2024"/>
    <n v="6"/>
    <n v="2024"/>
    <n v="3"/>
    <s v="03"/>
    <x v="5"/>
    <x v="5"/>
    <n v="-10119.370000000001"/>
  </r>
  <r>
    <d v="2024-06-24T00:00:00"/>
    <s v="OPT-NIFSEL-24-Jun-2024-12100-P-E-I"/>
    <s v="NSE"/>
    <x v="0"/>
    <n v="150"/>
    <n v="0"/>
    <n v="9"/>
    <n v="1350"/>
    <s v="#202406243700014822"/>
    <n v="1"/>
    <n v="0.68"/>
    <n v="0"/>
    <n v="0"/>
    <n v="40"/>
    <n v="7.32"/>
    <n v="49"/>
    <n v="2024"/>
    <n v="6"/>
    <n v="2024"/>
    <n v="3"/>
    <s v="03"/>
    <x v="5"/>
    <x v="5"/>
    <n v="1301"/>
  </r>
  <r>
    <d v="2024-06-24T00:00:00"/>
    <s v="OPT-NIFSEL-24-Jun-2024-12100-P-E-I"/>
    <s v="NSE"/>
    <x v="1"/>
    <n v="75"/>
    <n v="0"/>
    <n v="31.25"/>
    <n v="2343.75"/>
    <s v="#202406243700008253"/>
    <n v="0"/>
    <n v="1.17"/>
    <n v="0"/>
    <n v="0"/>
    <n v="20"/>
    <n v="3.82"/>
    <n v="24.99"/>
    <n v="2024"/>
    <n v="6"/>
    <n v="2024"/>
    <n v="3"/>
    <s v="03"/>
    <x v="5"/>
    <x v="5"/>
    <n v="-2368.7399999999998"/>
  </r>
  <r>
    <d v="2024-06-24T00:00:00"/>
    <s v="OPT-NIFSEL-24-Jun-2024-12100-P-E-I"/>
    <s v="NSE"/>
    <x v="1"/>
    <n v="75"/>
    <n v="0"/>
    <n v="70.3"/>
    <n v="5272.5"/>
    <s v="#202406243700002933"/>
    <n v="0"/>
    <n v="2.64"/>
    <n v="0"/>
    <n v="0.01"/>
    <n v="20"/>
    <n v="4.08"/>
    <n v="26.73"/>
    <n v="2024"/>
    <n v="6"/>
    <n v="2024"/>
    <n v="3"/>
    <s v="03"/>
    <x v="5"/>
    <x v="5"/>
    <n v="-5299.23"/>
  </r>
  <r>
    <d v="2024-07-02T00:00:00"/>
    <s v="OPT-CNXBAN-03-Jul-2024-52300-C-E-I"/>
    <s v="NSE"/>
    <x v="0"/>
    <n v="105"/>
    <n v="0"/>
    <n v="192.2"/>
    <n v="20181"/>
    <s v="#202407023700026525"/>
    <n v="12.62"/>
    <n v="10.09"/>
    <n v="0"/>
    <n v="0.02"/>
    <n v="140"/>
    <n v="27.02"/>
    <n v="189.75"/>
    <n v="2024"/>
    <n v="7"/>
    <n v="2024"/>
    <n v="4"/>
    <s v="04"/>
    <x v="6"/>
    <x v="6"/>
    <n v="19991.25"/>
  </r>
  <r>
    <d v="2024-07-02T00:00:00"/>
    <s v="OPT-CNXBAN-03-Jul-2024-52300-C-E-I"/>
    <s v="NSE"/>
    <x v="1"/>
    <n v="105"/>
    <n v="0"/>
    <n v="252"/>
    <n v="26460"/>
    <s v="#202407023700024978"/>
    <n v="0"/>
    <n v="13.23"/>
    <n v="0.4"/>
    <n v="0.03"/>
    <n v="140"/>
    <n v="27.58"/>
    <n v="181.24"/>
    <n v="2024"/>
    <n v="7"/>
    <n v="2024"/>
    <n v="4"/>
    <s v="04"/>
    <x v="6"/>
    <x v="6"/>
    <n v="-26641.24"/>
  </r>
  <r>
    <d v="2024-07-02T00:00:00"/>
    <s v="OPT-CNXBAN-03-Jul-2024-52100-P-E-I"/>
    <s v="NSE"/>
    <x v="0"/>
    <n v="105"/>
    <n v="0"/>
    <n v="150"/>
    <n v="15750"/>
    <s v="#202407023700024661"/>
    <n v="9.39"/>
    <n v="7.88"/>
    <n v="0"/>
    <n v="0.02"/>
    <n v="140"/>
    <n v="26.62"/>
    <n v="183.91"/>
    <n v="2024"/>
    <n v="7"/>
    <n v="2024"/>
    <n v="4"/>
    <s v="04"/>
    <x v="6"/>
    <x v="6"/>
    <n v="15566.09"/>
  </r>
  <r>
    <d v="2024-07-02T00:00:00"/>
    <s v="OPT-CNXBAN-03-Jul-2024-52100-P-E-I"/>
    <s v="NSE"/>
    <x v="1"/>
    <n v="105"/>
    <n v="0"/>
    <n v="191"/>
    <n v="20055"/>
    <s v="#202407023700024209"/>
    <n v="0"/>
    <n v="10.029999999999999"/>
    <n v="0.6"/>
    <n v="0.02"/>
    <n v="140"/>
    <n v="27"/>
    <n v="177.65"/>
    <n v="2024"/>
    <n v="7"/>
    <n v="2024"/>
    <n v="4"/>
    <s v="04"/>
    <x v="6"/>
    <x v="6"/>
    <n v="-20232.650000000001"/>
  </r>
  <r>
    <d v="2024-07-03T00:00:00"/>
    <s v="OPT-CNXBAN-03-Jul-2024-53000-P-E-I"/>
    <s v="NSE"/>
    <x v="0"/>
    <n v="900"/>
    <n v="0"/>
    <n v="27.25"/>
    <n v="24525"/>
    <s v="#202407033700026505"/>
    <n v="15.03"/>
    <n v="12.24"/>
    <n v="0"/>
    <n v="0"/>
    <n v="1200"/>
    <n v="218.26"/>
    <n v="1445.53"/>
    <n v="2024"/>
    <n v="7"/>
    <n v="2024"/>
    <n v="4"/>
    <s v="04"/>
    <x v="6"/>
    <x v="6"/>
    <n v="23079.47"/>
  </r>
  <r>
    <d v="2024-07-03T00:00:00"/>
    <s v="OPT-CNXBAN-03-Jul-2024-53000-P-E-I"/>
    <s v="NSE"/>
    <x v="1"/>
    <n v="900"/>
    <n v="0"/>
    <n v="22"/>
    <n v="19800"/>
    <s v="#202407033700026043"/>
    <n v="0"/>
    <n v="9.91"/>
    <n v="1"/>
    <n v="0.02"/>
    <n v="1200"/>
    <n v="217.8"/>
    <n v="1428.73"/>
    <n v="2024"/>
    <n v="7"/>
    <n v="2024"/>
    <n v="4"/>
    <s v="04"/>
    <x v="6"/>
    <x v="6"/>
    <n v="-21228.73"/>
  </r>
  <r>
    <d v="2024-07-04T00:00:00"/>
    <s v="OPT-CNXBAN-10-Jul-2024-53100-P-E-I"/>
    <s v="NSE"/>
    <x v="0"/>
    <n v="120"/>
    <n v="0"/>
    <n v="547.29999999999995"/>
    <n v="65676"/>
    <s v="#202407043700011781"/>
    <n v="41"/>
    <n v="32.83"/>
    <n v="0"/>
    <n v="7.0000000000000007E-2"/>
    <n v="160"/>
    <n v="34.72"/>
    <n v="268.62"/>
    <n v="2024"/>
    <n v="7"/>
    <n v="2024"/>
    <n v="4"/>
    <s v="04"/>
    <x v="6"/>
    <x v="6"/>
    <n v="65407.38"/>
  </r>
  <r>
    <d v="2024-07-04T00:00:00"/>
    <s v="OPT-CNXBAN-10-Jul-2024-53100-P-E-I"/>
    <s v="NSE"/>
    <x v="1"/>
    <n v="60"/>
    <n v="0"/>
    <n v="384"/>
    <n v="23040"/>
    <s v="#202407043700005510"/>
    <n v="0"/>
    <n v="11.52"/>
    <n v="0"/>
    <n v="0.02"/>
    <n v="80"/>
    <n v="16.48"/>
    <n v="108.02"/>
    <n v="2024"/>
    <n v="7"/>
    <n v="2024"/>
    <n v="4"/>
    <s v="04"/>
    <x v="6"/>
    <x v="6"/>
    <n v="-23148.02"/>
  </r>
  <r>
    <d v="2024-07-04T00:00:00"/>
    <s v="OPT-CNXBAN-10-Jul-2024-53100-P-E-I"/>
    <s v="NSE"/>
    <x v="1"/>
    <n v="60"/>
    <n v="0"/>
    <n v="473.2"/>
    <n v="28392"/>
    <s v="#202407043700001154"/>
    <n v="0"/>
    <n v="14.2"/>
    <n v="2"/>
    <n v="0.03"/>
    <n v="80"/>
    <n v="16.96"/>
    <n v="113.19"/>
    <n v="2024"/>
    <n v="7"/>
    <n v="2024"/>
    <n v="4"/>
    <s v="04"/>
    <x v="6"/>
    <x v="6"/>
    <n v="-28505.19"/>
  </r>
  <r>
    <d v="2024-07-05T00:00:00"/>
    <s v="OPT-CNXBAN-10-Jul-2024-52500-C-E-I"/>
    <s v="NSE"/>
    <x v="0"/>
    <n v="75"/>
    <n v="0"/>
    <n v="394.25"/>
    <n v="29568.75"/>
    <s v="#202407053700014938"/>
    <n v="18"/>
    <n v="14.78"/>
    <n v="0"/>
    <n v="0.03"/>
    <n v="100"/>
    <n v="20.66"/>
    <n v="153.47"/>
    <n v="2024"/>
    <n v="7"/>
    <n v="2024"/>
    <n v="4"/>
    <s v="04"/>
    <x v="6"/>
    <x v="6"/>
    <n v="29415.279999999999"/>
  </r>
  <r>
    <d v="2024-07-05T00:00:00"/>
    <s v="OPT-CNXBAN-10-Jul-2024-52500-C-E-I"/>
    <s v="NSE"/>
    <x v="1"/>
    <n v="75"/>
    <n v="0"/>
    <n v="424.75"/>
    <n v="31856.25"/>
    <s v="#202407053700010353"/>
    <n v="0"/>
    <n v="15.93"/>
    <n v="1"/>
    <n v="0.04"/>
    <n v="100"/>
    <n v="20.88"/>
    <n v="137.85"/>
    <n v="2024"/>
    <n v="7"/>
    <n v="2024"/>
    <n v="4"/>
    <s v="04"/>
    <x v="6"/>
    <x v="6"/>
    <n v="-31994.1"/>
  </r>
  <r>
    <d v="2024-07-08T00:00:00"/>
    <s v="OPT-CNXBAN-10-Jul-2024-52600-C-E-I"/>
    <s v="NSE"/>
    <x v="0"/>
    <n v="45"/>
    <n v="0"/>
    <n v="279.25"/>
    <n v="12566.25"/>
    <s v="#202407083700006549"/>
    <n v="8"/>
    <n v="6.28"/>
    <n v="0"/>
    <n v="0.01"/>
    <n v="60"/>
    <n v="11.94"/>
    <n v="86.23"/>
    <n v="2024"/>
    <n v="7"/>
    <n v="2024"/>
    <n v="4"/>
    <s v="04"/>
    <x v="6"/>
    <x v="6"/>
    <n v="12480.02"/>
  </r>
  <r>
    <d v="2024-07-08T00:00:00"/>
    <s v="OPT-CNXBAN-10-Jul-2024-52600-C-E-I"/>
    <s v="NSE"/>
    <x v="1"/>
    <n v="45"/>
    <n v="0"/>
    <n v="222"/>
    <n v="9990"/>
    <s v="#202407083700004851"/>
    <n v="0"/>
    <n v="5"/>
    <n v="0"/>
    <n v="0.01"/>
    <n v="60"/>
    <n v="11.7"/>
    <n v="76.709999999999994"/>
    <n v="2024"/>
    <n v="7"/>
    <n v="2024"/>
    <n v="4"/>
    <s v="04"/>
    <x v="6"/>
    <x v="6"/>
    <n v="-10066.709999999999"/>
  </r>
  <r>
    <d v="2024-07-09T00:00:00"/>
    <s v="OPT-CNXBAN-10-Jul-2024-52600-P-E-I"/>
    <s v="NSE"/>
    <x v="0"/>
    <n v="30"/>
    <n v="0"/>
    <n v="218.25"/>
    <n v="6547.5"/>
    <s v="#202407093700011453"/>
    <n v="3.74"/>
    <n v="3.27"/>
    <n v="0"/>
    <n v="0.01"/>
    <n v="40"/>
    <n v="7.8"/>
    <n v="54.82"/>
    <n v="2024"/>
    <n v="7"/>
    <n v="2024"/>
    <n v="4"/>
    <s v="04"/>
    <x v="6"/>
    <x v="6"/>
    <n v="6492.68"/>
  </r>
  <r>
    <d v="2024-07-09T00:00:00"/>
    <s v="OPT-NIFTY-11-Jul-2024-24300-C-E-I"/>
    <s v="NSE"/>
    <x v="0"/>
    <n v="125"/>
    <n v="0"/>
    <n v="156.9"/>
    <n v="19612.5"/>
    <s v="#202407093700011257"/>
    <n v="12.26"/>
    <n v="9.81"/>
    <n v="0"/>
    <n v="0.02"/>
    <n v="100"/>
    <n v="19.78"/>
    <n v="141.87"/>
    <n v="2024"/>
    <n v="7"/>
    <n v="2024"/>
    <n v="4"/>
    <s v="04"/>
    <x v="6"/>
    <x v="6"/>
    <n v="19470.63"/>
  </r>
  <r>
    <d v="2024-07-09T00:00:00"/>
    <s v="OPT-CNXBAN-10-Jul-2024-52600-P-E-I"/>
    <s v="NSE"/>
    <x v="1"/>
    <n v="30"/>
    <n v="0"/>
    <n v="198.1"/>
    <n v="5943"/>
    <s v="#202407093700011156"/>
    <n v="0"/>
    <n v="2.97"/>
    <n v="0.18"/>
    <n v="0.01"/>
    <n v="40"/>
    <n v="7.74"/>
    <n v="50.9"/>
    <n v="2024"/>
    <n v="7"/>
    <n v="2024"/>
    <n v="4"/>
    <s v="04"/>
    <x v="6"/>
    <x v="6"/>
    <n v="-5993.9"/>
  </r>
  <r>
    <d v="2024-07-09T00:00:00"/>
    <s v="OPT-NIFTY-11-Jul-2024-24300-C-E-I"/>
    <s v="NSE"/>
    <x v="1"/>
    <n v="125"/>
    <n v="0"/>
    <n v="152.25"/>
    <n v="19031.25"/>
    <s v="#202407093700008695"/>
    <n v="0"/>
    <n v="9.52"/>
    <n v="0.82"/>
    <n v="0.02"/>
    <n v="100"/>
    <n v="19.7"/>
    <n v="130.06"/>
    <n v="2024"/>
    <n v="7"/>
    <n v="2024"/>
    <n v="4"/>
    <s v="04"/>
    <x v="6"/>
    <x v="6"/>
    <n v="-19161.310000000001"/>
  </r>
  <r>
    <d v="2024-07-10T00:00:00"/>
    <s v="OPT-CNXBAN-10-Jul-2024-52100-P-E-I"/>
    <s v="NSE"/>
    <x v="0"/>
    <n v="210"/>
    <n v="0"/>
    <n v="109"/>
    <n v="22890"/>
    <s v="#202407103700011144"/>
    <n v="14"/>
    <n v="11.45"/>
    <n v="0"/>
    <n v="0.03"/>
    <n v="280"/>
    <n v="52.48"/>
    <n v="357.96"/>
    <n v="2024"/>
    <n v="7"/>
    <n v="2024"/>
    <n v="4"/>
    <s v="04"/>
    <x v="6"/>
    <x v="6"/>
    <n v="22532.04"/>
  </r>
  <r>
    <d v="2024-07-10T00:00:00"/>
    <s v="OPT-CNXBAN-10-Jul-2024-52100-P-E-I"/>
    <s v="NSE"/>
    <x v="1"/>
    <n v="105"/>
    <n v="0"/>
    <n v="70.25"/>
    <n v="7376.25"/>
    <s v="#202407103700010063"/>
    <n v="0"/>
    <n v="3.69"/>
    <n v="1"/>
    <n v="0.01"/>
    <n v="140"/>
    <n v="25.86"/>
    <n v="170.56"/>
    <n v="2024"/>
    <n v="7"/>
    <n v="2024"/>
    <n v="4"/>
    <s v="04"/>
    <x v="6"/>
    <x v="6"/>
    <n v="-7546.81"/>
  </r>
  <r>
    <d v="2024-07-10T00:00:00"/>
    <s v="OPT-CNXBAN-10-Jul-2024-52100-P-E-I"/>
    <s v="NSE"/>
    <x v="1"/>
    <n v="105"/>
    <n v="0"/>
    <n v="90"/>
    <n v="9450"/>
    <s v="#202407103700009739"/>
    <n v="0"/>
    <n v="4.7300000000000004"/>
    <n v="0"/>
    <n v="0.01"/>
    <n v="140"/>
    <n v="26.06"/>
    <n v="170.8"/>
    <n v="2024"/>
    <n v="7"/>
    <n v="2024"/>
    <n v="4"/>
    <s v="04"/>
    <x v="6"/>
    <x v="6"/>
    <n v="-9620.7999999999993"/>
  </r>
  <r>
    <d v="2024-07-11T00:00:00"/>
    <s v="OPT-CNXBAN-16-Jul-2024-52100-P-E-I"/>
    <s v="NSE"/>
    <x v="0"/>
    <n v="60"/>
    <n v="0"/>
    <n v="445.25"/>
    <n v="26715"/>
    <s v="#202407113700008862"/>
    <n v="17"/>
    <n v="13.36"/>
    <n v="0"/>
    <n v="0.03"/>
    <n v="80"/>
    <n v="16.82"/>
    <n v="127.21"/>
    <n v="2024"/>
    <n v="7"/>
    <n v="2024"/>
    <n v="4"/>
    <s v="04"/>
    <x v="6"/>
    <x v="6"/>
    <n v="26587.79"/>
  </r>
  <r>
    <d v="2024-07-11T00:00:00"/>
    <s v="OPT-CNXBAN-16-Jul-2024-52100-P-E-I"/>
    <s v="NSE"/>
    <x v="1"/>
    <n v="60"/>
    <n v="0"/>
    <n v="305.25"/>
    <n v="18315"/>
    <s v="#202407113700003655"/>
    <n v="0"/>
    <n v="9.16"/>
    <n v="1"/>
    <n v="0.01"/>
    <n v="80"/>
    <n v="16.059999999999999"/>
    <n v="106.23"/>
    <n v="2024"/>
    <n v="7"/>
    <n v="2024"/>
    <n v="4"/>
    <s v="04"/>
    <x v="6"/>
    <x v="6"/>
    <n v="-18421.23"/>
  </r>
  <r>
    <d v="2024-07-12T00:00:00"/>
    <s v="OPT-CNXBAN-16-Jul-2024-52600-P-E-I"/>
    <s v="NSE"/>
    <x v="0"/>
    <n v="75"/>
    <n v="0"/>
    <n v="346.25"/>
    <n v="25968.75"/>
    <s v="#202407123700015606"/>
    <n v="16"/>
    <n v="12.98"/>
    <n v="0"/>
    <n v="0.03"/>
    <n v="100"/>
    <n v="20.34"/>
    <n v="149.35"/>
    <n v="2024"/>
    <n v="7"/>
    <n v="2024"/>
    <n v="4"/>
    <s v="04"/>
    <x v="6"/>
    <x v="6"/>
    <n v="25819.4"/>
  </r>
  <r>
    <d v="2024-07-12T00:00:00"/>
    <s v="OPT-CNXBAN-16-Jul-2024-52600-P-E-I"/>
    <s v="NSE"/>
    <x v="1"/>
    <n v="75"/>
    <n v="0"/>
    <n v="326.05"/>
    <n v="24453.75"/>
    <s v="#202407123700013084"/>
    <n v="0"/>
    <n v="12.23"/>
    <n v="1"/>
    <n v="0.02"/>
    <n v="100"/>
    <n v="20.2"/>
    <n v="133.44999999999999"/>
    <n v="2024"/>
    <n v="7"/>
    <n v="2024"/>
    <n v="4"/>
    <s v="04"/>
    <x v="6"/>
    <x v="6"/>
    <n v="-24587.200000000001"/>
  </r>
  <r>
    <d v="2024-07-15T00:00:00"/>
    <s v="OPT-CNXBAN-16-Jul-2024-52500-C-E-I"/>
    <s v="NSE"/>
    <x v="0"/>
    <n v="75"/>
    <n v="0"/>
    <n v="175.25"/>
    <n v="13143.75"/>
    <s v="#202407153700010258"/>
    <n v="8"/>
    <n v="6.57"/>
    <n v="0"/>
    <n v="0.01"/>
    <n v="100"/>
    <n v="19.18"/>
    <n v="133.76"/>
    <n v="2024"/>
    <n v="7"/>
    <n v="2024"/>
    <n v="4"/>
    <s v="04"/>
    <x v="6"/>
    <x v="6"/>
    <n v="13009.99"/>
  </r>
  <r>
    <d v="2024-07-15T00:00:00"/>
    <s v="OPT-CNXBAN-16-Jul-2024-52500-C-E-I"/>
    <s v="NSE"/>
    <x v="1"/>
    <n v="15"/>
    <n v="0"/>
    <n v="140.25"/>
    <n v="2103.75"/>
    <s v="#202407153700004138"/>
    <n v="0"/>
    <n v="1.05"/>
    <n v="0"/>
    <n v="0"/>
    <n v="20"/>
    <n v="3.78"/>
    <n v="24.83"/>
    <n v="2024"/>
    <n v="7"/>
    <n v="2024"/>
    <n v="4"/>
    <s v="04"/>
    <x v="6"/>
    <x v="6"/>
    <n v="-2128.58"/>
  </r>
  <r>
    <d v="2024-07-15T00:00:00"/>
    <s v="OPT-CNXBAN-16-Jul-2024-52500-C-E-I"/>
    <s v="NSE"/>
    <x v="1"/>
    <n v="15"/>
    <n v="0"/>
    <n v="180"/>
    <n v="2700"/>
    <s v="#202407153700002786"/>
    <n v="0"/>
    <n v="1.35"/>
    <n v="0"/>
    <n v="0"/>
    <n v="20"/>
    <n v="3.84"/>
    <n v="25.19"/>
    <n v="2024"/>
    <n v="7"/>
    <n v="2024"/>
    <n v="4"/>
    <s v="04"/>
    <x v="6"/>
    <x v="6"/>
    <n v="-2725.19"/>
  </r>
  <r>
    <d v="2024-07-15T00:00:00"/>
    <s v="OPT-CNXBAN-16-Jul-2024-52500-C-E-I"/>
    <s v="NSE"/>
    <x v="1"/>
    <n v="45"/>
    <n v="0"/>
    <n v="216.5"/>
    <n v="9742.5"/>
    <s v="#202407153700002087"/>
    <n v="0"/>
    <n v="4.87"/>
    <n v="0"/>
    <n v="0.01"/>
    <n v="60"/>
    <n v="11.68"/>
    <n v="76.56"/>
    <n v="2024"/>
    <n v="7"/>
    <n v="2024"/>
    <n v="4"/>
    <s v="04"/>
    <x v="6"/>
    <x v="6"/>
    <n v="-9819.06"/>
  </r>
  <r>
    <d v="2024-07-16T00:00:00"/>
    <s v="OPT-CNXBAN-16-Jul-2024-52500-P-E-I"/>
    <s v="NSE"/>
    <x v="0"/>
    <n v="150"/>
    <n v="0"/>
    <n v="99.25"/>
    <n v="14887.5"/>
    <s v="#202407163700011252"/>
    <n v="8.81"/>
    <n v="7.44"/>
    <n v="0"/>
    <n v="0.01"/>
    <n v="200"/>
    <n v="37.340000000000003"/>
    <n v="253.6"/>
    <n v="2024"/>
    <n v="7"/>
    <n v="2024"/>
    <n v="4"/>
    <s v="04"/>
    <x v="6"/>
    <x v="6"/>
    <n v="14633.9"/>
  </r>
  <r>
    <d v="2024-07-16T00:00:00"/>
    <s v="OPT-CNXBAN-16-Jul-2024-52500-P-E-I"/>
    <s v="NSE"/>
    <x v="1"/>
    <n v="75"/>
    <n v="0"/>
    <n v="142.25"/>
    <n v="10668.75"/>
    <s v="#202407163700007196"/>
    <n v="0"/>
    <n v="5.33"/>
    <n v="0"/>
    <n v="0.01"/>
    <n v="100"/>
    <n v="18.96"/>
    <n v="124.3"/>
    <n v="2024"/>
    <n v="7"/>
    <n v="2024"/>
    <n v="4"/>
    <s v="04"/>
    <x v="6"/>
    <x v="6"/>
    <n v="-10793.05"/>
  </r>
  <r>
    <d v="2024-07-16T00:00:00"/>
    <s v="OPT-CNXBAN-16-Jul-2024-52500-P-E-I"/>
    <s v="NSE"/>
    <x v="1"/>
    <n v="75"/>
    <n v="0"/>
    <n v="190"/>
    <n v="14250"/>
    <s v="#202407163700006591"/>
    <n v="0"/>
    <n v="7.13"/>
    <n v="0.37"/>
    <n v="0.01"/>
    <n v="100"/>
    <n v="19.28"/>
    <n v="126.79"/>
    <n v="2024"/>
    <n v="7"/>
    <n v="2024"/>
    <n v="4"/>
    <s v="04"/>
    <x v="6"/>
    <x v="6"/>
    <n v="-14376.79"/>
  </r>
  <r>
    <d v="2024-07-16T00:00:00"/>
    <s v="OPT-CNXBAN-16-Jul-2024-52600-P-E-I"/>
    <s v="NSE"/>
    <x v="0"/>
    <n v="90"/>
    <n v="0"/>
    <n v="252.25"/>
    <n v="22702.5"/>
    <s v="#202407163700002279"/>
    <n v="14.18"/>
    <n v="11.35"/>
    <n v="0"/>
    <n v="0.02"/>
    <n v="120"/>
    <n v="23.64"/>
    <n v="169.19"/>
    <n v="2024"/>
    <n v="7"/>
    <n v="2024"/>
    <n v="4"/>
    <s v="04"/>
    <x v="6"/>
    <x v="6"/>
    <n v="22533.31"/>
  </r>
  <r>
    <d v="2024-07-16T00:00:00"/>
    <s v="OPT-CNXBAN-16-Jul-2024-52600-P-E-I"/>
    <s v="NSE"/>
    <x v="1"/>
    <n v="90"/>
    <n v="0"/>
    <n v="232.05"/>
    <n v="20884.5"/>
    <s v="#202407163700002137"/>
    <n v="0"/>
    <n v="10.44"/>
    <n v="0.63"/>
    <n v="0.02"/>
    <n v="120"/>
    <n v="23.48"/>
    <n v="154.57"/>
    <n v="2024"/>
    <n v="7"/>
    <n v="2024"/>
    <n v="4"/>
    <s v="04"/>
    <x v="6"/>
    <x v="6"/>
    <n v="-21039.07"/>
  </r>
  <r>
    <d v="2024-07-18T00:00:00"/>
    <s v="OPT-NIFTY-18-Jul-2024-24500-P-E-I"/>
    <s v="NSE"/>
    <x v="0"/>
    <n v="900"/>
    <n v="0"/>
    <n v="31"/>
    <n v="27900"/>
    <s v="#202407184500001624"/>
    <n v="17"/>
    <n v="13.95"/>
    <n v="0"/>
    <n v="0.03"/>
    <n v="720"/>
    <n v="132.12"/>
    <n v="883.1"/>
    <n v="2024"/>
    <n v="7"/>
    <n v="2024"/>
    <n v="4"/>
    <s v="04"/>
    <x v="6"/>
    <x v="6"/>
    <n v="27016.9"/>
  </r>
  <r>
    <d v="2024-07-18T00:00:00"/>
    <s v="OPT-NIFTY-18-Jul-2024-24500-P-E-I"/>
    <s v="NSE"/>
    <x v="1"/>
    <n v="900"/>
    <n v="0"/>
    <n v="11"/>
    <n v="9900"/>
    <s v="#202407184500000398"/>
    <n v="0"/>
    <n v="4.96"/>
    <n v="0"/>
    <n v="0.01"/>
    <n v="720"/>
    <n v="130.5"/>
    <n v="855.47"/>
    <n v="2024"/>
    <n v="7"/>
    <n v="2024"/>
    <n v="4"/>
    <s v="04"/>
    <x v="6"/>
    <x v="6"/>
    <n v="-10755.47"/>
  </r>
  <r>
    <d v="2024-07-19T00:00:00"/>
    <s v="OPT-NIFTY-25-Jul-2024-24600-P-E-I"/>
    <s v="NSE"/>
    <x v="0"/>
    <n v="75"/>
    <n v="0"/>
    <n v="246"/>
    <n v="18450"/>
    <s v="#202407193700016606"/>
    <n v="11.53"/>
    <n v="9.23"/>
    <n v="0"/>
    <n v="0.02"/>
    <n v="60"/>
    <n v="12.46"/>
    <n v="93.24"/>
    <n v="2024"/>
    <n v="7"/>
    <n v="2024"/>
    <n v="4"/>
    <s v="04"/>
    <x v="6"/>
    <x v="6"/>
    <n v="18356.759999999998"/>
  </r>
  <r>
    <d v="2024-07-19T00:00:00"/>
    <s v="OPT-CNXBAN-24-Jul-2024-52600-C-E-I"/>
    <s v="NSE"/>
    <x v="0"/>
    <n v="15"/>
    <n v="0"/>
    <n v="389.25"/>
    <n v="5838.75"/>
    <s v="#202407193700013431"/>
    <n v="3.47"/>
    <n v="2.92"/>
    <n v="0"/>
    <n v="0.01"/>
    <n v="20"/>
    <n v="4.12"/>
    <n v="30.52"/>
    <n v="2024"/>
    <n v="7"/>
    <n v="2024"/>
    <n v="4"/>
    <s v="04"/>
    <x v="6"/>
    <x v="6"/>
    <n v="5808.23"/>
  </r>
  <r>
    <d v="2024-07-19T00:00:00"/>
    <s v="OPT-NIFTY-25-Jul-2024-24600-P-E-I"/>
    <s v="NSE"/>
    <x v="1"/>
    <n v="75"/>
    <n v="0"/>
    <n v="220"/>
    <n v="16500"/>
    <s v="#202407193700013322"/>
    <n v="0"/>
    <n v="8.25"/>
    <n v="0.82"/>
    <n v="0.02"/>
    <n v="60"/>
    <n v="12.28"/>
    <n v="81.37"/>
    <n v="2024"/>
    <n v="7"/>
    <n v="2024"/>
    <n v="4"/>
    <s v="04"/>
    <x v="6"/>
    <x v="6"/>
    <n v="-16581.37"/>
  </r>
  <r>
    <d v="2024-07-19T00:00:00"/>
    <s v="OPT-CNXBAN-24-Jul-2024-52600-C-E-I"/>
    <s v="NSE"/>
    <x v="1"/>
    <n v="15"/>
    <n v="0"/>
    <n v="411"/>
    <n v="6165"/>
    <s v="#202407193700011349"/>
    <n v="0"/>
    <n v="3.08"/>
    <n v="0.18"/>
    <n v="0.01"/>
    <n v="20"/>
    <n v="4.16"/>
    <n v="27.43"/>
    <n v="2024"/>
    <n v="7"/>
    <n v="2024"/>
    <n v="4"/>
    <s v="04"/>
    <x v="6"/>
    <x v="6"/>
    <n v="-6192.43"/>
  </r>
  <r>
    <d v="2024-07-22T00:00:00"/>
    <s v="OPT-NIFSEL-22-Jul-2024-12125-P-E-I"/>
    <s v="NSE"/>
    <x v="0"/>
    <n v="1800"/>
    <n v="0"/>
    <n v="2.6"/>
    <n v="4680"/>
    <s v="#202407223700012072"/>
    <n v="3"/>
    <n v="2.35"/>
    <n v="0"/>
    <n v="0"/>
    <n v="480"/>
    <n v="86.86"/>
    <n v="572.21"/>
    <n v="2024"/>
    <n v="7"/>
    <n v="2024"/>
    <n v="4"/>
    <s v="04"/>
    <x v="6"/>
    <x v="6"/>
    <n v="4107.79"/>
  </r>
  <r>
    <d v="2024-07-22T00:00:00"/>
    <s v="OPT-NIFSEL-22-Jul-2024-12125-P-E-I"/>
    <s v="NSE"/>
    <x v="1"/>
    <n v="900"/>
    <n v="0"/>
    <n v="3"/>
    <n v="2700"/>
    <s v="#202407223700011357"/>
    <n v="0"/>
    <n v="1.35"/>
    <n v="0"/>
    <n v="0"/>
    <n v="240"/>
    <n v="43.44"/>
    <n v="284.79000000000002"/>
    <n v="2024"/>
    <n v="7"/>
    <n v="2024"/>
    <n v="4"/>
    <s v="04"/>
    <x v="6"/>
    <x v="6"/>
    <n v="-2984.79"/>
  </r>
  <r>
    <d v="2024-07-22T00:00:00"/>
    <s v="OPT-NIFSEL-22-Jul-2024-12125-P-E-I"/>
    <s v="NSE"/>
    <x v="1"/>
    <n v="900"/>
    <n v="0"/>
    <n v="6.7"/>
    <n v="6030"/>
    <s v="#202407223700007233"/>
    <n v="0"/>
    <n v="3.01"/>
    <n v="0"/>
    <n v="0"/>
    <n v="240"/>
    <n v="43.74"/>
    <n v="286.75"/>
    <n v="2024"/>
    <n v="7"/>
    <n v="2024"/>
    <n v="4"/>
    <s v="04"/>
    <x v="6"/>
    <x v="6"/>
    <n v="-6316.75"/>
  </r>
  <r>
    <d v="2024-07-23T00:00:00"/>
    <s v="OPT-CNXBAN-24-Jul-2024-52500-C-E-I"/>
    <s v="NSE"/>
    <x v="1"/>
    <n v="150"/>
    <n v="0"/>
    <n v="98.4"/>
    <n v="14759.25"/>
    <s v="#202407233700015906"/>
    <n v="0"/>
    <n v="7.38"/>
    <n v="1.38"/>
    <n v="0.01"/>
    <n v="200"/>
    <n v="37.340000000000003"/>
    <n v="246.11"/>
    <n v="2024"/>
    <n v="7"/>
    <n v="2024"/>
    <n v="4"/>
    <s v="04"/>
    <x v="6"/>
    <x v="6"/>
    <n v="-15005.36"/>
  </r>
  <r>
    <d v="2024-07-23T00:00:00"/>
    <s v="OPT-CNXBAN-24-Jul-2024-52500-C-E-I"/>
    <s v="NSE"/>
    <x v="1"/>
    <n v="45"/>
    <n v="0"/>
    <n v="435.65"/>
    <n v="19604.25"/>
    <s v="#202407233700008621"/>
    <n v="0"/>
    <n v="9.8000000000000007"/>
    <n v="0"/>
    <n v="0.02"/>
    <n v="60"/>
    <n v="12.56"/>
    <n v="82.38"/>
    <n v="2024"/>
    <n v="7"/>
    <n v="2024"/>
    <n v="4"/>
    <s v="04"/>
    <x v="6"/>
    <x v="6"/>
    <n v="-19686.63"/>
  </r>
  <r>
    <d v="2024-07-23T00:00:00"/>
    <s v="OPT-CNXBAN-24-Jul-2024-51500-P-E-I"/>
    <s v="NSE"/>
    <x v="0"/>
    <n v="75"/>
    <n v="0"/>
    <n v="195"/>
    <n v="14625"/>
    <s v="#202407233700007998"/>
    <n v="9"/>
    <n v="7.31"/>
    <n v="0"/>
    <n v="0.01"/>
    <n v="100"/>
    <n v="19.32"/>
    <n v="135.63999999999999"/>
    <n v="2024"/>
    <n v="7"/>
    <n v="2024"/>
    <n v="4"/>
    <s v="04"/>
    <x v="6"/>
    <x v="6"/>
    <n v="14489.36"/>
  </r>
  <r>
    <d v="2024-07-23T00:00:00"/>
    <s v="OPT-CNXBAN-24-Jul-2024-51500-P-E-I"/>
    <s v="NSE"/>
    <x v="1"/>
    <n v="75"/>
    <n v="0"/>
    <n v="275.98"/>
    <n v="20698.5"/>
    <s v="#202407233700002991"/>
    <n v="0"/>
    <n v="10.35"/>
    <n v="0.62"/>
    <n v="0.01"/>
    <n v="100"/>
    <n v="19.88"/>
    <n v="130.86000000000001"/>
    <n v="2024"/>
    <n v="7"/>
    <n v="2024"/>
    <n v="4"/>
    <s v="04"/>
    <x v="6"/>
    <x v="6"/>
    <n v="-20829.36"/>
  </r>
  <r>
    <d v="2024-07-24T00:00:00"/>
    <s v="OPT-CNXBAN-24-Jul-2024-52500-C-E-I"/>
    <s v="NSE"/>
    <x v="0"/>
    <n v="195"/>
    <n v="0"/>
    <n v="8.75"/>
    <n v="1706.25"/>
    <s v="#202407243700012998"/>
    <n v="1.07"/>
    <n v="0.85"/>
    <n v="0"/>
    <n v="0"/>
    <n v="260"/>
    <n v="46.96"/>
    <n v="308.88"/>
    <n v="2024"/>
    <n v="7"/>
    <n v="2024"/>
    <n v="4"/>
    <s v="04"/>
    <x v="6"/>
    <x v="6"/>
    <n v="1397.37"/>
  </r>
  <r>
    <d v="2024-07-24T00:00:00"/>
    <s v="OPT-CNXBAN-24-Jul-2024-52500-C-E-I"/>
    <s v="NSE"/>
    <x v="0"/>
    <n v="900"/>
    <n v="0"/>
    <n v="8.6999999999999993"/>
    <n v="7830"/>
    <s v="#202407243700012974"/>
    <n v="4.8899999999999997"/>
    <n v="3.92"/>
    <n v="0"/>
    <n v="0"/>
    <n v="1200"/>
    <n v="216.7"/>
    <n v="1425.51"/>
    <n v="2024"/>
    <n v="7"/>
    <n v="2024"/>
    <n v="4"/>
    <s v="04"/>
    <x v="6"/>
    <x v="6"/>
    <n v="6404.49"/>
  </r>
  <r>
    <d v="2024-07-24T00:00:00"/>
    <s v="OPT-CNXBAN-24-Jul-2024-52500-C-E-I"/>
    <s v="NSE"/>
    <x v="0"/>
    <n v="900"/>
    <n v="0"/>
    <n v="8.75"/>
    <n v="7875"/>
    <s v="#202407243700012951"/>
    <n v="5.03"/>
    <n v="3.94"/>
    <n v="0"/>
    <n v="0"/>
    <n v="1200"/>
    <n v="216.72"/>
    <n v="1425.69"/>
    <n v="2024"/>
    <n v="7"/>
    <n v="2024"/>
    <n v="4"/>
    <s v="04"/>
    <x v="6"/>
    <x v="6"/>
    <n v="6449.3099999999995"/>
  </r>
  <r>
    <d v="2024-07-24T00:00:00"/>
    <s v="OPT-CNXBAN-24-Jul-2024-52500-C-E-I"/>
    <s v="NSE"/>
    <x v="1"/>
    <n v="900"/>
    <n v="0"/>
    <n v="16.25"/>
    <n v="14625"/>
    <s v="#202407243700011697"/>
    <n v="0"/>
    <n v="7.32"/>
    <n v="0"/>
    <n v="0.02"/>
    <n v="1200"/>
    <n v="217.3"/>
    <n v="1424.64"/>
    <n v="2024"/>
    <n v="7"/>
    <n v="2024"/>
    <n v="4"/>
    <s v="04"/>
    <x v="6"/>
    <x v="6"/>
    <n v="-16049.64"/>
  </r>
  <r>
    <d v="2024-07-24T00:00:00"/>
    <s v="OPT-CNXBAN-24-Jul-2024-52500-C-E-I"/>
    <s v="NSE"/>
    <x v="1"/>
    <n v="900"/>
    <n v="0"/>
    <n v="21.25"/>
    <n v="19125"/>
    <s v="#202407243700001880"/>
    <n v="0"/>
    <n v="9.57"/>
    <n v="1"/>
    <n v="0.02"/>
    <n v="1200"/>
    <n v="217.74"/>
    <n v="1428.33"/>
    <n v="2024"/>
    <n v="7"/>
    <n v="2024"/>
    <n v="4"/>
    <s v="04"/>
    <x v="6"/>
    <x v="6"/>
    <n v="-20553.330000000002"/>
  </r>
  <r>
    <d v="2024-08-07T00:00:00"/>
    <s v="OPT-CNXBAN-07-Aug-2024-50200-C-E-I"/>
    <s v="NSE"/>
    <x v="0"/>
    <n v="210"/>
    <n v="0"/>
    <n v="15.25"/>
    <n v="3202.5"/>
    <s v="#202408073700023365"/>
    <n v="2"/>
    <n v="1.6"/>
    <n v="0"/>
    <n v="0"/>
    <n v="280"/>
    <n v="50.68"/>
    <n v="334.28"/>
    <n v="2024"/>
    <n v="8"/>
    <n v="2024"/>
    <n v="5"/>
    <s v="05"/>
    <x v="7"/>
    <x v="7"/>
    <n v="2868.2200000000003"/>
  </r>
  <r>
    <d v="2024-08-07T00:00:00"/>
    <s v="OPT-CNXBAN-07-Aug-2024-50200-C-E-I"/>
    <s v="NSE"/>
    <x v="0"/>
    <n v="900"/>
    <n v="0"/>
    <n v="15.25"/>
    <n v="13725"/>
    <s v="#202408073700023346"/>
    <n v="9"/>
    <n v="6.86"/>
    <n v="0"/>
    <n v="0.02"/>
    <n v="1200"/>
    <n v="217.24"/>
    <n v="1433.12"/>
    <n v="2024"/>
    <n v="8"/>
    <n v="2024"/>
    <n v="5"/>
    <s v="05"/>
    <x v="7"/>
    <x v="7"/>
    <n v="12291.880000000001"/>
  </r>
  <r>
    <d v="2024-08-07T00:00:00"/>
    <s v="OPT-CNXBAN-07-Aug-2024-50200-C-E-I"/>
    <s v="NSE"/>
    <x v="1"/>
    <n v="900"/>
    <n v="0"/>
    <n v="33.25"/>
    <n v="29925"/>
    <s v="#202408073700017198"/>
    <n v="0"/>
    <n v="14.97"/>
    <n v="2"/>
    <n v="0.02"/>
    <n v="1200"/>
    <n v="218.7"/>
    <n v="1435.69"/>
    <n v="2024"/>
    <n v="8"/>
    <n v="2024"/>
    <n v="5"/>
    <s v="05"/>
    <x v="7"/>
    <x v="7"/>
    <n v="-31360.69"/>
  </r>
  <r>
    <d v="2024-08-07T00:00:00"/>
    <s v="OPT-CNXBAN-07-Aug-2024-50200-C-E-I"/>
    <s v="NSE"/>
    <x v="1"/>
    <n v="210"/>
    <n v="0"/>
    <n v="101.25"/>
    <n v="21262.5"/>
    <s v="#202408073700010955"/>
    <n v="0"/>
    <n v="10.63"/>
    <n v="0"/>
    <n v="0.02"/>
    <n v="280"/>
    <n v="52.32"/>
    <n v="342.97"/>
    <n v="2024"/>
    <n v="8"/>
    <n v="2024"/>
    <n v="5"/>
    <s v="05"/>
    <x v="7"/>
    <x v="7"/>
    <n v="-21605.47"/>
  </r>
  <r>
    <d v="2024-08-14T00:00:00"/>
    <s v="OPT-CNXBAN-14-Aug-2024-49600-C-E-I"/>
    <s v="NSE"/>
    <x v="0"/>
    <n v="150"/>
    <n v="0"/>
    <n v="185.25"/>
    <n v="27787.5"/>
    <s v="#202408143700013405"/>
    <n v="17"/>
    <n v="13.9"/>
    <n v="0"/>
    <n v="0.03"/>
    <n v="200"/>
    <n v="38.520000000000003"/>
    <n v="269.45"/>
    <n v="2024"/>
    <n v="8"/>
    <n v="2024"/>
    <n v="5"/>
    <s v="05"/>
    <x v="7"/>
    <x v="7"/>
    <n v="27518.05"/>
  </r>
  <r>
    <d v="2024-08-14T00:00:00"/>
    <s v="OPT-CNXBAN-14-Aug-2024-49600-C-E-I"/>
    <s v="NSE"/>
    <x v="1"/>
    <n v="75"/>
    <n v="0"/>
    <n v="145"/>
    <n v="10875"/>
    <s v="#202408143700012472"/>
    <n v="0"/>
    <n v="5.44"/>
    <n v="0"/>
    <n v="0.01"/>
    <n v="100"/>
    <n v="18.98"/>
    <n v="124.43"/>
    <n v="2024"/>
    <n v="8"/>
    <n v="2024"/>
    <n v="5"/>
    <s v="05"/>
    <x v="7"/>
    <x v="7"/>
    <n v="-10999.43"/>
  </r>
  <r>
    <d v="2024-08-14T00:00:00"/>
    <s v="OPT-CNXBAN-14-Aug-2024-49600-C-E-I"/>
    <s v="NSE"/>
    <x v="1"/>
    <n v="75"/>
    <n v="0"/>
    <n v="195"/>
    <n v="14625"/>
    <s v="#202408143700006914"/>
    <n v="0"/>
    <n v="7.31"/>
    <n v="1"/>
    <n v="0.01"/>
    <n v="100"/>
    <n v="19.32"/>
    <n v="127.64"/>
    <n v="2024"/>
    <n v="8"/>
    <n v="2024"/>
    <n v="5"/>
    <s v="05"/>
    <x v="7"/>
    <x v="7"/>
    <n v="-14752.64"/>
  </r>
  <r>
    <d v="2024-09-20T00:00:00"/>
    <s v="OPT-CNXBAN-25-Sep-2024-53400-P-E-I"/>
    <s v="NSE"/>
    <x v="1"/>
    <n v="15"/>
    <n v="0"/>
    <n v="244"/>
    <n v="3660"/>
    <s v="#202409203700028224"/>
    <n v="0"/>
    <n v="1.83"/>
    <n v="0"/>
    <n v="0"/>
    <n v="20"/>
    <n v="3.92"/>
    <n v="25.75"/>
    <n v="2024"/>
    <n v="9"/>
    <n v="2024"/>
    <n v="6"/>
    <s v="06"/>
    <x v="8"/>
    <x v="8"/>
    <n v="-3685.75"/>
  </r>
  <r>
    <d v="2024-09-20T00:00:00"/>
    <s v="OPT-CNXBAN-25-Sep-2024-53400-P-E-I"/>
    <s v="NSE"/>
    <x v="1"/>
    <n v="15"/>
    <n v="0"/>
    <n v="295.64999999999998"/>
    <n v="4434.75"/>
    <s v="#202409203700027816"/>
    <n v="0"/>
    <n v="2.2200000000000002"/>
    <n v="0"/>
    <n v="0"/>
    <n v="20"/>
    <n v="4"/>
    <n v="26.22"/>
    <n v="2024"/>
    <n v="9"/>
    <n v="2024"/>
    <n v="6"/>
    <s v="06"/>
    <x v="8"/>
    <x v="8"/>
    <n v="-4460.97"/>
  </r>
  <r>
    <d v="2024-09-20T00:00:00"/>
    <s v="OPT-CNXBAN-25-Sep-2024-53400-P-E-I"/>
    <s v="NSE"/>
    <x v="1"/>
    <n v="15"/>
    <n v="0"/>
    <n v="329.25"/>
    <n v="4938.75"/>
    <s v="#202409203700027257"/>
    <n v="0"/>
    <n v="2.4700000000000002"/>
    <n v="0.39"/>
    <n v="0"/>
    <n v="20"/>
    <n v="4.04"/>
    <n v="26.9"/>
    <n v="2024"/>
    <n v="9"/>
    <n v="2024"/>
    <n v="6"/>
    <s v="06"/>
    <x v="8"/>
    <x v="8"/>
    <n v="-4965.6499999999996"/>
  </r>
  <r>
    <d v="2024-09-20T00:00:00"/>
    <s v="OPT-CNXBAN-25-Sep-2024-53600-P-E-I"/>
    <s v="NSE"/>
    <x v="0"/>
    <n v="60"/>
    <n v="0"/>
    <n v="375.25"/>
    <n v="22515"/>
    <s v="#202409203700018721"/>
    <n v="14"/>
    <n v="11.26"/>
    <n v="0"/>
    <n v="0.02"/>
    <n v="80"/>
    <n v="16.440000000000001"/>
    <n v="121.72"/>
    <n v="2024"/>
    <n v="9"/>
    <n v="2024"/>
    <n v="6"/>
    <s v="06"/>
    <x v="8"/>
    <x v="8"/>
    <n v="22393.279999999999"/>
  </r>
  <r>
    <d v="2024-09-20T00:00:00"/>
    <s v="OPT-CNXBAN-25-Sep-2024-53600-P-E-I"/>
    <s v="NSE"/>
    <x v="1"/>
    <n v="60"/>
    <n v="0"/>
    <n v="345"/>
    <n v="20700"/>
    <s v="#202409203700017858"/>
    <n v="0"/>
    <n v="10.35"/>
    <n v="0.61"/>
    <n v="0.02"/>
    <n v="80"/>
    <n v="16.260000000000002"/>
    <n v="107.24"/>
    <n v="2024"/>
    <n v="9"/>
    <n v="2024"/>
    <n v="6"/>
    <s v="06"/>
    <x v="8"/>
    <x v="8"/>
    <n v="-20807.240000000002"/>
  </r>
  <r>
    <d v="2024-09-24T00:00:00"/>
    <s v="OPT-CNXBAN-25-Sep-2024-53400-P-E-I"/>
    <s v="NSE"/>
    <x v="1"/>
    <n v="210"/>
    <n v="0"/>
    <n v="25"/>
    <n v="5250"/>
    <s v="#202409243700019760"/>
    <n v="0"/>
    <n v="2.62"/>
    <n v="0"/>
    <n v="0"/>
    <n v="280"/>
    <n v="50.86"/>
    <n v="333.48"/>
    <n v="2024"/>
    <n v="9"/>
    <n v="2024"/>
    <n v="6"/>
    <s v="06"/>
    <x v="8"/>
    <x v="8"/>
    <n v="-5583.48"/>
  </r>
  <r>
    <d v="2024-09-24T00:00:00"/>
    <s v="OPT-CNXBAN-25-Sep-2024-53400-P-E-I"/>
    <s v="NSE"/>
    <x v="1"/>
    <n v="210"/>
    <n v="0"/>
    <n v="39.5"/>
    <n v="8295"/>
    <s v="#202409243700005081"/>
    <n v="0"/>
    <n v="4.1500000000000004"/>
    <n v="1"/>
    <n v="0.01"/>
    <n v="280"/>
    <n v="51.14"/>
    <n v="336.3"/>
    <n v="2024"/>
    <n v="9"/>
    <n v="2024"/>
    <n v="6"/>
    <s v="06"/>
    <x v="8"/>
    <x v="8"/>
    <n v="-8631.2999999999993"/>
  </r>
  <r>
    <d v="2024-09-24T00:00:00"/>
    <s v="OPT-CNXBAN-25-Sep-2024-53400-P-E-I"/>
    <s v="NSE"/>
    <x v="1"/>
    <n v="210"/>
    <n v="0"/>
    <n v="55.25"/>
    <n v="11602.5"/>
    <s v="#202409243700002217"/>
    <n v="0"/>
    <n v="5.8"/>
    <n v="0"/>
    <n v="0.01"/>
    <n v="280"/>
    <n v="51.46"/>
    <n v="337.27"/>
    <n v="2024"/>
    <n v="9"/>
    <n v="2024"/>
    <n v="6"/>
    <s v="06"/>
    <x v="8"/>
    <x v="8"/>
    <n v="-11939.77"/>
  </r>
  <r>
    <d v="2024-09-25T00:00:00"/>
    <s v="OPT-CNXBAN-25-Sep-2024-53400-P-E-I"/>
    <s v="NSE"/>
    <x v="0"/>
    <n v="675"/>
    <n v="0"/>
    <n v="5"/>
    <n v="3375"/>
    <s v="#202409253700018335"/>
    <n v="2.0099999999999998"/>
    <n v="1.7"/>
    <n v="0"/>
    <n v="0"/>
    <n v="900"/>
    <n v="162.28"/>
    <n v="1065.99"/>
    <n v="2024"/>
    <n v="9"/>
    <n v="2024"/>
    <n v="6"/>
    <s v="06"/>
    <x v="8"/>
    <x v="8"/>
    <n v="2309.0100000000002"/>
  </r>
  <r>
    <d v="2024-10-01T00:00:00"/>
    <s v="OPT-CNXBAN-01-Oct-2024-52600-P-E-I"/>
    <s v="NSE"/>
    <x v="0"/>
    <n v="900"/>
    <n v="0"/>
    <n v="5"/>
    <n v="4500"/>
    <s v="#202410013700016116"/>
    <n v="4.38"/>
    <n v="1.6"/>
    <n v="0"/>
    <n v="0"/>
    <n v="1200"/>
    <n v="216.3"/>
    <n v="1422.28"/>
    <n v="2024"/>
    <n v="10"/>
    <n v="2024"/>
    <n v="7"/>
    <s v="07"/>
    <x v="9"/>
    <x v="9"/>
    <n v="3077.7200000000003"/>
  </r>
  <r>
    <d v="2024-10-01T00:00:00"/>
    <s v="OPT-CNXBAN-01-Oct-2024-52600-P-E-I"/>
    <s v="NSE"/>
    <x v="0"/>
    <n v="900"/>
    <n v="0"/>
    <n v="5"/>
    <n v="4500"/>
    <s v="#202410013700016095"/>
    <n v="4.5"/>
    <n v="1.6"/>
    <n v="0"/>
    <n v="0"/>
    <n v="1200"/>
    <n v="216.28"/>
    <n v="1422.38"/>
    <n v="2024"/>
    <n v="10"/>
    <n v="2024"/>
    <n v="7"/>
    <s v="07"/>
    <x v="9"/>
    <x v="9"/>
    <n v="3077.62"/>
  </r>
  <r>
    <d v="2024-10-01T00:00:00"/>
    <s v="OPT-CNXBAN-01-Oct-2024-52600-P-E-I"/>
    <s v="NSE"/>
    <x v="0"/>
    <n v="900"/>
    <n v="0"/>
    <n v="5"/>
    <n v="4500"/>
    <s v="#202410013700016052"/>
    <n v="4.53"/>
    <n v="1.61"/>
    <n v="0"/>
    <n v="0"/>
    <n v="1200"/>
    <n v="216.28"/>
    <n v="1422.42"/>
    <n v="2024"/>
    <n v="10"/>
    <n v="2024"/>
    <n v="7"/>
    <s v="07"/>
    <x v="9"/>
    <x v="9"/>
    <n v="3077.58"/>
  </r>
  <r>
    <d v="2024-10-01T00:00:00"/>
    <s v="OPT-CNXBAN-01-Oct-2024-52600-P-E-I"/>
    <s v="NSE"/>
    <x v="0"/>
    <n v="900"/>
    <n v="0"/>
    <n v="6.25"/>
    <n v="5625"/>
    <s v="#202410013700015064"/>
    <n v="5.63"/>
    <n v="2"/>
    <n v="0"/>
    <n v="0.01"/>
    <n v="1200"/>
    <n v="216.36"/>
    <n v="1424"/>
    <n v="2024"/>
    <n v="10"/>
    <n v="2024"/>
    <n v="7"/>
    <s v="07"/>
    <x v="9"/>
    <x v="9"/>
    <n v="4201"/>
  </r>
  <r>
    <d v="2024-10-01T00:00:00"/>
    <s v="OPT-CNXBAN-01-Oct-2024-52600-P-E-I"/>
    <s v="NSE"/>
    <x v="1"/>
    <n v="900"/>
    <n v="0"/>
    <n v="10"/>
    <n v="9000"/>
    <s v="#202410013700014274"/>
    <n v="0"/>
    <n v="3.19"/>
    <n v="0"/>
    <n v="0"/>
    <n v="1200"/>
    <n v="216.58"/>
    <n v="1419.77"/>
    <n v="2024"/>
    <n v="10"/>
    <n v="2024"/>
    <n v="7"/>
    <s v="07"/>
    <x v="9"/>
    <x v="9"/>
    <n v="-10419.77"/>
  </r>
  <r>
    <d v="2024-10-01T00:00:00"/>
    <s v="OPT-CNXBAN-01-Oct-2024-52600-P-E-I"/>
    <s v="NSE"/>
    <x v="1"/>
    <n v="900"/>
    <n v="0"/>
    <n v="11"/>
    <n v="9900"/>
    <s v="#202410013700014076"/>
    <n v="0"/>
    <n v="3.52"/>
    <n v="0"/>
    <n v="0"/>
    <n v="1200"/>
    <n v="216.62"/>
    <n v="1420.14"/>
    <n v="2024"/>
    <n v="10"/>
    <n v="2024"/>
    <n v="7"/>
    <s v="07"/>
    <x v="9"/>
    <x v="9"/>
    <n v="-11320.14"/>
  </r>
  <r>
    <d v="2024-10-01T00:00:00"/>
    <s v="OPT-CNXBAN-01-Oct-2024-52600-P-E-I"/>
    <s v="NSE"/>
    <x v="1"/>
    <n v="900"/>
    <n v="0"/>
    <n v="14.25"/>
    <n v="12825"/>
    <s v="#202410013700013040"/>
    <n v="0"/>
    <n v="4.57"/>
    <n v="0"/>
    <n v="0.01"/>
    <n v="1200"/>
    <n v="216.84"/>
    <n v="1421.42"/>
    <n v="2024"/>
    <n v="10"/>
    <n v="2024"/>
    <n v="7"/>
    <s v="07"/>
    <x v="9"/>
    <x v="9"/>
    <n v="-14246.42"/>
  </r>
  <r>
    <d v="2024-10-01T00:00:00"/>
    <s v="OPT-CNXBAN-01-Oct-2024-52600-P-E-I"/>
    <s v="NSE"/>
    <x v="1"/>
    <n v="900"/>
    <n v="0"/>
    <n v="14"/>
    <n v="12600"/>
    <s v="#202410013700012956"/>
    <n v="0"/>
    <n v="4.4800000000000004"/>
    <n v="1"/>
    <n v="0.02"/>
    <n v="1200"/>
    <n v="216.82"/>
    <n v="1422.32"/>
    <n v="2024"/>
    <n v="10"/>
    <n v="2024"/>
    <n v="7"/>
    <s v="07"/>
    <x v="9"/>
    <x v="9"/>
    <n v="-14022.32"/>
  </r>
  <r>
    <d v="2024-11-05T00:00:00"/>
    <s v="OPT-CNXBAN-06-Nov-2024-52000-C-E-I"/>
    <s v="NSE"/>
    <x v="0"/>
    <n v="210"/>
    <n v="0"/>
    <n v="119.25"/>
    <n v="25042.5"/>
    <s v="#202411053700010395"/>
    <n v="25"/>
    <n v="8.89"/>
    <n v="0"/>
    <n v="0.02"/>
    <n v="280"/>
    <n v="52"/>
    <n v="365.91"/>
    <n v="2024"/>
    <n v="11"/>
    <n v="2024"/>
    <n v="8"/>
    <s v="08"/>
    <x v="10"/>
    <x v="10"/>
    <n v="24676.59"/>
  </r>
  <r>
    <d v="2024-11-05T00:00:00"/>
    <s v="OPT-CNXBAN-06-Nov-2024-52000-C-E-I"/>
    <s v="NSE"/>
    <x v="1"/>
    <n v="210"/>
    <n v="0"/>
    <n v="89"/>
    <n v="18690"/>
    <s v="#202411053700010072"/>
    <n v="0"/>
    <n v="6.63"/>
    <n v="1"/>
    <n v="0.01"/>
    <n v="280"/>
    <n v="51.6"/>
    <n v="339.24"/>
    <n v="2024"/>
    <n v="11"/>
    <n v="2024"/>
    <n v="8"/>
    <s v="08"/>
    <x v="10"/>
    <x v="10"/>
    <n v="-19029.240000000002"/>
  </r>
  <r>
    <d v="2024-11-06T00:00:00"/>
    <s v="OPT-CNXBAN-06-Nov-2024-53000-C-E-I"/>
    <s v="NSE"/>
    <x v="0"/>
    <n v="900"/>
    <n v="0"/>
    <n v="3.9"/>
    <n v="3510"/>
    <s v="#202411063700020506"/>
    <n v="3.59"/>
    <n v="1.25"/>
    <n v="0"/>
    <n v="0"/>
    <n v="1200"/>
    <n v="216.24"/>
    <n v="1421.08"/>
    <n v="2024"/>
    <n v="11"/>
    <n v="2024"/>
    <n v="8"/>
    <s v="08"/>
    <x v="10"/>
    <x v="10"/>
    <n v="2088.92"/>
  </r>
  <r>
    <d v="2024-11-06T00:00:00"/>
    <s v="OPT-CNXBAN-06-Nov-2024-53000-C-E-I"/>
    <s v="NSE"/>
    <x v="0"/>
    <n v="900"/>
    <n v="0"/>
    <n v="2.4500000000000002"/>
    <n v="2205"/>
    <s v="#202411063700020488"/>
    <n v="2.2000000000000002"/>
    <n v="0.79"/>
    <n v="0"/>
    <n v="0"/>
    <n v="1200"/>
    <n v="216.14"/>
    <n v="1419.13"/>
    <n v="2024"/>
    <n v="11"/>
    <n v="2024"/>
    <n v="8"/>
    <s v="08"/>
    <x v="10"/>
    <x v="10"/>
    <n v="785.86999999999989"/>
  </r>
  <r>
    <d v="2024-11-06T00:00:00"/>
    <s v="OPT-CNXBAN-06-Nov-2024-53000-C-E-I"/>
    <s v="NSE"/>
    <x v="0"/>
    <n v="900"/>
    <n v="0"/>
    <n v="2.4500000000000002"/>
    <n v="2205"/>
    <s v="#202411063700020450"/>
    <n v="2.21"/>
    <n v="0.78"/>
    <n v="0"/>
    <n v="0"/>
    <n v="1200"/>
    <n v="216.14"/>
    <n v="1419.13"/>
    <n v="2024"/>
    <n v="11"/>
    <n v="2024"/>
    <n v="8"/>
    <s v="08"/>
    <x v="10"/>
    <x v="10"/>
    <n v="785.86999999999989"/>
  </r>
  <r>
    <d v="2024-11-06T00:00:00"/>
    <s v="OPT-CNXBAN-06-Nov-2024-53000-C-E-I"/>
    <s v="NSE"/>
    <x v="1"/>
    <n v="900"/>
    <n v="0"/>
    <n v="11.25"/>
    <n v="10125"/>
    <s v="#202411063700008941"/>
    <n v="0"/>
    <n v="3.6"/>
    <n v="0"/>
    <n v="0.01"/>
    <n v="1200"/>
    <n v="216.66"/>
    <n v="1420.27"/>
    <n v="2024"/>
    <n v="11"/>
    <n v="2024"/>
    <n v="8"/>
    <s v="08"/>
    <x v="10"/>
    <x v="10"/>
    <n v="-11545.27"/>
  </r>
  <r>
    <d v="2024-11-06T00:00:00"/>
    <s v="OPT-CNXBAN-06-Nov-2024-53000-C-E-I"/>
    <s v="NSE"/>
    <x v="1"/>
    <n v="900"/>
    <n v="0"/>
    <n v="20"/>
    <n v="18000"/>
    <s v="#202411063700005998"/>
    <n v="0"/>
    <n v="6.39"/>
    <n v="2"/>
    <n v="0.01"/>
    <n v="1200"/>
    <n v="217.16"/>
    <n v="1425.56"/>
    <n v="2024"/>
    <n v="11"/>
    <n v="2024"/>
    <n v="8"/>
    <s v="08"/>
    <x v="10"/>
    <x v="10"/>
    <n v="-19425.560000000001"/>
  </r>
  <r>
    <d v="2024-11-06T00:00:00"/>
    <s v="OPT-CNXBAN-06-Nov-2024-53000-C-E-I"/>
    <s v="NSE"/>
    <x v="1"/>
    <n v="900"/>
    <n v="0"/>
    <n v="41.25"/>
    <n v="37125"/>
    <s v="#202411062500000737"/>
    <n v="0"/>
    <n v="13.2"/>
    <n v="0"/>
    <n v="0.04"/>
    <n v="1200"/>
    <n v="218.4"/>
    <n v="1431.64"/>
    <n v="2024"/>
    <n v="11"/>
    <n v="2024"/>
    <n v="8"/>
    <s v="08"/>
    <x v="10"/>
    <x v="10"/>
    <n v="-38556.639999999999"/>
  </r>
  <r>
    <d v="2024-11-19T00:00:00"/>
    <s v="OPT-CNXBAN-27-Nov-2024-50000-P-E-I"/>
    <s v="NSE"/>
    <x v="1"/>
    <n v="15"/>
    <n v="0"/>
    <n v="200.8"/>
    <n v="3012"/>
    <s v="#202411193700022342"/>
    <n v="0"/>
    <n v="1.07"/>
    <n v="0"/>
    <n v="0"/>
    <n v="20"/>
    <n v="3.8"/>
    <n v="24.87"/>
    <n v="2024"/>
    <n v="11"/>
    <n v="2024"/>
    <n v="8"/>
    <s v="08"/>
    <x v="10"/>
    <x v="10"/>
    <n v="-3036.87"/>
  </r>
  <r>
    <d v="2024-11-21T00:00:00"/>
    <s v="OPT-CNXBAN-27-Nov-2024-49000-P-E-I"/>
    <s v="NSE"/>
    <x v="1"/>
    <n v="15"/>
    <n v="0"/>
    <n v="104"/>
    <n v="1560"/>
    <s v="#202411213700019130"/>
    <n v="0"/>
    <n v="0.55000000000000004"/>
    <n v="0"/>
    <n v="0"/>
    <n v="20"/>
    <n v="3.7"/>
    <n v="24.25"/>
    <n v="2024"/>
    <n v="11"/>
    <n v="2024"/>
    <n v="8"/>
    <s v="08"/>
    <x v="10"/>
    <x v="10"/>
    <n v="-1584.25"/>
  </r>
  <r>
    <d v="2024-11-21T00:00:00"/>
    <s v="OPT-NIFTY-21-Nov-2024-23300-C-E-I"/>
    <s v="NSE"/>
    <x v="0"/>
    <n v="50"/>
    <n v="0"/>
    <n v="52.25"/>
    <n v="2612.5"/>
    <s v="#202411213700010450"/>
    <n v="2.61"/>
    <n v="0.93"/>
    <n v="0"/>
    <n v="0"/>
    <n v="40"/>
    <n v="7.36"/>
    <n v="50.9"/>
    <n v="2024"/>
    <n v="11"/>
    <n v="2024"/>
    <n v="8"/>
    <s v="08"/>
    <x v="10"/>
    <x v="10"/>
    <n v="2561.6"/>
  </r>
  <r>
    <d v="2024-11-21T00:00:00"/>
    <s v="OPT-NIFTY-21-Nov-2024-23300-C-E-I"/>
    <s v="NSE"/>
    <x v="1"/>
    <n v="25"/>
    <n v="0"/>
    <n v="31.8"/>
    <n v="795"/>
    <s v="#202411213700009633"/>
    <n v="0"/>
    <n v="0.28000000000000003"/>
    <n v="0"/>
    <n v="0"/>
    <n v="20"/>
    <n v="3.66"/>
    <n v="23.94"/>
    <n v="2024"/>
    <n v="11"/>
    <n v="2024"/>
    <n v="8"/>
    <s v="08"/>
    <x v="10"/>
    <x v="10"/>
    <n v="-818.94"/>
  </r>
  <r>
    <d v="2024-11-21T00:00:00"/>
    <s v="OPT-NIFTY-21-Nov-2024-23300-C-E-I"/>
    <s v="NSE"/>
    <x v="1"/>
    <n v="25"/>
    <n v="0"/>
    <n v="32.15"/>
    <n v="803.75"/>
    <s v="#202411213700009035"/>
    <n v="0"/>
    <n v="0.28999999999999998"/>
    <n v="0"/>
    <n v="0"/>
    <n v="20"/>
    <n v="3.66"/>
    <n v="23.95"/>
    <n v="2024"/>
    <n v="11"/>
    <n v="2024"/>
    <n v="8"/>
    <s v="08"/>
    <x v="10"/>
    <x v="10"/>
    <n v="-827.7"/>
  </r>
  <r>
    <d v="2024-11-21T00:00:00"/>
    <s v="OPT-CNXBAN-27-Nov-2024-50000-P-E-I"/>
    <s v="NSE"/>
    <x v="0"/>
    <n v="15"/>
    <n v="0"/>
    <n v="380.8"/>
    <n v="5712"/>
    <s v="#202411213700001653"/>
    <n v="5.39"/>
    <n v="2.0299999999999998"/>
    <n v="0"/>
    <n v="0.01"/>
    <n v="20"/>
    <n v="3.96"/>
    <n v="31.39"/>
    <n v="2024"/>
    <n v="11"/>
    <n v="2024"/>
    <n v="8"/>
    <s v="08"/>
    <x v="10"/>
    <x v="10"/>
    <n v="5680.61"/>
  </r>
  <r>
    <d v="2024-11-26T00:00:00"/>
    <s v="OPT-CNXBAN-27-Nov-2024-49000-P-E-I"/>
    <s v="NSE"/>
    <x v="0"/>
    <n v="15"/>
    <n v="0"/>
    <n v="3.35"/>
    <n v="50.25"/>
    <s v="#202411263700019660"/>
    <n v="0"/>
    <n v="0.02"/>
    <n v="0"/>
    <n v="0"/>
    <n v="20"/>
    <n v="3.6"/>
    <n v="23.62"/>
    <n v="2024"/>
    <n v="11"/>
    <n v="2024"/>
    <n v="8"/>
    <s v="08"/>
    <x v="10"/>
    <x v="10"/>
    <n v="26.63"/>
  </r>
  <r>
    <d v="2024-11-29T00:00:00"/>
    <s v="OPT-CNXBAN-24-Dec-2024-49000-P-E-I"/>
    <s v="NSE"/>
    <x v="1"/>
    <n v="15"/>
    <n v="0"/>
    <n v="110"/>
    <n v="1650"/>
    <s v="#202411293700018464"/>
    <n v="0"/>
    <n v="0.59"/>
    <n v="0"/>
    <n v="0"/>
    <n v="20"/>
    <n v="3.7"/>
    <n v="24.29"/>
    <n v="2024"/>
    <n v="11"/>
    <n v="2024"/>
    <n v="8"/>
    <s v="08"/>
    <x v="10"/>
    <x v="10"/>
    <n v="-1674.29"/>
  </r>
  <r>
    <d v="2024-12-02T00:00:00"/>
    <s v="OPT-CNXBAN-24-Dec-2024-49000-P-E-I"/>
    <s v="NSE"/>
    <x v="1"/>
    <n v="45"/>
    <n v="0"/>
    <n v="131.1"/>
    <n v="5899.5"/>
    <s v="#202412023700007623"/>
    <n v="0"/>
    <n v="2.1"/>
    <n v="0"/>
    <n v="0.01"/>
    <n v="60"/>
    <n v="11.18"/>
    <n v="73.290000000000006"/>
    <n v="2024"/>
    <n v="12"/>
    <n v="2024"/>
    <n v="9"/>
    <s v="09"/>
    <x v="11"/>
    <x v="11"/>
    <n v="-5972.79"/>
  </r>
  <r>
    <d v="2024-12-03T00:00:00"/>
    <s v="OPT-NIFTY-05-Dec-2024-24400-P-E-I"/>
    <s v="NSE"/>
    <x v="1"/>
    <n v="100"/>
    <n v="0"/>
    <n v="121"/>
    <n v="12100"/>
    <s v="#202412033700009477"/>
    <n v="0"/>
    <n v="4.3"/>
    <n v="0"/>
    <n v="0.01"/>
    <n v="80"/>
    <n v="15.18"/>
    <n v="99.49"/>
    <n v="2024"/>
    <n v="12"/>
    <n v="2024"/>
    <n v="9"/>
    <s v="09"/>
    <x v="11"/>
    <x v="11"/>
    <n v="-12199.49"/>
  </r>
  <r>
    <d v="2024-12-04T00:00:00"/>
    <s v="OPT-CNXBAN-24-Dec-2024-49000-P-E-I"/>
    <s v="NSE"/>
    <x v="1"/>
    <n v="210"/>
    <n v="0"/>
    <n v="61"/>
    <n v="12810"/>
    <s v="#202412043700012019"/>
    <n v="0"/>
    <n v="4.5599999999999996"/>
    <n v="0.38"/>
    <n v="0.01"/>
    <n v="280"/>
    <n v="51.22"/>
    <n v="336.17"/>
    <n v="2024"/>
    <n v="12"/>
    <n v="2024"/>
    <n v="9"/>
    <s v="09"/>
    <x v="11"/>
    <x v="11"/>
    <n v="-13146.17"/>
  </r>
  <r>
    <d v="2024-12-04T00:00:00"/>
    <s v="OPT-NIFTY-05-Dec-2024-24400-P-E-I"/>
    <s v="NSE"/>
    <x v="0"/>
    <n v="300"/>
    <n v="0"/>
    <n v="91.25"/>
    <n v="27375"/>
    <s v="#202412043700011560"/>
    <n v="27"/>
    <n v="9.73"/>
    <n v="0"/>
    <n v="0.03"/>
    <n v="240"/>
    <n v="44.96"/>
    <n v="321.72000000000003"/>
    <n v="2024"/>
    <n v="12"/>
    <n v="2024"/>
    <n v="9"/>
    <s v="09"/>
    <x v="11"/>
    <x v="11"/>
    <n v="27053.279999999999"/>
  </r>
  <r>
    <d v="2024-12-04T00:00:00"/>
    <s v="OPT-NIFTY-05-Dec-2024-24400-P-E-I"/>
    <s v="NSE"/>
    <x v="1"/>
    <n v="200"/>
    <n v="0"/>
    <n v="71.25"/>
    <n v="14250"/>
    <s v="#202412043700010215"/>
    <n v="0"/>
    <n v="5.08"/>
    <n v="0.62"/>
    <n v="0"/>
    <n v="160"/>
    <n v="29.68"/>
    <n v="195.38"/>
    <n v="2024"/>
    <n v="12"/>
    <n v="2024"/>
    <n v="9"/>
    <s v="09"/>
    <x v="11"/>
    <x v="11"/>
    <n v="-14445.38"/>
  </r>
  <r>
    <d v="2024-12-06T00:00:00"/>
    <s v="OPT-NIFTY-12-Dec-2024-24350-P-E-I"/>
    <s v="NSE"/>
    <x v="1"/>
    <n v="150"/>
    <n v="0"/>
    <n v="70.8"/>
    <n v="10620"/>
    <s v="#202412063700007927"/>
    <n v="0"/>
    <n v="3.77"/>
    <n v="0"/>
    <n v="0.01"/>
    <n v="120"/>
    <n v="22.28"/>
    <n v="146.06"/>
    <n v="2024"/>
    <n v="12"/>
    <n v="2024"/>
    <n v="9"/>
    <s v="09"/>
    <x v="11"/>
    <x v="11"/>
    <n v="-10766.06"/>
  </r>
  <r>
    <d v="2024-12-06T00:00:00"/>
    <s v="OPT-NIFTY-12-Dec-2024-24350-P-E-I"/>
    <s v="NSE"/>
    <x v="1"/>
    <n v="100"/>
    <n v="0"/>
    <n v="90.1"/>
    <n v="9010"/>
    <s v="#202412063700004140"/>
    <n v="0"/>
    <n v="3.2"/>
    <n v="0"/>
    <n v="0.01"/>
    <n v="80"/>
    <n v="14.98"/>
    <n v="98.19"/>
    <n v="2024"/>
    <n v="12"/>
    <n v="2024"/>
    <n v="9"/>
    <s v="09"/>
    <x v="11"/>
    <x v="11"/>
    <n v="-9108.19"/>
  </r>
  <r>
    <d v="2024-12-06T00:00:00"/>
    <s v="OPT-NIFTY-12-Dec-2024-24350-P-E-I"/>
    <s v="NSE"/>
    <x v="1"/>
    <n v="250"/>
    <n v="0"/>
    <n v="101.25"/>
    <n v="25312.5"/>
    <s v="#202412063700002690"/>
    <n v="0"/>
    <n v="9"/>
    <n v="1"/>
    <n v="0.03"/>
    <n v="200"/>
    <n v="37.619999999999997"/>
    <n v="247.65"/>
    <n v="2024"/>
    <n v="12"/>
    <n v="2024"/>
    <n v="9"/>
    <s v="09"/>
    <x v="11"/>
    <x v="11"/>
    <n v="-25560.15"/>
  </r>
  <r>
    <d v="2024-12-09T00:00:00"/>
    <s v="OPT-NIFTY-12-Dec-2024-24700-P-E-I"/>
    <s v="NSE"/>
    <x v="0"/>
    <n v="500"/>
    <n v="0"/>
    <n v="205.25"/>
    <n v="102625"/>
    <s v="#202412093700015341"/>
    <n v="103.01"/>
    <n v="36.47"/>
    <n v="0"/>
    <n v="0.1"/>
    <n v="400"/>
    <n v="78.58"/>
    <n v="618.16"/>
    <n v="2024"/>
    <n v="12"/>
    <n v="2024"/>
    <n v="9"/>
    <s v="09"/>
    <x v="11"/>
    <x v="11"/>
    <n v="102006.84"/>
  </r>
  <r>
    <d v="2024-12-09T00:00:00"/>
    <s v="OPT-NIFTY-12-Dec-2024-24700-P-E-I"/>
    <s v="NSE"/>
    <x v="1"/>
    <n v="500"/>
    <n v="0"/>
    <n v="174.55"/>
    <n v="87275"/>
    <s v="#202412093700010715"/>
    <n v="0"/>
    <n v="31.01"/>
    <n v="3"/>
    <n v="0.09"/>
    <n v="400"/>
    <n v="77.599999999999994"/>
    <n v="511.7"/>
    <n v="2024"/>
    <n v="12"/>
    <n v="2024"/>
    <n v="9"/>
    <s v="09"/>
    <x v="11"/>
    <x v="11"/>
    <n v="-87786.7"/>
  </r>
  <r>
    <d v="2024-12-10T00:00:00"/>
    <s v="OPT-NIFTY-12-Dec-2024-24650-P-E-I"/>
    <s v="NSE"/>
    <x v="0"/>
    <n v="500"/>
    <n v="0"/>
    <n v="165"/>
    <n v="82500"/>
    <s v="#202412103700009401"/>
    <n v="83"/>
    <n v="29.31"/>
    <n v="0"/>
    <n v="0.08"/>
    <n v="400"/>
    <n v="77.3"/>
    <n v="589.69000000000005"/>
    <n v="2024"/>
    <n v="12"/>
    <n v="2024"/>
    <n v="9"/>
    <s v="09"/>
    <x v="11"/>
    <x v="11"/>
    <n v="81910.31"/>
  </r>
  <r>
    <d v="2024-12-10T00:00:00"/>
    <s v="OPT-NIFTY-12-Dec-2024-24650-P-E-I"/>
    <s v="NSE"/>
    <x v="1"/>
    <n v="500"/>
    <n v="0"/>
    <n v="151.25"/>
    <n v="75625"/>
    <s v="#202412103700001564"/>
    <n v="0"/>
    <n v="26.88"/>
    <n v="2"/>
    <n v="0.08"/>
    <n v="400"/>
    <n v="76.84"/>
    <n v="505.8"/>
    <n v="2024"/>
    <n v="12"/>
    <n v="2024"/>
    <n v="9"/>
    <s v="09"/>
    <x v="11"/>
    <x v="11"/>
    <n v="-76130.8"/>
  </r>
  <r>
    <d v="2024-12-11T00:00:00"/>
    <s v="OPT-NIFTY-12-Dec-2024-24650-P-E-I"/>
    <s v="NSE"/>
    <x v="0"/>
    <n v="1000"/>
    <n v="0"/>
    <n v="69.06"/>
    <n v="69060"/>
    <s v="#202412113700016642"/>
    <n v="69.099999999999994"/>
    <n v="24.54"/>
    <n v="0"/>
    <n v="0.04"/>
    <n v="800"/>
    <n v="148.36000000000001"/>
    <n v="1042.04"/>
    <n v="2024"/>
    <n v="12"/>
    <n v="2024"/>
    <n v="9"/>
    <s v="09"/>
    <x v="11"/>
    <x v="11"/>
    <n v="68017.960000000006"/>
  </r>
  <r>
    <d v="2024-12-11T00:00:00"/>
    <s v="OPT-NIFTY-12-Dec-2024-24350-P-E-I"/>
    <s v="NSE"/>
    <x v="0"/>
    <n v="500"/>
    <n v="0"/>
    <n v="8.1"/>
    <n v="4050"/>
    <s v="#202412113700006420"/>
    <n v="4.05"/>
    <n v="1.44"/>
    <n v="0"/>
    <n v="0"/>
    <n v="400"/>
    <n v="72.260000000000005"/>
    <n v="477.75"/>
    <n v="2024"/>
    <n v="12"/>
    <n v="2024"/>
    <n v="9"/>
    <s v="09"/>
    <x v="11"/>
    <x v="11"/>
    <n v="3572.25"/>
  </r>
  <r>
    <d v="2024-12-11T00:00:00"/>
    <s v="OPT-NIFTY-12-Dec-2024-24650-P-E-I"/>
    <s v="NSE"/>
    <x v="1"/>
    <n v="1000"/>
    <n v="0"/>
    <n v="101.25"/>
    <n v="101250"/>
    <s v="#202412113700004424"/>
    <n v="0"/>
    <n v="35.979999999999997"/>
    <n v="3"/>
    <n v="0.11"/>
    <n v="800"/>
    <n v="150.46"/>
    <n v="989.55"/>
    <n v="2024"/>
    <n v="12"/>
    <n v="2024"/>
    <n v="9"/>
    <s v="09"/>
    <x v="11"/>
    <x v="11"/>
    <n v="-102239.55"/>
  </r>
  <r>
    <d v="2024-12-11T00:00:00"/>
    <s v="OPT-CNXBAN-24-Dec-2024-49000-P-E-I"/>
    <s v="NSE"/>
    <x v="0"/>
    <n v="270"/>
    <n v="0"/>
    <n v="21.1"/>
    <n v="5697"/>
    <s v="#202412113700000644"/>
    <n v="5.93"/>
    <n v="1.99"/>
    <n v="0"/>
    <n v="0"/>
    <n v="360"/>
    <n v="65.16"/>
    <n v="433.08"/>
    <n v="2024"/>
    <n v="12"/>
    <n v="2024"/>
    <n v="9"/>
    <s v="09"/>
    <x v="11"/>
    <x v="11"/>
    <n v="5263.92"/>
  </r>
  <r>
    <d v="2024-12-13T00:00:00"/>
    <s v="OPT-NIFTY-19-Dec-2024-24650-C-E-I"/>
    <s v="NSE"/>
    <x v="0"/>
    <n v="200"/>
    <n v="0"/>
    <n v="215.25"/>
    <n v="43050"/>
    <s v="#202412133700021488"/>
    <n v="43.3"/>
    <n v="15.28"/>
    <n v="0"/>
    <n v="0.05"/>
    <n v="160"/>
    <n v="31.52"/>
    <n v="250.15"/>
    <n v="2024"/>
    <n v="12"/>
    <n v="2024"/>
    <n v="9"/>
    <s v="09"/>
    <x v="11"/>
    <x v="11"/>
    <n v="42799.85"/>
  </r>
  <r>
    <d v="2024-12-13T00:00:00"/>
    <s v="OPT-NIFTY-19-Dec-2024-24650-C-E-I"/>
    <s v="NSE"/>
    <x v="1"/>
    <n v="200"/>
    <n v="0"/>
    <n v="193.95"/>
    <n v="38790"/>
    <s v="#202412133700021055"/>
    <n v="0"/>
    <n v="13.78"/>
    <n v="0.8"/>
    <n v="0.03"/>
    <n v="160"/>
    <n v="31.28"/>
    <n v="205.89"/>
    <n v="2024"/>
    <n v="12"/>
    <n v="2024"/>
    <n v="9"/>
    <s v="09"/>
    <x v="11"/>
    <x v="11"/>
    <n v="-38995.89"/>
  </r>
  <r>
    <d v="2024-12-13T00:00:00"/>
    <s v="OPT-NIFTY-19-Dec-2024-24550-C-E-I"/>
    <s v="NSE"/>
    <x v="0"/>
    <n v="100"/>
    <n v="0"/>
    <n v="241.65"/>
    <n v="24165"/>
    <s v="#202412133700018623"/>
    <n v="24.16"/>
    <n v="8.6"/>
    <n v="0"/>
    <n v="0.04"/>
    <n v="80"/>
    <n v="15.92"/>
    <n v="128.72"/>
    <n v="2024"/>
    <n v="12"/>
    <n v="2024"/>
    <n v="9"/>
    <s v="09"/>
    <x v="11"/>
    <x v="11"/>
    <n v="24036.28"/>
  </r>
  <r>
    <d v="2024-12-13T00:00:00"/>
    <s v="OPT-NIFTY-19-Dec-2024-24550-C-E-I"/>
    <s v="NSE"/>
    <x v="1"/>
    <n v="100"/>
    <n v="0"/>
    <n v="200.55"/>
    <n v="20055"/>
    <s v="#202412133700018408"/>
    <n v="0"/>
    <n v="7.13"/>
    <n v="0.6"/>
    <n v="0.02"/>
    <n v="80"/>
    <n v="15.68"/>
    <n v="103.43"/>
    <n v="2024"/>
    <n v="12"/>
    <n v="2024"/>
    <n v="9"/>
    <s v="09"/>
    <x v="11"/>
    <x v="11"/>
    <n v="-20158.43"/>
  </r>
  <r>
    <d v="2024-12-13T00:00:00"/>
    <s v="OPT-NIFTY-19-Dec-2024-24500-P-E-I"/>
    <s v="NSE"/>
    <x v="0"/>
    <n v="100"/>
    <n v="0"/>
    <n v="215.25"/>
    <n v="21525"/>
    <s v="#202412133700001539"/>
    <n v="21.52"/>
    <n v="7.64"/>
    <n v="0"/>
    <n v="0.02"/>
    <n v="80"/>
    <n v="15.76"/>
    <n v="124.94"/>
    <n v="2024"/>
    <n v="12"/>
    <n v="2024"/>
    <n v="9"/>
    <s v="09"/>
    <x v="11"/>
    <x v="11"/>
    <n v="21400.06"/>
  </r>
  <r>
    <d v="2024-12-13T00:00:00"/>
    <s v="OPT-NIFTY-19-Dec-2024-24500-P-E-I"/>
    <s v="NSE"/>
    <x v="1"/>
    <n v="100"/>
    <n v="0"/>
    <n v="201"/>
    <n v="20100"/>
    <s v="#202412133700001262"/>
    <n v="0"/>
    <n v="7.14"/>
    <n v="0.6"/>
    <n v="0.02"/>
    <n v="80"/>
    <n v="15.68"/>
    <n v="103.44"/>
    <n v="2024"/>
    <n v="12"/>
    <n v="2024"/>
    <n v="9"/>
    <s v="09"/>
    <x v="11"/>
    <x v="11"/>
    <n v="-20203.439999999999"/>
  </r>
  <r>
    <d v="2024-12-16T00:00:00"/>
    <s v="OPT-NIFTY-19-Dec-2024-24700-P-E-I"/>
    <s v="NSE"/>
    <x v="1"/>
    <n v="200"/>
    <n v="0"/>
    <n v="175.25"/>
    <n v="35050"/>
    <s v="#202412163700016230"/>
    <n v="0"/>
    <n v="12.46"/>
    <n v="1.05"/>
    <n v="0.04"/>
    <n v="160"/>
    <n v="31.04"/>
    <n v="204.59"/>
    <n v="2024"/>
    <n v="12"/>
    <n v="2024"/>
    <n v="9"/>
    <s v="09"/>
    <x v="11"/>
    <x v="11"/>
    <n v="-35254.589999999997"/>
  </r>
  <r>
    <d v="2024-12-16T00:00:00"/>
    <s v="OPT-NIFTY-19-Dec-2024-24600-P-E-I"/>
    <s v="NSE"/>
    <x v="0"/>
    <n v="250"/>
    <n v="0"/>
    <n v="162.25"/>
    <n v="40562.5"/>
    <s v="#202412163700011988"/>
    <n v="40.56"/>
    <n v="14.42"/>
    <n v="0"/>
    <n v="0.04"/>
    <n v="200"/>
    <n v="38.6"/>
    <n v="293.62"/>
    <n v="2024"/>
    <n v="12"/>
    <n v="2024"/>
    <n v="9"/>
    <s v="09"/>
    <x v="11"/>
    <x v="11"/>
    <n v="40268.879999999997"/>
  </r>
  <r>
    <d v="2024-12-16T00:00:00"/>
    <s v="OPT-NIFTY-19-Dec-2024-24600-P-E-I"/>
    <s v="NSE"/>
    <x v="1"/>
    <n v="250"/>
    <n v="0"/>
    <n v="151.25"/>
    <n v="37812.5"/>
    <s v="#202412163700009840"/>
    <n v="0"/>
    <n v="13.43"/>
    <n v="1.1299999999999999"/>
    <n v="0.04"/>
    <n v="200"/>
    <n v="38.42"/>
    <n v="253.02"/>
    <n v="2024"/>
    <n v="12"/>
    <n v="2024"/>
    <n v="9"/>
    <s v="09"/>
    <x v="11"/>
    <x v="11"/>
    <n v="-38065.519999999997"/>
  </r>
  <r>
    <d v="2024-12-16T00:00:00"/>
    <s v="OPT-NIFTY-19-Dec-2024-24650-P-E-I"/>
    <s v="NSE"/>
    <x v="0"/>
    <n v="250"/>
    <n v="0"/>
    <n v="157"/>
    <n v="39250"/>
    <s v="#202412163700007081"/>
    <n v="39.26"/>
    <n v="13.94"/>
    <n v="0"/>
    <n v="0.04"/>
    <n v="200"/>
    <n v="38.520000000000003"/>
    <n v="291.76"/>
    <n v="2024"/>
    <n v="12"/>
    <n v="2024"/>
    <n v="9"/>
    <s v="09"/>
    <x v="11"/>
    <x v="11"/>
    <n v="38958.239999999998"/>
  </r>
  <r>
    <d v="2024-12-16T00:00:00"/>
    <s v="OPT-NIFTY-19-Dec-2024-24650-P-E-I"/>
    <s v="NSE"/>
    <x v="1"/>
    <n v="250"/>
    <n v="0"/>
    <n v="131.25"/>
    <n v="32812.5"/>
    <s v="#202412163700006128"/>
    <n v="0"/>
    <n v="11.66"/>
    <n v="0.98"/>
    <n v="0.03"/>
    <n v="200"/>
    <n v="38.119999999999997"/>
    <n v="250.79"/>
    <n v="2024"/>
    <n v="12"/>
    <n v="2024"/>
    <n v="9"/>
    <s v="09"/>
    <x v="11"/>
    <x v="11"/>
    <n v="-33063.29"/>
  </r>
  <r>
    <d v="2024-12-16T00:00:00"/>
    <s v="OPT-NIFTY-19-Dec-2024-24350-P-E-I"/>
    <s v="NSE"/>
    <x v="0"/>
    <n v="1000"/>
    <n v="0"/>
    <n v="38.549999999999997"/>
    <n v="38550"/>
    <s v="#202412163700003620"/>
    <n v="38.19"/>
    <n v="13.69"/>
    <n v="0"/>
    <n v="0.03"/>
    <n v="800"/>
    <n v="146.46"/>
    <n v="998.37"/>
    <n v="2024"/>
    <n v="12"/>
    <n v="2024"/>
    <n v="9"/>
    <s v="09"/>
    <x v="11"/>
    <x v="11"/>
    <n v="37551.629999999997"/>
  </r>
  <r>
    <d v="2024-12-16T00:00:00"/>
    <s v="OPT-NIFTY-19-Dec-2024-24350-P-E-I"/>
    <s v="NSE"/>
    <x v="1"/>
    <n v="1000"/>
    <n v="0"/>
    <n v="48.05"/>
    <n v="48050"/>
    <s v="#202412163700003194"/>
    <n v="0"/>
    <n v="17.07"/>
    <n v="1.84"/>
    <n v="0.05"/>
    <n v="800"/>
    <n v="147.08000000000001"/>
    <n v="966.04"/>
    <n v="2024"/>
    <n v="12"/>
    <n v="2024"/>
    <n v="9"/>
    <s v="09"/>
    <x v="11"/>
    <x v="11"/>
    <n v="-49016.04"/>
  </r>
  <r>
    <d v="2024-12-17T00:00:00"/>
    <s v="OPT-NIFTY-19-Dec-2024-24550-C-E-I"/>
    <s v="NSE"/>
    <x v="0"/>
    <n v="500"/>
    <n v="0"/>
    <n v="70.25"/>
    <n v="35125"/>
    <s v="#202412173700018637"/>
    <n v="35.14"/>
    <n v="12.46"/>
    <n v="0"/>
    <n v="0.02"/>
    <n v="400"/>
    <n v="74.28"/>
    <n v="521.9"/>
    <n v="2024"/>
    <n v="12"/>
    <n v="2024"/>
    <n v="9"/>
    <s v="09"/>
    <x v="11"/>
    <x v="11"/>
    <n v="34603.1"/>
  </r>
  <r>
    <d v="2024-12-17T00:00:00"/>
    <s v="OPT-NIFTY-19-Dec-2024-24550-C-E-I"/>
    <s v="NSE"/>
    <x v="1"/>
    <n v="500"/>
    <n v="0"/>
    <n v="99.45"/>
    <n v="49726.25"/>
    <s v="#202412173700015309"/>
    <n v="0"/>
    <n v="17.670000000000002"/>
    <n v="1.72"/>
    <n v="0.03"/>
    <n v="400"/>
    <n v="75.2"/>
    <n v="494.62"/>
    <n v="2024"/>
    <n v="12"/>
    <n v="2024"/>
    <n v="9"/>
    <s v="09"/>
    <x v="11"/>
    <x v="11"/>
    <n v="-50220.87"/>
  </r>
  <r>
    <d v="2024-12-17T00:00:00"/>
    <s v="OPT-NIFTY-19-Dec-2024-24450-C-E-I"/>
    <s v="NSE"/>
    <x v="0"/>
    <n v="250"/>
    <n v="0"/>
    <n v="155.25"/>
    <n v="38812.5"/>
    <s v="#202412173700011243"/>
    <n v="38.81"/>
    <n v="13.79"/>
    <n v="0"/>
    <n v="0.03"/>
    <n v="200"/>
    <n v="38.479999999999997"/>
    <n v="291.11"/>
    <n v="2024"/>
    <n v="12"/>
    <n v="2024"/>
    <n v="9"/>
    <s v="09"/>
    <x v="11"/>
    <x v="11"/>
    <n v="38521.39"/>
  </r>
  <r>
    <d v="2024-12-17T00:00:00"/>
    <s v="OPT-NIFTY-19-Dec-2024-24450-C-E-I"/>
    <s v="NSE"/>
    <x v="1"/>
    <n v="50"/>
    <n v="0"/>
    <n v="168.2"/>
    <n v="8410"/>
    <s v="#202412173700009485"/>
    <n v="0"/>
    <n v="2.98"/>
    <n v="0"/>
    <n v="0"/>
    <n v="40"/>
    <n v="7.72"/>
    <n v="50.7"/>
    <n v="2024"/>
    <n v="12"/>
    <n v="2024"/>
    <n v="9"/>
    <s v="09"/>
    <x v="11"/>
    <x v="11"/>
    <n v="-8460.7000000000007"/>
  </r>
  <r>
    <d v="2024-12-17T00:00:00"/>
    <s v="OPT-NIFTY-19-Dec-2024-24450-C-E-I"/>
    <s v="NSE"/>
    <x v="1"/>
    <n v="100"/>
    <n v="0"/>
    <n v="169.95"/>
    <n v="16995"/>
    <s v="#202412173700009159"/>
    <n v="0"/>
    <n v="6.04"/>
    <n v="1.28"/>
    <n v="0.02"/>
    <n v="80"/>
    <n v="15.5"/>
    <n v="102.84"/>
    <n v="2024"/>
    <n v="12"/>
    <n v="2024"/>
    <n v="9"/>
    <s v="09"/>
    <x v="11"/>
    <x v="11"/>
    <n v="-17097.84"/>
  </r>
  <r>
    <d v="2024-12-17T00:00:00"/>
    <s v="OPT-NIFTY-19-Dec-2024-24450-C-E-I"/>
    <s v="NSE"/>
    <x v="1"/>
    <n v="100"/>
    <n v="0"/>
    <n v="171.25"/>
    <n v="17125"/>
    <s v="#202412173700009048"/>
    <n v="0"/>
    <n v="6.08"/>
    <n v="0"/>
    <n v="0.02"/>
    <n v="80"/>
    <n v="15.5"/>
    <n v="101.6"/>
    <n v="2024"/>
    <n v="12"/>
    <n v="2024"/>
    <n v="9"/>
    <s v="09"/>
    <x v="11"/>
    <x v="11"/>
    <n v="-17226.599999999999"/>
  </r>
  <r>
    <d v="2024-12-17T00:00:00"/>
    <s v="OPT-NIFTY-19-Dec-2024-24700-P-E-I"/>
    <s v="NSE"/>
    <x v="0"/>
    <n v="200"/>
    <n v="0"/>
    <n v="205.05"/>
    <n v="41010"/>
    <s v="#202412173700001238"/>
    <n v="41.06"/>
    <n v="14.57"/>
    <n v="0"/>
    <n v="0.04"/>
    <n v="160"/>
    <n v="31.42"/>
    <n v="247.09"/>
    <n v="2024"/>
    <n v="12"/>
    <n v="2024"/>
    <n v="9"/>
    <s v="09"/>
    <x v="11"/>
    <x v="11"/>
    <n v="40762.910000000003"/>
  </r>
  <r>
    <d v="2024-12-18T00:00:00"/>
    <s v="OPT-NIFTY-19-Dec-2024-24150-P-E-I"/>
    <s v="NSE"/>
    <x v="1"/>
    <n v="500"/>
    <n v="0"/>
    <n v="75"/>
    <n v="37500"/>
    <s v="#202412183700014911"/>
    <n v="0"/>
    <n v="13.32"/>
    <n v="1.39"/>
    <n v="0.04"/>
    <n v="400"/>
    <n v="74.400000000000006"/>
    <n v="489.15"/>
    <n v="2024"/>
    <n v="12"/>
    <n v="2024"/>
    <n v="9"/>
    <s v="09"/>
    <x v="11"/>
    <x v="11"/>
    <n v="-37989.15"/>
  </r>
  <r>
    <d v="2024-12-18T00:00:00"/>
    <s v="OPT-NIFTY-19-Dec-2024-24150-P-E-I"/>
    <s v="NSE"/>
    <x v="1"/>
    <n v="25"/>
    <n v="0"/>
    <n v="71"/>
    <n v="1775"/>
    <s v="#202412183700014869"/>
    <n v="0"/>
    <n v="0.63"/>
    <n v="0"/>
    <n v="0"/>
    <n v="20"/>
    <n v="3.72"/>
    <n v="24.35"/>
    <n v="2024"/>
    <n v="12"/>
    <n v="2024"/>
    <n v="9"/>
    <s v="09"/>
    <x v="11"/>
    <x v="11"/>
    <n v="-1799.35"/>
  </r>
  <r>
    <d v="2024-12-18T00:00:00"/>
    <s v="OPT-NIFTY-19-Dec-2024-24200-C-E-I"/>
    <s v="NSE"/>
    <x v="0"/>
    <n v="300"/>
    <n v="0"/>
    <n v="76"/>
    <n v="22800"/>
    <s v="#202412183700013252"/>
    <n v="23.18"/>
    <n v="8.1"/>
    <n v="0"/>
    <n v="0.03"/>
    <n v="240"/>
    <n v="44.66"/>
    <n v="315.97000000000003"/>
    <n v="2024"/>
    <n v="12"/>
    <n v="2024"/>
    <n v="9"/>
    <s v="09"/>
    <x v="11"/>
    <x v="11"/>
    <n v="22484.03"/>
  </r>
  <r>
    <d v="2024-12-18T00:00:00"/>
    <s v="OPT-NIFTY-19-Dec-2024-24200-C-E-I"/>
    <s v="NSE"/>
    <x v="1"/>
    <n v="100"/>
    <n v="0"/>
    <n v="95"/>
    <n v="9500"/>
    <s v="#202412183700013214"/>
    <n v="0"/>
    <n v="3.38"/>
    <n v="0.91"/>
    <n v="0.01"/>
    <n v="80"/>
    <n v="15.02"/>
    <n v="99.32"/>
    <n v="2024"/>
    <n v="12"/>
    <n v="2024"/>
    <n v="9"/>
    <s v="09"/>
    <x v="11"/>
    <x v="11"/>
    <n v="-9599.32"/>
  </r>
  <r>
    <d v="2024-12-18T00:00:00"/>
    <s v="OPT-NIFTY-19-Dec-2024-24200-C-E-I"/>
    <s v="NSE"/>
    <x v="1"/>
    <n v="100"/>
    <n v="0"/>
    <n v="99.3"/>
    <n v="9930"/>
    <s v="#202412183700013129"/>
    <n v="0"/>
    <n v="3.53"/>
    <n v="0"/>
    <n v="0.01"/>
    <n v="80"/>
    <n v="15.04"/>
    <n v="98.58"/>
    <n v="2024"/>
    <n v="12"/>
    <n v="2024"/>
    <n v="9"/>
    <s v="09"/>
    <x v="11"/>
    <x v="11"/>
    <n v="-10028.58"/>
  </r>
  <r>
    <d v="2024-12-18T00:00:00"/>
    <s v="OPT-NIFTY-19-Dec-2024-24200-C-E-I"/>
    <s v="NSE"/>
    <x v="1"/>
    <n v="100"/>
    <n v="0"/>
    <n v="108.66"/>
    <n v="10866.25"/>
    <s v="#202412183700012938"/>
    <n v="0"/>
    <n v="3.87"/>
    <n v="0"/>
    <n v="0.01"/>
    <n v="80"/>
    <n v="15.1"/>
    <n v="98.98"/>
    <n v="2024"/>
    <n v="12"/>
    <n v="2024"/>
    <n v="9"/>
    <s v="09"/>
    <x v="11"/>
    <x v="11"/>
    <n v="-10965.23"/>
  </r>
  <r>
    <d v="2024-12-18T00:00:00"/>
    <s v="OPT-ICIBAN-26-Dec-2024-1320-P-E-S"/>
    <s v="NSE"/>
    <x v="0"/>
    <n v="2100"/>
    <n v="0"/>
    <n v="13.25"/>
    <n v="27825"/>
    <s v="#202412183700001568"/>
    <n v="27.83"/>
    <n v="9.89"/>
    <n v="0"/>
    <n v="0.03"/>
    <n v="60"/>
    <n v="12.58"/>
    <n v="110.33"/>
    <n v="2024"/>
    <n v="12"/>
    <n v="2024"/>
    <n v="9"/>
    <s v="09"/>
    <x v="11"/>
    <x v="11"/>
    <n v="27714.67"/>
  </r>
  <r>
    <d v="2024-12-18T00:00:00"/>
    <s v="OPT-ICIBAN-26-Dec-2024-1320-P-E-S"/>
    <s v="NSE"/>
    <x v="1"/>
    <n v="2100"/>
    <n v="0"/>
    <n v="11.05"/>
    <n v="23205"/>
    <s v="#202412183700000937"/>
    <n v="0"/>
    <n v="8.25"/>
    <n v="0.7"/>
    <n v="0.03"/>
    <n v="60"/>
    <n v="12.3"/>
    <n v="81.28"/>
    <n v="2024"/>
    <n v="12"/>
    <n v="2024"/>
    <n v="9"/>
    <s v="09"/>
    <x v="11"/>
    <x v="11"/>
    <n v="-23286.28"/>
  </r>
  <r>
    <d v="2024-12-19T00:00:00"/>
    <s v="OPT-ICIBAN-26-Dec-2024-1290-P-E-S"/>
    <s v="NSE"/>
    <x v="0"/>
    <n v="2100"/>
    <n v="0"/>
    <n v="16.25"/>
    <n v="34125"/>
    <s v="#202412193700021166"/>
    <n v="34.14"/>
    <n v="12.12"/>
    <n v="0"/>
    <n v="0.03"/>
    <n v="60"/>
    <n v="12.96"/>
    <n v="119.25"/>
    <n v="2024"/>
    <n v="12"/>
    <n v="2024"/>
    <n v="9"/>
    <s v="09"/>
    <x v="11"/>
    <x v="11"/>
    <n v="34005.75"/>
  </r>
  <r>
    <d v="2024-12-19T00:00:00"/>
    <s v="OPT-ICIBAN-26-Dec-2024-1290-P-E-S"/>
    <s v="NSE"/>
    <x v="1"/>
    <n v="1400"/>
    <n v="0"/>
    <n v="14.7"/>
    <n v="20580"/>
    <s v="#202412193700021008"/>
    <n v="0"/>
    <n v="7.31"/>
    <n v="0.92"/>
    <n v="0.02"/>
    <n v="40"/>
    <n v="8.52"/>
    <n v="56.77"/>
    <n v="2024"/>
    <n v="12"/>
    <n v="2024"/>
    <n v="9"/>
    <s v="09"/>
    <x v="11"/>
    <x v="11"/>
    <n v="-20636.77"/>
  </r>
  <r>
    <d v="2024-12-19T00:00:00"/>
    <s v="OPT-ICIBAN-26-Dec-2024-1290-P-E-S"/>
    <s v="NSE"/>
    <x v="1"/>
    <n v="700"/>
    <n v="0"/>
    <n v="14.25"/>
    <n v="9975"/>
    <s v="#202412193700020177"/>
    <n v="0"/>
    <n v="3.54"/>
    <n v="0"/>
    <n v="0.01"/>
    <n v="20"/>
    <n v="4.24"/>
    <n v="27.79"/>
    <n v="2024"/>
    <n v="12"/>
    <n v="2024"/>
    <n v="9"/>
    <s v="09"/>
    <x v="11"/>
    <x v="11"/>
    <n v="-10002.790000000001"/>
  </r>
  <r>
    <d v="2024-12-19T00:00:00"/>
    <s v="OPT-LTINFO-26-Dec-2024-6300-P-E-S"/>
    <s v="NSE"/>
    <x v="0"/>
    <n v="600"/>
    <n v="0"/>
    <n v="105.25"/>
    <n v="63150"/>
    <s v="#202412193700010102"/>
    <n v="63.16"/>
    <n v="22.44"/>
    <n v="0"/>
    <n v="0.06"/>
    <n v="80"/>
    <n v="18.440000000000001"/>
    <n v="184.1"/>
    <n v="2024"/>
    <n v="12"/>
    <n v="2024"/>
    <n v="9"/>
    <s v="09"/>
    <x v="11"/>
    <x v="11"/>
    <n v="62965.9"/>
  </r>
  <r>
    <d v="2024-12-19T00:00:00"/>
    <s v="OPT-LTINFO-26-Dec-2024-6300-P-E-S"/>
    <s v="NSE"/>
    <x v="1"/>
    <n v="600"/>
    <n v="0"/>
    <n v="99.7"/>
    <n v="59820"/>
    <s v="#202412193700009588"/>
    <n v="0"/>
    <n v="21.25"/>
    <n v="2.08"/>
    <n v="0.06"/>
    <n v="80"/>
    <n v="18.239999999999998"/>
    <n v="121.63"/>
    <n v="2024"/>
    <n v="12"/>
    <n v="2024"/>
    <n v="9"/>
    <s v="09"/>
    <x v="11"/>
    <x v="11"/>
    <n v="-59941.63"/>
  </r>
  <r>
    <d v="2024-12-19T00:00:00"/>
    <s v="OPT-NIFTY-19-Dec-2024-24150-P-E-I"/>
    <s v="NSE"/>
    <x v="0"/>
    <n v="525"/>
    <n v="0"/>
    <n v="169.18"/>
    <n v="88820"/>
    <s v="#202412192500000280"/>
    <n v="88.72"/>
    <n v="31.55"/>
    <n v="0"/>
    <n v="0.09"/>
    <n v="420"/>
    <n v="81.3"/>
    <n v="621.66"/>
    <n v="2024"/>
    <n v="12"/>
    <n v="2024"/>
    <n v="9"/>
    <s v="09"/>
    <x v="11"/>
    <x v="11"/>
    <n v="88198.34"/>
  </r>
  <r>
    <d v="2024-12-20T00:00:00"/>
    <s v="OPT-NIFTY-26-Dec-2024-23850-C-E-I"/>
    <s v="NSE"/>
    <x v="1"/>
    <n v="100"/>
    <n v="0"/>
    <n v="105"/>
    <n v="10500"/>
    <s v="#202412203700021315"/>
    <n v="0"/>
    <n v="3.73"/>
    <n v="0"/>
    <n v="0.01"/>
    <n v="80"/>
    <n v="15.08"/>
    <n v="98.82"/>
    <n v="2024"/>
    <n v="12"/>
    <n v="2024"/>
    <n v="9"/>
    <s v="09"/>
    <x v="11"/>
    <x v="11"/>
    <n v="-10598.82"/>
  </r>
  <r>
    <d v="2024-12-20T00:00:00"/>
    <s v="OPT-NIFTY-26-Dec-2024-23850-C-E-I"/>
    <s v="NSE"/>
    <x v="1"/>
    <n v="200"/>
    <n v="0"/>
    <n v="141.25"/>
    <n v="28250"/>
    <s v="#202412203700016167"/>
    <n v="0"/>
    <n v="10.039999999999999"/>
    <n v="2"/>
    <n v="0.03"/>
    <n v="160"/>
    <n v="30.62"/>
    <n v="202.69"/>
    <n v="2024"/>
    <n v="12"/>
    <n v="2024"/>
    <n v="9"/>
    <s v="09"/>
    <x v="11"/>
    <x v="11"/>
    <n v="-28452.69"/>
  </r>
  <r>
    <d v="2024-12-20T00:00:00"/>
    <s v="OPT-NIFTY-26-Dec-2024-23850-C-E-I"/>
    <s v="NSE"/>
    <x v="1"/>
    <n v="100"/>
    <n v="0"/>
    <n v="190.5"/>
    <n v="19050"/>
    <s v="#202412203700013661"/>
    <n v="0"/>
    <n v="6.77"/>
    <n v="0"/>
    <n v="0.02"/>
    <n v="80"/>
    <n v="15.62"/>
    <n v="102.41"/>
    <n v="2024"/>
    <n v="12"/>
    <n v="2024"/>
    <n v="9"/>
    <s v="09"/>
    <x v="11"/>
    <x v="11"/>
    <n v="-19152.41"/>
  </r>
  <r>
    <d v="2024-12-20T00:00:00"/>
    <s v="OPT-NIFTY-26-Dec-2024-23850-C-E-I"/>
    <s v="NSE"/>
    <x v="1"/>
    <n v="100"/>
    <n v="0"/>
    <n v="206.6"/>
    <n v="20660"/>
    <s v="#202412203700013103"/>
    <n v="0"/>
    <n v="7.35"/>
    <n v="0"/>
    <n v="0.03"/>
    <n v="80"/>
    <n v="15.74"/>
    <n v="103.12"/>
    <n v="2024"/>
    <n v="12"/>
    <n v="2024"/>
    <n v="9"/>
    <s v="09"/>
    <x v="11"/>
    <x v="11"/>
    <n v="-20763.12"/>
  </r>
  <r>
    <d v="2024-12-23T00:00:00"/>
    <s v="OPT-ICIBAN-26-Dec-2024-1300-C-E-S"/>
    <s v="NSE"/>
    <x v="0"/>
    <n v="3500"/>
    <n v="0"/>
    <n v="6.1"/>
    <n v="21350"/>
    <s v="#202412233700012667"/>
    <n v="21.35"/>
    <n v="7.58"/>
    <n v="0"/>
    <n v="0.02"/>
    <n v="100"/>
    <n v="19.36"/>
    <n v="148.31"/>
    <n v="2024"/>
    <n v="12"/>
    <n v="2024"/>
    <n v="9"/>
    <s v="09"/>
    <x v="11"/>
    <x v="11"/>
    <n v="21201.69"/>
  </r>
  <r>
    <d v="2024-12-23T00:00:00"/>
    <s v="OPT-ICIBAN-26-Dec-2024-1300-C-E-S"/>
    <s v="NSE"/>
    <x v="1"/>
    <n v="3500"/>
    <n v="0"/>
    <n v="9.19"/>
    <n v="32165"/>
    <s v="#202412233700009108"/>
    <n v="0"/>
    <n v="11.44"/>
    <n v="1"/>
    <n v="0.04"/>
    <n v="100"/>
    <n v="20.079999999999998"/>
    <n v="132.56"/>
    <n v="2024"/>
    <n v="12"/>
    <n v="2024"/>
    <n v="9"/>
    <s v="09"/>
    <x v="11"/>
    <x v="11"/>
    <n v="-32297.56"/>
  </r>
  <r>
    <d v="2024-12-23T00:00:00"/>
    <s v="OPT-NIFTY-26-Dec-2024-23850-C-E-I"/>
    <s v="NSE"/>
    <x v="0"/>
    <n v="500"/>
    <n v="0"/>
    <n v="72"/>
    <n v="36000"/>
    <s v="#202412233700005004"/>
    <n v="35.65"/>
    <n v="12.79"/>
    <n v="0"/>
    <n v="0.03"/>
    <n v="400"/>
    <n v="74.319999999999993"/>
    <n v="522.79"/>
    <n v="2024"/>
    <n v="12"/>
    <n v="2024"/>
    <n v="9"/>
    <s v="09"/>
    <x v="11"/>
    <x v="11"/>
    <n v="35477.21"/>
  </r>
  <r>
    <d v="2024-12-24T00:00:00"/>
    <s v="OPT-NIFTY-26-Dec-2024-23800-C-E-I"/>
    <s v="NSE"/>
    <x v="0"/>
    <n v="400"/>
    <n v="0"/>
    <n v="53.5"/>
    <n v="21400"/>
    <s v="#202412243700022529"/>
    <n v="21.41"/>
    <n v="7.6"/>
    <n v="0"/>
    <n v="0.02"/>
    <n v="320"/>
    <n v="58.98"/>
    <n v="408.01"/>
    <n v="2024"/>
    <n v="12"/>
    <n v="2024"/>
    <n v="9"/>
    <s v="09"/>
    <x v="11"/>
    <x v="11"/>
    <n v="20991.99"/>
  </r>
  <r>
    <d v="2024-12-24T00:00:00"/>
    <s v="OPT-NIFTY-26-Dec-2024-23800-C-E-I"/>
    <s v="NSE"/>
    <x v="1"/>
    <n v="100"/>
    <n v="0"/>
    <n v="58"/>
    <n v="5800"/>
    <s v="#202412243700019033"/>
    <n v="0"/>
    <n v="2.06"/>
    <n v="0"/>
    <n v="0.01"/>
    <n v="80"/>
    <n v="14.78"/>
    <n v="96.85"/>
    <n v="2024"/>
    <n v="12"/>
    <n v="2024"/>
    <n v="9"/>
    <s v="09"/>
    <x v="11"/>
    <x v="11"/>
    <n v="-5896.85"/>
  </r>
  <r>
    <d v="2024-12-24T00:00:00"/>
    <s v="OPT-NIFTY-26-Dec-2024-23800-C-E-I"/>
    <s v="NSE"/>
    <x v="1"/>
    <n v="100"/>
    <n v="0"/>
    <n v="70.8"/>
    <n v="7080"/>
    <s v="#202412243700018377"/>
    <n v="0"/>
    <n v="2.52"/>
    <n v="0.81"/>
    <n v="0.01"/>
    <n v="80"/>
    <n v="14.86"/>
    <n v="98.2"/>
    <n v="2024"/>
    <n v="12"/>
    <n v="2024"/>
    <n v="9"/>
    <s v="09"/>
    <x v="11"/>
    <x v="11"/>
    <n v="-7178.2"/>
  </r>
  <r>
    <d v="2024-12-24T00:00:00"/>
    <s v="OPT-NIFTY-26-Dec-2024-23800-C-E-I"/>
    <s v="NSE"/>
    <x v="1"/>
    <n v="50"/>
    <n v="0"/>
    <n v="71.25"/>
    <n v="3562.5"/>
    <s v="#202412243700017127"/>
    <n v="0"/>
    <n v="1.26"/>
    <n v="0"/>
    <n v="0"/>
    <n v="40"/>
    <n v="7.44"/>
    <n v="48.7"/>
    <n v="2024"/>
    <n v="12"/>
    <n v="2024"/>
    <n v="9"/>
    <s v="09"/>
    <x v="11"/>
    <x v="11"/>
    <n v="-3611.2"/>
  </r>
  <r>
    <d v="2024-12-24T00:00:00"/>
    <s v="OPT-NIFTY-26-Dec-2024-23800-C-E-I"/>
    <s v="NSE"/>
    <x v="1"/>
    <n v="50"/>
    <n v="0"/>
    <n v="78"/>
    <n v="3900"/>
    <s v="#202412243700016418"/>
    <n v="0"/>
    <n v="1.39"/>
    <n v="0"/>
    <n v="0"/>
    <n v="40"/>
    <n v="7.46"/>
    <n v="48.85"/>
    <n v="2024"/>
    <n v="12"/>
    <n v="2024"/>
    <n v="9"/>
    <s v="09"/>
    <x v="11"/>
    <x v="11"/>
    <n v="-3948.85"/>
  </r>
  <r>
    <d v="2024-12-24T00:00:00"/>
    <s v="OPT-NIFTY-26-Dec-2024-23800-C-E-I"/>
    <s v="NSE"/>
    <x v="1"/>
    <n v="100"/>
    <n v="0"/>
    <n v="89"/>
    <n v="8900"/>
    <s v="#202412243700015467"/>
    <n v="0"/>
    <n v="3.16"/>
    <n v="0"/>
    <n v="0.01"/>
    <n v="80"/>
    <n v="14.96"/>
    <n v="98.13"/>
    <n v="2024"/>
    <n v="12"/>
    <n v="2024"/>
    <n v="9"/>
    <s v="09"/>
    <x v="11"/>
    <x v="11"/>
    <n v="-8998.1299999999992"/>
  </r>
  <r>
    <d v="2024-12-24T00:00:00"/>
    <s v="OPT-NIFTY-26-Dec-2024-23800-P-E-I"/>
    <s v="NSE"/>
    <x v="1"/>
    <n v="25"/>
    <n v="0"/>
    <n v="60.45"/>
    <n v="1511.25"/>
    <s v="#202412243700009333"/>
    <n v="0"/>
    <n v="0.54"/>
    <n v="0"/>
    <n v="0"/>
    <n v="20"/>
    <n v="3.7"/>
    <n v="24.24"/>
    <n v="2024"/>
    <n v="12"/>
    <n v="2024"/>
    <n v="9"/>
    <s v="09"/>
    <x v="11"/>
    <x v="11"/>
    <n v="-1535.49"/>
  </r>
  <r>
    <d v="2024-12-24T00:00:00"/>
    <s v="OPT-NIFTY-26-Dec-2024-23800-P-E-I"/>
    <s v="NSE"/>
    <x v="0"/>
    <n v="100"/>
    <n v="0"/>
    <n v="73.25"/>
    <n v="7325"/>
    <s v="#202412243700008331"/>
    <n v="7.6"/>
    <n v="2.6"/>
    <n v="0"/>
    <n v="0"/>
    <n v="80"/>
    <n v="14.88"/>
    <n v="105.08"/>
    <n v="2024"/>
    <n v="12"/>
    <n v="2024"/>
    <n v="9"/>
    <s v="09"/>
    <x v="11"/>
    <x v="11"/>
    <n v="7219.92"/>
  </r>
  <r>
    <d v="2024-12-24T00:00:00"/>
    <s v="OPT-NIFTY-26-Dec-2024-23800-P-E-I"/>
    <s v="NSE"/>
    <x v="1"/>
    <n v="75"/>
    <n v="0"/>
    <n v="63.95"/>
    <n v="4796.25"/>
    <s v="#202412243700008245"/>
    <n v="0"/>
    <n v="1.7"/>
    <n v="0.19"/>
    <n v="0"/>
    <n v="60"/>
    <n v="11.1"/>
    <n v="72.989999999999995"/>
    <n v="2024"/>
    <n v="12"/>
    <n v="2024"/>
    <n v="9"/>
    <s v="09"/>
    <x v="11"/>
    <x v="11"/>
    <n v="-4869.24"/>
  </r>
  <r>
    <d v="2024-12-26T00:00:00"/>
    <s v="OPT-NIFTY-26-Dec-2024-23700-P-E-I"/>
    <s v="NSE"/>
    <x v="0"/>
    <n v="500"/>
    <n v="0"/>
    <n v="16.149999999999999"/>
    <n v="8075"/>
    <s v="#202412263700015100"/>
    <n v="8.07"/>
    <n v="2.87"/>
    <n v="0"/>
    <n v="0.01"/>
    <n v="400"/>
    <n v="72.52"/>
    <n v="483.47"/>
    <n v="2024"/>
    <n v="12"/>
    <n v="2024"/>
    <n v="9"/>
    <s v="09"/>
    <x v="11"/>
    <x v="11"/>
    <n v="7591.53"/>
  </r>
  <r>
    <d v="2024-12-26T00:00:00"/>
    <s v="OPT-NIFTY-26-Dec-2024-23700-P-E-I"/>
    <s v="NSE"/>
    <x v="1"/>
    <n v="200"/>
    <n v="0"/>
    <n v="10.85"/>
    <n v="2170"/>
    <s v="#202412263700013854"/>
    <n v="0"/>
    <n v="0.77"/>
    <n v="0.25"/>
    <n v="0"/>
    <n v="160"/>
    <n v="28.94"/>
    <n v="189.96"/>
    <n v="2024"/>
    <n v="12"/>
    <n v="2024"/>
    <n v="9"/>
    <s v="09"/>
    <x v="11"/>
    <x v="11"/>
    <n v="-2359.96"/>
  </r>
  <r>
    <d v="2024-12-26T00:00:00"/>
    <s v="OPT-NIFTY-26-Dec-2024-23700-P-E-I"/>
    <s v="NSE"/>
    <x v="1"/>
    <n v="100"/>
    <n v="0"/>
    <n v="11.85"/>
    <n v="1185"/>
    <s v="#202412263700011676"/>
    <n v="0"/>
    <n v="0.42"/>
    <n v="0"/>
    <n v="0"/>
    <n v="80"/>
    <n v="14.48"/>
    <n v="94.9"/>
    <n v="2024"/>
    <n v="12"/>
    <n v="2024"/>
    <n v="9"/>
    <s v="09"/>
    <x v="11"/>
    <x v="11"/>
    <n v="-1279.9000000000001"/>
  </r>
  <r>
    <d v="2024-12-26T00:00:00"/>
    <s v="OPT-NIFTY-26-Dec-2024-23700-P-E-I"/>
    <s v="NSE"/>
    <x v="1"/>
    <n v="100"/>
    <n v="0"/>
    <n v="12.7"/>
    <n v="1270"/>
    <s v="#202412263700010390"/>
    <n v="0"/>
    <n v="0.45"/>
    <n v="0"/>
    <n v="0"/>
    <n v="80"/>
    <n v="14.48"/>
    <n v="94.93"/>
    <n v="2024"/>
    <n v="12"/>
    <n v="2024"/>
    <n v="9"/>
    <s v="09"/>
    <x v="11"/>
    <x v="11"/>
    <n v="-1364.93"/>
  </r>
  <r>
    <d v="2024-12-26T00:00:00"/>
    <s v="OPT-NIFTY-26-Dec-2024-23700-P-E-I"/>
    <s v="NSE"/>
    <x v="1"/>
    <n v="50"/>
    <n v="0"/>
    <n v="17.3"/>
    <n v="865"/>
    <s v="#202412263700010114"/>
    <n v="0"/>
    <n v="0.31"/>
    <n v="0"/>
    <n v="0"/>
    <n v="40"/>
    <n v="7.26"/>
    <n v="47.57"/>
    <n v="2024"/>
    <n v="12"/>
    <n v="2024"/>
    <n v="9"/>
    <s v="09"/>
    <x v="11"/>
    <x v="11"/>
    <n v="-912.57"/>
  </r>
  <r>
    <d v="2024-12-26T00:00:00"/>
    <s v="OPT-NIFTY-26-Dec-2024-23700-P-E-I"/>
    <s v="NSE"/>
    <x v="1"/>
    <n v="50"/>
    <n v="0"/>
    <n v="21.75"/>
    <n v="1087.5"/>
    <s v="#202412263700009863"/>
    <n v="0"/>
    <n v="0.39"/>
    <n v="0"/>
    <n v="0"/>
    <n v="40"/>
    <n v="7.28"/>
    <n v="47.67"/>
    <n v="2024"/>
    <n v="12"/>
    <n v="2024"/>
    <n v="9"/>
    <s v="09"/>
    <x v="11"/>
    <x v="11"/>
    <n v="-1135.17"/>
  </r>
  <r>
    <d v="2024-12-26T00:00:00"/>
    <s v="OPT-NIFTY-26-Dec-2024-23700-P-E-I"/>
    <s v="NSE"/>
    <x v="0"/>
    <n v="50"/>
    <n v="0"/>
    <n v="44.25"/>
    <n v="2212.5"/>
    <s v="#202412263700008976"/>
    <n v="2.1"/>
    <n v="0.79"/>
    <n v="0"/>
    <n v="0"/>
    <n v="40"/>
    <n v="7.34"/>
    <n v="50.23"/>
    <n v="2024"/>
    <n v="12"/>
    <n v="2024"/>
    <n v="9"/>
    <s v="09"/>
    <x v="11"/>
    <x v="11"/>
    <n v="2162.27"/>
  </r>
  <r>
    <d v="2024-12-26T00:00:00"/>
    <s v="OPT-NIFTY-26-Dec-2024-23700-P-E-I"/>
    <s v="NSE"/>
    <x v="1"/>
    <n v="50"/>
    <n v="0"/>
    <n v="33.9"/>
    <n v="1695"/>
    <s v="#202412263700008945"/>
    <n v="0"/>
    <n v="0.6"/>
    <n v="0"/>
    <n v="0"/>
    <n v="40"/>
    <n v="7.3"/>
    <n v="47.9"/>
    <n v="2024"/>
    <n v="12"/>
    <n v="2024"/>
    <n v="9"/>
    <s v="09"/>
    <x v="11"/>
    <x v="11"/>
    <n v="-1742.9"/>
  </r>
  <r>
    <d v="2024-12-26T00:00:00"/>
    <s v="OPT-NIFTY-26-Dec-2024-23850-P-E-I"/>
    <s v="NSE"/>
    <x v="1"/>
    <n v="25"/>
    <n v="0"/>
    <n v="123.65"/>
    <n v="3091.25"/>
    <s v="#202412263700007561"/>
    <n v="0"/>
    <n v="1.1000000000000001"/>
    <n v="0"/>
    <n v="0"/>
    <n v="20"/>
    <n v="3.8"/>
    <n v="24.9"/>
    <n v="2024"/>
    <n v="12"/>
    <n v="2024"/>
    <n v="9"/>
    <s v="09"/>
    <x v="11"/>
    <x v="11"/>
    <n v="-3116.15"/>
  </r>
  <r>
    <d v="2024-12-26T00:00:00"/>
    <s v="OPT-NIFTY-26-Dec-2024-23850-P-E-I"/>
    <s v="NSE"/>
    <x v="0"/>
    <n v="75"/>
    <n v="0"/>
    <n v="134.25"/>
    <n v="10068.75"/>
    <s v="#202412263700007406"/>
    <n v="10.07"/>
    <n v="3.58"/>
    <n v="0"/>
    <n v="0.01"/>
    <n v="60"/>
    <n v="11.44"/>
    <n v="85.1"/>
    <n v="2024"/>
    <n v="12"/>
    <n v="2024"/>
    <n v="9"/>
    <s v="09"/>
    <x v="11"/>
    <x v="11"/>
    <n v="9983.65"/>
  </r>
  <r>
    <d v="2024-12-26T00:00:00"/>
    <s v="OPT-NIFTY-26-Dec-2024-23850-P-E-I"/>
    <s v="NSE"/>
    <x v="1"/>
    <n v="25"/>
    <n v="0"/>
    <n v="111.95"/>
    <n v="2798.75"/>
    <s v="#202412263700007045"/>
    <n v="0"/>
    <n v="0.99"/>
    <n v="0"/>
    <n v="0"/>
    <n v="20"/>
    <n v="3.78"/>
    <n v="24.77"/>
    <n v="2024"/>
    <n v="12"/>
    <n v="2024"/>
    <n v="9"/>
    <s v="09"/>
    <x v="11"/>
    <x v="11"/>
    <n v="-2823.52"/>
  </r>
  <r>
    <d v="2024-12-26T00:00:00"/>
    <s v="OPT-NIFTY-26-Dec-2024-23850-P-E-I"/>
    <s v="NSE"/>
    <x v="1"/>
    <n v="25"/>
    <n v="0"/>
    <n v="120.15"/>
    <n v="3003.75"/>
    <s v="#202412263700006944"/>
    <n v="0"/>
    <n v="1.07"/>
    <n v="0"/>
    <n v="0"/>
    <n v="20"/>
    <n v="3.8"/>
    <n v="24.87"/>
    <n v="2024"/>
    <n v="12"/>
    <n v="2024"/>
    <n v="9"/>
    <s v="09"/>
    <x v="11"/>
    <x v="11"/>
    <n v="-3028.62"/>
  </r>
  <r>
    <d v="2024-12-26T00:00:00"/>
    <s v="OPT-NIFTY-26-Dec-2024-23850-P-E-I"/>
    <s v="NSE"/>
    <x v="0"/>
    <n v="100"/>
    <n v="0"/>
    <n v="77.55"/>
    <n v="7755"/>
    <s v="#202412263700005137"/>
    <n v="7.76"/>
    <n v="2.76"/>
    <n v="0"/>
    <n v="0.01"/>
    <n v="80"/>
    <n v="14.9"/>
    <n v="105.43"/>
    <n v="2024"/>
    <n v="12"/>
    <n v="2024"/>
    <n v="9"/>
    <s v="09"/>
    <x v="11"/>
    <x v="11"/>
    <n v="7649.57"/>
  </r>
  <r>
    <d v="2024-12-26T00:00:00"/>
    <s v="OPT-NIFTY-26-Dec-2024-23850-P-E-I"/>
    <s v="NSE"/>
    <x v="1"/>
    <n v="100"/>
    <n v="0"/>
    <n v="70.25"/>
    <n v="7025"/>
    <s v="#202412263700005075"/>
    <n v="0"/>
    <n v="2.4900000000000002"/>
    <n v="0.75"/>
    <n v="0"/>
    <n v="80"/>
    <n v="14.86"/>
    <n v="98.1"/>
    <n v="2024"/>
    <n v="12"/>
    <n v="2024"/>
    <n v="9"/>
    <s v="09"/>
    <x v="11"/>
    <x v="11"/>
    <n v="-7123.1"/>
  </r>
  <r>
    <d v="2024-12-27T00:00:00"/>
    <s v="OPT-NIFTY-02-Jan-2025-23800-P-E-I"/>
    <s v="NSE"/>
    <x v="0"/>
    <n v="150"/>
    <n v="0"/>
    <n v="115"/>
    <n v="17250"/>
    <s v="#202412273700011712"/>
    <n v="17.739999999999998"/>
    <n v="6.13"/>
    <n v="0"/>
    <n v="0.02"/>
    <n v="40"/>
    <n v="8.3000000000000007"/>
    <n v="72.19"/>
    <n v="2024"/>
    <n v="12"/>
    <n v="2024"/>
    <n v="9"/>
    <s v="09"/>
    <x v="11"/>
    <x v="11"/>
    <n v="17177.810000000001"/>
  </r>
  <r>
    <d v="2024-12-27T00:00:00"/>
    <s v="OPT-NIFTY-02-Jan-2025-23800-P-E-I"/>
    <s v="NSE"/>
    <x v="1"/>
    <n v="150"/>
    <n v="0"/>
    <n v="106.55"/>
    <n v="15982.5"/>
    <s v="#202412273700007531"/>
    <n v="0"/>
    <n v="5.68"/>
    <n v="1"/>
    <n v="0.02"/>
    <n v="40"/>
    <n v="8.2200000000000006"/>
    <n v="54.92"/>
    <n v="2024"/>
    <n v="12"/>
    <n v="2024"/>
    <n v="9"/>
    <s v="09"/>
    <x v="11"/>
    <x v="11"/>
    <n v="-16037.42"/>
  </r>
  <r>
    <d v="2024-12-27T00:00:00"/>
    <s v="OPT-NIFTY-02-Jan-2025-23800-P-E-I"/>
    <s v="NSE"/>
    <x v="0"/>
    <n v="150"/>
    <n v="0"/>
    <n v="101.75"/>
    <n v="15262.5"/>
    <s v="#202412273700005662"/>
    <n v="15.26"/>
    <n v="5.42"/>
    <n v="0"/>
    <n v="0.02"/>
    <n v="40"/>
    <n v="8.18"/>
    <n v="68.88"/>
    <n v="2024"/>
    <n v="12"/>
    <n v="2024"/>
    <n v="9"/>
    <s v="09"/>
    <x v="11"/>
    <x v="11"/>
    <n v="15193.62"/>
  </r>
  <r>
    <d v="2024-12-27T00:00:00"/>
    <s v="OPT-NIFTY-02-Jan-2025-23800-P-E-I"/>
    <s v="NSE"/>
    <x v="1"/>
    <n v="75"/>
    <n v="0"/>
    <n v="131.69999999999999"/>
    <n v="9877.5"/>
    <s v="#202412273700001345"/>
    <n v="0"/>
    <n v="3.51"/>
    <n v="0"/>
    <n v="0.01"/>
    <n v="20"/>
    <n v="4.24"/>
    <n v="27.76"/>
    <n v="2024"/>
    <n v="12"/>
    <n v="2024"/>
    <n v="9"/>
    <s v="09"/>
    <x v="11"/>
    <x v="11"/>
    <n v="-9905.26"/>
  </r>
  <r>
    <d v="2024-12-27T00:00:00"/>
    <s v="OPT-NIFTY-02-Jan-2025-23800-P-E-I"/>
    <s v="NSE"/>
    <x v="1"/>
    <n v="75"/>
    <n v="0"/>
    <n v="149.44999999999999"/>
    <n v="11208.75"/>
    <s v="#202412273700001191"/>
    <n v="0"/>
    <n v="3.98"/>
    <n v="0"/>
    <n v="0.01"/>
    <n v="20"/>
    <n v="4.32"/>
    <n v="28.31"/>
    <n v="2024"/>
    <n v="12"/>
    <n v="2024"/>
    <n v="9"/>
    <s v="09"/>
    <x v="11"/>
    <x v="11"/>
    <n v="-11237.06"/>
  </r>
  <r>
    <d v="2024-12-30T00:00:00"/>
    <s v="OPT-NIFTY-02-Jan-2025-23800-P-E-I"/>
    <s v="NSE"/>
    <x v="0"/>
    <n v="75"/>
    <n v="0"/>
    <n v="105.25"/>
    <n v="7893.75"/>
    <s v="#202412303700010121"/>
    <n v="7.89"/>
    <n v="2.8"/>
    <n v="0"/>
    <n v="0.01"/>
    <n v="20"/>
    <n v="4.0999999999999996"/>
    <n v="34.799999999999997"/>
    <n v="2024"/>
    <n v="12"/>
    <n v="2024"/>
    <n v="9"/>
    <s v="09"/>
    <x v="11"/>
    <x v="11"/>
    <n v="7858.95"/>
  </r>
  <r>
    <d v="2024-12-30T00:00:00"/>
    <s v="OPT-NIFTY-02-Jan-2025-23800-P-E-I"/>
    <s v="NSE"/>
    <x v="1"/>
    <n v="75"/>
    <n v="0"/>
    <n v="85"/>
    <n v="6375"/>
    <s v="#202412303700009866"/>
    <n v="0"/>
    <n v="2.27"/>
    <n v="0"/>
    <n v="0.01"/>
    <n v="20"/>
    <n v="4.0199999999999996"/>
    <n v="26.3"/>
    <n v="2024"/>
    <n v="12"/>
    <n v="2024"/>
    <n v="9"/>
    <s v="09"/>
    <x v="11"/>
    <x v="11"/>
    <n v="-6401.3"/>
  </r>
  <r>
    <d v="2024-12-30T00:00:00"/>
    <s v="OPT-NIFTY-02-Jan-2025-23800-C-E-I"/>
    <s v="NSE"/>
    <x v="0"/>
    <n v="75"/>
    <n v="0"/>
    <n v="93.45"/>
    <n v="7008.75"/>
    <s v="#202412303700002104"/>
    <n v="7.11"/>
    <n v="2.4900000000000002"/>
    <n v="0"/>
    <n v="0.01"/>
    <n v="20"/>
    <n v="4.0599999999999996"/>
    <n v="33.67"/>
    <n v="2024"/>
    <n v="12"/>
    <n v="2024"/>
    <n v="9"/>
    <s v="09"/>
    <x v="11"/>
    <x v="11"/>
    <n v="6975.08"/>
  </r>
  <r>
    <d v="2024-12-30T00:00:00"/>
    <s v="OPT-NIFTY-02-Jan-2025-23800-C-E-I"/>
    <s v="NSE"/>
    <x v="1"/>
    <n v="75"/>
    <n v="0"/>
    <n v="108.55"/>
    <n v="8141.25"/>
    <s v="#202412303700001524"/>
    <n v="0"/>
    <n v="2.89"/>
    <n v="0"/>
    <n v="0.01"/>
    <n v="20"/>
    <n v="4.12"/>
    <n v="27.02"/>
    <n v="2024"/>
    <n v="12"/>
    <n v="2024"/>
    <n v="9"/>
    <s v="09"/>
    <x v="11"/>
    <x v="11"/>
    <n v="-8168.27"/>
  </r>
  <r>
    <d v="2024-12-31T00:00:00"/>
    <s v="OPT-NIFTY-02-Jan-2025-23550-P-E-I"/>
    <s v="NSE"/>
    <x v="1"/>
    <n v="75"/>
    <n v="0"/>
    <n v="103"/>
    <n v="7725"/>
    <s v="#202412313700008524"/>
    <n v="0"/>
    <n v="2.74"/>
    <n v="0"/>
    <n v="0.01"/>
    <n v="20"/>
    <n v="4.0999999999999996"/>
    <n v="26.85"/>
    <n v="2024"/>
    <n v="12"/>
    <n v="2024"/>
    <n v="9"/>
    <s v="09"/>
    <x v="11"/>
    <x v="11"/>
    <n v="-7751.85"/>
  </r>
  <r>
    <d v="2024-12-31T00:00:00"/>
    <s v="OPT-NIFTY-02-Jan-2025-23550-P-E-I"/>
    <s v="NSE"/>
    <x v="1"/>
    <n v="75"/>
    <n v="0"/>
    <n v="108.9"/>
    <n v="8167.5"/>
    <s v="#202412313700008342"/>
    <n v="0"/>
    <n v="2.9"/>
    <n v="0"/>
    <n v="0.01"/>
    <n v="20"/>
    <n v="4.12"/>
    <n v="27.03"/>
    <n v="2024"/>
    <n v="12"/>
    <n v="2024"/>
    <n v="9"/>
    <s v="09"/>
    <x v="11"/>
    <x v="11"/>
    <n v="-8194.5300000000007"/>
  </r>
  <r>
    <d v="2024-12-31T00:00:00"/>
    <s v="OPT-NIFTY-02-Jan-2025-23550-P-E-I"/>
    <s v="NSE"/>
    <x v="1"/>
    <n v="75"/>
    <n v="0"/>
    <n v="126.25"/>
    <n v="9468.75"/>
    <s v="#202412313700007309"/>
    <n v="0"/>
    <n v="3.36"/>
    <n v="0.44"/>
    <n v="0.01"/>
    <n v="20"/>
    <n v="4.2"/>
    <n v="28.01"/>
    <n v="2024"/>
    <n v="12"/>
    <n v="2024"/>
    <n v="9"/>
    <s v="09"/>
    <x v="11"/>
    <x v="11"/>
    <n v="-9496.76"/>
  </r>
  <r>
    <d v="2024-12-31T00:00:00"/>
    <s v="OPT-NIFTY-02-Jan-2025-23550-C-E-I"/>
    <s v="NSE"/>
    <x v="0"/>
    <n v="75"/>
    <n v="0"/>
    <n v="129.25"/>
    <n v="9693.75"/>
    <s v="#202412313700004232"/>
    <n v="9.56"/>
    <n v="3.44"/>
    <n v="0"/>
    <n v="0.01"/>
    <n v="20"/>
    <n v="4.22"/>
    <n v="37.229999999999997"/>
    <n v="2024"/>
    <n v="12"/>
    <n v="2024"/>
    <n v="9"/>
    <s v="09"/>
    <x v="11"/>
    <x v="11"/>
    <n v="9656.52"/>
  </r>
  <r>
    <d v="2024-12-31T00:00:00"/>
    <s v="OPT-NIFTY-02-Jan-2025-23550-C-E-I"/>
    <s v="NSE"/>
    <x v="1"/>
    <n v="75"/>
    <n v="0"/>
    <n v="122.25"/>
    <n v="9168.75"/>
    <s v="#202412313700004183"/>
    <n v="0"/>
    <n v="3.26"/>
    <n v="0"/>
    <n v="0.01"/>
    <n v="20"/>
    <n v="4.18"/>
    <n v="27.45"/>
    <n v="2024"/>
    <n v="12"/>
    <n v="2024"/>
    <n v="9"/>
    <s v="09"/>
    <x v="11"/>
    <x v="11"/>
    <n v="-9196.2000000000007"/>
  </r>
  <r>
    <d v="2024-12-31T00:00:00"/>
    <s v="OPT-NIFTY-02-Jan-2025-23550-C-E-I"/>
    <s v="NSE"/>
    <x v="0"/>
    <n v="75"/>
    <n v="0"/>
    <n v="139.25"/>
    <n v="10443.75"/>
    <s v="#202412313700001647"/>
    <n v="10.44"/>
    <n v="3.71"/>
    <n v="0"/>
    <n v="0.01"/>
    <n v="20"/>
    <n v="4.26"/>
    <n v="38.42"/>
    <n v="2024"/>
    <n v="12"/>
    <n v="2024"/>
    <n v="9"/>
    <s v="09"/>
    <x v="11"/>
    <x v="11"/>
    <n v="10405.33"/>
  </r>
  <r>
    <d v="2024-12-31T00:00:00"/>
    <s v="OPT-NIFTY-02-Jan-2025-23550-C-E-I"/>
    <s v="NSE"/>
    <x v="1"/>
    <n v="75"/>
    <n v="0"/>
    <n v="127.2"/>
    <n v="9540"/>
    <s v="#202412313700001475"/>
    <n v="0"/>
    <n v="3.39"/>
    <n v="0.56000000000000005"/>
    <n v="0.01"/>
    <n v="20"/>
    <n v="4.22"/>
    <n v="28.18"/>
    <n v="2024"/>
    <n v="12"/>
    <n v="2024"/>
    <n v="9"/>
    <s v="09"/>
    <x v="11"/>
    <x v="11"/>
    <n v="-9568.18"/>
  </r>
  <r>
    <d v="2025-01-01T00:00:00"/>
    <s v="OPT-NIFTY-02-Jan-2025-23700-C-E-I"/>
    <s v="NSE"/>
    <x v="0"/>
    <n v="225"/>
    <n v="0"/>
    <n v="169.75"/>
    <n v="38193.75"/>
    <s v="#202501013700009702"/>
    <n v="38.19"/>
    <n v="13.57"/>
    <n v="0"/>
    <n v="0.04"/>
    <n v="60"/>
    <n v="13.24"/>
    <n v="125.04"/>
    <n v="2025"/>
    <n v="1"/>
    <n v="2024"/>
    <n v="10"/>
    <n v="10"/>
    <x v="12"/>
    <x v="12"/>
    <n v="38068.71"/>
  </r>
  <r>
    <d v="2025-01-01T00:00:00"/>
    <s v="OPT-NIFTY-02-Jan-2025-23700-C-E-I"/>
    <s v="NSE"/>
    <x v="1"/>
    <n v="225"/>
    <n v="0"/>
    <n v="160.25"/>
    <n v="36056.25"/>
    <s v="#202501013700009410"/>
    <n v="0"/>
    <n v="12.81"/>
    <n v="0.79"/>
    <n v="0.04"/>
    <n v="60"/>
    <n v="13.12"/>
    <n v="86.76"/>
    <n v="2025"/>
    <n v="1"/>
    <n v="2024"/>
    <n v="10"/>
    <n v="10"/>
    <x v="12"/>
    <x v="12"/>
    <n v="-36143.01"/>
  </r>
  <r>
    <d v="2025-01-01T00:00:00"/>
    <s v="OPT-NIFTY-02-Jan-2025-23650-C-E-I"/>
    <s v="NSE"/>
    <x v="0"/>
    <n v="225"/>
    <n v="0"/>
    <n v="115.5"/>
    <n v="25987.5"/>
    <s v="#202501013700003215"/>
    <n v="25.99"/>
    <n v="9.23"/>
    <n v="0"/>
    <n v="0.03"/>
    <n v="60"/>
    <n v="12.46"/>
    <n v="107.71"/>
    <n v="2025"/>
    <n v="1"/>
    <n v="2024"/>
    <n v="10"/>
    <n v="10"/>
    <x v="12"/>
    <x v="12"/>
    <n v="25879.79"/>
  </r>
  <r>
    <d v="2025-01-01T00:00:00"/>
    <s v="OPT-NIFTY-02-Jan-2025-23650-C-E-I"/>
    <s v="NSE"/>
    <x v="1"/>
    <n v="225"/>
    <n v="0"/>
    <n v="105.4"/>
    <n v="23715"/>
    <s v="#202501013700003149"/>
    <n v="0"/>
    <n v="8.43"/>
    <n v="0.71"/>
    <n v="0.02"/>
    <n v="60"/>
    <n v="12.32"/>
    <n v="81.48"/>
    <n v="2025"/>
    <n v="1"/>
    <n v="2024"/>
    <n v="10"/>
    <n v="10"/>
    <x v="12"/>
    <x v="12"/>
    <n v="-23796.48"/>
  </r>
  <r>
    <d v="2025-01-01T00:00:00"/>
    <s v="OPT-NIFTY-02-Jan-2025-23650-P-E-I"/>
    <s v="NSE"/>
    <x v="0"/>
    <n v="150"/>
    <n v="0"/>
    <n v="120.15"/>
    <n v="18022.5"/>
    <s v="#202501013700001757"/>
    <n v="18.02"/>
    <n v="6.4"/>
    <n v="0"/>
    <n v="0.02"/>
    <n v="40"/>
    <n v="8.36"/>
    <n v="72.8"/>
    <n v="2025"/>
    <n v="1"/>
    <n v="2024"/>
    <n v="10"/>
    <n v="10"/>
    <x v="12"/>
    <x v="12"/>
    <n v="17949.7"/>
  </r>
  <r>
    <d v="2025-01-01T00:00:00"/>
    <s v="OPT-NIFTY-02-Jan-2025-23650-P-E-I"/>
    <s v="NSE"/>
    <x v="1"/>
    <n v="75"/>
    <n v="0"/>
    <n v="110"/>
    <n v="8250"/>
    <s v="#202501013700001371"/>
    <n v="0"/>
    <n v="2.93"/>
    <n v="0.5"/>
    <n v="0.01"/>
    <n v="20"/>
    <n v="4.12"/>
    <n v="27.56"/>
    <n v="2025"/>
    <n v="1"/>
    <n v="2024"/>
    <n v="10"/>
    <n v="10"/>
    <x v="12"/>
    <x v="12"/>
    <n v="-8277.56"/>
  </r>
  <r>
    <d v="2025-01-01T00:00:00"/>
    <s v="OPT-NIFTY-02-Jan-2025-23650-P-E-I"/>
    <s v="NSE"/>
    <x v="1"/>
    <n v="75"/>
    <n v="0"/>
    <n v="113.4"/>
    <n v="8505"/>
    <s v="#202501013700001293"/>
    <n v="0"/>
    <n v="3.02"/>
    <n v="0"/>
    <n v="0.01"/>
    <n v="20"/>
    <n v="4.1399999999999997"/>
    <n v="27.17"/>
    <n v="2025"/>
    <n v="1"/>
    <n v="2024"/>
    <n v="10"/>
    <n v="10"/>
    <x v="12"/>
    <x v="12"/>
    <n v="-8532.17"/>
  </r>
  <r>
    <d v="2025-01-01T00:00:00"/>
    <s v="OPT-NIFTY-02-Jan-2025-23550-P-E-I"/>
    <s v="NSE"/>
    <x v="0"/>
    <n v="225"/>
    <n v="0"/>
    <n v="86"/>
    <n v="19350"/>
    <s v="#202501013700000301"/>
    <n v="19.8"/>
    <n v="6.87"/>
    <n v="0"/>
    <n v="0.02"/>
    <n v="60"/>
    <n v="12.04"/>
    <n v="98.73"/>
    <n v="2025"/>
    <n v="1"/>
    <n v="2024"/>
    <n v="10"/>
    <n v="10"/>
    <x v="12"/>
    <x v="12"/>
    <n v="19251.27"/>
  </r>
  <r>
    <d v="2025-01-02T00:00:00"/>
    <s v="OPT-NIFTY-02-Jan-2025-23800-P-E-I"/>
    <s v="NSE"/>
    <x v="0"/>
    <n v="300"/>
    <n v="0"/>
    <n v="37.35"/>
    <n v="11205"/>
    <s v="#202501023700009907"/>
    <n v="11.21"/>
    <n v="3.98"/>
    <n v="0"/>
    <n v="0.01"/>
    <n v="80"/>
    <n v="15.12"/>
    <n v="110.32"/>
    <n v="2025"/>
    <n v="1"/>
    <n v="2024"/>
    <n v="10"/>
    <n v="10"/>
    <x v="12"/>
    <x v="12"/>
    <n v="11094.68"/>
  </r>
  <r>
    <d v="2025-01-02T00:00:00"/>
    <s v="OPT-NIFTY-02-Jan-2025-23800-P-E-I"/>
    <s v="NSE"/>
    <x v="1"/>
    <n v="300"/>
    <n v="0"/>
    <n v="61.25"/>
    <n v="18375"/>
    <s v="#202501023700006484"/>
    <n v="0"/>
    <n v="6.53"/>
    <n v="2"/>
    <n v="0.02"/>
    <n v="80"/>
    <n v="15.58"/>
    <n v="104.13"/>
    <n v="2025"/>
    <n v="1"/>
    <n v="2024"/>
    <n v="10"/>
    <n v="10"/>
    <x v="12"/>
    <x v="12"/>
    <n v="-18479.13"/>
  </r>
  <r>
    <d v="2025-01-02T00:00:00"/>
    <s v="OPT-NIFTY-02-Jan-2025-23800-P-E-I"/>
    <s v="NSE"/>
    <x v="0"/>
    <n v="300"/>
    <n v="0"/>
    <n v="82.15"/>
    <n v="24645"/>
    <s v="#202501023700004522"/>
    <n v="24.79"/>
    <n v="8.76"/>
    <n v="0"/>
    <n v="0.03"/>
    <n v="80"/>
    <n v="16"/>
    <n v="129.58000000000001"/>
    <n v="2025"/>
    <n v="1"/>
    <n v="2024"/>
    <n v="10"/>
    <n v="10"/>
    <x v="12"/>
    <x v="12"/>
    <n v="24515.42"/>
  </r>
  <r>
    <d v="2025-01-02T00:00:00"/>
    <s v="OPT-NIFTY-02-Jan-2025-23800-P-E-I"/>
    <s v="NSE"/>
    <x v="1"/>
    <n v="75"/>
    <n v="0"/>
    <n v="114.2"/>
    <n v="8565"/>
    <s v="#202501023700002128"/>
    <n v="0"/>
    <n v="3.04"/>
    <n v="0"/>
    <n v="0.01"/>
    <n v="20"/>
    <n v="4.1399999999999997"/>
    <n v="27.19"/>
    <n v="2025"/>
    <n v="1"/>
    <n v="2024"/>
    <n v="10"/>
    <n v="10"/>
    <x v="12"/>
    <x v="12"/>
    <n v="-8592.19"/>
  </r>
  <r>
    <d v="2025-01-02T00:00:00"/>
    <s v="OPT-NIFTY-02-Jan-2025-23800-P-E-I"/>
    <s v="NSE"/>
    <x v="1"/>
    <n v="225"/>
    <n v="0"/>
    <n v="127.25"/>
    <n v="28631.25"/>
    <s v="#202501023700001889"/>
    <n v="0"/>
    <n v="10.17"/>
    <n v="0"/>
    <n v="0.03"/>
    <n v="60"/>
    <n v="12.64"/>
    <n v="82.84"/>
    <n v="2025"/>
    <n v="1"/>
    <n v="2024"/>
    <n v="10"/>
    <n v="10"/>
    <x v="12"/>
    <x v="12"/>
    <n v="-28714.09"/>
  </r>
  <r>
    <d v="2025-01-07T00:00:00"/>
    <s v="OPT-NIFTY-09-Jan-2025-23050-P-E-I"/>
    <s v="NSE"/>
    <x v="0"/>
    <n v="75"/>
    <n v="0"/>
    <n v="20.25"/>
    <n v="1518.75"/>
    <s v="#202501073700004513"/>
    <n v="2"/>
    <n v="0.54"/>
    <n v="0"/>
    <n v="0"/>
    <n v="20"/>
    <n v="3.7"/>
    <n v="26.24"/>
    <n v="2025"/>
    <n v="1"/>
    <n v="2024"/>
    <n v="10"/>
    <n v="10"/>
    <x v="12"/>
    <x v="12"/>
    <n v="1492.51"/>
  </r>
  <r>
    <d v="2025-01-07T00:00:00"/>
    <s v="OPT-NIFTY-09-Jan-2025-23050-P-E-I"/>
    <s v="NSE"/>
    <x v="1"/>
    <n v="75"/>
    <n v="0"/>
    <n v="14.25"/>
    <n v="1068.75"/>
    <s v="#202501073700003772"/>
    <n v="0"/>
    <n v="0.38"/>
    <n v="0"/>
    <n v="0"/>
    <n v="20"/>
    <n v="3.66"/>
    <n v="24.04"/>
    <n v="2025"/>
    <n v="1"/>
    <n v="2024"/>
    <n v="10"/>
    <n v="10"/>
    <x v="12"/>
    <x v="12"/>
    <n v="-1092.79"/>
  </r>
  <r>
    <d v="2025-01-08T00:00:00"/>
    <s v="OPT-NIFTY-09-Jan-2025-23050-P-E-I"/>
    <s v="NSE"/>
    <x v="0"/>
    <n v="450"/>
    <n v="0"/>
    <n v="2.4"/>
    <n v="1080"/>
    <s v="#202501083700023138"/>
    <n v="1"/>
    <n v="0.38"/>
    <n v="0"/>
    <n v="0"/>
    <n v="120"/>
    <n v="21.66"/>
    <n v="143.04"/>
    <n v="2025"/>
    <n v="1"/>
    <n v="2024"/>
    <n v="10"/>
    <n v="10"/>
    <x v="12"/>
    <x v="12"/>
    <n v="936.96"/>
  </r>
  <r>
    <d v="2025-01-08T00:00:00"/>
    <s v="OPT-NIFTY-09-Jan-2025-23050-P-E-I"/>
    <s v="NSE"/>
    <x v="1"/>
    <n v="450"/>
    <n v="0"/>
    <n v="4.25"/>
    <n v="1912.5"/>
    <s v="#202501083700005951"/>
    <n v="0"/>
    <n v="0.68"/>
    <n v="0"/>
    <n v="0"/>
    <n v="120"/>
    <n v="21.72"/>
    <n v="142.4"/>
    <n v="2025"/>
    <n v="1"/>
    <n v="2024"/>
    <n v="10"/>
    <n v="10"/>
    <x v="12"/>
    <x v="12"/>
    <n v="-2054.9"/>
  </r>
  <r>
    <d v="2025-01-15T00:00:00"/>
    <s v="OPT-NIFTY-16-Jan-2025-23200-C-E-I"/>
    <s v="NSE"/>
    <x v="0"/>
    <n v="75"/>
    <n v="0"/>
    <n v="59.25"/>
    <n v="4443.75"/>
    <s v="#202501153700014989"/>
    <n v="4"/>
    <n v="1.58"/>
    <n v="0"/>
    <n v="0"/>
    <n v="20"/>
    <n v="3.88"/>
    <n v="29.46"/>
    <n v="2025"/>
    <n v="1"/>
    <n v="2024"/>
    <n v="10"/>
    <n v="10"/>
    <x v="12"/>
    <x v="12"/>
    <n v="4414.29"/>
  </r>
  <r>
    <d v="2025-01-15T00:00:00"/>
    <s v="OPT-NIFTY-16-Jan-2025-23200-C-E-I"/>
    <s v="NSE"/>
    <x v="1"/>
    <n v="75"/>
    <n v="0"/>
    <n v="53.8"/>
    <n v="4035"/>
    <s v="#202501153700014377"/>
    <n v="0"/>
    <n v="1.43"/>
    <n v="0"/>
    <n v="0"/>
    <n v="20"/>
    <n v="3.86"/>
    <n v="25.29"/>
    <n v="2025"/>
    <n v="1"/>
    <n v="2024"/>
    <n v="10"/>
    <n v="10"/>
    <x v="12"/>
    <x v="12"/>
    <n v="-4060.29"/>
  </r>
  <r>
    <d v="2025-01-24T00:00:00"/>
    <s v="OPT-NIFTY-30-Jan-2025-23800-C-E-I"/>
    <s v="NSE"/>
    <x v="1"/>
    <n v="100"/>
    <n v="0"/>
    <n v="10"/>
    <n v="1000"/>
    <s v="#202501243700020422"/>
    <n v="0"/>
    <n v="0.36"/>
    <n v="0"/>
    <n v="0"/>
    <n v="80"/>
    <n v="14.46"/>
    <n v="94.82"/>
    <n v="2025"/>
    <n v="1"/>
    <n v="2024"/>
    <n v="10"/>
    <n v="10"/>
    <x v="12"/>
    <x v="12"/>
    <n v="-1094.82"/>
  </r>
  <r>
    <d v="2025-01-24T00:00:00"/>
    <s v="OPT-NIFTY-30-Jan-2025-23800-C-E-I"/>
    <s v="NSE"/>
    <x v="1"/>
    <n v="100"/>
    <n v="0"/>
    <n v="25.1"/>
    <n v="2510"/>
    <s v="#202501243700011763"/>
    <n v="0"/>
    <n v="0.89"/>
    <n v="0"/>
    <n v="0"/>
    <n v="80"/>
    <n v="14.56"/>
    <n v="95.45"/>
    <n v="2025"/>
    <n v="1"/>
    <n v="2024"/>
    <n v="10"/>
    <n v="10"/>
    <x v="12"/>
    <x v="12"/>
    <n v="-2605.4499999999998"/>
  </r>
  <r>
    <d v="2025-01-28T00:00:00"/>
    <s v="OPT-NIFTY-30-Jan-2025-23800-C-E-I"/>
    <s v="NSE"/>
    <x v="0"/>
    <n v="200"/>
    <n v="0"/>
    <n v="3.1"/>
    <n v="620"/>
    <s v="#202501283700003738"/>
    <n v="1"/>
    <n v="0.22"/>
    <n v="0"/>
    <n v="0"/>
    <n v="160"/>
    <n v="28.84"/>
    <n v="190.06"/>
    <n v="2025"/>
    <n v="1"/>
    <n v="2024"/>
    <n v="10"/>
    <n v="10"/>
    <x v="12"/>
    <x v="12"/>
    <n v="429.94"/>
  </r>
  <r>
    <d v="2025-01-30T00:00:00"/>
    <s v="OPT-NIFTY-30-Jan-2025-23200-C-E-I"/>
    <s v="NSE"/>
    <x v="0"/>
    <n v="25"/>
    <n v="0"/>
    <n v="123.7"/>
    <n v="3092.5"/>
    <s v="#202501303700012285"/>
    <n v="3.09"/>
    <n v="1.1000000000000001"/>
    <n v="0"/>
    <n v="0"/>
    <n v="20"/>
    <n v="3.8"/>
    <n v="27.99"/>
    <n v="2025"/>
    <n v="1"/>
    <n v="2024"/>
    <n v="10"/>
    <n v="10"/>
    <x v="12"/>
    <x v="12"/>
    <n v="3064.51"/>
  </r>
  <r>
    <d v="2025-01-30T00:00:00"/>
    <s v="OPT-NIFTY-30-Jan-2025-23200-C-E-I"/>
    <s v="NSE"/>
    <x v="1"/>
    <n v="25"/>
    <n v="0"/>
    <n v="95.75"/>
    <n v="2393.75"/>
    <s v="#202501303700011667"/>
    <n v="0"/>
    <n v="0.85"/>
    <n v="0"/>
    <n v="0"/>
    <n v="20"/>
    <n v="3.76"/>
    <n v="24.61"/>
    <n v="2025"/>
    <n v="1"/>
    <n v="2024"/>
    <n v="10"/>
    <n v="10"/>
    <x v="12"/>
    <x v="12"/>
    <n v="-2418.36"/>
  </r>
  <r>
    <d v="2025-01-30T00:00:00"/>
    <s v="OPT-NIFTY-30-Jan-2025-23200-C-E-I"/>
    <s v="NSE"/>
    <x v="0"/>
    <n v="100"/>
    <n v="0"/>
    <n v="115.25"/>
    <n v="11525"/>
    <s v="#202501303700005629"/>
    <n v="11.91"/>
    <n v="4.09"/>
    <n v="0"/>
    <n v="0.01"/>
    <n v="80"/>
    <n v="15.14"/>
    <n v="111.15"/>
    <n v="2025"/>
    <n v="1"/>
    <n v="2024"/>
    <n v="10"/>
    <n v="10"/>
    <x v="12"/>
    <x v="12"/>
    <n v="11413.85"/>
  </r>
  <r>
    <d v="2025-01-30T00:00:00"/>
    <s v="OPT-NIFTY-30-Jan-2025-23200-C-E-I"/>
    <s v="NSE"/>
    <x v="1"/>
    <n v="100"/>
    <n v="0"/>
    <n v="103.16"/>
    <n v="10316.25"/>
    <s v="#202501303700002724"/>
    <n v="0"/>
    <n v="3.67"/>
    <n v="0"/>
    <n v="0.01"/>
    <n v="80"/>
    <n v="15.06"/>
    <n v="98.74"/>
    <n v="2025"/>
    <n v="1"/>
    <n v="2024"/>
    <n v="10"/>
    <n v="10"/>
    <x v="12"/>
    <x v="12"/>
    <n v="-10414.99"/>
  </r>
  <r>
    <d v="2025-01-31T00:00:00"/>
    <s v="OPT-NIFTY-06-Feb-2025-23450-C-E-I"/>
    <s v="NSE"/>
    <x v="0"/>
    <n v="75"/>
    <n v="0"/>
    <n v="307.25"/>
    <n v="23043.75"/>
    <s v="#202501313700014454"/>
    <n v="23.04"/>
    <n v="8.19"/>
    <n v="0"/>
    <n v="0.02"/>
    <n v="20"/>
    <n v="5.08"/>
    <n v="56.33"/>
    <n v="2025"/>
    <n v="1"/>
    <n v="2024"/>
    <n v="10"/>
    <n v="10"/>
    <x v="12"/>
    <x v="12"/>
    <n v="22987.42"/>
  </r>
  <r>
    <d v="2025-01-31T00:00:00"/>
    <s v="OPT-NIFTY-06-Feb-2025-23450-C-E-I"/>
    <s v="NSE"/>
    <x v="1"/>
    <n v="75"/>
    <n v="0"/>
    <n v="286"/>
    <n v="21450"/>
    <s v="#202501313700013663"/>
    <n v="0"/>
    <n v="7.62"/>
    <n v="0"/>
    <n v="0.02"/>
    <n v="20"/>
    <n v="4.9800000000000004"/>
    <n v="32.619999999999997"/>
    <n v="2025"/>
    <n v="1"/>
    <n v="2024"/>
    <n v="10"/>
    <n v="10"/>
    <x v="12"/>
    <x v="12"/>
    <n v="-21482.62"/>
  </r>
  <r>
    <d v="2025-01-31T00:00:00"/>
    <s v="OPT-NIFTY-06-Feb-2025-23450-C-E-I"/>
    <s v="NSE"/>
    <x v="0"/>
    <n v="75"/>
    <n v="0"/>
    <n v="317.25"/>
    <n v="23793.75"/>
    <s v="#202501313700010076"/>
    <n v="23.79"/>
    <n v="8.4499999999999993"/>
    <n v="0"/>
    <n v="0.02"/>
    <n v="20"/>
    <n v="5.12"/>
    <n v="57.38"/>
    <n v="2025"/>
    <n v="1"/>
    <n v="2024"/>
    <n v="10"/>
    <n v="10"/>
    <x v="12"/>
    <x v="12"/>
    <n v="23736.37"/>
  </r>
  <r>
    <d v="2025-01-31T00:00:00"/>
    <s v="OPT-NIFTY-06-Feb-2025-23450-C-E-I"/>
    <s v="NSE"/>
    <x v="1"/>
    <n v="75"/>
    <n v="0"/>
    <n v="303.5"/>
    <n v="22762.5"/>
    <s v="#202501313700009811"/>
    <n v="0"/>
    <n v="8.09"/>
    <n v="1.33"/>
    <n v="0.02"/>
    <n v="20"/>
    <n v="5.0599999999999996"/>
    <n v="34.5"/>
    <n v="2025"/>
    <n v="1"/>
    <n v="2024"/>
    <n v="10"/>
    <n v="10"/>
    <x v="12"/>
    <x v="12"/>
    <n v="-22797"/>
  </r>
  <r>
    <d v="2025-01-31T00:00:00"/>
    <s v="OPT-NIFTY-06-Feb-2025-23400-P-E-I"/>
    <s v="NSE"/>
    <x v="0"/>
    <n v="300"/>
    <n v="0"/>
    <n v="259.25"/>
    <n v="77775"/>
    <s v="#202501313700007943"/>
    <n v="77.77"/>
    <n v="27.64"/>
    <n v="0"/>
    <n v="0.08"/>
    <n v="80"/>
    <n v="19.38"/>
    <n v="204.87"/>
    <n v="2025"/>
    <n v="1"/>
    <n v="2024"/>
    <n v="10"/>
    <n v="10"/>
    <x v="12"/>
    <x v="12"/>
    <n v="77570.13"/>
  </r>
  <r>
    <d v="2025-01-31T00:00:00"/>
    <s v="OPT-NIFTY-06-Feb-2025-23400-P-E-I"/>
    <s v="NSE"/>
    <x v="1"/>
    <n v="150"/>
    <n v="0"/>
    <n v="246.25"/>
    <n v="36937.5"/>
    <s v="#202501313700007785"/>
    <n v="0"/>
    <n v="13.12"/>
    <n v="0"/>
    <n v="0.04"/>
    <n v="40"/>
    <n v="9.56"/>
    <n v="62.72"/>
    <n v="2025"/>
    <n v="1"/>
    <n v="2024"/>
    <n v="10"/>
    <n v="10"/>
    <x v="12"/>
    <x v="12"/>
    <n v="-37000.22"/>
  </r>
  <r>
    <d v="2025-01-31T00:00:00"/>
    <s v="OPT-NIFTY-06-Feb-2025-23400-P-E-I"/>
    <s v="NSE"/>
    <x v="1"/>
    <n v="150"/>
    <n v="0"/>
    <n v="252.3"/>
    <n v="37845"/>
    <s v="#202501313700007702"/>
    <n v="0"/>
    <n v="13.45"/>
    <n v="3.67"/>
    <n v="0.04"/>
    <n v="40"/>
    <n v="9.6199999999999992"/>
    <n v="66.78"/>
    <n v="2025"/>
    <n v="1"/>
    <n v="2024"/>
    <n v="10"/>
    <n v="10"/>
    <x v="12"/>
    <x v="12"/>
    <n v="-37911.78"/>
  </r>
  <r>
    <d v="2025-01-31T00:00:00"/>
    <s v="OPT-NIFTY-06-Feb-2025-23400-P-E-I"/>
    <s v="NSE"/>
    <x v="0"/>
    <n v="150"/>
    <n v="0"/>
    <n v="247.5"/>
    <n v="37125"/>
    <s v="#202501313700007564"/>
    <n v="37.380000000000003"/>
    <n v="13.2"/>
    <n v="0"/>
    <n v="0.04"/>
    <n v="40"/>
    <n v="9.6"/>
    <n v="100.22"/>
    <n v="2025"/>
    <n v="1"/>
    <n v="2024"/>
    <n v="10"/>
    <n v="10"/>
    <x v="12"/>
    <x v="12"/>
    <n v="37024.78"/>
  </r>
  <r>
    <d v="2025-01-31T00:00:00"/>
    <s v="OPT-NIFTY-06-Feb-2025-23400-P-E-I"/>
    <s v="NSE"/>
    <x v="1"/>
    <n v="75"/>
    <n v="0"/>
    <n v="242.1"/>
    <n v="18157.5"/>
    <s v="#202501313700006901"/>
    <n v="0"/>
    <n v="6.45"/>
    <n v="0"/>
    <n v="0.02"/>
    <n v="20"/>
    <n v="4.76"/>
    <n v="31.23"/>
    <n v="2025"/>
    <n v="1"/>
    <n v="2024"/>
    <n v="10"/>
    <n v="10"/>
    <x v="12"/>
    <x v="12"/>
    <n v="-18188.73"/>
  </r>
  <r>
    <d v="2025-01-31T00:00:00"/>
    <s v="OPT-NIFTY-06-Feb-2025-23400-P-E-I"/>
    <s v="NSE"/>
    <x v="1"/>
    <n v="75"/>
    <n v="0"/>
    <n v="251.25"/>
    <n v="18843.75"/>
    <s v="#202501313700006839"/>
    <n v="0"/>
    <n v="6.7"/>
    <n v="0"/>
    <n v="0.02"/>
    <n v="20"/>
    <n v="4.8"/>
    <n v="31.52"/>
    <n v="2025"/>
    <n v="1"/>
    <n v="2024"/>
    <n v="10"/>
    <n v="10"/>
    <x v="12"/>
    <x v="12"/>
    <n v="-18875.27"/>
  </r>
  <r>
    <d v="2025-02-01T00:00:00"/>
    <s v="OPT-NIFTY-06-Feb-2025-23600-C-E-I"/>
    <s v="NSE"/>
    <x v="0"/>
    <n v="300"/>
    <n v="0"/>
    <n v="103.8"/>
    <n v="31140"/>
    <s v="#202502013700022569"/>
    <n v="31"/>
    <n v="11.06"/>
    <n v="0"/>
    <n v="0.03"/>
    <n v="80"/>
    <n v="16.399999999999999"/>
    <n v="138.49"/>
    <n v="2025"/>
    <n v="2"/>
    <n v="2024"/>
    <n v="11"/>
    <n v="11"/>
    <x v="13"/>
    <x v="13"/>
    <n v="31001.51"/>
  </r>
  <r>
    <d v="2025-02-01T00:00:00"/>
    <s v="OPT-NIFTY-06-Feb-2025-23600-C-E-I"/>
    <s v="NSE"/>
    <x v="1"/>
    <n v="75"/>
    <n v="0"/>
    <n v="215.3"/>
    <n v="16147.5"/>
    <s v="#202502013700009017"/>
    <n v="0"/>
    <n v="5.74"/>
    <n v="0"/>
    <n v="0.02"/>
    <n v="20"/>
    <n v="4.6399999999999997"/>
    <n v="30.4"/>
    <n v="2025"/>
    <n v="2"/>
    <n v="2024"/>
    <n v="11"/>
    <n v="11"/>
    <x v="13"/>
    <x v="13"/>
    <n v="-16177.9"/>
  </r>
  <r>
    <d v="2025-02-01T00:00:00"/>
    <s v="OPT-NIFTY-06-Feb-2025-23600-C-E-I"/>
    <s v="NSE"/>
    <x v="1"/>
    <n v="75"/>
    <n v="0"/>
    <n v="241.45"/>
    <n v="18108.75"/>
    <s v="#202502013700008356"/>
    <n v="0"/>
    <n v="6.43"/>
    <n v="0"/>
    <n v="0.02"/>
    <n v="20"/>
    <n v="4.76"/>
    <n v="31.21"/>
    <n v="2025"/>
    <n v="2"/>
    <n v="2024"/>
    <n v="11"/>
    <n v="11"/>
    <x v="13"/>
    <x v="13"/>
    <n v="-18139.96"/>
  </r>
  <r>
    <d v="2025-02-01T00:00:00"/>
    <s v="OPT-NIFTY-06-Feb-2025-23600-C-E-I"/>
    <s v="NSE"/>
    <x v="1"/>
    <n v="75"/>
    <n v="0"/>
    <n v="242.1"/>
    <n v="18157.5"/>
    <s v="#202502013700007399"/>
    <n v="0"/>
    <n v="6.45"/>
    <n v="0"/>
    <n v="0.02"/>
    <n v="20"/>
    <n v="4.76"/>
    <n v="31.23"/>
    <n v="2025"/>
    <n v="2"/>
    <n v="2024"/>
    <n v="11"/>
    <n v="11"/>
    <x v="13"/>
    <x v="13"/>
    <n v="-18188.73"/>
  </r>
  <r>
    <d v="2025-02-01T00:00:00"/>
    <s v="OPT-NIFTY-06-Feb-2025-23600-C-E-I"/>
    <s v="NSE"/>
    <x v="1"/>
    <n v="75"/>
    <n v="0"/>
    <n v="252"/>
    <n v="18900"/>
    <s v="#202502013700006973"/>
    <n v="0"/>
    <n v="6.72"/>
    <n v="2"/>
    <n v="0.02"/>
    <n v="20"/>
    <n v="4.82"/>
    <n v="33.56"/>
    <n v="2025"/>
    <n v="2"/>
    <n v="2024"/>
    <n v="11"/>
    <n v="11"/>
    <x v="13"/>
    <x v="13"/>
    <n v="-18933.560000000001"/>
  </r>
  <r>
    <d v="2025-02-03T00:00:00"/>
    <s v="OPT-NIFTY-06-Feb-2025-23300-C-E-I"/>
    <s v="NSE"/>
    <x v="0"/>
    <n v="150"/>
    <n v="0"/>
    <n v="169.95"/>
    <n v="25492.5"/>
    <s v="#202502033700012940"/>
    <n v="25"/>
    <n v="9.06"/>
    <n v="0"/>
    <n v="0.03"/>
    <n v="40"/>
    <n v="8.84"/>
    <n v="82.93"/>
    <n v="2025"/>
    <n v="2"/>
    <n v="2024"/>
    <n v="11"/>
    <n v="11"/>
    <x v="13"/>
    <x v="13"/>
    <n v="25409.57"/>
  </r>
  <r>
    <d v="2025-02-03T00:00:00"/>
    <s v="OPT-NIFTY-06-Feb-2025-23300-C-E-I"/>
    <s v="NSE"/>
    <x v="1"/>
    <n v="75"/>
    <n v="0"/>
    <n v="120.15"/>
    <n v="9011.25"/>
    <s v="#202502033700010414"/>
    <n v="0"/>
    <n v="3.2"/>
    <n v="0"/>
    <n v="0.01"/>
    <n v="20"/>
    <n v="4.18"/>
    <n v="27.39"/>
    <n v="2025"/>
    <n v="2"/>
    <n v="2024"/>
    <n v="11"/>
    <n v="11"/>
    <x v="13"/>
    <x v="13"/>
    <n v="-9038.64"/>
  </r>
  <r>
    <d v="2025-02-03T00:00:00"/>
    <s v="OPT-NIFTY-06-Feb-2025-23300-C-E-I"/>
    <s v="NSE"/>
    <x v="1"/>
    <n v="75"/>
    <n v="0"/>
    <n v="157.69999999999999"/>
    <n v="11827.5"/>
    <s v="#202502033700002244"/>
    <n v="0"/>
    <n v="4.2"/>
    <n v="1"/>
    <n v="0.01"/>
    <n v="20"/>
    <n v="4.3600000000000003"/>
    <n v="29.57"/>
    <n v="2025"/>
    <n v="2"/>
    <n v="2024"/>
    <n v="11"/>
    <n v="11"/>
    <x v="13"/>
    <x v="13"/>
    <n v="-11857.07"/>
  </r>
  <r>
    <d v="2025-02-04T00:00:00"/>
    <s v="OPT-NIFTY-06-Feb-2025-23700-P-E-I"/>
    <s v="NSE"/>
    <x v="0"/>
    <n v="150"/>
    <n v="0"/>
    <n v="169.25"/>
    <n v="25387.5"/>
    <s v="#202502043700016451"/>
    <n v="25.39"/>
    <n v="9.02"/>
    <n v="0"/>
    <n v="0.03"/>
    <n v="40"/>
    <n v="8.82"/>
    <n v="83.26"/>
    <n v="2025"/>
    <n v="2"/>
    <n v="2024"/>
    <n v="11"/>
    <n v="11"/>
    <x v="13"/>
    <x v="13"/>
    <n v="25304.240000000002"/>
  </r>
  <r>
    <d v="2025-02-04T00:00:00"/>
    <s v="OPT-NIFTY-06-Feb-2025-23700-P-E-I"/>
    <s v="NSE"/>
    <x v="1"/>
    <n v="75"/>
    <n v="0"/>
    <n v="145.69999999999999"/>
    <n v="10927.5"/>
    <s v="#202502043700016083"/>
    <n v="0"/>
    <n v="3.88"/>
    <n v="0"/>
    <n v="0.01"/>
    <n v="20"/>
    <n v="4.3"/>
    <n v="28.19"/>
    <n v="2025"/>
    <n v="2"/>
    <n v="2024"/>
    <n v="11"/>
    <n v="11"/>
    <x v="13"/>
    <x v="13"/>
    <n v="-10955.69"/>
  </r>
  <r>
    <d v="2025-02-04T00:00:00"/>
    <s v="OPT-NIFTY-06-Feb-2025-23700-P-E-I"/>
    <s v="NSE"/>
    <x v="1"/>
    <n v="75"/>
    <n v="0"/>
    <n v="157.69999999999999"/>
    <n v="11827.5"/>
    <s v="#202502043700015061"/>
    <n v="0"/>
    <n v="4.2"/>
    <n v="0.52"/>
    <n v="0.01"/>
    <n v="20"/>
    <n v="4.3600000000000003"/>
    <n v="29.09"/>
    <n v="2025"/>
    <n v="2"/>
    <n v="2024"/>
    <n v="11"/>
    <n v="11"/>
    <x v="13"/>
    <x v="13"/>
    <n v="-11856.59"/>
  </r>
  <r>
    <d v="2025-02-04T00:00:00"/>
    <s v="OPT-NIFTY-06-Feb-2025-23350-P-E-I"/>
    <s v="NSE"/>
    <x v="0"/>
    <n v="75"/>
    <n v="0"/>
    <n v="72"/>
    <n v="5400"/>
    <s v="#202502043700005707"/>
    <n v="5.4"/>
    <n v="1.92"/>
    <n v="0"/>
    <n v="0.01"/>
    <n v="20"/>
    <n v="3.94"/>
    <n v="31.27"/>
    <n v="2025"/>
    <n v="2"/>
    <n v="2024"/>
    <n v="11"/>
    <n v="11"/>
    <x v="13"/>
    <x v="13"/>
    <n v="5368.73"/>
  </r>
  <r>
    <d v="2025-02-04T00:00:00"/>
    <s v="OPT-NIFTY-06-Feb-2025-23600-P-E-I"/>
    <s v="NSE"/>
    <x v="0"/>
    <n v="75"/>
    <n v="0"/>
    <n v="169.75"/>
    <n v="12731.25"/>
    <s v="#202502043700005659"/>
    <n v="13.21"/>
    <n v="4.5199999999999996"/>
    <n v="0"/>
    <n v="0.01"/>
    <n v="20"/>
    <n v="4.42"/>
    <n v="42.16"/>
    <n v="2025"/>
    <n v="2"/>
    <n v="2024"/>
    <n v="11"/>
    <n v="11"/>
    <x v="13"/>
    <x v="13"/>
    <n v="12689.09"/>
  </r>
  <r>
    <d v="2025-02-04T00:00:00"/>
    <s v="OPT-NIFTY-06-Feb-2025-23600-P-E-I"/>
    <s v="NSE"/>
    <x v="1"/>
    <n v="75"/>
    <n v="0"/>
    <n v="150.44999999999999"/>
    <n v="11283.75"/>
    <s v="#202502043700004836"/>
    <n v="0"/>
    <n v="4.01"/>
    <n v="0.34"/>
    <n v="0.01"/>
    <n v="20"/>
    <n v="4.32"/>
    <n v="28.68"/>
    <n v="2025"/>
    <n v="2"/>
    <n v="2024"/>
    <n v="11"/>
    <n v="11"/>
    <x v="13"/>
    <x v="13"/>
    <n v="-11312.43"/>
  </r>
  <r>
    <d v="2025-02-04T00:00:00"/>
    <s v="OPT-NIFTY-06-Feb-2025-23350-P-E-I"/>
    <s v="NSE"/>
    <x v="1"/>
    <n v="75"/>
    <n v="0"/>
    <n v="61.25"/>
    <n v="4593.75"/>
    <s v="#202502043700002651"/>
    <n v="0"/>
    <n v="1.63"/>
    <n v="0.14000000000000001"/>
    <n v="0"/>
    <n v="20"/>
    <n v="3.9"/>
    <n v="25.67"/>
    <n v="2025"/>
    <n v="2"/>
    <n v="2024"/>
    <n v="11"/>
    <n v="11"/>
    <x v="13"/>
    <x v="13"/>
    <n v="-4619.42"/>
  </r>
  <r>
    <d v="2025-02-05T00:00:00"/>
    <s v="OPT-NIFTY-06-Feb-2025-23750-P-E-I"/>
    <s v="NSE"/>
    <x v="0"/>
    <n v="375"/>
    <n v="0"/>
    <n v="93.25"/>
    <n v="34968.75"/>
    <s v="#202502053700010640"/>
    <n v="35"/>
    <n v="12.42"/>
    <n v="0"/>
    <n v="0.03"/>
    <n v="100"/>
    <n v="20.239999999999998"/>
    <n v="167.69"/>
    <n v="2025"/>
    <n v="2"/>
    <n v="2024"/>
    <n v="11"/>
    <n v="11"/>
    <x v="13"/>
    <x v="13"/>
    <n v="34801.06"/>
  </r>
  <r>
    <d v="2025-02-05T00:00:00"/>
    <s v="OPT-NIFTY-06-Feb-2025-23750-P-E-I"/>
    <s v="NSE"/>
    <x v="1"/>
    <n v="75"/>
    <n v="0"/>
    <n v="79.55"/>
    <n v="5966.25"/>
    <s v="#202502053700007071"/>
    <n v="0"/>
    <n v="2.12"/>
    <n v="0"/>
    <n v="0.01"/>
    <n v="20"/>
    <n v="3.98"/>
    <n v="26.11"/>
    <n v="2025"/>
    <n v="2"/>
    <n v="2024"/>
    <n v="11"/>
    <n v="11"/>
    <x v="13"/>
    <x v="13"/>
    <n v="-5992.36"/>
  </r>
  <r>
    <d v="2025-02-05T00:00:00"/>
    <s v="OPT-NIFTY-06-Feb-2025-23750-P-E-I"/>
    <s v="NSE"/>
    <x v="1"/>
    <n v="75"/>
    <n v="0"/>
    <n v="91.65"/>
    <n v="6873.75"/>
    <s v="#202502053700005846"/>
    <n v="0"/>
    <n v="2.44"/>
    <n v="0"/>
    <n v="0.01"/>
    <n v="20"/>
    <n v="4.04"/>
    <n v="26.49"/>
    <n v="2025"/>
    <n v="2"/>
    <n v="2024"/>
    <n v="11"/>
    <n v="11"/>
    <x v="13"/>
    <x v="13"/>
    <n v="-6900.24"/>
  </r>
  <r>
    <d v="2025-02-05T00:00:00"/>
    <s v="OPT-NIFTY-06-Feb-2025-23750-P-E-I"/>
    <s v="NSE"/>
    <x v="1"/>
    <n v="75"/>
    <n v="0"/>
    <n v="83"/>
    <n v="6225"/>
    <s v="#202502053700005009"/>
    <n v="0"/>
    <n v="2.21"/>
    <n v="0"/>
    <n v="0.01"/>
    <n v="20"/>
    <n v="4"/>
    <n v="26.22"/>
    <n v="2025"/>
    <n v="2"/>
    <n v="2024"/>
    <n v="11"/>
    <n v="11"/>
    <x v="13"/>
    <x v="13"/>
    <n v="-6251.22"/>
  </r>
  <r>
    <d v="2025-02-05T00:00:00"/>
    <s v="OPT-NIFTY-06-Feb-2025-23750-P-E-I"/>
    <s v="NSE"/>
    <x v="1"/>
    <n v="75"/>
    <n v="0"/>
    <n v="92.25"/>
    <n v="6918.75"/>
    <s v="#202502053700004932"/>
    <n v="0"/>
    <n v="2.46"/>
    <n v="1"/>
    <n v="0.01"/>
    <n v="20"/>
    <n v="4.04"/>
    <n v="27.51"/>
    <n v="2025"/>
    <n v="2"/>
    <n v="2024"/>
    <n v="11"/>
    <n v="11"/>
    <x v="13"/>
    <x v="13"/>
    <n v="-6946.26"/>
  </r>
  <r>
    <d v="2025-02-05T00:00:00"/>
    <s v="OPT-NIFTY-06-Feb-2025-23750-P-E-I"/>
    <s v="NSE"/>
    <x v="1"/>
    <n v="75"/>
    <n v="0"/>
    <n v="92"/>
    <n v="6900"/>
    <s v="#202502053700004768"/>
    <n v="0"/>
    <n v="2.4500000000000002"/>
    <n v="0"/>
    <n v="0.01"/>
    <n v="20"/>
    <n v="4.04"/>
    <n v="26.5"/>
    <n v="2025"/>
    <n v="2"/>
    <n v="2024"/>
    <n v="11"/>
    <n v="11"/>
    <x v="13"/>
    <x v="13"/>
    <n v="-6926.5"/>
  </r>
  <r>
    <d v="2025-02-06T00:00:00"/>
    <s v="OPT-NIFTY-06-Feb-2025-23650-C-E-I"/>
    <s v="NSE"/>
    <x v="0"/>
    <n v="750"/>
    <n v="0"/>
    <n v="8"/>
    <n v="6000"/>
    <s v="#202502063700012203"/>
    <n v="6"/>
    <n v="2.13"/>
    <n v="0"/>
    <n v="0"/>
    <n v="200"/>
    <n v="36.380000000000003"/>
    <n v="244.51"/>
    <n v="2025"/>
    <n v="2"/>
    <n v="2024"/>
    <n v="11"/>
    <n v="11"/>
    <x v="13"/>
    <x v="13"/>
    <n v="5755.49"/>
  </r>
  <r>
    <d v="2025-02-06T00:00:00"/>
    <s v="OPT-NIFTY-06-Feb-2025-23650-C-E-I"/>
    <s v="NSE"/>
    <x v="1"/>
    <n v="750"/>
    <n v="0"/>
    <n v="13.7"/>
    <n v="10275"/>
    <s v="#202502063700009958"/>
    <n v="0"/>
    <n v="3.65"/>
    <n v="1"/>
    <n v="0.01"/>
    <n v="200"/>
    <n v="36.659999999999997"/>
    <n v="241.32"/>
    <n v="2025"/>
    <n v="2"/>
    <n v="2024"/>
    <n v="11"/>
    <n v="11"/>
    <x v="13"/>
    <x v="13"/>
    <n v="-10516.32"/>
  </r>
  <r>
    <d v="2025-02-06T00:00:00"/>
    <s v="OPT-NIFTY-06-Feb-2025-23650-C-E-I"/>
    <s v="NSE"/>
    <x v="0"/>
    <n v="600"/>
    <n v="0"/>
    <n v="22.25"/>
    <n v="13350"/>
    <s v="#202502063700007918"/>
    <n v="13.01"/>
    <n v="4.74"/>
    <n v="0"/>
    <n v="0.02"/>
    <n v="160"/>
    <n v="29.64"/>
    <n v="207.41"/>
    <n v="2025"/>
    <n v="2"/>
    <n v="2024"/>
    <n v="11"/>
    <n v="11"/>
    <x v="13"/>
    <x v="13"/>
    <n v="13142.59"/>
  </r>
  <r>
    <d v="2025-02-06T00:00:00"/>
    <s v="OPT-NIFTY-06-Feb-2025-23650-C-E-I"/>
    <s v="NSE"/>
    <x v="1"/>
    <n v="300"/>
    <n v="0"/>
    <n v="26.25"/>
    <n v="7875"/>
    <s v="#202502063700007382"/>
    <n v="0"/>
    <n v="2.8"/>
    <n v="0"/>
    <n v="0.01"/>
    <n v="80"/>
    <n v="14.9"/>
    <n v="97.71"/>
    <n v="2025"/>
    <n v="2"/>
    <n v="2024"/>
    <n v="11"/>
    <n v="11"/>
    <x v="13"/>
    <x v="13"/>
    <n v="-7972.71"/>
  </r>
  <r>
    <d v="2025-02-06T00:00:00"/>
    <s v="OPT-NIFTY-06-Feb-2025-23650-C-E-I"/>
    <s v="NSE"/>
    <x v="1"/>
    <n v="300"/>
    <n v="0"/>
    <n v="31.5"/>
    <n v="9450"/>
    <s v="#202502063700006734"/>
    <n v="0"/>
    <n v="3.36"/>
    <n v="0"/>
    <n v="0"/>
    <n v="80"/>
    <n v="15.02"/>
    <n v="98.38"/>
    <n v="2025"/>
    <n v="2"/>
    <n v="2024"/>
    <n v="11"/>
    <n v="11"/>
    <x v="13"/>
    <x v="13"/>
    <n v="-9548.3799999999992"/>
  </r>
  <r>
    <d v="2025-02-07T00:00:00"/>
    <s v="OPT-NIFTY-13-Feb-2025-23750-C-E-I"/>
    <s v="NSE"/>
    <x v="0"/>
    <n v="150"/>
    <n v="0"/>
    <n v="62"/>
    <n v="9300"/>
    <s v="#202502073700015043"/>
    <n v="9.3000000000000007"/>
    <n v="3.3"/>
    <n v="0"/>
    <n v="0"/>
    <n v="40"/>
    <n v="7.8"/>
    <n v="60.4"/>
    <n v="2025"/>
    <n v="2"/>
    <n v="2024"/>
    <n v="11"/>
    <n v="11"/>
    <x v="13"/>
    <x v="13"/>
    <n v="9239.6"/>
  </r>
  <r>
    <d v="2025-02-07T00:00:00"/>
    <s v="OPT-NIFTY-13-Feb-2025-23750-C-E-I"/>
    <s v="NSE"/>
    <x v="1"/>
    <n v="75"/>
    <n v="0"/>
    <n v="71.900000000000006"/>
    <n v="5392.5"/>
    <s v="#202502073700014524"/>
    <n v="0"/>
    <n v="1.92"/>
    <n v="0"/>
    <n v="0.01"/>
    <n v="20"/>
    <n v="3.94"/>
    <n v="25.87"/>
    <n v="2025"/>
    <n v="2"/>
    <n v="2024"/>
    <n v="11"/>
    <n v="11"/>
    <x v="13"/>
    <x v="13"/>
    <n v="-5418.37"/>
  </r>
  <r>
    <d v="2025-02-07T00:00:00"/>
    <s v="OPT-NIFTY-13-Feb-2025-23750-C-E-I"/>
    <s v="NSE"/>
    <x v="1"/>
    <n v="75"/>
    <n v="0"/>
    <n v="92.1"/>
    <n v="6907.5"/>
    <s v="#202502073700012222"/>
    <n v="0"/>
    <n v="2.4500000000000002"/>
    <n v="0"/>
    <n v="0.01"/>
    <n v="20"/>
    <n v="4.04"/>
    <n v="26.5"/>
    <n v="2025"/>
    <n v="2"/>
    <n v="2024"/>
    <n v="11"/>
    <n v="11"/>
    <x v="13"/>
    <x v="13"/>
    <n v="-6934"/>
  </r>
  <r>
    <d v="2025-02-07T00:00:00"/>
    <s v="OPT-NIFTY-13-Feb-2025-23550-P-E-I"/>
    <s v="NSE"/>
    <x v="0"/>
    <n v="150"/>
    <n v="0"/>
    <n v="116.25"/>
    <n v="17437.5"/>
    <s v="#202502073700010081"/>
    <n v="17.440000000000001"/>
    <n v="6.2"/>
    <n v="0"/>
    <n v="0.02"/>
    <n v="40"/>
    <n v="8.32"/>
    <n v="71.98"/>
    <n v="2025"/>
    <n v="2"/>
    <n v="2024"/>
    <n v="11"/>
    <n v="11"/>
    <x v="13"/>
    <x v="13"/>
    <n v="17365.52"/>
  </r>
  <r>
    <d v="2025-02-07T00:00:00"/>
    <s v="OPT-NIFTY-13-Feb-2025-23550-P-E-I"/>
    <s v="NSE"/>
    <x v="1"/>
    <n v="150"/>
    <n v="0"/>
    <n v="96"/>
    <n v="14400"/>
    <s v="#202502073700009473"/>
    <n v="0"/>
    <n v="5.12"/>
    <n v="0.43"/>
    <n v="0.02"/>
    <n v="40"/>
    <n v="8.1199999999999992"/>
    <n v="53.69"/>
    <n v="2025"/>
    <n v="2"/>
    <n v="2024"/>
    <n v="11"/>
    <n v="11"/>
    <x v="13"/>
    <x v="13"/>
    <n v="-14453.69"/>
  </r>
  <r>
    <d v="2025-02-07T00:00:00"/>
    <s v="OPT-NIFTY-13-Feb-2025-23750-C-E-I"/>
    <s v="NSE"/>
    <x v="0"/>
    <n v="150"/>
    <n v="0"/>
    <n v="120"/>
    <n v="18000"/>
    <s v="#202502073700003436"/>
    <n v="18"/>
    <n v="6.4"/>
    <n v="0"/>
    <n v="0.02"/>
    <n v="40"/>
    <n v="8.36"/>
    <n v="72.78"/>
    <n v="2025"/>
    <n v="2"/>
    <n v="2024"/>
    <n v="11"/>
    <n v="11"/>
    <x v="13"/>
    <x v="13"/>
    <n v="17927.22"/>
  </r>
  <r>
    <d v="2025-02-07T00:00:00"/>
    <s v="OPT-NIFTY-13-Feb-2025-23750-C-E-I"/>
    <s v="NSE"/>
    <x v="1"/>
    <n v="150"/>
    <n v="0"/>
    <n v="133"/>
    <n v="19950"/>
    <s v="#202502073700002997"/>
    <n v="0"/>
    <n v="7.09"/>
    <n v="1.57"/>
    <n v="0.02"/>
    <n v="40"/>
    <n v="8.48"/>
    <n v="57.16"/>
    <n v="2025"/>
    <n v="2"/>
    <n v="2024"/>
    <n v="11"/>
    <n v="11"/>
    <x v="13"/>
    <x v="13"/>
    <n v="-20007.16"/>
  </r>
  <r>
    <d v="2025-02-07T00:00:00"/>
    <s v="OPT-NIFTY-13-Feb-2025-23750-C-E-I"/>
    <s v="NSE"/>
    <x v="0"/>
    <n v="75"/>
    <n v="0"/>
    <n v="127.7"/>
    <n v="9577.5"/>
    <s v="#202502073700002641"/>
    <n v="9.26"/>
    <n v="3.4"/>
    <n v="0"/>
    <n v="0.01"/>
    <n v="20"/>
    <n v="4.22"/>
    <n v="36.89"/>
    <n v="2025"/>
    <n v="2"/>
    <n v="2024"/>
    <n v="11"/>
    <n v="11"/>
    <x v="13"/>
    <x v="13"/>
    <n v="9540.61"/>
  </r>
  <r>
    <d v="2025-02-07T00:00:00"/>
    <s v="OPT-NIFTY-13-Feb-2025-23750-C-E-I"/>
    <s v="NSE"/>
    <x v="1"/>
    <n v="75"/>
    <n v="0"/>
    <n v="132.25"/>
    <n v="9918.75"/>
    <s v="#202502073700002307"/>
    <n v="0"/>
    <n v="3.52"/>
    <n v="0"/>
    <n v="0.01"/>
    <n v="20"/>
    <n v="4.24"/>
    <n v="27.77"/>
    <n v="2025"/>
    <n v="2"/>
    <n v="2024"/>
    <n v="11"/>
    <n v="11"/>
    <x v="13"/>
    <x v="13"/>
    <n v="-9946.52"/>
  </r>
  <r>
    <d v="2025-02-11T00:00:00"/>
    <s v="OPT-NIFTY-13-Feb-2025-23150-P-E-I"/>
    <s v="NSE"/>
    <x v="0"/>
    <n v="75"/>
    <n v="0"/>
    <n v="185.1"/>
    <n v="13882.5"/>
    <s v="#202502113700013444"/>
    <n v="14"/>
    <n v="4.93"/>
    <n v="0"/>
    <n v="0.01"/>
    <n v="20"/>
    <n v="4.4800000000000004"/>
    <n v="43.42"/>
    <n v="2025"/>
    <n v="2"/>
    <n v="2024"/>
    <n v="11"/>
    <n v="11"/>
    <x v="13"/>
    <x v="13"/>
    <n v="13839.08"/>
  </r>
  <r>
    <d v="2025-02-11T00:00:00"/>
    <s v="OPT-NIFTY-13-Feb-2025-23150-P-E-I"/>
    <s v="NSE"/>
    <x v="1"/>
    <n v="75"/>
    <n v="0"/>
    <n v="62.5"/>
    <n v="4687.5"/>
    <s v="#202502113700009822"/>
    <n v="0"/>
    <n v="1.67"/>
    <n v="0"/>
    <n v="0"/>
    <n v="20"/>
    <n v="3.9"/>
    <n v="25.57"/>
    <n v="2025"/>
    <n v="2"/>
    <n v="2024"/>
    <n v="11"/>
    <n v="11"/>
    <x v="13"/>
    <x v="13"/>
    <n v="-4713.07"/>
  </r>
  <r>
    <d v="2025-02-12T00:00:00"/>
    <s v="OPT-NIFTY-13-Feb-2025-23300-C-E-I"/>
    <s v="NSE"/>
    <x v="1"/>
    <n v="300"/>
    <n v="0"/>
    <n v="41.5"/>
    <n v="12450"/>
    <s v="#202502123700019547"/>
    <n v="0"/>
    <n v="4.42"/>
    <n v="0.18"/>
    <n v="0.01"/>
    <n v="80"/>
    <n v="15.2"/>
    <n v="99.81"/>
    <n v="2025"/>
    <n v="2"/>
    <n v="2024"/>
    <n v="11"/>
    <n v="11"/>
    <x v="13"/>
    <x v="13"/>
    <n v="-12549.81"/>
  </r>
  <r>
    <d v="2025-02-12T00:00:00"/>
    <s v="OPT-NIFTY-13-Feb-2025-22950-P-E-I"/>
    <s v="NSE"/>
    <x v="0"/>
    <n v="150"/>
    <n v="0"/>
    <n v="35"/>
    <n v="5250"/>
    <s v="#202502123700019440"/>
    <n v="5.26"/>
    <n v="1.86"/>
    <n v="0"/>
    <n v="0"/>
    <n v="40"/>
    <n v="7.52"/>
    <n v="54.64"/>
    <n v="2025"/>
    <n v="2"/>
    <n v="2024"/>
    <n v="11"/>
    <n v="11"/>
    <x v="13"/>
    <x v="13"/>
    <n v="5195.3599999999997"/>
  </r>
  <r>
    <d v="2025-02-12T00:00:00"/>
    <s v="OPT-NIFTY-13-Feb-2025-22950-P-E-I"/>
    <s v="NSE"/>
    <x v="1"/>
    <n v="75"/>
    <n v="0"/>
    <n v="65"/>
    <n v="4875"/>
    <s v="#202502123700015237"/>
    <n v="0"/>
    <n v="1.73"/>
    <n v="0"/>
    <n v="0"/>
    <n v="20"/>
    <n v="3.92"/>
    <n v="25.65"/>
    <n v="2025"/>
    <n v="2"/>
    <n v="2024"/>
    <n v="11"/>
    <n v="11"/>
    <x v="13"/>
    <x v="13"/>
    <n v="-4900.6499999999996"/>
  </r>
  <r>
    <d v="2025-02-12T00:00:00"/>
    <s v="OPT-NIFTY-13-Feb-2025-23050-C-E-I"/>
    <s v="NSE"/>
    <x v="0"/>
    <n v="75"/>
    <n v="0"/>
    <n v="120.35"/>
    <n v="9026.25"/>
    <s v="#202502123700015017"/>
    <n v="9.0299999999999994"/>
    <n v="3.21"/>
    <n v="0"/>
    <n v="0.01"/>
    <n v="20"/>
    <n v="4.18"/>
    <n v="36.43"/>
    <n v="2025"/>
    <n v="2"/>
    <n v="2024"/>
    <n v="11"/>
    <n v="11"/>
    <x v="13"/>
    <x v="13"/>
    <n v="8989.82"/>
  </r>
  <r>
    <d v="2025-02-12T00:00:00"/>
    <s v="OPT-NIFTY-13-Feb-2025-23050-C-E-I"/>
    <s v="NSE"/>
    <x v="1"/>
    <n v="75"/>
    <n v="0"/>
    <n v="95.5"/>
    <n v="7162.5"/>
    <s v="#202502123700013613"/>
    <n v="0"/>
    <n v="2.54"/>
    <n v="0.21"/>
    <n v="0.01"/>
    <n v="20"/>
    <n v="4.0599999999999996"/>
    <n v="26.82"/>
    <n v="2025"/>
    <n v="2"/>
    <n v="2024"/>
    <n v="11"/>
    <n v="11"/>
    <x v="13"/>
    <x v="13"/>
    <n v="-7189.32"/>
  </r>
  <r>
    <d v="2025-02-12T00:00:00"/>
    <s v="OPT-NIFTY-13-Feb-2025-22950-P-E-I"/>
    <s v="NSE"/>
    <x v="1"/>
    <n v="75"/>
    <n v="0"/>
    <n v="101.25"/>
    <n v="7593.75"/>
    <s v="#202502123700012516"/>
    <n v="0"/>
    <n v="2.7"/>
    <n v="0.37"/>
    <n v="0.01"/>
    <n v="20"/>
    <n v="4.08"/>
    <n v="27.16"/>
    <n v="2025"/>
    <n v="2"/>
    <n v="2024"/>
    <n v="11"/>
    <n v="11"/>
    <x v="13"/>
    <x v="13"/>
    <n v="-7620.91"/>
  </r>
  <r>
    <d v="2025-02-12T00:00:00"/>
    <s v="OPT-NIFTY-13-Feb-2025-22850-C-E-I"/>
    <s v="NSE"/>
    <x v="0"/>
    <n v="75"/>
    <n v="0"/>
    <n v="127"/>
    <n v="9525"/>
    <s v="#202502123700007865"/>
    <n v="9.7200000000000006"/>
    <n v="3.38"/>
    <n v="0"/>
    <n v="0.01"/>
    <n v="20"/>
    <n v="4.22"/>
    <n v="37.33"/>
    <n v="2025"/>
    <n v="2"/>
    <n v="2024"/>
    <n v="11"/>
    <n v="11"/>
    <x v="13"/>
    <x v="13"/>
    <n v="9487.67"/>
  </r>
  <r>
    <d v="2025-02-12T00:00:00"/>
    <s v="OPT-NIFTY-13-Feb-2025-22850-C-E-I"/>
    <s v="NSE"/>
    <x v="1"/>
    <n v="75"/>
    <n v="0"/>
    <n v="107.15"/>
    <n v="8036.25"/>
    <s v="#202502123700006341"/>
    <n v="0"/>
    <n v="2.86"/>
    <n v="0.24"/>
    <n v="0.01"/>
    <n v="20"/>
    <n v="4.12"/>
    <n v="27.23"/>
    <n v="2025"/>
    <n v="2"/>
    <n v="2024"/>
    <n v="11"/>
    <n v="11"/>
    <x v="13"/>
    <x v="13"/>
    <n v="-8063.48"/>
  </r>
  <r>
    <d v="2025-02-13T00:00:00"/>
    <s v="OPT-NIFTY-13-Feb-2025-23300-C-E-I"/>
    <s v="NSE"/>
    <x v="0"/>
    <n v="300"/>
    <n v="0"/>
    <n v="3.9"/>
    <n v="1170"/>
    <s v="#202502133700015608"/>
    <n v="1"/>
    <n v="0.42"/>
    <n v="0"/>
    <n v="0"/>
    <n v="80"/>
    <n v="14.48"/>
    <n v="95.9"/>
    <n v="2025"/>
    <n v="2"/>
    <n v="2024"/>
    <n v="11"/>
    <n v="11"/>
    <x v="13"/>
    <x v="13"/>
    <n v="1074.0999999999999"/>
  </r>
  <r>
    <d v="2025-02-17T00:00:00"/>
    <s v="OPT-NIFTY-20-Feb-2025-23000-C-E-I"/>
    <s v="NSE"/>
    <x v="0"/>
    <n v="150"/>
    <n v="0"/>
    <n v="147.25"/>
    <n v="22087.5"/>
    <s v="#202502173700017869"/>
    <n v="22.09"/>
    <n v="7.85"/>
    <n v="0"/>
    <n v="0.02"/>
    <n v="40"/>
    <n v="8.6199999999999992"/>
    <n v="78.58"/>
    <n v="2025"/>
    <n v="2"/>
    <n v="2024"/>
    <n v="11"/>
    <n v="11"/>
    <x v="13"/>
    <x v="13"/>
    <n v="22008.92"/>
  </r>
  <r>
    <d v="2025-02-17T00:00:00"/>
    <s v="OPT-NIFTY-20-Feb-2025-23000-C-E-I"/>
    <s v="NSE"/>
    <x v="1"/>
    <n v="150"/>
    <n v="0"/>
    <n v="142"/>
    <n v="21300"/>
    <s v="#202502173700017763"/>
    <n v="0"/>
    <n v="7.57"/>
    <n v="0"/>
    <n v="0.02"/>
    <n v="40"/>
    <n v="8.56"/>
    <n v="56.15"/>
    <n v="2025"/>
    <n v="2"/>
    <n v="2024"/>
    <n v="11"/>
    <n v="11"/>
    <x v="13"/>
    <x v="13"/>
    <n v="-21356.15"/>
  </r>
  <r>
    <d v="2025-02-17T00:00:00"/>
    <s v="OPT-NIFTY-20-Feb-2025-23000-C-E-I"/>
    <s v="NSE"/>
    <x v="0"/>
    <n v="150"/>
    <n v="0"/>
    <n v="130"/>
    <n v="19500"/>
    <s v="#202502173700017102"/>
    <n v="19.5"/>
    <n v="6.93"/>
    <n v="0"/>
    <n v="0.02"/>
    <n v="40"/>
    <n v="8.4600000000000009"/>
    <n v="74.91"/>
    <n v="2025"/>
    <n v="2"/>
    <n v="2024"/>
    <n v="11"/>
    <n v="11"/>
    <x v="13"/>
    <x v="13"/>
    <n v="19425.09"/>
  </r>
  <r>
    <d v="2025-02-17T00:00:00"/>
    <s v="OPT-NIFTY-20-Feb-2025-23000-C-E-I"/>
    <s v="NSE"/>
    <x v="1"/>
    <n v="150"/>
    <n v="0"/>
    <n v="132.25"/>
    <n v="19837.5"/>
    <s v="#202502173700016857"/>
    <n v="0"/>
    <n v="7.05"/>
    <n v="1.73"/>
    <n v="0.02"/>
    <n v="40"/>
    <n v="8.48"/>
    <n v="57.28"/>
    <n v="2025"/>
    <n v="2"/>
    <n v="2024"/>
    <n v="11"/>
    <n v="11"/>
    <x v="13"/>
    <x v="13"/>
    <n v="-19894.78"/>
  </r>
  <r>
    <d v="2025-02-17T00:00:00"/>
    <s v="OPT-NIFTY-20-Feb-2025-22900-P-E-I"/>
    <s v="NSE"/>
    <x v="0"/>
    <n v="75"/>
    <n v="0"/>
    <n v="179.25"/>
    <n v="13443.75"/>
    <s v="#202502173700011242"/>
    <n v="13.44"/>
    <n v="4.78"/>
    <n v="0"/>
    <n v="0.01"/>
    <n v="20"/>
    <n v="4.46"/>
    <n v="42.69"/>
    <n v="2025"/>
    <n v="2"/>
    <n v="2024"/>
    <n v="11"/>
    <n v="11"/>
    <x v="13"/>
    <x v="13"/>
    <n v="13401.06"/>
  </r>
  <r>
    <d v="2025-02-17T00:00:00"/>
    <s v="OPT-NIFTY-20-Feb-2025-22900-P-E-I"/>
    <s v="NSE"/>
    <x v="1"/>
    <n v="75"/>
    <n v="0"/>
    <n v="156.65"/>
    <n v="11748.75"/>
    <s v="#202502173700011022"/>
    <n v="0"/>
    <n v="4.17"/>
    <n v="0.35"/>
    <n v="0.01"/>
    <n v="20"/>
    <n v="4.3600000000000003"/>
    <n v="28.89"/>
    <n v="2025"/>
    <n v="2"/>
    <n v="2024"/>
    <n v="11"/>
    <n v="11"/>
    <x v="13"/>
    <x v="13"/>
    <n v="-11777.64"/>
  </r>
  <r>
    <d v="2025-02-17T00:00:00"/>
    <s v="OPT-NIFTY-20-Feb-2025-22900-C-E-I"/>
    <s v="NSE"/>
    <x v="0"/>
    <n v="75"/>
    <n v="0"/>
    <n v="159"/>
    <n v="11925"/>
    <s v="#202502173700010940"/>
    <n v="11.93"/>
    <n v="4.24"/>
    <n v="0"/>
    <n v="0.01"/>
    <n v="20"/>
    <n v="4.3600000000000003"/>
    <n v="40.54"/>
    <n v="2025"/>
    <n v="2"/>
    <n v="2024"/>
    <n v="11"/>
    <n v="11"/>
    <x v="13"/>
    <x v="13"/>
    <n v="11884.46"/>
  </r>
  <r>
    <d v="2025-02-17T00:00:00"/>
    <s v="OPT-NIFTY-20-Feb-2025-22900-C-E-I"/>
    <s v="NSE"/>
    <x v="1"/>
    <n v="75"/>
    <n v="0"/>
    <n v="178.7"/>
    <n v="13402.5"/>
    <s v="#202502173700010799"/>
    <n v="0"/>
    <n v="4.76"/>
    <n v="0.4"/>
    <n v="0.01"/>
    <n v="20"/>
    <n v="4.46"/>
    <n v="29.63"/>
    <n v="2025"/>
    <n v="2"/>
    <n v="2024"/>
    <n v="11"/>
    <n v="11"/>
    <x v="13"/>
    <x v="13"/>
    <n v="-13432.13"/>
  </r>
  <r>
    <d v="2025-02-17T00:00:00"/>
    <s v="OPT-NIFTY-20-Feb-2025-22850-P-E-I"/>
    <s v="NSE"/>
    <x v="0"/>
    <n v="150"/>
    <n v="0"/>
    <n v="148.1"/>
    <n v="22215"/>
    <s v="#202502173700008838"/>
    <n v="22.56"/>
    <n v="7.89"/>
    <n v="0"/>
    <n v="0.02"/>
    <n v="40"/>
    <n v="8.6199999999999992"/>
    <n v="79.09"/>
    <n v="2025"/>
    <n v="2"/>
    <n v="2024"/>
    <n v="11"/>
    <n v="11"/>
    <x v="13"/>
    <x v="13"/>
    <n v="22135.91"/>
  </r>
  <r>
    <d v="2025-02-17T00:00:00"/>
    <s v="OPT-NIFTY-20-Feb-2025-22850-P-E-I"/>
    <s v="NSE"/>
    <x v="1"/>
    <n v="150"/>
    <n v="0"/>
    <n v="128"/>
    <n v="19200"/>
    <s v="#202502173700008426"/>
    <n v="0"/>
    <n v="6.82"/>
    <n v="1.1299999999999999"/>
    <n v="0.02"/>
    <n v="40"/>
    <n v="8.44"/>
    <n v="56.41"/>
    <n v="2025"/>
    <n v="2"/>
    <n v="2024"/>
    <n v="11"/>
    <n v="11"/>
    <x v="13"/>
    <x v="13"/>
    <n v="-19256.41"/>
  </r>
  <r>
    <d v="2025-02-17T00:00:00"/>
    <s v="OPT-NIFTY-20-Feb-2025-22850-P-E-I"/>
    <s v="NSE"/>
    <x v="0"/>
    <n v="150"/>
    <n v="0"/>
    <n v="135.75"/>
    <n v="20362.5"/>
    <s v="#202502173700008311"/>
    <n v="20.36"/>
    <n v="7.24"/>
    <n v="0"/>
    <n v="0.02"/>
    <n v="40"/>
    <n v="8.52"/>
    <n v="76.14"/>
    <n v="2025"/>
    <n v="2"/>
    <n v="2024"/>
    <n v="11"/>
    <n v="11"/>
    <x v="13"/>
    <x v="13"/>
    <n v="20286.36"/>
  </r>
  <r>
    <d v="2025-02-17T00:00:00"/>
    <s v="OPT-NIFTY-20-Feb-2025-22850-P-E-I"/>
    <s v="NSE"/>
    <x v="1"/>
    <n v="150"/>
    <n v="0"/>
    <n v="122.65"/>
    <n v="18397.5"/>
    <s v="#202502173700008195"/>
    <n v="0"/>
    <n v="6.54"/>
    <n v="0"/>
    <n v="0.02"/>
    <n v="40"/>
    <n v="8.3800000000000008"/>
    <n v="54.94"/>
    <n v="2025"/>
    <n v="2"/>
    <n v="2024"/>
    <n v="11"/>
    <n v="11"/>
    <x v="13"/>
    <x v="13"/>
    <n v="-18452.439999999999"/>
  </r>
  <r>
    <d v="2025-02-17T00:00:00"/>
    <s v="OPT-NIFTY-20-Feb-2025-22800-C-E-I"/>
    <s v="NSE"/>
    <x v="0"/>
    <n v="75"/>
    <n v="0"/>
    <n v="175"/>
    <n v="13125"/>
    <s v="#202502173700004814"/>
    <n v="13.13"/>
    <n v="4.66"/>
    <n v="0"/>
    <n v="0.01"/>
    <n v="20"/>
    <n v="4.4400000000000004"/>
    <n v="42.24"/>
    <n v="2025"/>
    <n v="2"/>
    <n v="2024"/>
    <n v="11"/>
    <n v="11"/>
    <x v="13"/>
    <x v="13"/>
    <n v="13082.76"/>
  </r>
  <r>
    <d v="2025-02-17T00:00:00"/>
    <s v="OPT-NIFTY-20-Feb-2025-22800-C-E-I"/>
    <s v="NSE"/>
    <x v="1"/>
    <n v="75"/>
    <n v="0"/>
    <n v="173.95"/>
    <n v="13046.25"/>
    <s v="#202502173700004606"/>
    <n v="0"/>
    <n v="4.6399999999999997"/>
    <n v="0.39"/>
    <n v="0.01"/>
    <n v="20"/>
    <n v="4.4400000000000004"/>
    <n v="29.48"/>
    <n v="2025"/>
    <n v="2"/>
    <n v="2024"/>
    <n v="11"/>
    <n v="11"/>
    <x v="13"/>
    <x v="13"/>
    <n v="-13075.73"/>
  </r>
  <r>
    <d v="2025-02-18T00:00:00"/>
    <s v="OPT-NIFTY-20-Feb-2025-22950-C-E-I"/>
    <s v="NSE"/>
    <x v="0"/>
    <n v="225"/>
    <n v="0"/>
    <n v="121.35"/>
    <n v="27303.75"/>
    <s v="#202502183700014491"/>
    <n v="27.3"/>
    <n v="9.6999999999999993"/>
    <n v="0"/>
    <n v="0.03"/>
    <n v="60"/>
    <n v="12.54"/>
    <n v="109.57"/>
    <n v="2025"/>
    <n v="2"/>
    <n v="2024"/>
    <n v="11"/>
    <n v="11"/>
    <x v="13"/>
    <x v="13"/>
    <n v="27194.18"/>
  </r>
  <r>
    <d v="2025-02-18T00:00:00"/>
    <s v="OPT-NIFTY-20-Feb-2025-22950-C-E-I"/>
    <s v="NSE"/>
    <x v="1"/>
    <n v="75"/>
    <n v="0"/>
    <n v="115"/>
    <n v="8625"/>
    <s v="#202502183700014446"/>
    <n v="0"/>
    <n v="3.06"/>
    <n v="0"/>
    <n v="0.01"/>
    <n v="20"/>
    <n v="4.16"/>
    <n v="27.23"/>
    <n v="2025"/>
    <n v="2"/>
    <n v="2024"/>
    <n v="11"/>
    <n v="11"/>
    <x v="13"/>
    <x v="13"/>
    <n v="-8652.23"/>
  </r>
  <r>
    <d v="2025-02-18T00:00:00"/>
    <s v="OPT-NIFTY-20-Feb-2025-22950-C-E-I"/>
    <s v="NSE"/>
    <x v="1"/>
    <n v="75"/>
    <n v="0"/>
    <n v="119.25"/>
    <n v="8943.75"/>
    <s v="#202502183700014287"/>
    <n v="0"/>
    <n v="3.18"/>
    <n v="0"/>
    <n v="0.01"/>
    <n v="20"/>
    <n v="4.18"/>
    <n v="27.37"/>
    <n v="2025"/>
    <n v="2"/>
    <n v="2024"/>
    <n v="11"/>
    <n v="11"/>
    <x v="13"/>
    <x v="13"/>
    <n v="-8971.1200000000008"/>
  </r>
  <r>
    <d v="2025-02-18T00:00:00"/>
    <s v="OPT-NIFTY-20-Feb-2025-22950-C-E-I"/>
    <s v="NSE"/>
    <x v="1"/>
    <n v="75"/>
    <n v="0"/>
    <n v="120"/>
    <n v="9000"/>
    <s v="#202502183700014265"/>
    <n v="0"/>
    <n v="3.2"/>
    <n v="0"/>
    <n v="0.01"/>
    <n v="20"/>
    <n v="4.18"/>
    <n v="27.39"/>
    <n v="2025"/>
    <n v="2"/>
    <n v="2024"/>
    <n v="11"/>
    <n v="11"/>
    <x v="13"/>
    <x v="13"/>
    <n v="-9027.39"/>
  </r>
  <r>
    <d v="2025-02-18T00:00:00"/>
    <s v="OPT-NIFTY-20-Feb-2025-22850-P-E-I"/>
    <s v="NSE"/>
    <x v="0"/>
    <n v="150"/>
    <n v="0"/>
    <n v="129.1"/>
    <n v="19365"/>
    <s v="#202502183700010168"/>
    <n v="19.36"/>
    <n v="6.88"/>
    <n v="0"/>
    <n v="0.02"/>
    <n v="40"/>
    <n v="8.44"/>
    <n v="74.7"/>
    <n v="2025"/>
    <n v="2"/>
    <n v="2024"/>
    <n v="11"/>
    <n v="11"/>
    <x v="13"/>
    <x v="13"/>
    <n v="19290.3"/>
  </r>
  <r>
    <d v="2025-02-18T00:00:00"/>
    <s v="OPT-NIFTY-20-Feb-2025-22850-P-E-I"/>
    <s v="NSE"/>
    <x v="1"/>
    <n v="75"/>
    <n v="0"/>
    <n v="133"/>
    <n v="9975"/>
    <s v="#202502183700010049"/>
    <n v="0"/>
    <n v="3.54"/>
    <n v="0.59"/>
    <n v="0.01"/>
    <n v="20"/>
    <n v="4.24"/>
    <n v="28.38"/>
    <n v="2025"/>
    <n v="2"/>
    <n v="2024"/>
    <n v="11"/>
    <n v="11"/>
    <x v="13"/>
    <x v="13"/>
    <n v="-10003.379999999999"/>
  </r>
  <r>
    <d v="2025-02-18T00:00:00"/>
    <s v="OPT-NIFTY-20-Feb-2025-22850-P-E-I"/>
    <s v="NSE"/>
    <x v="1"/>
    <n v="75"/>
    <n v="0"/>
    <n v="131"/>
    <n v="9825"/>
    <s v="#202502183700009964"/>
    <n v="0"/>
    <n v="3.49"/>
    <n v="0"/>
    <n v="0.01"/>
    <n v="20"/>
    <n v="4.24"/>
    <n v="27.74"/>
    <n v="2025"/>
    <n v="2"/>
    <n v="2024"/>
    <n v="11"/>
    <n v="11"/>
    <x v="13"/>
    <x v="13"/>
    <n v="-9852.74"/>
  </r>
  <r>
    <d v="2025-02-18T00:00:00"/>
    <s v="OPT-NIFTY-20-Feb-2025-22850-C-E-I"/>
    <s v="NSE"/>
    <x v="0"/>
    <n v="150"/>
    <n v="0"/>
    <n v="159.25"/>
    <n v="23887.5"/>
    <s v="#202502183700007062"/>
    <n v="23.89"/>
    <n v="8.49"/>
    <n v="0"/>
    <n v="0.02"/>
    <n v="40"/>
    <n v="8.74"/>
    <n v="81.14"/>
    <n v="2025"/>
    <n v="2"/>
    <n v="2024"/>
    <n v="11"/>
    <n v="11"/>
    <x v="13"/>
    <x v="13"/>
    <n v="23806.36"/>
  </r>
  <r>
    <d v="2025-02-18T00:00:00"/>
    <s v="OPT-NIFTY-20-Feb-2025-22850-C-E-I"/>
    <s v="NSE"/>
    <x v="1"/>
    <n v="75"/>
    <n v="0"/>
    <n v="142.19999999999999"/>
    <n v="10665"/>
    <s v="#202502183700006742"/>
    <n v="0"/>
    <n v="3.79"/>
    <n v="0.65"/>
    <n v="0.01"/>
    <n v="20"/>
    <n v="4.28"/>
    <n v="28.73"/>
    <n v="2025"/>
    <n v="2"/>
    <n v="2024"/>
    <n v="11"/>
    <n v="11"/>
    <x v="13"/>
    <x v="13"/>
    <n v="-10693.73"/>
  </r>
  <r>
    <d v="2025-02-18T00:00:00"/>
    <s v="OPT-NIFTY-20-Feb-2025-22850-C-E-I"/>
    <s v="NSE"/>
    <x v="1"/>
    <n v="75"/>
    <n v="0"/>
    <n v="145.55000000000001"/>
    <n v="10916.25"/>
    <s v="#202502183700006724"/>
    <n v="0"/>
    <n v="3.88"/>
    <n v="0"/>
    <n v="0.01"/>
    <n v="20"/>
    <n v="4.3"/>
    <n v="28.19"/>
    <n v="2025"/>
    <n v="2"/>
    <n v="2024"/>
    <n v="11"/>
    <n v="11"/>
    <x v="13"/>
    <x v="13"/>
    <n v="-10944.44"/>
  </r>
  <r>
    <d v="2025-02-18T00:00:00"/>
    <s v="OPT-NIFTY-20-Feb-2025-22950-P-E-I"/>
    <s v="NSE"/>
    <x v="0"/>
    <n v="150"/>
    <n v="0"/>
    <n v="174.25"/>
    <n v="26137.5"/>
    <s v="#202502183700004846"/>
    <n v="26.14"/>
    <n v="9.2799999999999994"/>
    <n v="0"/>
    <n v="0.02"/>
    <n v="40"/>
    <n v="8.8800000000000008"/>
    <n v="84.32"/>
    <n v="2025"/>
    <n v="2"/>
    <n v="2024"/>
    <n v="11"/>
    <n v="11"/>
    <x v="13"/>
    <x v="13"/>
    <n v="26053.18"/>
  </r>
  <r>
    <d v="2025-02-18T00:00:00"/>
    <s v="OPT-NIFTY-20-Feb-2025-22950-P-E-I"/>
    <s v="NSE"/>
    <x v="1"/>
    <n v="150"/>
    <n v="0"/>
    <n v="154.25"/>
    <n v="23137.5"/>
    <s v="#202502183700004719"/>
    <n v="0"/>
    <n v="8.2200000000000006"/>
    <n v="0.69"/>
    <n v="0.02"/>
    <n v="40"/>
    <n v="8.68"/>
    <n v="57.61"/>
    <n v="2025"/>
    <n v="2"/>
    <n v="2024"/>
    <n v="11"/>
    <n v="11"/>
    <x v="13"/>
    <x v="13"/>
    <n v="-23195.11"/>
  </r>
  <r>
    <d v="2025-02-18T00:00:00"/>
    <s v="OPT-NIFTY-20-Feb-2025-22950-C-E-I"/>
    <s v="NSE"/>
    <x v="0"/>
    <n v="150"/>
    <n v="0"/>
    <n v="137"/>
    <n v="20550"/>
    <s v="#202502183700004414"/>
    <n v="20.69"/>
    <n v="7.3"/>
    <n v="0"/>
    <n v="0.02"/>
    <n v="40"/>
    <n v="8.52"/>
    <n v="76.53"/>
    <n v="2025"/>
    <n v="2"/>
    <n v="2024"/>
    <n v="11"/>
    <n v="11"/>
    <x v="13"/>
    <x v="13"/>
    <n v="20473.47"/>
  </r>
  <r>
    <d v="2025-02-18T00:00:00"/>
    <s v="OPT-NIFTY-20-Feb-2025-22950-C-E-I"/>
    <s v="NSE"/>
    <x v="1"/>
    <n v="150"/>
    <n v="0"/>
    <n v="142.19999999999999"/>
    <n v="21330"/>
    <s v="#202502183700004187"/>
    <n v="0"/>
    <n v="7.58"/>
    <n v="0"/>
    <n v="0.02"/>
    <n v="40"/>
    <n v="8.56"/>
    <n v="56.16"/>
    <n v="2025"/>
    <n v="2"/>
    <n v="2024"/>
    <n v="11"/>
    <n v="11"/>
    <x v="13"/>
    <x v="13"/>
    <n v="-21386.16"/>
  </r>
  <r>
    <d v="2025-02-18T00:00:00"/>
    <s v="OPT-NIFTY-20-Feb-2025-22950-C-E-I"/>
    <s v="NSE"/>
    <x v="0"/>
    <n v="150"/>
    <n v="0"/>
    <n v="137.44999999999999"/>
    <n v="20617.5"/>
    <s v="#202502183700003457"/>
    <n v="20.62"/>
    <n v="7.32"/>
    <n v="0"/>
    <n v="0.02"/>
    <n v="40"/>
    <n v="8.52"/>
    <n v="76.48"/>
    <n v="2025"/>
    <n v="2"/>
    <n v="2024"/>
    <n v="11"/>
    <n v="11"/>
    <x v="13"/>
    <x v="13"/>
    <n v="20541.02"/>
  </r>
  <r>
    <d v="2025-02-18T00:00:00"/>
    <s v="OPT-NIFTY-20-Feb-2025-22950-C-E-I"/>
    <s v="NSE"/>
    <x v="1"/>
    <n v="75"/>
    <n v="0"/>
    <n v="129.80000000000001"/>
    <n v="9735"/>
    <s v="#202502183700002728"/>
    <n v="0"/>
    <n v="3.46"/>
    <n v="2.0699999999999998"/>
    <n v="0.01"/>
    <n v="20"/>
    <n v="4.22"/>
    <n v="29.76"/>
    <n v="2025"/>
    <n v="2"/>
    <n v="2024"/>
    <n v="11"/>
    <n v="11"/>
    <x v="13"/>
    <x v="13"/>
    <n v="-9764.76"/>
  </r>
  <r>
    <d v="2025-02-18T00:00:00"/>
    <s v="OPT-NIFTY-20-Feb-2025-22950-C-E-I"/>
    <s v="NSE"/>
    <x v="1"/>
    <n v="75"/>
    <n v="0"/>
    <n v="132.75"/>
    <n v="9956.25"/>
    <s v="#202502183700002653"/>
    <n v="0"/>
    <n v="3.54"/>
    <n v="0"/>
    <n v="0.01"/>
    <n v="20"/>
    <n v="4.24"/>
    <n v="27.79"/>
    <n v="2025"/>
    <n v="2"/>
    <n v="2024"/>
    <n v="11"/>
    <n v="11"/>
    <x v="13"/>
    <x v="13"/>
    <n v="-9984.0400000000009"/>
  </r>
  <r>
    <d v="2025-02-19T00:00:00"/>
    <s v="OPT-NIFTY-20-Feb-2025-22950-C-E-I"/>
    <s v="NSE"/>
    <x v="0"/>
    <n v="150"/>
    <n v="0"/>
    <n v="129.25"/>
    <n v="19387.5"/>
    <s v="#202502193700011444"/>
    <n v="19.39"/>
    <n v="6.89"/>
    <n v="0"/>
    <n v="0.02"/>
    <n v="40"/>
    <n v="8.44"/>
    <n v="74.739999999999995"/>
    <n v="2025"/>
    <n v="2"/>
    <n v="2024"/>
    <n v="11"/>
    <n v="11"/>
    <x v="13"/>
    <x v="13"/>
    <n v="19312.759999999998"/>
  </r>
  <r>
    <d v="2025-02-19T00:00:00"/>
    <s v="OPT-NIFTY-20-Feb-2025-22950-C-E-I"/>
    <s v="NSE"/>
    <x v="1"/>
    <n v="150"/>
    <n v="0"/>
    <n v="117"/>
    <n v="17550"/>
    <s v="#202502193700011259"/>
    <n v="0"/>
    <n v="6.24"/>
    <n v="0"/>
    <n v="0.02"/>
    <n v="40"/>
    <n v="8.32"/>
    <n v="54.58"/>
    <n v="2025"/>
    <n v="2"/>
    <n v="2024"/>
    <n v="11"/>
    <n v="11"/>
    <x v="13"/>
    <x v="13"/>
    <n v="-17604.580000000002"/>
  </r>
  <r>
    <d v="2025-02-19T00:00:00"/>
    <s v="OPT-NIFTY-20-Feb-2025-22950-C-E-I"/>
    <s v="NSE"/>
    <x v="0"/>
    <n v="225"/>
    <n v="0"/>
    <n v="115.9"/>
    <n v="26077.5"/>
    <s v="#202502193700010832"/>
    <n v="26.08"/>
    <n v="9.27"/>
    <n v="0"/>
    <n v="0.03"/>
    <n v="60"/>
    <n v="12.48"/>
    <n v="107.86"/>
    <n v="2025"/>
    <n v="2"/>
    <n v="2024"/>
    <n v="11"/>
    <n v="11"/>
    <x v="13"/>
    <x v="13"/>
    <n v="25969.64"/>
  </r>
  <r>
    <d v="2025-02-19T00:00:00"/>
    <s v="OPT-NIFTY-20-Feb-2025-22950-C-E-I"/>
    <s v="NSE"/>
    <x v="1"/>
    <n v="225"/>
    <n v="0"/>
    <n v="110.25"/>
    <n v="24806.25"/>
    <s v="#202502193700010239"/>
    <n v="0"/>
    <n v="8.82"/>
    <n v="0"/>
    <n v="0.03"/>
    <n v="60"/>
    <n v="12.4"/>
    <n v="81.25"/>
    <n v="2025"/>
    <n v="2"/>
    <n v="2024"/>
    <n v="11"/>
    <n v="11"/>
    <x v="13"/>
    <x v="13"/>
    <n v="-24887.5"/>
  </r>
  <r>
    <d v="2025-02-19T00:00:00"/>
    <s v="OPT-NIFTY-20-Feb-2025-22950-C-E-I"/>
    <s v="NSE"/>
    <x v="0"/>
    <n v="225"/>
    <n v="0"/>
    <n v="107.35"/>
    <n v="24153.75"/>
    <s v="#202502193700010144"/>
    <n v="24.15"/>
    <n v="8.58"/>
    <n v="0"/>
    <n v="0.02"/>
    <n v="60"/>
    <n v="12.34"/>
    <n v="105.09"/>
    <n v="2025"/>
    <n v="2"/>
    <n v="2024"/>
    <n v="11"/>
    <n v="11"/>
    <x v="13"/>
    <x v="13"/>
    <n v="24048.66"/>
  </r>
  <r>
    <d v="2025-02-19T00:00:00"/>
    <s v="OPT-NIFTY-20-Feb-2025-22950-C-E-I"/>
    <s v="NSE"/>
    <x v="1"/>
    <n v="75"/>
    <n v="0"/>
    <n v="112.55"/>
    <n v="8441.25"/>
    <s v="#202502193700010039"/>
    <n v="0"/>
    <n v="3"/>
    <n v="0"/>
    <n v="0.01"/>
    <n v="20"/>
    <n v="4.1399999999999997"/>
    <n v="27.15"/>
    <n v="2025"/>
    <n v="2"/>
    <n v="2024"/>
    <n v="11"/>
    <n v="11"/>
    <x v="13"/>
    <x v="13"/>
    <n v="-8468.4"/>
  </r>
  <r>
    <d v="2025-02-19T00:00:00"/>
    <s v="OPT-NIFTY-20-Feb-2025-22950-C-E-I"/>
    <s v="NSE"/>
    <x v="1"/>
    <n v="150"/>
    <n v="0"/>
    <n v="118.95"/>
    <n v="17842.5"/>
    <s v="#202502193700009911"/>
    <n v="0"/>
    <n v="6.34"/>
    <n v="1.83"/>
    <n v="0.02"/>
    <n v="40"/>
    <n v="8.34"/>
    <n v="56.53"/>
    <n v="2025"/>
    <n v="2"/>
    <n v="2024"/>
    <n v="11"/>
    <n v="11"/>
    <x v="13"/>
    <x v="13"/>
    <n v="-17899.03"/>
  </r>
  <r>
    <d v="2025-02-19T00:00:00"/>
    <s v="OPT-NIFTY-20-Feb-2025-22950-P-E-I"/>
    <s v="NSE"/>
    <x v="0"/>
    <n v="225"/>
    <n v="0"/>
    <n v="90"/>
    <n v="20250"/>
    <s v="#202502193700009845"/>
    <n v="20.25"/>
    <n v="7.19"/>
    <n v="0"/>
    <n v="0.02"/>
    <n v="60"/>
    <n v="12.1"/>
    <n v="99.56"/>
    <n v="2025"/>
    <n v="2"/>
    <n v="2024"/>
    <n v="11"/>
    <n v="11"/>
    <x v="13"/>
    <x v="13"/>
    <n v="20150.439999999999"/>
  </r>
  <r>
    <d v="2025-02-19T00:00:00"/>
    <s v="OPT-NIFTY-20-Feb-2025-22950-P-E-I"/>
    <s v="NSE"/>
    <x v="1"/>
    <n v="225"/>
    <n v="0"/>
    <n v="94"/>
    <n v="21150"/>
    <s v="#202502193700009713"/>
    <n v="0"/>
    <n v="7.51"/>
    <n v="0.63"/>
    <n v="0.02"/>
    <n v="60"/>
    <n v="12.16"/>
    <n v="80.319999999999993"/>
    <n v="2025"/>
    <n v="2"/>
    <n v="2024"/>
    <n v="11"/>
    <n v="11"/>
    <x v="13"/>
    <x v="13"/>
    <n v="-21230.32"/>
  </r>
  <r>
    <d v="2025-02-19T00:00:00"/>
    <s v="OPT-NIFTY-20-Feb-2025-22900-C-E-I"/>
    <s v="NSE"/>
    <x v="0"/>
    <n v="150"/>
    <n v="0"/>
    <n v="139"/>
    <n v="20850"/>
    <s v="#202502193700003793"/>
    <n v="21.13"/>
    <n v="7.41"/>
    <n v="0"/>
    <n v="0.02"/>
    <n v="40"/>
    <n v="8.5399999999999991"/>
    <n v="77.099999999999994"/>
    <n v="2025"/>
    <n v="2"/>
    <n v="2024"/>
    <n v="11"/>
    <n v="11"/>
    <x v="13"/>
    <x v="13"/>
    <n v="20772.900000000001"/>
  </r>
  <r>
    <d v="2025-02-19T00:00:00"/>
    <s v="OPT-NIFTY-20-Feb-2025-22900-C-E-I"/>
    <s v="NSE"/>
    <x v="1"/>
    <n v="150"/>
    <n v="0"/>
    <n v="120.55"/>
    <n v="18082.5"/>
    <s v="#202502193700003625"/>
    <n v="0"/>
    <n v="6.42"/>
    <n v="0.54"/>
    <n v="0.02"/>
    <n v="40"/>
    <n v="8.36"/>
    <n v="55.34"/>
    <n v="2025"/>
    <n v="2"/>
    <n v="2024"/>
    <n v="11"/>
    <n v="11"/>
    <x v="13"/>
    <x v="13"/>
    <n v="-18137.84"/>
  </r>
  <r>
    <d v="2025-02-20T00:00:00"/>
    <s v="OPT-NIFTY-20-Feb-2025-22850-P-E-I"/>
    <s v="NSE"/>
    <x v="0"/>
    <n v="675"/>
    <n v="0"/>
    <n v="14.1"/>
    <n v="9517.5"/>
    <s v="#202502203700011276"/>
    <n v="9.52"/>
    <n v="3.38"/>
    <n v="0"/>
    <n v="0.01"/>
    <n v="180"/>
    <n v="33.020000000000003"/>
    <n v="225.93"/>
    <n v="2025"/>
    <n v="2"/>
    <n v="2024"/>
    <n v="11"/>
    <n v="11"/>
    <x v="13"/>
    <x v="13"/>
    <n v="9291.57"/>
  </r>
  <r>
    <d v="2025-02-20T00:00:00"/>
    <s v="OPT-NIFTY-20-Feb-2025-22850-P-E-I"/>
    <s v="NSE"/>
    <x v="1"/>
    <n v="675"/>
    <n v="0"/>
    <n v="20.05"/>
    <n v="13533.75"/>
    <s v="#202502203700010856"/>
    <n v="0"/>
    <n v="4.8"/>
    <n v="1.08"/>
    <n v="0.01"/>
    <n v="180"/>
    <n v="33.28"/>
    <n v="219.17"/>
    <n v="2025"/>
    <n v="2"/>
    <n v="2024"/>
    <n v="11"/>
    <n v="11"/>
    <x v="13"/>
    <x v="13"/>
    <n v="-13752.92"/>
  </r>
  <r>
    <d v="2025-02-20T00:00:00"/>
    <s v="OPT-NIFTY-20-Feb-2025-22850-P-E-I"/>
    <s v="NSE"/>
    <x v="0"/>
    <n v="750"/>
    <n v="0"/>
    <n v="16"/>
    <n v="12000"/>
    <s v="#202502203700009964"/>
    <n v="12"/>
    <n v="4.2699999999999996"/>
    <n v="0"/>
    <n v="0"/>
    <n v="200"/>
    <n v="36.799999999999997"/>
    <n v="253.07"/>
    <n v="2025"/>
    <n v="2"/>
    <n v="2024"/>
    <n v="11"/>
    <n v="11"/>
    <x v="13"/>
    <x v="13"/>
    <n v="11746.93"/>
  </r>
  <r>
    <d v="2025-02-20T00:00:00"/>
    <s v="OPT-NIFTY-20-Feb-2025-22850-P-E-I"/>
    <s v="NSE"/>
    <x v="1"/>
    <n v="750"/>
    <n v="0"/>
    <n v="30.18"/>
    <n v="22631.25"/>
    <s v="#202502203700006754"/>
    <n v="0"/>
    <n v="8.0299999999999994"/>
    <n v="0"/>
    <n v="0.01"/>
    <n v="200"/>
    <n v="37.42"/>
    <n v="245.46"/>
    <n v="2025"/>
    <n v="2"/>
    <n v="2024"/>
    <n v="11"/>
    <n v="11"/>
    <x v="13"/>
    <x v="13"/>
    <n v="-22876.71"/>
  </r>
  <r>
    <d v="2025-02-20T00:00:00"/>
    <s v="OPT-NIFTY-20-Feb-2025-22850-C-E-I"/>
    <s v="NSE"/>
    <x v="0"/>
    <n v="375"/>
    <n v="0"/>
    <n v="62"/>
    <n v="23250"/>
    <s v="#202502203700005523"/>
    <n v="23.48"/>
    <n v="8.25"/>
    <n v="0"/>
    <n v="0"/>
    <n v="100"/>
    <n v="19.5"/>
    <n v="151.22999999999999"/>
    <n v="2025"/>
    <n v="2"/>
    <n v="2024"/>
    <n v="11"/>
    <n v="11"/>
    <x v="13"/>
    <x v="13"/>
    <n v="23098.77"/>
  </r>
  <r>
    <d v="2025-02-20T00:00:00"/>
    <s v="OPT-NIFTY-20-Feb-2025-22850-C-E-I"/>
    <s v="NSE"/>
    <x v="1"/>
    <n v="75"/>
    <n v="0"/>
    <n v="50.8"/>
    <n v="3810"/>
    <s v="#202502203700003732"/>
    <n v="0"/>
    <n v="1.35"/>
    <n v="0"/>
    <n v="0"/>
    <n v="20"/>
    <n v="3.84"/>
    <n v="25.19"/>
    <n v="2025"/>
    <n v="2"/>
    <n v="2024"/>
    <n v="11"/>
    <n v="11"/>
    <x v="13"/>
    <x v="13"/>
    <n v="-3835.19"/>
  </r>
  <r>
    <d v="2025-02-20T00:00:00"/>
    <s v="OPT-NIFTY-20-Feb-2025-22850-C-E-I"/>
    <s v="NSE"/>
    <x v="1"/>
    <n v="75"/>
    <n v="0"/>
    <n v="83.6"/>
    <n v="6270"/>
    <s v="#202502203700003334"/>
    <n v="0"/>
    <n v="2.23"/>
    <n v="0"/>
    <n v="0.01"/>
    <n v="20"/>
    <n v="4"/>
    <n v="26.24"/>
    <n v="2025"/>
    <n v="2"/>
    <n v="2024"/>
    <n v="11"/>
    <n v="11"/>
    <x v="13"/>
    <x v="13"/>
    <n v="-6296.24"/>
  </r>
  <r>
    <d v="2025-02-20T00:00:00"/>
    <s v="OPT-NIFTY-20-Feb-2025-22850-C-E-I"/>
    <s v="NSE"/>
    <x v="1"/>
    <n v="225"/>
    <n v="0"/>
    <n v="91"/>
    <n v="20475"/>
    <s v="#202502203700003084"/>
    <n v="0"/>
    <n v="7.27"/>
    <n v="0.92"/>
    <n v="0.02"/>
    <n v="60"/>
    <n v="12.12"/>
    <n v="80.33"/>
    <n v="2025"/>
    <n v="2"/>
    <n v="2024"/>
    <n v="11"/>
    <n v="11"/>
    <x v="13"/>
    <x v="13"/>
    <n v="-20555.330000000002"/>
  </r>
  <r>
    <d v="2025-02-25T00:00:00"/>
    <s v="OPT-NIFTY-27-Feb-2025-22600-C-E-I"/>
    <s v="NSE"/>
    <x v="0"/>
    <n v="75"/>
    <n v="0"/>
    <n v="50.25"/>
    <n v="3768.75"/>
    <s v="#202502253700008694"/>
    <n v="3.88"/>
    <n v="1.34"/>
    <n v="0"/>
    <n v="0"/>
    <n v="29"/>
    <n v="5.46"/>
    <n v="39.68"/>
    <n v="2025"/>
    <n v="2"/>
    <n v="2024"/>
    <n v="11"/>
    <n v="11"/>
    <x v="13"/>
    <x v="13"/>
    <n v="3729.07"/>
  </r>
  <r>
    <d v="2025-02-25T00:00:00"/>
    <s v="OPT-NIFTY-27-Feb-2025-22600-C-E-I"/>
    <s v="NSE"/>
    <x v="1"/>
    <n v="75"/>
    <n v="0"/>
    <n v="68.25"/>
    <n v="5118.75"/>
    <s v="#202502253700006941"/>
    <n v="0"/>
    <n v="1.82"/>
    <n v="0"/>
    <n v="0.01"/>
    <n v="29"/>
    <n v="5.54"/>
    <n v="36.369999999999997"/>
    <n v="2025"/>
    <n v="2"/>
    <n v="2024"/>
    <n v="11"/>
    <n v="11"/>
    <x v="13"/>
    <x v="13"/>
    <n v="-5155.12"/>
  </r>
  <r>
    <d v="2025-02-25T00:00:00"/>
    <s v="OPT-NIFTY-27-Feb-2025-22600-P-E-I"/>
    <s v="NSE"/>
    <x v="0"/>
    <n v="75"/>
    <n v="0"/>
    <n v="68.25"/>
    <n v="5118.75"/>
    <s v="#202502253700006563"/>
    <n v="5.12"/>
    <n v="1.82"/>
    <n v="0"/>
    <n v="0.01"/>
    <n v="29"/>
    <n v="5.54"/>
    <n v="41.49"/>
    <n v="2025"/>
    <n v="2"/>
    <n v="2024"/>
    <n v="11"/>
    <n v="11"/>
    <x v="13"/>
    <x v="13"/>
    <n v="5077.26"/>
  </r>
  <r>
    <d v="2025-02-25T00:00:00"/>
    <s v="OPT-NIFTY-27-Feb-2025-22600-P-E-I"/>
    <s v="NSE"/>
    <x v="1"/>
    <n v="75"/>
    <n v="0"/>
    <n v="70"/>
    <n v="5250"/>
    <s v="#202502253700006254"/>
    <n v="0"/>
    <n v="1.87"/>
    <n v="0"/>
    <n v="0.01"/>
    <n v="29"/>
    <n v="5.56"/>
    <n v="36.44"/>
    <n v="2025"/>
    <n v="2"/>
    <n v="2024"/>
    <n v="11"/>
    <n v="11"/>
    <x v="13"/>
    <x v="13"/>
    <n v="-5286.44"/>
  </r>
  <r>
    <d v="2025-02-27T00:00:00"/>
    <s v="OPT-NIFTY-27-Feb-2025-22550-P-E-I"/>
    <s v="NSE"/>
    <x v="0"/>
    <n v="750"/>
    <n v="0"/>
    <n v="24.25"/>
    <n v="18187.5"/>
    <s v="#202502273700011061"/>
    <n v="18"/>
    <n v="6.46"/>
    <n v="0"/>
    <n v="0.01"/>
    <n v="290"/>
    <n v="53.38"/>
    <n v="367.85"/>
    <n v="2025"/>
    <n v="2"/>
    <n v="2024"/>
    <n v="11"/>
    <n v="11"/>
    <x v="13"/>
    <x v="13"/>
    <n v="17819.650000000001"/>
  </r>
  <r>
    <d v="2025-02-27T00:00:00"/>
    <s v="OPT-NIFTY-27-Feb-2025-22550-P-E-I"/>
    <s v="NSE"/>
    <x v="1"/>
    <n v="150"/>
    <n v="0"/>
    <n v="15.25"/>
    <n v="2287.5"/>
    <s v="#202502273700008806"/>
    <n v="0"/>
    <n v="0.81"/>
    <n v="0"/>
    <n v="0"/>
    <n v="58"/>
    <n v="10.58"/>
    <n v="69.39"/>
    <n v="2025"/>
    <n v="2"/>
    <n v="2024"/>
    <n v="11"/>
    <n v="11"/>
    <x v="13"/>
    <x v="13"/>
    <n v="-2356.89"/>
  </r>
  <r>
    <d v="2025-02-27T00:00:00"/>
    <s v="OPT-NIFTY-27-Feb-2025-22550-P-E-I"/>
    <s v="NSE"/>
    <x v="1"/>
    <n v="150"/>
    <n v="0"/>
    <n v="17.05"/>
    <n v="2557.5"/>
    <s v="#202502273700008392"/>
    <n v="0"/>
    <n v="0.91"/>
    <n v="0"/>
    <n v="0"/>
    <n v="58"/>
    <n v="10.6"/>
    <n v="69.510000000000005"/>
    <n v="2025"/>
    <n v="2"/>
    <n v="2024"/>
    <n v="11"/>
    <n v="11"/>
    <x v="13"/>
    <x v="13"/>
    <n v="-2627.01"/>
  </r>
  <r>
    <d v="2025-02-27T00:00:00"/>
    <s v="OPT-NIFTY-27-Feb-2025-22550-P-E-I"/>
    <s v="NSE"/>
    <x v="1"/>
    <n v="150"/>
    <n v="0"/>
    <n v="20.149999999999999"/>
    <n v="3022.5"/>
    <s v="#202502273700008303"/>
    <n v="0"/>
    <n v="1.08"/>
    <n v="0"/>
    <n v="0"/>
    <n v="58"/>
    <n v="10.64"/>
    <n v="69.72"/>
    <n v="2025"/>
    <n v="2"/>
    <n v="2024"/>
    <n v="11"/>
    <n v="11"/>
    <x v="13"/>
    <x v="13"/>
    <n v="-3092.22"/>
  </r>
  <r>
    <d v="2025-02-27T00:00:00"/>
    <s v="OPT-NIFTY-27-Feb-2025-22550-P-E-I"/>
    <s v="NSE"/>
    <x v="1"/>
    <n v="75"/>
    <n v="0"/>
    <n v="24.25"/>
    <n v="1818.75"/>
    <s v="#202502273700005593"/>
    <n v="0"/>
    <n v="0.65"/>
    <n v="0"/>
    <n v="0"/>
    <n v="29"/>
    <n v="5.34"/>
    <n v="34.99"/>
    <n v="2025"/>
    <n v="2"/>
    <n v="2024"/>
    <n v="11"/>
    <n v="11"/>
    <x v="13"/>
    <x v="13"/>
    <n v="-1853.74"/>
  </r>
  <r>
    <d v="2025-02-27T00:00:00"/>
    <s v="OPT-NIFTY-27-Feb-2025-22550-P-E-I"/>
    <s v="NSE"/>
    <x v="1"/>
    <n v="75"/>
    <n v="0"/>
    <n v="24.25"/>
    <n v="1818.75"/>
    <s v="#202502273700005564"/>
    <n v="0"/>
    <n v="0.65"/>
    <n v="0"/>
    <n v="0"/>
    <n v="29"/>
    <n v="5.34"/>
    <n v="34.99"/>
    <n v="2025"/>
    <n v="2"/>
    <n v="2024"/>
    <n v="11"/>
    <n v="11"/>
    <x v="13"/>
    <x v="13"/>
    <n v="-1853.74"/>
  </r>
  <r>
    <d v="2025-02-27T00:00:00"/>
    <s v="OPT-NIFTY-27-Feb-2025-22550-P-E-I"/>
    <s v="NSE"/>
    <x v="1"/>
    <n v="75"/>
    <n v="0"/>
    <n v="24.15"/>
    <n v="1811.25"/>
    <s v="#202502273700005533"/>
    <n v="0"/>
    <n v="0.64"/>
    <n v="0"/>
    <n v="0"/>
    <n v="29"/>
    <n v="5.34"/>
    <n v="34.979999999999997"/>
    <n v="2025"/>
    <n v="2"/>
    <n v="2024"/>
    <n v="11"/>
    <n v="11"/>
    <x v="13"/>
    <x v="13"/>
    <n v="-1846.23"/>
  </r>
  <r>
    <d v="2025-02-27T00:00:00"/>
    <s v="OPT-NIFTY-27-Feb-2025-22550-P-E-I"/>
    <s v="NSE"/>
    <x v="1"/>
    <n v="75"/>
    <n v="0"/>
    <n v="25"/>
    <n v="1875"/>
    <s v="#202502273700005466"/>
    <n v="0"/>
    <n v="0.67"/>
    <n v="0"/>
    <n v="0"/>
    <n v="29"/>
    <n v="5.34"/>
    <n v="35.01"/>
    <n v="2025"/>
    <n v="2"/>
    <n v="2024"/>
    <n v="11"/>
    <n v="11"/>
    <x v="13"/>
    <x v="13"/>
    <n v="-1910.01"/>
  </r>
  <r>
    <d v="2025-02-28T00:00:00"/>
    <s v="OPT-NIFTY-06-Mar-2025-22300-C-E-I"/>
    <s v="NSE"/>
    <x v="0"/>
    <n v="450"/>
    <n v="0"/>
    <n v="90"/>
    <n v="40500"/>
    <s v="#202502283700019088"/>
    <n v="40.5"/>
    <n v="14.39"/>
    <n v="0"/>
    <n v="0.04"/>
    <n v="174"/>
    <n v="33.92"/>
    <n v="262.85000000000002"/>
    <n v="2025"/>
    <n v="2"/>
    <n v="2024"/>
    <n v="11"/>
    <n v="11"/>
    <x v="13"/>
    <x v="13"/>
    <n v="40237.15"/>
  </r>
  <r>
    <d v="2025-02-28T00:00:00"/>
    <s v="OPT-NIFTY-06-Mar-2025-22300-C-E-I"/>
    <s v="NSE"/>
    <x v="1"/>
    <n v="450"/>
    <n v="0"/>
    <n v="107.95"/>
    <n v="48577.5"/>
    <s v="#202502283700017550"/>
    <n v="0"/>
    <n v="17.28"/>
    <n v="0"/>
    <n v="0.06"/>
    <n v="174"/>
    <n v="34.44"/>
    <n v="225.78"/>
    <n v="2025"/>
    <n v="2"/>
    <n v="2024"/>
    <n v="11"/>
    <n v="11"/>
    <x v="13"/>
    <x v="13"/>
    <n v="-48803.28"/>
  </r>
  <r>
    <d v="2025-02-28T00:00:00"/>
    <s v="OPT-NIFTY-06-Mar-2025-22250-P-E-I"/>
    <s v="NSE"/>
    <x v="0"/>
    <n v="300"/>
    <n v="0"/>
    <n v="169.25"/>
    <n v="50775"/>
    <s v="#202502283700012945"/>
    <n v="50.65"/>
    <n v="18.04"/>
    <n v="0"/>
    <n v="0.05"/>
    <n v="116"/>
    <n v="24.14"/>
    <n v="208.88"/>
    <n v="2025"/>
    <n v="2"/>
    <n v="2024"/>
    <n v="11"/>
    <n v="11"/>
    <x v="13"/>
    <x v="13"/>
    <n v="50566.12"/>
  </r>
  <r>
    <d v="2025-02-28T00:00:00"/>
    <s v="OPT-NIFTY-06-Mar-2025-22250-P-E-I"/>
    <s v="NSE"/>
    <x v="1"/>
    <n v="300"/>
    <n v="0"/>
    <n v="148.71"/>
    <n v="44613.75"/>
    <s v="#202502283700011855"/>
    <n v="0"/>
    <n v="15.85"/>
    <n v="2.34"/>
    <n v="0.04"/>
    <n v="116"/>
    <n v="23.74"/>
    <n v="157.97"/>
    <n v="2025"/>
    <n v="2"/>
    <n v="2024"/>
    <n v="11"/>
    <n v="11"/>
    <x v="13"/>
    <x v="13"/>
    <n v="-44771.72"/>
  </r>
  <r>
    <d v="2025-02-28T00:00:00"/>
    <s v="OPT-NIFTY-06-Mar-2025-22300-C-E-I"/>
    <s v="NSE"/>
    <x v="0"/>
    <n v="300"/>
    <n v="0"/>
    <n v="127.25"/>
    <n v="38175"/>
    <s v="#202502283700011136"/>
    <n v="38.18"/>
    <n v="13.56"/>
    <n v="0"/>
    <n v="0.04"/>
    <n v="116"/>
    <n v="23.32"/>
    <n v="191.1"/>
    <n v="2025"/>
    <n v="2"/>
    <n v="2024"/>
    <n v="11"/>
    <n v="11"/>
    <x v="13"/>
    <x v="13"/>
    <n v="37983.9"/>
  </r>
  <r>
    <d v="2025-02-28T00:00:00"/>
    <s v="OPT-NIFTY-06-Mar-2025-22300-C-E-I"/>
    <s v="NSE"/>
    <x v="1"/>
    <n v="300"/>
    <n v="0"/>
    <n v="126.25"/>
    <n v="37875"/>
    <s v="#202502283700010736"/>
    <n v="0"/>
    <n v="13.46"/>
    <n v="0"/>
    <n v="0.04"/>
    <n v="116"/>
    <n v="23.32"/>
    <n v="152.82"/>
    <n v="2025"/>
    <n v="2"/>
    <n v="2024"/>
    <n v="11"/>
    <n v="11"/>
    <x v="13"/>
    <x v="13"/>
    <n v="-38027.82"/>
  </r>
  <r>
    <d v="2025-02-28T00:00:00"/>
    <s v="OPT-NIFTY-06-Mar-2025-22250-P-E-I"/>
    <s v="NSE"/>
    <x v="0"/>
    <n v="300"/>
    <n v="0"/>
    <n v="122.25"/>
    <n v="36675"/>
    <s v="#202502283700010363"/>
    <n v="36.68"/>
    <n v="13.03"/>
    <n v="0"/>
    <n v="0.04"/>
    <n v="116"/>
    <n v="23.22"/>
    <n v="188.97"/>
    <n v="2025"/>
    <n v="2"/>
    <n v="2024"/>
    <n v="11"/>
    <n v="11"/>
    <x v="13"/>
    <x v="13"/>
    <n v="36486.03"/>
  </r>
  <r>
    <d v="2025-02-28T00:00:00"/>
    <s v="OPT-NIFTY-06-Mar-2025-22250-P-E-I"/>
    <s v="NSE"/>
    <x v="1"/>
    <n v="300"/>
    <n v="0"/>
    <n v="111.78"/>
    <n v="33532.5"/>
    <s v="#202502283700010184"/>
    <n v="0"/>
    <n v="11.92"/>
    <n v="0"/>
    <n v="0.04"/>
    <n v="116"/>
    <n v="23.04"/>
    <n v="151"/>
    <n v="2025"/>
    <n v="2"/>
    <n v="2024"/>
    <n v="11"/>
    <n v="11"/>
    <x v="13"/>
    <x v="13"/>
    <n v="-33683.5"/>
  </r>
  <r>
    <d v="2025-02-28T00:00:00"/>
    <s v="OPT-NIFTY-06-Mar-2025-22300-C-E-I"/>
    <s v="NSE"/>
    <x v="0"/>
    <n v="375"/>
    <n v="0"/>
    <n v="128"/>
    <n v="48000"/>
    <s v="#202502283700010008"/>
    <n v="48"/>
    <n v="17.05"/>
    <n v="0"/>
    <n v="0.05"/>
    <n v="145"/>
    <n v="29.18"/>
    <n v="239.28"/>
    <n v="2025"/>
    <n v="2"/>
    <n v="2024"/>
    <n v="11"/>
    <n v="11"/>
    <x v="13"/>
    <x v="13"/>
    <n v="47760.72"/>
  </r>
  <r>
    <d v="2025-02-28T00:00:00"/>
    <s v="OPT-NIFTY-06-Mar-2025-22300-C-E-I"/>
    <s v="NSE"/>
    <x v="1"/>
    <n v="300"/>
    <n v="0"/>
    <n v="145.25"/>
    <n v="43575"/>
    <s v="#202502283700009540"/>
    <n v="0"/>
    <n v="15.48"/>
    <n v="4.66"/>
    <n v="0.04"/>
    <n v="116"/>
    <n v="23.68"/>
    <n v="159.86000000000001"/>
    <n v="2025"/>
    <n v="2"/>
    <n v="2024"/>
    <n v="11"/>
    <n v="11"/>
    <x v="13"/>
    <x v="13"/>
    <n v="-43734.86"/>
  </r>
  <r>
    <d v="2025-02-28T00:00:00"/>
    <s v="OPT-NIFTY-06-Mar-2025-22300-C-E-I"/>
    <s v="NSE"/>
    <x v="1"/>
    <n v="75"/>
    <n v="0"/>
    <n v="205.2"/>
    <n v="15390"/>
    <s v="#202502283700001198"/>
    <n v="0"/>
    <n v="5.47"/>
    <n v="0"/>
    <n v="0.02"/>
    <n v="29"/>
    <n v="6.2"/>
    <n v="40.69"/>
    <n v="2025"/>
    <n v="2"/>
    <n v="2024"/>
    <n v="11"/>
    <n v="11"/>
    <x v="13"/>
    <x v="13"/>
    <n v="-15430.69"/>
  </r>
  <r>
    <d v="2025-03-03T00:00:00"/>
    <s v="OPT-NIFTY-06-Mar-2025-22250-P-E-I"/>
    <s v="NSE"/>
    <x v="0"/>
    <n v="75"/>
    <n v="0"/>
    <n v="174.25"/>
    <n v="13068.75"/>
    <s v="#202503033700018063"/>
    <n v="13.07"/>
    <n v="4.6399999999999997"/>
    <n v="0"/>
    <n v="0.01"/>
    <n v="29"/>
    <n v="6.06"/>
    <n v="52.78"/>
    <n v="2025"/>
    <n v="3"/>
    <n v="2024"/>
    <n v="12"/>
    <n v="12"/>
    <x v="14"/>
    <x v="14"/>
    <n v="13015.97"/>
  </r>
  <r>
    <d v="2025-03-03T00:00:00"/>
    <s v="OPT-NIFTY-06-Mar-2025-22250-P-E-I"/>
    <s v="NSE"/>
    <x v="1"/>
    <n v="75"/>
    <n v="0"/>
    <n v="152.5"/>
    <n v="11437.5"/>
    <s v="#202503033700014960"/>
    <n v="0"/>
    <n v="4.0599999999999996"/>
    <n v="0.34"/>
    <n v="0.01"/>
    <n v="29"/>
    <n v="5.96"/>
    <n v="39.369999999999997"/>
    <n v="2025"/>
    <n v="3"/>
    <n v="2024"/>
    <n v="12"/>
    <n v="12"/>
    <x v="14"/>
    <x v="14"/>
    <n v="-11476.87"/>
  </r>
  <r>
    <d v="2025-03-03T00:00:00"/>
    <s v="OPT-NIFTY-06-Mar-2025-22250-C-E-I"/>
    <s v="NSE"/>
    <x v="0"/>
    <n v="300"/>
    <n v="0"/>
    <n v="51.25"/>
    <n v="15375"/>
    <s v="#202503033700010257"/>
    <n v="15.43"/>
    <n v="5.46"/>
    <n v="0"/>
    <n v="0.02"/>
    <n v="116"/>
    <n v="21.86"/>
    <n v="158.77000000000001"/>
    <n v="2025"/>
    <n v="3"/>
    <n v="2024"/>
    <n v="12"/>
    <n v="12"/>
    <x v="14"/>
    <x v="14"/>
    <n v="15216.23"/>
  </r>
  <r>
    <d v="2025-03-03T00:00:00"/>
    <s v="OPT-NIFTY-06-Mar-2025-22250-C-E-I"/>
    <s v="NSE"/>
    <x v="1"/>
    <n v="300"/>
    <n v="0"/>
    <n v="53.2"/>
    <n v="15960"/>
    <s v="#202503033700009522"/>
    <n v="0"/>
    <n v="5.67"/>
    <n v="0.66"/>
    <n v="0.02"/>
    <n v="116"/>
    <n v="21.9"/>
    <n v="144.25"/>
    <n v="2025"/>
    <n v="3"/>
    <n v="2024"/>
    <n v="12"/>
    <n v="12"/>
    <x v="14"/>
    <x v="14"/>
    <n v="-16104.25"/>
  </r>
  <r>
    <d v="2025-03-03T00:00:00"/>
    <s v="OPT-NIFTY-06-Mar-2025-22250-C-E-I"/>
    <s v="NSE"/>
    <x v="0"/>
    <n v="225"/>
    <n v="0"/>
    <n v="60"/>
    <n v="13500"/>
    <s v="#202503033700008507"/>
    <n v="13.5"/>
    <n v="4.8"/>
    <n v="0"/>
    <n v="0.01"/>
    <n v="87"/>
    <n v="16.52"/>
    <n v="121.83"/>
    <n v="2025"/>
    <n v="3"/>
    <n v="2024"/>
    <n v="12"/>
    <n v="12"/>
    <x v="14"/>
    <x v="14"/>
    <n v="13378.17"/>
  </r>
  <r>
    <d v="2025-03-03T00:00:00"/>
    <s v="OPT-NIFTY-06-Mar-2025-22250-C-E-I"/>
    <s v="NSE"/>
    <x v="1"/>
    <n v="75"/>
    <n v="0"/>
    <n v="65.25"/>
    <n v="4893.75"/>
    <s v="#202503033700005932"/>
    <n v="0"/>
    <n v="1.74"/>
    <n v="0"/>
    <n v="0"/>
    <n v="29"/>
    <n v="5.54"/>
    <n v="36.28"/>
    <n v="2025"/>
    <n v="3"/>
    <n v="2024"/>
    <n v="12"/>
    <n v="12"/>
    <x v="14"/>
    <x v="14"/>
    <n v="-4930.03"/>
  </r>
  <r>
    <d v="2025-03-03T00:00:00"/>
    <s v="OPT-NIFTY-06-Mar-2025-22250-C-E-I"/>
    <s v="NSE"/>
    <x v="1"/>
    <n v="75"/>
    <n v="0"/>
    <n v="63.35"/>
    <n v="4751.25"/>
    <s v="#202503033700005611"/>
    <n v="0"/>
    <n v="1.69"/>
    <n v="0"/>
    <n v="0"/>
    <n v="29"/>
    <n v="5.52"/>
    <n v="36.21"/>
    <n v="2025"/>
    <n v="3"/>
    <n v="2024"/>
    <n v="12"/>
    <n v="12"/>
    <x v="14"/>
    <x v="14"/>
    <n v="-4787.46"/>
  </r>
  <r>
    <d v="2025-03-03T00:00:00"/>
    <s v="OPT-NIFTY-06-Mar-2025-22250-C-E-I"/>
    <s v="NSE"/>
    <x v="1"/>
    <n v="75"/>
    <n v="0"/>
    <n v="109.6"/>
    <n v="8220"/>
    <s v="#202503033700003050"/>
    <n v="0"/>
    <n v="2.92"/>
    <n v="0"/>
    <n v="0.01"/>
    <n v="29"/>
    <n v="5.74"/>
    <n v="37.67"/>
    <n v="2025"/>
    <n v="3"/>
    <n v="2024"/>
    <n v="12"/>
    <n v="12"/>
    <x v="14"/>
    <x v="14"/>
    <n v="-8257.67"/>
  </r>
  <r>
    <d v="2025-03-04T00:00:00"/>
    <s v="OPT-NIFTY-06-Mar-2025-22050-P-E-I"/>
    <s v="NSE"/>
    <x v="0"/>
    <n v="225"/>
    <n v="0"/>
    <n v="81.2"/>
    <n v="18270"/>
    <s v="#202503043700015279"/>
    <n v="18.32"/>
    <n v="6.49"/>
    <n v="0"/>
    <n v="0.02"/>
    <n v="87"/>
    <n v="16.84"/>
    <n v="128.66999999999999"/>
    <n v="2025"/>
    <n v="3"/>
    <n v="2024"/>
    <n v="12"/>
    <n v="12"/>
    <x v="14"/>
    <x v="14"/>
    <n v="18141.330000000002"/>
  </r>
  <r>
    <d v="2025-03-04T00:00:00"/>
    <s v="OPT-NIFTY-06-Mar-2025-22050-P-E-I"/>
    <s v="NSE"/>
    <x v="1"/>
    <n v="150"/>
    <n v="0"/>
    <n v="77.05"/>
    <n v="11557.5"/>
    <s v="#202503043700014966"/>
    <n v="0"/>
    <n v="4.0999999999999996"/>
    <n v="0.72"/>
    <n v="0.02"/>
    <n v="58"/>
    <n v="11.2"/>
    <n v="74.040000000000006"/>
    <n v="2025"/>
    <n v="3"/>
    <n v="2024"/>
    <n v="12"/>
    <n v="12"/>
    <x v="14"/>
    <x v="14"/>
    <n v="-11631.54"/>
  </r>
  <r>
    <d v="2025-03-04T00:00:00"/>
    <s v="OPT-NIFTY-06-Mar-2025-22050-P-E-I"/>
    <s v="NSE"/>
    <x v="1"/>
    <n v="75"/>
    <n v="0"/>
    <n v="76"/>
    <n v="5700"/>
    <s v="#202503043700014950"/>
    <n v="0"/>
    <n v="2.0299999999999998"/>
    <n v="0"/>
    <n v="0.01"/>
    <n v="29"/>
    <n v="5.58"/>
    <n v="36.619999999999997"/>
    <n v="2025"/>
    <n v="3"/>
    <n v="2024"/>
    <n v="12"/>
    <n v="12"/>
    <x v="14"/>
    <x v="14"/>
    <n v="-5736.62"/>
  </r>
  <r>
    <d v="2025-03-04T00:00:00"/>
    <s v="OPT-NIFTY-06-Mar-2025-22250-C-E-I"/>
    <s v="NSE"/>
    <x v="0"/>
    <n v="300"/>
    <n v="0"/>
    <n v="42.25"/>
    <n v="12675"/>
    <s v="#202503043700003865"/>
    <n v="12.68"/>
    <n v="4.51"/>
    <n v="0"/>
    <n v="0.01"/>
    <n v="116"/>
    <n v="21.68"/>
    <n v="154.88"/>
    <n v="2025"/>
    <n v="3"/>
    <n v="2024"/>
    <n v="12"/>
    <n v="12"/>
    <x v="14"/>
    <x v="14"/>
    <n v="12520.12"/>
  </r>
  <r>
    <d v="2025-03-04T00:00:00"/>
    <s v="OPT-NIFTY-06-Mar-2025-22250-C-E-I"/>
    <s v="NSE"/>
    <x v="1"/>
    <n v="300"/>
    <n v="0"/>
    <n v="31.25"/>
    <n v="9375"/>
    <s v="#202503043700002804"/>
    <n v="0"/>
    <n v="3.33"/>
    <n v="0.28000000000000003"/>
    <n v="0.01"/>
    <n v="116"/>
    <n v="21.48"/>
    <n v="141.1"/>
    <n v="2025"/>
    <n v="3"/>
    <n v="2024"/>
    <n v="12"/>
    <n v="12"/>
    <x v="14"/>
    <x v="14"/>
    <n v="-9516.1"/>
  </r>
  <r>
    <d v="2025-03-06T00:00:00"/>
    <s v="OPT-NIFTY-06-Mar-2025-22450-C-E-I"/>
    <s v="NSE"/>
    <x v="0"/>
    <n v="375"/>
    <n v="0"/>
    <n v="24.25"/>
    <n v="9093.75"/>
    <s v="#202503063700015441"/>
    <n v="9.09"/>
    <n v="3.23"/>
    <n v="0"/>
    <n v="0.01"/>
    <n v="145"/>
    <n v="26.68"/>
    <n v="184.01"/>
    <n v="2025"/>
    <n v="3"/>
    <n v="2024"/>
    <n v="12"/>
    <n v="12"/>
    <x v="14"/>
    <x v="14"/>
    <n v="8909.74"/>
  </r>
  <r>
    <d v="2025-03-06T00:00:00"/>
    <s v="OPT-NIFTY-06-Mar-2025-22450-C-E-I"/>
    <s v="NSE"/>
    <x v="1"/>
    <n v="375"/>
    <n v="0"/>
    <n v="13.25"/>
    <n v="4968.75"/>
    <s v="#202503063700014454"/>
    <n v="0"/>
    <n v="1.77"/>
    <n v="0"/>
    <n v="0"/>
    <n v="145"/>
    <n v="26.42"/>
    <n v="173.19"/>
    <n v="2025"/>
    <n v="3"/>
    <n v="2024"/>
    <n v="12"/>
    <n v="12"/>
    <x v="14"/>
    <x v="14"/>
    <n v="-5141.9399999999996"/>
  </r>
  <r>
    <d v="2025-03-06T00:00:00"/>
    <s v="OPT-NIFTY-06-Mar-2025-22150-P-E-I"/>
    <s v="NSE"/>
    <x v="0"/>
    <n v="375"/>
    <n v="0"/>
    <n v="23.73"/>
    <n v="8898.75"/>
    <s v="#202503063700005686"/>
    <n v="8.91"/>
    <n v="3.16"/>
    <n v="0"/>
    <n v="0"/>
    <n v="145"/>
    <n v="26.66"/>
    <n v="183.73"/>
    <n v="2025"/>
    <n v="3"/>
    <n v="2024"/>
    <n v="12"/>
    <n v="12"/>
    <x v="14"/>
    <x v="14"/>
    <n v="8715.02"/>
  </r>
  <r>
    <d v="2025-03-06T00:00:00"/>
    <s v="OPT-NIFTY-06-Mar-2025-22150-P-E-I"/>
    <s v="NSE"/>
    <x v="1"/>
    <n v="375"/>
    <n v="0"/>
    <n v="11.15"/>
    <n v="4181.25"/>
    <s v="#202503063700002621"/>
    <n v="0"/>
    <n v="1.49"/>
    <n v="0"/>
    <n v="0"/>
    <n v="145"/>
    <n v="26.36"/>
    <n v="172.85"/>
    <n v="2025"/>
    <n v="3"/>
    <n v="2024"/>
    <n v="12"/>
    <n v="12"/>
    <x v="14"/>
    <x v="14"/>
    <n v="-4354.1000000000004"/>
  </r>
  <r>
    <d v="2025-03-07T00:00:00"/>
    <s v="OPT-NIFTY-13-Mar-2025-22700-C-E-I"/>
    <s v="NSE"/>
    <x v="0"/>
    <n v="150"/>
    <n v="0"/>
    <n v="90.3"/>
    <n v="13545"/>
    <s v="#202503073700016083"/>
    <n v="13.55"/>
    <n v="4.8099999999999996"/>
    <n v="0"/>
    <n v="0.01"/>
    <n v="58"/>
    <n v="11.3"/>
    <n v="87.67"/>
    <n v="2025"/>
    <n v="3"/>
    <n v="2024"/>
    <n v="12"/>
    <n v="12"/>
    <x v="14"/>
    <x v="14"/>
    <n v="13457.33"/>
  </r>
  <r>
    <d v="2025-03-07T00:00:00"/>
    <s v="OPT-NIFTY-13-Mar-2025-22700-C-E-I"/>
    <s v="NSE"/>
    <x v="1"/>
    <n v="150"/>
    <n v="0"/>
    <n v="87.65"/>
    <n v="13147.5"/>
    <s v="#202503073700014311"/>
    <n v="0"/>
    <n v="4.67"/>
    <n v="1.55"/>
    <n v="0.01"/>
    <n v="58"/>
    <n v="11.28"/>
    <n v="75.510000000000005"/>
    <n v="2025"/>
    <n v="3"/>
    <n v="2024"/>
    <n v="12"/>
    <n v="12"/>
    <x v="14"/>
    <x v="14"/>
    <n v="-13223.01"/>
  </r>
  <r>
    <d v="2025-03-07T00:00:00"/>
    <s v="OPT-NIFTY-13-Mar-2025-22700-C-E-I"/>
    <s v="NSE"/>
    <x v="0"/>
    <n v="150"/>
    <n v="0"/>
    <n v="78.5"/>
    <n v="11775"/>
    <s v="#202503073700013258"/>
    <n v="11.78"/>
    <n v="4.18"/>
    <n v="0"/>
    <n v="0.01"/>
    <n v="58"/>
    <n v="11.2"/>
    <n v="85.17"/>
    <n v="2025"/>
    <n v="3"/>
    <n v="2024"/>
    <n v="12"/>
    <n v="12"/>
    <x v="14"/>
    <x v="14"/>
    <n v="11689.83"/>
  </r>
  <r>
    <d v="2025-03-07T00:00:00"/>
    <s v="OPT-NIFTY-13-Mar-2025-22700-C-E-I"/>
    <s v="NSE"/>
    <x v="1"/>
    <n v="75"/>
    <n v="0"/>
    <n v="103.35"/>
    <n v="7751.25"/>
    <s v="#202503073700008704"/>
    <n v="0"/>
    <n v="2.75"/>
    <n v="0"/>
    <n v="0.01"/>
    <n v="29"/>
    <n v="5.72"/>
    <n v="37.479999999999997"/>
    <n v="2025"/>
    <n v="3"/>
    <n v="2024"/>
    <n v="12"/>
    <n v="12"/>
    <x v="14"/>
    <x v="14"/>
    <n v="-7788.73"/>
  </r>
  <r>
    <d v="2025-03-07T00:00:00"/>
    <s v="OPT-NIFTY-13-Mar-2025-22700-C-E-I"/>
    <s v="NSE"/>
    <x v="1"/>
    <n v="75"/>
    <n v="0"/>
    <n v="102"/>
    <n v="7650"/>
    <s v="#202503073700008543"/>
    <n v="0"/>
    <n v="2.72"/>
    <n v="0"/>
    <n v="0.01"/>
    <n v="29"/>
    <n v="5.72"/>
    <n v="37.450000000000003"/>
    <n v="2025"/>
    <n v="3"/>
    <n v="2024"/>
    <n v="12"/>
    <n v="12"/>
    <x v="14"/>
    <x v="14"/>
    <n v="-7687.45"/>
  </r>
  <r>
    <d v="2025-03-07T00:00:00"/>
    <s v="OPT-NIFTY-13-Mar-2025-22700-C-E-I"/>
    <s v="NSE"/>
    <x v="0"/>
    <n v="75"/>
    <n v="0"/>
    <n v="105.7"/>
    <n v="7927.5"/>
    <s v="#202503073700007663"/>
    <n v="7.93"/>
    <n v="2.82"/>
    <n v="0"/>
    <n v="0.01"/>
    <n v="29"/>
    <n v="5.72"/>
    <n v="45.48"/>
    <n v="2025"/>
    <n v="3"/>
    <n v="2024"/>
    <n v="12"/>
    <n v="12"/>
    <x v="14"/>
    <x v="14"/>
    <n v="7882.02"/>
  </r>
  <r>
    <d v="2025-03-07T00:00:00"/>
    <s v="OPT-NIFTY-13-Mar-2025-22700-C-E-I"/>
    <s v="NSE"/>
    <x v="1"/>
    <n v="75"/>
    <n v="0"/>
    <n v="110.05"/>
    <n v="8253.75"/>
    <s v="#202503073700007444"/>
    <n v="0"/>
    <n v="2.93"/>
    <n v="0"/>
    <n v="0.01"/>
    <n v="29"/>
    <n v="5.74"/>
    <n v="37.68"/>
    <n v="2025"/>
    <n v="3"/>
    <n v="2024"/>
    <n v="12"/>
    <n v="12"/>
    <x v="14"/>
    <x v="14"/>
    <n v="-8291.43"/>
  </r>
  <r>
    <d v="2025-03-07T00:00:00"/>
    <s v="OPT-NIFTY-13-Mar-2025-22350-P-E-I"/>
    <s v="NSE"/>
    <x v="0"/>
    <n v="150"/>
    <n v="0"/>
    <n v="54.68"/>
    <n v="8201.25"/>
    <s v="#202503073700007392"/>
    <n v="8"/>
    <n v="2.92"/>
    <n v="0"/>
    <n v="0"/>
    <n v="58"/>
    <n v="10.96"/>
    <n v="79.88"/>
    <n v="2025"/>
    <n v="3"/>
    <n v="2024"/>
    <n v="12"/>
    <n v="12"/>
    <x v="14"/>
    <x v="14"/>
    <n v="8121.37"/>
  </r>
  <r>
    <d v="2025-03-07T00:00:00"/>
    <s v="OPT-NIFTY-13-Mar-2025-22350-P-E-I"/>
    <s v="NSE"/>
    <x v="1"/>
    <n v="150"/>
    <n v="0"/>
    <n v="58.8"/>
    <n v="8820"/>
    <s v="#202503073700007288"/>
    <n v="0"/>
    <n v="3.13"/>
    <n v="0.45"/>
    <n v="0.01"/>
    <n v="58"/>
    <n v="11"/>
    <n v="72.59"/>
    <n v="2025"/>
    <n v="3"/>
    <n v="2024"/>
    <n v="12"/>
    <n v="12"/>
    <x v="14"/>
    <x v="14"/>
    <n v="-8892.59"/>
  </r>
  <r>
    <d v="2025-03-07T00:00:00"/>
    <s v="OPT-NIFTY-13-Mar-2025-22700-C-E-I"/>
    <s v="NSE"/>
    <x v="0"/>
    <n v="150"/>
    <n v="0"/>
    <n v="98.75"/>
    <n v="14812.5"/>
    <s v="#202503073700005224"/>
    <n v="14.81"/>
    <n v="5.26"/>
    <n v="0"/>
    <n v="0.01"/>
    <n v="58"/>
    <n v="11.38"/>
    <n v="89.46"/>
    <n v="2025"/>
    <n v="3"/>
    <n v="2024"/>
    <n v="12"/>
    <n v="12"/>
    <x v="14"/>
    <x v="14"/>
    <n v="14723.04"/>
  </r>
  <r>
    <d v="2025-03-07T00:00:00"/>
    <s v="OPT-NIFTY-13-Mar-2025-22700-C-E-I"/>
    <s v="NSE"/>
    <x v="1"/>
    <n v="75"/>
    <n v="0"/>
    <n v="81.400000000000006"/>
    <n v="6105"/>
    <s v="#202503073700004640"/>
    <n v="0"/>
    <n v="2.17"/>
    <n v="0"/>
    <n v="0.01"/>
    <n v="29"/>
    <n v="5.62"/>
    <n v="36.799999999999997"/>
    <n v="2025"/>
    <n v="3"/>
    <n v="2024"/>
    <n v="12"/>
    <n v="12"/>
    <x v="14"/>
    <x v="14"/>
    <n v="-6141.8"/>
  </r>
  <r>
    <d v="2025-03-07T00:00:00"/>
    <s v="OPT-NIFTY-13-Mar-2025-22350-P-E-I"/>
    <s v="NSE"/>
    <x v="0"/>
    <n v="75"/>
    <n v="0"/>
    <n v="70.400000000000006"/>
    <n v="5280"/>
    <s v="#202503073700004603"/>
    <n v="5.28"/>
    <n v="1.88"/>
    <n v="0"/>
    <n v="0.01"/>
    <n v="29"/>
    <n v="5.56"/>
    <n v="41.73"/>
    <n v="2025"/>
    <n v="3"/>
    <n v="2024"/>
    <n v="12"/>
    <n v="12"/>
    <x v="14"/>
    <x v="14"/>
    <n v="5238.2700000000004"/>
  </r>
  <r>
    <d v="2025-03-07T00:00:00"/>
    <s v="OPT-NIFTY-13-Mar-2025-22700-C-E-I"/>
    <s v="NSE"/>
    <x v="1"/>
    <n v="75"/>
    <n v="0"/>
    <n v="81.25"/>
    <n v="6093.75"/>
    <s v="#202503073700004565"/>
    <n v="0"/>
    <n v="2.17"/>
    <n v="0"/>
    <n v="0.01"/>
    <n v="29"/>
    <n v="5.62"/>
    <n v="36.799999999999997"/>
    <n v="2025"/>
    <n v="3"/>
    <n v="2024"/>
    <n v="12"/>
    <n v="12"/>
    <x v="14"/>
    <x v="14"/>
    <n v="-6130.55"/>
  </r>
  <r>
    <d v="2025-03-07T00:00:00"/>
    <s v="OPT-NIFTY-13-Mar-2025-22700-C-E-I"/>
    <s v="NSE"/>
    <x v="0"/>
    <n v="75"/>
    <n v="0"/>
    <n v="75.5"/>
    <n v="5662.5"/>
    <s v="#202503073700003607"/>
    <n v="5.66"/>
    <n v="2.0099999999999998"/>
    <n v="0"/>
    <n v="0.01"/>
    <n v="29"/>
    <n v="5.58"/>
    <n v="42.26"/>
    <n v="2025"/>
    <n v="3"/>
    <n v="2024"/>
    <n v="12"/>
    <n v="12"/>
    <x v="14"/>
    <x v="14"/>
    <n v="5620.24"/>
  </r>
  <r>
    <d v="2025-03-07T00:00:00"/>
    <s v="OPT-NIFTY-13-Mar-2025-22350-P-E-I"/>
    <s v="NSE"/>
    <x v="1"/>
    <n v="75"/>
    <n v="0"/>
    <n v="81"/>
    <n v="6075"/>
    <s v="#202503073700003054"/>
    <n v="0"/>
    <n v="2.16"/>
    <n v="0"/>
    <n v="0.01"/>
    <n v="29"/>
    <n v="5.62"/>
    <n v="36.79"/>
    <n v="2025"/>
    <n v="3"/>
    <n v="2024"/>
    <n v="12"/>
    <n v="12"/>
    <x v="14"/>
    <x v="14"/>
    <n v="-6111.79"/>
  </r>
  <r>
    <d v="2025-03-07T00:00:00"/>
    <s v="OPT-NIFTY-13-Mar-2025-22700-C-E-I"/>
    <s v="NSE"/>
    <x v="1"/>
    <n v="75"/>
    <n v="0"/>
    <n v="89.5"/>
    <n v="6712.5"/>
    <s v="#202503073700002797"/>
    <n v="0"/>
    <n v="2.38"/>
    <n v="0"/>
    <n v="0.01"/>
    <n v="29"/>
    <n v="5.66"/>
    <n v="37.049999999999997"/>
    <n v="2025"/>
    <n v="3"/>
    <n v="2024"/>
    <n v="12"/>
    <n v="12"/>
    <x v="14"/>
    <x v="14"/>
    <n v="-6749.55"/>
  </r>
  <r>
    <d v="2025-03-11T00:00:00"/>
    <s v="OPT-NIFTY-13-Mar-2025-22450-P-E-I"/>
    <s v="NSE"/>
    <x v="1"/>
    <n v="75"/>
    <n v="0"/>
    <n v="127.15"/>
    <n v="9536.25"/>
    <s v="#202503113700007148"/>
    <n v="0"/>
    <n v="3.39"/>
    <n v="0"/>
    <n v="0.01"/>
    <n v="29"/>
    <n v="5.84"/>
    <n v="38.24"/>
    <n v="2025"/>
    <n v="3"/>
    <n v="2024"/>
    <n v="12"/>
    <n v="12"/>
    <x v="14"/>
    <x v="14"/>
    <n v="-9574.49"/>
  </r>
  <r>
    <d v="2025-03-12T00:00:00"/>
    <s v="OPT-NIFTY-13-Mar-2025-22350-C-E-I"/>
    <s v="NSE"/>
    <x v="0"/>
    <n v="300"/>
    <n v="0"/>
    <n v="72.25"/>
    <n v="21675"/>
    <s v="#202503123700014416"/>
    <n v="21.68"/>
    <n v="7.72"/>
    <n v="0"/>
    <n v="0.04"/>
    <n v="116"/>
    <n v="22.24"/>
    <n v="167.68"/>
    <n v="2025"/>
    <n v="3"/>
    <n v="2024"/>
    <n v="12"/>
    <n v="12"/>
    <x v="14"/>
    <x v="14"/>
    <n v="21507.32"/>
  </r>
  <r>
    <d v="2025-03-12T00:00:00"/>
    <s v="OPT-NIFTY-13-Mar-2025-22350-C-E-I"/>
    <s v="NSE"/>
    <x v="1"/>
    <n v="300"/>
    <n v="0"/>
    <n v="79.5"/>
    <n v="23850"/>
    <s v="#202503123700014084"/>
    <n v="0"/>
    <n v="8.4700000000000006"/>
    <n v="0.72"/>
    <n v="0.02"/>
    <n v="116"/>
    <n v="22.4"/>
    <n v="147.61000000000001"/>
    <n v="2025"/>
    <n v="3"/>
    <n v="2024"/>
    <n v="12"/>
    <n v="12"/>
    <x v="14"/>
    <x v="14"/>
    <n v="-23997.61"/>
  </r>
  <r>
    <d v="2025-03-12T00:00:00"/>
    <s v="OPT-NIFTY-13-Mar-2025-22450-P-E-I"/>
    <s v="NSE"/>
    <x v="0"/>
    <n v="75"/>
    <n v="0"/>
    <n v="147.25"/>
    <n v="11043.75"/>
    <s v="#202503123700011847"/>
    <n v="11.04"/>
    <n v="3.92"/>
    <n v="0"/>
    <n v="0.01"/>
    <n v="29"/>
    <n v="5.92"/>
    <n v="49.89"/>
    <n v="2025"/>
    <n v="3"/>
    <n v="2024"/>
    <n v="12"/>
    <n v="12"/>
    <x v="14"/>
    <x v="14"/>
    <n v="10993.86"/>
  </r>
  <r>
    <d v="2025-03-12T00:00:00"/>
    <s v="OPT-NIFTY-13-Mar-2025-22350-P-E-I"/>
    <s v="NSE"/>
    <x v="0"/>
    <n v="525"/>
    <n v="0"/>
    <n v="59.25"/>
    <n v="31106.25"/>
    <s v="#202503123700006973"/>
    <n v="31.28"/>
    <n v="11.05"/>
    <n v="0"/>
    <n v="0.03"/>
    <n v="203"/>
    <n v="38.54"/>
    <n v="283.89999999999998"/>
    <n v="2025"/>
    <n v="3"/>
    <n v="2024"/>
    <n v="12"/>
    <n v="12"/>
    <x v="14"/>
    <x v="14"/>
    <n v="30822.35"/>
  </r>
  <r>
    <d v="2025-03-12T00:00:00"/>
    <s v="OPT-NIFTY-13-Mar-2025-22350-P-E-I"/>
    <s v="NSE"/>
    <x v="1"/>
    <n v="525"/>
    <n v="0"/>
    <n v="50.25"/>
    <n v="26381.25"/>
    <s v="#202503123700002901"/>
    <n v="0"/>
    <n v="9.3699999999999992"/>
    <n v="1.28"/>
    <n v="0.02"/>
    <n v="203"/>
    <n v="38.22"/>
    <n v="251.89"/>
    <n v="2025"/>
    <n v="3"/>
    <n v="2024"/>
    <n v="12"/>
    <n v="12"/>
    <x v="14"/>
    <x v="14"/>
    <n v="-26633.14"/>
  </r>
  <r>
    <d v="2025-03-17T00:00:00"/>
    <s v="OPT-NIFTY-20-Mar-2025-22500-P-E-I"/>
    <s v="NSE"/>
    <x v="0"/>
    <n v="75"/>
    <n v="0"/>
    <n v="101.75"/>
    <n v="7631.25"/>
    <s v="#202503173700016172"/>
    <n v="7.63"/>
    <n v="2.71"/>
    <n v="0"/>
    <n v="0.01"/>
    <n v="29"/>
    <n v="5.7"/>
    <n v="45.05"/>
    <n v="2025"/>
    <n v="3"/>
    <n v="2024"/>
    <n v="12"/>
    <n v="12"/>
    <x v="14"/>
    <x v="14"/>
    <n v="7586.2"/>
  </r>
  <r>
    <d v="2025-03-17T00:00:00"/>
    <s v="OPT-NIFTY-20-Mar-2025-22500-P-E-I"/>
    <s v="NSE"/>
    <x v="1"/>
    <n v="75"/>
    <n v="0"/>
    <n v="104.55"/>
    <n v="7841.25"/>
    <s v="#202503173700015655"/>
    <n v="0"/>
    <n v="2.79"/>
    <n v="0"/>
    <n v="0.01"/>
    <n v="29"/>
    <n v="5.72"/>
    <n v="37.520000000000003"/>
    <n v="2025"/>
    <n v="3"/>
    <n v="2024"/>
    <n v="12"/>
    <n v="12"/>
    <x v="14"/>
    <x v="14"/>
    <n v="-7878.77"/>
  </r>
  <r>
    <d v="2025-03-17T00:00:00"/>
    <s v="OPT-NIFTY-20-Mar-2025-22500-P-E-I"/>
    <s v="NSE"/>
    <x v="0"/>
    <n v="75"/>
    <n v="0"/>
    <n v="105.25"/>
    <n v="7893.75"/>
    <s v="#202503173700006056"/>
    <n v="8.3699999999999992"/>
    <n v="2.8"/>
    <n v="0"/>
    <n v="0.01"/>
    <n v="29"/>
    <n v="5.72"/>
    <n v="45.9"/>
    <n v="2025"/>
    <n v="3"/>
    <n v="2024"/>
    <n v="12"/>
    <n v="12"/>
    <x v="14"/>
    <x v="14"/>
    <n v="7847.85"/>
  </r>
  <r>
    <d v="2025-03-17T00:00:00"/>
    <s v="OPT-NIFTY-20-Mar-2025-22500-P-E-I"/>
    <s v="NSE"/>
    <x v="1"/>
    <n v="75"/>
    <n v="0"/>
    <n v="102.85"/>
    <n v="7713.75"/>
    <s v="#202503173700005581"/>
    <n v="0"/>
    <n v="2.74"/>
    <n v="0"/>
    <n v="0.01"/>
    <n v="29"/>
    <n v="5.72"/>
    <n v="37.47"/>
    <n v="2025"/>
    <n v="3"/>
    <n v="2024"/>
    <n v="12"/>
    <n v="12"/>
    <x v="14"/>
    <x v="14"/>
    <n v="-7751.22"/>
  </r>
  <r>
    <d v="2025-03-19T00:00:00"/>
    <s v="OPT-NIFTY-20-Mar-2025-22950-C-E-I"/>
    <s v="NSE"/>
    <x v="0"/>
    <n v="75"/>
    <n v="0"/>
    <n v="76.25"/>
    <n v="5718.75"/>
    <s v="#202503193700017435"/>
    <n v="6"/>
    <n v="2.0299999999999998"/>
    <n v="0"/>
    <n v="0.01"/>
    <n v="29"/>
    <n v="5.58"/>
    <n v="42.62"/>
    <n v="2025"/>
    <n v="3"/>
    <n v="2024"/>
    <n v="12"/>
    <n v="12"/>
    <x v="14"/>
    <x v="14"/>
    <n v="5676.13"/>
  </r>
  <r>
    <d v="2025-03-19T00:00:00"/>
    <s v="OPT-NIFTY-20-Mar-2025-22950-C-E-I"/>
    <s v="NSE"/>
    <x v="1"/>
    <n v="75"/>
    <n v="0"/>
    <n v="65.7"/>
    <n v="4927.5"/>
    <s v="#202503193700017393"/>
    <n v="0"/>
    <n v="1.75"/>
    <n v="0"/>
    <n v="0"/>
    <n v="29"/>
    <n v="5.54"/>
    <n v="36.29"/>
    <n v="2025"/>
    <n v="3"/>
    <n v="2024"/>
    <n v="12"/>
    <n v="12"/>
    <x v="14"/>
    <x v="14"/>
    <n v="-4963.79"/>
  </r>
  <r>
    <d v="2025-03-20T00:00:00"/>
    <s v="OPT-NIFTY-20-Mar-2025-23100-C-E-I"/>
    <s v="NSE"/>
    <x v="0"/>
    <n v="300"/>
    <n v="0"/>
    <n v="26.75"/>
    <n v="8025"/>
    <s v="#202503203700016230"/>
    <n v="8"/>
    <n v="2.85"/>
    <n v="0"/>
    <n v="0.01"/>
    <n v="116"/>
    <n v="21.4"/>
    <n v="148.26"/>
    <n v="2025"/>
    <n v="3"/>
    <n v="2024"/>
    <n v="12"/>
    <n v="12"/>
    <x v="14"/>
    <x v="14"/>
    <n v="7876.74"/>
  </r>
  <r>
    <d v="2025-03-20T00:00:00"/>
    <s v="OPT-NIFTY-20-Mar-2025-23100-C-E-I"/>
    <s v="NSE"/>
    <x v="1"/>
    <n v="75"/>
    <n v="0"/>
    <n v="14.15"/>
    <n v="1061.25"/>
    <s v="#202503203700014633"/>
    <n v="0"/>
    <n v="0.38"/>
    <n v="0"/>
    <n v="0"/>
    <n v="29"/>
    <n v="5.28"/>
    <n v="34.659999999999997"/>
    <n v="2025"/>
    <n v="3"/>
    <n v="2024"/>
    <n v="12"/>
    <n v="12"/>
    <x v="14"/>
    <x v="14"/>
    <n v="-1095.9100000000001"/>
  </r>
  <r>
    <d v="2025-03-20T00:00:00"/>
    <s v="OPT-NIFTY-20-Mar-2025-23100-C-E-I"/>
    <s v="NSE"/>
    <x v="1"/>
    <n v="225"/>
    <n v="0"/>
    <n v="17.25"/>
    <n v="3881.25"/>
    <s v="#202503203700014266"/>
    <n v="0"/>
    <n v="1.38"/>
    <n v="0"/>
    <n v="0"/>
    <n v="87"/>
    <n v="15.9"/>
    <n v="104.28"/>
    <n v="2025"/>
    <n v="3"/>
    <n v="2024"/>
    <n v="12"/>
    <n v="12"/>
    <x v="14"/>
    <x v="14"/>
    <n v="-3985.53"/>
  </r>
  <r>
    <d v="2025-03-26T00:00:00"/>
    <s v="OPT-NIFTY-27-Mar-2025-23450-P-E-I"/>
    <s v="NSE"/>
    <x v="0"/>
    <n v="75"/>
    <n v="0"/>
    <n v="49.25"/>
    <n v="3693.75"/>
    <s v="#202503263700018572"/>
    <n v="3.96"/>
    <n v="1.31"/>
    <n v="0"/>
    <n v="0"/>
    <n v="29"/>
    <n v="5.46"/>
    <n v="39.729999999999997"/>
    <n v="2025"/>
    <n v="3"/>
    <n v="2024"/>
    <n v="12"/>
    <n v="12"/>
    <x v="14"/>
    <x v="14"/>
    <n v="3654.02"/>
  </r>
  <r>
    <d v="2025-03-26T00:00:00"/>
    <s v="OPT-NIFTY-27-Mar-2025-23450-P-E-I"/>
    <s v="NSE"/>
    <x v="1"/>
    <n v="75"/>
    <n v="0"/>
    <n v="41.1"/>
    <n v="3082.5"/>
    <s v="#202503263700018211"/>
    <n v="0"/>
    <n v="1.1000000000000001"/>
    <n v="0"/>
    <n v="0"/>
    <n v="29"/>
    <n v="5.42"/>
    <n v="35.520000000000003"/>
    <n v="2025"/>
    <n v="3"/>
    <n v="2024"/>
    <n v="12"/>
    <n v="12"/>
    <x v="14"/>
    <x v="14"/>
    <n v="-3118.02"/>
  </r>
  <r>
    <d v="2025-03-26T00:00:00"/>
    <s v="OPT-NIFTY-27-Mar-2025-23700-C-E-I"/>
    <s v="NSE"/>
    <x v="0"/>
    <n v="75"/>
    <n v="0"/>
    <n v="107.25"/>
    <n v="8043.75"/>
    <s v="#202503263700006640"/>
    <n v="8.0399999999999991"/>
    <n v="2.86"/>
    <n v="0"/>
    <n v="0.01"/>
    <n v="29"/>
    <n v="5.74"/>
    <n v="45.65"/>
    <n v="2025"/>
    <n v="3"/>
    <n v="2024"/>
    <n v="12"/>
    <n v="12"/>
    <x v="14"/>
    <x v="14"/>
    <n v="7998.1"/>
  </r>
  <r>
    <d v="2025-03-26T00:00:00"/>
    <s v="OPT-NIFTY-27-Mar-2025-23700-C-E-I"/>
    <s v="NSE"/>
    <x v="1"/>
    <n v="75"/>
    <n v="0"/>
    <n v="87.9"/>
    <n v="6592.5"/>
    <s v="#202503263700005766"/>
    <n v="0"/>
    <n v="2.34"/>
    <n v="0"/>
    <n v="0.01"/>
    <n v="29"/>
    <n v="5.64"/>
    <n v="36.99"/>
    <n v="2025"/>
    <n v="3"/>
    <n v="2024"/>
    <n v="12"/>
    <n v="12"/>
    <x v="14"/>
    <x v="14"/>
    <n v="-6629.49"/>
  </r>
  <r>
    <d v="2025-03-27T00:00:00"/>
    <s v="OPT-NIFTY-27-Mar-2025-23650-C-E-I"/>
    <s v="NSE"/>
    <x v="0"/>
    <n v="525"/>
    <n v="0"/>
    <n v="5.25"/>
    <n v="2756.25"/>
    <s v="#202503273700015756"/>
    <n v="2.76"/>
    <n v="0.98"/>
    <n v="0"/>
    <n v="0"/>
    <n v="203"/>
    <n v="36.72"/>
    <n v="243.46"/>
    <n v="2025"/>
    <n v="3"/>
    <n v="2024"/>
    <n v="12"/>
    <n v="12"/>
    <x v="14"/>
    <x v="14"/>
    <n v="2512.79"/>
  </r>
  <r>
    <d v="2025-03-27T00:00:00"/>
    <s v="OPT-NIFTY-27-Mar-2025-23650-C-E-I"/>
    <s v="NSE"/>
    <x v="1"/>
    <n v="75"/>
    <n v="0"/>
    <n v="15.15"/>
    <n v="1136.25"/>
    <s v="#202503273700012658"/>
    <n v="0"/>
    <n v="0.4"/>
    <n v="0"/>
    <n v="0"/>
    <n v="29"/>
    <n v="5.3"/>
    <n v="34.700000000000003"/>
    <n v="2025"/>
    <n v="3"/>
    <n v="2024"/>
    <n v="12"/>
    <n v="12"/>
    <x v="14"/>
    <x v="14"/>
    <n v="-1170.95"/>
  </r>
  <r>
    <d v="2025-03-27T00:00:00"/>
    <s v="OPT-NIFTY-27-Mar-2025-23650-C-E-I"/>
    <s v="NSE"/>
    <x v="1"/>
    <n v="450"/>
    <n v="0"/>
    <n v="16.600000000000001"/>
    <n v="7470"/>
    <s v="#202503273700012529"/>
    <n v="0"/>
    <n v="2.65"/>
    <n v="0"/>
    <n v="0.01"/>
    <n v="174"/>
    <n v="31.8"/>
    <n v="208.46"/>
    <n v="2025"/>
    <n v="3"/>
    <n v="2024"/>
    <n v="12"/>
    <n v="12"/>
    <x v="14"/>
    <x v="14"/>
    <n v="-7678.46"/>
  </r>
  <r>
    <d v="2025-03-27T00:00:00"/>
    <s v="OPT-NIFTY-27-Mar-2025-23550-C-E-I"/>
    <s v="NSE"/>
    <x v="0"/>
    <n v="75"/>
    <n v="0"/>
    <n v="83.65"/>
    <n v="6273.75"/>
    <s v="#202503273700006827"/>
    <n v="6.24"/>
    <n v="2.23"/>
    <n v="0"/>
    <n v="0.01"/>
    <n v="29"/>
    <n v="5.62"/>
    <n v="43.1"/>
    <n v="2025"/>
    <n v="3"/>
    <n v="2024"/>
    <n v="12"/>
    <n v="12"/>
    <x v="14"/>
    <x v="14"/>
    <n v="6230.65"/>
  </r>
  <r>
    <d v="2025-03-27T00:00:00"/>
    <s v="OPT-NIFTY-27-Mar-2025-23550-C-E-I"/>
    <s v="NSE"/>
    <x v="1"/>
    <n v="75"/>
    <n v="0"/>
    <n v="65.8"/>
    <n v="4935"/>
    <s v="#202503273700006519"/>
    <n v="0"/>
    <n v="1.75"/>
    <n v="0"/>
    <n v="0"/>
    <n v="29"/>
    <n v="5.54"/>
    <n v="36.29"/>
    <n v="2025"/>
    <n v="3"/>
    <n v="2024"/>
    <n v="12"/>
    <n v="12"/>
    <x v="14"/>
    <x v="14"/>
    <n v="-4971.29"/>
  </r>
  <r>
    <d v="2025-03-28T00:00:00"/>
    <s v="OPT-NIFTY-03-Apr-2025-23250-P-E-I"/>
    <s v="NSE"/>
    <x v="0"/>
    <n v="150"/>
    <n v="0"/>
    <n v="39.25"/>
    <n v="5887.5"/>
    <s v="#202503283700008186"/>
    <n v="5.89"/>
    <n v="2.09"/>
    <n v="0"/>
    <n v="0.01"/>
    <n v="58"/>
    <n v="10.82"/>
    <n v="76.81"/>
    <n v="2025"/>
    <n v="3"/>
    <n v="2024"/>
    <n v="12"/>
    <n v="12"/>
    <x v="14"/>
    <x v="14"/>
    <n v="5810.69"/>
  </r>
  <r>
    <d v="2025-03-28T00:00:00"/>
    <s v="OPT-NIFTY-03-Apr-2025-23250-P-E-I"/>
    <s v="NSE"/>
    <x v="1"/>
    <n v="150"/>
    <n v="0"/>
    <n v="33.450000000000003"/>
    <n v="5017.5"/>
    <s v="#202503283700008114"/>
    <n v="0"/>
    <n v="1.78"/>
    <n v="0"/>
    <n v="0.01"/>
    <n v="58"/>
    <n v="10.76"/>
    <n v="70.55"/>
    <n v="2025"/>
    <n v="3"/>
    <n v="2024"/>
    <n v="12"/>
    <n v="12"/>
    <x v="14"/>
    <x v="14"/>
    <n v="-5088.05"/>
  </r>
  <r>
    <d v="2025-03-28T00:00:00"/>
    <s v="OPT-NIFTY-03-Apr-2025-23250-P-E-I"/>
    <s v="NSE"/>
    <x v="0"/>
    <n v="75"/>
    <n v="0"/>
    <n v="40.5"/>
    <n v="3037.5"/>
    <s v="#202503283700006001"/>
    <n v="3.11"/>
    <n v="1.08"/>
    <n v="0"/>
    <n v="0"/>
    <n v="29"/>
    <n v="5.42"/>
    <n v="38.61"/>
    <n v="2025"/>
    <n v="3"/>
    <n v="2024"/>
    <n v="12"/>
    <n v="12"/>
    <x v="14"/>
    <x v="14"/>
    <n v="2998.89"/>
  </r>
  <r>
    <d v="2025-03-28T00:00:00"/>
    <s v="OPT-NIFTY-03-Apr-2025-23250-P-E-I"/>
    <s v="NSE"/>
    <x v="1"/>
    <n v="75"/>
    <n v="0"/>
    <n v="42.5"/>
    <n v="3187.5"/>
    <s v="#202503283700001412"/>
    <n v="0"/>
    <n v="1.1299999999999999"/>
    <n v="0"/>
    <n v="0"/>
    <n v="29"/>
    <n v="5.42"/>
    <n v="35.549999999999997"/>
    <n v="2025"/>
    <n v="3"/>
    <n v="2024"/>
    <n v="12"/>
    <n v="12"/>
    <x v="14"/>
    <x v="14"/>
    <n v="-3223.05"/>
  </r>
  <r>
    <d v="2025-04-01T00:00:00"/>
    <s v="OPT-NIFTY-03-Apr-2025-22550-P-E-I"/>
    <s v="NSE"/>
    <x v="1"/>
    <n v="525"/>
    <n v="0"/>
    <n v="6.05"/>
    <n v="3176.25"/>
    <s v="#202504013700015773"/>
    <n v="0"/>
    <n v="1.1200000000000001"/>
    <n v="0.1"/>
    <n v="0"/>
    <n v="203"/>
    <n v="36.700000000000003"/>
    <n v="240.92"/>
    <n v="2025"/>
    <n v="4"/>
    <n v="2025"/>
    <n v="1"/>
    <s v="01"/>
    <x v="15"/>
    <x v="15"/>
    <n v="-3417.17"/>
  </r>
  <r>
    <d v="2025-04-01T00:00:00"/>
    <s v="OPT-NIFTY-03-Apr-2025-23500-P-E-I"/>
    <s v="NSE"/>
    <x v="0"/>
    <n v="450"/>
    <n v="0"/>
    <n v="136.30000000000001"/>
    <n v="61335"/>
    <s v="#202504013700006262"/>
    <n v="61.34"/>
    <n v="21.79"/>
    <n v="0"/>
    <n v="0.06"/>
    <n v="174"/>
    <n v="35.26"/>
    <n v="292.45"/>
    <n v="2025"/>
    <n v="4"/>
    <n v="2025"/>
    <n v="1"/>
    <s v="01"/>
    <x v="15"/>
    <x v="15"/>
    <n v="61042.55"/>
  </r>
  <r>
    <d v="2025-04-01T00:00:00"/>
    <s v="OPT-NIFTY-03-Apr-2025-23500-P-E-I"/>
    <s v="NSE"/>
    <x v="1"/>
    <n v="225"/>
    <n v="0"/>
    <n v="112.85"/>
    <n v="25391.25"/>
    <s v="#202504013700005299"/>
    <n v="0"/>
    <n v="9.02"/>
    <n v="0"/>
    <n v="0.03"/>
    <n v="87"/>
    <n v="17.28"/>
    <n v="113.33"/>
    <n v="2025"/>
    <n v="4"/>
    <n v="2025"/>
    <n v="1"/>
    <s v="01"/>
    <x v="15"/>
    <x v="15"/>
    <n v="-25504.58"/>
  </r>
  <r>
    <d v="2025-04-01T00:00:00"/>
    <s v="OPT-NIFTY-03-Apr-2025-23500-P-E-I"/>
    <s v="NSE"/>
    <x v="1"/>
    <n v="225"/>
    <n v="0"/>
    <n v="104.6"/>
    <n v="23535"/>
    <s v="#202504013700004870"/>
    <n v="0"/>
    <n v="8.36"/>
    <n v="2.14"/>
    <n v="0.03"/>
    <n v="87"/>
    <n v="17.16"/>
    <n v="114.69"/>
    <n v="2025"/>
    <n v="4"/>
    <n v="2025"/>
    <n v="1"/>
    <s v="01"/>
    <x v="15"/>
    <x v="15"/>
    <n v="-23649.69"/>
  </r>
  <r>
    <d v="2025-04-01T00:00:00"/>
    <s v="OPT-NIFTY-03-Apr-2025-23500-P-E-I"/>
    <s v="NSE"/>
    <x v="0"/>
    <n v="225"/>
    <n v="0"/>
    <n v="92.3"/>
    <n v="20767.5"/>
    <s v="#202504013700004775"/>
    <n v="20.76"/>
    <n v="7.38"/>
    <n v="0"/>
    <n v="0.03"/>
    <n v="87"/>
    <n v="16.98"/>
    <n v="132.15"/>
    <n v="2025"/>
    <n v="4"/>
    <n v="2025"/>
    <n v="1"/>
    <s v="01"/>
    <x v="15"/>
    <x v="15"/>
    <n v="20635.349999999999"/>
  </r>
  <r>
    <d v="2025-04-01T00:00:00"/>
    <s v="OPT-NIFTY-03-Apr-2025-23500-P-E-I"/>
    <s v="NSE"/>
    <x v="1"/>
    <n v="225"/>
    <n v="0"/>
    <n v="95.3"/>
    <n v="21442.5"/>
    <s v="#202504013700004563"/>
    <n v="0"/>
    <n v="7.62"/>
    <n v="0"/>
    <n v="0.02"/>
    <n v="87"/>
    <n v="17.04"/>
    <n v="111.68"/>
    <n v="2025"/>
    <n v="4"/>
    <n v="2025"/>
    <n v="1"/>
    <s v="01"/>
    <x v="15"/>
    <x v="15"/>
    <n v="-21554.18"/>
  </r>
  <r>
    <d v="2025-04-01T00:00:00"/>
    <s v="OPT-NIFTY-03-Apr-2025-23500-C-E-I"/>
    <s v="NSE"/>
    <x v="0"/>
    <n v="225"/>
    <n v="0"/>
    <n v="143.25"/>
    <n v="32231.25"/>
    <s v="#202504013700003041"/>
    <n v="31.9"/>
    <n v="11.45"/>
    <n v="0"/>
    <n v="0.03"/>
    <n v="87"/>
    <n v="17.72"/>
    <n v="148.1"/>
    <n v="2025"/>
    <n v="4"/>
    <n v="2025"/>
    <n v="1"/>
    <s v="01"/>
    <x v="15"/>
    <x v="15"/>
    <n v="32083.15"/>
  </r>
  <r>
    <d v="2025-04-01T00:00:00"/>
    <s v="OPT-NIFTY-03-Apr-2025-23500-C-E-I"/>
    <s v="NSE"/>
    <x v="1"/>
    <n v="225"/>
    <n v="0"/>
    <n v="112.75"/>
    <n v="25368.75"/>
    <s v="#202504013700002731"/>
    <n v="0"/>
    <n v="9"/>
    <n v="0.76"/>
    <n v="0.03"/>
    <n v="87"/>
    <n v="17.28"/>
    <n v="114.07"/>
    <n v="2025"/>
    <n v="4"/>
    <n v="2025"/>
    <n v="1"/>
    <s v="01"/>
    <x v="15"/>
    <x v="15"/>
    <n v="-25482.82"/>
  </r>
  <r>
    <d v="2025-04-02T00:00:00"/>
    <s v="OPT-NIFTY-03-Apr-2025-22550-P-E-I"/>
    <s v="NSE"/>
    <x v="0"/>
    <n v="525"/>
    <n v="0"/>
    <n v="3.5"/>
    <n v="1837.5"/>
    <s v="#202504023700014292"/>
    <n v="1.87"/>
    <n v="0.65"/>
    <n v="0"/>
    <n v="0"/>
    <n v="203"/>
    <n v="36.659999999999997"/>
    <n v="242.18"/>
    <n v="2025"/>
    <n v="4"/>
    <n v="2025"/>
    <n v="1"/>
    <s v="01"/>
    <x v="15"/>
    <x v="15"/>
    <n v="1595.32"/>
  </r>
  <r>
    <d v="2025-04-02T00:00:00"/>
    <s v="OPT-NIFTY-03-Apr-2025-23150-P-E-I"/>
    <s v="NSE"/>
    <x v="0"/>
    <n v="1500"/>
    <n v="0"/>
    <n v="29"/>
    <n v="43500"/>
    <s v="#202504023700014277"/>
    <n v="43.5"/>
    <n v="15.46"/>
    <n v="0"/>
    <n v="0.04"/>
    <n v="580"/>
    <n v="107.2"/>
    <n v="746.2"/>
    <n v="2025"/>
    <n v="4"/>
    <n v="2025"/>
    <n v="1"/>
    <s v="01"/>
    <x v="15"/>
    <x v="15"/>
    <n v="42753.8"/>
  </r>
  <r>
    <d v="2025-04-02T00:00:00"/>
    <s v="OPT-NIFTY-03-Apr-2025-23150-P-E-I"/>
    <s v="NSE"/>
    <x v="1"/>
    <n v="750"/>
    <n v="0"/>
    <n v="51.66"/>
    <n v="38745"/>
    <s v="#202504023700006643"/>
    <n v="0"/>
    <n v="13.77"/>
    <n v="0"/>
    <n v="0.04"/>
    <n v="290"/>
    <n v="54.68"/>
    <n v="358.49"/>
    <n v="2025"/>
    <n v="4"/>
    <n v="2025"/>
    <n v="1"/>
    <s v="01"/>
    <x v="15"/>
    <x v="15"/>
    <n v="-39103.49"/>
  </r>
  <r>
    <d v="2025-04-02T00:00:00"/>
    <s v="OPT-NIFTY-03-Apr-2025-23150-P-E-I"/>
    <s v="NSE"/>
    <x v="1"/>
    <n v="750"/>
    <n v="0"/>
    <n v="56.7"/>
    <n v="42525"/>
    <s v="#202504023700005458"/>
    <n v="0"/>
    <n v="15.11"/>
    <n v="5.17"/>
    <n v="0.04"/>
    <n v="290"/>
    <n v="54.94"/>
    <n v="365.26"/>
    <n v="2025"/>
    <n v="4"/>
    <n v="2025"/>
    <n v="1"/>
    <s v="01"/>
    <x v="15"/>
    <x v="15"/>
    <n v="-42890.26"/>
  </r>
  <r>
    <d v="2025-04-02T00:00:00"/>
    <s v="OPT-NIFTY-03-Apr-2025-23150-P-E-I"/>
    <s v="NSE"/>
    <x v="0"/>
    <n v="1200"/>
    <n v="0"/>
    <n v="60.08"/>
    <n v="72097.5"/>
    <s v="#202504023700004964"/>
    <n v="72.11"/>
    <n v="25.6"/>
    <n v="0"/>
    <n v="0.06"/>
    <n v="464"/>
    <n v="88.12"/>
    <n v="649.89"/>
    <n v="2025"/>
    <n v="4"/>
    <n v="2025"/>
    <n v="1"/>
    <s v="01"/>
    <x v="15"/>
    <x v="15"/>
    <n v="71447.61"/>
  </r>
  <r>
    <d v="2025-04-02T00:00:00"/>
    <s v="OPT-NIFTY-03-Apr-2025-23150-P-E-I"/>
    <s v="NSE"/>
    <x v="1"/>
    <n v="300"/>
    <n v="0"/>
    <n v="52.85"/>
    <n v="15855"/>
    <s v="#202504023700003256"/>
    <n v="0"/>
    <n v="5.64"/>
    <n v="0"/>
    <n v="0.01"/>
    <n v="116"/>
    <n v="21.9"/>
    <n v="143.55000000000001"/>
    <n v="2025"/>
    <n v="4"/>
    <n v="2025"/>
    <n v="1"/>
    <s v="01"/>
    <x v="15"/>
    <x v="15"/>
    <n v="-15998.55"/>
  </r>
  <r>
    <d v="2025-04-02T00:00:00"/>
    <s v="OPT-NIFTY-03-Apr-2025-23150-P-E-I"/>
    <s v="NSE"/>
    <x v="1"/>
    <n v="300"/>
    <n v="0"/>
    <n v="58.1"/>
    <n v="17430"/>
    <s v="#202504023700002403"/>
    <n v="0"/>
    <n v="6.19"/>
    <n v="0"/>
    <n v="0.01"/>
    <n v="116"/>
    <n v="22"/>
    <n v="144.19999999999999"/>
    <n v="2025"/>
    <n v="4"/>
    <n v="2025"/>
    <n v="1"/>
    <s v="01"/>
    <x v="15"/>
    <x v="15"/>
    <n v="-17574.2"/>
  </r>
  <r>
    <d v="2025-04-02T00:00:00"/>
    <s v="OPT-NIFTY-03-Apr-2025-23150-P-E-I"/>
    <s v="NSE"/>
    <x v="1"/>
    <n v="300"/>
    <n v="0"/>
    <n v="70.56"/>
    <n v="21168.75"/>
    <s v="#202504023700001891"/>
    <n v="0"/>
    <n v="7.52"/>
    <n v="0"/>
    <n v="0.03"/>
    <n v="116"/>
    <n v="22.24"/>
    <n v="145.79"/>
    <n v="2025"/>
    <n v="4"/>
    <n v="2025"/>
    <n v="1"/>
    <s v="01"/>
    <x v="15"/>
    <x v="15"/>
    <n v="-21314.54"/>
  </r>
  <r>
    <d v="2025-04-02T00:00:00"/>
    <s v="OPT-NIFTY-03-Apr-2025-23150-P-E-I"/>
    <s v="NSE"/>
    <x v="1"/>
    <n v="300"/>
    <n v="0"/>
    <n v="88.15"/>
    <n v="26445"/>
    <s v="#202504023700001347"/>
    <n v="0"/>
    <n v="9.4"/>
    <n v="0"/>
    <n v="0.03"/>
    <n v="116"/>
    <n v="22.58"/>
    <n v="148.01"/>
    <n v="2025"/>
    <n v="4"/>
    <n v="2025"/>
    <n v="1"/>
    <s v="01"/>
    <x v="15"/>
    <x v="15"/>
    <n v="-26593.01"/>
  </r>
  <r>
    <d v="2025-04-02T00:00:00"/>
    <s v="OPT-NIFTY-03-Apr-2025-23250-C-E-I"/>
    <s v="NSE"/>
    <x v="0"/>
    <n v="300"/>
    <n v="0"/>
    <n v="85.1"/>
    <n v="25530"/>
    <s v="#202504023700001224"/>
    <n v="25.53"/>
    <n v="9.08"/>
    <n v="0"/>
    <n v="0.03"/>
    <n v="116"/>
    <n v="22.54"/>
    <n v="173.18"/>
    <n v="2025"/>
    <n v="4"/>
    <n v="2025"/>
    <n v="1"/>
    <s v="01"/>
    <x v="15"/>
    <x v="15"/>
    <n v="25356.82"/>
  </r>
  <r>
    <d v="2025-04-02T00:00:00"/>
    <s v="OPT-NIFTY-03-Apr-2025-23250-C-E-I"/>
    <s v="NSE"/>
    <x v="1"/>
    <n v="300"/>
    <n v="0"/>
    <n v="92.45"/>
    <n v="27735"/>
    <s v="#202504023700000692"/>
    <n v="0"/>
    <n v="9.85"/>
    <n v="0.83"/>
    <n v="0.03"/>
    <n v="116"/>
    <n v="22.64"/>
    <n v="149.35"/>
    <n v="2025"/>
    <n v="4"/>
    <n v="2025"/>
    <n v="1"/>
    <s v="01"/>
    <x v="15"/>
    <x v="15"/>
    <n v="-27884.35"/>
  </r>
  <r>
    <d v="2025-04-03T00:00:00"/>
    <s v="OPT-NIFTY-03-Apr-2025-23300-P-E-I"/>
    <s v="NSE"/>
    <x v="0"/>
    <n v="75"/>
    <n v="0"/>
    <n v="44.45"/>
    <n v="3333.75"/>
    <s v="#202504033700018010"/>
    <n v="3.33"/>
    <n v="1.18"/>
    <n v="0"/>
    <n v="0"/>
    <n v="29"/>
    <n v="5.44"/>
    <n v="38.950000000000003"/>
    <n v="2025"/>
    <n v="4"/>
    <n v="2025"/>
    <n v="1"/>
    <s v="01"/>
    <x v="15"/>
    <x v="15"/>
    <n v="3294.8"/>
  </r>
  <r>
    <d v="2025-04-03T00:00:00"/>
    <s v="OPT-NIFTY-03-Apr-2025-23300-P-E-I"/>
    <s v="NSE"/>
    <x v="1"/>
    <n v="75"/>
    <n v="0"/>
    <n v="45"/>
    <n v="3375"/>
    <s v="#202504033700017781"/>
    <n v="0"/>
    <n v="1.2"/>
    <n v="0"/>
    <n v="0"/>
    <n v="29"/>
    <n v="5.44"/>
    <n v="35.64"/>
    <n v="2025"/>
    <n v="4"/>
    <n v="2025"/>
    <n v="1"/>
    <s v="01"/>
    <x v="15"/>
    <x v="15"/>
    <n v="-3410.64"/>
  </r>
  <r>
    <d v="2025-04-03T00:00:00"/>
    <s v="OPT-NIFTY-03-Apr-2025-23300-P-E-I"/>
    <s v="NSE"/>
    <x v="0"/>
    <n v="75"/>
    <n v="0"/>
    <n v="47.85"/>
    <n v="3588.75"/>
    <s v="#202504033700016758"/>
    <n v="3.65"/>
    <n v="1.28"/>
    <n v="0"/>
    <n v="0"/>
    <n v="29"/>
    <n v="5.46"/>
    <n v="39.39"/>
    <n v="2025"/>
    <n v="4"/>
    <n v="2025"/>
    <n v="1"/>
    <s v="01"/>
    <x v="15"/>
    <x v="15"/>
    <n v="3549.36"/>
  </r>
  <r>
    <d v="2025-04-03T00:00:00"/>
    <s v="OPT-NIFTY-03-Apr-2025-23300-P-E-I"/>
    <s v="NSE"/>
    <x v="1"/>
    <n v="75"/>
    <n v="0"/>
    <n v="49.05"/>
    <n v="3678.75"/>
    <s v="#202504033700015423"/>
    <n v="0"/>
    <n v="1.31"/>
    <n v="0"/>
    <n v="0"/>
    <n v="29"/>
    <n v="5.46"/>
    <n v="35.770000000000003"/>
    <n v="2025"/>
    <n v="4"/>
    <n v="2025"/>
    <n v="1"/>
    <s v="01"/>
    <x v="15"/>
    <x v="15"/>
    <n v="-3714.52"/>
  </r>
  <r>
    <d v="2025-04-03T00:00:00"/>
    <s v="OPT-NIFTY-03-Apr-2025-23300-P-E-I"/>
    <s v="NSE"/>
    <x v="0"/>
    <n v="300"/>
    <n v="0"/>
    <n v="47.75"/>
    <n v="14325"/>
    <s v="#202504033700014502"/>
    <n v="14.33"/>
    <n v="5.09"/>
    <n v="0"/>
    <n v="0.01"/>
    <n v="116"/>
    <n v="21.8"/>
    <n v="157.22999999999999"/>
    <n v="2025"/>
    <n v="4"/>
    <n v="2025"/>
    <n v="1"/>
    <s v="01"/>
    <x v="15"/>
    <x v="15"/>
    <n v="14167.77"/>
  </r>
  <r>
    <d v="2025-04-03T00:00:00"/>
    <s v="OPT-NIFTY-03-Apr-2025-23300-P-E-I"/>
    <s v="NSE"/>
    <x v="1"/>
    <n v="300"/>
    <n v="0"/>
    <n v="37.5"/>
    <n v="11250"/>
    <s v="#202504033700014083"/>
    <n v="0"/>
    <n v="4"/>
    <n v="0.76"/>
    <n v="0.01"/>
    <n v="116"/>
    <n v="21.6"/>
    <n v="142.37"/>
    <n v="2025"/>
    <n v="4"/>
    <n v="2025"/>
    <n v="1"/>
    <s v="01"/>
    <x v="15"/>
    <x v="15"/>
    <n v="-11392.37"/>
  </r>
  <r>
    <d v="2025-04-03T00:00:00"/>
    <s v="OPT-STABAN-24-Apr-2025-770-P-E-S"/>
    <s v="NSE"/>
    <x v="0"/>
    <n v="750"/>
    <n v="0"/>
    <n v="10.25"/>
    <n v="7687.5"/>
    <s v="#202504033700013624"/>
    <n v="7.69"/>
    <n v="2.73"/>
    <n v="0"/>
    <n v="0.01"/>
    <n v="29"/>
    <n v="5.72"/>
    <n v="45.15"/>
    <n v="2025"/>
    <n v="4"/>
    <n v="2025"/>
    <n v="1"/>
    <s v="01"/>
    <x v="15"/>
    <x v="15"/>
    <n v="7642.35"/>
  </r>
  <r>
    <d v="2025-04-03T00:00:00"/>
    <s v="OPT-STABAN-24-Apr-2025-770-P-E-S"/>
    <s v="NSE"/>
    <x v="1"/>
    <n v="750"/>
    <n v="0"/>
    <n v="10.45"/>
    <n v="7837.5"/>
    <s v="#202504033700010526"/>
    <n v="0"/>
    <n v="2.78"/>
    <n v="0.24"/>
    <n v="0.01"/>
    <n v="29"/>
    <n v="5.72"/>
    <n v="37.75"/>
    <n v="2025"/>
    <n v="4"/>
    <n v="2025"/>
    <n v="1"/>
    <s v="01"/>
    <x v="15"/>
    <x v="15"/>
    <n v="-7875.25"/>
  </r>
  <r>
    <d v="2025-04-04T00:00:00"/>
    <s v="OPT-NIFTY-09-Apr-2025-22900-C-E-I"/>
    <s v="NSE"/>
    <x v="0"/>
    <n v="75"/>
    <n v="0"/>
    <n v="112.45"/>
    <n v="8433.75"/>
    <s v="#202504043700018117"/>
    <n v="8.43"/>
    <n v="3"/>
    <n v="0"/>
    <n v="0.01"/>
    <n v="29"/>
    <n v="5.76"/>
    <n v="46.2"/>
    <n v="2025"/>
    <n v="4"/>
    <n v="2025"/>
    <n v="1"/>
    <s v="01"/>
    <x v="15"/>
    <x v="15"/>
    <n v="8387.5499999999993"/>
  </r>
  <r>
    <d v="2025-04-04T00:00:00"/>
    <s v="OPT-NIFTY-09-Apr-2025-22900-C-E-I"/>
    <s v="NSE"/>
    <x v="1"/>
    <n v="75"/>
    <n v="0"/>
    <n v="114.25"/>
    <n v="8568.75"/>
    <s v="#202504043700018012"/>
    <n v="0"/>
    <n v="3.04"/>
    <n v="0.26"/>
    <n v="0.01"/>
    <n v="29"/>
    <n v="5.76"/>
    <n v="38.07"/>
    <n v="2025"/>
    <n v="4"/>
    <n v="2025"/>
    <n v="1"/>
    <s v="01"/>
    <x v="15"/>
    <x v="15"/>
    <n v="-8606.82"/>
  </r>
  <r>
    <d v="2025-04-04T00:00:00"/>
    <s v="OPT-NIFTY-09-Apr-2025-22950-P-E-I"/>
    <s v="NSE"/>
    <x v="0"/>
    <n v="75"/>
    <n v="0"/>
    <n v="125.25"/>
    <n v="9393.75"/>
    <s v="#202504043700015765"/>
    <n v="9.39"/>
    <n v="3.34"/>
    <n v="0"/>
    <n v="0.01"/>
    <n v="29"/>
    <n v="5.82"/>
    <n v="47.56"/>
    <n v="2025"/>
    <n v="4"/>
    <n v="2025"/>
    <n v="1"/>
    <s v="01"/>
    <x v="15"/>
    <x v="15"/>
    <n v="9346.19"/>
  </r>
  <r>
    <d v="2025-04-04T00:00:00"/>
    <s v="OPT-NIFTY-09-Apr-2025-22950-P-E-I"/>
    <s v="NSE"/>
    <x v="0"/>
    <n v="75"/>
    <n v="0"/>
    <n v="137.25"/>
    <n v="10293.75"/>
    <s v="#202504043700015164"/>
    <n v="10.29"/>
    <n v="3.66"/>
    <n v="0"/>
    <n v="0.01"/>
    <n v="29"/>
    <n v="5.88"/>
    <n v="48.84"/>
    <n v="2025"/>
    <n v="4"/>
    <n v="2025"/>
    <n v="1"/>
    <s v="01"/>
    <x v="15"/>
    <x v="15"/>
    <n v="10244.91"/>
  </r>
  <r>
    <d v="2025-04-04T00:00:00"/>
    <s v="OPT-NIFTY-09-Apr-2025-22950-P-E-I"/>
    <s v="NSE"/>
    <x v="1"/>
    <n v="75"/>
    <n v="0"/>
    <n v="119.15"/>
    <n v="8936.25"/>
    <s v="#202504043700014621"/>
    <n v="0"/>
    <n v="3.18"/>
    <n v="0"/>
    <n v="0.01"/>
    <n v="29"/>
    <n v="5.8"/>
    <n v="37.99"/>
    <n v="2025"/>
    <n v="4"/>
    <n v="2025"/>
    <n v="1"/>
    <s v="01"/>
    <x v="15"/>
    <x v="15"/>
    <n v="-8974.24"/>
  </r>
  <r>
    <d v="2025-04-04T00:00:00"/>
    <s v="OPT-NIFTY-09-Apr-2025-22950-P-E-I"/>
    <s v="NSE"/>
    <x v="1"/>
    <n v="75"/>
    <n v="0"/>
    <n v="133.94999999999999"/>
    <n v="10046.25"/>
    <s v="#202504043700013703"/>
    <n v="0"/>
    <n v="3.57"/>
    <n v="0"/>
    <n v="0.01"/>
    <n v="29"/>
    <n v="5.86"/>
    <n v="38.44"/>
    <n v="2025"/>
    <n v="4"/>
    <n v="2025"/>
    <n v="1"/>
    <s v="01"/>
    <x v="15"/>
    <x v="15"/>
    <n v="-10084.69"/>
  </r>
  <r>
    <d v="2025-04-04T00:00:00"/>
    <s v="OPT-NIFTY-09-Apr-2025-22950-P-E-I"/>
    <s v="NSE"/>
    <x v="0"/>
    <n v="75"/>
    <n v="0"/>
    <n v="127.25"/>
    <n v="9543.75"/>
    <s v="#202504043700013001"/>
    <n v="9.9"/>
    <n v="3.39"/>
    <n v="0"/>
    <n v="0.01"/>
    <n v="29"/>
    <n v="5.84"/>
    <n v="48.14"/>
    <n v="2025"/>
    <n v="4"/>
    <n v="2025"/>
    <n v="1"/>
    <s v="01"/>
    <x v="15"/>
    <x v="15"/>
    <n v="9495.61"/>
  </r>
  <r>
    <d v="2025-04-04T00:00:00"/>
    <s v="OPT-NIFTY-09-Apr-2025-22950-P-E-I"/>
    <s v="NSE"/>
    <x v="1"/>
    <n v="75"/>
    <n v="0"/>
    <n v="121.55"/>
    <n v="9116.25"/>
    <s v="#202504043700011423"/>
    <n v="0"/>
    <n v="3.24"/>
    <n v="0.46"/>
    <n v="0.01"/>
    <n v="29"/>
    <n v="5.8"/>
    <n v="38.51"/>
    <n v="2025"/>
    <n v="4"/>
    <n v="2025"/>
    <n v="1"/>
    <s v="01"/>
    <x v="15"/>
    <x v="15"/>
    <n v="-9154.76"/>
  </r>
  <r>
    <d v="2025-04-04T00:00:00"/>
    <s v="OPT-NIFTY-09-Apr-2025-23000-C-E-I"/>
    <s v="NSE"/>
    <x v="0"/>
    <n v="75"/>
    <n v="0"/>
    <n v="133.05000000000001"/>
    <n v="9978.75"/>
    <s v="#202504043700011100"/>
    <n v="9.98"/>
    <n v="3.55"/>
    <n v="0"/>
    <n v="0.01"/>
    <n v="29"/>
    <n v="5.86"/>
    <n v="48.4"/>
    <n v="2025"/>
    <n v="4"/>
    <n v="2025"/>
    <n v="1"/>
    <s v="01"/>
    <x v="15"/>
    <x v="15"/>
    <n v="9930.35"/>
  </r>
  <r>
    <d v="2025-04-04T00:00:00"/>
    <s v="OPT-NIFTY-09-Apr-2025-23000-C-E-I"/>
    <s v="NSE"/>
    <x v="1"/>
    <n v="75"/>
    <n v="0"/>
    <n v="124.75"/>
    <n v="9356.25"/>
    <s v="#202504043700010497"/>
    <n v="0"/>
    <n v="3.32"/>
    <n v="0.28000000000000003"/>
    <n v="0.01"/>
    <n v="29"/>
    <n v="5.82"/>
    <n v="38.43"/>
    <n v="2025"/>
    <n v="4"/>
    <n v="2025"/>
    <n v="1"/>
    <s v="01"/>
    <x v="15"/>
    <x v="15"/>
    <n v="-9394.68"/>
  </r>
  <r>
    <d v="2025-04-07T00:00:00"/>
    <s v="OPT-NIFTY-09-Apr-2025-21500-P-E-I"/>
    <s v="NSE"/>
    <x v="0"/>
    <n v="150"/>
    <n v="0"/>
    <n v="156.85"/>
    <n v="23527.5"/>
    <s v="#202504073700022063"/>
    <n v="23.24"/>
    <n v="8.36"/>
    <n v="0"/>
    <n v="0.02"/>
    <n v="58"/>
    <n v="11.94"/>
    <n v="101.56"/>
    <n v="2025"/>
    <n v="4"/>
    <n v="2025"/>
    <n v="1"/>
    <s v="01"/>
    <x v="15"/>
    <x v="15"/>
    <n v="23425.94"/>
  </r>
  <r>
    <d v="2025-04-07T00:00:00"/>
    <s v="OPT-NIFTY-09-Apr-2025-21500-P-E-I"/>
    <s v="NSE"/>
    <x v="1"/>
    <n v="75"/>
    <n v="0"/>
    <n v="142.80000000000001"/>
    <n v="10710"/>
    <s v="#202504073700021653"/>
    <n v="0"/>
    <n v="3.81"/>
    <n v="0"/>
    <n v="0.01"/>
    <n v="29"/>
    <n v="5.9"/>
    <n v="38.72"/>
    <n v="2025"/>
    <n v="4"/>
    <n v="2025"/>
    <n v="1"/>
    <s v="01"/>
    <x v="15"/>
    <x v="15"/>
    <n v="-10748.72"/>
  </r>
  <r>
    <d v="2025-04-07T00:00:00"/>
    <s v="OPT-NIFTY-09-Apr-2025-22850-C-E-I"/>
    <s v="NSE"/>
    <x v="0"/>
    <n v="525"/>
    <n v="0"/>
    <n v="24.15"/>
    <n v="12678.75"/>
    <s v="#202504073700021629"/>
    <n v="12.67"/>
    <n v="4.51"/>
    <n v="0"/>
    <n v="0.01"/>
    <n v="203"/>
    <n v="37.36"/>
    <n v="257.55"/>
    <n v="2025"/>
    <n v="4"/>
    <n v="2025"/>
    <n v="1"/>
    <s v="01"/>
    <x v="15"/>
    <x v="15"/>
    <n v="12421.2"/>
  </r>
  <r>
    <d v="2025-04-07T00:00:00"/>
    <s v="OPT-NIFTY-09-Apr-2025-22850-C-E-I"/>
    <s v="NSE"/>
    <x v="1"/>
    <n v="525"/>
    <n v="0"/>
    <n v="25.04"/>
    <n v="13147.5"/>
    <s v="#202504073700021511"/>
    <n v="0"/>
    <n v="4.68"/>
    <n v="1.02"/>
    <n v="0.01"/>
    <n v="203"/>
    <n v="37.380000000000003"/>
    <n v="246.09"/>
    <n v="2025"/>
    <n v="4"/>
    <n v="2025"/>
    <n v="1"/>
    <s v="01"/>
    <x v="15"/>
    <x v="15"/>
    <n v="-13393.59"/>
  </r>
  <r>
    <d v="2025-04-07T00:00:00"/>
    <s v="OPT-NIFTY-09-Apr-2025-21500-P-E-I"/>
    <s v="NSE"/>
    <x v="1"/>
    <n v="75"/>
    <n v="0"/>
    <n v="160.25"/>
    <n v="12018.75"/>
    <s v="#202504073700020729"/>
    <n v="0"/>
    <n v="4.2699999999999996"/>
    <n v="0"/>
    <n v="0.01"/>
    <n v="29"/>
    <n v="6"/>
    <n v="39.28"/>
    <n v="2025"/>
    <n v="4"/>
    <n v="2025"/>
    <n v="1"/>
    <s v="01"/>
    <x v="15"/>
    <x v="15"/>
    <n v="-12058.03"/>
  </r>
  <r>
    <d v="2025-04-07T00:00:00"/>
    <s v="OPT-NIFTY-09-Apr-2025-21500-P-E-I"/>
    <s v="NSE"/>
    <x v="0"/>
    <n v="75"/>
    <n v="0"/>
    <n v="139.44999999999999"/>
    <n v="10458.75"/>
    <s v="#202504073700007675"/>
    <n v="10.46"/>
    <n v="3.72"/>
    <n v="0"/>
    <n v="0.01"/>
    <n v="29"/>
    <n v="5.9"/>
    <n v="49.09"/>
    <n v="2025"/>
    <n v="4"/>
    <n v="2025"/>
    <n v="1"/>
    <s v="01"/>
    <x v="15"/>
    <x v="15"/>
    <n v="10409.66"/>
  </r>
  <r>
    <d v="2025-04-07T00:00:00"/>
    <s v="OPT-NIFTY-09-Apr-2025-21500-P-E-I"/>
    <s v="NSE"/>
    <x v="1"/>
    <n v="75"/>
    <n v="0"/>
    <n v="131.69999999999999"/>
    <n v="9877.5"/>
    <s v="#202504073700007635"/>
    <n v="0"/>
    <n v="3.51"/>
    <n v="0.98"/>
    <n v="0.01"/>
    <n v="29"/>
    <n v="5.86"/>
    <n v="39.36"/>
    <n v="2025"/>
    <n v="4"/>
    <n v="2025"/>
    <n v="1"/>
    <s v="01"/>
    <x v="15"/>
    <x v="15"/>
    <n v="-9916.86"/>
  </r>
  <r>
    <d v="2025-04-07T00:00:00"/>
    <s v="OPT-NIFTY-09-Apr-2025-22850-C-E-I"/>
    <s v="NSE"/>
    <x v="0"/>
    <n v="525"/>
    <n v="0"/>
    <n v="26.1"/>
    <n v="13702.5"/>
    <s v="#202504073700004058"/>
    <n v="13.72"/>
    <n v="4.8899999999999997"/>
    <n v="0"/>
    <n v="0"/>
    <n v="203"/>
    <n v="37.4"/>
    <n v="259.01"/>
    <n v="2025"/>
    <n v="4"/>
    <n v="2025"/>
    <n v="1"/>
    <s v="01"/>
    <x v="15"/>
    <x v="15"/>
    <n v="13443.49"/>
  </r>
  <r>
    <d v="2025-04-07T00:00:00"/>
    <s v="OPT-NIFTY-09-Apr-2025-22850-C-E-I"/>
    <s v="NSE"/>
    <x v="0"/>
    <n v="525"/>
    <n v="0"/>
    <n v="37.950000000000003"/>
    <n v="19923.75"/>
    <s v="#202504073700003414"/>
    <n v="19.93"/>
    <n v="7.07"/>
    <n v="0"/>
    <n v="0.02"/>
    <n v="203"/>
    <n v="37.799999999999997"/>
    <n v="267.82"/>
    <n v="2025"/>
    <n v="4"/>
    <n v="2025"/>
    <n v="1"/>
    <s v="01"/>
    <x v="15"/>
    <x v="15"/>
    <n v="19655.93"/>
  </r>
  <r>
    <d v="2025-04-07T00:00:00"/>
    <s v="OPT-NIFTY-09-Apr-2025-22850-C-E-I"/>
    <s v="NSE"/>
    <x v="1"/>
    <n v="525"/>
    <n v="0"/>
    <n v="18.25"/>
    <n v="9581.25"/>
    <s v="#202504073700001225"/>
    <n v="0"/>
    <n v="3.41"/>
    <n v="0"/>
    <n v="0.01"/>
    <n v="203"/>
    <n v="37.14"/>
    <n v="243.56"/>
    <n v="2025"/>
    <n v="4"/>
    <n v="2025"/>
    <n v="1"/>
    <s v="01"/>
    <x v="15"/>
    <x v="15"/>
    <n v="-9824.81"/>
  </r>
  <r>
    <d v="2025-04-07T00:00:00"/>
    <s v="OPT-NIFTY-09-Apr-2025-22850-C-E-I"/>
    <s v="NSE"/>
    <x v="1"/>
    <n v="525"/>
    <n v="0"/>
    <n v="33.26"/>
    <n v="17463.75"/>
    <s v="#202504073700000705"/>
    <n v="0"/>
    <n v="6.22"/>
    <n v="0"/>
    <n v="0"/>
    <n v="203"/>
    <n v="37.659999999999997"/>
    <n v="246.88"/>
    <n v="2025"/>
    <n v="4"/>
    <n v="2025"/>
    <n v="1"/>
    <s v="01"/>
    <x v="15"/>
    <x v="15"/>
    <n v="-17710.63"/>
  </r>
  <r>
    <d v="2025-04-08T00:00:00"/>
    <s v="OPT-NIFTY-09-Apr-2025-22350-P-E-I"/>
    <s v="NSE"/>
    <x v="0"/>
    <n v="75"/>
    <n v="0"/>
    <n v="86.7"/>
    <n v="6502.5"/>
    <s v="#202504083700022230"/>
    <n v="6.5"/>
    <n v="2.31"/>
    <n v="0"/>
    <n v="0.01"/>
    <n v="29"/>
    <n v="5.64"/>
    <n v="43.46"/>
    <n v="2025"/>
    <n v="4"/>
    <n v="2025"/>
    <n v="1"/>
    <s v="01"/>
    <x v="15"/>
    <x v="15"/>
    <n v="6459.04"/>
  </r>
  <r>
    <d v="2025-04-08T00:00:00"/>
    <s v="OPT-NIFTY-09-Apr-2025-22350-P-E-I"/>
    <s v="NSE"/>
    <x v="1"/>
    <n v="75"/>
    <n v="0"/>
    <n v="92.25"/>
    <n v="6918.75"/>
    <s v="#202504083700022105"/>
    <n v="0"/>
    <n v="2.46"/>
    <n v="0"/>
    <n v="0.01"/>
    <n v="29"/>
    <n v="5.66"/>
    <n v="37.130000000000003"/>
    <n v="2025"/>
    <n v="4"/>
    <n v="2025"/>
    <n v="1"/>
    <s v="01"/>
    <x v="15"/>
    <x v="15"/>
    <n v="-6955.88"/>
  </r>
  <r>
    <d v="2025-04-08T00:00:00"/>
    <s v="OPT-NIFTY-09-Apr-2025-22650-C-E-I"/>
    <s v="NSE"/>
    <x v="0"/>
    <n v="75"/>
    <n v="0"/>
    <n v="139.69999999999999"/>
    <n v="10477.5"/>
    <s v="#202504083700021049"/>
    <n v="10.48"/>
    <n v="3.72"/>
    <n v="0"/>
    <n v="0.01"/>
    <n v="29"/>
    <n v="5.9"/>
    <n v="49.11"/>
    <n v="2025"/>
    <n v="4"/>
    <n v="2025"/>
    <n v="1"/>
    <s v="01"/>
    <x v="15"/>
    <x v="15"/>
    <n v="10428.39"/>
  </r>
  <r>
    <d v="2025-04-08T00:00:00"/>
    <s v="OPT-NIFTY-09-Apr-2025-22650-C-E-I"/>
    <s v="NSE"/>
    <x v="1"/>
    <n v="75"/>
    <n v="0"/>
    <n v="122.7"/>
    <n v="9202.5"/>
    <s v="#202504083700021012"/>
    <n v="0"/>
    <n v="3.27"/>
    <n v="0.28000000000000003"/>
    <n v="0.01"/>
    <n v="29"/>
    <n v="5.82"/>
    <n v="38.380000000000003"/>
    <n v="2025"/>
    <n v="4"/>
    <n v="2025"/>
    <n v="1"/>
    <s v="01"/>
    <x v="15"/>
    <x v="15"/>
    <n v="-9240.8799999999992"/>
  </r>
  <r>
    <d v="2025-04-08T00:00:00"/>
    <s v="OPT-NIFTY-09-Apr-2025-22350-P-E-I"/>
    <s v="NSE"/>
    <x v="0"/>
    <n v="75"/>
    <n v="0"/>
    <n v="131.25"/>
    <n v="9843.75"/>
    <s v="#202504083700019683"/>
    <n v="9.84"/>
    <n v="3.5"/>
    <n v="0"/>
    <n v="0.01"/>
    <n v="29"/>
    <n v="5.86"/>
    <n v="48.21"/>
    <n v="2025"/>
    <n v="4"/>
    <n v="2025"/>
    <n v="1"/>
    <s v="01"/>
    <x v="15"/>
    <x v="15"/>
    <n v="9795.5400000000009"/>
  </r>
  <r>
    <d v="2025-04-08T00:00:00"/>
    <s v="OPT-NIFTY-09-Apr-2025-22350-P-E-I"/>
    <s v="NSE"/>
    <x v="1"/>
    <n v="75"/>
    <n v="0"/>
    <n v="101.25"/>
    <n v="7593.75"/>
    <s v="#202504083700019480"/>
    <n v="0"/>
    <n v="2.7"/>
    <n v="0"/>
    <n v="0.01"/>
    <n v="29"/>
    <n v="5.7"/>
    <n v="37.409999999999997"/>
    <n v="2025"/>
    <n v="4"/>
    <n v="2025"/>
    <n v="1"/>
    <s v="01"/>
    <x v="15"/>
    <x v="15"/>
    <n v="-7631.16"/>
  </r>
  <r>
    <d v="2025-04-08T00:00:00"/>
    <s v="OPT-NIFTY-09-Apr-2025-22350-P-E-I"/>
    <s v="NSE"/>
    <x v="0"/>
    <n v="75"/>
    <n v="0"/>
    <n v="98.65"/>
    <n v="7398.75"/>
    <s v="#202504083700016818"/>
    <n v="7.4"/>
    <n v="2.63"/>
    <n v="0"/>
    <n v="0.01"/>
    <n v="29"/>
    <n v="5.7"/>
    <n v="44.74"/>
    <n v="2025"/>
    <n v="4"/>
    <n v="2025"/>
    <n v="1"/>
    <s v="01"/>
    <x v="15"/>
    <x v="15"/>
    <n v="7354.01"/>
  </r>
  <r>
    <d v="2025-04-08T00:00:00"/>
    <s v="OPT-NIFTY-09-Apr-2025-22350-P-E-I"/>
    <s v="NSE"/>
    <x v="1"/>
    <n v="75"/>
    <n v="0"/>
    <n v="102.1"/>
    <n v="7657.5"/>
    <s v="#202504083700016377"/>
    <n v="0"/>
    <n v="2.72"/>
    <n v="0"/>
    <n v="0.01"/>
    <n v="29"/>
    <n v="5.72"/>
    <n v="37.450000000000003"/>
    <n v="2025"/>
    <n v="4"/>
    <n v="2025"/>
    <n v="1"/>
    <s v="01"/>
    <x v="15"/>
    <x v="15"/>
    <n v="-7694.95"/>
  </r>
  <r>
    <d v="2025-04-08T00:00:00"/>
    <s v="OPT-NIFTY-09-Apr-2025-22350-P-E-I"/>
    <s v="NSE"/>
    <x v="0"/>
    <n v="75"/>
    <n v="0"/>
    <n v="90.1"/>
    <n v="6757.5"/>
    <s v="#202504083700015587"/>
    <n v="6.76"/>
    <n v="2.4"/>
    <n v="0"/>
    <n v="0.01"/>
    <n v="29"/>
    <n v="5.66"/>
    <n v="43.83"/>
    <n v="2025"/>
    <n v="4"/>
    <n v="2025"/>
    <n v="1"/>
    <s v="01"/>
    <x v="15"/>
    <x v="15"/>
    <n v="6713.67"/>
  </r>
  <r>
    <d v="2025-04-08T00:00:00"/>
    <s v="OPT-NIFTY-09-Apr-2025-22350-P-E-I"/>
    <s v="NSE"/>
    <x v="1"/>
    <n v="75"/>
    <n v="0"/>
    <n v="160.25"/>
    <n v="12018.75"/>
    <s v="#202504083700013472"/>
    <n v="0"/>
    <n v="4.2699999999999996"/>
    <n v="0"/>
    <n v="0.01"/>
    <n v="29"/>
    <n v="6"/>
    <n v="39.28"/>
    <n v="2025"/>
    <n v="4"/>
    <n v="2025"/>
    <n v="1"/>
    <s v="01"/>
    <x v="15"/>
    <x v="15"/>
    <n v="-12058.03"/>
  </r>
  <r>
    <d v="2025-04-08T00:00:00"/>
    <s v="OPT-NIFTY-09-Apr-2025-22350-C-E-I"/>
    <s v="NSE"/>
    <x v="0"/>
    <n v="75"/>
    <n v="0"/>
    <n v="228.5"/>
    <n v="17137.5"/>
    <s v="#202504083700012620"/>
    <n v="17.14"/>
    <n v="6.09"/>
    <n v="0"/>
    <n v="0.02"/>
    <n v="29"/>
    <n v="6.32"/>
    <n v="58.57"/>
    <n v="2025"/>
    <n v="4"/>
    <n v="2025"/>
    <n v="1"/>
    <s v="01"/>
    <x v="15"/>
    <x v="15"/>
    <n v="17078.93"/>
  </r>
  <r>
    <d v="2025-04-08T00:00:00"/>
    <s v="OPT-NIFTY-09-Apr-2025-22350-C-E-I"/>
    <s v="NSE"/>
    <x v="1"/>
    <n v="75"/>
    <n v="0"/>
    <n v="215.85"/>
    <n v="16188.75"/>
    <s v="#202504083700011844"/>
    <n v="0"/>
    <n v="5.75"/>
    <n v="0.83"/>
    <n v="0.02"/>
    <n v="29"/>
    <n v="6.26"/>
    <n v="41.86"/>
    <n v="2025"/>
    <n v="4"/>
    <n v="2025"/>
    <n v="1"/>
    <s v="01"/>
    <x v="15"/>
    <x v="15"/>
    <n v="-16230.61"/>
  </r>
  <r>
    <d v="2025-04-08T00:00:00"/>
    <s v="OPT-NIFTY-09-Apr-2025-22350-P-E-I"/>
    <s v="NSE"/>
    <x v="0"/>
    <n v="75"/>
    <n v="0"/>
    <n v="149.80000000000001"/>
    <n v="11235"/>
    <s v="#202504083700011365"/>
    <n v="11.24"/>
    <n v="3.99"/>
    <n v="0"/>
    <n v="0.01"/>
    <n v="29"/>
    <n v="5.94"/>
    <n v="50.18"/>
    <n v="2025"/>
    <n v="4"/>
    <n v="2025"/>
    <n v="1"/>
    <s v="01"/>
    <x v="15"/>
    <x v="15"/>
    <n v="11184.82"/>
  </r>
  <r>
    <d v="2025-04-08T00:00:00"/>
    <s v="OPT-NIFTY-09-Apr-2025-22350-P-E-I"/>
    <s v="NSE"/>
    <x v="1"/>
    <n v="75"/>
    <n v="0"/>
    <n v="138.5"/>
    <n v="10387.5"/>
    <s v="#202504083700011344"/>
    <n v="0"/>
    <n v="3.69"/>
    <n v="0.89"/>
    <n v="0.01"/>
    <n v="29"/>
    <n v="5.88"/>
    <n v="39.47"/>
    <n v="2025"/>
    <n v="4"/>
    <n v="2025"/>
    <n v="1"/>
    <s v="01"/>
    <x v="15"/>
    <x v="15"/>
    <n v="-10426.969999999999"/>
  </r>
  <r>
    <d v="2025-04-08T00:00:00"/>
    <s v="OPT-NIFTY-09-Apr-2025-22350-C-E-I"/>
    <s v="NSE"/>
    <x v="0"/>
    <n v="75"/>
    <n v="0"/>
    <n v="167.95"/>
    <n v="12596.25"/>
    <s v="#202504083700009580"/>
    <n v="12.65"/>
    <n v="4.4800000000000004"/>
    <n v="0"/>
    <n v="0.01"/>
    <n v="29"/>
    <n v="6.02"/>
    <n v="52.16"/>
    <n v="2025"/>
    <n v="4"/>
    <n v="2025"/>
    <n v="1"/>
    <s v="01"/>
    <x v="15"/>
    <x v="15"/>
    <n v="12544.09"/>
  </r>
  <r>
    <d v="2025-04-08T00:00:00"/>
    <s v="OPT-NIFTY-09-Apr-2025-22350-C-E-I"/>
    <s v="NSE"/>
    <x v="1"/>
    <n v="75"/>
    <n v="0"/>
    <n v="154.19999999999999"/>
    <n v="11565"/>
    <s v="#202504083700009315"/>
    <n v="0"/>
    <n v="4.1100000000000003"/>
    <n v="0"/>
    <n v="0.01"/>
    <n v="29"/>
    <n v="5.96"/>
    <n v="39.08"/>
    <n v="2025"/>
    <n v="4"/>
    <n v="2025"/>
    <n v="1"/>
    <s v="01"/>
    <x v="15"/>
    <x v="15"/>
    <n v="-11604.08"/>
  </r>
  <r>
    <d v="2025-04-09T00:00:00"/>
    <s v="OPT-NIFTY-09-Apr-2025-22400-P-E-I"/>
    <s v="NSE"/>
    <x v="0"/>
    <n v="900"/>
    <n v="0"/>
    <n v="4.1500000000000004"/>
    <n v="3735"/>
    <s v="#202504093700020424"/>
    <n v="3.74"/>
    <n v="1.32"/>
    <n v="0"/>
    <n v="0"/>
    <n v="348"/>
    <n v="62.88"/>
    <n v="415.94"/>
    <n v="2025"/>
    <n v="4"/>
    <n v="2025"/>
    <n v="1"/>
    <s v="01"/>
    <x v="15"/>
    <x v="15"/>
    <n v="3319.06"/>
  </r>
  <r>
    <d v="2025-04-09T00:00:00"/>
    <s v="OPT-NIFTY-09-Apr-2025-22400-P-E-I"/>
    <s v="NSE"/>
    <x v="1"/>
    <n v="450"/>
    <n v="0"/>
    <n v="8.75"/>
    <n v="3937.5"/>
    <s v="#202504093700017156"/>
    <n v="0"/>
    <n v="1.4"/>
    <n v="0.55000000000000004"/>
    <n v="0"/>
    <n v="174"/>
    <n v="31.58"/>
    <n v="207.53"/>
    <n v="2025"/>
    <n v="4"/>
    <n v="2025"/>
    <n v="1"/>
    <s v="01"/>
    <x v="15"/>
    <x v="15"/>
    <n v="-4145.03"/>
  </r>
  <r>
    <d v="2025-04-09T00:00:00"/>
    <s v="OPT-NIFTY-09-Apr-2025-22500-C-E-I"/>
    <s v="NSE"/>
    <x v="0"/>
    <n v="750"/>
    <n v="0"/>
    <n v="7.25"/>
    <n v="5437.5"/>
    <s v="#202504093700017088"/>
    <n v="5.44"/>
    <n v="1.93"/>
    <n v="0"/>
    <n v="0.01"/>
    <n v="290"/>
    <n v="52.54"/>
    <n v="349.92"/>
    <n v="2025"/>
    <n v="4"/>
    <n v="2025"/>
    <n v="1"/>
    <s v="01"/>
    <x v="15"/>
    <x v="15"/>
    <n v="5087.58"/>
  </r>
  <r>
    <d v="2025-04-09T00:00:00"/>
    <s v="OPT-NIFTY-09-Apr-2025-22500-C-E-I"/>
    <s v="NSE"/>
    <x v="1"/>
    <n v="750"/>
    <n v="0"/>
    <n v="9.6"/>
    <n v="7200"/>
    <s v="#202504093700017000"/>
    <n v="0"/>
    <n v="2.5499999999999998"/>
    <n v="0.22"/>
    <n v="0"/>
    <n v="290"/>
    <n v="52.66"/>
    <n v="345.43"/>
    <n v="2025"/>
    <n v="4"/>
    <n v="2025"/>
    <n v="1"/>
    <s v="01"/>
    <x v="15"/>
    <x v="15"/>
    <n v="-7545.43"/>
  </r>
  <r>
    <d v="2025-04-09T00:00:00"/>
    <s v="OPT-NIFTY-09-Apr-2025-22400-P-E-I"/>
    <s v="NSE"/>
    <x v="1"/>
    <n v="75"/>
    <n v="0"/>
    <n v="9.25"/>
    <n v="693.75"/>
    <s v="#202504093700016598"/>
    <n v="0"/>
    <n v="0.25"/>
    <n v="0"/>
    <n v="0"/>
    <n v="29"/>
    <n v="5.26"/>
    <n v="34.51"/>
    <n v="2025"/>
    <n v="4"/>
    <n v="2025"/>
    <n v="1"/>
    <s v="01"/>
    <x v="15"/>
    <x v="15"/>
    <n v="-728.26"/>
  </r>
  <r>
    <d v="2025-04-09T00:00:00"/>
    <s v="OPT-NIFTY-09-Apr-2025-22400-P-E-I"/>
    <s v="NSE"/>
    <x v="1"/>
    <n v="75"/>
    <n v="0"/>
    <n v="13.15"/>
    <n v="986.25"/>
    <s v="#202504093700015487"/>
    <n v="0"/>
    <n v="0.35"/>
    <n v="0"/>
    <n v="0"/>
    <n v="29"/>
    <n v="5.28"/>
    <n v="34.630000000000003"/>
    <n v="2025"/>
    <n v="4"/>
    <n v="2025"/>
    <n v="1"/>
    <s v="01"/>
    <x v="15"/>
    <x v="15"/>
    <n v="-1020.88"/>
  </r>
  <r>
    <d v="2025-04-09T00:00:00"/>
    <s v="OPT-NIFTY-09-Apr-2025-22400-P-E-I"/>
    <s v="NSE"/>
    <x v="1"/>
    <n v="75"/>
    <n v="0"/>
    <n v="19.3"/>
    <n v="1447.5"/>
    <s v="#202504093700014578"/>
    <n v="0"/>
    <n v="0.51"/>
    <n v="0"/>
    <n v="0"/>
    <n v="29"/>
    <n v="5.32"/>
    <n v="34.83"/>
    <n v="2025"/>
    <n v="4"/>
    <n v="2025"/>
    <n v="1"/>
    <s v="01"/>
    <x v="15"/>
    <x v="15"/>
    <n v="-1482.33"/>
  </r>
  <r>
    <d v="2025-04-09T00:00:00"/>
    <s v="OPT-NIFTY-09-Apr-2025-22400-C-E-I"/>
    <s v="NSE"/>
    <x v="0"/>
    <n v="75"/>
    <n v="0"/>
    <n v="28.15"/>
    <n v="2111.25"/>
    <s v="#202504093700014289"/>
    <n v="2.11"/>
    <n v="0.75"/>
    <n v="0"/>
    <n v="0"/>
    <n v="29"/>
    <n v="5.36"/>
    <n v="37.22"/>
    <n v="2025"/>
    <n v="4"/>
    <n v="2025"/>
    <n v="1"/>
    <s v="01"/>
    <x v="15"/>
    <x v="15"/>
    <n v="2074.0300000000002"/>
  </r>
  <r>
    <d v="2025-04-09T00:00:00"/>
    <s v="OPT-NIFTY-09-Apr-2025-22400-C-E-I"/>
    <s v="NSE"/>
    <x v="1"/>
    <n v="75"/>
    <n v="0"/>
    <n v="32.200000000000003"/>
    <n v="2415"/>
    <s v="#202504093700014210"/>
    <n v="0"/>
    <n v="0.86"/>
    <n v="0"/>
    <n v="0"/>
    <n v="29"/>
    <n v="5.38"/>
    <n v="35.24"/>
    <n v="2025"/>
    <n v="4"/>
    <n v="2025"/>
    <n v="1"/>
    <s v="01"/>
    <x v="15"/>
    <x v="15"/>
    <n v="-2450.2399999999998"/>
  </r>
  <r>
    <d v="2025-04-09T00:00:00"/>
    <s v="OPT-NIFTY-09-Apr-2025-22400-P-E-I"/>
    <s v="NSE"/>
    <x v="1"/>
    <n v="75"/>
    <n v="0"/>
    <n v="23.4"/>
    <n v="1755"/>
    <s v="#202504093700013953"/>
    <n v="0"/>
    <n v="0.62"/>
    <n v="0"/>
    <n v="0"/>
    <n v="29"/>
    <n v="5.34"/>
    <n v="34.96"/>
    <n v="2025"/>
    <n v="4"/>
    <n v="2025"/>
    <n v="1"/>
    <s v="01"/>
    <x v="15"/>
    <x v="15"/>
    <n v="-1789.96"/>
  </r>
  <r>
    <d v="2025-04-09T00:00:00"/>
    <s v="OPT-NIFTY-09-Apr-2025-22400-P-E-I"/>
    <s v="NSE"/>
    <x v="1"/>
    <n v="75"/>
    <n v="0"/>
    <n v="28.15"/>
    <n v="2111.25"/>
    <s v="#202504093700012838"/>
    <n v="0"/>
    <n v="0.75"/>
    <n v="0"/>
    <n v="0"/>
    <n v="29"/>
    <n v="5.36"/>
    <n v="35.11"/>
    <n v="2025"/>
    <n v="4"/>
    <n v="2025"/>
    <n v="1"/>
    <s v="01"/>
    <x v="15"/>
    <x v="15"/>
    <n v="-2146.36"/>
  </r>
  <r>
    <d v="2025-04-09T00:00:00"/>
    <s v="OPT-NIFTY-09-Apr-2025-22400-P-E-I"/>
    <s v="NSE"/>
    <x v="1"/>
    <n v="75"/>
    <n v="0"/>
    <n v="69.05"/>
    <n v="5178.75"/>
    <s v="#202504093700008064"/>
    <n v="0"/>
    <n v="1.84"/>
    <n v="0"/>
    <n v="0.01"/>
    <n v="29"/>
    <n v="5.56"/>
    <n v="36.409999999999997"/>
    <n v="2025"/>
    <n v="4"/>
    <n v="2025"/>
    <n v="1"/>
    <s v="01"/>
    <x v="15"/>
    <x v="15"/>
    <n v="-5215.16"/>
  </r>
  <r>
    <d v="2025-04-09T00:00:00"/>
    <s v="OPT-NIFTY-09-Apr-2025-22400-C-E-I"/>
    <s v="NSE"/>
    <x v="0"/>
    <n v="75"/>
    <n v="0"/>
    <n v="83.25"/>
    <n v="6243.75"/>
    <s v="#202504093700007105"/>
    <n v="6.24"/>
    <n v="2.2200000000000002"/>
    <n v="0"/>
    <n v="0.01"/>
    <n v="29"/>
    <n v="5.62"/>
    <n v="43.09"/>
    <n v="2025"/>
    <n v="4"/>
    <n v="2025"/>
    <n v="1"/>
    <s v="01"/>
    <x v="15"/>
    <x v="15"/>
    <n v="6200.66"/>
  </r>
  <r>
    <d v="2025-04-09T00:00:00"/>
    <s v="OPT-NIFTY-09-Apr-2025-22400-C-E-I"/>
    <s v="NSE"/>
    <x v="1"/>
    <n v="75"/>
    <n v="0"/>
    <n v="68.099999999999994"/>
    <n v="5107.5"/>
    <s v="#202504093700006957"/>
    <n v="0"/>
    <n v="1.81"/>
    <n v="0.23"/>
    <n v="0.01"/>
    <n v="29"/>
    <n v="5.54"/>
    <n v="36.590000000000003"/>
    <n v="2025"/>
    <n v="4"/>
    <n v="2025"/>
    <n v="1"/>
    <s v="01"/>
    <x v="15"/>
    <x v="15"/>
    <n v="-5144.09"/>
  </r>
  <r>
    <d v="2025-04-09T00:00:00"/>
    <s v="OPT-NIFTY-09-Apr-2025-22400-P-E-I"/>
    <s v="NSE"/>
    <x v="0"/>
    <n v="75"/>
    <n v="0"/>
    <n v="81"/>
    <n v="6075"/>
    <s v="#202504093700006425"/>
    <n v="6.47"/>
    <n v="2.16"/>
    <n v="0"/>
    <n v="0.01"/>
    <n v="29"/>
    <n v="5.62"/>
    <n v="43.26"/>
    <n v="2025"/>
    <n v="4"/>
    <n v="2025"/>
    <n v="1"/>
    <s v="01"/>
    <x v="15"/>
    <x v="15"/>
    <n v="6031.74"/>
  </r>
  <r>
    <d v="2025-04-09T00:00:00"/>
    <s v="OPT-NIFTY-09-Apr-2025-22400-P-E-I"/>
    <s v="NSE"/>
    <x v="1"/>
    <n v="75"/>
    <n v="0"/>
    <n v="83.3"/>
    <n v="6247.5"/>
    <s v="#202504093700006200"/>
    <n v="0"/>
    <n v="2.2200000000000002"/>
    <n v="0"/>
    <n v="0.01"/>
    <n v="29"/>
    <n v="5.62"/>
    <n v="36.85"/>
    <n v="2025"/>
    <n v="4"/>
    <n v="2025"/>
    <n v="1"/>
    <s v="01"/>
    <x v="15"/>
    <x v="15"/>
    <n v="-6284.35"/>
  </r>
  <r>
    <d v="2025-04-15T00:00:00"/>
    <s v="OPT-NIFTY-17-Apr-2025-22750-P-E-I"/>
    <s v="NSE"/>
    <x v="0"/>
    <n v="150"/>
    <n v="0"/>
    <n v="17.7"/>
    <n v="2655"/>
    <s v="#202504153700004658"/>
    <n v="3"/>
    <n v="0.94"/>
    <n v="0"/>
    <n v="0"/>
    <n v="58"/>
    <n v="10.6"/>
    <n v="72.540000000000006"/>
    <n v="2025"/>
    <n v="4"/>
    <n v="2025"/>
    <n v="1"/>
    <s v="01"/>
    <x v="15"/>
    <x v="15"/>
    <n v="2582.46"/>
  </r>
  <r>
    <d v="2025-04-15T00:00:00"/>
    <s v="OPT-NIFTY-17-Apr-2025-22750-P-E-I"/>
    <s v="NSE"/>
    <x v="1"/>
    <n v="75"/>
    <n v="0"/>
    <n v="23"/>
    <n v="1725"/>
    <s v="#202504153700003201"/>
    <n v="0"/>
    <n v="0.61"/>
    <n v="0"/>
    <n v="0"/>
    <n v="29"/>
    <n v="5.32"/>
    <n v="34.93"/>
    <n v="2025"/>
    <n v="4"/>
    <n v="2025"/>
    <n v="1"/>
    <s v="01"/>
    <x v="15"/>
    <x v="15"/>
    <n v="-1759.93"/>
  </r>
  <r>
    <d v="2025-04-15T00:00:00"/>
    <s v="OPT-NIFTY-17-Apr-2025-22750-P-E-I"/>
    <s v="NSE"/>
    <x v="1"/>
    <n v="75"/>
    <n v="0"/>
    <n v="23.5"/>
    <n v="1762.5"/>
    <s v="#202504153700003067"/>
    <n v="0"/>
    <n v="0.63"/>
    <n v="0"/>
    <n v="0"/>
    <n v="29"/>
    <n v="5.34"/>
    <n v="34.97"/>
    <n v="2025"/>
    <n v="4"/>
    <n v="2025"/>
    <n v="1"/>
    <s v="01"/>
    <x v="15"/>
    <x v="15"/>
    <n v="-1797.47"/>
  </r>
  <r>
    <d v="2025-05-02T00:00:00"/>
    <s v="OPT-NIFTY-08-May-2025-24350-P-E-I"/>
    <s v="NSE"/>
    <x v="0"/>
    <n v="150"/>
    <n v="0"/>
    <n v="145.80000000000001"/>
    <n v="21870"/>
    <s v="#202505023700019488"/>
    <n v="21.87"/>
    <n v="7.77"/>
    <n v="0"/>
    <n v="0.02"/>
    <n v="58"/>
    <n v="11.84"/>
    <n v="99.5"/>
    <n v="2025"/>
    <n v="5"/>
    <n v="2025"/>
    <n v="2"/>
    <s v="02"/>
    <x v="16"/>
    <x v="16"/>
    <n v="21770.5"/>
  </r>
  <r>
    <d v="2025-05-02T00:00:00"/>
    <s v="OPT-NIFTY-08-May-2025-24350-P-E-I"/>
    <s v="NSE"/>
    <x v="1"/>
    <n v="150"/>
    <n v="0"/>
    <n v="152.69999999999999"/>
    <n v="22905"/>
    <s v="#202505023700019371"/>
    <n v="0"/>
    <n v="8.14"/>
    <n v="2.44"/>
    <n v="0.02"/>
    <n v="58"/>
    <n v="11.92"/>
    <n v="80.52"/>
    <n v="2025"/>
    <n v="5"/>
    <n v="2025"/>
    <n v="2"/>
    <s v="02"/>
    <x v="16"/>
    <x v="16"/>
    <n v="-22985.52"/>
  </r>
  <r>
    <d v="2025-05-02T00:00:00"/>
    <s v="OPT-NIFTY-08-May-2025-24350-P-E-I"/>
    <s v="NSE"/>
    <x v="0"/>
    <n v="75"/>
    <n v="0"/>
    <n v="146.9"/>
    <n v="11017.5"/>
    <s v="#202505023700019299"/>
    <n v="11.02"/>
    <n v="3.91"/>
    <n v="0"/>
    <n v="0.01"/>
    <n v="29"/>
    <n v="5.92"/>
    <n v="49.86"/>
    <n v="2025"/>
    <n v="5"/>
    <n v="2025"/>
    <n v="2"/>
    <s v="02"/>
    <x v="16"/>
    <x v="16"/>
    <n v="10967.64"/>
  </r>
  <r>
    <d v="2025-05-02T00:00:00"/>
    <s v="OPT-NIFTY-08-May-2025-24350-P-E-I"/>
    <s v="NSE"/>
    <x v="1"/>
    <n v="75"/>
    <n v="0"/>
    <n v="156.44999999999999"/>
    <n v="11733.75"/>
    <s v="#202505023700019157"/>
    <n v="0"/>
    <n v="4.17"/>
    <n v="0"/>
    <n v="0.01"/>
    <n v="29"/>
    <n v="5.98"/>
    <n v="39.159999999999997"/>
    <n v="2025"/>
    <n v="5"/>
    <n v="2025"/>
    <n v="2"/>
    <s v="02"/>
    <x v="16"/>
    <x v="16"/>
    <n v="-11772.91"/>
  </r>
  <r>
    <d v="2025-05-02T00:00:00"/>
    <s v="OPT-NIFTY-08-May-2025-24300-P-E-I"/>
    <s v="NSE"/>
    <x v="0"/>
    <n v="150"/>
    <n v="0"/>
    <n v="209.15"/>
    <n v="31372.5"/>
    <s v="#202505023700017315"/>
    <n v="31.37"/>
    <n v="11.15"/>
    <n v="0"/>
    <n v="0.03"/>
    <n v="58"/>
    <n v="12.46"/>
    <n v="113.01"/>
    <n v="2025"/>
    <n v="5"/>
    <n v="2025"/>
    <n v="2"/>
    <s v="02"/>
    <x v="16"/>
    <x v="16"/>
    <n v="31259.49"/>
  </r>
  <r>
    <d v="2025-05-02T00:00:00"/>
    <s v="OPT-NIFTY-08-May-2025-24300-P-E-I"/>
    <s v="NSE"/>
    <x v="1"/>
    <n v="75"/>
    <n v="0"/>
    <n v="203"/>
    <n v="15225"/>
    <s v="#202505023700017303"/>
    <n v="0"/>
    <n v="5.41"/>
    <n v="0"/>
    <n v="0.02"/>
    <n v="29"/>
    <n v="6.2"/>
    <n v="40.630000000000003"/>
    <n v="2025"/>
    <n v="5"/>
    <n v="2025"/>
    <n v="2"/>
    <s v="02"/>
    <x v="16"/>
    <x v="16"/>
    <n v="-15265.63"/>
  </r>
  <r>
    <d v="2025-05-02T00:00:00"/>
    <s v="OPT-NIFTY-08-May-2025-24300-P-E-I"/>
    <s v="NSE"/>
    <x v="1"/>
    <n v="75"/>
    <n v="0"/>
    <n v="199.6"/>
    <n v="14970"/>
    <s v="#202505023700017225"/>
    <n v="0"/>
    <n v="5.32"/>
    <n v="0.91"/>
    <n v="0.01"/>
    <n v="29"/>
    <n v="6.18"/>
    <n v="41.42"/>
    <n v="2025"/>
    <n v="5"/>
    <n v="2025"/>
    <n v="2"/>
    <s v="02"/>
    <x v="16"/>
    <x v="16"/>
    <n v="-15011.42"/>
  </r>
  <r>
    <d v="2025-05-02T00:00:00"/>
    <s v="OPT-NIFTY-08-May-2025-24350-P-E-I"/>
    <s v="NSE"/>
    <x v="0"/>
    <n v="150"/>
    <n v="0"/>
    <n v="217.25"/>
    <n v="32587.5"/>
    <s v="#202505023700014773"/>
    <n v="32.58"/>
    <n v="11.58"/>
    <n v="0"/>
    <n v="0.04"/>
    <n v="58"/>
    <n v="12.52"/>
    <n v="114.72"/>
    <n v="2025"/>
    <n v="5"/>
    <n v="2025"/>
    <n v="2"/>
    <s v="02"/>
    <x v="16"/>
    <x v="16"/>
    <n v="32472.78"/>
  </r>
  <r>
    <d v="2025-05-02T00:00:00"/>
    <s v="OPT-NIFTY-08-May-2025-24350-P-E-I"/>
    <s v="NSE"/>
    <x v="1"/>
    <n v="150"/>
    <n v="0"/>
    <n v="204"/>
    <n v="30600"/>
    <s v="#202505023700014462"/>
    <n v="0"/>
    <n v="10.88"/>
    <n v="0"/>
    <n v="0.04"/>
    <n v="58"/>
    <n v="12.4"/>
    <n v="81.319999999999993"/>
    <n v="2025"/>
    <n v="5"/>
    <n v="2025"/>
    <n v="2"/>
    <s v="02"/>
    <x v="16"/>
    <x v="16"/>
    <n v="-30681.32"/>
  </r>
  <r>
    <d v="2025-05-02T00:00:00"/>
    <s v="OPT-NIFTY-08-May-2025-24450-P-E-I"/>
    <s v="NSE"/>
    <x v="0"/>
    <n v="150"/>
    <n v="0"/>
    <n v="215.45"/>
    <n v="32317.5"/>
    <s v="#202505023700012079"/>
    <n v="32.32"/>
    <n v="11.48"/>
    <n v="0"/>
    <n v="0.04"/>
    <n v="58"/>
    <n v="12.52"/>
    <n v="114.36"/>
    <n v="2025"/>
    <n v="5"/>
    <n v="2025"/>
    <n v="2"/>
    <s v="02"/>
    <x v="16"/>
    <x v="16"/>
    <n v="32203.14"/>
  </r>
  <r>
    <d v="2025-05-02T00:00:00"/>
    <s v="OPT-NIFTY-08-May-2025-24450-P-E-I"/>
    <s v="NSE"/>
    <x v="1"/>
    <n v="150"/>
    <n v="0"/>
    <n v="203.3"/>
    <n v="30495"/>
    <s v="#202505023700011548"/>
    <n v="0"/>
    <n v="10.84"/>
    <n v="0"/>
    <n v="0.04"/>
    <n v="58"/>
    <n v="12.4"/>
    <n v="81.28"/>
    <n v="2025"/>
    <n v="5"/>
    <n v="2025"/>
    <n v="2"/>
    <s v="02"/>
    <x v="16"/>
    <x v="16"/>
    <n v="-30576.28"/>
  </r>
  <r>
    <d v="2025-05-02T00:00:00"/>
    <s v="OPT-NIFTY-08-May-2025-24500-P-E-I"/>
    <s v="NSE"/>
    <x v="0"/>
    <n v="75"/>
    <n v="0"/>
    <n v="204.55"/>
    <n v="15341.25"/>
    <s v="#202505023700011205"/>
    <n v="15.34"/>
    <n v="5.45"/>
    <n v="0"/>
    <n v="0.02"/>
    <n v="29"/>
    <n v="6.2"/>
    <n v="56.01"/>
    <n v="2025"/>
    <n v="5"/>
    <n v="2025"/>
    <n v="2"/>
    <s v="02"/>
    <x v="16"/>
    <x v="16"/>
    <n v="15285.24"/>
  </r>
  <r>
    <d v="2025-05-02T00:00:00"/>
    <s v="OPT-NIFTY-08-May-2025-24500-P-E-I"/>
    <s v="NSE"/>
    <x v="1"/>
    <n v="75"/>
    <n v="0"/>
    <n v="202.1"/>
    <n v="15157.5"/>
    <s v="#202505023700010749"/>
    <n v="0"/>
    <n v="5.39"/>
    <n v="0.45"/>
    <n v="0.02"/>
    <n v="29"/>
    <n v="6.2"/>
    <n v="41.06"/>
    <n v="2025"/>
    <n v="5"/>
    <n v="2025"/>
    <n v="2"/>
    <s v="02"/>
    <x v="16"/>
    <x v="16"/>
    <n v="-15198.56"/>
  </r>
  <r>
    <d v="2025-05-02T00:00:00"/>
    <s v="OPT-NIFTY-08-May-2025-24450-P-E-I"/>
    <s v="NSE"/>
    <x v="0"/>
    <n v="75"/>
    <n v="0"/>
    <n v="159.25"/>
    <n v="11943.75"/>
    <s v="#202505023700008123"/>
    <n v="11.94"/>
    <n v="4.24"/>
    <n v="0"/>
    <n v="0.01"/>
    <n v="29"/>
    <n v="5.98"/>
    <n v="51.17"/>
    <n v="2025"/>
    <n v="5"/>
    <n v="2025"/>
    <n v="2"/>
    <s v="02"/>
    <x v="16"/>
    <x v="16"/>
    <n v="11892.58"/>
  </r>
  <r>
    <d v="2025-05-02T00:00:00"/>
    <s v="OPT-NIFTY-08-May-2025-24450-P-E-I"/>
    <s v="NSE"/>
    <x v="1"/>
    <n v="75"/>
    <n v="0"/>
    <n v="151.25"/>
    <n v="11343.75"/>
    <s v="#202505023700008095"/>
    <n v="0"/>
    <n v="4.03"/>
    <n v="1.26"/>
    <n v="0.01"/>
    <n v="29"/>
    <n v="5.94"/>
    <n v="40.24"/>
    <n v="2025"/>
    <n v="5"/>
    <n v="2025"/>
    <n v="2"/>
    <s v="02"/>
    <x v="16"/>
    <x v="16"/>
    <n v="-11383.99"/>
  </r>
  <r>
    <d v="2025-05-02T00:00:00"/>
    <s v="OPT-NIFTY-08-May-2025-24450-C-E-I"/>
    <s v="NSE"/>
    <x v="0"/>
    <n v="150"/>
    <n v="0"/>
    <n v="227.25"/>
    <n v="34087.5"/>
    <s v="#202505023700002386"/>
    <n v="34.549999999999997"/>
    <n v="12.11"/>
    <n v="0"/>
    <n v="0.03"/>
    <n v="58"/>
    <n v="12.62"/>
    <n v="117.31"/>
    <n v="2025"/>
    <n v="5"/>
    <n v="2025"/>
    <n v="2"/>
    <s v="02"/>
    <x v="16"/>
    <x v="16"/>
    <n v="33970.19"/>
  </r>
  <r>
    <d v="2025-05-02T00:00:00"/>
    <s v="OPT-NIFTY-08-May-2025-24450-C-E-I"/>
    <s v="NSE"/>
    <x v="1"/>
    <n v="150"/>
    <n v="0"/>
    <n v="208.78"/>
    <n v="31316.25"/>
    <s v="#202505023700002229"/>
    <n v="0"/>
    <n v="11.12"/>
    <n v="0.94"/>
    <n v="0.04"/>
    <n v="58"/>
    <n v="12.44"/>
    <n v="82.54"/>
    <n v="2025"/>
    <n v="5"/>
    <n v="2025"/>
    <n v="2"/>
    <s v="02"/>
    <x v="16"/>
    <x v="16"/>
    <n v="-31398.79"/>
  </r>
  <r>
    <d v="2025-05-07T00:00:00"/>
    <s v="OPT-NIFTY-08-May-2025-24300-C-E-I"/>
    <s v="NSE"/>
    <x v="0"/>
    <n v="150"/>
    <n v="0"/>
    <n v="103.45"/>
    <n v="15517.5"/>
    <s v="#202505073700009231"/>
    <n v="15.52"/>
    <n v="5.51"/>
    <n v="0"/>
    <n v="0.02"/>
    <n v="58"/>
    <n v="11.44"/>
    <n v="90.49"/>
    <n v="2025"/>
    <n v="5"/>
    <n v="2025"/>
    <n v="2"/>
    <s v="02"/>
    <x v="16"/>
    <x v="16"/>
    <n v="15427.01"/>
  </r>
  <r>
    <d v="2025-05-07T00:00:00"/>
    <s v="OPT-NIFTY-08-May-2025-24300-C-E-I"/>
    <s v="NSE"/>
    <x v="1"/>
    <n v="150"/>
    <n v="0"/>
    <n v="99.75"/>
    <n v="14962.5"/>
    <s v="#202505073700009114"/>
    <n v="0"/>
    <n v="5.32"/>
    <n v="0"/>
    <n v="0.01"/>
    <n v="58"/>
    <n v="11.4"/>
    <n v="74.73"/>
    <n v="2025"/>
    <n v="5"/>
    <n v="2025"/>
    <n v="2"/>
    <s v="02"/>
    <x v="16"/>
    <x v="16"/>
    <n v="-15037.23"/>
  </r>
  <r>
    <d v="2025-05-07T00:00:00"/>
    <s v="OPT-NIFTY-08-May-2025-24300-C-E-I"/>
    <s v="NSE"/>
    <x v="0"/>
    <n v="150"/>
    <n v="0"/>
    <n v="91.4"/>
    <n v="13710"/>
    <s v="#202505073700009035"/>
    <n v="13.72"/>
    <n v="4.88"/>
    <n v="0"/>
    <n v="0.02"/>
    <n v="58"/>
    <n v="11.32"/>
    <n v="87.94"/>
    <n v="2025"/>
    <n v="5"/>
    <n v="2025"/>
    <n v="2"/>
    <s v="02"/>
    <x v="16"/>
    <x v="16"/>
    <n v="13622.06"/>
  </r>
  <r>
    <d v="2025-05-07T00:00:00"/>
    <s v="OPT-NIFTY-08-May-2025-24300-C-E-I"/>
    <s v="NSE"/>
    <x v="1"/>
    <n v="150"/>
    <n v="0"/>
    <n v="91.6"/>
    <n v="13740"/>
    <s v="#202505073700008527"/>
    <n v="0"/>
    <n v="4.88"/>
    <n v="1"/>
    <n v="0.01"/>
    <n v="58"/>
    <n v="11.32"/>
    <n v="75.209999999999994"/>
    <n v="2025"/>
    <n v="5"/>
    <n v="2025"/>
    <n v="2"/>
    <s v="02"/>
    <x v="16"/>
    <x v="16"/>
    <n v="-13815.21"/>
  </r>
  <r>
    <d v="2025-05-07T00:00:00"/>
    <s v="OPT-NIFTY-08-May-2025-24300-C-E-I"/>
    <s v="NSE"/>
    <x v="0"/>
    <n v="150"/>
    <n v="0"/>
    <n v="78.05"/>
    <n v="11707.5"/>
    <s v="#202505073700008461"/>
    <n v="11.77"/>
    <n v="4.16"/>
    <n v="0"/>
    <n v="0.02"/>
    <n v="58"/>
    <n v="11.2"/>
    <n v="85.15"/>
    <n v="2025"/>
    <n v="5"/>
    <n v="2025"/>
    <n v="2"/>
    <s v="02"/>
    <x v="16"/>
    <x v="16"/>
    <n v="11622.35"/>
  </r>
  <r>
    <d v="2025-05-07T00:00:00"/>
    <s v="OPT-NIFTY-08-May-2025-24300-C-E-I"/>
    <s v="NSE"/>
    <x v="1"/>
    <n v="75"/>
    <n v="0"/>
    <n v="85.2"/>
    <n v="6390"/>
    <s v="#202505073700007600"/>
    <n v="0"/>
    <n v="2.27"/>
    <n v="0"/>
    <n v="0.01"/>
    <n v="29"/>
    <n v="5.64"/>
    <n v="36.92"/>
    <n v="2025"/>
    <n v="5"/>
    <n v="2025"/>
    <n v="2"/>
    <s v="02"/>
    <x v="16"/>
    <x v="16"/>
    <n v="-6426.92"/>
  </r>
  <r>
    <d v="2025-05-07T00:00:00"/>
    <s v="OPT-NIFTY-08-May-2025-24300-C-E-I"/>
    <s v="NSE"/>
    <x v="1"/>
    <n v="75"/>
    <n v="0"/>
    <n v="118"/>
    <n v="8850"/>
    <s v="#202505073700006263"/>
    <n v="0"/>
    <n v="3.14"/>
    <n v="0"/>
    <n v="0.01"/>
    <n v="29"/>
    <n v="5.78"/>
    <n v="37.93"/>
    <n v="2025"/>
    <n v="5"/>
    <n v="2025"/>
    <n v="2"/>
    <s v="02"/>
    <x v="16"/>
    <x v="16"/>
    <n v="-8887.93"/>
  </r>
  <r>
    <d v="2025-05-08T00:00:00"/>
    <s v="OPT-NIFTY-08-May-2025-24400-P-E-I"/>
    <s v="NSE"/>
    <x v="0"/>
    <n v="225"/>
    <n v="0"/>
    <n v="10.199999999999999"/>
    <n v="2295"/>
    <s v="#202505083700011713"/>
    <n v="2.2999999999999998"/>
    <n v="0.81"/>
    <n v="0"/>
    <n v="0"/>
    <n v="87"/>
    <n v="15.8"/>
    <n v="105.91"/>
    <n v="2025"/>
    <n v="5"/>
    <n v="2025"/>
    <n v="2"/>
    <s v="02"/>
    <x v="16"/>
    <x v="16"/>
    <n v="2189.09"/>
  </r>
  <r>
    <d v="2025-05-08T00:00:00"/>
    <s v="OPT-NIFTY-08-May-2025-24400-P-E-I"/>
    <s v="NSE"/>
    <x v="1"/>
    <n v="225"/>
    <n v="0"/>
    <n v="11.65"/>
    <n v="2621.25"/>
    <s v="#202505083700011579"/>
    <n v="0"/>
    <n v="0.93"/>
    <n v="0"/>
    <n v="0"/>
    <n v="87"/>
    <n v="15.82"/>
    <n v="103.75"/>
    <n v="2025"/>
    <n v="5"/>
    <n v="2025"/>
    <n v="2"/>
    <s v="02"/>
    <x v="16"/>
    <x v="16"/>
    <n v="-2725"/>
  </r>
  <r>
    <d v="2025-05-08T00:00:00"/>
    <s v="OPT-NIFTY-08-May-2025-24400-P-E-I"/>
    <s v="NSE"/>
    <x v="0"/>
    <n v="300"/>
    <n v="0"/>
    <n v="11.35"/>
    <n v="3405"/>
    <s v="#202505083700010422"/>
    <n v="3.7"/>
    <n v="1.2"/>
    <n v="0"/>
    <n v="0"/>
    <n v="116"/>
    <n v="21.1"/>
    <n v="142"/>
    <n v="2025"/>
    <n v="5"/>
    <n v="2025"/>
    <n v="2"/>
    <s v="02"/>
    <x v="16"/>
    <x v="16"/>
    <n v="3263"/>
  </r>
  <r>
    <d v="2025-05-08T00:00:00"/>
    <s v="OPT-NIFTY-08-May-2025-24400-P-E-I"/>
    <s v="NSE"/>
    <x v="1"/>
    <n v="75"/>
    <n v="0"/>
    <n v="16.350000000000001"/>
    <n v="1226.25"/>
    <s v="#202505083700009329"/>
    <n v="0"/>
    <n v="0.44"/>
    <n v="0"/>
    <n v="0"/>
    <n v="29"/>
    <n v="5.3"/>
    <n v="34.74"/>
    <n v="2025"/>
    <n v="5"/>
    <n v="2025"/>
    <n v="2"/>
    <s v="02"/>
    <x v="16"/>
    <x v="16"/>
    <n v="-1260.99"/>
  </r>
  <r>
    <d v="2025-05-08T00:00:00"/>
    <s v="OPT-NIFTY-08-May-2025-24400-P-E-I"/>
    <s v="NSE"/>
    <x v="1"/>
    <n v="75"/>
    <n v="0"/>
    <n v="24.85"/>
    <n v="1863.75"/>
    <s v="#202505083700007209"/>
    <n v="0"/>
    <n v="0.66"/>
    <n v="0"/>
    <n v="0"/>
    <n v="29"/>
    <n v="5.34"/>
    <n v="35"/>
    <n v="2025"/>
    <n v="5"/>
    <n v="2025"/>
    <n v="2"/>
    <s v="02"/>
    <x v="16"/>
    <x v="16"/>
    <n v="-1898.75"/>
  </r>
  <r>
    <d v="2025-05-08T00:00:00"/>
    <s v="OPT-NIFTY-08-May-2025-24400-P-E-I"/>
    <s v="NSE"/>
    <x v="1"/>
    <n v="150"/>
    <n v="0"/>
    <n v="37.450000000000003"/>
    <n v="5617.5"/>
    <s v="#202505083700006575"/>
    <n v="0"/>
    <n v="2"/>
    <n v="0"/>
    <n v="0.01"/>
    <n v="58"/>
    <n v="10.8"/>
    <n v="70.81"/>
    <n v="2025"/>
    <n v="5"/>
    <n v="2025"/>
    <n v="2"/>
    <s v="02"/>
    <x v="16"/>
    <x v="16"/>
    <n v="-5688.31"/>
  </r>
  <r>
    <d v="2025-05-15T00:00:00"/>
    <s v="OPT-NIFTY-15-May-2025-24650-P-E-I"/>
    <s v="NSE"/>
    <x v="0"/>
    <n v="750"/>
    <n v="0"/>
    <n v="16.25"/>
    <n v="12187.5"/>
    <s v="#202505153700021703"/>
    <n v="12.19"/>
    <n v="4.33"/>
    <n v="0"/>
    <n v="0.01"/>
    <n v="290"/>
    <n v="52.98"/>
    <n v="359.51"/>
    <n v="2025"/>
    <n v="5"/>
    <n v="2025"/>
    <n v="2"/>
    <s v="02"/>
    <x v="16"/>
    <x v="16"/>
    <n v="11827.99"/>
  </r>
  <r>
    <d v="2025-05-15T00:00:00"/>
    <s v="OPT-NIFTY-15-May-2025-24650-P-E-I"/>
    <s v="NSE"/>
    <x v="1"/>
    <n v="750"/>
    <n v="0"/>
    <n v="21.25"/>
    <n v="15937.5"/>
    <s v="#202505153700020609"/>
    <n v="0"/>
    <n v="5.67"/>
    <n v="1.74"/>
    <n v="0.02"/>
    <n v="290"/>
    <n v="53.24"/>
    <n v="350.67"/>
    <n v="2025"/>
    <n v="5"/>
    <n v="2025"/>
    <n v="2"/>
    <s v="02"/>
    <x v="16"/>
    <x v="16"/>
    <n v="-16288.17"/>
  </r>
  <r>
    <d v="2025-05-15T00:00:00"/>
    <s v="OPT-NIFTY-15-May-2025-24650-P-E-I"/>
    <s v="NSE"/>
    <x v="0"/>
    <n v="300"/>
    <n v="0"/>
    <n v="18.850000000000001"/>
    <n v="5655"/>
    <s v="#202505153700020206"/>
    <n v="5.65"/>
    <n v="2"/>
    <n v="0"/>
    <n v="0"/>
    <n v="116"/>
    <n v="21.26"/>
    <n v="144.91"/>
    <n v="2025"/>
    <n v="5"/>
    <n v="2025"/>
    <n v="2"/>
    <s v="02"/>
    <x v="16"/>
    <x v="16"/>
    <n v="5510.09"/>
  </r>
  <r>
    <d v="2025-05-15T00:00:00"/>
    <s v="OPT-NIFTY-15-May-2025-24650-P-E-I"/>
    <s v="NSE"/>
    <x v="1"/>
    <n v="150"/>
    <n v="0"/>
    <n v="38.25"/>
    <n v="5737.5"/>
    <s v="#202505153700019566"/>
    <n v="0"/>
    <n v="2.04"/>
    <n v="0"/>
    <n v="0.01"/>
    <n v="58"/>
    <n v="10.8"/>
    <n v="70.849999999999994"/>
    <n v="2025"/>
    <n v="5"/>
    <n v="2025"/>
    <n v="2"/>
    <s v="02"/>
    <x v="16"/>
    <x v="16"/>
    <n v="-5808.35"/>
  </r>
  <r>
    <d v="2025-05-15T00:00:00"/>
    <s v="OPT-NIFTY-15-May-2025-24650-P-E-I"/>
    <s v="NSE"/>
    <x v="1"/>
    <n v="150"/>
    <n v="0"/>
    <n v="81"/>
    <n v="12150"/>
    <s v="#202505153700017843"/>
    <n v="0"/>
    <n v="4.32"/>
    <n v="0"/>
    <n v="0.01"/>
    <n v="58"/>
    <n v="11.22"/>
    <n v="73.55"/>
    <n v="2025"/>
    <n v="5"/>
    <n v="2025"/>
    <n v="2"/>
    <s v="02"/>
    <x v="16"/>
    <x v="16"/>
    <n v="-12223.55"/>
  </r>
  <r>
    <d v="2025-05-15T00:00:00"/>
    <s v="OPT-NIFTY-15-May-2025-24650-P-E-I"/>
    <s v="NSE"/>
    <x v="0"/>
    <n v="150"/>
    <n v="0"/>
    <n v="95.25"/>
    <n v="14287.5"/>
    <s v="#202505153700016785"/>
    <n v="14.29"/>
    <n v="5.08"/>
    <n v="0"/>
    <n v="0.01"/>
    <n v="58"/>
    <n v="11.36"/>
    <n v="88.74"/>
    <n v="2025"/>
    <n v="5"/>
    <n v="2025"/>
    <n v="2"/>
    <s v="02"/>
    <x v="16"/>
    <x v="16"/>
    <n v="14198.76"/>
  </r>
  <r>
    <d v="2025-05-15T00:00:00"/>
    <s v="OPT-NIFTY-15-May-2025-24650-P-E-I"/>
    <s v="NSE"/>
    <x v="1"/>
    <n v="75"/>
    <n v="0"/>
    <n v="73"/>
    <n v="5475"/>
    <s v="#202505153700016057"/>
    <n v="0"/>
    <n v="1.95"/>
    <n v="0"/>
    <n v="0.01"/>
    <n v="29"/>
    <n v="5.58"/>
    <n v="36.54"/>
    <n v="2025"/>
    <n v="5"/>
    <n v="2025"/>
    <n v="2"/>
    <s v="02"/>
    <x v="16"/>
    <x v="16"/>
    <n v="-5511.54"/>
  </r>
  <r>
    <d v="2025-05-15T00:00:00"/>
    <s v="OPT-NIFTY-15-May-2025-24650-P-E-I"/>
    <s v="NSE"/>
    <x v="1"/>
    <n v="75"/>
    <n v="0"/>
    <n v="99.2"/>
    <n v="7440"/>
    <s v="#202505153700015627"/>
    <n v="0"/>
    <n v="2.64"/>
    <n v="0"/>
    <n v="0.01"/>
    <n v="29"/>
    <n v="5.7"/>
    <n v="37.35"/>
    <n v="2025"/>
    <n v="5"/>
    <n v="2025"/>
    <n v="2"/>
    <s v="02"/>
    <x v="16"/>
    <x v="16"/>
    <n v="-7477.35"/>
  </r>
  <r>
    <d v="2025-05-15T00:00:00"/>
    <s v="OPT-NIFTY-15-May-2025-24550-C-E-I"/>
    <s v="NSE"/>
    <x v="0"/>
    <n v="75"/>
    <n v="0"/>
    <n v="131.5"/>
    <n v="9862.5"/>
    <s v="#202505153700014098"/>
    <n v="9.8699999999999992"/>
    <n v="3.5"/>
    <n v="0"/>
    <n v="0.01"/>
    <n v="29"/>
    <n v="5.86"/>
    <n v="48.24"/>
    <n v="2025"/>
    <n v="5"/>
    <n v="2025"/>
    <n v="2"/>
    <s v="02"/>
    <x v="16"/>
    <x v="16"/>
    <n v="9814.26"/>
  </r>
  <r>
    <d v="2025-05-15T00:00:00"/>
    <s v="OPT-NIFTY-15-May-2025-24550-C-E-I"/>
    <s v="NSE"/>
    <x v="1"/>
    <n v="75"/>
    <n v="0"/>
    <n v="114.9"/>
    <n v="8617.5"/>
    <s v="#202505153700012471"/>
    <n v="0"/>
    <n v="3.06"/>
    <n v="0.26"/>
    <n v="0.01"/>
    <n v="29"/>
    <n v="5.78"/>
    <n v="38.11"/>
    <n v="2025"/>
    <n v="5"/>
    <n v="2025"/>
    <n v="2"/>
    <s v="02"/>
    <x v="16"/>
    <x v="16"/>
    <n v="-8655.61"/>
  </r>
  <r>
    <d v="2025-05-21T00:00:00"/>
    <s v="OPT-NIFTY-22-May-2025-24750-P-E-I"/>
    <s v="NSE"/>
    <x v="0"/>
    <n v="150"/>
    <n v="0"/>
    <n v="77.349999999999994"/>
    <n v="11602.5"/>
    <s v="#202505213700006174"/>
    <n v="12"/>
    <n v="4.12"/>
    <n v="0"/>
    <n v="0.01"/>
    <n v="58"/>
    <n v="11.18"/>
    <n v="85.31"/>
    <n v="2025"/>
    <n v="5"/>
    <n v="2025"/>
    <n v="2"/>
    <s v="02"/>
    <x v="16"/>
    <x v="16"/>
    <n v="11517.19"/>
  </r>
  <r>
    <d v="2025-05-21T00:00:00"/>
    <s v="OPT-NIFTY-22-May-2025-24750-P-E-I"/>
    <s v="NSE"/>
    <x v="1"/>
    <n v="150"/>
    <n v="0"/>
    <n v="125.6"/>
    <n v="18840"/>
    <s v="#202505213700000977"/>
    <n v="0"/>
    <n v="6.69"/>
    <n v="1"/>
    <n v="0.02"/>
    <n v="58"/>
    <n v="11.64"/>
    <n v="77.349999999999994"/>
    <n v="2025"/>
    <n v="5"/>
    <n v="2025"/>
    <n v="2"/>
    <s v="02"/>
    <x v="16"/>
    <x v="16"/>
    <n v="-18917.349999999999"/>
  </r>
  <r>
    <d v="2025-05-23T00:00:00"/>
    <s v="OPT-NIFTY-29-May-2025-24050-P-E-I"/>
    <s v="NSE"/>
    <x v="1"/>
    <n v="75"/>
    <n v="0"/>
    <n v="24.65"/>
    <n v="1848.75"/>
    <s v="#202505233700005571"/>
    <n v="0"/>
    <n v="0.66"/>
    <n v="0"/>
    <n v="0"/>
    <n v="29"/>
    <n v="5.34"/>
    <n v="35"/>
    <n v="2025"/>
    <n v="5"/>
    <n v="2025"/>
    <n v="2"/>
    <s v="02"/>
    <x v="16"/>
    <x v="16"/>
    <n v="-1883.75"/>
  </r>
  <r>
    <d v="2025-05-29T00:00:00"/>
    <s v="OPT-NIFTY-29-May-2025-24750-C-E-I"/>
    <s v="NSE"/>
    <x v="0"/>
    <n v="150"/>
    <n v="0"/>
    <n v="29.25"/>
    <n v="4387.5"/>
    <s v="#202505293700021886"/>
    <n v="4.38"/>
    <n v="1.56"/>
    <n v="0"/>
    <n v="0"/>
    <n v="58"/>
    <n v="10.72"/>
    <n v="74.66"/>
    <n v="2025"/>
    <n v="5"/>
    <n v="2025"/>
    <n v="2"/>
    <s v="02"/>
    <x v="16"/>
    <x v="16"/>
    <n v="4312.84"/>
  </r>
  <r>
    <d v="2025-05-29T00:00:00"/>
    <s v="OPT-NIFTY-29-May-2025-24750-C-E-I"/>
    <s v="NSE"/>
    <x v="1"/>
    <n v="150"/>
    <n v="0"/>
    <n v="28.15"/>
    <n v="4222.5"/>
    <s v="#202505293700021784"/>
    <n v="0"/>
    <n v="1.5"/>
    <n v="0"/>
    <n v="0"/>
    <n v="58"/>
    <n v="10.72"/>
    <n v="70.22"/>
    <n v="2025"/>
    <n v="5"/>
    <n v="2025"/>
    <n v="2"/>
    <s v="02"/>
    <x v="16"/>
    <x v="16"/>
    <n v="-4292.72"/>
  </r>
  <r>
    <d v="2025-05-29T00:00:00"/>
    <s v="OPT-NIFTY-29-May-2025-24050-P-E-I"/>
    <s v="NSE"/>
    <x v="0"/>
    <n v="75"/>
    <n v="0"/>
    <n v="1.5"/>
    <n v="112.5"/>
    <s v="#202505293700001341"/>
    <n v="0.61"/>
    <n v="0.04"/>
    <n v="0"/>
    <n v="0"/>
    <n v="29"/>
    <n v="5.22"/>
    <n v="34.869999999999997"/>
    <n v="2025"/>
    <n v="5"/>
    <n v="2025"/>
    <n v="2"/>
    <s v="02"/>
    <x v="16"/>
    <x v="16"/>
    <n v="77.63"/>
  </r>
  <r>
    <d v="2025-06-05T00:00:00"/>
    <s v="OPT-NIFTY-05-Jun-2025-24850-C-E-I"/>
    <s v="NSE"/>
    <x v="0"/>
    <n v="150"/>
    <n v="0"/>
    <n v="5"/>
    <n v="750"/>
    <s v="#202506053700024913"/>
    <n v="1"/>
    <n v="0.27"/>
    <n v="0"/>
    <n v="0"/>
    <n v="58"/>
    <n v="10.48"/>
    <n v="69.75"/>
    <n v="2025"/>
    <n v="6"/>
    <n v="2025"/>
    <n v="3"/>
    <s v="03"/>
    <x v="17"/>
    <x v="17"/>
    <n v="680.25"/>
  </r>
  <r>
    <d v="2025-06-05T00:00:00"/>
    <s v="OPT-NIFTY-05-Jun-2025-24850-C-E-I"/>
    <s v="NSE"/>
    <x v="1"/>
    <n v="150"/>
    <n v="0"/>
    <n v="22"/>
    <n v="3300"/>
    <s v="#202506053700018371"/>
    <n v="0"/>
    <n v="1.17"/>
    <n v="0"/>
    <n v="0"/>
    <n v="58"/>
    <n v="10.66"/>
    <n v="69.83"/>
    <n v="2025"/>
    <n v="6"/>
    <n v="2025"/>
    <n v="3"/>
    <s v="03"/>
    <x v="17"/>
    <x v="17"/>
    <n v="-3369.83"/>
  </r>
  <r>
    <d v="2025-07-04T00:00:00"/>
    <s v="OPT-NIFTY-10-Jul-2025-25400-P-E-I"/>
    <s v="NSE"/>
    <x v="0"/>
    <n v="375"/>
    <n v="0"/>
    <n v="152.25"/>
    <n v="57093.75"/>
    <s v="#202507043700010841"/>
    <n v="56.97"/>
    <n v="20.28"/>
    <n v="0"/>
    <n v="0.05"/>
    <n v="145"/>
    <n v="29.76"/>
    <n v="252.06"/>
    <n v="2025"/>
    <n v="7"/>
    <n v="2025"/>
    <n v="4"/>
    <s v="04"/>
    <x v="18"/>
    <x v="18"/>
    <n v="56841.69"/>
  </r>
  <r>
    <d v="2025-07-04T00:00:00"/>
    <s v="OPT-NIFTY-10-Jul-2025-25400-P-E-I"/>
    <s v="NSE"/>
    <x v="1"/>
    <n v="375"/>
    <n v="0"/>
    <n v="157.1"/>
    <n v="58912.5"/>
    <s v="#202507043700010716"/>
    <n v="0"/>
    <n v="20.94"/>
    <n v="3"/>
    <n v="0.06"/>
    <n v="145"/>
    <n v="29.88"/>
    <n v="198.88"/>
    <n v="2025"/>
    <n v="7"/>
    <n v="2025"/>
    <n v="4"/>
    <s v="04"/>
    <x v="18"/>
    <x v="18"/>
    <n v="-59111.38"/>
  </r>
  <r>
    <d v="2025-07-04T00:00:00"/>
    <s v="OPT-NIFTY-10-Jul-2025-25400-P-E-I"/>
    <s v="NSE"/>
    <x v="0"/>
    <n v="300"/>
    <n v="0"/>
    <n v="153.44999999999999"/>
    <n v="46035"/>
    <s v="#202507043700010648"/>
    <n v="46.04"/>
    <n v="16.36"/>
    <n v="0"/>
    <n v="0.04"/>
    <n v="116"/>
    <n v="23.84"/>
    <n v="202.28"/>
    <n v="2025"/>
    <n v="7"/>
    <n v="2025"/>
    <n v="4"/>
    <s v="04"/>
    <x v="18"/>
    <x v="18"/>
    <n v="45832.72"/>
  </r>
  <r>
    <d v="2025-07-04T00:00:00"/>
    <s v="OPT-NIFTY-10-Jul-2025-25400-P-E-I"/>
    <s v="NSE"/>
    <x v="1"/>
    <n v="300"/>
    <n v="0"/>
    <n v="157.69999999999999"/>
    <n v="47310"/>
    <s v="#202507043700010535"/>
    <n v="0"/>
    <n v="16.8"/>
    <n v="0"/>
    <n v="0.04"/>
    <n v="116"/>
    <n v="23.92"/>
    <n v="156.76"/>
    <n v="2025"/>
    <n v="7"/>
    <n v="2025"/>
    <n v="4"/>
    <s v="04"/>
    <x v="18"/>
    <x v="18"/>
    <n v="-47466.76"/>
  </r>
  <r>
    <d v="2025-08-12T00:00:00"/>
    <s v="OPT-NIFTY-14-Aug-2025-24700-C-E-I"/>
    <s v="NSE"/>
    <x v="0"/>
    <n v="450"/>
    <n v="0"/>
    <n v="59.65"/>
    <n v="26842.5"/>
    <s v="#202508123700012255"/>
    <n v="27"/>
    <n v="9.5399999999999991"/>
    <n v="0"/>
    <n v="0.02"/>
    <n v="174"/>
    <n v="33.04"/>
    <n v="243.6"/>
    <n v="2025"/>
    <n v="8"/>
    <n v="2025"/>
    <n v="5"/>
    <s v="05"/>
    <x v="19"/>
    <x v="19"/>
    <n v="26598.9"/>
  </r>
  <r>
    <d v="2025-08-12T00:00:00"/>
    <s v="OPT-NIFTY-14-Aug-2025-24700-C-E-I"/>
    <s v="NSE"/>
    <x v="1"/>
    <n v="225"/>
    <n v="0"/>
    <n v="44.3"/>
    <n v="9967.5"/>
    <s v="#202508123700010646"/>
    <n v="0"/>
    <n v="3.54"/>
    <n v="0"/>
    <n v="0.01"/>
    <n v="87"/>
    <n v="16.3"/>
    <n v="106.85"/>
    <n v="2025"/>
    <n v="8"/>
    <n v="2025"/>
    <n v="5"/>
    <s v="05"/>
    <x v="19"/>
    <x v="19"/>
    <n v="-10074.35"/>
  </r>
  <r>
    <d v="2025-08-12T00:00:00"/>
    <s v="OPT-NIFTY-14-Aug-2025-24700-C-E-I"/>
    <s v="NSE"/>
    <x v="1"/>
    <n v="150"/>
    <n v="0"/>
    <n v="66.05"/>
    <n v="9907.5"/>
    <s v="#202508123700006900"/>
    <n v="0"/>
    <n v="3.52"/>
    <n v="1"/>
    <n v="0.01"/>
    <n v="58"/>
    <n v="11.08"/>
    <n v="73.61"/>
    <n v="2025"/>
    <n v="8"/>
    <n v="2025"/>
    <n v="5"/>
    <s v="05"/>
    <x v="19"/>
    <x v="19"/>
    <n v="-9981.11"/>
  </r>
  <r>
    <d v="2025-08-12T00:00:00"/>
    <s v="OPT-NIFTY-14-Aug-2025-24700-C-E-I"/>
    <s v="NSE"/>
    <x v="1"/>
    <n v="75"/>
    <n v="0"/>
    <n v="82.3"/>
    <n v="6172.5"/>
    <s v="#202508123700006526"/>
    <n v="0"/>
    <n v="2.19"/>
    <n v="0"/>
    <n v="0.01"/>
    <n v="29"/>
    <n v="5.62"/>
    <n v="36.82"/>
    <n v="2025"/>
    <n v="8"/>
    <n v="2025"/>
    <n v="5"/>
    <s v="05"/>
    <x v="19"/>
    <x v="19"/>
    <n v="-6209.32"/>
  </r>
  <r>
    <d v="2025-08-21T00:00:00"/>
    <s v="OPT-NIFTY-21-Aug-2025-25150-C-E-I"/>
    <s v="NSE"/>
    <x v="0"/>
    <n v="900"/>
    <n v="0"/>
    <n v="4.1500000000000004"/>
    <n v="3735"/>
    <s v="#202508213700018813"/>
    <n v="3.73"/>
    <n v="1.33"/>
    <n v="0"/>
    <n v="0"/>
    <n v="348"/>
    <n v="62.88"/>
    <n v="415.94"/>
    <n v="2025"/>
    <n v="8"/>
    <n v="2025"/>
    <n v="5"/>
    <s v="05"/>
    <x v="19"/>
    <x v="19"/>
    <n v="3319.06"/>
  </r>
  <r>
    <d v="2025-08-21T00:00:00"/>
    <s v="OPT-NIFTY-21-Aug-2025-25150-C-E-I"/>
    <s v="NSE"/>
    <x v="0"/>
    <n v="1500"/>
    <n v="0"/>
    <n v="3.8"/>
    <n v="5700"/>
    <s v="#202508213700018369"/>
    <n v="5.72"/>
    <n v="2.02"/>
    <n v="0"/>
    <n v="0"/>
    <n v="580"/>
    <n v="104.76"/>
    <n v="692.5"/>
    <n v="2025"/>
    <n v="8"/>
    <n v="2025"/>
    <n v="5"/>
    <s v="05"/>
    <x v="19"/>
    <x v="19"/>
    <n v="5007.5"/>
  </r>
  <r>
    <d v="2025-08-21T00:00:00"/>
    <s v="OPT-NIFTY-21-Aug-2025-25150-C-E-I"/>
    <s v="NSE"/>
    <x v="0"/>
    <n v="450"/>
    <n v="0"/>
    <n v="3.8"/>
    <n v="1710"/>
    <s v="#202508213700018285"/>
    <n v="1.71"/>
    <n v="0.61"/>
    <n v="0"/>
    <n v="0"/>
    <n v="174"/>
    <n v="31.42"/>
    <n v="207.74"/>
    <n v="2025"/>
    <n v="8"/>
    <n v="2025"/>
    <n v="5"/>
    <s v="05"/>
    <x v="19"/>
    <x v="19"/>
    <n v="1502.26"/>
  </r>
  <r>
    <d v="2025-08-21T00:00:00"/>
    <s v="OPT-NIFTY-21-Aug-2025-25150-C-E-I"/>
    <s v="NSE"/>
    <x v="0"/>
    <n v="150"/>
    <n v="0"/>
    <n v="12.05"/>
    <n v="1807.5"/>
    <s v="#202508213700016581"/>
    <n v="1.86"/>
    <n v="0.64"/>
    <n v="0"/>
    <n v="0"/>
    <n v="58"/>
    <n v="10.56"/>
    <n v="71.06"/>
    <n v="2025"/>
    <n v="8"/>
    <n v="2025"/>
    <n v="5"/>
    <s v="05"/>
    <x v="19"/>
    <x v="19"/>
    <n v="1736.44"/>
  </r>
  <r>
    <d v="2025-08-21T00:00:00"/>
    <s v="OPT-NIFTY-21-Aug-2025-25150-C-E-I"/>
    <s v="NSE"/>
    <x v="1"/>
    <n v="1500"/>
    <n v="0"/>
    <n v="9.9"/>
    <n v="14850"/>
    <s v="#202508213700016277"/>
    <n v="0"/>
    <n v="5.28"/>
    <n v="1"/>
    <n v="0.01"/>
    <n v="580"/>
    <n v="105.36"/>
    <n v="691.65"/>
    <n v="2025"/>
    <n v="8"/>
    <n v="2025"/>
    <n v="5"/>
    <s v="05"/>
    <x v="19"/>
    <x v="19"/>
    <n v="-15541.65"/>
  </r>
  <r>
    <d v="2025-08-21T00:00:00"/>
    <s v="OPT-NIFTY-21-Aug-2025-25150-C-E-I"/>
    <s v="NSE"/>
    <x v="1"/>
    <n v="750"/>
    <n v="0"/>
    <n v="14.69"/>
    <n v="11017.5"/>
    <s v="#202508213700015714"/>
    <n v="0"/>
    <n v="3.91"/>
    <n v="0"/>
    <n v="0.01"/>
    <n v="290"/>
    <n v="52.92"/>
    <n v="346.84"/>
    <n v="2025"/>
    <n v="8"/>
    <n v="2025"/>
    <n v="5"/>
    <s v="05"/>
    <x v="19"/>
    <x v="19"/>
    <n v="-11364.34"/>
  </r>
  <r>
    <d v="2025-08-21T00:00:00"/>
    <s v="OPT-NIFTY-21-Aug-2025-25150-C-E-I"/>
    <s v="NSE"/>
    <x v="1"/>
    <n v="750"/>
    <n v="0"/>
    <n v="13.45"/>
    <n v="10087.5"/>
    <s v="#202508213700015673"/>
    <n v="0"/>
    <n v="3.58"/>
    <n v="0"/>
    <n v="0.01"/>
    <n v="290"/>
    <n v="52.84"/>
    <n v="346.43"/>
    <n v="2025"/>
    <n v="8"/>
    <n v="2025"/>
    <n v="5"/>
    <s v="05"/>
    <x v="19"/>
    <x v="19"/>
    <n v="-10433.93"/>
  </r>
  <r>
    <d v="2025-08-28T00:00:00"/>
    <s v="OPT-NIFTY-28-Aug-2025-24500-P-E-I"/>
    <s v="NSE"/>
    <x v="0"/>
    <n v="1200"/>
    <n v="0"/>
    <n v="17.649999999999999"/>
    <n v="21180"/>
    <s v="#202508283700020082"/>
    <n v="21.55"/>
    <n v="7.53"/>
    <n v="0"/>
    <n v="0.02"/>
    <n v="464"/>
    <n v="84.88"/>
    <n v="577.98"/>
    <n v="2025"/>
    <n v="8"/>
    <n v="2025"/>
    <n v="5"/>
    <s v="05"/>
    <x v="19"/>
    <x v="19"/>
    <n v="20602.02"/>
  </r>
  <r>
    <d v="2025-08-28T00:00:00"/>
    <s v="OPT-NIFTY-28-Aug-2025-24500-P-E-I"/>
    <s v="NSE"/>
    <x v="1"/>
    <n v="600"/>
    <n v="0"/>
    <n v="8.25"/>
    <n v="4950"/>
    <s v="#202508283700019428"/>
    <n v="0"/>
    <n v="1.76"/>
    <n v="0.32"/>
    <n v="0"/>
    <n v="232"/>
    <n v="42.08"/>
    <n v="276.16000000000003"/>
    <n v="2025"/>
    <n v="8"/>
    <n v="2025"/>
    <n v="5"/>
    <s v="05"/>
    <x v="19"/>
    <x v="19"/>
    <n v="-5226.16"/>
  </r>
  <r>
    <d v="2025-08-28T00:00:00"/>
    <s v="OPT-NIFTY-28-Aug-2025-24500-P-E-I"/>
    <s v="NSE"/>
    <x v="1"/>
    <n v="600"/>
    <n v="0"/>
    <n v="9.6"/>
    <n v="5760"/>
    <s v="#202508283700018912"/>
    <n v="0"/>
    <n v="2.0499999999999998"/>
    <n v="0"/>
    <n v="0"/>
    <n v="232"/>
    <n v="42.12"/>
    <n v="276.17"/>
    <n v="2025"/>
    <n v="8"/>
    <n v="2025"/>
    <n v="5"/>
    <s v="05"/>
    <x v="19"/>
    <x v="19"/>
    <n v="-6036.17"/>
  </r>
  <r>
    <d v="2025-08-28T00:00:00"/>
    <s v="OPT-NIFTY-28-Aug-2025-24550-C-E-I"/>
    <s v="NSE"/>
    <x v="0"/>
    <n v="675"/>
    <n v="0"/>
    <n v="49.55"/>
    <n v="33446.25"/>
    <s v="#202508283700005256"/>
    <n v="33.450000000000003"/>
    <n v="11.88"/>
    <n v="0"/>
    <n v="0.03"/>
    <n v="261"/>
    <n v="49.14"/>
    <n v="355.5"/>
    <n v="2025"/>
    <n v="8"/>
    <n v="2025"/>
    <n v="5"/>
    <s v="05"/>
    <x v="19"/>
    <x v="19"/>
    <n v="33090.75"/>
  </r>
  <r>
    <d v="2025-08-28T00:00:00"/>
    <s v="OPT-NIFTY-28-Aug-2025-24550-C-E-I"/>
    <s v="NSE"/>
    <x v="1"/>
    <n v="675"/>
    <n v="0"/>
    <n v="40.07"/>
    <n v="27048.75"/>
    <s v="#202508283700004752"/>
    <n v="0"/>
    <n v="9.6199999999999992"/>
    <n v="0.68"/>
    <n v="0.01"/>
    <n v="261"/>
    <n v="48.76"/>
    <n v="320.07"/>
    <n v="2025"/>
    <n v="8"/>
    <n v="2025"/>
    <n v="5"/>
    <s v="05"/>
    <x v="19"/>
    <x v="19"/>
    <n v="-27368.82"/>
  </r>
  <r>
    <d v="2025-09-02T00:00:00"/>
    <s v="OPT-NIFTY-02-Sep-2025-24700-P-E-I"/>
    <s v="NSE"/>
    <x v="0"/>
    <n v="750"/>
    <n v="0"/>
    <n v="40.25"/>
    <n v="30187.5"/>
    <s v="#202509023700019020"/>
    <n v="30"/>
    <n v="10.73"/>
    <n v="0"/>
    <n v="0.03"/>
    <n v="290"/>
    <n v="54.14"/>
    <n v="384.9"/>
    <n v="2025"/>
    <n v="9"/>
    <n v="2025"/>
    <n v="6"/>
    <s v="06"/>
    <x v="20"/>
    <x v="20"/>
    <n v="29802.6"/>
  </r>
  <r>
    <d v="2025-09-02T00:00:00"/>
    <s v="OPT-NIFTY-02-Sep-2025-24700-P-E-I"/>
    <s v="NSE"/>
    <x v="1"/>
    <n v="375"/>
    <n v="0"/>
    <n v="24.25"/>
    <n v="9093.75"/>
    <s v="#202509023700018759"/>
    <n v="0"/>
    <n v="3.23"/>
    <n v="1"/>
    <n v="0.01"/>
    <n v="145"/>
    <n v="26.68"/>
    <n v="175.92"/>
    <n v="2025"/>
    <n v="9"/>
    <n v="2025"/>
    <n v="6"/>
    <s v="06"/>
    <x v="20"/>
    <x v="20"/>
    <n v="-9269.67"/>
  </r>
  <r>
    <d v="2025-09-02T00:00:00"/>
    <s v="OPT-NIFTY-02-Sep-2025-24700-P-E-I"/>
    <s v="NSE"/>
    <x v="1"/>
    <n v="375"/>
    <n v="0"/>
    <n v="24.5"/>
    <n v="9187.5"/>
    <s v="#202509023700018665"/>
    <n v="0"/>
    <n v="3.26"/>
    <n v="0"/>
    <n v="0.01"/>
    <n v="145"/>
    <n v="26.7"/>
    <n v="174.97"/>
    <n v="2025"/>
    <n v="9"/>
    <n v="2025"/>
    <n v="6"/>
    <s v="06"/>
    <x v="20"/>
    <x v="20"/>
    <n v="-9362.4699999999993"/>
  </r>
  <r>
    <d v="2025-09-03T00:00:00"/>
    <s v="OPT-NIFTY-09-Sep-2025-24650-P-E-I"/>
    <s v="NSE"/>
    <x v="0"/>
    <n v="375"/>
    <n v="0"/>
    <n v="94.8"/>
    <n v="35550"/>
    <s v="#202509033700015732"/>
    <n v="35.69"/>
    <n v="12.63"/>
    <n v="0"/>
    <n v="0.03"/>
    <n v="145"/>
    <n v="28.4"/>
    <n v="221.75"/>
    <n v="2025"/>
    <n v="9"/>
    <n v="2025"/>
    <n v="6"/>
    <s v="06"/>
    <x v="20"/>
    <x v="20"/>
    <n v="35328.25"/>
  </r>
  <r>
    <d v="2025-09-03T00:00:00"/>
    <s v="OPT-NIFTY-09-Sep-2025-24650-P-E-I"/>
    <s v="NSE"/>
    <x v="1"/>
    <n v="375"/>
    <n v="0"/>
    <n v="97.15"/>
    <n v="36431.25"/>
    <s v="#202509033700015506"/>
    <n v="0"/>
    <n v="12.95"/>
    <n v="3"/>
    <n v="0.04"/>
    <n v="145"/>
    <n v="28.44"/>
    <n v="189.43"/>
    <n v="2025"/>
    <n v="9"/>
    <n v="2025"/>
    <n v="6"/>
    <s v="06"/>
    <x v="20"/>
    <x v="20"/>
    <n v="-36620.68"/>
  </r>
  <r>
    <d v="2025-09-03T00:00:00"/>
    <s v="OPT-NIFTY-09-Sep-2025-24650-P-E-I"/>
    <s v="NSE"/>
    <x v="0"/>
    <n v="300"/>
    <n v="0"/>
    <n v="94.33"/>
    <n v="28297.5"/>
    <s v="#202509033700014916"/>
    <n v="28.3"/>
    <n v="10.06"/>
    <n v="0"/>
    <n v="0.02"/>
    <n v="116"/>
    <n v="22.68"/>
    <n v="177.06"/>
    <n v="2025"/>
    <n v="9"/>
    <n v="2025"/>
    <n v="6"/>
    <s v="06"/>
    <x v="20"/>
    <x v="20"/>
    <n v="28120.44"/>
  </r>
  <r>
    <d v="2025-09-03T00:00:00"/>
    <s v="OPT-NIFTY-09-Sep-2025-24650-P-E-I"/>
    <s v="NSE"/>
    <x v="1"/>
    <n v="300"/>
    <n v="0"/>
    <n v="97.45"/>
    <n v="29235"/>
    <s v="#202509033700014826"/>
    <n v="0"/>
    <n v="10.38"/>
    <n v="0"/>
    <n v="0.02"/>
    <n v="116"/>
    <n v="22.76"/>
    <n v="149.16"/>
    <n v="2025"/>
    <n v="9"/>
    <n v="2025"/>
    <n v="6"/>
    <s v="06"/>
    <x v="20"/>
    <x v="20"/>
    <n v="-29384.16"/>
  </r>
  <r>
    <d v="2025-09-03T00:00:00"/>
    <s v="OPT-NIFTY-09-Sep-2025-24650-P-E-I"/>
    <s v="NSE"/>
    <x v="0"/>
    <n v="300"/>
    <n v="0"/>
    <n v="94.6"/>
    <n v="28380"/>
    <s v="#202509033700014620"/>
    <n v="28.39"/>
    <n v="10.08"/>
    <n v="0"/>
    <n v="0.03"/>
    <n v="116"/>
    <n v="22.7"/>
    <n v="177.2"/>
    <n v="2025"/>
    <n v="9"/>
    <n v="2025"/>
    <n v="6"/>
    <s v="06"/>
    <x v="20"/>
    <x v="20"/>
    <n v="28202.799999999999"/>
  </r>
  <r>
    <d v="2025-09-03T00:00:00"/>
    <s v="OPT-NIFTY-09-Sep-2025-24650-P-E-I"/>
    <s v="NSE"/>
    <x v="1"/>
    <n v="300"/>
    <n v="0"/>
    <n v="97.55"/>
    <n v="29265"/>
    <s v="#202509033700014568"/>
    <n v="0"/>
    <n v="10.4"/>
    <n v="0"/>
    <n v="0.04"/>
    <n v="116"/>
    <n v="22.72"/>
    <n v="149.16"/>
    <n v="2025"/>
    <n v="9"/>
    <n v="2025"/>
    <n v="6"/>
    <s v="06"/>
    <x v="20"/>
    <x v="20"/>
    <n v="-29414.16"/>
  </r>
  <r>
    <d v="2025-09-03T00:00:00"/>
    <s v="OPT-NIFTY-09-Sep-2025-24650-P-E-I"/>
    <s v="NSE"/>
    <x v="0"/>
    <n v="150"/>
    <n v="0"/>
    <n v="97.58"/>
    <n v="14636.25"/>
    <s v="#202509033700014210"/>
    <n v="14.64"/>
    <n v="5.2"/>
    <n v="0"/>
    <n v="0.02"/>
    <n v="58"/>
    <n v="11.36"/>
    <n v="89.22"/>
    <n v="2025"/>
    <n v="9"/>
    <n v="2025"/>
    <n v="6"/>
    <s v="06"/>
    <x v="20"/>
    <x v="20"/>
    <n v="14547.03"/>
  </r>
  <r>
    <d v="2025-09-03T00:00:00"/>
    <s v="OPT-NIFTY-09-Sep-2025-24650-P-E-I"/>
    <s v="NSE"/>
    <x v="1"/>
    <n v="75"/>
    <n v="0"/>
    <n v="101.8"/>
    <n v="7635"/>
    <s v="#202509033700014113"/>
    <n v="0"/>
    <n v="2.71"/>
    <n v="0"/>
    <n v="0.01"/>
    <n v="29"/>
    <n v="5.7"/>
    <n v="37.42"/>
    <n v="2025"/>
    <n v="9"/>
    <n v="2025"/>
    <n v="6"/>
    <s v="06"/>
    <x v="20"/>
    <x v="20"/>
    <n v="-7672.42"/>
  </r>
  <r>
    <d v="2025-09-03T00:00:00"/>
    <s v="OPT-NIFTY-09-Sep-2025-24650-P-E-I"/>
    <s v="NSE"/>
    <x v="1"/>
    <n v="75"/>
    <n v="0"/>
    <n v="102.65"/>
    <n v="7698.75"/>
    <s v="#202509033700014091"/>
    <n v="0"/>
    <n v="2.74"/>
    <n v="0"/>
    <n v="0.01"/>
    <n v="29"/>
    <n v="5.72"/>
    <n v="37.47"/>
    <n v="2025"/>
    <n v="9"/>
    <n v="2025"/>
    <n v="6"/>
    <s v="06"/>
    <x v="20"/>
    <x v="20"/>
    <n v="-7736.22"/>
  </r>
  <r>
    <d v="2025-09-04T00:00:00"/>
    <s v="OPT-NIFTY-09-Sep-2025-24700-P-E-I"/>
    <s v="NSE"/>
    <x v="0"/>
    <n v="900"/>
    <n v="0"/>
    <n v="63.25"/>
    <n v="56925"/>
    <s v="#202509043700015846"/>
    <n v="56.93"/>
    <n v="20.23"/>
    <n v="0"/>
    <n v="0.05"/>
    <n v="348"/>
    <n v="66.28"/>
    <n v="491.49"/>
    <n v="2025"/>
    <n v="9"/>
    <n v="2025"/>
    <n v="6"/>
    <s v="06"/>
    <x v="20"/>
    <x v="20"/>
    <n v="56433.51"/>
  </r>
  <r>
    <d v="2025-09-04T00:00:00"/>
    <s v="OPT-NIFTY-09-Sep-2025-24700-P-E-I"/>
    <s v="NSE"/>
    <x v="1"/>
    <n v="450"/>
    <n v="0"/>
    <n v="49.05"/>
    <n v="22072.5"/>
    <s v="#202509043700014255"/>
    <n v="0"/>
    <n v="7.84"/>
    <n v="1.08"/>
    <n v="0.02"/>
    <n v="174"/>
    <n v="32.74"/>
    <n v="215.68"/>
    <n v="2025"/>
    <n v="9"/>
    <n v="2025"/>
    <n v="6"/>
    <s v="06"/>
    <x v="20"/>
    <x v="20"/>
    <n v="-22288.18"/>
  </r>
  <r>
    <d v="2025-09-04T00:00:00"/>
    <s v="OPT-NIFTY-09-Sep-2025-24700-P-E-I"/>
    <s v="NSE"/>
    <x v="1"/>
    <n v="450"/>
    <n v="0"/>
    <n v="52.35"/>
    <n v="23557.5"/>
    <s v="#202509043700014101"/>
    <n v="0"/>
    <n v="8.35"/>
    <n v="0"/>
    <n v="0.01"/>
    <n v="174"/>
    <n v="32.86"/>
    <n v="215.22"/>
    <n v="2025"/>
    <n v="9"/>
    <n v="2025"/>
    <n v="6"/>
    <s v="06"/>
    <x v="20"/>
    <x v="20"/>
    <n v="-23772.720000000001"/>
  </r>
  <r>
    <d v="2025-09-04T00:00:00"/>
    <s v="OPT-NIFTY-09-Sep-2025-24650-P-E-I"/>
    <s v="NSE"/>
    <x v="0"/>
    <n v="750"/>
    <n v="0"/>
    <n v="39.950000000000003"/>
    <n v="29962.5"/>
    <s v="#202509043700011561"/>
    <n v="30.08"/>
    <n v="10.64"/>
    <n v="0"/>
    <n v="0.03"/>
    <n v="290"/>
    <n v="54.14"/>
    <n v="384.89"/>
    <n v="2025"/>
    <n v="9"/>
    <n v="2025"/>
    <n v="6"/>
    <s v="06"/>
    <x v="20"/>
    <x v="20"/>
    <n v="29577.61"/>
  </r>
  <r>
    <d v="2025-09-04T00:00:00"/>
    <s v="OPT-NIFTY-09-Sep-2025-24650-P-E-I"/>
    <s v="NSE"/>
    <x v="1"/>
    <n v="375"/>
    <n v="0"/>
    <n v="40.450000000000003"/>
    <n v="15168.75"/>
    <s v="#202509043700011524"/>
    <n v="0"/>
    <n v="5.39"/>
    <n v="0.92"/>
    <n v="0.01"/>
    <n v="145"/>
    <n v="27.08"/>
    <n v="178.4"/>
    <n v="2025"/>
    <n v="9"/>
    <n v="2025"/>
    <n v="6"/>
    <s v="06"/>
    <x v="20"/>
    <x v="20"/>
    <n v="-15347.15"/>
  </r>
  <r>
    <d v="2025-09-04T00:00:00"/>
    <s v="OPT-NIFTY-09-Sep-2025-24650-P-E-I"/>
    <s v="NSE"/>
    <x v="1"/>
    <n v="225"/>
    <n v="0"/>
    <n v="41.55"/>
    <n v="9348.75"/>
    <s v="#202509043700011379"/>
    <n v="0"/>
    <n v="3.32"/>
    <n v="0"/>
    <n v="0.01"/>
    <n v="87"/>
    <n v="16.260000000000002"/>
    <n v="106.59"/>
    <n v="2025"/>
    <n v="9"/>
    <n v="2025"/>
    <n v="6"/>
    <s v="06"/>
    <x v="20"/>
    <x v="20"/>
    <n v="-9455.34"/>
  </r>
  <r>
    <d v="2025-09-04T00:00:00"/>
    <s v="OPT-NIFTY-09-Sep-2025-24650-P-E-I"/>
    <s v="NSE"/>
    <x v="1"/>
    <n v="150"/>
    <n v="0"/>
    <n v="41"/>
    <n v="6150"/>
    <s v="#202509043700011274"/>
    <n v="0"/>
    <n v="2.19"/>
    <n v="0"/>
    <n v="0.01"/>
    <n v="58"/>
    <n v="10.84"/>
    <n v="71.040000000000006"/>
    <n v="2025"/>
    <n v="9"/>
    <n v="2025"/>
    <n v="6"/>
    <s v="06"/>
    <x v="20"/>
    <x v="20"/>
    <n v="-6221.04"/>
  </r>
  <r>
    <d v="2025-09-05T00:00:00"/>
    <s v="OPT-NIFTY-09-Sep-2025-24700-C-E-I"/>
    <s v="NSE"/>
    <x v="0"/>
    <n v="150"/>
    <n v="0"/>
    <n v="139.25"/>
    <n v="20887.5"/>
    <s v="#202509053700018058"/>
    <n v="20.89"/>
    <n v="7.42"/>
    <n v="0"/>
    <n v="0.02"/>
    <n v="58"/>
    <n v="11.78"/>
    <n v="98.11"/>
    <n v="2025"/>
    <n v="9"/>
    <n v="2025"/>
    <n v="6"/>
    <s v="06"/>
    <x v="20"/>
    <x v="20"/>
    <n v="20789.39"/>
  </r>
  <r>
    <d v="2025-09-05T00:00:00"/>
    <s v="OPT-NIFTY-09-Sep-2025-24700-C-E-I"/>
    <s v="NSE"/>
    <x v="1"/>
    <n v="150"/>
    <n v="0"/>
    <n v="132.19999999999999"/>
    <n v="19830"/>
    <s v="#202509053700017968"/>
    <n v="0"/>
    <n v="7.04"/>
    <n v="0.59"/>
    <n v="0.02"/>
    <n v="58"/>
    <n v="11.72"/>
    <n v="77.37"/>
    <n v="2025"/>
    <n v="9"/>
    <n v="2025"/>
    <n v="6"/>
    <s v="06"/>
    <x v="20"/>
    <x v="20"/>
    <n v="-19907.37"/>
  </r>
  <r>
    <d v="2025-09-05T00:00:00"/>
    <s v="OPT-NIFTY-09-Sep-2025-24650-P-E-I"/>
    <s v="NSE"/>
    <x v="0"/>
    <n v="975"/>
    <n v="0"/>
    <n v="69.45"/>
    <n v="67713.75"/>
    <s v="#202509053700011778"/>
    <n v="68.12"/>
    <n v="24.05"/>
    <n v="0"/>
    <n v="7.0000000000000007E-2"/>
    <n v="377"/>
    <n v="72.2"/>
    <n v="541.44000000000005"/>
    <n v="2025"/>
    <n v="9"/>
    <n v="2025"/>
    <n v="6"/>
    <s v="06"/>
    <x v="20"/>
    <x v="20"/>
    <n v="67172.31"/>
  </r>
  <r>
    <d v="2025-09-05T00:00:00"/>
    <s v="OPT-NIFTY-09-Sep-2025-24650-P-E-I"/>
    <s v="NSE"/>
    <x v="1"/>
    <n v="225"/>
    <n v="0"/>
    <n v="60.9"/>
    <n v="13702.5"/>
    <s v="#202509053700011699"/>
    <n v="0"/>
    <n v="4.87"/>
    <n v="0"/>
    <n v="0.01"/>
    <n v="87"/>
    <n v="16.54"/>
    <n v="108.42"/>
    <n v="2025"/>
    <n v="9"/>
    <n v="2025"/>
    <n v="6"/>
    <s v="06"/>
    <x v="20"/>
    <x v="20"/>
    <n v="-13810.92"/>
  </r>
  <r>
    <d v="2025-09-05T00:00:00"/>
    <s v="OPT-NIFTY-09-Sep-2025-24650-P-E-I"/>
    <s v="NSE"/>
    <x v="1"/>
    <n v="300"/>
    <n v="0"/>
    <n v="63.8"/>
    <n v="19140"/>
    <s v="#202509053700011568"/>
    <n v="0"/>
    <n v="6.8"/>
    <n v="0"/>
    <n v="0"/>
    <n v="116"/>
    <n v="22.08"/>
    <n v="144.88"/>
    <n v="2025"/>
    <n v="9"/>
    <n v="2025"/>
    <n v="6"/>
    <s v="06"/>
    <x v="20"/>
    <x v="20"/>
    <n v="-19284.88"/>
  </r>
  <r>
    <d v="2025-09-05T00:00:00"/>
    <s v="OPT-NIFTY-09-Sep-2025-24650-P-E-I"/>
    <s v="NSE"/>
    <x v="1"/>
    <n v="450"/>
    <n v="0"/>
    <n v="68.3"/>
    <n v="30735"/>
    <s v="#202509053700010806"/>
    <n v="0"/>
    <n v="10.92"/>
    <n v="2.41"/>
    <n v="0.04"/>
    <n v="174"/>
    <n v="33.28"/>
    <n v="220.65"/>
    <n v="2025"/>
    <n v="9"/>
    <n v="2025"/>
    <n v="6"/>
    <s v="06"/>
    <x v="20"/>
    <x v="20"/>
    <n v="-30955.65"/>
  </r>
  <r>
    <d v="2025-09-08T00:00:00"/>
    <s v="OPT-NIFTY-09-Sep-2025-24750-P-E-I"/>
    <s v="NSE"/>
    <x v="0"/>
    <n v="975"/>
    <n v="0"/>
    <n v="18.25"/>
    <n v="17793.75"/>
    <s v="#202509083700033845"/>
    <n v="17.809999999999999"/>
    <n v="6.33"/>
    <n v="0"/>
    <n v="0.02"/>
    <n v="377"/>
    <n v="69.02"/>
    <n v="470.18"/>
    <n v="2025"/>
    <n v="9"/>
    <n v="2025"/>
    <n v="6"/>
    <s v="06"/>
    <x v="20"/>
    <x v="20"/>
    <n v="17323.57"/>
  </r>
  <r>
    <d v="2025-09-08T00:00:00"/>
    <s v="OPT-NIFTY-09-Sep-2025-24750-P-E-I"/>
    <s v="NSE"/>
    <x v="0"/>
    <n v="75"/>
    <n v="0"/>
    <n v="21.95"/>
    <n v="1646.25"/>
    <s v="#202509083700029705"/>
    <n v="1.65"/>
    <n v="0.57999999999999996"/>
    <n v="0"/>
    <n v="0"/>
    <n v="29"/>
    <n v="5.32"/>
    <n v="36.549999999999997"/>
    <n v="2025"/>
    <n v="9"/>
    <n v="2025"/>
    <n v="6"/>
    <s v="06"/>
    <x v="20"/>
    <x v="20"/>
    <n v="1609.7"/>
  </r>
  <r>
    <d v="2025-09-08T00:00:00"/>
    <s v="OPT-NIFTY-09-Sep-2025-24750-P-E-I"/>
    <s v="NSE"/>
    <x v="0"/>
    <n v="150"/>
    <n v="0"/>
    <n v="20.95"/>
    <n v="3142.5"/>
    <s v="#202509083700029191"/>
    <n v="3.14"/>
    <n v="1.1200000000000001"/>
    <n v="0"/>
    <n v="0"/>
    <n v="58"/>
    <n v="10.64"/>
    <n v="72.900000000000006"/>
    <n v="2025"/>
    <n v="9"/>
    <n v="2025"/>
    <n v="6"/>
    <s v="06"/>
    <x v="20"/>
    <x v="20"/>
    <n v="3069.6"/>
  </r>
  <r>
    <d v="2025-09-08T00:00:00"/>
    <s v="OPT-NIFTY-09-Sep-2025-24750-P-E-I"/>
    <s v="NSE"/>
    <x v="0"/>
    <n v="150"/>
    <n v="0"/>
    <n v="19.95"/>
    <n v="2992.5"/>
    <s v="#202509083700029135"/>
    <n v="2.99"/>
    <n v="1.06"/>
    <n v="0"/>
    <n v="0"/>
    <n v="58"/>
    <n v="10.64"/>
    <n v="72.69"/>
    <n v="2025"/>
    <n v="9"/>
    <n v="2025"/>
    <n v="6"/>
    <s v="06"/>
    <x v="20"/>
    <x v="20"/>
    <n v="2919.81"/>
  </r>
  <r>
    <d v="2025-09-08T00:00:00"/>
    <s v="OPT-NIFTY-09-Sep-2025-24750-P-E-I"/>
    <s v="NSE"/>
    <x v="1"/>
    <n v="450"/>
    <n v="0"/>
    <n v="30.4"/>
    <n v="13680"/>
    <s v="#202509083700016674"/>
    <n v="0"/>
    <n v="4.8600000000000003"/>
    <n v="0"/>
    <n v="0.01"/>
    <n v="174"/>
    <n v="32.200000000000003"/>
    <n v="211.07"/>
    <n v="2025"/>
    <n v="9"/>
    <n v="2025"/>
    <n v="6"/>
    <s v="06"/>
    <x v="20"/>
    <x v="20"/>
    <n v="-13891.07"/>
  </r>
  <r>
    <d v="2025-09-08T00:00:00"/>
    <s v="OPT-NIFTY-09-Sep-2025-24750-P-E-I"/>
    <s v="NSE"/>
    <x v="1"/>
    <n v="450"/>
    <n v="0"/>
    <n v="31.9"/>
    <n v="14355"/>
    <s v="#202509083700016156"/>
    <n v="0"/>
    <n v="5.0999999999999996"/>
    <n v="2"/>
    <n v="0.01"/>
    <n v="174"/>
    <n v="32.24"/>
    <n v="213.35"/>
    <n v="2025"/>
    <n v="9"/>
    <n v="2025"/>
    <n v="6"/>
    <s v="06"/>
    <x v="20"/>
    <x v="20"/>
    <n v="-14568.35"/>
  </r>
  <r>
    <d v="2025-09-08T00:00:00"/>
    <s v="OPT-NIFTY-09-Sep-2025-24750-P-E-I"/>
    <s v="NSE"/>
    <x v="1"/>
    <n v="450"/>
    <n v="0"/>
    <n v="41.05"/>
    <n v="18472.5"/>
    <s v="#202509083700014695"/>
    <n v="0"/>
    <n v="6.56"/>
    <n v="0"/>
    <n v="0.02"/>
    <n v="174"/>
    <n v="32.5"/>
    <n v="213.08"/>
    <n v="2025"/>
    <n v="9"/>
    <n v="2025"/>
    <n v="6"/>
    <s v="06"/>
    <x v="20"/>
    <x v="20"/>
    <n v="-18685.580000000002"/>
  </r>
  <r>
    <d v="2025-09-08T00:00:00"/>
    <s v="OPT-NIFTY-09-Sep-2025-24750-P-E-I"/>
    <s v="NSE"/>
    <x v="0"/>
    <n v="900"/>
    <n v="0"/>
    <n v="37.950000000000003"/>
    <n v="34155"/>
    <s v="#202509083700011120"/>
    <n v="34.42"/>
    <n v="12.14"/>
    <n v="0"/>
    <n v="0.03"/>
    <n v="348"/>
    <n v="64.84"/>
    <n v="459.43"/>
    <n v="2025"/>
    <n v="9"/>
    <n v="2025"/>
    <n v="6"/>
    <s v="06"/>
    <x v="20"/>
    <x v="20"/>
    <n v="33695.57"/>
  </r>
  <r>
    <d v="2025-09-08T00:00:00"/>
    <s v="OPT-NIFTY-09-Sep-2025-24750-P-E-I"/>
    <s v="NSE"/>
    <x v="1"/>
    <n v="450"/>
    <n v="0"/>
    <n v="34.950000000000003"/>
    <n v="15727.5"/>
    <s v="#202509083700010728"/>
    <n v="0"/>
    <n v="5.58"/>
    <n v="0"/>
    <n v="0.02"/>
    <n v="174"/>
    <n v="32.32"/>
    <n v="211.92"/>
    <n v="2025"/>
    <n v="9"/>
    <n v="2025"/>
    <n v="6"/>
    <s v="06"/>
    <x v="20"/>
    <x v="20"/>
    <n v="-15939.42"/>
  </r>
  <r>
    <d v="2025-09-08T00:00:00"/>
    <s v="OPT-NIFTY-09-Sep-2025-24750-P-E-I"/>
    <s v="NSE"/>
    <x v="1"/>
    <n v="450"/>
    <n v="0"/>
    <n v="38.65"/>
    <n v="17392.5"/>
    <s v="#202509083700010231"/>
    <n v="0"/>
    <n v="6.18"/>
    <n v="0"/>
    <n v="0.01"/>
    <n v="174"/>
    <n v="32.42"/>
    <n v="212.61"/>
    <n v="2025"/>
    <n v="9"/>
    <n v="2025"/>
    <n v="6"/>
    <s v="06"/>
    <x v="20"/>
    <x v="20"/>
    <n v="-17605.11"/>
  </r>
  <r>
    <d v="2025-09-09T00:00:00"/>
    <s v="OPT-NIFTY-09-Sep-2025-24750-P-E-I"/>
    <s v="NSE"/>
    <x v="0"/>
    <n v="900"/>
    <n v="0"/>
    <n v="3.45"/>
    <n v="3105"/>
    <s v="#202509093700032000"/>
    <n v="3.11"/>
    <n v="1.1000000000000001"/>
    <n v="0"/>
    <n v="0"/>
    <n v="348"/>
    <n v="62.84"/>
    <n v="415.05"/>
    <n v="2025"/>
    <n v="9"/>
    <n v="2025"/>
    <n v="6"/>
    <s v="06"/>
    <x v="20"/>
    <x v="20"/>
    <n v="2689.95"/>
  </r>
  <r>
    <d v="2025-09-09T00:00:00"/>
    <s v="OPT-NIFTY-09-Sep-2025-24750-P-E-I"/>
    <s v="NSE"/>
    <x v="0"/>
    <n v="1500"/>
    <n v="0"/>
    <n v="3.65"/>
    <n v="5475"/>
    <s v="#202509093700031951"/>
    <n v="5.48"/>
    <n v="1.95"/>
    <n v="0"/>
    <n v="0.01"/>
    <n v="580"/>
    <n v="104.76"/>
    <n v="692.2"/>
    <n v="2025"/>
    <n v="9"/>
    <n v="2025"/>
    <n v="6"/>
    <s v="06"/>
    <x v="20"/>
    <x v="20"/>
    <n v="4782.8"/>
  </r>
  <r>
    <d v="2025-09-09T00:00:00"/>
    <s v="OPT-NIFTY-09-Sep-2025-24750-P-E-I"/>
    <s v="NSE"/>
    <x v="0"/>
    <n v="1500"/>
    <n v="0"/>
    <n v="3.3"/>
    <n v="4950"/>
    <s v="#202509093700031817"/>
    <n v="4.95"/>
    <n v="1.76"/>
    <n v="0"/>
    <n v="0"/>
    <n v="580"/>
    <n v="104.72"/>
    <n v="691.43"/>
    <n v="2025"/>
    <n v="9"/>
    <n v="2025"/>
    <n v="6"/>
    <s v="06"/>
    <x v="20"/>
    <x v="20"/>
    <n v="4258.57"/>
  </r>
  <r>
    <d v="2025-09-09T00:00:00"/>
    <s v="OPT-NIFTY-09-Sep-2025-24750-P-E-I"/>
    <s v="NSE"/>
    <x v="0"/>
    <n v="1500"/>
    <n v="0"/>
    <n v="3.4"/>
    <n v="5100"/>
    <s v="#202509093700031713"/>
    <n v="5.0999999999999996"/>
    <n v="1.81"/>
    <n v="0"/>
    <n v="0"/>
    <n v="580"/>
    <n v="104.74"/>
    <n v="691.65"/>
    <n v="2025"/>
    <n v="9"/>
    <n v="2025"/>
    <n v="6"/>
    <s v="06"/>
    <x v="20"/>
    <x v="20"/>
    <n v="4408.3500000000004"/>
  </r>
  <r>
    <d v="2025-09-09T00:00:00"/>
    <s v="OPT-NIFTY-09-Sep-2025-24750-P-E-I"/>
    <s v="NSE"/>
    <x v="1"/>
    <n v="1350"/>
    <n v="0"/>
    <n v="9.25"/>
    <n v="12487.5"/>
    <s v="#202509093700024548"/>
    <n v="0"/>
    <n v="4.4400000000000004"/>
    <n v="0"/>
    <n v="0.01"/>
    <n v="522"/>
    <n v="94.76"/>
    <n v="621.21"/>
    <n v="2025"/>
    <n v="9"/>
    <n v="2025"/>
    <n v="6"/>
    <s v="06"/>
    <x v="20"/>
    <x v="20"/>
    <n v="-13108.71"/>
  </r>
  <r>
    <d v="2025-09-09T00:00:00"/>
    <s v="OPT-NIFTY-09-Sep-2025-24750-P-E-I"/>
    <s v="NSE"/>
    <x v="1"/>
    <n v="1350"/>
    <n v="0"/>
    <n v="10.7"/>
    <n v="14445"/>
    <s v="#202509093700022732"/>
    <n v="0"/>
    <n v="5.14"/>
    <n v="0"/>
    <n v="0.01"/>
    <n v="522"/>
    <n v="94.88"/>
    <n v="622.03"/>
    <n v="2025"/>
    <n v="9"/>
    <n v="2025"/>
    <n v="6"/>
    <s v="06"/>
    <x v="20"/>
    <x v="20"/>
    <n v="-15067.03"/>
  </r>
  <r>
    <d v="2025-09-09T00:00:00"/>
    <s v="OPT-NIFTY-09-Sep-2025-24750-P-E-I"/>
    <s v="NSE"/>
    <x v="1"/>
    <n v="1350"/>
    <n v="0"/>
    <n v="14.25"/>
    <n v="19237.5"/>
    <s v="#202509093700021839"/>
    <n v="0"/>
    <n v="6.84"/>
    <n v="2.2200000000000002"/>
    <n v="0.02"/>
    <n v="522"/>
    <n v="95.2"/>
    <n v="626.28"/>
    <n v="2025"/>
    <n v="9"/>
    <n v="2025"/>
    <n v="6"/>
    <s v="06"/>
    <x v="20"/>
    <x v="20"/>
    <n v="-19863.78"/>
  </r>
  <r>
    <d v="2025-09-09T00:00:00"/>
    <s v="OPT-NIFTY-09-Sep-2025-24750-P-E-I"/>
    <s v="NSE"/>
    <x v="1"/>
    <n v="1350"/>
    <n v="0"/>
    <n v="16.3"/>
    <n v="22005"/>
    <s v="#202509093700021666"/>
    <n v="0"/>
    <n v="7.81"/>
    <n v="0"/>
    <n v="0.02"/>
    <n v="522"/>
    <n v="95.36"/>
    <n v="625.19000000000005"/>
    <n v="2025"/>
    <n v="9"/>
    <n v="2025"/>
    <n v="6"/>
    <s v="06"/>
    <x v="20"/>
    <x v="20"/>
    <n v="-22630.19"/>
  </r>
  <r>
    <d v="2025-09-09T00:00:00"/>
    <s v="OPT-NIFTY-09-Sep-2025-24850-P-E-I"/>
    <s v="NSE"/>
    <x v="0"/>
    <n v="450"/>
    <n v="0"/>
    <n v="57.95"/>
    <n v="26077.5"/>
    <s v="#202509093700011440"/>
    <n v="26.09"/>
    <n v="9.26"/>
    <n v="0"/>
    <n v="0.02"/>
    <n v="174"/>
    <n v="33"/>
    <n v="242.37"/>
    <n v="2025"/>
    <n v="9"/>
    <n v="2025"/>
    <n v="6"/>
    <s v="06"/>
    <x v="20"/>
    <x v="20"/>
    <n v="25835.13"/>
  </r>
  <r>
    <d v="2025-09-09T00:00:00"/>
    <s v="OPT-NIFTY-09-Sep-2025-24850-P-E-I"/>
    <s v="NSE"/>
    <x v="1"/>
    <n v="450"/>
    <n v="0"/>
    <n v="53.25"/>
    <n v="23962.5"/>
    <s v="#202509093700011365"/>
    <n v="0"/>
    <n v="8.51"/>
    <n v="0.72"/>
    <n v="0.02"/>
    <n v="174"/>
    <n v="32.86"/>
    <n v="216.11"/>
    <n v="2025"/>
    <n v="9"/>
    <n v="2025"/>
    <n v="6"/>
    <s v="06"/>
    <x v="20"/>
    <x v="20"/>
    <n v="-24178.61"/>
  </r>
  <r>
    <d v="2025-09-09T00:00:00"/>
    <s v="OPT-NIFTY-09-Sep-2025-24850-C-E-I"/>
    <s v="NSE"/>
    <x v="0"/>
    <n v="750"/>
    <n v="0"/>
    <n v="52.95"/>
    <n v="39712.5"/>
    <s v="#202509093700006739"/>
    <n v="39.28"/>
    <n v="14.1"/>
    <n v="0"/>
    <n v="0.02"/>
    <n v="290"/>
    <n v="54.76"/>
    <n v="398.16"/>
    <n v="2025"/>
    <n v="9"/>
    <n v="2025"/>
    <n v="6"/>
    <s v="06"/>
    <x v="20"/>
    <x v="20"/>
    <n v="39314.339999999997"/>
  </r>
  <r>
    <d v="2025-09-09T00:00:00"/>
    <s v="OPT-NIFTY-09-Sep-2025-24850-C-E-I"/>
    <s v="NSE"/>
    <x v="1"/>
    <n v="750"/>
    <n v="0"/>
    <n v="47.05"/>
    <n v="35287.5"/>
    <s v="#202509093700005552"/>
    <n v="0"/>
    <n v="12.54"/>
    <n v="1.06"/>
    <n v="0.04"/>
    <n v="290"/>
    <n v="54.48"/>
    <n v="358.12"/>
    <n v="2025"/>
    <n v="9"/>
    <n v="2025"/>
    <n v="6"/>
    <s v="06"/>
    <x v="20"/>
    <x v="20"/>
    <n v="-35645.620000000003"/>
  </r>
  <r>
    <d v="2025-09-10T00:00:00"/>
    <s v="OPT-NIFTY-16-Sep-2025-24950-P-E-I"/>
    <s v="NSE"/>
    <x v="0"/>
    <n v="225"/>
    <n v="0"/>
    <n v="87.8"/>
    <n v="19755"/>
    <s v="#202509103700014903"/>
    <n v="19.760000000000002"/>
    <n v="7.02"/>
    <n v="0"/>
    <n v="0.02"/>
    <n v="87"/>
    <n v="16.920000000000002"/>
    <n v="130.72"/>
    <n v="2025"/>
    <n v="9"/>
    <n v="2025"/>
    <n v="6"/>
    <s v="06"/>
    <x v="20"/>
    <x v="20"/>
    <n v="19624.28"/>
  </r>
  <r>
    <d v="2025-09-10T00:00:00"/>
    <s v="OPT-NIFTY-16-Sep-2025-24950-P-E-I"/>
    <s v="NSE"/>
    <x v="1"/>
    <n v="225"/>
    <n v="0"/>
    <n v="90.8"/>
    <n v="20430"/>
    <s v="#202509103700014737"/>
    <n v="0"/>
    <n v="7.26"/>
    <n v="0.61"/>
    <n v="0.02"/>
    <n v="87"/>
    <n v="16.98"/>
    <n v="111.87"/>
    <n v="2025"/>
    <n v="9"/>
    <n v="2025"/>
    <n v="6"/>
    <s v="06"/>
    <x v="20"/>
    <x v="20"/>
    <n v="-20541.87"/>
  </r>
  <r>
    <d v="2025-09-10T00:00:00"/>
    <s v="OPT-NIFTY-16-Sep-2025-25000-C-E-I"/>
    <s v="NSE"/>
    <x v="0"/>
    <n v="150"/>
    <n v="0"/>
    <n v="119"/>
    <n v="17850"/>
    <s v="#202509103700013709"/>
    <n v="17.850000000000001"/>
    <n v="6.34"/>
    <n v="0"/>
    <n v="0.02"/>
    <n v="58"/>
    <n v="11.58"/>
    <n v="93.79"/>
    <n v="2025"/>
    <n v="9"/>
    <n v="2025"/>
    <n v="6"/>
    <s v="06"/>
    <x v="20"/>
    <x v="20"/>
    <n v="17756.21"/>
  </r>
  <r>
    <d v="2025-09-10T00:00:00"/>
    <s v="OPT-NIFTY-16-Sep-2025-25000-C-E-I"/>
    <s v="NSE"/>
    <x v="1"/>
    <n v="150"/>
    <n v="0"/>
    <n v="121.9"/>
    <n v="18285"/>
    <s v="#202509103700013511"/>
    <n v="0"/>
    <n v="6.5"/>
    <n v="1.39"/>
    <n v="0.02"/>
    <n v="58"/>
    <n v="11.62"/>
    <n v="77.53"/>
    <n v="2025"/>
    <n v="9"/>
    <n v="2025"/>
    <n v="6"/>
    <s v="06"/>
    <x v="20"/>
    <x v="20"/>
    <n v="-18362.53"/>
  </r>
  <r>
    <d v="2025-09-10T00:00:00"/>
    <s v="OPT-NIFTY-16-Sep-2025-25000-C-E-I"/>
    <s v="NSE"/>
    <x v="0"/>
    <n v="150"/>
    <n v="0"/>
    <n v="118.7"/>
    <n v="17805"/>
    <s v="#202509103700013364"/>
    <n v="17.399999999999999"/>
    <n v="6.33"/>
    <n v="0"/>
    <n v="0.02"/>
    <n v="58"/>
    <n v="11.58"/>
    <n v="93.33"/>
    <n v="2025"/>
    <n v="9"/>
    <n v="2025"/>
    <n v="6"/>
    <s v="06"/>
    <x v="20"/>
    <x v="20"/>
    <n v="17711.669999999998"/>
  </r>
  <r>
    <d v="2025-09-10T00:00:00"/>
    <s v="OPT-NIFTY-16-Sep-2025-25000-C-E-I"/>
    <s v="NSE"/>
    <x v="1"/>
    <n v="75"/>
    <n v="0"/>
    <n v="125.05"/>
    <n v="9378.75"/>
    <s v="#202509103700012986"/>
    <n v="0"/>
    <n v="3.33"/>
    <n v="0"/>
    <n v="0.01"/>
    <n v="29"/>
    <n v="5.82"/>
    <n v="38.159999999999997"/>
    <n v="2025"/>
    <n v="9"/>
    <n v="2025"/>
    <n v="6"/>
    <s v="06"/>
    <x v="20"/>
    <x v="20"/>
    <n v="-9416.91"/>
  </r>
  <r>
    <d v="2025-09-10T00:00:00"/>
    <s v="OPT-NIFTY-16-Sep-2025-25000-C-E-I"/>
    <s v="NSE"/>
    <x v="1"/>
    <n v="75"/>
    <n v="0"/>
    <n v="128.5"/>
    <n v="9637.5"/>
    <s v="#202509103700012844"/>
    <n v="0"/>
    <n v="3.42"/>
    <n v="0"/>
    <n v="0.01"/>
    <n v="29"/>
    <n v="5.84"/>
    <n v="38.270000000000003"/>
    <n v="2025"/>
    <n v="9"/>
    <n v="2025"/>
    <n v="6"/>
    <s v="06"/>
    <x v="20"/>
    <x v="20"/>
    <n v="-9675.77"/>
  </r>
  <r>
    <d v="2025-11-04T00:00:00"/>
    <s v="OPT-NIFTY-04-Nov-2025-25750-P-E-I"/>
    <s v="NSE"/>
    <x v="0"/>
    <n v="450"/>
    <n v="0"/>
    <n v="78.900000000000006"/>
    <n v="35505"/>
    <s v="#202511043700006125"/>
    <n v="36"/>
    <n v="12.61"/>
    <n v="0"/>
    <n v="0.04"/>
    <n v="174"/>
    <n v="33.6"/>
    <n v="256.25"/>
    <n v="2025"/>
    <n v="11"/>
    <n v="2025"/>
    <n v="8"/>
    <s v="08"/>
    <x v="21"/>
    <x v="21"/>
    <n v="35248.75"/>
  </r>
  <r>
    <d v="2025-11-04T00:00:00"/>
    <s v="OPT-NIFTY-04-Nov-2025-25750-P-E-I"/>
    <s v="NSE"/>
    <x v="1"/>
    <n v="450"/>
    <n v="0"/>
    <n v="71.25"/>
    <n v="32062.5"/>
    <s v="#202511043700005997"/>
    <n v="0"/>
    <n v="11.4"/>
    <n v="1"/>
    <n v="0.04"/>
    <n v="174"/>
    <n v="33.36"/>
    <n v="219.8"/>
    <n v="2025"/>
    <n v="11"/>
    <n v="2025"/>
    <n v="8"/>
    <s v="08"/>
    <x v="21"/>
    <x v="21"/>
    <n v="-32282.3"/>
  </r>
  <r>
    <d v="2025-11-10T00:00:00"/>
    <s v="OPT-NIFTY-11-Nov-2025-25600-C-E-I"/>
    <s v="NSE"/>
    <x v="0"/>
    <n v="75"/>
    <n v="0"/>
    <n v="84.85"/>
    <n v="6363.75"/>
    <s v="#202511103700016322"/>
    <n v="6.36"/>
    <n v="2.2599999999999998"/>
    <n v="0"/>
    <n v="0.01"/>
    <n v="29"/>
    <n v="5.62"/>
    <n v="43.25"/>
    <n v="2025"/>
    <n v="11"/>
    <n v="2025"/>
    <n v="8"/>
    <s v="08"/>
    <x v="21"/>
    <x v="21"/>
    <n v="6320.5"/>
  </r>
  <r>
    <d v="2025-11-10T00:00:00"/>
    <s v="OPT-NIFTY-11-Nov-2025-25600-C-E-I"/>
    <s v="NSE"/>
    <x v="1"/>
    <n v="75"/>
    <n v="0"/>
    <n v="80.55"/>
    <n v="6041.25"/>
    <s v="#202511103700015958"/>
    <n v="0"/>
    <n v="2.15"/>
    <n v="0"/>
    <n v="0.01"/>
    <n v="29"/>
    <n v="5.6"/>
    <n v="36.76"/>
    <n v="2025"/>
    <n v="11"/>
    <n v="2025"/>
    <n v="8"/>
    <s v="08"/>
    <x v="21"/>
    <x v="21"/>
    <n v="-6078.01"/>
  </r>
  <r>
    <d v="2025-11-10T00:00:00"/>
    <s v="OPT-NIFTY-11-Nov-2025-25650-P-E-I"/>
    <s v="NSE"/>
    <x v="0"/>
    <n v="75"/>
    <n v="0"/>
    <n v="64.25"/>
    <n v="4818.75"/>
    <s v="#202511103700012959"/>
    <n v="4.6399999999999997"/>
    <n v="1.71"/>
    <n v="0"/>
    <n v="0"/>
    <n v="29"/>
    <n v="5.52"/>
    <n v="40.869999999999997"/>
    <n v="2025"/>
    <n v="11"/>
    <n v="2025"/>
    <n v="8"/>
    <s v="08"/>
    <x v="21"/>
    <x v="21"/>
    <n v="4777.88"/>
  </r>
  <r>
    <d v="2025-11-10T00:00:00"/>
    <s v="OPT-NIFTY-11-Nov-2025-25650-P-E-I"/>
    <s v="NSE"/>
    <x v="1"/>
    <n v="75"/>
    <n v="0"/>
    <n v="68.3"/>
    <n v="5122.5"/>
    <s v="#202511103700012854"/>
    <n v="0"/>
    <n v="1.82"/>
    <n v="0"/>
    <n v="0.01"/>
    <n v="29"/>
    <n v="5.54"/>
    <n v="36.369999999999997"/>
    <n v="2025"/>
    <n v="11"/>
    <n v="2025"/>
    <n v="8"/>
    <s v="08"/>
    <x v="21"/>
    <x v="21"/>
    <n v="-5158.87"/>
  </r>
  <r>
    <d v="2025-11-12T00:00:00"/>
    <s v="OPT-NIFTY-18-Nov-2025-25850-P-E-I"/>
    <s v="NSE"/>
    <x v="1"/>
    <n v="75"/>
    <n v="0"/>
    <n v="97.35"/>
    <n v="7301.25"/>
    <s v="#202511123700013669"/>
    <n v="0"/>
    <n v="2.59"/>
    <n v="0"/>
    <n v="0.01"/>
    <n v="29"/>
    <n v="5.68"/>
    <n v="37.28"/>
    <n v="2025"/>
    <n v="11"/>
    <n v="2025"/>
    <n v="8"/>
    <s v="08"/>
    <x v="21"/>
    <x v="21"/>
    <n v="-7338.53"/>
  </r>
  <r>
    <d v="2025-11-12T00:00:00"/>
    <s v="OPT-NIFTY-18-Nov-2025-25950-C-E-I"/>
    <s v="NSE"/>
    <x v="0"/>
    <n v="75"/>
    <n v="0"/>
    <n v="102.1"/>
    <n v="7657.5"/>
    <s v="#202511123700009214"/>
    <n v="8"/>
    <n v="2.72"/>
    <n v="0"/>
    <n v="0.01"/>
    <n v="29"/>
    <n v="5.72"/>
    <n v="45.45"/>
    <n v="2025"/>
    <n v="11"/>
    <n v="2025"/>
    <n v="8"/>
    <s v="08"/>
    <x v="21"/>
    <x v="21"/>
    <n v="7612.05"/>
  </r>
  <r>
    <d v="2025-11-12T00:00:00"/>
    <s v="OPT-NIFTY-18-Nov-2025-25950-C-E-I"/>
    <s v="NSE"/>
    <x v="1"/>
    <n v="75"/>
    <n v="0"/>
    <n v="113.35"/>
    <n v="8501.25"/>
    <s v="#202511123700007622"/>
    <n v="0"/>
    <n v="3.02"/>
    <n v="0"/>
    <n v="0.01"/>
    <n v="29"/>
    <n v="5.76"/>
    <n v="37.79"/>
    <n v="2025"/>
    <n v="11"/>
    <n v="2025"/>
    <n v="8"/>
    <s v="08"/>
    <x v="21"/>
    <x v="21"/>
    <n v="-8539.0400000000009"/>
  </r>
  <r>
    <d v="2025-11-13T00:00:00"/>
    <s v="OPT-NIFTY-18-Nov-2025-25850-P-E-I"/>
    <s v="NSE"/>
    <x v="0"/>
    <n v="75"/>
    <n v="0"/>
    <n v="119"/>
    <n v="8925"/>
    <s v="#202511132600000650"/>
    <n v="9"/>
    <n v="3.17"/>
    <n v="0"/>
    <n v="0.01"/>
    <n v="29"/>
    <n v="5.8"/>
    <n v="46.98"/>
    <n v="2025"/>
    <n v="11"/>
    <n v="2025"/>
    <n v="8"/>
    <s v="08"/>
    <x v="21"/>
    <x v="21"/>
    <n v="8878.02"/>
  </r>
  <r>
    <d v="2025-11-14T00:00:00"/>
    <s v="OPT-NIFTY-18-Nov-2025-25750-P-E-I"/>
    <s v="NSE"/>
    <x v="0"/>
    <n v="150"/>
    <n v="0"/>
    <n v="74.900000000000006"/>
    <n v="11235"/>
    <s v="#202511143700019554"/>
    <n v="11"/>
    <n v="4"/>
    <n v="0"/>
    <n v="0.02"/>
    <n v="58"/>
    <n v="11.16"/>
    <n v="84.18"/>
    <n v="2025"/>
    <n v="11"/>
    <n v="2025"/>
    <n v="8"/>
    <s v="08"/>
    <x v="21"/>
    <x v="21"/>
    <n v="11150.82"/>
  </r>
  <r>
    <d v="2025-11-14T00:00:00"/>
    <s v="OPT-NIFTY-18-Nov-2025-25750-P-E-I"/>
    <s v="NSE"/>
    <x v="1"/>
    <n v="75"/>
    <n v="0"/>
    <n v="62.95"/>
    <n v="4721.25"/>
    <s v="#202511143700018575"/>
    <n v="0"/>
    <n v="1.68"/>
    <n v="0"/>
    <n v="0"/>
    <n v="29"/>
    <n v="5.52"/>
    <n v="36.200000000000003"/>
    <n v="2025"/>
    <n v="11"/>
    <n v="2025"/>
    <n v="8"/>
    <s v="08"/>
    <x v="21"/>
    <x v="21"/>
    <n v="-4757.45"/>
  </r>
  <r>
    <d v="2025-11-14T00:00:00"/>
    <s v="OPT-NIFTY-18-Nov-2025-25750-P-E-I"/>
    <s v="NSE"/>
    <x v="1"/>
    <n v="75"/>
    <n v="0"/>
    <n v="76.349999999999994"/>
    <n v="5726.25"/>
    <s v="#202511143700018296"/>
    <n v="0"/>
    <n v="2.0299999999999998"/>
    <n v="0"/>
    <n v="0.01"/>
    <n v="29"/>
    <n v="5.58"/>
    <n v="36.619999999999997"/>
    <n v="2025"/>
    <n v="11"/>
    <n v="2025"/>
    <n v="8"/>
    <s v="08"/>
    <x v="21"/>
    <x v="21"/>
    <n v="-5762.87"/>
  </r>
  <r>
    <d v="2025-11-17T00:00:00"/>
    <s v="OPT-NIFTY-18-Nov-2025-26000-P-E-I"/>
    <s v="NSE"/>
    <x v="0"/>
    <n v="75"/>
    <n v="0"/>
    <n v="97.25"/>
    <n v="7293.75"/>
    <s v="#202511173700005651"/>
    <n v="7"/>
    <n v="2.59"/>
    <n v="0"/>
    <n v="0.01"/>
    <n v="29"/>
    <n v="5.68"/>
    <n v="44.28"/>
    <n v="2025"/>
    <n v="11"/>
    <n v="2025"/>
    <n v="8"/>
    <s v="08"/>
    <x v="21"/>
    <x v="21"/>
    <n v="7249.47"/>
  </r>
  <r>
    <d v="2025-11-17T00:00:00"/>
    <s v="OPT-NIFTY-18-Nov-2025-26000-P-E-I"/>
    <s v="NSE"/>
    <x v="1"/>
    <n v="75"/>
    <n v="0"/>
    <n v="87.1"/>
    <n v="6532.5"/>
    <s v="#202511173700004824"/>
    <n v="0"/>
    <n v="2.3199999999999998"/>
    <n v="0"/>
    <n v="0.01"/>
    <n v="29"/>
    <n v="5.64"/>
    <n v="36.97"/>
    <n v="2025"/>
    <n v="11"/>
    <n v="2025"/>
    <n v="8"/>
    <s v="08"/>
    <x v="21"/>
    <x v="21"/>
    <n v="-6569.47"/>
  </r>
  <r>
    <d v="2025-11-18T00:00:00"/>
    <s v="OPT-NIFTY-18-Nov-2025-26000-P-E-I"/>
    <s v="NSE"/>
    <x v="0"/>
    <n v="300"/>
    <n v="0"/>
    <n v="28.85"/>
    <n v="8655"/>
    <s v="#202511183700027198"/>
    <n v="8.66"/>
    <n v="3.08"/>
    <n v="0"/>
    <n v="0"/>
    <n v="116"/>
    <n v="21.44"/>
    <n v="149.18"/>
    <n v="2025"/>
    <n v="11"/>
    <n v="2025"/>
    <n v="8"/>
    <s v="08"/>
    <x v="21"/>
    <x v="21"/>
    <n v="8505.82"/>
  </r>
  <r>
    <d v="2025-11-18T00:00:00"/>
    <s v="OPT-NIFTY-18-Nov-2025-26000-P-E-I"/>
    <s v="NSE"/>
    <x v="0"/>
    <n v="75"/>
    <n v="0"/>
    <n v="45.25"/>
    <n v="3393.75"/>
    <s v="#202511183700026903"/>
    <n v="3.39"/>
    <n v="1.21"/>
    <n v="0"/>
    <n v="0"/>
    <n v="29"/>
    <n v="5.44"/>
    <n v="39.04"/>
    <n v="2025"/>
    <n v="11"/>
    <n v="2025"/>
    <n v="8"/>
    <s v="08"/>
    <x v="21"/>
    <x v="21"/>
    <n v="3354.71"/>
  </r>
  <r>
    <d v="2025-11-18T00:00:00"/>
    <s v="OPT-NIFTY-18-Nov-2025-26000-P-E-I"/>
    <s v="NSE"/>
    <x v="1"/>
    <n v="75"/>
    <n v="0"/>
    <n v="76.650000000000006"/>
    <n v="5748.75"/>
    <s v="#202511183700022527"/>
    <n v="0"/>
    <n v="2.04"/>
    <n v="0"/>
    <n v="0.01"/>
    <n v="29"/>
    <n v="5.58"/>
    <n v="36.630000000000003"/>
    <n v="2025"/>
    <n v="11"/>
    <n v="2025"/>
    <n v="8"/>
    <s v="08"/>
    <x v="21"/>
    <x v="21"/>
    <n v="-5785.38"/>
  </r>
  <r>
    <d v="2025-11-18T00:00:00"/>
    <s v="OPT-NIFTY-18-Nov-2025-26000-P-E-I"/>
    <s v="NSE"/>
    <x v="1"/>
    <n v="300"/>
    <n v="0"/>
    <n v="79.7"/>
    <n v="23910"/>
    <s v="#202511183700022281"/>
    <n v="0"/>
    <n v="8.49"/>
    <n v="0"/>
    <n v="0.03"/>
    <n v="116"/>
    <n v="22.4"/>
    <n v="146.91999999999999"/>
    <n v="2025"/>
    <n v="11"/>
    <n v="2025"/>
    <n v="8"/>
    <s v="08"/>
    <x v="21"/>
    <x v="21"/>
    <n v="-24056.92"/>
  </r>
  <r>
    <d v="2025-11-18T00:00:00"/>
    <s v="OPT-NIFTY-18-Nov-2025-26000-P-E-I"/>
    <s v="NSE"/>
    <x v="0"/>
    <n v="375"/>
    <n v="0"/>
    <n v="59.9"/>
    <n v="22462.5"/>
    <s v="#202511183700019883"/>
    <n v="22.46"/>
    <n v="7.99"/>
    <n v="0"/>
    <n v="0.01"/>
    <n v="145"/>
    <n v="27.52"/>
    <n v="202.98"/>
    <n v="2025"/>
    <n v="11"/>
    <n v="2025"/>
    <n v="8"/>
    <s v="08"/>
    <x v="21"/>
    <x v="21"/>
    <n v="22259.52"/>
  </r>
  <r>
    <d v="2025-11-18T00:00:00"/>
    <s v="OPT-NIFTY-18-Nov-2025-26000-P-E-I"/>
    <s v="NSE"/>
    <x v="1"/>
    <n v="375"/>
    <n v="0"/>
    <n v="52.25"/>
    <n v="19593.75"/>
    <s v="#202511183700019807"/>
    <n v="0"/>
    <n v="6.96"/>
    <n v="1.0900000000000001"/>
    <n v="0.01"/>
    <n v="145"/>
    <n v="27.38"/>
    <n v="180.44"/>
    <n v="2025"/>
    <n v="11"/>
    <n v="2025"/>
    <n v="8"/>
    <s v="08"/>
    <x v="21"/>
    <x v="21"/>
    <n v="-19774.189999999999"/>
  </r>
  <r>
    <d v="2025-11-18T00:00:00"/>
    <s v="OPT-NIFTY-18-Nov-2025-26000-C-E-I"/>
    <s v="NSE"/>
    <x v="0"/>
    <n v="750"/>
    <n v="0"/>
    <n v="30.1"/>
    <n v="22575"/>
    <s v="#202511183700018572"/>
    <n v="22.49"/>
    <n v="8.02"/>
    <n v="0"/>
    <n v="0.02"/>
    <n v="290"/>
    <n v="53.64"/>
    <n v="374.17"/>
    <n v="2025"/>
    <n v="11"/>
    <n v="2025"/>
    <n v="8"/>
    <s v="08"/>
    <x v="21"/>
    <x v="21"/>
    <n v="22200.83"/>
  </r>
  <r>
    <d v="2025-11-18T00:00:00"/>
    <s v="OPT-NIFTY-18-Nov-2025-26000-C-E-I"/>
    <s v="NSE"/>
    <x v="1"/>
    <n v="75"/>
    <n v="0"/>
    <n v="37.9"/>
    <n v="2842.5"/>
    <s v="#202511183700004571"/>
    <n v="0"/>
    <n v="1.01"/>
    <n v="0"/>
    <n v="0"/>
    <n v="29"/>
    <n v="5.4"/>
    <n v="35.409999999999997"/>
    <n v="2025"/>
    <n v="11"/>
    <n v="2025"/>
    <n v="8"/>
    <s v="08"/>
    <x v="21"/>
    <x v="21"/>
    <n v="-2877.91"/>
  </r>
  <r>
    <d v="2025-11-18T00:00:00"/>
    <s v="OPT-NIFTY-18-Nov-2025-26000-C-E-I"/>
    <s v="NSE"/>
    <x v="1"/>
    <n v="225"/>
    <n v="0"/>
    <n v="39.6"/>
    <n v="8910"/>
    <s v="#202511183700004021"/>
    <n v="0"/>
    <n v="3.17"/>
    <n v="0"/>
    <n v="0.01"/>
    <n v="87"/>
    <n v="16.239999999999998"/>
    <n v="106.42"/>
    <n v="2025"/>
    <n v="11"/>
    <n v="2025"/>
    <n v="8"/>
    <s v="08"/>
    <x v="21"/>
    <x v="21"/>
    <n v="-9016.42"/>
  </r>
  <r>
    <d v="2025-11-18T00:00:00"/>
    <s v="OPT-NIFTY-18-Nov-2025-26000-C-E-I"/>
    <s v="NSE"/>
    <x v="1"/>
    <n v="450"/>
    <n v="0"/>
    <n v="40.98"/>
    <n v="18438.75"/>
    <s v="#202511183700003404"/>
    <n v="0"/>
    <n v="6.55"/>
    <n v="0.91"/>
    <n v="0.02"/>
    <n v="174"/>
    <n v="32.520000000000003"/>
    <n v="214"/>
    <n v="2025"/>
    <n v="11"/>
    <n v="2025"/>
    <n v="8"/>
    <s v="08"/>
    <x v="21"/>
    <x v="21"/>
    <n v="-18652.75"/>
  </r>
  <r>
    <d v="2025-11-20T00:00:00"/>
    <s v="OPT-NIFTY-25-Nov-2025-26100-P-E-I"/>
    <s v="NSE"/>
    <x v="1"/>
    <n v="75"/>
    <n v="0"/>
    <n v="103.15"/>
    <n v="7736.25"/>
    <s v="#202511203700008974"/>
    <n v="0"/>
    <n v="2.75"/>
    <n v="0"/>
    <n v="0.01"/>
    <n v="29"/>
    <n v="5.72"/>
    <n v="37.479999999999997"/>
    <n v="2025"/>
    <n v="11"/>
    <n v="2025"/>
    <n v="8"/>
    <s v="08"/>
    <x v="21"/>
    <x v="21"/>
    <n v="-7773.73"/>
  </r>
  <r>
    <d v="2025-11-21T00:00:00"/>
    <s v="OPT-NIFTY-25-Nov-2025-26100-P-E-I"/>
    <s v="NSE"/>
    <x v="0"/>
    <n v="75"/>
    <n v="0"/>
    <n v="119.9"/>
    <n v="8992.5"/>
    <s v="#202511213700007438"/>
    <n v="9"/>
    <n v="3.2"/>
    <n v="0"/>
    <n v="0.01"/>
    <n v="29"/>
    <n v="5.8"/>
    <n v="47.01"/>
    <n v="2025"/>
    <n v="11"/>
    <n v="2025"/>
    <n v="8"/>
    <s v="08"/>
    <x v="21"/>
    <x v="21"/>
    <n v="8945.49"/>
  </r>
  <r>
    <d v="2025-11-24T00:00:00"/>
    <s v="OPT-NIFTY-25-Nov-2025-26100-P-E-I"/>
    <s v="NSE"/>
    <x v="0"/>
    <n v="75"/>
    <n v="0"/>
    <n v="74.75"/>
    <n v="5606.25"/>
    <s v="#202511243700017022"/>
    <n v="6"/>
    <n v="1.99"/>
    <n v="0"/>
    <n v="0.01"/>
    <n v="29"/>
    <n v="5.58"/>
    <n v="42.58"/>
    <n v="2025"/>
    <n v="11"/>
    <n v="2025"/>
    <n v="8"/>
    <s v="08"/>
    <x v="21"/>
    <x v="21"/>
    <n v="5563.67"/>
  </r>
  <r>
    <d v="2025-11-24T00:00:00"/>
    <s v="OPT-NIFTY-25-Nov-2025-26100-P-E-I"/>
    <s v="NSE"/>
    <x v="1"/>
    <n v="75"/>
    <n v="0"/>
    <n v="71.75"/>
    <n v="5381.25"/>
    <s v="#202511243700016998"/>
    <n v="0"/>
    <n v="1.91"/>
    <n v="0"/>
    <n v="0.01"/>
    <n v="29"/>
    <n v="5.56"/>
    <n v="36.479999999999997"/>
    <n v="2025"/>
    <n v="11"/>
    <n v="2025"/>
    <n v="8"/>
    <s v="08"/>
    <x v="21"/>
    <x v="21"/>
    <n v="-5417.73"/>
  </r>
  <r>
    <d v="2025-11-25T00:00:00"/>
    <s v="OPT-NIFTY-25-Nov-2025-25950-P-E-I"/>
    <s v="NSE"/>
    <x v="0"/>
    <n v="450"/>
    <n v="0"/>
    <n v="19.75"/>
    <n v="8887.5"/>
    <s v="#202511253700029325"/>
    <n v="9"/>
    <n v="3.16"/>
    <n v="0"/>
    <n v="0.01"/>
    <n v="174"/>
    <n v="31.9"/>
    <n v="218.07"/>
    <n v="2025"/>
    <n v="11"/>
    <n v="2025"/>
    <n v="8"/>
    <s v="08"/>
    <x v="21"/>
    <x v="21"/>
    <n v="8669.43"/>
  </r>
  <r>
    <d v="2025-11-25T00:00:00"/>
    <s v="OPT-NIFTY-25-Nov-2025-25950-P-E-I"/>
    <s v="NSE"/>
    <x v="1"/>
    <n v="450"/>
    <n v="0"/>
    <n v="14.75"/>
    <n v="6637.5"/>
    <s v="#202511253700025830"/>
    <n v="0"/>
    <n v="2.36"/>
    <n v="0"/>
    <n v="0"/>
    <n v="174"/>
    <n v="31.76"/>
    <n v="208.12"/>
    <n v="2025"/>
    <n v="11"/>
    <n v="2025"/>
    <n v="8"/>
    <s v="08"/>
    <x v="21"/>
    <x v="21"/>
    <n v="-6845.62"/>
  </r>
  <r>
    <d v="2025-11-27T00:00:00"/>
    <s v="OPT-NIFTY-02-Dec-2025-26250-P-E-I"/>
    <s v="NSE"/>
    <x v="1"/>
    <n v="75"/>
    <n v="0"/>
    <n v="109"/>
    <n v="8175"/>
    <s v="#202511273700012267"/>
    <n v="0"/>
    <n v="2.9"/>
    <n v="0"/>
    <n v="0.01"/>
    <n v="29"/>
    <n v="5.74"/>
    <n v="37.65"/>
    <n v="2025"/>
    <n v="11"/>
    <n v="2025"/>
    <n v="8"/>
    <s v="08"/>
    <x v="21"/>
    <x v="21"/>
    <n v="-8212.65"/>
  </r>
  <r>
    <d v="2025-11-28T00:00:00"/>
    <s v="OPT-NIFTY-02-Dec-2025-26100-P-E-I"/>
    <s v="NSE"/>
    <x v="1"/>
    <n v="375"/>
    <n v="0"/>
    <n v="44.1"/>
    <n v="16537.5"/>
    <s v="#202511283700015905"/>
    <n v="0"/>
    <n v="5.88"/>
    <n v="0.76"/>
    <n v="0.02"/>
    <n v="145"/>
    <n v="27.16"/>
    <n v="178.82"/>
    <n v="2025"/>
    <n v="11"/>
    <n v="2025"/>
    <n v="8"/>
    <s v="08"/>
    <x v="21"/>
    <x v="21"/>
    <n v="-16716.32"/>
  </r>
  <r>
    <d v="2025-11-28T00:00:00"/>
    <s v="OPT-NIFTY-02-Dec-2025-26100-P-E-I"/>
    <s v="NSE"/>
    <x v="1"/>
    <n v="75"/>
    <n v="0"/>
    <n v="44.1"/>
    <n v="3307.5"/>
    <s v="#202511283700015879"/>
    <n v="0"/>
    <n v="1.18"/>
    <n v="0"/>
    <n v="0"/>
    <n v="29"/>
    <n v="5.44"/>
    <n v="35.619999999999997"/>
    <n v="2025"/>
    <n v="11"/>
    <n v="2025"/>
    <n v="8"/>
    <s v="08"/>
    <x v="21"/>
    <x v="21"/>
    <n v="-3343.12"/>
  </r>
  <r>
    <d v="2025-11-28T00:00:00"/>
    <s v="OPT-NIFTY-02-Dec-2025-26200-C-E-I"/>
    <s v="NSE"/>
    <x v="0"/>
    <n v="75"/>
    <n v="0"/>
    <n v="105"/>
    <n v="7875"/>
    <s v="#202511283700015412"/>
    <n v="8"/>
    <n v="2.8"/>
    <n v="0"/>
    <n v="0.01"/>
    <n v="29"/>
    <n v="5.72"/>
    <n v="45.53"/>
    <n v="2025"/>
    <n v="11"/>
    <n v="2025"/>
    <n v="8"/>
    <s v="08"/>
    <x v="21"/>
    <x v="21"/>
    <n v="7829.47"/>
  </r>
  <r>
    <d v="2025-11-28T00:00:00"/>
    <s v="OPT-NIFTY-02-Dec-2025-26200-C-E-I"/>
    <s v="NSE"/>
    <x v="1"/>
    <n v="75"/>
    <n v="0"/>
    <n v="105.85"/>
    <n v="7938.75"/>
    <s v="#202511283700015346"/>
    <n v="0"/>
    <n v="2.82"/>
    <n v="0.24"/>
    <n v="0.01"/>
    <n v="29"/>
    <n v="5.72"/>
    <n v="37.79"/>
    <n v="2025"/>
    <n v="11"/>
    <n v="2025"/>
    <n v="8"/>
    <s v="08"/>
    <x v="21"/>
    <x v="21"/>
    <n v="-7976.54"/>
  </r>
  <r>
    <d v="2025-12-01T00:00:00"/>
    <s v="OPT-NIFTY-02-Dec-2025-26250-P-E-I"/>
    <s v="NSE"/>
    <x v="0"/>
    <n v="150"/>
    <n v="0"/>
    <n v="119.25"/>
    <n v="17887.5"/>
    <s v="#202512013700021299"/>
    <n v="17.89"/>
    <n v="6.36"/>
    <n v="0"/>
    <n v="0.02"/>
    <n v="58"/>
    <n v="11.58"/>
    <n v="93.85"/>
    <n v="2025"/>
    <n v="12"/>
    <n v="2025"/>
    <n v="9"/>
    <s v="09"/>
    <x v="22"/>
    <x v="22"/>
    <n v="17793.650000000001"/>
  </r>
  <r>
    <d v="2025-12-01T00:00:00"/>
    <s v="OPT-NIFTY-02-Dec-2025-26100-P-E-I"/>
    <s v="NSE"/>
    <x v="0"/>
    <n v="1800"/>
    <n v="0"/>
    <n v="35"/>
    <n v="63000"/>
    <s v="#202512013700011531"/>
    <n v="63.12"/>
    <n v="22.38"/>
    <n v="0"/>
    <n v="0.06"/>
    <n v="696"/>
    <n v="129.32"/>
    <n v="910.88"/>
    <n v="2025"/>
    <n v="12"/>
    <n v="2025"/>
    <n v="9"/>
    <s v="09"/>
    <x v="22"/>
    <x v="22"/>
    <n v="62089.120000000003"/>
  </r>
  <r>
    <d v="2025-12-01T00:00:00"/>
    <s v="OPT-NIFTY-02-Dec-2025-26100-P-E-I"/>
    <s v="NSE"/>
    <x v="1"/>
    <n v="900"/>
    <n v="0"/>
    <n v="16.25"/>
    <n v="14625"/>
    <s v="#202512013700004091"/>
    <n v="0"/>
    <n v="5.2"/>
    <n v="0.88"/>
    <n v="0.01"/>
    <n v="348"/>
    <n v="63.58"/>
    <n v="417.67"/>
    <n v="2025"/>
    <n v="12"/>
    <n v="2025"/>
    <n v="9"/>
    <s v="09"/>
    <x v="22"/>
    <x v="22"/>
    <n v="-15042.67"/>
  </r>
  <r>
    <d v="2025-12-01T00:00:00"/>
    <s v="OPT-NIFTY-02-Dec-2025-26250-P-E-I"/>
    <s v="NSE"/>
    <x v="1"/>
    <n v="75"/>
    <n v="0"/>
    <n v="52.95"/>
    <n v="3971.25"/>
    <s v="#202512013700002407"/>
    <n v="0"/>
    <n v="1.41"/>
    <n v="0.12"/>
    <n v="0"/>
    <n v="29"/>
    <n v="5.48"/>
    <n v="36.01"/>
    <n v="2025"/>
    <n v="12"/>
    <n v="2025"/>
    <n v="9"/>
    <s v="09"/>
    <x v="22"/>
    <x v="22"/>
    <n v="-4007.26"/>
  </r>
  <r>
    <d v="2025-12-01T00:00:00"/>
    <s v="OPT-NIFTY-02-Dec-2025-26100-P-E-I"/>
    <s v="NSE"/>
    <x v="1"/>
    <n v="450"/>
    <n v="0"/>
    <n v="18.899999999999999"/>
    <n v="8505"/>
    <s v="#202512013700001235"/>
    <n v="0"/>
    <n v="3.02"/>
    <n v="0"/>
    <n v="0.01"/>
    <n v="174"/>
    <n v="31.88"/>
    <n v="208.91"/>
    <n v="2025"/>
    <n v="12"/>
    <n v="2025"/>
    <n v="9"/>
    <s v="09"/>
    <x v="22"/>
    <x v="22"/>
    <n v="-8713.91"/>
  </r>
  <r>
    <d v="2025-12-02T00:00:00"/>
    <s v="OPT-NIFTY-02-Dec-2025-26050-P-E-I"/>
    <s v="NSE"/>
    <x v="0"/>
    <n v="300"/>
    <n v="0"/>
    <n v="39.25"/>
    <n v="11775"/>
    <s v="#202512023700025744"/>
    <n v="12"/>
    <n v="4.18"/>
    <n v="0"/>
    <n v="0.01"/>
    <n v="116"/>
    <n v="21.64"/>
    <n v="153.83000000000001"/>
    <n v="2025"/>
    <n v="12"/>
    <n v="2025"/>
    <n v="9"/>
    <s v="09"/>
    <x v="22"/>
    <x v="22"/>
    <n v="11621.17"/>
  </r>
  <r>
    <d v="2025-12-02T00:00:00"/>
    <s v="OPT-NIFTY-02-Dec-2025-26050-P-E-I"/>
    <s v="NSE"/>
    <x v="1"/>
    <n v="225"/>
    <n v="0"/>
    <n v="30.1"/>
    <n v="6772.5"/>
    <s v="#202512023700015551"/>
    <n v="0"/>
    <n v="2.41"/>
    <n v="0"/>
    <n v="0.01"/>
    <n v="87"/>
    <n v="16.100000000000001"/>
    <n v="105.52"/>
    <n v="2025"/>
    <n v="12"/>
    <n v="2025"/>
    <n v="9"/>
    <s v="09"/>
    <x v="22"/>
    <x v="22"/>
    <n v="-6878.02"/>
  </r>
  <r>
    <d v="2025-12-02T00:00:00"/>
    <s v="OPT-NIFTY-02-Dec-2025-26050-P-E-I"/>
    <s v="NSE"/>
    <x v="1"/>
    <n v="75"/>
    <n v="0"/>
    <n v="34"/>
    <n v="2550"/>
    <s v="#202512023700015171"/>
    <n v="0"/>
    <n v="0.91"/>
    <n v="0"/>
    <n v="0"/>
    <n v="29"/>
    <n v="5.38"/>
    <n v="35.29"/>
    <n v="2025"/>
    <n v="12"/>
    <n v="2025"/>
    <n v="9"/>
    <s v="09"/>
    <x v="22"/>
    <x v="22"/>
    <n v="-2585.29"/>
  </r>
  <r>
    <d v="2025-12-03T00:00:00"/>
    <s v="OPT-NIFTY-09-Dec-2025-26000-P-E-I"/>
    <s v="NSE"/>
    <x v="1"/>
    <n v="75"/>
    <n v="0"/>
    <n v="123.6"/>
    <n v="9270"/>
    <s v="#202512033700016479"/>
    <n v="0"/>
    <n v="3.29"/>
    <n v="0.28000000000000003"/>
    <n v="0.01"/>
    <n v="29"/>
    <n v="5.82"/>
    <n v="38.4"/>
    <n v="2025"/>
    <n v="12"/>
    <n v="2025"/>
    <n v="9"/>
    <s v="09"/>
    <x v="22"/>
    <x v="22"/>
    <n v="-9308.4"/>
  </r>
  <r>
    <d v="2025-12-03T00:00:00"/>
    <s v="OPT-NIFTY-09-Dec-2025-25950-C-E-I"/>
    <s v="NSE"/>
    <x v="0"/>
    <n v="75"/>
    <n v="0"/>
    <n v="149.9"/>
    <n v="11242.5"/>
    <s v="#202512033700010578"/>
    <n v="11"/>
    <n v="3.99"/>
    <n v="0"/>
    <n v="0.01"/>
    <n v="29"/>
    <n v="5.94"/>
    <n v="49.94"/>
    <n v="2025"/>
    <n v="12"/>
    <n v="2025"/>
    <n v="9"/>
    <s v="09"/>
    <x v="22"/>
    <x v="22"/>
    <n v="11192.56"/>
  </r>
  <r>
    <d v="2025-12-03T00:00:00"/>
    <s v="OPT-NIFTY-09-Dec-2025-25950-C-E-I"/>
    <s v="NSE"/>
    <x v="1"/>
    <n v="75"/>
    <n v="0"/>
    <n v="144"/>
    <n v="10800"/>
    <s v="#202512033700010533"/>
    <n v="0"/>
    <n v="3.84"/>
    <n v="0.72"/>
    <n v="0.01"/>
    <n v="29"/>
    <n v="5.92"/>
    <n v="39.49"/>
    <n v="2025"/>
    <n v="12"/>
    <n v="2025"/>
    <n v="9"/>
    <s v="09"/>
    <x v="22"/>
    <x v="22"/>
    <n v="-10839.49"/>
  </r>
  <r>
    <d v="2025-12-04T00:00:00"/>
    <s v="OPT-NIFTY-09-Dec-2025-26000-P-E-I"/>
    <s v="NSE"/>
    <x v="0"/>
    <n v="75"/>
    <n v="0"/>
    <n v="63.95"/>
    <n v="4796.25"/>
    <s v="#202512043700010558"/>
    <n v="5"/>
    <n v="1.7"/>
    <n v="0"/>
    <n v="0"/>
    <n v="29"/>
    <n v="5.52"/>
    <n v="41.22"/>
    <n v="2025"/>
    <n v="12"/>
    <n v="2025"/>
    <n v="9"/>
    <s v="09"/>
    <x v="22"/>
    <x v="22"/>
    <n v="4755.03"/>
  </r>
  <r>
    <d v="2025-12-05T00:00:00"/>
    <s v="OPT-NIFTY-09-Dec-2025-26100-P-E-I"/>
    <s v="NSE"/>
    <x v="1"/>
    <n v="75"/>
    <n v="0"/>
    <n v="67.25"/>
    <n v="5043.75"/>
    <s v="#202512053700013831"/>
    <n v="0"/>
    <n v="1.79"/>
    <n v="0"/>
    <n v="0.01"/>
    <n v="29"/>
    <n v="5.54"/>
    <n v="36.340000000000003"/>
    <n v="2025"/>
    <n v="12"/>
    <n v="2025"/>
    <n v="9"/>
    <s v="09"/>
    <x v="22"/>
    <x v="22"/>
    <n v="-5080.09"/>
  </r>
  <r>
    <d v="2025-12-08T00:00:00"/>
    <s v="OPT-NIFTY-09-Dec-2025-26100-P-E-I"/>
    <s v="NSE"/>
    <x v="0"/>
    <n v="75"/>
    <n v="0"/>
    <n v="77.25"/>
    <n v="5793.75"/>
    <s v="#202512083700013987"/>
    <n v="6"/>
    <n v="2.06"/>
    <n v="0"/>
    <n v="0.01"/>
    <n v="29"/>
    <n v="5.6"/>
    <n v="42.67"/>
    <n v="2025"/>
    <n v="12"/>
    <n v="2025"/>
    <n v="9"/>
    <s v="09"/>
    <x v="22"/>
    <x v="22"/>
    <n v="5751.08"/>
  </r>
  <r>
    <d v="2025-12-11T00:00:00"/>
    <s v="OPT-NIFTY-16-Dec-2025-25800-P-E-I"/>
    <s v="NSE"/>
    <x v="1"/>
    <n v="75"/>
    <n v="0"/>
    <n v="61.25"/>
    <n v="4593.75"/>
    <s v="#202512113700024410"/>
    <n v="0"/>
    <n v="1.63"/>
    <n v="0"/>
    <n v="0"/>
    <n v="29"/>
    <n v="5.52"/>
    <n v="36.15"/>
    <n v="2025"/>
    <n v="12"/>
    <n v="2025"/>
    <n v="9"/>
    <s v="09"/>
    <x v="22"/>
    <x v="22"/>
    <n v="-4629.8999999999996"/>
  </r>
  <r>
    <d v="2025-12-11T00:00:00"/>
    <s v="OPT-NIFTY-16-Dec-2025-25800-P-E-I"/>
    <s v="NSE"/>
    <x v="1"/>
    <n v="75"/>
    <n v="0"/>
    <n v="82.25"/>
    <n v="6168.75"/>
    <s v="#202512113700015729"/>
    <n v="0"/>
    <n v="2.19"/>
    <n v="0"/>
    <n v="0.01"/>
    <n v="29"/>
    <n v="5.62"/>
    <n v="36.82"/>
    <n v="2025"/>
    <n v="12"/>
    <n v="2025"/>
    <n v="9"/>
    <s v="09"/>
    <x v="22"/>
    <x v="22"/>
    <n v="-6205.57"/>
  </r>
  <r>
    <d v="2025-12-12T00:00:00"/>
    <s v="OPT-NIFTY-16-Dec-2025-25800-P-E-I"/>
    <s v="NSE"/>
    <x v="0"/>
    <n v="750"/>
    <n v="0"/>
    <n v="13"/>
    <n v="9750"/>
    <s v="#202512123700036144"/>
    <n v="10"/>
    <n v="3.46"/>
    <n v="0"/>
    <n v="0.01"/>
    <n v="290"/>
    <n v="52.82"/>
    <n v="356.29"/>
    <n v="2025"/>
    <n v="12"/>
    <n v="2025"/>
    <n v="9"/>
    <s v="09"/>
    <x v="22"/>
    <x v="22"/>
    <n v="9393.7099999999991"/>
  </r>
  <r>
    <d v="2025-12-12T00:00:00"/>
    <s v="OPT-NIFTY-16-Dec-2025-25800-P-E-I"/>
    <s v="NSE"/>
    <x v="1"/>
    <n v="150"/>
    <n v="0"/>
    <n v="18.100000000000001"/>
    <n v="2715"/>
    <s v="#202512123700020712"/>
    <n v="0"/>
    <n v="0.96"/>
    <n v="0"/>
    <n v="0"/>
    <n v="58"/>
    <n v="10.62"/>
    <n v="69.58"/>
    <n v="2025"/>
    <n v="12"/>
    <n v="2025"/>
    <n v="9"/>
    <s v="09"/>
    <x v="22"/>
    <x v="22"/>
    <n v="-2784.58"/>
  </r>
  <r>
    <d v="2025-12-12T00:00:00"/>
    <s v="OPT-NIFTY-16-Dec-2025-25800-P-E-I"/>
    <s v="NSE"/>
    <x v="1"/>
    <n v="150"/>
    <n v="0"/>
    <n v="19.25"/>
    <n v="2887.5"/>
    <s v="#202512123700018183"/>
    <n v="0"/>
    <n v="1.02"/>
    <n v="0"/>
    <n v="0"/>
    <n v="58"/>
    <n v="10.64"/>
    <n v="69.66"/>
    <n v="2025"/>
    <n v="12"/>
    <n v="2025"/>
    <n v="9"/>
    <s v="09"/>
    <x v="22"/>
    <x v="22"/>
    <n v="-2957.16"/>
  </r>
  <r>
    <d v="2025-12-12T00:00:00"/>
    <s v="OPT-NIFTY-16-Dec-2025-25800-P-E-I"/>
    <s v="NSE"/>
    <x v="1"/>
    <n v="150"/>
    <n v="0"/>
    <n v="21.25"/>
    <n v="3187.5"/>
    <s v="#202512123700016184"/>
    <n v="0"/>
    <n v="1.1299999999999999"/>
    <n v="0"/>
    <n v="0"/>
    <n v="58"/>
    <n v="10.64"/>
    <n v="69.77"/>
    <n v="2025"/>
    <n v="12"/>
    <n v="2025"/>
    <n v="9"/>
    <s v="09"/>
    <x v="22"/>
    <x v="22"/>
    <n v="-3257.27"/>
  </r>
  <r>
    <d v="2025-12-12T00:00:00"/>
    <s v="OPT-NIFTY-16-Dec-2025-25800-P-E-I"/>
    <s v="NSE"/>
    <x v="1"/>
    <n v="75"/>
    <n v="0"/>
    <n v="21.25"/>
    <n v="1593.75"/>
    <s v="#202512123700010037"/>
    <n v="0"/>
    <n v="0.56999999999999995"/>
    <n v="0"/>
    <n v="0"/>
    <n v="29"/>
    <n v="5.32"/>
    <n v="34.89"/>
    <n v="2025"/>
    <n v="12"/>
    <n v="2025"/>
    <n v="9"/>
    <s v="09"/>
    <x v="22"/>
    <x v="22"/>
    <n v="-1628.64"/>
  </r>
  <r>
    <d v="2025-12-12T00:00:00"/>
    <s v="OPT-NIFTY-16-Dec-2025-25800-P-E-I"/>
    <s v="NSE"/>
    <x v="1"/>
    <n v="75"/>
    <n v="0"/>
    <n v="29.1"/>
    <n v="2182.5"/>
    <s v="#202512122600001017"/>
    <n v="0"/>
    <n v="0.78"/>
    <n v="0"/>
    <n v="0"/>
    <n v="29"/>
    <n v="5.36"/>
    <n v="35.14"/>
    <n v="2025"/>
    <n v="12"/>
    <n v="2025"/>
    <n v="9"/>
    <s v="09"/>
    <x v="22"/>
    <x v="22"/>
    <n v="-2217.64"/>
  </r>
  <r>
    <d v="2026-01-13T00:00:00"/>
    <s v="OPT-NIFTY-20-Jan-2026-26050-C-E-I"/>
    <s v="NSE"/>
    <x v="1"/>
    <n v="65"/>
    <n v="0"/>
    <n v="67.25"/>
    <n v="4371.25"/>
    <s v="#202601133100025909"/>
    <n v="0"/>
    <n v="1.55"/>
    <n v="0"/>
    <n v="0"/>
    <n v="29"/>
    <n v="5.5"/>
    <n v="36.049999999999997"/>
    <n v="2026"/>
    <n v="1"/>
    <n v="2025"/>
    <n v="10"/>
    <n v="10"/>
    <x v="23"/>
    <x v="23"/>
    <n v="-4407.3"/>
  </r>
  <r>
    <d v="2026-01-19T00:00:00"/>
    <s v="OPT-NIFTY-20-Jan-2026-26050-C-E-I"/>
    <s v="NSE"/>
    <x v="0"/>
    <n v="65"/>
    <n v="0"/>
    <n v="4.4000000000000004"/>
    <n v="286"/>
    <s v="#202601193100004090"/>
    <n v="0"/>
    <n v="0.1"/>
    <n v="0"/>
    <n v="0"/>
    <n v="29"/>
    <n v="5.24"/>
    <n v="34.340000000000003"/>
    <n v="2026"/>
    <n v="1"/>
    <n v="2025"/>
    <n v="10"/>
    <n v="10"/>
    <x v="23"/>
    <x v="23"/>
    <n v="251.66"/>
  </r>
  <r>
    <d v="2026-01-27T00:00:00"/>
    <s v="OPT-NIFTY-27-Jan-2026-25000-C-E-I"/>
    <s v="NSE"/>
    <x v="0"/>
    <n v="130"/>
    <n v="0"/>
    <n v="89.9"/>
    <n v="11687"/>
    <s v="#202601272700053910"/>
    <n v="11.69"/>
    <n v="4.1500000000000004"/>
    <n v="0"/>
    <n v="0.01"/>
    <n v="58"/>
    <n v="11.18"/>
    <n v="85.03"/>
    <n v="2026"/>
    <n v="1"/>
    <n v="2025"/>
    <n v="10"/>
    <n v="10"/>
    <x v="23"/>
    <x v="23"/>
    <n v="11601.97"/>
  </r>
  <r>
    <d v="2026-01-27T00:00:00"/>
    <s v="OPT-NIFTY-27-Jan-2026-25000-C-E-I"/>
    <s v="NSE"/>
    <x v="1"/>
    <n v="65"/>
    <n v="0"/>
    <n v="82"/>
    <n v="5330"/>
    <s v="#202601272700049123"/>
    <n v="0"/>
    <n v="1.89"/>
    <n v="0.34"/>
    <n v="0.01"/>
    <n v="29"/>
    <n v="5.56"/>
    <n v="36.799999999999997"/>
    <n v="2026"/>
    <n v="1"/>
    <n v="2025"/>
    <n v="10"/>
    <n v="10"/>
    <x v="23"/>
    <x v="23"/>
    <n v="-5366.8"/>
  </r>
  <r>
    <d v="2026-01-27T00:00:00"/>
    <s v="OPT-NIFTY-27-Jan-2026-25000-C-E-I"/>
    <s v="NSE"/>
    <x v="1"/>
    <n v="65"/>
    <n v="0"/>
    <n v="91"/>
    <n v="5915"/>
    <s v="#202601272700048910"/>
    <n v="0"/>
    <n v="2.1"/>
    <n v="0"/>
    <n v="0.01"/>
    <n v="29"/>
    <n v="5.6"/>
    <n v="36.71"/>
    <n v="2026"/>
    <n v="1"/>
    <n v="2025"/>
    <n v="10"/>
    <n v="10"/>
    <x v="23"/>
    <x v="23"/>
    <n v="-5951.71"/>
  </r>
  <r>
    <d v="2026-01-27T00:00:00"/>
    <s v="OPT-NIFTY-27-Jan-2026-24950-C-E-I"/>
    <s v="NSE"/>
    <x v="0"/>
    <n v="65"/>
    <n v="0"/>
    <n v="195.25"/>
    <n v="12691.25"/>
    <s v="#202601272700010103"/>
    <n v="12.69"/>
    <n v="4.51"/>
    <n v="0"/>
    <n v="0.01"/>
    <n v="29"/>
    <n v="6.04"/>
    <n v="52.25"/>
    <n v="2026"/>
    <n v="1"/>
    <n v="2025"/>
    <n v="10"/>
    <n v="10"/>
    <x v="23"/>
    <x v="23"/>
    <n v="12639"/>
  </r>
  <r>
    <d v="2026-01-27T00:00:00"/>
    <s v="OPT-NIFTY-27-Jan-2026-24950-C-E-I"/>
    <s v="NSE"/>
    <x v="0"/>
    <n v="65"/>
    <n v="0"/>
    <n v="181.25"/>
    <n v="11781.25"/>
    <s v="#202601272700009601"/>
    <n v="11.62"/>
    <n v="4.1900000000000004"/>
    <n v="0"/>
    <n v="0.01"/>
    <n v="29"/>
    <n v="5.98"/>
    <n v="50.8"/>
    <n v="2026"/>
    <n v="1"/>
    <n v="2025"/>
    <n v="10"/>
    <n v="10"/>
    <x v="23"/>
    <x v="23"/>
    <n v="11730.45"/>
  </r>
  <r>
    <d v="2026-01-27T00:00:00"/>
    <s v="OPT-NIFTY-27-Jan-2026-24950-C-E-I"/>
    <s v="NSE"/>
    <x v="1"/>
    <n v="65"/>
    <n v="0"/>
    <n v="191.25"/>
    <n v="12431.25"/>
    <s v="#202601272700006358"/>
    <n v="0"/>
    <n v="4.42"/>
    <n v="0"/>
    <n v="0.01"/>
    <n v="29"/>
    <n v="6.02"/>
    <n v="39.450000000000003"/>
    <n v="2026"/>
    <n v="1"/>
    <n v="2025"/>
    <n v="10"/>
    <n v="10"/>
    <x v="23"/>
    <x v="23"/>
    <n v="-12470.7"/>
  </r>
  <r>
    <d v="2026-01-27T00:00:00"/>
    <s v="OPT-NIFTY-27-Jan-2026-24950-C-E-I"/>
    <s v="NSE"/>
    <x v="1"/>
    <n v="65"/>
    <n v="0"/>
    <n v="109.3"/>
    <n v="7104.5"/>
    <s v="#202601272700005475"/>
    <n v="0"/>
    <n v="2.52"/>
    <n v="0.66"/>
    <n v="0.01"/>
    <n v="29"/>
    <n v="5.68"/>
    <n v="37.869999999999997"/>
    <n v="2026"/>
    <n v="1"/>
    <n v="2025"/>
    <n v="10"/>
    <n v="10"/>
    <x v="23"/>
    <x v="23"/>
    <n v="-7142.37"/>
  </r>
  <r>
    <d v="2026-01-28T00:00:00"/>
    <s v="OPT-NIFTY-03-Feb-2026-25300-P-E-I"/>
    <s v="NSE"/>
    <x v="0"/>
    <n v="195"/>
    <n v="0"/>
    <n v="209.9"/>
    <n v="40930.5"/>
    <s v="#202601282700019192"/>
    <n v="40.93"/>
    <n v="14.54"/>
    <n v="0"/>
    <n v="0.04"/>
    <n v="87"/>
    <n v="18.28"/>
    <n v="160.79"/>
    <n v="2026"/>
    <n v="1"/>
    <n v="2025"/>
    <n v="10"/>
    <n v="10"/>
    <x v="23"/>
    <x v="23"/>
    <n v="40769.71"/>
  </r>
  <r>
    <d v="2026-01-28T00:00:00"/>
    <s v="OPT-NIFTY-03-Feb-2026-25300-P-E-I"/>
    <s v="NSE"/>
    <x v="1"/>
    <n v="195"/>
    <n v="0"/>
    <n v="202.4"/>
    <n v="39468"/>
    <s v="#202601282700019168"/>
    <n v="0"/>
    <n v="14.01"/>
    <n v="0"/>
    <n v="0.03"/>
    <n v="87"/>
    <n v="18.18"/>
    <n v="119.22"/>
    <n v="2026"/>
    <n v="1"/>
    <n v="2025"/>
    <n v="10"/>
    <n v="10"/>
    <x v="23"/>
    <x v="23"/>
    <n v="-39587.22"/>
  </r>
  <r>
    <d v="2026-01-28T00:00:00"/>
    <s v="OPT-NIFTY-03-Feb-2026-25400-C-E-I"/>
    <s v="NSE"/>
    <x v="0"/>
    <n v="195"/>
    <n v="0"/>
    <n v="179.25"/>
    <n v="34953.75"/>
    <s v="#202601282700019090"/>
    <n v="34.950000000000003"/>
    <n v="12.42"/>
    <n v="0"/>
    <n v="0.04"/>
    <n v="87"/>
    <n v="17.899999999999999"/>
    <n v="152.31"/>
    <n v="2026"/>
    <n v="1"/>
    <n v="2025"/>
    <n v="10"/>
    <n v="10"/>
    <x v="23"/>
    <x v="23"/>
    <n v="34801.440000000002"/>
  </r>
  <r>
    <d v="2026-01-28T00:00:00"/>
    <s v="OPT-NIFTY-03-Feb-2026-25400-C-E-I"/>
    <s v="NSE"/>
    <x v="1"/>
    <n v="65"/>
    <n v="0"/>
    <n v="190.25"/>
    <n v="12366.25"/>
    <s v="#202601282700018753"/>
    <n v="0"/>
    <n v="4.3899999999999997"/>
    <n v="0"/>
    <n v="0.01"/>
    <n v="29"/>
    <n v="6.02"/>
    <n v="39.42"/>
    <n v="2026"/>
    <n v="1"/>
    <n v="2025"/>
    <n v="10"/>
    <n v="10"/>
    <x v="23"/>
    <x v="23"/>
    <n v="-12405.67"/>
  </r>
  <r>
    <d v="2026-01-28T00:00:00"/>
    <s v="OPT-NIFTY-03-Feb-2026-25400-C-E-I"/>
    <s v="NSE"/>
    <x v="1"/>
    <n v="130"/>
    <n v="0"/>
    <n v="200.4"/>
    <n v="26052"/>
    <s v="#202601282700017879"/>
    <n v="0"/>
    <n v="9.26"/>
    <n v="1.1499999999999999"/>
    <n v="0.03"/>
    <n v="58"/>
    <n v="12.12"/>
    <n v="80.56"/>
    <n v="2026"/>
    <n v="1"/>
    <n v="2025"/>
    <n v="10"/>
    <n v="10"/>
    <x v="23"/>
    <x v="23"/>
    <n v="-26132.560000000001"/>
  </r>
  <r>
    <d v="2026-01-28T00:00:00"/>
    <s v="OPT-NIFTY-03-Feb-2026-25300-P-E-I"/>
    <s v="NSE"/>
    <x v="0"/>
    <n v="65"/>
    <n v="0"/>
    <n v="219.9"/>
    <n v="14293.5"/>
    <s v="#202601282700004408"/>
    <n v="14.12"/>
    <n v="5.08"/>
    <n v="0"/>
    <n v="0.01"/>
    <n v="29"/>
    <n v="6.14"/>
    <n v="54.35"/>
    <n v="2026"/>
    <n v="1"/>
    <n v="2025"/>
    <n v="10"/>
    <n v="10"/>
    <x v="23"/>
    <x v="23"/>
    <n v="14239.15"/>
  </r>
  <r>
    <d v="2026-01-28T00:00:00"/>
    <s v="OPT-NIFTY-03-Feb-2026-25300-P-E-I"/>
    <s v="NSE"/>
    <x v="1"/>
    <n v="65"/>
    <n v="0"/>
    <n v="203.1"/>
    <n v="13201.5"/>
    <s v="#202601282700004257"/>
    <n v="0"/>
    <n v="4.6900000000000004"/>
    <n v="1.85"/>
    <n v="0.01"/>
    <n v="29"/>
    <n v="6.06"/>
    <n v="41.61"/>
    <n v="2026"/>
    <n v="1"/>
    <n v="2025"/>
    <n v="10"/>
    <n v="10"/>
    <x v="23"/>
    <x v="23"/>
    <n v="-13243.11"/>
  </r>
  <r>
    <d v="2026-01-29T00:00:00"/>
    <s v="OPT-NIFTY-03-Feb-2026-25400-P-E-I"/>
    <s v="NSE"/>
    <x v="0"/>
    <n v="130"/>
    <n v="0"/>
    <n v="167.8"/>
    <n v="21814"/>
    <s v="#202601292700028824"/>
    <n v="21.81"/>
    <n v="7.75"/>
    <n v="0"/>
    <n v="0.02"/>
    <n v="58"/>
    <n v="11.84"/>
    <n v="99.42"/>
    <n v="2026"/>
    <n v="1"/>
    <n v="2025"/>
    <n v="10"/>
    <n v="10"/>
    <x v="23"/>
    <x v="23"/>
    <n v="21714.58"/>
  </r>
  <r>
    <d v="2026-01-29T00:00:00"/>
    <s v="OPT-NIFTY-03-Feb-2026-25400-P-E-I"/>
    <s v="NSE"/>
    <x v="1"/>
    <n v="130"/>
    <n v="0"/>
    <n v="178.75"/>
    <n v="23237.5"/>
    <s v="#202601292700028229"/>
    <n v="0"/>
    <n v="8.26"/>
    <n v="0.61"/>
    <n v="0.02"/>
    <n v="58"/>
    <n v="11.92"/>
    <n v="78.81"/>
    <n v="2026"/>
    <n v="1"/>
    <n v="2025"/>
    <n v="10"/>
    <n v="10"/>
    <x v="23"/>
    <x v="23"/>
    <n v="-23316.31"/>
  </r>
  <r>
    <d v="2026-01-29T00:00:00"/>
    <s v="OPT-NIFTY-03-Feb-2026-25300-C-E-I"/>
    <s v="NSE"/>
    <x v="0"/>
    <n v="65"/>
    <n v="0"/>
    <n v="161.55000000000001"/>
    <n v="10500.75"/>
    <s v="#202601292700012571"/>
    <n v="10.19"/>
    <n v="3.73"/>
    <n v="0"/>
    <n v="0.01"/>
    <n v="29"/>
    <n v="5.9"/>
    <n v="48.83"/>
    <n v="2026"/>
    <n v="1"/>
    <n v="2025"/>
    <n v="10"/>
    <n v="10"/>
    <x v="23"/>
    <x v="23"/>
    <n v="10451.92"/>
  </r>
  <r>
    <d v="2026-01-29T00:00:00"/>
    <s v="OPT-NIFTY-03-Feb-2026-25300-C-E-I"/>
    <s v="NSE"/>
    <x v="1"/>
    <n v="65"/>
    <n v="0"/>
    <n v="199.6"/>
    <n v="12974"/>
    <s v="#202601292700003148"/>
    <n v="0"/>
    <n v="4.6100000000000003"/>
    <n v="0.39"/>
    <n v="0.01"/>
    <n v="29"/>
    <n v="6.06"/>
    <n v="40.07"/>
    <n v="2026"/>
    <n v="1"/>
    <n v="2025"/>
    <n v="10"/>
    <n v="10"/>
    <x v="23"/>
    <x v="23"/>
    <n v="-13014.07"/>
  </r>
  <r>
    <d v="2026-01-30T00:00:00"/>
    <s v="OPT-NIFTY-03-Feb-2026-25250-C-E-I"/>
    <s v="NSE"/>
    <x v="0"/>
    <n v="65"/>
    <n v="0"/>
    <n v="251.55"/>
    <n v="16350.75"/>
    <s v="#202601302700035394"/>
    <n v="16"/>
    <n v="5.81"/>
    <n v="0"/>
    <n v="0.02"/>
    <n v="29"/>
    <n v="6.26"/>
    <n v="57.09"/>
    <n v="2026"/>
    <n v="1"/>
    <n v="2025"/>
    <n v="10"/>
    <n v="10"/>
    <x v="23"/>
    <x v="23"/>
    <n v="16293.66"/>
  </r>
  <r>
    <d v="2026-01-30T00:00:00"/>
    <s v="OPT-NIFTY-03-Feb-2026-25250-C-E-I"/>
    <s v="NSE"/>
    <x v="1"/>
    <n v="65"/>
    <n v="0"/>
    <n v="250.55"/>
    <n v="16285.75"/>
    <s v="#202601302700035163"/>
    <n v="0"/>
    <n v="5.79"/>
    <n v="0"/>
    <n v="0.02"/>
    <n v="29"/>
    <n v="6.26"/>
    <n v="41.07"/>
    <n v="2026"/>
    <n v="1"/>
    <n v="2025"/>
    <n v="10"/>
    <n v="10"/>
    <x v="23"/>
    <x v="23"/>
    <n v="-16326.82"/>
  </r>
  <r>
    <d v="2026-01-30T00:00:00"/>
    <s v="OPT-NIFTY-03-Feb-2026-25250-C-E-I"/>
    <s v="NSE"/>
    <x v="0"/>
    <n v="65"/>
    <n v="0"/>
    <n v="259.89999999999998"/>
    <n v="16893.5"/>
    <s v="#202601302700033361"/>
    <n v="16.89"/>
    <n v="6"/>
    <n v="0"/>
    <n v="0.02"/>
    <n v="29"/>
    <n v="6.3"/>
    <n v="58.21"/>
    <n v="2026"/>
    <n v="1"/>
    <n v="2025"/>
    <n v="10"/>
    <n v="10"/>
    <x v="23"/>
    <x v="23"/>
    <n v="16835.29"/>
  </r>
  <r>
    <d v="2026-01-30T00:00:00"/>
    <s v="OPT-NIFTY-03-Feb-2026-25250-C-E-I"/>
    <s v="NSE"/>
    <x v="1"/>
    <n v="65"/>
    <n v="0"/>
    <n v="234.8"/>
    <n v="15262"/>
    <s v="#202601302700032962"/>
    <n v="0"/>
    <n v="5.42"/>
    <n v="0"/>
    <n v="0.02"/>
    <n v="29"/>
    <n v="6.2"/>
    <n v="40.64"/>
    <n v="2026"/>
    <n v="1"/>
    <n v="2025"/>
    <n v="10"/>
    <n v="10"/>
    <x v="23"/>
    <x v="23"/>
    <n v="-15302.64"/>
  </r>
  <r>
    <d v="2026-01-30T00:00:00"/>
    <s v="OPT-NIFTY-03-Feb-2026-25300-P-E-I"/>
    <s v="NSE"/>
    <x v="0"/>
    <n v="65"/>
    <n v="0"/>
    <n v="208.8"/>
    <n v="13572"/>
    <s v="#202601302700020593"/>
    <n v="13.57"/>
    <n v="4.82"/>
    <n v="0"/>
    <n v="0.01"/>
    <n v="29"/>
    <n v="6.1"/>
    <n v="53.5"/>
    <n v="2026"/>
    <n v="1"/>
    <n v="2025"/>
    <n v="10"/>
    <n v="10"/>
    <x v="23"/>
    <x v="23"/>
    <n v="13518.5"/>
  </r>
  <r>
    <d v="2026-01-30T00:00:00"/>
    <s v="OPT-NIFTY-03-Feb-2026-25300-P-E-I"/>
    <s v="NSE"/>
    <x v="1"/>
    <n v="65"/>
    <n v="0"/>
    <n v="217.6"/>
    <n v="14144"/>
    <s v="#202601302700020353"/>
    <n v="0"/>
    <n v="5.03"/>
    <n v="0.42"/>
    <n v="0.01"/>
    <n v="29"/>
    <n v="6.12"/>
    <n v="40.58"/>
    <n v="2026"/>
    <n v="1"/>
    <n v="2025"/>
    <n v="10"/>
    <n v="10"/>
    <x v="23"/>
    <x v="23"/>
    <n v="-14184.58"/>
  </r>
  <r>
    <d v="2026-01-30T00:00:00"/>
    <s v="OPT-NIFTY-03-Feb-2026-25250-C-E-I"/>
    <s v="NSE"/>
    <x v="0"/>
    <n v="130"/>
    <n v="0"/>
    <n v="234.9"/>
    <n v="30537"/>
    <s v="#202601302700005687"/>
    <n v="30.54"/>
    <n v="10.85"/>
    <n v="0"/>
    <n v="0.03"/>
    <n v="58"/>
    <n v="12.4"/>
    <n v="111.82"/>
    <n v="2026"/>
    <n v="1"/>
    <n v="2025"/>
    <n v="10"/>
    <n v="10"/>
    <x v="23"/>
    <x v="23"/>
    <n v="30425.18"/>
  </r>
  <r>
    <d v="2026-01-30T00:00:00"/>
    <s v="OPT-NIFTY-03-Feb-2026-25250-C-E-I"/>
    <s v="NSE"/>
    <x v="1"/>
    <n v="130"/>
    <n v="0"/>
    <n v="201.25"/>
    <n v="26162.5"/>
    <s v="#202601302700002911"/>
    <n v="0"/>
    <n v="9.3000000000000007"/>
    <n v="1.58"/>
    <n v="0.02"/>
    <n v="58"/>
    <n v="12.12"/>
    <n v="81.02"/>
    <n v="2026"/>
    <n v="1"/>
    <n v="2025"/>
    <n v="10"/>
    <n v="10"/>
    <x v="23"/>
    <x v="23"/>
    <n v="-26243.52"/>
  </r>
  <r>
    <d v="2026-02-01T00:00:00"/>
    <s v="OPT-NIFTY-03-Feb-2026-25000-C-E-I"/>
    <s v="NSE"/>
    <x v="0"/>
    <n v="65"/>
    <n v="0"/>
    <n v="197.25"/>
    <n v="12821.25"/>
    <s v="#202602012700051991"/>
    <n v="12.82"/>
    <n v="4.5599999999999996"/>
    <n v="0"/>
    <n v="0.01"/>
    <n v="29"/>
    <n v="6.04"/>
    <n v="52.43"/>
    <n v="2026"/>
    <n v="2"/>
    <n v="2025"/>
    <n v="11"/>
    <n v="11"/>
    <x v="24"/>
    <x v="24"/>
    <n v="12768.82"/>
  </r>
  <r>
    <d v="2026-02-01T00:00:00"/>
    <s v="OPT-NIFTY-03-Feb-2026-25000-C-E-I"/>
    <s v="NSE"/>
    <x v="1"/>
    <n v="65"/>
    <n v="0"/>
    <n v="182.5"/>
    <n v="11862.5"/>
    <s v="#202602012700051727"/>
    <n v="0"/>
    <n v="4.21"/>
    <n v="0.36"/>
    <n v="0.01"/>
    <n v="29"/>
    <n v="5.98"/>
    <n v="39.56"/>
    <n v="2026"/>
    <n v="2"/>
    <n v="2025"/>
    <n v="11"/>
    <n v="11"/>
    <x v="24"/>
    <x v="24"/>
    <n v="-11902.06"/>
  </r>
  <r>
    <d v="2026-02-01T00:00:00"/>
    <s v="OPT-NIFTY-03-Feb-2026-25300-C-E-I"/>
    <s v="NSE"/>
    <x v="0"/>
    <n v="130"/>
    <n v="0"/>
    <n v="80.849999999999994"/>
    <n v="10510.5"/>
    <s v="#202602012700037006"/>
    <n v="10.52"/>
    <n v="3.74"/>
    <n v="0"/>
    <n v="0.02"/>
    <n v="58"/>
    <n v="11.12"/>
    <n v="83.4"/>
    <n v="2026"/>
    <n v="2"/>
    <n v="2025"/>
    <n v="11"/>
    <n v="11"/>
    <x v="24"/>
    <x v="24"/>
    <n v="10427.1"/>
  </r>
  <r>
    <d v="2026-02-01T00:00:00"/>
    <s v="OPT-NIFTY-03-Feb-2026-25300-C-E-I"/>
    <s v="NSE"/>
    <x v="1"/>
    <n v="130"/>
    <n v="0"/>
    <n v="67.150000000000006"/>
    <n v="8729.5"/>
    <s v="#202602012700036696"/>
    <n v="0"/>
    <n v="3.1"/>
    <n v="0.23"/>
    <n v="0.01"/>
    <n v="58"/>
    <n v="11"/>
    <n v="72.34"/>
    <n v="2026"/>
    <n v="2"/>
    <n v="2025"/>
    <n v="11"/>
    <n v="11"/>
    <x v="24"/>
    <x v="24"/>
    <n v="-8801.84"/>
  </r>
  <r>
    <d v="2026-02-01T00:00:00"/>
    <s v="OPT-NIFTY-03-Feb-2026-25350-P-E-I"/>
    <s v="NSE"/>
    <x v="0"/>
    <n v="65"/>
    <n v="0"/>
    <n v="202"/>
    <n v="13130"/>
    <s v="#202602012700007743"/>
    <n v="13.13"/>
    <n v="4.67"/>
    <n v="0"/>
    <n v="0.01"/>
    <n v="29"/>
    <n v="6.06"/>
    <n v="52.87"/>
    <n v="2026"/>
    <n v="2"/>
    <n v="2025"/>
    <n v="11"/>
    <n v="11"/>
    <x v="24"/>
    <x v="24"/>
    <n v="13077.13"/>
  </r>
  <r>
    <d v="2026-02-01T00:00:00"/>
    <s v="OPT-NIFTY-03-Feb-2026-25350-P-E-I"/>
    <s v="NSE"/>
    <x v="1"/>
    <n v="65"/>
    <n v="0"/>
    <n v="208.65"/>
    <n v="13562.25"/>
    <s v="#202602012700006537"/>
    <n v="0"/>
    <n v="4.82"/>
    <n v="0.41"/>
    <n v="0.01"/>
    <n v="29"/>
    <n v="6.1"/>
    <n v="40.340000000000003"/>
    <n v="2026"/>
    <n v="2"/>
    <n v="2025"/>
    <n v="11"/>
    <n v="11"/>
    <x v="24"/>
    <x v="24"/>
    <n v="-13602.59"/>
  </r>
  <r>
    <d v="2026-02-01T00:00:00"/>
    <s v="OPT-NIFTY-03-Feb-2026-25300-C-E-I"/>
    <s v="NSE"/>
    <x v="0"/>
    <n v="65"/>
    <n v="0"/>
    <n v="208"/>
    <n v="13520"/>
    <s v="#202602012700003044"/>
    <n v="13.54"/>
    <n v="4.8"/>
    <n v="0"/>
    <n v="0.01"/>
    <n v="29"/>
    <n v="6.08"/>
    <n v="53.43"/>
    <n v="2026"/>
    <n v="2"/>
    <n v="2025"/>
    <n v="11"/>
    <n v="11"/>
    <x v="24"/>
    <x v="24"/>
    <n v="13466.57"/>
  </r>
  <r>
    <d v="2026-02-01T00:00:00"/>
    <s v="OPT-NIFTY-03-Feb-2026-25300-C-E-I"/>
    <s v="NSE"/>
    <x v="1"/>
    <n v="65"/>
    <n v="0"/>
    <n v="203.65"/>
    <n v="13237.25"/>
    <s v="#202602012700001323"/>
    <n v="0"/>
    <n v="4.7"/>
    <n v="0"/>
    <n v="0.01"/>
    <n v="29"/>
    <n v="6.06"/>
    <n v="39.770000000000003"/>
    <n v="2026"/>
    <n v="2"/>
    <n v="2025"/>
    <n v="11"/>
    <n v="11"/>
    <x v="24"/>
    <x v="24"/>
    <n v="-13277.02"/>
  </r>
  <r>
    <d v="2026-02-02T00:00:00"/>
    <s v="OPT-NIFTY-03-Feb-2026-25000-P-E-I"/>
    <s v="NSE"/>
    <x v="0"/>
    <n v="130"/>
    <n v="0"/>
    <n v="147.9"/>
    <n v="19227"/>
    <s v="#202602022700015491"/>
    <n v="19.22"/>
    <n v="6.84"/>
    <n v="0"/>
    <n v="0.02"/>
    <n v="58"/>
    <n v="11.68"/>
    <n v="95.76"/>
    <n v="2026"/>
    <n v="2"/>
    <n v="2025"/>
    <n v="11"/>
    <n v="11"/>
    <x v="24"/>
    <x v="24"/>
    <n v="19131.240000000002"/>
  </r>
  <r>
    <d v="2026-02-02T00:00:00"/>
    <s v="OPT-NIFTY-03-Feb-2026-25000-P-E-I"/>
    <s v="NSE"/>
    <x v="1"/>
    <n v="130"/>
    <n v="0"/>
    <n v="121.75"/>
    <n v="15827.5"/>
    <s v="#202602022700015225"/>
    <n v="0"/>
    <n v="5.62"/>
    <n v="0.47"/>
    <n v="0.02"/>
    <n v="58"/>
    <n v="11.46"/>
    <n v="75.569999999999993"/>
    <n v="2026"/>
    <n v="2"/>
    <n v="2025"/>
    <n v="11"/>
    <n v="11"/>
    <x v="24"/>
    <x v="24"/>
    <n v="-15903.07"/>
  </r>
  <r>
    <d v="2026-02-02T00:00:00"/>
    <s v="OPT-NIFTY-03-Feb-2026-24750-C-E-I"/>
    <s v="NSE"/>
    <x v="0"/>
    <n v="65"/>
    <n v="0"/>
    <n v="209.9"/>
    <n v="13643.5"/>
    <s v="#202602022700010801"/>
    <n v="13.64"/>
    <n v="4.8499999999999996"/>
    <n v="0"/>
    <n v="0.01"/>
    <n v="29"/>
    <n v="6.1"/>
    <n v="53.6"/>
    <n v="2026"/>
    <n v="2"/>
    <n v="2025"/>
    <n v="11"/>
    <n v="11"/>
    <x v="24"/>
    <x v="24"/>
    <n v="13589.9"/>
  </r>
  <r>
    <d v="2026-02-02T00:00:00"/>
    <s v="OPT-NIFTY-03-Feb-2026-24750-C-E-I"/>
    <s v="NSE"/>
    <x v="1"/>
    <n v="65"/>
    <n v="0"/>
    <n v="192.55"/>
    <n v="12515.75"/>
    <s v="#202602022700010309"/>
    <n v="0"/>
    <n v="4.45"/>
    <n v="0"/>
    <n v="0.01"/>
    <n v="29"/>
    <n v="6.02"/>
    <n v="39.479999999999997"/>
    <n v="2026"/>
    <n v="2"/>
    <n v="2025"/>
    <n v="11"/>
    <n v="11"/>
    <x v="24"/>
    <x v="24"/>
    <n v="-12555.23"/>
  </r>
  <r>
    <d v="2026-02-02T00:00:00"/>
    <s v="OPT-NIFTY-03-Feb-2026-24750-C-E-I"/>
    <s v="NSE"/>
    <x v="0"/>
    <n v="65"/>
    <n v="0"/>
    <n v="114.15"/>
    <n v="7419.75"/>
    <s v="#202602022700008155"/>
    <n v="7.42"/>
    <n v="2.64"/>
    <n v="0"/>
    <n v="0.01"/>
    <n v="29"/>
    <n v="5.7"/>
    <n v="44.77"/>
    <n v="2026"/>
    <n v="2"/>
    <n v="2025"/>
    <n v="11"/>
    <n v="11"/>
    <x v="24"/>
    <x v="24"/>
    <n v="7374.98"/>
  </r>
  <r>
    <d v="2026-02-02T00:00:00"/>
    <s v="OPT-NIFTY-03-Feb-2026-24750-C-E-I"/>
    <s v="NSE"/>
    <x v="1"/>
    <n v="65"/>
    <n v="0"/>
    <n v="116.4"/>
    <n v="7566"/>
    <s v="#202602022700007860"/>
    <n v="0"/>
    <n v="2.69"/>
    <n v="0.19"/>
    <n v="0.01"/>
    <n v="29"/>
    <n v="5.7"/>
    <n v="37.590000000000003"/>
    <n v="2026"/>
    <n v="2"/>
    <n v="2025"/>
    <n v="11"/>
    <n v="11"/>
    <x v="24"/>
    <x v="24"/>
    <n v="-7603.59"/>
  </r>
  <r>
    <d v="2026-02-02T00:00:00"/>
    <s v="OPT-NIFTY-03-Feb-2026-24900-P-E-I"/>
    <s v="NSE"/>
    <x v="0"/>
    <n v="65"/>
    <n v="0"/>
    <n v="196.9"/>
    <n v="12798.5"/>
    <s v="#202602022700004481"/>
    <n v="12.71"/>
    <n v="4.55"/>
    <n v="0"/>
    <n v="0.01"/>
    <n v="29"/>
    <n v="6.04"/>
    <n v="52.31"/>
    <n v="2026"/>
    <n v="2"/>
    <n v="2025"/>
    <n v="11"/>
    <n v="11"/>
    <x v="24"/>
    <x v="24"/>
    <n v="12746.19"/>
  </r>
  <r>
    <d v="2026-02-02T00:00:00"/>
    <s v="OPT-NIFTY-03-Feb-2026-24900-P-E-I"/>
    <s v="NSE"/>
    <x v="1"/>
    <n v="65"/>
    <n v="0"/>
    <n v="176.65"/>
    <n v="11482.25"/>
    <s v="#202602022700003161"/>
    <n v="0"/>
    <n v="4.08"/>
    <n v="0.34"/>
    <n v="0.01"/>
    <n v="29"/>
    <n v="5.96"/>
    <n v="39.39"/>
    <n v="2026"/>
    <n v="2"/>
    <n v="2025"/>
    <n v="11"/>
    <n v="11"/>
    <x v="24"/>
    <x v="24"/>
    <n v="-11521.64"/>
  </r>
  <r>
    <d v="2026-02-03T00:00:00"/>
    <s v="OPT-NIFTY-03-Feb-2026-25850-P-E-I"/>
    <s v="NSE"/>
    <x v="0"/>
    <n v="195"/>
    <n v="0"/>
    <n v="109.9"/>
    <n v="21430.5"/>
    <s v="#202602032700041857"/>
    <n v="21"/>
    <n v="7.61"/>
    <n v="0"/>
    <n v="0.02"/>
    <n v="87"/>
    <n v="17.04"/>
    <n v="132.66999999999999"/>
    <n v="2026"/>
    <n v="2"/>
    <n v="2025"/>
    <n v="11"/>
    <n v="11"/>
    <x v="24"/>
    <x v="24"/>
    <n v="21297.83"/>
  </r>
  <r>
    <d v="2026-02-03T00:00:00"/>
    <s v="OPT-NIFTY-03-Feb-2026-25850-P-E-I"/>
    <s v="NSE"/>
    <x v="1"/>
    <n v="65"/>
    <n v="0"/>
    <n v="102.35"/>
    <n v="6652.75"/>
    <s v="#202602032700024018"/>
    <n v="0"/>
    <n v="2.36"/>
    <n v="0"/>
    <n v="0.01"/>
    <n v="29"/>
    <n v="5.64"/>
    <n v="37.01"/>
    <n v="2026"/>
    <n v="2"/>
    <n v="2025"/>
    <n v="11"/>
    <n v="11"/>
    <x v="24"/>
    <x v="24"/>
    <n v="-6689.76"/>
  </r>
  <r>
    <d v="2026-02-03T00:00:00"/>
    <s v="OPT-NIFTY-03-Feb-2026-25850-P-E-I"/>
    <s v="NSE"/>
    <x v="1"/>
    <n v="65"/>
    <n v="0"/>
    <n v="161.1"/>
    <n v="10471.5"/>
    <s v="#202602032700017343"/>
    <n v="0"/>
    <n v="3.72"/>
    <n v="0"/>
    <n v="0.01"/>
    <n v="29"/>
    <n v="5.9"/>
    <n v="38.630000000000003"/>
    <n v="2026"/>
    <n v="2"/>
    <n v="2025"/>
    <n v="11"/>
    <n v="11"/>
    <x v="24"/>
    <x v="24"/>
    <n v="-10510.13"/>
  </r>
  <r>
    <d v="2026-02-03T00:00:00"/>
    <s v="OPT-NIFTY-03-Feb-2026-25850-P-E-I"/>
    <s v="NSE"/>
    <x v="1"/>
    <n v="65"/>
    <n v="0"/>
    <n v="149.30000000000001"/>
    <n v="9704.5"/>
    <s v="#202602032700004937"/>
    <n v="0"/>
    <n v="3.45"/>
    <n v="1"/>
    <n v="0.01"/>
    <n v="29"/>
    <n v="5.84"/>
    <n v="39.299999999999997"/>
    <n v="2026"/>
    <n v="2"/>
    <n v="2025"/>
    <n v="11"/>
    <n v="11"/>
    <x v="24"/>
    <x v="24"/>
    <n v="-9743.7999999999993"/>
  </r>
  <r>
    <d v="2026-02-04T00:00:00"/>
    <s v="OPT-NIFTY-10-Feb-2026-25700-C-E-I"/>
    <s v="NSE"/>
    <x v="0"/>
    <n v="65"/>
    <n v="0"/>
    <n v="174"/>
    <n v="11310"/>
    <s v="#202602042700014241"/>
    <n v="11.31"/>
    <n v="4.0199999999999996"/>
    <n v="0"/>
    <n v="0.01"/>
    <n v="29"/>
    <n v="5.94"/>
    <n v="50.28"/>
    <n v="2026"/>
    <n v="2"/>
    <n v="2025"/>
    <n v="11"/>
    <n v="11"/>
    <x v="24"/>
    <x v="24"/>
    <n v="11259.72"/>
  </r>
  <r>
    <d v="2026-02-04T00:00:00"/>
    <s v="OPT-NIFTY-10-Feb-2026-25700-C-E-I"/>
    <s v="NSE"/>
    <x v="1"/>
    <n v="65"/>
    <n v="0"/>
    <n v="174.5"/>
    <n v="11342.5"/>
    <s v="#202602042700014076"/>
    <n v="0"/>
    <n v="4.03"/>
    <n v="0.34"/>
    <n v="0.01"/>
    <n v="29"/>
    <n v="5.94"/>
    <n v="39.32"/>
    <n v="2026"/>
    <n v="2"/>
    <n v="2025"/>
    <n v="11"/>
    <n v="11"/>
    <x v="24"/>
    <x v="24"/>
    <n v="-11381.82"/>
  </r>
  <r>
    <d v="2026-02-04T00:00:00"/>
    <s v="OPT-NIFTY-10-Feb-2026-25750-C-E-I"/>
    <s v="NSE"/>
    <x v="0"/>
    <n v="65"/>
    <n v="0"/>
    <n v="169.9"/>
    <n v="11043.5"/>
    <s v="#202602042700011441"/>
    <n v="11.04"/>
    <n v="3.92"/>
    <n v="0"/>
    <n v="0.01"/>
    <n v="29"/>
    <n v="5.92"/>
    <n v="49.89"/>
    <n v="2026"/>
    <n v="2"/>
    <n v="2025"/>
    <n v="11"/>
    <n v="11"/>
    <x v="24"/>
    <x v="24"/>
    <n v="10993.61"/>
  </r>
  <r>
    <d v="2026-02-04T00:00:00"/>
    <s v="OPT-NIFTY-10-Feb-2026-25750-C-E-I"/>
    <s v="NSE"/>
    <x v="1"/>
    <n v="65"/>
    <n v="0"/>
    <n v="160.25"/>
    <n v="10416.25"/>
    <s v="#202602042700011393"/>
    <n v="0"/>
    <n v="3.7"/>
    <n v="0.31"/>
    <n v="0.01"/>
    <n v="29"/>
    <n v="5.88"/>
    <n v="38.9"/>
    <n v="2026"/>
    <n v="2"/>
    <n v="2025"/>
    <n v="11"/>
    <n v="11"/>
    <x v="24"/>
    <x v="24"/>
    <n v="-10455.15"/>
  </r>
  <r>
    <d v="2026-02-04T00:00:00"/>
    <s v="OPT-NIFTY-10-Feb-2026-25800-P-E-I"/>
    <s v="NSE"/>
    <x v="0"/>
    <n v="130"/>
    <n v="0"/>
    <n v="199.9"/>
    <n v="25987"/>
    <s v="#202602042700004029"/>
    <n v="25.64"/>
    <n v="9.24"/>
    <n v="0"/>
    <n v="0.02"/>
    <n v="58"/>
    <n v="12.12"/>
    <n v="105.02"/>
    <n v="2026"/>
    <n v="2"/>
    <n v="2025"/>
    <n v="11"/>
    <n v="11"/>
    <x v="24"/>
    <x v="24"/>
    <n v="25881.98"/>
  </r>
  <r>
    <d v="2026-02-04T00:00:00"/>
    <s v="OPT-NIFTY-10-Feb-2026-25800-P-E-I"/>
    <s v="NSE"/>
    <x v="1"/>
    <n v="65"/>
    <n v="0"/>
    <n v="179.95"/>
    <n v="11696.75"/>
    <s v="#202602042700003717"/>
    <n v="0"/>
    <n v="4.16"/>
    <n v="0"/>
    <n v="0.01"/>
    <n v="29"/>
    <n v="5.98"/>
    <n v="39.15"/>
    <n v="2026"/>
    <n v="2"/>
    <n v="2025"/>
    <n v="11"/>
    <n v="11"/>
    <x v="24"/>
    <x v="24"/>
    <n v="-11735.9"/>
  </r>
  <r>
    <d v="2026-02-04T00:00:00"/>
    <s v="OPT-NIFTY-10-Feb-2026-25800-P-E-I"/>
    <s v="NSE"/>
    <x v="1"/>
    <n v="65"/>
    <n v="0"/>
    <n v="190.75"/>
    <n v="12398.75"/>
    <s v="#202602042700003071"/>
    <n v="0"/>
    <n v="4.41"/>
    <n v="0.35"/>
    <n v="0.01"/>
    <n v="29"/>
    <n v="6.02"/>
    <n v="39.79"/>
    <n v="2026"/>
    <n v="2"/>
    <n v="2025"/>
    <n v="11"/>
    <n v="11"/>
    <x v="24"/>
    <x v="24"/>
    <n v="-12438.54"/>
  </r>
  <r>
    <d v="2026-02-05T00:00:00"/>
    <s v="OPT-NIFTY-10-Feb-2026-25750-P-E-I"/>
    <s v="NSE"/>
    <x v="1"/>
    <n v="130"/>
    <n v="0"/>
    <n v="202.35"/>
    <n v="26305.5"/>
    <s v="#202602052700013840"/>
    <n v="0"/>
    <n v="9.35"/>
    <n v="1.35"/>
    <n v="0.03"/>
    <n v="58"/>
    <n v="12.12"/>
    <n v="80.849999999999994"/>
    <n v="2026"/>
    <n v="2"/>
    <n v="2025"/>
    <n v="11"/>
    <n v="11"/>
    <x v="24"/>
    <x v="24"/>
    <n v="-26386.35"/>
  </r>
  <r>
    <d v="2026-02-05T00:00:00"/>
    <s v="OPT-NIFTY-10-Feb-2026-25750-P-E-I"/>
    <s v="NSE"/>
    <x v="0"/>
    <n v="65"/>
    <n v="0"/>
    <n v="201"/>
    <n v="13065"/>
    <s v="#202602052700013503"/>
    <n v="13.07"/>
    <n v="4.6399999999999997"/>
    <n v="0"/>
    <n v="0.01"/>
    <n v="29"/>
    <n v="6.06"/>
    <n v="52.78"/>
    <n v="2026"/>
    <n v="2"/>
    <n v="2025"/>
    <n v="11"/>
    <n v="11"/>
    <x v="24"/>
    <x v="24"/>
    <n v="13012.22"/>
  </r>
  <r>
    <d v="2026-02-05T00:00:00"/>
    <s v="OPT-NIFTY-10-Feb-2026-25750-P-E-I"/>
    <s v="NSE"/>
    <x v="1"/>
    <n v="65"/>
    <n v="0"/>
    <n v="200.1"/>
    <n v="13006.5"/>
    <s v="#202602052700006177"/>
    <n v="0"/>
    <n v="4.62"/>
    <n v="0"/>
    <n v="0.01"/>
    <n v="29"/>
    <n v="6.06"/>
    <n v="39.69"/>
    <n v="2026"/>
    <n v="2"/>
    <n v="2025"/>
    <n v="11"/>
    <n v="11"/>
    <x v="24"/>
    <x v="24"/>
    <n v="-13046.19"/>
  </r>
  <r>
    <d v="2026-02-05T00:00:00"/>
    <s v="OPT-NIFTY-10-Feb-2026-25650-C-E-I"/>
    <s v="NSE"/>
    <x v="0"/>
    <n v="65"/>
    <n v="0"/>
    <n v="153.5"/>
    <n v="9977.5"/>
    <s v="#202602052700004901"/>
    <n v="9.98"/>
    <n v="3.55"/>
    <n v="0"/>
    <n v="0.01"/>
    <n v="29"/>
    <n v="5.86"/>
    <n v="48.4"/>
    <n v="2026"/>
    <n v="2"/>
    <n v="2025"/>
    <n v="11"/>
    <n v="11"/>
    <x v="24"/>
    <x v="24"/>
    <n v="9929.1"/>
  </r>
  <r>
    <d v="2026-02-05T00:00:00"/>
    <s v="OPT-NIFTY-10-Feb-2026-25650-C-E-I"/>
    <s v="NSE"/>
    <x v="1"/>
    <n v="65"/>
    <n v="0"/>
    <n v="167.05"/>
    <n v="10858.25"/>
    <s v="#202602052700004045"/>
    <n v="0"/>
    <n v="3.86"/>
    <n v="0"/>
    <n v="0.01"/>
    <n v="29"/>
    <n v="5.92"/>
    <n v="38.79"/>
    <n v="2026"/>
    <n v="2"/>
    <n v="2025"/>
    <n v="11"/>
    <n v="11"/>
    <x v="24"/>
    <x v="24"/>
    <n v="-10897.04"/>
  </r>
  <r>
    <d v="2026-02-05T00:00:00"/>
    <s v="OPT-NIFTY-10-Feb-2026-25650-C-E-I"/>
    <s v="NSE"/>
    <x v="0"/>
    <n v="65"/>
    <n v="0"/>
    <n v="187.9"/>
    <n v="12213.5"/>
    <s v="#202602052700002983"/>
    <n v="12.37"/>
    <n v="4.34"/>
    <n v="0"/>
    <n v="0.01"/>
    <n v="29"/>
    <n v="6"/>
    <n v="51.72"/>
    <n v="2026"/>
    <n v="2"/>
    <n v="2025"/>
    <n v="11"/>
    <n v="11"/>
    <x v="24"/>
    <x v="24"/>
    <n v="12161.78"/>
  </r>
  <r>
    <d v="2026-02-05T00:00:00"/>
    <s v="OPT-NIFTY-10-Feb-2026-25650-C-E-I"/>
    <s v="NSE"/>
    <x v="1"/>
    <n v="65"/>
    <n v="0"/>
    <n v="167.6"/>
    <n v="10894"/>
    <s v="#202602052700002573"/>
    <n v="0"/>
    <n v="3.87"/>
    <n v="0.65"/>
    <n v="0.01"/>
    <n v="29"/>
    <n v="5.92"/>
    <n v="39.450000000000003"/>
    <n v="2026"/>
    <n v="2"/>
    <n v="2025"/>
    <n v="11"/>
    <n v="11"/>
    <x v="24"/>
    <x v="24"/>
    <n v="-10933.45"/>
  </r>
  <r>
    <d v="2026-02-05T00:00:00"/>
    <s v="OPT-NIFTY-10-Feb-2026-25750-P-E-I"/>
    <s v="NSE"/>
    <x v="0"/>
    <n v="130"/>
    <n v="0"/>
    <n v="219.9"/>
    <n v="28587"/>
    <s v="#202602052600001220"/>
    <n v="28.59"/>
    <n v="10.16"/>
    <n v="0"/>
    <n v="0.03"/>
    <n v="58"/>
    <n v="12.28"/>
    <n v="109.06"/>
    <n v="2026"/>
    <n v="2"/>
    <n v="2025"/>
    <n v="11"/>
    <n v="11"/>
    <x v="24"/>
    <x v="24"/>
    <n v="28477.94"/>
  </r>
  <r>
    <d v="2026-02-11T00:00:00"/>
    <s v="OPT-ICIBAN-24-Feb-2026-1380-P-E-S"/>
    <s v="NSE"/>
    <x v="1"/>
    <n v="700"/>
    <n v="0"/>
    <n v="5.15"/>
    <n v="3605"/>
    <s v="#202602112700002859"/>
    <n v="0"/>
    <n v="1.28"/>
    <n v="0"/>
    <n v="0"/>
    <n v="29"/>
    <n v="5.46"/>
    <n v="35.74"/>
    <n v="2026"/>
    <n v="2"/>
    <n v="2025"/>
    <n v="11"/>
    <n v="11"/>
    <x v="24"/>
    <x v="24"/>
    <n v="-3640.74"/>
  </r>
  <r>
    <d v="2026-02-12T00:00:00"/>
    <s v="OPT-ICIBAN-24-Feb-2026-1380-P-E-S"/>
    <s v="NSE"/>
    <x v="1"/>
    <n v="1400"/>
    <n v="0"/>
    <n v="3.1"/>
    <n v="4340"/>
    <s v="#202602122700002139"/>
    <n v="0"/>
    <n v="1.54"/>
    <n v="0"/>
    <n v="0"/>
    <n v="58"/>
    <n v="10.72"/>
    <n v="70.260000000000005"/>
    <n v="2026"/>
    <n v="2"/>
    <n v="2025"/>
    <n v="11"/>
    <n v="11"/>
    <x v="24"/>
    <x v="24"/>
    <n v="-4410.26"/>
  </r>
  <r>
    <d v="2026-02-16T00:00:00"/>
    <s v="OPT-ICIBAN-24-Feb-2026-1380-P-E-S"/>
    <s v="NSE"/>
    <x v="0"/>
    <n v="2100"/>
    <n v="0"/>
    <n v="3.9"/>
    <n v="8190"/>
    <s v="#202602162700016857"/>
    <n v="8"/>
    <n v="2.91"/>
    <n v="0"/>
    <n v="0"/>
    <n v="87"/>
    <n v="16.2"/>
    <n v="114.11"/>
    <n v="2026"/>
    <n v="2"/>
    <n v="2025"/>
    <n v="11"/>
    <n v="11"/>
    <x v="24"/>
    <x v="24"/>
    <n v="8075.89"/>
  </r>
  <r>
    <d v="2026-02-17T00:00:00"/>
    <s v="OPT-NIFTY-17-Feb-2026-25750-P-E-I"/>
    <s v="NSE"/>
    <x v="0"/>
    <n v="130"/>
    <n v="0"/>
    <n v="13.05"/>
    <n v="1696.5"/>
    <s v="#202602172700023141"/>
    <n v="1.7"/>
    <n v="0.6"/>
    <n v="0"/>
    <n v="0"/>
    <n v="58"/>
    <n v="10.54"/>
    <n v="70.84"/>
    <n v="2026"/>
    <n v="2"/>
    <n v="2025"/>
    <n v="11"/>
    <n v="11"/>
    <x v="24"/>
    <x v="24"/>
    <n v="1625.66"/>
  </r>
  <r>
    <d v="2026-02-17T00:00:00"/>
    <s v="OPT-NIFTY-17-Feb-2026-25750-P-E-I"/>
    <s v="NSE"/>
    <x v="1"/>
    <n v="130"/>
    <n v="0"/>
    <n v="37.5"/>
    <n v="4875"/>
    <s v="#202602172700022984"/>
    <n v="0"/>
    <n v="1.73"/>
    <n v="0.15"/>
    <n v="0"/>
    <n v="58"/>
    <n v="10.76"/>
    <n v="70.64"/>
    <n v="2026"/>
    <n v="2"/>
    <n v="2025"/>
    <n v="11"/>
    <n v="11"/>
    <x v="24"/>
    <x v="24"/>
    <n v="-4945.6400000000003"/>
  </r>
  <r>
    <d v="2026-02-17T00:00:00"/>
    <s v="OPT-NIFTY-17-Feb-2026-25550-C-E-I"/>
    <s v="NSE"/>
    <x v="0"/>
    <n v="65"/>
    <n v="0"/>
    <n v="147.9"/>
    <n v="9613.5"/>
    <s v="#202602172700010664"/>
    <n v="9.61"/>
    <n v="3.42"/>
    <n v="0"/>
    <n v="0.01"/>
    <n v="29"/>
    <n v="5.84"/>
    <n v="47.88"/>
    <n v="2026"/>
    <n v="2"/>
    <n v="2025"/>
    <n v="11"/>
    <n v="11"/>
    <x v="24"/>
    <x v="24"/>
    <n v="9565.6200000000008"/>
  </r>
  <r>
    <d v="2026-02-17T00:00:00"/>
    <s v="OPT-NIFTY-17-Feb-2026-25550-C-E-I"/>
    <s v="NSE"/>
    <x v="1"/>
    <n v="65"/>
    <n v="0"/>
    <n v="116.9"/>
    <n v="7598.5"/>
    <s v="#202602172700009894"/>
    <n v="0"/>
    <n v="2.7"/>
    <n v="0"/>
    <n v="0.01"/>
    <n v="29"/>
    <n v="5.7"/>
    <n v="37.409999999999997"/>
    <n v="2026"/>
    <n v="2"/>
    <n v="2025"/>
    <n v="11"/>
    <n v="11"/>
    <x v="24"/>
    <x v="24"/>
    <n v="-7635.91"/>
  </r>
  <r>
    <d v="2026-02-17T00:00:00"/>
    <s v="OPT-NIFTY-17-Feb-2026-25550-C-E-I"/>
    <s v="NSE"/>
    <x v="0"/>
    <n v="65"/>
    <n v="0"/>
    <n v="76.45"/>
    <n v="4969.25"/>
    <s v="#202602172700002346"/>
    <n v="4.6900000000000004"/>
    <n v="1.77"/>
    <n v="0"/>
    <n v="0.01"/>
    <n v="29"/>
    <n v="5.54"/>
    <n v="41.01"/>
    <n v="2026"/>
    <n v="2"/>
    <n v="2025"/>
    <n v="11"/>
    <n v="11"/>
    <x v="24"/>
    <x v="24"/>
    <n v="4928.24"/>
  </r>
  <r>
    <d v="2026-02-17T00:00:00"/>
    <s v="OPT-NIFTY-17-Feb-2026-25550-C-E-I"/>
    <s v="NSE"/>
    <x v="1"/>
    <n v="65"/>
    <n v="0"/>
    <n v="65.8"/>
    <n v="4277"/>
    <s v="#202602172700002118"/>
    <n v="0"/>
    <n v="1.52"/>
    <n v="0.85"/>
    <n v="0"/>
    <n v="29"/>
    <n v="5.5"/>
    <n v="36.869999999999997"/>
    <n v="2026"/>
    <n v="2"/>
    <n v="2025"/>
    <n v="11"/>
    <n v="11"/>
    <x v="24"/>
    <x v="24"/>
    <n v="-4313.87"/>
  </r>
  <r>
    <d v="2026-02-18T00:00:00"/>
    <s v="OPT-NIFTY-24-Feb-2026-25700-P-E-I"/>
    <s v="NSE"/>
    <x v="0"/>
    <n v="130"/>
    <n v="0"/>
    <n v="106.05"/>
    <n v="13786.5"/>
    <s v="#202602182700010968"/>
    <n v="13.79"/>
    <n v="4.9000000000000004"/>
    <n v="0"/>
    <n v="0.01"/>
    <n v="58"/>
    <n v="11.32"/>
    <n v="88.02"/>
    <n v="2026"/>
    <n v="2"/>
    <n v="2025"/>
    <n v="11"/>
    <n v="11"/>
    <x v="24"/>
    <x v="24"/>
    <n v="13698.48"/>
  </r>
  <r>
    <d v="2026-02-18T00:00:00"/>
    <s v="OPT-NIFTY-24-Feb-2026-25700-P-E-I"/>
    <s v="NSE"/>
    <x v="1"/>
    <n v="130"/>
    <n v="0"/>
    <n v="103.8"/>
    <n v="13494"/>
    <s v="#202602182700010073"/>
    <n v="0"/>
    <n v="4.79"/>
    <n v="1.57"/>
    <n v="0.01"/>
    <n v="58"/>
    <n v="11.3"/>
    <n v="75.67"/>
    <n v="2026"/>
    <n v="2"/>
    <n v="2025"/>
    <n v="11"/>
    <n v="11"/>
    <x v="24"/>
    <x v="24"/>
    <n v="-13569.67"/>
  </r>
  <r>
    <d v="2026-02-18T00:00:00"/>
    <s v="OPT-NIFTY-24-Feb-2026-25750-C-E-I"/>
    <s v="NSE"/>
    <x v="0"/>
    <n v="130"/>
    <n v="0"/>
    <n v="114.9"/>
    <n v="14937"/>
    <s v="#202602182700007909"/>
    <n v="14.94"/>
    <n v="5.31"/>
    <n v="0"/>
    <n v="0.01"/>
    <n v="58"/>
    <n v="11.4"/>
    <n v="89.66"/>
    <n v="2026"/>
    <n v="2"/>
    <n v="2025"/>
    <n v="11"/>
    <n v="11"/>
    <x v="24"/>
    <x v="24"/>
    <n v="14847.34"/>
  </r>
  <r>
    <d v="2026-02-18T00:00:00"/>
    <s v="OPT-NIFTY-24-Feb-2026-25750-C-E-I"/>
    <s v="NSE"/>
    <x v="1"/>
    <n v="65"/>
    <n v="0"/>
    <n v="109.5"/>
    <n v="7117.5"/>
    <s v="#202602182700007719"/>
    <n v="0"/>
    <n v="2.5299999999999998"/>
    <n v="0.43"/>
    <n v="0.01"/>
    <n v="29"/>
    <n v="5.68"/>
    <n v="37.65"/>
    <n v="2026"/>
    <n v="2"/>
    <n v="2025"/>
    <n v="11"/>
    <n v="11"/>
    <x v="24"/>
    <x v="24"/>
    <n v="-7155.15"/>
  </r>
  <r>
    <d v="2026-02-18T00:00:00"/>
    <s v="OPT-NIFTY-24-Feb-2026-25750-C-E-I"/>
    <s v="NSE"/>
    <x v="1"/>
    <n v="65"/>
    <n v="0"/>
    <n v="110.4"/>
    <n v="7176"/>
    <s v="#202602182700007680"/>
    <n v="0"/>
    <n v="2.5499999999999998"/>
    <n v="0"/>
    <n v="0.01"/>
    <n v="29"/>
    <n v="5.68"/>
    <n v="37.24"/>
    <n v="2026"/>
    <n v="2"/>
    <n v="2025"/>
    <n v="11"/>
    <n v="11"/>
    <x v="24"/>
    <x v="24"/>
    <n v="-7213.24"/>
  </r>
  <r>
    <d v="2026-02-18T00:00:00"/>
    <s v="OPT-NIFTY-24-Feb-2026-25700-P-E-I"/>
    <s v="NSE"/>
    <x v="0"/>
    <n v="65"/>
    <n v="0"/>
    <n v="132"/>
    <n v="8580"/>
    <s v="#202602182700007358"/>
    <n v="8.58"/>
    <n v="3.05"/>
    <n v="0"/>
    <n v="0.01"/>
    <n v="29"/>
    <n v="5.78"/>
    <n v="46.42"/>
    <n v="2026"/>
    <n v="2"/>
    <n v="2025"/>
    <n v="11"/>
    <n v="11"/>
    <x v="24"/>
    <x v="24"/>
    <n v="8533.58"/>
  </r>
  <r>
    <d v="2026-02-18T00:00:00"/>
    <s v="OPT-NIFTY-24-Feb-2026-25700-P-E-I"/>
    <s v="NSE"/>
    <x v="1"/>
    <n v="65"/>
    <n v="0"/>
    <n v="125.35"/>
    <n v="8147.75"/>
    <s v="#202602182700007305"/>
    <n v="0"/>
    <n v="2.89"/>
    <n v="0"/>
    <n v="0.01"/>
    <n v="29"/>
    <n v="5.74"/>
    <n v="37.64"/>
    <n v="2026"/>
    <n v="2"/>
    <n v="2025"/>
    <n v="11"/>
    <n v="11"/>
    <x v="24"/>
    <x v="24"/>
    <n v="-8185.39"/>
  </r>
  <r>
    <d v="2026-02-18T00:00:00"/>
    <s v="OPT-NIFTY-24-Feb-2026-25700-P-E-I"/>
    <s v="NSE"/>
    <x v="0"/>
    <n v="65"/>
    <n v="0"/>
    <n v="139.9"/>
    <n v="9093.5"/>
    <s v="#202602182700003253"/>
    <n v="9.09"/>
    <n v="3.23"/>
    <n v="0"/>
    <n v="0.01"/>
    <n v="29"/>
    <n v="5.8"/>
    <n v="47.13"/>
    <n v="2026"/>
    <n v="2"/>
    <n v="2025"/>
    <n v="11"/>
    <n v="11"/>
    <x v="24"/>
    <x v="24"/>
    <n v="9046.3700000000008"/>
  </r>
  <r>
    <d v="2026-02-18T00:00:00"/>
    <s v="OPT-NIFTY-24-Feb-2026-25700-P-E-I"/>
    <s v="NSE"/>
    <x v="0"/>
    <n v="65"/>
    <n v="0"/>
    <n v="127.9"/>
    <n v="8313.5"/>
    <s v="#202602182700003132"/>
    <n v="8.6"/>
    <n v="2.95"/>
    <n v="0"/>
    <n v="0.01"/>
    <n v="29"/>
    <n v="5.76"/>
    <n v="46.32"/>
    <n v="2026"/>
    <n v="2"/>
    <n v="2025"/>
    <n v="11"/>
    <n v="11"/>
    <x v="24"/>
    <x v="24"/>
    <n v="8267.18"/>
  </r>
  <r>
    <d v="2026-02-18T00:00:00"/>
    <s v="OPT-NIFTY-24-Feb-2026-25700-P-E-I"/>
    <s v="NSE"/>
    <x v="1"/>
    <n v="65"/>
    <n v="0"/>
    <n v="118.95"/>
    <n v="7731.75"/>
    <s v="#202602182700001708"/>
    <n v="0"/>
    <n v="2.75"/>
    <n v="0"/>
    <n v="0.01"/>
    <n v="29"/>
    <n v="5.72"/>
    <n v="37.479999999999997"/>
    <n v="2026"/>
    <n v="2"/>
    <n v="2025"/>
    <n v="11"/>
    <n v="11"/>
    <x v="24"/>
    <x v="24"/>
    <n v="-7769.23"/>
  </r>
  <r>
    <d v="2026-02-18T00:00:00"/>
    <s v="OPT-NIFTY-24-Feb-2026-25700-P-E-I"/>
    <s v="NSE"/>
    <x v="1"/>
    <n v="65"/>
    <n v="0"/>
    <n v="116.25"/>
    <n v="7556.25"/>
    <s v="#202602182700001612"/>
    <n v="0"/>
    <n v="2.68"/>
    <n v="0"/>
    <n v="0.01"/>
    <n v="29"/>
    <n v="5.7"/>
    <n v="37.39"/>
    <n v="2026"/>
    <n v="2"/>
    <n v="2025"/>
    <n v="11"/>
    <n v="11"/>
    <x v="24"/>
    <x v="24"/>
    <n v="-7593.64"/>
  </r>
  <r>
    <d v="2026-02-19T00:00:00"/>
    <s v="OPT-NIFTY-24-Feb-2026-25550-C-E-I"/>
    <s v="NSE"/>
    <x v="1"/>
    <n v="130"/>
    <n v="0"/>
    <n v="122.3"/>
    <n v="15899"/>
    <s v="#202602192700014494"/>
    <n v="0"/>
    <n v="5.64"/>
    <n v="0.48"/>
    <n v="0.02"/>
    <n v="58"/>
    <n v="11.44"/>
    <n v="75.58"/>
    <n v="2026"/>
    <n v="2"/>
    <n v="2025"/>
    <n v="11"/>
    <n v="11"/>
    <x v="24"/>
    <x v="24"/>
    <n v="-15974.58"/>
  </r>
  <r>
    <d v="2026-02-19T00:00:00"/>
    <s v="OPT-NIFTY-24-Feb-2026-25650-P-E-I"/>
    <s v="NSE"/>
    <x v="0"/>
    <n v="65"/>
    <n v="0"/>
    <n v="189.9"/>
    <n v="12343.5"/>
    <s v="#202602192700013154"/>
    <n v="12.34"/>
    <n v="4.3899999999999997"/>
    <n v="0"/>
    <n v="0.01"/>
    <n v="29"/>
    <n v="6.02"/>
    <n v="51.76"/>
    <n v="2026"/>
    <n v="2"/>
    <n v="2025"/>
    <n v="11"/>
    <n v="11"/>
    <x v="24"/>
    <x v="24"/>
    <n v="12291.74"/>
  </r>
  <r>
    <d v="2026-02-19T00:00:00"/>
    <s v="OPT-NIFTY-24-Feb-2026-25650-P-E-I"/>
    <s v="NSE"/>
    <x v="1"/>
    <n v="65"/>
    <n v="0"/>
    <n v="162.25"/>
    <n v="10546.25"/>
    <s v="#202602192700013017"/>
    <n v="0"/>
    <n v="3.75"/>
    <n v="0.32"/>
    <n v="0.01"/>
    <n v="29"/>
    <n v="5.9"/>
    <n v="38.979999999999997"/>
    <n v="2026"/>
    <n v="2"/>
    <n v="2025"/>
    <n v="11"/>
    <n v="11"/>
    <x v="24"/>
    <x v="24"/>
    <n v="-10585.23"/>
  </r>
  <r>
    <d v="2026-02-19T00:00:00"/>
    <s v="OPT-NIFTY-24-Feb-2026-25800-C-E-I"/>
    <s v="NSE"/>
    <x v="0"/>
    <n v="130"/>
    <n v="0"/>
    <n v="99.9"/>
    <n v="12987"/>
    <s v="#202602192700005810"/>
    <n v="12.98"/>
    <n v="4.62"/>
    <n v="0"/>
    <n v="0.02"/>
    <n v="58"/>
    <n v="11.28"/>
    <n v="86.9"/>
    <n v="2026"/>
    <n v="2"/>
    <n v="2025"/>
    <n v="11"/>
    <n v="11"/>
    <x v="24"/>
    <x v="24"/>
    <n v="12900.1"/>
  </r>
  <r>
    <d v="2026-02-19T00:00:00"/>
    <s v="OPT-NIFTY-24-Feb-2026-25800-C-E-I"/>
    <s v="NSE"/>
    <x v="1"/>
    <n v="130"/>
    <n v="0"/>
    <n v="97.7"/>
    <n v="12701"/>
    <s v="#202602192700005627"/>
    <n v="0"/>
    <n v="4.5199999999999996"/>
    <n v="0"/>
    <n v="0.02"/>
    <n v="58"/>
    <n v="11.24"/>
    <n v="73.78"/>
    <n v="2026"/>
    <n v="2"/>
    <n v="2025"/>
    <n v="11"/>
    <n v="11"/>
    <x v="24"/>
    <x v="24"/>
    <n v="-12774.78"/>
  </r>
  <r>
    <d v="2026-02-19T00:00:00"/>
    <s v="OPT-NIFTY-24-Feb-2026-25800-C-E-I"/>
    <s v="NSE"/>
    <x v="0"/>
    <n v="65"/>
    <n v="0"/>
    <n v="107.75"/>
    <n v="7003.75"/>
    <s v="#202602192700004036"/>
    <n v="7"/>
    <n v="2.4900000000000002"/>
    <n v="0"/>
    <n v="0.01"/>
    <n v="29"/>
    <n v="5.66"/>
    <n v="44.16"/>
    <n v="2026"/>
    <n v="2"/>
    <n v="2025"/>
    <n v="11"/>
    <n v="11"/>
    <x v="24"/>
    <x v="24"/>
    <n v="6959.59"/>
  </r>
  <r>
    <d v="2026-02-19T00:00:00"/>
    <s v="OPT-NIFTY-24-Feb-2026-25800-C-E-I"/>
    <s v="NSE"/>
    <x v="0"/>
    <n v="65"/>
    <n v="0"/>
    <n v="113.9"/>
    <n v="7403.5"/>
    <s v="#202602192700003666"/>
    <n v="7.4"/>
    <n v="2.63"/>
    <n v="0"/>
    <n v="0.01"/>
    <n v="29"/>
    <n v="5.7"/>
    <n v="44.74"/>
    <n v="2026"/>
    <n v="2"/>
    <n v="2025"/>
    <n v="11"/>
    <n v="11"/>
    <x v="24"/>
    <x v="24"/>
    <n v="7358.76"/>
  </r>
  <r>
    <d v="2026-02-19T00:00:00"/>
    <s v="OPT-NIFTY-24-Feb-2026-25800-C-E-I"/>
    <s v="NSE"/>
    <x v="1"/>
    <n v="130"/>
    <n v="0"/>
    <n v="115.45"/>
    <n v="15008.5"/>
    <s v="#202602192700003595"/>
    <n v="0"/>
    <n v="5.33"/>
    <n v="1.2"/>
    <n v="0.02"/>
    <n v="58"/>
    <n v="11.4"/>
    <n v="75.95"/>
    <n v="2026"/>
    <n v="2"/>
    <n v="2025"/>
    <n v="11"/>
    <n v="11"/>
    <x v="24"/>
    <x v="24"/>
    <n v="-15084.45"/>
  </r>
  <r>
    <d v="2026-02-19T00:00:00"/>
    <s v="OPT-NIFTY-24-Feb-2026-25800-C-E-I"/>
    <s v="NSE"/>
    <x v="0"/>
    <n v="65"/>
    <n v="0"/>
    <n v="115.9"/>
    <n v="7533.5"/>
    <s v="#202602192700003138"/>
    <n v="7.26"/>
    <n v="2.68"/>
    <n v="0"/>
    <n v="0.01"/>
    <n v="29"/>
    <n v="5.7"/>
    <n v="44.65"/>
    <n v="2026"/>
    <n v="2"/>
    <n v="2025"/>
    <n v="11"/>
    <n v="11"/>
    <x v="24"/>
    <x v="24"/>
    <n v="7488.85"/>
  </r>
  <r>
    <d v="2026-02-19T00:00:00"/>
    <s v="OPT-NIFTY-24-Feb-2026-25800-C-E-I"/>
    <s v="NSE"/>
    <x v="1"/>
    <n v="65"/>
    <n v="0"/>
    <n v="118.8"/>
    <n v="7722"/>
    <s v="#202602192700002784"/>
    <n v="0"/>
    <n v="2.74"/>
    <n v="0"/>
    <n v="0.01"/>
    <n v="29"/>
    <n v="5.72"/>
    <n v="37.47"/>
    <n v="2026"/>
    <n v="2"/>
    <n v="2025"/>
    <n v="11"/>
    <n v="11"/>
    <x v="24"/>
    <x v="24"/>
    <n v="-7759.47"/>
  </r>
  <r>
    <d v="2026-02-20T00:00:00"/>
    <s v="OPT-NIFTY-24-Feb-2026-25550-C-E-I"/>
    <s v="NSE"/>
    <x v="0"/>
    <n v="130"/>
    <n v="0"/>
    <n v="169.25"/>
    <n v="22002.5"/>
    <s v="#202602202700016569"/>
    <n v="22"/>
    <n v="7.82"/>
    <n v="0"/>
    <n v="0.02"/>
    <n v="58"/>
    <n v="11.86"/>
    <n v="99.7"/>
    <n v="2026"/>
    <n v="2"/>
    <n v="2025"/>
    <n v="11"/>
    <n v="11"/>
    <x v="24"/>
    <x v="24"/>
    <n v="21902.799999999999"/>
  </r>
  <r>
    <d v="2026-02-20T00:00:00"/>
    <s v="OPT-NIFTY-24-Feb-2026-25550-C-E-I"/>
    <s v="NSE"/>
    <x v="1"/>
    <n v="130"/>
    <n v="0"/>
    <n v="169.75"/>
    <n v="22067.5"/>
    <s v="#202602202700016126"/>
    <n v="0"/>
    <n v="7.84"/>
    <n v="0"/>
    <n v="0.02"/>
    <n v="58"/>
    <n v="11.84"/>
    <n v="77.7"/>
    <n v="2026"/>
    <n v="2"/>
    <n v="2025"/>
    <n v="11"/>
    <n v="11"/>
    <x v="24"/>
    <x v="24"/>
    <n v="-22145.200000000001"/>
  </r>
  <r>
    <d v="2026-02-20T00:00:00"/>
    <s v="OPT-NIFTY-24-Feb-2026-25350-P-E-I"/>
    <s v="NSE"/>
    <x v="1"/>
    <n v="65"/>
    <n v="0"/>
    <n v="55.35"/>
    <n v="3597.75"/>
    <s v="#202602202700013548"/>
    <n v="0"/>
    <n v="1.28"/>
    <n v="0"/>
    <n v="0"/>
    <n v="29"/>
    <n v="5.46"/>
    <n v="35.74"/>
    <n v="2026"/>
    <n v="2"/>
    <n v="2025"/>
    <n v="11"/>
    <n v="11"/>
    <x v="24"/>
    <x v="24"/>
    <n v="-3633.49"/>
  </r>
  <r>
    <d v="2026-02-20T00:00:00"/>
    <s v="OPT-NIFTY-24-Feb-2026-25550-C-E-I"/>
    <s v="NSE"/>
    <x v="0"/>
    <n v="65"/>
    <n v="0"/>
    <n v="172"/>
    <n v="11180"/>
    <s v="#202602202700013058"/>
    <n v="11.18"/>
    <n v="3.97"/>
    <n v="0"/>
    <n v="0.01"/>
    <n v="29"/>
    <n v="5.94"/>
    <n v="50.1"/>
    <n v="2026"/>
    <n v="2"/>
    <n v="2025"/>
    <n v="11"/>
    <n v="11"/>
    <x v="24"/>
    <x v="24"/>
    <n v="11129.9"/>
  </r>
  <r>
    <d v="2026-02-20T00:00:00"/>
    <s v="OPT-NIFTY-24-Feb-2026-25550-C-E-I"/>
    <s v="NSE"/>
    <x v="1"/>
    <n v="65"/>
    <n v="0"/>
    <n v="182.25"/>
    <n v="11846.25"/>
    <s v="#202602202700012918"/>
    <n v="0"/>
    <n v="4.21"/>
    <n v="0"/>
    <n v="0.01"/>
    <n v="29"/>
    <n v="5.98"/>
    <n v="39.200000000000003"/>
    <n v="2026"/>
    <n v="2"/>
    <n v="2025"/>
    <n v="11"/>
    <n v="11"/>
    <x v="24"/>
    <x v="24"/>
    <n v="-11885.45"/>
  </r>
  <r>
    <d v="2026-02-20T00:00:00"/>
    <s v="OPT-NIFTY-24-Feb-2026-25350-P-E-I"/>
    <s v="NSE"/>
    <x v="1"/>
    <n v="65"/>
    <n v="0"/>
    <n v="54.35"/>
    <n v="3532.75"/>
    <s v="#202602202700011860"/>
    <n v="0"/>
    <n v="1.26"/>
    <n v="0"/>
    <n v="0"/>
    <n v="29"/>
    <n v="5.44"/>
    <n v="35.700000000000003"/>
    <n v="2026"/>
    <n v="2"/>
    <n v="2025"/>
    <n v="11"/>
    <n v="11"/>
    <x v="24"/>
    <x v="24"/>
    <n v="-3568.45"/>
  </r>
  <r>
    <d v="2026-02-20T00:00:00"/>
    <s v="OPT-NIFTY-24-Feb-2026-25550-C-E-I"/>
    <s v="NSE"/>
    <x v="0"/>
    <n v="195"/>
    <n v="0"/>
    <n v="199.9"/>
    <n v="38980.5"/>
    <s v="#202602202700011207"/>
    <n v="38.979999999999997"/>
    <n v="13.85"/>
    <n v="0"/>
    <n v="0.04"/>
    <n v="87"/>
    <n v="18.16"/>
    <n v="158.03"/>
    <n v="2026"/>
    <n v="2"/>
    <n v="2025"/>
    <n v="11"/>
    <n v="11"/>
    <x v="24"/>
    <x v="24"/>
    <n v="38822.47"/>
  </r>
  <r>
    <d v="2026-02-20T00:00:00"/>
    <s v="OPT-NIFTY-24-Feb-2026-25350-P-E-I"/>
    <s v="NSE"/>
    <x v="1"/>
    <n v="65"/>
    <n v="0"/>
    <n v="50.4"/>
    <n v="3276"/>
    <s v="#202602202700010965"/>
    <n v="0"/>
    <n v="1.1599999999999999"/>
    <n v="0"/>
    <n v="0"/>
    <n v="29"/>
    <n v="5.42"/>
    <n v="35.58"/>
    <n v="2026"/>
    <n v="2"/>
    <n v="2025"/>
    <n v="11"/>
    <n v="11"/>
    <x v="24"/>
    <x v="24"/>
    <n v="-3311.58"/>
  </r>
  <r>
    <d v="2026-02-20T00:00:00"/>
    <s v="OPT-NIFTY-24-Feb-2026-25550-C-E-I"/>
    <s v="NSE"/>
    <x v="1"/>
    <n v="195"/>
    <n v="0"/>
    <n v="176.45"/>
    <n v="34407.75"/>
    <s v="#202602202700009377"/>
    <n v="0"/>
    <n v="12.23"/>
    <n v="1.61"/>
    <n v="0.03"/>
    <n v="87"/>
    <n v="17.88"/>
    <n v="118.75"/>
    <n v="2026"/>
    <n v="2"/>
    <n v="2025"/>
    <n v="11"/>
    <n v="11"/>
    <x v="24"/>
    <x v="24"/>
    <n v="-34526.5"/>
  </r>
  <r>
    <d v="2026-02-20T00:00:00"/>
    <s v="OPT-NIFTY-24-Feb-2026-25350-P-E-I"/>
    <s v="NSE"/>
    <x v="1"/>
    <n v="65"/>
    <n v="0"/>
    <n v="60.55"/>
    <n v="3935.75"/>
    <s v="#202602202700009082"/>
    <n v="0"/>
    <n v="1.4"/>
    <n v="0"/>
    <n v="0"/>
    <n v="29"/>
    <n v="5.48"/>
    <n v="35.880000000000003"/>
    <n v="2026"/>
    <n v="2"/>
    <n v="2025"/>
    <n v="11"/>
    <n v="11"/>
    <x v="24"/>
    <x v="24"/>
    <n v="-3971.63"/>
  </r>
  <r>
    <d v="2026-02-20T00:00:00"/>
    <s v="OPT-NIFTY-24-Feb-2026-25350-P-E-I"/>
    <s v="NSE"/>
    <x v="1"/>
    <n v="65"/>
    <n v="0"/>
    <n v="55.8"/>
    <n v="3627"/>
    <s v="#202602202700008269"/>
    <n v="0"/>
    <n v="1.29"/>
    <n v="0"/>
    <n v="0"/>
    <n v="29"/>
    <n v="5.46"/>
    <n v="35.75"/>
    <n v="2026"/>
    <n v="2"/>
    <n v="2025"/>
    <n v="11"/>
    <n v="11"/>
    <x v="24"/>
    <x v="24"/>
    <n v="-3662.75"/>
  </r>
  <r>
    <d v="2026-02-20T00:00:00"/>
    <s v="OPT-NIFTY-24-Feb-2026-25350-P-E-I"/>
    <s v="NSE"/>
    <x v="1"/>
    <n v="130"/>
    <n v="0"/>
    <n v="63"/>
    <n v="8190"/>
    <s v="#202602202700006057"/>
    <n v="0"/>
    <n v="2.91"/>
    <n v="1.39"/>
    <n v="0.01"/>
    <n v="58"/>
    <n v="10.96"/>
    <n v="73.27"/>
    <n v="2026"/>
    <n v="2"/>
    <n v="2025"/>
    <n v="11"/>
    <n v="11"/>
    <x v="24"/>
    <x v="24"/>
    <n v="-8263.27"/>
  </r>
  <r>
    <d v="2026-02-20T00:00:00"/>
    <s v="OPT-NIFTY-24-Feb-2026-25550-C-E-I"/>
    <s v="NSE"/>
    <x v="0"/>
    <n v="130"/>
    <n v="0"/>
    <n v="114.8"/>
    <n v="14924"/>
    <s v="#202602202700003969"/>
    <n v="14.84"/>
    <n v="5.3"/>
    <n v="0"/>
    <n v="0.01"/>
    <n v="58"/>
    <n v="11.4"/>
    <n v="89.55"/>
    <n v="2026"/>
    <n v="2"/>
    <n v="2025"/>
    <n v="11"/>
    <n v="11"/>
    <x v="24"/>
    <x v="24"/>
    <n v="14834.45"/>
  </r>
  <r>
    <d v="2026-02-20T00:00:00"/>
    <s v="OPT-NIFTY-24-Feb-2026-25350-P-E-I"/>
    <s v="NSE"/>
    <x v="1"/>
    <n v="195"/>
    <n v="0"/>
    <n v="102.85"/>
    <n v="20055.75"/>
    <s v="#202602202700001862"/>
    <n v="0"/>
    <n v="7.14"/>
    <n v="0"/>
    <n v="0.03"/>
    <n v="87"/>
    <n v="16.920000000000002"/>
    <n v="111.09"/>
    <n v="2026"/>
    <n v="2"/>
    <n v="2025"/>
    <n v="11"/>
    <n v="11"/>
    <x v="24"/>
    <x v="24"/>
    <n v="-20166.84"/>
  </r>
  <r>
    <d v="2026-02-23T00:00:00"/>
    <s v="OPT-NIFTY-24-Feb-2026-25650-P-E-I"/>
    <s v="NSE"/>
    <x v="0"/>
    <n v="715"/>
    <n v="0"/>
    <n v="109.9"/>
    <n v="78578.5"/>
    <s v="#202602232700009465"/>
    <n v="78.56"/>
    <n v="27.92"/>
    <n v="0"/>
    <n v="0.09"/>
    <n v="319"/>
    <n v="62.48"/>
    <n v="488.05"/>
    <n v="2026"/>
    <n v="2"/>
    <n v="2025"/>
    <n v="11"/>
    <n v="11"/>
    <x v="24"/>
    <x v="24"/>
    <n v="78090.45"/>
  </r>
  <r>
    <d v="2026-02-23T00:00:00"/>
    <s v="OPT-NIFTY-24-Feb-2026-25650-P-E-I"/>
    <s v="NSE"/>
    <x v="1"/>
    <n v="130"/>
    <n v="0"/>
    <n v="89.65"/>
    <n v="11654.5"/>
    <s v="#202602232700009126"/>
    <n v="0"/>
    <n v="4.1399999999999997"/>
    <n v="0"/>
    <n v="0.02"/>
    <n v="58"/>
    <n v="11.2"/>
    <n v="73.36"/>
    <n v="2026"/>
    <n v="2"/>
    <n v="2025"/>
    <n v="11"/>
    <n v="11"/>
    <x v="24"/>
    <x v="24"/>
    <n v="-11727.86"/>
  </r>
  <r>
    <d v="2026-02-23T00:00:00"/>
    <s v="OPT-NIFTY-24-Feb-2026-25650-P-E-I"/>
    <s v="NSE"/>
    <x v="1"/>
    <n v="130"/>
    <n v="0"/>
    <n v="89.55"/>
    <n v="11641.5"/>
    <s v="#202602232700009115"/>
    <n v="0"/>
    <n v="4.1399999999999997"/>
    <n v="0"/>
    <n v="0.01"/>
    <n v="58"/>
    <n v="11.18"/>
    <n v="73.33"/>
    <n v="2026"/>
    <n v="2"/>
    <n v="2025"/>
    <n v="11"/>
    <n v="11"/>
    <x v="24"/>
    <x v="24"/>
    <n v="-11714.83"/>
  </r>
  <r>
    <d v="2026-02-23T00:00:00"/>
    <s v="OPT-NIFTY-24-Feb-2026-25650-P-E-I"/>
    <s v="NSE"/>
    <x v="1"/>
    <n v="65"/>
    <n v="0"/>
    <n v="79.3"/>
    <n v="5154.5"/>
    <s v="#202602232700007889"/>
    <n v="0"/>
    <n v="1.83"/>
    <n v="0"/>
    <n v="0.01"/>
    <n v="29"/>
    <n v="5.56"/>
    <n v="36.4"/>
    <n v="2026"/>
    <n v="2"/>
    <n v="2025"/>
    <n v="11"/>
    <n v="11"/>
    <x v="24"/>
    <x v="24"/>
    <n v="-5190.8999999999996"/>
  </r>
  <r>
    <d v="2026-02-23T00:00:00"/>
    <s v="OPT-NIFTY-24-Feb-2026-25650-P-E-I"/>
    <s v="NSE"/>
    <x v="1"/>
    <n v="65"/>
    <n v="0"/>
    <n v="81.650000000000006"/>
    <n v="5307.25"/>
    <s v="#202602232700007866"/>
    <n v="0"/>
    <n v="1.89"/>
    <n v="0"/>
    <n v="0.01"/>
    <n v="29"/>
    <n v="5.56"/>
    <n v="36.46"/>
    <n v="2026"/>
    <n v="2"/>
    <n v="2025"/>
    <n v="11"/>
    <n v="11"/>
    <x v="24"/>
    <x v="24"/>
    <n v="-5343.71"/>
  </r>
  <r>
    <d v="2026-02-23T00:00:00"/>
    <s v="OPT-NIFTY-24-Feb-2026-25650-P-E-I"/>
    <s v="NSE"/>
    <x v="1"/>
    <n v="65"/>
    <n v="0"/>
    <n v="84.2"/>
    <n v="5473"/>
    <s v="#202602232700007831"/>
    <n v="0"/>
    <n v="1.94"/>
    <n v="0"/>
    <n v="0.01"/>
    <n v="29"/>
    <n v="5.58"/>
    <n v="36.53"/>
    <n v="2026"/>
    <n v="2"/>
    <n v="2025"/>
    <n v="11"/>
    <n v="11"/>
    <x v="24"/>
    <x v="24"/>
    <n v="-5509.53"/>
  </r>
  <r>
    <d v="2026-02-23T00:00:00"/>
    <s v="OPT-NIFTY-24-Feb-2026-25650-P-E-I"/>
    <s v="NSE"/>
    <x v="1"/>
    <n v="260"/>
    <n v="0"/>
    <n v="94.7"/>
    <n v="24622"/>
    <s v="#202602232700007682"/>
    <n v="0"/>
    <n v="8.74"/>
    <n v="1.79"/>
    <n v="0.02"/>
    <n v="116"/>
    <n v="22.44"/>
    <n v="148.99"/>
    <n v="2026"/>
    <n v="2"/>
    <n v="2025"/>
    <n v="11"/>
    <n v="11"/>
    <x v="24"/>
    <x v="24"/>
    <n v="-24770.99"/>
  </r>
  <r>
    <d v="2026-02-23T00:00:00"/>
    <s v="OPT-NIFTY-24-Feb-2026-25650-C-E-I"/>
    <s v="NSE"/>
    <x v="0"/>
    <n v="260"/>
    <n v="0"/>
    <n v="114.9"/>
    <n v="29874"/>
    <s v="#202602232700007353"/>
    <n v="29.88"/>
    <n v="10.62"/>
    <n v="0"/>
    <n v="0.02"/>
    <n v="116"/>
    <n v="22.8"/>
    <n v="179.32"/>
    <n v="2026"/>
    <n v="2"/>
    <n v="2025"/>
    <n v="11"/>
    <n v="11"/>
    <x v="24"/>
    <x v="24"/>
    <n v="29694.68"/>
  </r>
  <r>
    <d v="2026-02-23T00:00:00"/>
    <s v="OPT-NIFTY-24-Feb-2026-25650-C-E-I"/>
    <s v="NSE"/>
    <x v="1"/>
    <n v="260"/>
    <n v="0"/>
    <n v="106.9"/>
    <n v="27794"/>
    <s v="#202602232700006977"/>
    <n v="0"/>
    <n v="9.8800000000000008"/>
    <n v="0.83"/>
    <n v="0.03"/>
    <n v="116"/>
    <n v="22.66"/>
    <n v="149.4"/>
    <n v="2026"/>
    <n v="2"/>
    <n v="2025"/>
    <n v="11"/>
    <n v="11"/>
    <x v="24"/>
    <x v="24"/>
    <n v="-27943.4"/>
  </r>
  <r>
    <d v="2026-02-23T00:00:00"/>
    <s v="OPT-NIFTY-24-Feb-2026-25350-P-E-I"/>
    <s v="NSE"/>
    <x v="0"/>
    <n v="650"/>
    <n v="0"/>
    <n v="18.399999999999999"/>
    <n v="11960"/>
    <s v="#202602232700002462"/>
    <n v="11.96"/>
    <n v="4.25"/>
    <n v="0"/>
    <n v="0.01"/>
    <n v="290"/>
    <n v="52.96"/>
    <n v="359.18"/>
    <n v="2026"/>
    <n v="2"/>
    <n v="2025"/>
    <n v="11"/>
    <n v="11"/>
    <x v="24"/>
    <x v="24"/>
    <n v="11600.82"/>
  </r>
  <r>
    <d v="2026-02-23T00:00:00"/>
    <s v="OPT-NIFTY-24-Feb-2026-25350-P-E-I"/>
    <s v="NSE"/>
    <x v="1"/>
    <n v="650"/>
    <n v="0"/>
    <n v="19.7"/>
    <n v="12805"/>
    <s v="#202602232700001679"/>
    <n v="0"/>
    <n v="4.54"/>
    <n v="0.38"/>
    <n v="0.02"/>
    <n v="290"/>
    <n v="53"/>
    <n v="347.94"/>
    <n v="2026"/>
    <n v="2"/>
    <n v="2025"/>
    <n v="11"/>
    <n v="11"/>
    <x v="24"/>
    <x v="24"/>
    <n v="-13152.94"/>
  </r>
  <r>
    <d v="2026-02-23T00:00:00"/>
    <s v="OPT-NIFTY-24-Feb-2026-25350-P-E-I"/>
    <s v="NSE"/>
    <x v="0"/>
    <n v="650"/>
    <n v="0"/>
    <n v="22"/>
    <n v="14300"/>
    <s v="#202602232700001112"/>
    <n v="14.59"/>
    <n v="5.08"/>
    <n v="0"/>
    <n v="0.01"/>
    <n v="290"/>
    <n v="53.12"/>
    <n v="362.8"/>
    <n v="2026"/>
    <n v="2"/>
    <n v="2025"/>
    <n v="11"/>
    <n v="11"/>
    <x v="24"/>
    <x v="24"/>
    <n v="13937.2"/>
  </r>
  <r>
    <m/>
    <m/>
    <m/>
    <x v="3"/>
    <m/>
    <m/>
    <m/>
    <m/>
    <m/>
    <m/>
    <m/>
    <m/>
    <m/>
    <m/>
    <m/>
    <m/>
    <m/>
    <m/>
    <m/>
    <m/>
    <m/>
    <x v="25"/>
    <x v="2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6">
  <r>
    <x v="0"/>
    <s v="OPT-NIFFIN-09-Jan-2024-21450-P-E-I"/>
    <s v="NSE"/>
    <s v="Sell"/>
    <n v="600"/>
    <n v="0"/>
    <n v="51.9"/>
    <n v="31140"/>
    <s v="#202401093700019945"/>
    <n v="19"/>
    <n v="15.73"/>
    <n v="0"/>
    <n v="0.03"/>
    <n v="300"/>
    <n v="56.84"/>
    <n v="391.6"/>
    <n v="2024"/>
    <n v="1"/>
    <n v="2023"/>
    <n v="10"/>
    <n v="10"/>
    <x v="0"/>
    <x v="0"/>
    <n v="30748.400000000001"/>
    <x v="0"/>
    <s v=""/>
  </r>
  <r>
    <x v="0"/>
    <s v="OPT-NIFFIN-09-Jan-2024-21450-P-E-I"/>
    <s v="NSE"/>
    <s v="Buy"/>
    <n v="40"/>
    <n v="0"/>
    <n v="17.7"/>
    <n v="708"/>
    <s v="#202401093700017300"/>
    <n v="0"/>
    <n v="0.36"/>
    <n v="0"/>
    <n v="0"/>
    <n v="20"/>
    <n v="3.66"/>
    <n v="24.02"/>
    <n v="2024"/>
    <n v="1"/>
    <n v="2023"/>
    <n v="10"/>
    <n v="10"/>
    <x v="0"/>
    <x v="0"/>
    <n v="-732.02"/>
    <x v="1"/>
    <n v="-732.02"/>
  </r>
  <r>
    <x v="0"/>
    <s v="OPT-NIFFIN-09-Jan-2024-21450-P-E-I"/>
    <s v="NSE"/>
    <s v="Buy"/>
    <n v="40"/>
    <n v="0"/>
    <n v="21.1"/>
    <n v="844"/>
    <s v="#202401093700015973"/>
    <n v="0"/>
    <n v="0.43"/>
    <n v="0"/>
    <n v="0"/>
    <n v="20"/>
    <n v="3.68"/>
    <n v="24.11"/>
    <n v="2024"/>
    <n v="1"/>
    <n v="2023"/>
    <n v="10"/>
    <n v="10"/>
    <x v="0"/>
    <x v="0"/>
    <n v="-868.11"/>
    <x v="1"/>
    <n v="-868.11"/>
  </r>
  <r>
    <x v="0"/>
    <s v="OPT-NIFFIN-09-Jan-2024-21450-P-E-I"/>
    <s v="NSE"/>
    <s v="Buy"/>
    <n v="40"/>
    <n v="0"/>
    <n v="23.3"/>
    <n v="932"/>
    <s v="#202401093700015743"/>
    <n v="0"/>
    <n v="0.47"/>
    <n v="0"/>
    <n v="0"/>
    <n v="20"/>
    <n v="3.68"/>
    <n v="24.15"/>
    <n v="2024"/>
    <n v="1"/>
    <n v="2023"/>
    <n v="10"/>
    <n v="10"/>
    <x v="0"/>
    <x v="0"/>
    <n v="-956.15"/>
    <x v="1"/>
    <n v="-956.15"/>
  </r>
  <r>
    <x v="0"/>
    <s v="OPT-NIFFIN-09-Jan-2024-21450-P-E-I"/>
    <s v="NSE"/>
    <s v="Buy"/>
    <n v="40"/>
    <n v="0"/>
    <n v="22.1"/>
    <n v="884"/>
    <s v="#202401093700015658"/>
    <n v="0"/>
    <n v="0.45"/>
    <n v="0"/>
    <n v="0"/>
    <n v="20"/>
    <n v="3.68"/>
    <n v="24.13"/>
    <n v="2024"/>
    <n v="1"/>
    <n v="2023"/>
    <n v="10"/>
    <n v="10"/>
    <x v="0"/>
    <x v="0"/>
    <n v="-908.13"/>
    <x v="1"/>
    <n v="-908.13"/>
  </r>
  <r>
    <x v="0"/>
    <s v="OPT-NIFFIN-09-Jan-2024-21450-P-E-I"/>
    <s v="NSE"/>
    <s v="Buy"/>
    <n v="40"/>
    <n v="0"/>
    <n v="23.05"/>
    <n v="922"/>
    <s v="#202401093700015607"/>
    <n v="0"/>
    <n v="0.47"/>
    <n v="0"/>
    <n v="0"/>
    <n v="20"/>
    <n v="3.68"/>
    <n v="24.15"/>
    <n v="2024"/>
    <n v="1"/>
    <n v="2023"/>
    <n v="10"/>
    <n v="10"/>
    <x v="0"/>
    <x v="0"/>
    <n v="-946.15"/>
    <x v="1"/>
    <n v="-946.15"/>
  </r>
  <r>
    <x v="0"/>
    <s v="OPT-NIFFIN-09-Jan-2024-21450-P-E-I"/>
    <s v="NSE"/>
    <s v="Buy"/>
    <n v="40"/>
    <n v="0"/>
    <n v="28.7"/>
    <n v="1148"/>
    <s v="#202401093700014789"/>
    <n v="0"/>
    <n v="0.57999999999999996"/>
    <n v="0"/>
    <n v="0"/>
    <n v="20"/>
    <n v="3.7"/>
    <n v="24.28"/>
    <n v="2024"/>
    <n v="1"/>
    <n v="2023"/>
    <n v="10"/>
    <n v="10"/>
    <x v="0"/>
    <x v="0"/>
    <n v="-1172.28"/>
    <x v="1"/>
    <n v="-1172.28"/>
  </r>
  <r>
    <x v="0"/>
    <s v="OPT-NIFFIN-09-Jan-2024-21450-P-E-I"/>
    <s v="NSE"/>
    <s v="Buy"/>
    <n v="40"/>
    <n v="0"/>
    <n v="26.65"/>
    <n v="1066"/>
    <s v="#202401093700014597"/>
    <n v="0"/>
    <n v="0.54"/>
    <n v="0"/>
    <n v="0"/>
    <n v="20"/>
    <n v="3.7"/>
    <n v="24.24"/>
    <n v="2024"/>
    <n v="1"/>
    <n v="2023"/>
    <n v="10"/>
    <n v="10"/>
    <x v="0"/>
    <x v="0"/>
    <n v="-1090.24"/>
    <x v="1"/>
    <n v="-1090.24"/>
  </r>
  <r>
    <x v="0"/>
    <s v="OPT-NIFFIN-09-Jan-2024-21450-P-E-I"/>
    <s v="NSE"/>
    <s v="Buy"/>
    <n v="40"/>
    <n v="0"/>
    <n v="29"/>
    <n v="1160"/>
    <s v="#202401093700014487"/>
    <n v="0"/>
    <n v="0.59"/>
    <n v="0"/>
    <n v="0"/>
    <n v="20"/>
    <n v="3.7"/>
    <n v="24.29"/>
    <n v="2024"/>
    <n v="1"/>
    <n v="2023"/>
    <n v="10"/>
    <n v="10"/>
    <x v="0"/>
    <x v="0"/>
    <n v="-1184.29"/>
    <x v="1"/>
    <n v="-1184.29"/>
  </r>
  <r>
    <x v="0"/>
    <s v="OPT-NIFFIN-09-Jan-2024-21450-P-E-I"/>
    <s v="NSE"/>
    <s v="Buy"/>
    <n v="40"/>
    <n v="0"/>
    <n v="32.6"/>
    <n v="1304"/>
    <s v="#202401093700014363"/>
    <n v="0"/>
    <n v="0.66"/>
    <n v="0"/>
    <n v="0"/>
    <n v="20"/>
    <n v="3.72"/>
    <n v="24.38"/>
    <n v="2024"/>
    <n v="1"/>
    <n v="2023"/>
    <n v="10"/>
    <n v="10"/>
    <x v="0"/>
    <x v="0"/>
    <n v="-1328.38"/>
    <x v="1"/>
    <n v="-1328.38"/>
  </r>
  <r>
    <x v="0"/>
    <s v="OPT-NIFFIN-09-Jan-2024-21450-P-E-I"/>
    <s v="NSE"/>
    <s v="Buy"/>
    <n v="40"/>
    <n v="0"/>
    <n v="33.85"/>
    <n v="1354"/>
    <s v="#202401093700014217"/>
    <n v="0"/>
    <n v="0.68"/>
    <n v="0"/>
    <n v="0"/>
    <n v="20"/>
    <n v="3.72"/>
    <n v="24.4"/>
    <n v="2024"/>
    <n v="1"/>
    <n v="2023"/>
    <n v="10"/>
    <n v="10"/>
    <x v="0"/>
    <x v="0"/>
    <n v="-1378.4"/>
    <x v="1"/>
    <n v="-1378.4"/>
  </r>
  <r>
    <x v="0"/>
    <s v="OPT-NIFFIN-09-Jan-2024-21450-P-E-I"/>
    <s v="NSE"/>
    <s v="Buy"/>
    <n v="160"/>
    <n v="0"/>
    <n v="37.15"/>
    <n v="5944"/>
    <s v="#202401093700013489"/>
    <n v="0"/>
    <n v="3"/>
    <n v="1"/>
    <n v="0"/>
    <n v="80"/>
    <n v="14.94"/>
    <n v="98.94"/>
    <n v="2024"/>
    <n v="1"/>
    <n v="2023"/>
    <n v="10"/>
    <n v="10"/>
    <x v="0"/>
    <x v="0"/>
    <n v="-6042.94"/>
    <x v="1"/>
    <n v="-6042.94"/>
  </r>
  <r>
    <x v="0"/>
    <s v="OPT-NIFFIN-09-Jan-2024-21450-P-E-I"/>
    <s v="NSE"/>
    <s v="Buy"/>
    <n v="40"/>
    <n v="0"/>
    <n v="35.5"/>
    <n v="1420"/>
    <s v="#202401093700013380"/>
    <n v="0"/>
    <n v="0.72"/>
    <n v="0"/>
    <n v="0"/>
    <n v="20"/>
    <n v="3.72"/>
    <n v="24.44"/>
    <n v="2024"/>
    <n v="1"/>
    <n v="2023"/>
    <n v="10"/>
    <n v="10"/>
    <x v="0"/>
    <x v="0"/>
    <n v="-1444.44"/>
    <x v="1"/>
    <n v="-1444.44"/>
  </r>
  <r>
    <x v="1"/>
    <s v="OPT-CNXBAN-10-Jan-2024-47200-P-E-I"/>
    <s v="NSE"/>
    <s v="Buy"/>
    <n v="300"/>
    <n v="0"/>
    <n v="0.5"/>
    <n v="150"/>
    <s v="#202401103700027464"/>
    <n v="0"/>
    <n v="0.08"/>
    <n v="0"/>
    <n v="0"/>
    <n v="400"/>
    <n v="72.02"/>
    <n v="472.1"/>
    <n v="2024"/>
    <n v="1"/>
    <n v="2023"/>
    <n v="10"/>
    <n v="10"/>
    <x v="0"/>
    <x v="0"/>
    <n v="-622.1"/>
    <x v="1"/>
    <n v="-622.1"/>
  </r>
  <r>
    <x v="1"/>
    <s v="OPT-CNXBAN-10-Jan-2024-47200-P-E-I"/>
    <s v="NSE"/>
    <s v="Buy"/>
    <n v="900"/>
    <n v="0"/>
    <n v="0.5"/>
    <n v="450"/>
    <s v="#202401103700026722"/>
    <n v="0"/>
    <n v="0.23"/>
    <n v="0.41"/>
    <n v="0"/>
    <n v="1200"/>
    <n v="216.04"/>
    <n v="1416.68"/>
    <n v="2024"/>
    <n v="1"/>
    <n v="2023"/>
    <n v="10"/>
    <n v="10"/>
    <x v="0"/>
    <x v="0"/>
    <n v="-1866.68"/>
    <x v="1"/>
    <n v="-1866.68"/>
  </r>
  <r>
    <x v="1"/>
    <s v="OPT-CNXBAN-10-Jan-2024-47200-P-E-I"/>
    <s v="NSE"/>
    <s v="Buy"/>
    <n v="900"/>
    <n v="0"/>
    <n v="0.7"/>
    <n v="630"/>
    <s v="#202401103700026628"/>
    <n v="0"/>
    <n v="0.33"/>
    <n v="0"/>
    <n v="0"/>
    <n v="1200"/>
    <n v="216.08"/>
    <n v="1416.41"/>
    <n v="2024"/>
    <n v="1"/>
    <n v="2023"/>
    <n v="10"/>
    <n v="10"/>
    <x v="0"/>
    <x v="0"/>
    <n v="-2046.41"/>
    <x v="1"/>
    <n v="-2046.41"/>
  </r>
  <r>
    <x v="1"/>
    <s v="OPT-CNXBAN-10-Jan-2024-47200-P-E-I"/>
    <s v="NSE"/>
    <s v="Buy"/>
    <n v="900"/>
    <n v="0"/>
    <n v="1.3"/>
    <n v="1170"/>
    <s v="#202401103700026486"/>
    <n v="0"/>
    <n v="0.6"/>
    <n v="0"/>
    <n v="0"/>
    <n v="1200"/>
    <n v="216.1"/>
    <n v="1416.7"/>
    <n v="2024"/>
    <n v="1"/>
    <n v="2023"/>
    <n v="10"/>
    <n v="10"/>
    <x v="0"/>
    <x v="0"/>
    <n v="-2586.6999999999998"/>
    <x v="1"/>
    <n v="-2586.6999999999998"/>
  </r>
  <r>
    <x v="1"/>
    <s v="OPT-CNXBAN-10-Jan-2024-47200-P-E-I"/>
    <s v="NSE"/>
    <s v="Buy"/>
    <n v="150"/>
    <n v="0"/>
    <n v="4"/>
    <n v="600"/>
    <s v="#202401103700025116"/>
    <n v="0"/>
    <n v="0.3"/>
    <n v="0"/>
    <n v="0"/>
    <n v="200"/>
    <n v="36.06"/>
    <n v="236.36"/>
    <n v="2024"/>
    <n v="1"/>
    <n v="2023"/>
    <n v="10"/>
    <n v="10"/>
    <x v="0"/>
    <x v="0"/>
    <n v="-836.36"/>
    <x v="1"/>
    <n v="-836.36"/>
  </r>
  <r>
    <x v="1"/>
    <s v="OPT-CNXBAN-10-Jan-2024-47200-P-E-I"/>
    <s v="NSE"/>
    <s v="Buy"/>
    <n v="510"/>
    <n v="0"/>
    <n v="4"/>
    <n v="2040"/>
    <s v="#202401103700024931"/>
    <n v="0"/>
    <n v="1.03"/>
    <n v="0"/>
    <n v="0"/>
    <n v="680"/>
    <n v="122.58"/>
    <n v="803.61"/>
    <n v="2024"/>
    <n v="1"/>
    <n v="2023"/>
    <n v="10"/>
    <n v="10"/>
    <x v="0"/>
    <x v="0"/>
    <n v="-2843.61"/>
    <x v="1"/>
    <n v="-2843.61"/>
  </r>
  <r>
    <x v="1"/>
    <s v="OPT-CNXBAN-10-Jan-2024-47200-P-E-I"/>
    <s v="NSE"/>
    <s v="Buy"/>
    <n v="510"/>
    <n v="0"/>
    <n v="7"/>
    <n v="3570"/>
    <s v="#202401103700024096"/>
    <n v="0"/>
    <n v="1.8"/>
    <n v="0"/>
    <n v="0"/>
    <n v="680"/>
    <n v="122.72"/>
    <n v="804.52"/>
    <n v="2024"/>
    <n v="1"/>
    <n v="2023"/>
    <n v="10"/>
    <n v="10"/>
    <x v="0"/>
    <x v="0"/>
    <n v="-4374.5200000000004"/>
    <x v="1"/>
    <n v="-4374.5200000000004"/>
  </r>
  <r>
    <x v="1"/>
    <s v="OPT-CIPLA-25-Jan-2024-1320-C-E-S"/>
    <s v="NSE"/>
    <s v="Sell"/>
    <n v="650"/>
    <n v="0"/>
    <n v="31.5"/>
    <n v="20475"/>
    <s v="#202401103700023218"/>
    <n v="13"/>
    <n v="10.34"/>
    <n v="0"/>
    <n v="0.02"/>
    <n v="20"/>
    <n v="5.46"/>
    <n v="48.82"/>
    <n v="2024"/>
    <n v="1"/>
    <n v="2023"/>
    <n v="10"/>
    <n v="10"/>
    <x v="0"/>
    <x v="0"/>
    <n v="20426.18"/>
    <x v="2"/>
    <s v=""/>
  </r>
  <r>
    <x v="1"/>
    <s v="OPT-CNXBAN-10-Jan-2024-47200-P-E-I"/>
    <s v="NSE"/>
    <s v="Buy"/>
    <n v="210"/>
    <n v="0"/>
    <n v="11"/>
    <n v="2310"/>
    <s v="#202401103700022327"/>
    <n v="0"/>
    <n v="1.17"/>
    <n v="0"/>
    <n v="0"/>
    <n v="280"/>
    <n v="50.62"/>
    <n v="331.79"/>
    <n v="2024"/>
    <n v="1"/>
    <n v="2023"/>
    <n v="10"/>
    <n v="10"/>
    <x v="0"/>
    <x v="0"/>
    <n v="-2641.79"/>
    <x v="1"/>
    <n v="-2641.79"/>
  </r>
  <r>
    <x v="1"/>
    <s v="OPT-CNXBAN-10-Jan-2024-47200-P-E-I"/>
    <s v="NSE"/>
    <s v="Buy"/>
    <n v="210"/>
    <n v="0"/>
    <n v="16"/>
    <n v="3360"/>
    <s v="#202401103700021865"/>
    <n v="0"/>
    <n v="1.69"/>
    <n v="0"/>
    <n v="0"/>
    <n v="280"/>
    <n v="50.7"/>
    <n v="332.39"/>
    <n v="2024"/>
    <n v="1"/>
    <n v="2023"/>
    <n v="10"/>
    <n v="10"/>
    <x v="0"/>
    <x v="0"/>
    <n v="-3692.39"/>
    <x v="1"/>
    <n v="-3692.39"/>
  </r>
  <r>
    <x v="1"/>
    <s v="OPT-CNXBAN-10-Jan-2024-47200-P-E-I"/>
    <s v="NSE"/>
    <s v="Buy"/>
    <n v="210"/>
    <n v="0"/>
    <n v="19"/>
    <n v="3990"/>
    <s v="#202401103700021744"/>
    <n v="0"/>
    <n v="2.0099999999999998"/>
    <n v="0"/>
    <n v="0"/>
    <n v="280"/>
    <n v="50.76"/>
    <n v="332.77"/>
    <n v="2024"/>
    <n v="1"/>
    <n v="2023"/>
    <n v="10"/>
    <n v="10"/>
    <x v="0"/>
    <x v="0"/>
    <n v="-4322.7700000000004"/>
    <x v="1"/>
    <n v="-4322.7700000000004"/>
  </r>
  <r>
    <x v="1"/>
    <s v="OPT-CNXBAN-10-Jan-2024-47200-P-E-I"/>
    <s v="NSE"/>
    <s v="Buy"/>
    <n v="105"/>
    <n v="0"/>
    <n v="33"/>
    <n v="3465"/>
    <s v="#202401103700015608"/>
    <n v="0"/>
    <n v="1.75"/>
    <n v="0"/>
    <n v="0"/>
    <n v="140"/>
    <n v="25.52"/>
    <n v="167.27"/>
    <n v="2024"/>
    <n v="1"/>
    <n v="2023"/>
    <n v="10"/>
    <n v="10"/>
    <x v="0"/>
    <x v="0"/>
    <n v="-3632.27"/>
    <x v="1"/>
    <n v="-3632.27"/>
  </r>
  <r>
    <x v="1"/>
    <s v="OPT-CNXBAN-10-Jan-2024-47200-P-E-I"/>
    <s v="NSE"/>
    <s v="Buy"/>
    <n v="105"/>
    <n v="0"/>
    <n v="46.95"/>
    <n v="4929.75"/>
    <s v="#202401103700014851"/>
    <n v="0"/>
    <n v="2.5"/>
    <n v="0"/>
    <n v="0"/>
    <n v="140"/>
    <n v="25.64"/>
    <n v="168.14"/>
    <n v="2024"/>
    <n v="1"/>
    <n v="2023"/>
    <n v="10"/>
    <n v="10"/>
    <x v="0"/>
    <x v="0"/>
    <n v="-5097.8900000000003"/>
    <x v="1"/>
    <n v="-5097.8900000000003"/>
  </r>
  <r>
    <x v="1"/>
    <s v="OPT-CIPLA-25-Jan-2024-1320-C-E-S"/>
    <s v="NSE"/>
    <s v="Buy"/>
    <n v="650"/>
    <n v="0"/>
    <n v="30.45"/>
    <n v="19792.5"/>
    <s v="#202401103700008838"/>
    <n v="0"/>
    <n v="10"/>
    <n v="0.59"/>
    <n v="0.02"/>
    <n v="20"/>
    <n v="5.4"/>
    <n v="36.01"/>
    <n v="2024"/>
    <n v="1"/>
    <n v="2023"/>
    <n v="10"/>
    <n v="10"/>
    <x v="0"/>
    <x v="0"/>
    <n v="-19828.509999999998"/>
    <x v="1"/>
    <n v="-19828.509999999998"/>
  </r>
  <r>
    <x v="1"/>
    <s v="OPT-CNXBAN-10-Jan-2024-47200-P-E-I"/>
    <s v="NSE"/>
    <s v="Buy Closeout"/>
    <n v="5010"/>
    <n v="0"/>
    <n v="0"/>
    <s v="#Exchange Initiated"/>
    <n v="0"/>
    <n v="0"/>
    <n v="0"/>
    <n v="0"/>
    <n v="0"/>
    <n v="0"/>
    <n v="0"/>
    <m/>
    <n v="2024"/>
    <n v="1"/>
    <n v="2023"/>
    <n v="10"/>
    <n v="10"/>
    <x v="0"/>
    <x v="0"/>
    <n v="0"/>
    <x v="1"/>
    <s v=""/>
  </r>
  <r>
    <x v="2"/>
    <s v="OPT-NIFFIN-16-Jan-2024-21200-P-E-I"/>
    <s v="NSE"/>
    <s v="Sell"/>
    <n v="40"/>
    <n v="0"/>
    <n v="105"/>
    <n v="4200"/>
    <s v="#202401113700017478"/>
    <n v="3"/>
    <n v="2.12"/>
    <n v="0"/>
    <n v="0"/>
    <n v="20"/>
    <n v="3.98"/>
    <n v="29.1"/>
    <n v="2024"/>
    <n v="1"/>
    <n v="2023"/>
    <n v="10"/>
    <n v="10"/>
    <x v="0"/>
    <x v="0"/>
    <n v="4170.8999999999996"/>
    <x v="3"/>
    <s v=""/>
  </r>
  <r>
    <x v="2"/>
    <s v="OPT-NIFFIN-16-Jan-2024-21200-P-E-I"/>
    <s v="NSE"/>
    <s v="Buy"/>
    <n v="40"/>
    <n v="0"/>
    <n v="75.75"/>
    <n v="3030"/>
    <s v="#202401113700017099"/>
    <n v="0"/>
    <n v="1.53"/>
    <n v="0"/>
    <n v="0"/>
    <n v="20"/>
    <n v="3.88"/>
    <n v="25.41"/>
    <n v="2024"/>
    <n v="1"/>
    <n v="2023"/>
    <n v="10"/>
    <n v="10"/>
    <x v="0"/>
    <x v="0"/>
    <n v="-3055.41"/>
    <x v="1"/>
    <n v="-3055.41"/>
  </r>
  <r>
    <x v="3"/>
    <s v="OPT-CNXBAN-17-Jan-2024-46700-C-E-I"/>
    <s v="NSE"/>
    <s v="Sell"/>
    <n v="600"/>
    <n v="0"/>
    <n v="16.149999999999999"/>
    <n v="9690"/>
    <s v="#202401173700021397"/>
    <n v="6.06"/>
    <n v="4.9000000000000004"/>
    <n v="0"/>
    <n v="0.01"/>
    <n v="800"/>
    <n v="144.88"/>
    <n v="955.85"/>
    <n v="2024"/>
    <n v="1"/>
    <n v="2023"/>
    <n v="10"/>
    <n v="10"/>
    <x v="0"/>
    <x v="0"/>
    <n v="8734.15"/>
    <x v="4"/>
    <s v=""/>
  </r>
  <r>
    <x v="3"/>
    <s v="OPT-CNXBAN-17-Jan-2024-46700-C-E-I"/>
    <s v="NSE"/>
    <s v="Sell"/>
    <n v="900"/>
    <n v="0"/>
    <n v="16.149999999999999"/>
    <n v="14535"/>
    <s v="#202401173700021119"/>
    <n v="8.9499999999999993"/>
    <n v="7.34"/>
    <n v="0"/>
    <n v="0.01"/>
    <n v="1200"/>
    <n v="217.32"/>
    <n v="1433.62"/>
    <n v="2024"/>
    <n v="1"/>
    <n v="2023"/>
    <n v="10"/>
    <n v="10"/>
    <x v="0"/>
    <x v="0"/>
    <n v="13101.380000000001"/>
    <x v="5"/>
    <s v=""/>
  </r>
  <r>
    <x v="3"/>
    <s v="OPT-CNXBAN-17-Jan-2024-46700-C-E-I"/>
    <s v="NSE"/>
    <s v="Buy"/>
    <n v="300"/>
    <n v="0"/>
    <n v="31.75"/>
    <n v="9525"/>
    <s v="#202401173700018837"/>
    <n v="0"/>
    <n v="4.8"/>
    <n v="0"/>
    <n v="0"/>
    <n v="400"/>
    <n v="72.86"/>
    <n v="477.66"/>
    <n v="2024"/>
    <n v="1"/>
    <n v="2023"/>
    <n v="10"/>
    <n v="10"/>
    <x v="0"/>
    <x v="0"/>
    <n v="-10002.66"/>
    <x v="1"/>
    <n v="-10002.66"/>
  </r>
  <r>
    <x v="3"/>
    <s v="OPT-CNXBAN-17-Jan-2024-46700-C-E-I"/>
    <s v="NSE"/>
    <s v="Buy"/>
    <n v="300"/>
    <n v="0"/>
    <n v="40.25"/>
    <n v="12075"/>
    <s v="#202401173700017802"/>
    <n v="0"/>
    <n v="6.08"/>
    <n v="0"/>
    <n v="0"/>
    <n v="400"/>
    <n v="73.099999999999994"/>
    <n v="479.18"/>
    <n v="2024"/>
    <n v="1"/>
    <n v="2023"/>
    <n v="10"/>
    <n v="10"/>
    <x v="0"/>
    <x v="0"/>
    <n v="-12554.18"/>
    <x v="1"/>
    <n v="-12554.18"/>
  </r>
  <r>
    <x v="3"/>
    <s v="OPT-CNXBAN-17-Jan-2024-46700-C-E-I"/>
    <s v="NSE"/>
    <s v="Buy"/>
    <n v="300"/>
    <n v="0"/>
    <n v="49.15"/>
    <n v="14745"/>
    <s v="#202401173700016080"/>
    <n v="0"/>
    <n v="7.45"/>
    <n v="2"/>
    <n v="0.01"/>
    <n v="400"/>
    <n v="73.34"/>
    <n v="482.8"/>
    <n v="2024"/>
    <n v="1"/>
    <n v="2023"/>
    <n v="10"/>
    <n v="10"/>
    <x v="0"/>
    <x v="0"/>
    <n v="-15227.8"/>
    <x v="1"/>
    <n v="-15227.8"/>
  </r>
  <r>
    <x v="3"/>
    <s v="OPT-CNXBAN-17-Jan-2024-46700-C-E-I"/>
    <s v="NSE"/>
    <s v="Buy"/>
    <n v="150"/>
    <n v="0"/>
    <n v="43.45"/>
    <n v="6517.5"/>
    <s v="#202401173700015246"/>
    <n v="0"/>
    <n v="3.29"/>
    <n v="0"/>
    <n v="0.01"/>
    <n v="200"/>
    <n v="36.6"/>
    <n v="239.9"/>
    <n v="2024"/>
    <n v="1"/>
    <n v="2023"/>
    <n v="10"/>
    <n v="10"/>
    <x v="0"/>
    <x v="0"/>
    <n v="-6757.4"/>
    <x v="1"/>
    <n v="-6757.4"/>
  </r>
  <r>
    <x v="3"/>
    <s v="OPT-CNXBAN-17-Jan-2024-46700-C-E-I"/>
    <s v="NSE"/>
    <s v="Buy"/>
    <n v="150"/>
    <n v="0"/>
    <n v="52.55"/>
    <n v="7882.5"/>
    <s v="#202401173700014614"/>
    <n v="0"/>
    <n v="3.98"/>
    <n v="0"/>
    <n v="0.01"/>
    <n v="200"/>
    <n v="36.72"/>
    <n v="240.71"/>
    <n v="2024"/>
    <n v="1"/>
    <n v="2023"/>
    <n v="10"/>
    <n v="10"/>
    <x v="0"/>
    <x v="0"/>
    <n v="-8123.21"/>
    <x v="1"/>
    <n v="-8123.21"/>
  </r>
  <r>
    <x v="3"/>
    <s v="OPT-CNXBAN-17-Jan-2024-46700-C-E-I"/>
    <s v="NSE"/>
    <s v="Buy"/>
    <n v="150"/>
    <n v="0"/>
    <n v="54"/>
    <n v="8100"/>
    <s v="#202401173700013513"/>
    <n v="0"/>
    <n v="4.09"/>
    <n v="0"/>
    <n v="0.01"/>
    <n v="200"/>
    <n v="36.74"/>
    <n v="240.84"/>
    <n v="2024"/>
    <n v="1"/>
    <n v="2023"/>
    <n v="10"/>
    <n v="10"/>
    <x v="0"/>
    <x v="0"/>
    <n v="-8340.84"/>
    <x v="1"/>
    <n v="-8340.84"/>
  </r>
  <r>
    <x v="3"/>
    <s v="OPT-CNXBAN-17-Jan-2024-46700-C-E-I"/>
    <s v="NSE"/>
    <s v="Buy"/>
    <n v="90"/>
    <n v="0"/>
    <n v="74"/>
    <n v="6660"/>
    <s v="#202401173700012803"/>
    <n v="0"/>
    <n v="3.36"/>
    <n v="0"/>
    <n v="0.01"/>
    <n v="120"/>
    <n v="22.2"/>
    <n v="145.57"/>
    <n v="2024"/>
    <n v="1"/>
    <n v="2023"/>
    <n v="10"/>
    <n v="10"/>
    <x v="0"/>
    <x v="0"/>
    <n v="-6805.57"/>
    <x v="1"/>
    <n v="-6805.57"/>
  </r>
  <r>
    <x v="3"/>
    <s v="OPT-CNXBAN-17-Jan-2024-46700-C-E-I"/>
    <s v="NSE"/>
    <s v="Buy"/>
    <n v="15"/>
    <n v="0"/>
    <n v="77.75"/>
    <n v="1166.25"/>
    <s v="#202401173700012740"/>
    <n v="0"/>
    <n v="0.59"/>
    <n v="0"/>
    <n v="0"/>
    <n v="20"/>
    <n v="3.7"/>
    <n v="24.29"/>
    <n v="2024"/>
    <n v="1"/>
    <n v="2023"/>
    <n v="10"/>
    <n v="10"/>
    <x v="0"/>
    <x v="0"/>
    <n v="-1190.54"/>
    <x v="1"/>
    <n v="-1190.54"/>
  </r>
  <r>
    <x v="3"/>
    <s v="OPT-CNXBAN-17-Jan-2024-46700-C-E-I"/>
    <s v="NSE"/>
    <s v="Buy"/>
    <n v="15"/>
    <n v="0"/>
    <n v="79"/>
    <n v="1185"/>
    <s v="#202401173700012675"/>
    <n v="0"/>
    <n v="0.6"/>
    <n v="0"/>
    <n v="0"/>
    <n v="20"/>
    <n v="3.7"/>
    <n v="24.3"/>
    <n v="2024"/>
    <n v="1"/>
    <n v="2023"/>
    <n v="10"/>
    <n v="10"/>
    <x v="0"/>
    <x v="0"/>
    <n v="-1209.3"/>
    <x v="1"/>
    <n v="-1209.3"/>
  </r>
  <r>
    <x v="3"/>
    <s v="OPT-CNXBAN-17-Jan-2024-46700-C-E-I"/>
    <s v="NSE"/>
    <s v="Buy"/>
    <n v="15"/>
    <n v="0"/>
    <n v="80.650000000000006"/>
    <n v="1209.75"/>
    <s v="#202401173700012615"/>
    <n v="0"/>
    <n v="0.61"/>
    <n v="0"/>
    <n v="0"/>
    <n v="20"/>
    <n v="3.7"/>
    <n v="24.31"/>
    <n v="2024"/>
    <n v="1"/>
    <n v="2023"/>
    <n v="10"/>
    <n v="10"/>
    <x v="0"/>
    <x v="0"/>
    <n v="-1234.06"/>
    <x v="1"/>
    <n v="-1234.06"/>
  </r>
  <r>
    <x v="3"/>
    <s v="OPT-CNXBAN-17-Jan-2024-46700-C-E-I"/>
    <s v="NSE"/>
    <s v="Buy"/>
    <n v="15"/>
    <n v="0"/>
    <n v="87.6"/>
    <n v="1314"/>
    <s v="#202401173700012540"/>
    <n v="0"/>
    <n v="0.66"/>
    <n v="0"/>
    <n v="0"/>
    <n v="20"/>
    <n v="3.72"/>
    <n v="24.38"/>
    <n v="2024"/>
    <n v="1"/>
    <n v="2023"/>
    <n v="10"/>
    <n v="10"/>
    <x v="0"/>
    <x v="0"/>
    <n v="-1338.38"/>
    <x v="1"/>
    <n v="-1338.38"/>
  </r>
  <r>
    <x v="4"/>
    <s v="OPT-NIFTY-18-Jan-2024-21450-P-E-I"/>
    <s v="NSE"/>
    <s v="Sell"/>
    <n v="50"/>
    <n v="0"/>
    <n v="28.55"/>
    <n v="1427.5"/>
    <s v="#202401183700024967"/>
    <n v="0.89"/>
    <n v="0.72"/>
    <n v="0"/>
    <n v="0"/>
    <n v="20"/>
    <n v="3.72"/>
    <n v="25.33"/>
    <n v="2024"/>
    <n v="1"/>
    <n v="2023"/>
    <n v="10"/>
    <n v="10"/>
    <x v="0"/>
    <x v="0"/>
    <n v="1402.17"/>
    <x v="6"/>
    <s v=""/>
  </r>
  <r>
    <x v="4"/>
    <s v="OPT-NIFTY-18-Jan-2024-21450-P-E-I"/>
    <s v="NSE"/>
    <s v="Buy"/>
    <n v="50"/>
    <n v="0"/>
    <n v="16.649999999999999"/>
    <n v="832.5"/>
    <s v="#202401183700023948"/>
    <n v="0"/>
    <n v="0.42"/>
    <n v="0"/>
    <n v="0"/>
    <n v="20"/>
    <n v="3.68"/>
    <n v="24.1"/>
    <n v="2024"/>
    <n v="1"/>
    <n v="2023"/>
    <n v="10"/>
    <n v="10"/>
    <x v="0"/>
    <x v="0"/>
    <n v="-856.6"/>
    <x v="1"/>
    <n v="-856.6"/>
  </r>
  <r>
    <x v="4"/>
    <s v="OPT-NIFTY-18-Jan-2024-21450-P-E-I"/>
    <s v="NSE"/>
    <s v="Sell"/>
    <n v="100"/>
    <n v="0"/>
    <n v="21.6"/>
    <n v="2160"/>
    <s v="#202401183700019735"/>
    <n v="1.35"/>
    <n v="1.0900000000000001"/>
    <n v="0"/>
    <n v="0"/>
    <n v="40"/>
    <n v="7.4"/>
    <n v="49.84"/>
    <n v="2024"/>
    <n v="1"/>
    <n v="2023"/>
    <n v="10"/>
    <n v="10"/>
    <x v="0"/>
    <x v="0"/>
    <n v="2110.16"/>
    <x v="7"/>
    <s v=""/>
  </r>
  <r>
    <x v="4"/>
    <s v="OPT-NIFTY-18-Jan-2024-21450-P-E-I"/>
    <s v="NSE"/>
    <s v="Buy"/>
    <n v="100"/>
    <n v="0"/>
    <n v="10.8"/>
    <n v="1080"/>
    <s v="#202401183700016202"/>
    <n v="0"/>
    <n v="0.54"/>
    <n v="0"/>
    <n v="0"/>
    <n v="40"/>
    <n v="7.28"/>
    <n v="47.82"/>
    <n v="2024"/>
    <n v="1"/>
    <n v="2023"/>
    <n v="10"/>
    <n v="10"/>
    <x v="0"/>
    <x v="0"/>
    <n v="-1127.82"/>
    <x v="1"/>
    <n v="-1127.82"/>
  </r>
  <r>
    <x v="4"/>
    <s v="OPT-NIFTY-18-Jan-2024-21300-P-E-I"/>
    <s v="NSE"/>
    <s v="Sell"/>
    <n v="50"/>
    <n v="0"/>
    <n v="2.5"/>
    <n v="125"/>
    <s v="#202401183700015997"/>
    <n v="0.08"/>
    <n v="0.06"/>
    <n v="0"/>
    <n v="0"/>
    <n v="20"/>
    <n v="3.62"/>
    <n v="23.76"/>
    <n v="2024"/>
    <n v="1"/>
    <n v="2023"/>
    <n v="10"/>
    <n v="10"/>
    <x v="0"/>
    <x v="0"/>
    <n v="101.24"/>
    <x v="8"/>
    <s v=""/>
  </r>
  <r>
    <x v="4"/>
    <s v="OPT-NIFTY-18-Jan-2024-21300-P-E-I"/>
    <s v="NSE"/>
    <s v="Sell"/>
    <n v="50"/>
    <n v="0"/>
    <n v="2.5"/>
    <n v="125"/>
    <s v="#202401183700015996"/>
    <n v="0.08"/>
    <n v="0.06"/>
    <n v="0"/>
    <n v="0"/>
    <n v="20"/>
    <n v="3.62"/>
    <n v="23.76"/>
    <n v="2024"/>
    <n v="1"/>
    <n v="2023"/>
    <n v="10"/>
    <n v="10"/>
    <x v="0"/>
    <x v="0"/>
    <n v="101.24"/>
    <x v="8"/>
    <s v=""/>
  </r>
  <r>
    <x v="4"/>
    <s v="OPT-NIFTY-18-Jan-2024-21300-P-E-I"/>
    <s v="NSE"/>
    <s v="Sell"/>
    <n v="50"/>
    <n v="0"/>
    <n v="2.7"/>
    <n v="135"/>
    <s v="#202401183700015950"/>
    <n v="0.08"/>
    <n v="7.0000000000000007E-2"/>
    <n v="0"/>
    <n v="0"/>
    <n v="20"/>
    <n v="3.62"/>
    <n v="23.77"/>
    <n v="2024"/>
    <n v="1"/>
    <n v="2023"/>
    <n v="10"/>
    <n v="10"/>
    <x v="0"/>
    <x v="0"/>
    <n v="111.23"/>
    <x v="9"/>
    <s v=""/>
  </r>
  <r>
    <x v="4"/>
    <s v="OPT-NIFTY-18-Jan-2024-21300-P-E-I"/>
    <s v="NSE"/>
    <s v="Sell"/>
    <n v="50"/>
    <n v="0"/>
    <n v="2.95"/>
    <n v="147.5"/>
    <s v="#202401183700015851"/>
    <n v="0.18"/>
    <n v="7.0000000000000007E-2"/>
    <n v="0"/>
    <n v="0"/>
    <n v="20"/>
    <n v="3.62"/>
    <n v="23.87"/>
    <n v="2024"/>
    <n v="1"/>
    <n v="2023"/>
    <n v="10"/>
    <n v="10"/>
    <x v="0"/>
    <x v="0"/>
    <n v="123.63"/>
    <x v="10"/>
    <s v=""/>
  </r>
  <r>
    <x v="4"/>
    <s v="OPT-NIFTY-18-Jan-2024-21300-P-E-I"/>
    <s v="NSE"/>
    <s v="Buy"/>
    <n v="50"/>
    <n v="0"/>
    <n v="3.2"/>
    <n v="160"/>
    <s v="#202401183700015105"/>
    <n v="0"/>
    <n v="0.08"/>
    <n v="0"/>
    <n v="0"/>
    <n v="20"/>
    <n v="3.62"/>
    <n v="23.7"/>
    <n v="2024"/>
    <n v="1"/>
    <n v="2023"/>
    <n v="10"/>
    <n v="10"/>
    <x v="0"/>
    <x v="0"/>
    <n v="-183.7"/>
    <x v="1"/>
    <n v="-183.7"/>
  </r>
  <r>
    <x v="4"/>
    <s v="OPT-NIFTY-18-Jan-2024-21300-P-E-I"/>
    <s v="NSE"/>
    <s v="Buy"/>
    <n v="50"/>
    <n v="0"/>
    <n v="3.7"/>
    <n v="185"/>
    <s v="#202401183700014798"/>
    <n v="0"/>
    <n v="0.09"/>
    <n v="0"/>
    <n v="0"/>
    <n v="20"/>
    <n v="3.62"/>
    <n v="23.71"/>
    <n v="2024"/>
    <n v="1"/>
    <n v="2023"/>
    <n v="10"/>
    <n v="10"/>
    <x v="0"/>
    <x v="0"/>
    <n v="-208.71"/>
    <x v="1"/>
    <n v="-208.71"/>
  </r>
  <r>
    <x v="4"/>
    <s v="OPT-NIFTY-18-Jan-2024-21300-P-E-I"/>
    <s v="NSE"/>
    <s v="Buy"/>
    <n v="50"/>
    <n v="0"/>
    <n v="5.75"/>
    <n v="287.5"/>
    <s v="#202401183700011974"/>
    <n v="0"/>
    <n v="0.15"/>
    <n v="0"/>
    <n v="0"/>
    <n v="20"/>
    <n v="3.62"/>
    <n v="23.77"/>
    <n v="2024"/>
    <n v="1"/>
    <n v="2023"/>
    <n v="10"/>
    <n v="10"/>
    <x v="0"/>
    <x v="0"/>
    <n v="-311.27"/>
    <x v="1"/>
    <n v="-311.27"/>
  </r>
  <r>
    <x v="4"/>
    <s v="OPT-NIFTY-18-Jan-2024-21300-P-E-I"/>
    <s v="NSE"/>
    <s v="Buy"/>
    <n v="50"/>
    <n v="0"/>
    <n v="6.35"/>
    <n v="317.5"/>
    <s v="#202401183700011826"/>
    <n v="0"/>
    <n v="0.16"/>
    <n v="0"/>
    <n v="0"/>
    <n v="20"/>
    <n v="3.62"/>
    <n v="23.78"/>
    <n v="2024"/>
    <n v="1"/>
    <n v="2023"/>
    <n v="10"/>
    <n v="10"/>
    <x v="0"/>
    <x v="0"/>
    <n v="-341.28"/>
    <x v="1"/>
    <n v="-341.28"/>
  </r>
  <r>
    <x v="4"/>
    <s v="OPT-NIFTY-18-Jan-2024-21500-C-E-I"/>
    <s v="NSE"/>
    <s v="Sell"/>
    <n v="50"/>
    <n v="0"/>
    <n v="35.65"/>
    <n v="1782.5"/>
    <s v="#202401183700010258"/>
    <n v="1.1100000000000001"/>
    <n v="0.9"/>
    <n v="0"/>
    <n v="0"/>
    <n v="20"/>
    <n v="3.76"/>
    <n v="25.77"/>
    <n v="2024"/>
    <n v="1"/>
    <n v="2023"/>
    <n v="10"/>
    <n v="10"/>
    <x v="0"/>
    <x v="0"/>
    <n v="1756.73"/>
    <x v="11"/>
    <s v=""/>
  </r>
  <r>
    <x v="4"/>
    <s v="OPT-NIFTY-18-Jan-2024-21500-C-E-I"/>
    <s v="NSE"/>
    <s v="Sell"/>
    <n v="50"/>
    <n v="0"/>
    <n v="35.65"/>
    <n v="1782.5"/>
    <s v="#202401183700010257"/>
    <n v="1.1100000000000001"/>
    <n v="0.9"/>
    <n v="0"/>
    <n v="0"/>
    <n v="20"/>
    <n v="3.76"/>
    <n v="25.77"/>
    <n v="2024"/>
    <n v="1"/>
    <n v="2023"/>
    <n v="10"/>
    <n v="10"/>
    <x v="0"/>
    <x v="0"/>
    <n v="1756.73"/>
    <x v="11"/>
    <s v=""/>
  </r>
  <r>
    <x v="4"/>
    <s v="OPT-NIFTY-18-Jan-2024-21500-C-E-I"/>
    <s v="NSE"/>
    <s v="Buy"/>
    <n v="50"/>
    <n v="0"/>
    <n v="10.75"/>
    <n v="537.5"/>
    <s v="#202401183700007449"/>
    <n v="0"/>
    <n v="0.27"/>
    <n v="0"/>
    <n v="0"/>
    <n v="20"/>
    <n v="3.64"/>
    <n v="23.91"/>
    <n v="2024"/>
    <n v="1"/>
    <n v="2023"/>
    <n v="10"/>
    <n v="10"/>
    <x v="0"/>
    <x v="0"/>
    <n v="-561.41"/>
    <x v="1"/>
    <n v="-561.41"/>
  </r>
  <r>
    <x v="4"/>
    <s v="OPT-NIFTY-18-Jan-2024-21500-C-E-I"/>
    <s v="NSE"/>
    <s v="Buy"/>
    <n v="50"/>
    <n v="0"/>
    <n v="10.6"/>
    <n v="530"/>
    <s v="#202401183700007239"/>
    <n v="0"/>
    <n v="0.27"/>
    <n v="0"/>
    <n v="0"/>
    <n v="20"/>
    <n v="3.64"/>
    <n v="23.91"/>
    <n v="2024"/>
    <n v="1"/>
    <n v="2023"/>
    <n v="10"/>
    <n v="10"/>
    <x v="0"/>
    <x v="0"/>
    <n v="-553.91"/>
    <x v="1"/>
    <n v="-553.91"/>
  </r>
  <r>
    <x v="4"/>
    <s v="OPT-NIFTY-18-Jan-2024-21600-C-E-I"/>
    <s v="NSE"/>
    <s v="Sell"/>
    <n v="50"/>
    <n v="0"/>
    <n v="3.35"/>
    <n v="167.5"/>
    <s v="#202401183700004493"/>
    <n v="0.1"/>
    <n v="0.08"/>
    <n v="0"/>
    <n v="0"/>
    <n v="20"/>
    <n v="3.62"/>
    <n v="23.8"/>
    <n v="2024"/>
    <n v="1"/>
    <n v="2023"/>
    <n v="10"/>
    <n v="10"/>
    <x v="0"/>
    <x v="0"/>
    <n v="143.69999999999999"/>
    <x v="12"/>
    <s v=""/>
  </r>
  <r>
    <x v="4"/>
    <s v="OPT-NIFTY-18-Jan-2024-21600-C-E-I"/>
    <s v="NSE"/>
    <s v="Buy"/>
    <n v="50"/>
    <n v="0"/>
    <n v="9.5"/>
    <n v="475"/>
    <s v="#202401183700001475"/>
    <n v="0"/>
    <n v="0.24"/>
    <n v="0"/>
    <n v="0"/>
    <n v="20"/>
    <n v="3.64"/>
    <n v="23.88"/>
    <n v="2024"/>
    <n v="1"/>
    <n v="2023"/>
    <n v="10"/>
    <n v="10"/>
    <x v="0"/>
    <x v="0"/>
    <n v="-498.88"/>
    <x v="1"/>
    <n v="-498.88"/>
  </r>
  <r>
    <x v="5"/>
    <s v="OPT-CNXBAN-25-Jan-2024-46000-P-E-I"/>
    <s v="NSE"/>
    <s v="Sell"/>
    <n v="30"/>
    <n v="0"/>
    <n v="437.4"/>
    <n v="13122"/>
    <s v="#202401193700009376"/>
    <n v="8"/>
    <n v="6.63"/>
    <n v="0"/>
    <n v="0.01"/>
    <n v="40"/>
    <n v="8.4"/>
    <n v="63.04"/>
    <n v="2024"/>
    <n v="1"/>
    <n v="2023"/>
    <n v="10"/>
    <n v="10"/>
    <x v="0"/>
    <x v="0"/>
    <n v="13058.96"/>
    <x v="13"/>
    <s v=""/>
  </r>
  <r>
    <x v="5"/>
    <s v="OPT-CNXBAN-25-Jan-2024-46000-P-E-I"/>
    <s v="NSE"/>
    <s v="Buy"/>
    <n v="15"/>
    <n v="0"/>
    <n v="324"/>
    <n v="4860"/>
    <s v="#202401193700008227"/>
    <n v="0"/>
    <n v="2.4500000000000002"/>
    <n v="0"/>
    <n v="0"/>
    <n v="20"/>
    <n v="4.04"/>
    <n v="26.49"/>
    <n v="2024"/>
    <n v="1"/>
    <n v="2023"/>
    <n v="10"/>
    <n v="10"/>
    <x v="0"/>
    <x v="0"/>
    <n v="-4886.49"/>
    <x v="1"/>
    <n v="-4886.49"/>
  </r>
  <r>
    <x v="5"/>
    <s v="OPT-CNXBAN-25-Jan-2024-46000-P-E-I"/>
    <s v="NSE"/>
    <s v="Buy"/>
    <n v="15"/>
    <n v="0"/>
    <n v="323.45"/>
    <n v="4851.75"/>
    <s v="#202401193700007925"/>
    <n v="0"/>
    <n v="2.4500000000000002"/>
    <n v="0"/>
    <n v="0"/>
    <n v="20"/>
    <n v="4.04"/>
    <n v="26.49"/>
    <n v="2024"/>
    <n v="1"/>
    <n v="2023"/>
    <n v="10"/>
    <n v="10"/>
    <x v="0"/>
    <x v="0"/>
    <n v="-4878.24"/>
    <x v="1"/>
    <n v="-4878.24"/>
  </r>
  <r>
    <x v="6"/>
    <s v="OPT-GUJGA-25-Jan-2024-560-C-E-S"/>
    <s v="NSE"/>
    <s v="Sell"/>
    <n v="1250"/>
    <n v="0"/>
    <n v="4.5999999999999996"/>
    <n v="5750"/>
    <s v="#202401233700026904"/>
    <n v="3.59"/>
    <n v="2.9"/>
    <n v="0"/>
    <n v="0.01"/>
    <n v="20"/>
    <n v="4.12"/>
    <n v="30.62"/>
    <n v="2024"/>
    <n v="1"/>
    <n v="2023"/>
    <n v="10"/>
    <n v="10"/>
    <x v="0"/>
    <x v="0"/>
    <n v="5719.38"/>
    <x v="14"/>
    <s v=""/>
  </r>
  <r>
    <x v="6"/>
    <s v="OPT-GUJGA-25-Jan-2024-560-C-E-S"/>
    <s v="NSE"/>
    <s v="Buy"/>
    <n v="1250"/>
    <n v="0"/>
    <n v="7.5"/>
    <n v="9375"/>
    <s v="#202401233700016186"/>
    <n v="0"/>
    <n v="4.7300000000000004"/>
    <n v="0.71"/>
    <n v="0.01"/>
    <n v="20"/>
    <n v="4.46"/>
    <n v="29.91"/>
    <n v="2024"/>
    <n v="1"/>
    <n v="2023"/>
    <n v="10"/>
    <n v="10"/>
    <x v="0"/>
    <x v="0"/>
    <n v="-9404.91"/>
    <x v="1"/>
    <n v="-9404.91"/>
  </r>
  <r>
    <x v="6"/>
    <s v="OPT-NIFFIN-23-Jan-2024-20700-C-E-I"/>
    <s v="NSE"/>
    <s v="Sell"/>
    <n v="40"/>
    <n v="0"/>
    <n v="4.3499999999999996"/>
    <n v="174"/>
    <s v="#202401233700008238"/>
    <n v="0.28000000000000003"/>
    <n v="0.09"/>
    <n v="0"/>
    <n v="0"/>
    <n v="20"/>
    <n v="3.62"/>
    <n v="23.99"/>
    <n v="2024"/>
    <n v="1"/>
    <n v="2023"/>
    <n v="10"/>
    <n v="10"/>
    <x v="0"/>
    <x v="0"/>
    <n v="150.01"/>
    <x v="15"/>
    <s v=""/>
  </r>
  <r>
    <x v="6"/>
    <s v="OPT-NIFFIN-23-Jan-2024-20700-C-E-I"/>
    <s v="NSE"/>
    <s v="Sell"/>
    <n v="160"/>
    <n v="0"/>
    <n v="5.75"/>
    <n v="920"/>
    <s v="#202401233700007908"/>
    <n v="0.57999999999999996"/>
    <n v="0.46"/>
    <n v="0"/>
    <n v="0"/>
    <n v="80"/>
    <n v="14.48"/>
    <n v="95.52"/>
    <n v="2024"/>
    <n v="1"/>
    <n v="2023"/>
    <n v="10"/>
    <n v="10"/>
    <x v="0"/>
    <x v="0"/>
    <n v="824.48"/>
    <x v="16"/>
    <s v=""/>
  </r>
  <r>
    <x v="6"/>
    <s v="OPT-NIFFIN-23-Jan-2024-20700-C-E-I"/>
    <s v="NSE"/>
    <s v="Sell"/>
    <n v="40"/>
    <n v="0"/>
    <n v="5.8"/>
    <n v="232"/>
    <s v="#202401233700007202"/>
    <n v="0.15"/>
    <n v="0.12"/>
    <n v="0"/>
    <n v="0"/>
    <n v="20"/>
    <n v="3.62"/>
    <n v="23.89"/>
    <n v="2024"/>
    <n v="1"/>
    <n v="2023"/>
    <n v="10"/>
    <n v="10"/>
    <x v="0"/>
    <x v="0"/>
    <n v="208.11"/>
    <x v="17"/>
    <s v=""/>
  </r>
  <r>
    <x v="6"/>
    <s v="OPT-NIFTY-25-Jan-2024-21700-P-E-I"/>
    <s v="NSE"/>
    <s v="Sell"/>
    <n v="50"/>
    <n v="0"/>
    <n v="108.9"/>
    <n v="5445"/>
    <s v="#202401233700004840"/>
    <n v="3.4"/>
    <n v="2.75"/>
    <n v="0"/>
    <n v="0.01"/>
    <n v="20"/>
    <n v="4.0999999999999996"/>
    <n v="30.26"/>
    <n v="2024"/>
    <n v="1"/>
    <n v="2023"/>
    <n v="10"/>
    <n v="10"/>
    <x v="0"/>
    <x v="0"/>
    <n v="5414.74"/>
    <x v="18"/>
    <s v=""/>
  </r>
  <r>
    <x v="6"/>
    <s v="OPT-NIFFIN-23-Jan-2024-20700-C-E-I"/>
    <s v="NSE"/>
    <s v="Buy"/>
    <n v="40"/>
    <n v="0"/>
    <n v="11.25"/>
    <n v="450"/>
    <s v="#202401233700004524"/>
    <n v="0"/>
    <n v="0.23"/>
    <n v="0"/>
    <n v="0"/>
    <n v="20"/>
    <n v="3.64"/>
    <n v="23.87"/>
    <n v="2024"/>
    <n v="1"/>
    <n v="2023"/>
    <n v="10"/>
    <n v="10"/>
    <x v="0"/>
    <x v="0"/>
    <n v="-473.87"/>
    <x v="1"/>
    <n v="-473.87"/>
  </r>
  <r>
    <x v="6"/>
    <s v="OPT-NIFFIN-23-Jan-2024-20700-C-E-I"/>
    <s v="NSE"/>
    <s v="Buy"/>
    <n v="40"/>
    <n v="0"/>
    <n v="16.55"/>
    <n v="662"/>
    <s v="#202401233700004149"/>
    <n v="0"/>
    <n v="0.33"/>
    <n v="0"/>
    <n v="0"/>
    <n v="20"/>
    <n v="3.66"/>
    <n v="23.99"/>
    <n v="2024"/>
    <n v="1"/>
    <n v="2023"/>
    <n v="10"/>
    <n v="10"/>
    <x v="0"/>
    <x v="0"/>
    <n v="-685.99"/>
    <x v="1"/>
    <n v="-685.99"/>
  </r>
  <r>
    <x v="6"/>
    <s v="OPT-NIFFIN-23-Jan-2024-20700-C-E-I"/>
    <s v="NSE"/>
    <s v="Buy"/>
    <n v="40"/>
    <n v="0"/>
    <n v="22.05"/>
    <n v="882"/>
    <s v="#202401233700003692"/>
    <n v="0"/>
    <n v="0.45"/>
    <n v="0"/>
    <n v="0"/>
    <n v="20"/>
    <n v="3.68"/>
    <n v="24.13"/>
    <n v="2024"/>
    <n v="1"/>
    <n v="2023"/>
    <n v="10"/>
    <n v="10"/>
    <x v="0"/>
    <x v="0"/>
    <n v="-906.13"/>
    <x v="1"/>
    <n v="-906.13"/>
  </r>
  <r>
    <x v="6"/>
    <s v="OPT-NIFTY-25-Jan-2024-21700-P-E-I"/>
    <s v="NSE"/>
    <s v="Buy"/>
    <n v="50"/>
    <n v="0"/>
    <n v="75.7"/>
    <n v="3785"/>
    <s v="#202401233700002870"/>
    <n v="0"/>
    <n v="1.91"/>
    <n v="0.11"/>
    <n v="0"/>
    <n v="20"/>
    <n v="3.94"/>
    <n v="25.96"/>
    <n v="2024"/>
    <n v="1"/>
    <n v="2023"/>
    <n v="10"/>
    <n v="10"/>
    <x v="0"/>
    <x v="0"/>
    <n v="-3810.96"/>
    <x v="1"/>
    <n v="-3810.96"/>
  </r>
  <r>
    <x v="6"/>
    <s v="OPT-NIFFIN-23-Jan-2024-20700-C-E-I"/>
    <s v="NSE"/>
    <s v="Buy"/>
    <n v="40"/>
    <n v="0"/>
    <n v="24.3"/>
    <n v="972"/>
    <s v="#202401233700002650"/>
    <n v="0"/>
    <n v="0.49"/>
    <n v="0"/>
    <n v="0"/>
    <n v="20"/>
    <n v="3.68"/>
    <n v="24.17"/>
    <n v="2024"/>
    <n v="1"/>
    <n v="2023"/>
    <n v="10"/>
    <n v="10"/>
    <x v="0"/>
    <x v="0"/>
    <n v="-996.17"/>
    <x v="1"/>
    <n v="-996.17"/>
  </r>
  <r>
    <x v="6"/>
    <s v="OPT-NIFFIN-23-Jan-2024-20700-C-E-I"/>
    <s v="NSE"/>
    <s v="Buy"/>
    <n v="40"/>
    <n v="0"/>
    <n v="30.1"/>
    <n v="1204"/>
    <s v="#202401233700002287"/>
    <n v="0"/>
    <n v="0.61"/>
    <n v="0"/>
    <n v="0"/>
    <n v="20"/>
    <n v="3.7"/>
    <n v="24.31"/>
    <n v="2024"/>
    <n v="1"/>
    <n v="2023"/>
    <n v="10"/>
    <n v="10"/>
    <x v="0"/>
    <x v="0"/>
    <n v="-1228.31"/>
    <x v="1"/>
    <n v="-1228.31"/>
  </r>
  <r>
    <x v="6"/>
    <s v="OPT-NIFFIN-23-Jan-2024-20700-C-E-I"/>
    <s v="NSE"/>
    <s v="Buy"/>
    <n v="40"/>
    <n v="0"/>
    <n v="41.9"/>
    <n v="1676"/>
    <s v="#202401233700001458"/>
    <n v="0"/>
    <n v="0.85"/>
    <n v="0.18"/>
    <n v="0"/>
    <n v="20"/>
    <n v="3.76"/>
    <n v="24.79"/>
    <n v="2024"/>
    <n v="1"/>
    <n v="2023"/>
    <n v="10"/>
    <n v="10"/>
    <x v="0"/>
    <x v="0"/>
    <n v="-1700.79"/>
    <x v="1"/>
    <n v="-1700.79"/>
  </r>
  <r>
    <x v="7"/>
    <s v="OPT-CNXBAN-25-Jan-2024-44800-C-E-I"/>
    <s v="NSE"/>
    <s v="Sell"/>
    <n v="15"/>
    <n v="0"/>
    <n v="402.3"/>
    <n v="6034.5"/>
    <s v="#202401243700025304"/>
    <n v="3.45"/>
    <n v="3.05"/>
    <n v="0"/>
    <n v="0.01"/>
    <n v="20"/>
    <n v="4.16"/>
    <n v="30.67"/>
    <n v="2024"/>
    <n v="1"/>
    <n v="2023"/>
    <n v="10"/>
    <n v="10"/>
    <x v="0"/>
    <x v="0"/>
    <n v="6003.83"/>
    <x v="19"/>
    <s v=""/>
  </r>
  <r>
    <x v="7"/>
    <s v="OPT-CNXBAN-25-Jan-2024-44800-C-E-I"/>
    <s v="NSE"/>
    <s v="Buy"/>
    <n v="15"/>
    <n v="0"/>
    <n v="248.5"/>
    <n v="3727.5"/>
    <s v="#202401243700023874"/>
    <n v="0"/>
    <n v="1.88"/>
    <n v="0"/>
    <n v="0"/>
    <n v="20"/>
    <n v="3.94"/>
    <n v="25.82"/>
    <n v="2024"/>
    <n v="1"/>
    <n v="2023"/>
    <n v="10"/>
    <n v="10"/>
    <x v="0"/>
    <x v="0"/>
    <n v="-3753.32"/>
    <x v="1"/>
    <n v="-3753.32"/>
  </r>
  <r>
    <x v="7"/>
    <s v="OPT-CNXBAN-25-Jan-2024-45500-C-E-I"/>
    <s v="NSE"/>
    <s v="Sell"/>
    <n v="15"/>
    <n v="0"/>
    <n v="116.25"/>
    <n v="1743.75"/>
    <s v="#202401243700013686"/>
    <n v="1.0900000000000001"/>
    <n v="0.88"/>
    <n v="0"/>
    <n v="0"/>
    <n v="20"/>
    <n v="3.76"/>
    <n v="25.73"/>
    <n v="2024"/>
    <n v="1"/>
    <n v="2023"/>
    <n v="10"/>
    <n v="10"/>
    <x v="0"/>
    <x v="0"/>
    <n v="1718.02"/>
    <x v="20"/>
    <s v=""/>
  </r>
  <r>
    <x v="7"/>
    <s v="OPT-CNXBAN-25-Jan-2024-45500-C-E-I"/>
    <s v="NSE"/>
    <s v="Sell"/>
    <n v="15"/>
    <n v="0"/>
    <n v="116.25"/>
    <n v="1743.75"/>
    <s v="#202401243700013685"/>
    <n v="1.0900000000000001"/>
    <n v="0.88"/>
    <n v="0"/>
    <n v="0"/>
    <n v="20"/>
    <n v="3.76"/>
    <n v="25.73"/>
    <n v="2024"/>
    <n v="1"/>
    <n v="2023"/>
    <n v="10"/>
    <n v="10"/>
    <x v="0"/>
    <x v="0"/>
    <n v="1718.02"/>
    <x v="20"/>
    <s v=""/>
  </r>
  <r>
    <x v="7"/>
    <s v="OPT-CNXBAN-25-Jan-2024-45500-C-E-I"/>
    <s v="NSE"/>
    <s v="Buy"/>
    <n v="15"/>
    <n v="0"/>
    <n v="95.8"/>
    <n v="1437"/>
    <s v="#202401243700012661"/>
    <n v="0"/>
    <n v="0.73"/>
    <n v="0"/>
    <n v="0"/>
    <n v="20"/>
    <n v="3.74"/>
    <n v="24.47"/>
    <n v="2024"/>
    <n v="1"/>
    <n v="2023"/>
    <n v="10"/>
    <n v="10"/>
    <x v="0"/>
    <x v="0"/>
    <n v="-1461.47"/>
    <x v="1"/>
    <n v="-1461.47"/>
  </r>
  <r>
    <x v="7"/>
    <s v="OPT-CNXBAN-25-Jan-2024-45500-C-E-I"/>
    <s v="NSE"/>
    <s v="Buy"/>
    <n v="15"/>
    <n v="0"/>
    <n v="104.5"/>
    <n v="1567.5"/>
    <s v="#202401243700012385"/>
    <n v="0"/>
    <n v="0.79"/>
    <n v="0"/>
    <n v="0"/>
    <n v="20"/>
    <n v="3.74"/>
    <n v="24.53"/>
    <n v="2024"/>
    <n v="1"/>
    <n v="2023"/>
    <n v="10"/>
    <n v="10"/>
    <x v="0"/>
    <x v="0"/>
    <n v="-1592.03"/>
    <x v="1"/>
    <n v="-1592.03"/>
  </r>
  <r>
    <x v="7"/>
    <s v="OPT-CNXBAN-25-Jan-2024-45000-P-E-I"/>
    <s v="NSE"/>
    <s v="Sell"/>
    <n v="15"/>
    <n v="0"/>
    <n v="286.60000000000002"/>
    <n v="4299"/>
    <s v="#202401243700012190"/>
    <n v="2.69"/>
    <n v="2.17"/>
    <n v="0"/>
    <n v="0"/>
    <n v="20"/>
    <n v="4"/>
    <n v="28.86"/>
    <n v="2024"/>
    <n v="1"/>
    <n v="2023"/>
    <n v="10"/>
    <n v="10"/>
    <x v="0"/>
    <x v="0"/>
    <n v="4270.1400000000003"/>
    <x v="21"/>
    <s v=""/>
  </r>
  <r>
    <x v="7"/>
    <s v="OPT-CNXBAN-25-Jan-2024-45000-P-E-I"/>
    <s v="NSE"/>
    <s v="Sell"/>
    <n v="15"/>
    <n v="0"/>
    <n v="286.60000000000002"/>
    <n v="4299"/>
    <s v="#202401243700012189"/>
    <n v="2.69"/>
    <n v="2.17"/>
    <n v="0"/>
    <n v="0"/>
    <n v="20"/>
    <n v="4"/>
    <n v="28.86"/>
    <n v="2024"/>
    <n v="1"/>
    <n v="2023"/>
    <n v="10"/>
    <n v="10"/>
    <x v="0"/>
    <x v="0"/>
    <n v="4270.1400000000003"/>
    <x v="21"/>
    <s v=""/>
  </r>
  <r>
    <x v="7"/>
    <s v="OPT-CNXBAN-25-Jan-2024-45000-P-E-I"/>
    <s v="NSE"/>
    <s v="Buy"/>
    <n v="15"/>
    <n v="0"/>
    <n v="157.19999999999999"/>
    <n v="2358"/>
    <s v="#202401243700010306"/>
    <n v="0"/>
    <n v="1.19"/>
    <n v="0"/>
    <n v="0"/>
    <n v="20"/>
    <n v="3.82"/>
    <n v="25.01"/>
    <n v="2024"/>
    <n v="1"/>
    <n v="2023"/>
    <n v="10"/>
    <n v="10"/>
    <x v="0"/>
    <x v="0"/>
    <n v="-2383.0100000000002"/>
    <x v="1"/>
    <n v="-2383.0100000000002"/>
  </r>
  <r>
    <x v="7"/>
    <s v="OPT-CNXBAN-25-Jan-2024-45000-P-E-I"/>
    <s v="NSE"/>
    <s v="Buy"/>
    <n v="15"/>
    <n v="0"/>
    <n v="216.95"/>
    <n v="3254.25"/>
    <s v="#202401243700009876"/>
    <n v="0"/>
    <n v="1.64"/>
    <n v="0"/>
    <n v="0"/>
    <n v="20"/>
    <n v="3.9"/>
    <n v="25.54"/>
    <n v="2024"/>
    <n v="1"/>
    <n v="2023"/>
    <n v="10"/>
    <n v="10"/>
    <x v="0"/>
    <x v="0"/>
    <n v="-3279.79"/>
    <x v="1"/>
    <n v="-3279.79"/>
  </r>
  <r>
    <x v="8"/>
    <s v="OPT-NIFTY-25-Jan-2024-21300-P-E-I"/>
    <s v="NSE"/>
    <s v="Sell"/>
    <n v="100"/>
    <n v="0"/>
    <n v="57"/>
    <n v="5700"/>
    <s v="#202401253700020304"/>
    <n v="3.56"/>
    <n v="2.88"/>
    <n v="0"/>
    <n v="0.01"/>
    <n v="40"/>
    <n v="7.72"/>
    <n v="54.17"/>
    <n v="2024"/>
    <n v="1"/>
    <n v="2023"/>
    <n v="10"/>
    <n v="10"/>
    <x v="0"/>
    <x v="0"/>
    <n v="5645.83"/>
    <x v="22"/>
    <s v=""/>
  </r>
  <r>
    <x v="8"/>
    <s v="OPT-NIFTY-25-Jan-2024-21300-P-E-I"/>
    <s v="NSE"/>
    <s v="Buy"/>
    <n v="100"/>
    <n v="0"/>
    <n v="44.85"/>
    <n v="4485"/>
    <s v="#202401253700020156"/>
    <n v="0"/>
    <n v="2.2599999999999998"/>
    <n v="0.37"/>
    <n v="0"/>
    <n v="40"/>
    <n v="7.6"/>
    <n v="50.23"/>
    <n v="2024"/>
    <n v="1"/>
    <n v="2023"/>
    <n v="10"/>
    <n v="10"/>
    <x v="0"/>
    <x v="0"/>
    <n v="-4535.2299999999996"/>
    <x v="1"/>
    <n v="-4535.2299999999996"/>
  </r>
  <r>
    <x v="8"/>
    <s v="OPT-NIFTY-25-Jan-2024-21300-P-E-I"/>
    <s v="NSE"/>
    <s v="Sell"/>
    <n v="200"/>
    <n v="0"/>
    <n v="55"/>
    <n v="11000"/>
    <s v="#202401253700017592"/>
    <n v="6.88"/>
    <n v="5.56"/>
    <n v="0"/>
    <n v="0.01"/>
    <n v="80"/>
    <n v="15.42"/>
    <n v="107.87"/>
    <n v="2024"/>
    <n v="1"/>
    <n v="2023"/>
    <n v="10"/>
    <n v="10"/>
    <x v="0"/>
    <x v="0"/>
    <n v="10892.13"/>
    <x v="23"/>
    <s v=""/>
  </r>
  <r>
    <x v="8"/>
    <s v="OPT-NIFTY-25-Jan-2024-21300-P-E-I"/>
    <s v="NSE"/>
    <s v="Buy"/>
    <n v="200"/>
    <n v="0"/>
    <n v="45.4"/>
    <n v="9080"/>
    <s v="#202401253700016766"/>
    <n v="0"/>
    <n v="4.59"/>
    <n v="0"/>
    <n v="0"/>
    <n v="80"/>
    <n v="15.22"/>
    <n v="99.81"/>
    <n v="2024"/>
    <n v="1"/>
    <n v="2023"/>
    <n v="10"/>
    <n v="10"/>
    <x v="0"/>
    <x v="0"/>
    <n v="-9179.81"/>
    <x v="1"/>
    <n v="-9179.81"/>
  </r>
  <r>
    <x v="8"/>
    <s v="OPT-NIFTY-25-Jan-2024-21400-C-E-I"/>
    <s v="NSE"/>
    <s v="Sell"/>
    <n v="300"/>
    <n v="0"/>
    <n v="14.15"/>
    <n v="4245"/>
    <s v="#202401253700016679"/>
    <n v="2.65"/>
    <n v="2.15"/>
    <n v="0"/>
    <n v="0"/>
    <n v="120"/>
    <n v="21.98"/>
    <n v="146.78"/>
    <n v="2024"/>
    <n v="1"/>
    <n v="2023"/>
    <n v="10"/>
    <n v="10"/>
    <x v="0"/>
    <x v="0"/>
    <n v="4098.22"/>
    <x v="24"/>
    <s v=""/>
  </r>
  <r>
    <x v="8"/>
    <s v="OPT-NIFTY-25-Jan-2024-21400-C-E-I"/>
    <s v="NSE"/>
    <s v="Buy"/>
    <n v="100"/>
    <n v="0"/>
    <n v="19.75"/>
    <n v="1975"/>
    <s v="#202401253700015563"/>
    <n v="0"/>
    <n v="1"/>
    <n v="0"/>
    <n v="0"/>
    <n v="40"/>
    <n v="7.38"/>
    <n v="48.38"/>
    <n v="2024"/>
    <n v="1"/>
    <n v="2023"/>
    <n v="10"/>
    <n v="10"/>
    <x v="0"/>
    <x v="0"/>
    <n v="-2023.38"/>
    <x v="1"/>
    <n v="-2023.38"/>
  </r>
  <r>
    <x v="8"/>
    <s v="OPT-NIFTY-25-Jan-2024-21400-C-E-I"/>
    <s v="NSE"/>
    <s v="Buy"/>
    <n v="100"/>
    <n v="0"/>
    <n v="19.8"/>
    <n v="1980"/>
    <s v="#202401253700015418"/>
    <n v="0"/>
    <n v="1"/>
    <n v="0.4"/>
    <n v="0"/>
    <n v="40"/>
    <n v="7.38"/>
    <n v="48.78"/>
    <n v="2024"/>
    <n v="1"/>
    <n v="2023"/>
    <n v="10"/>
    <n v="10"/>
    <x v="0"/>
    <x v="0"/>
    <n v="-2028.78"/>
    <x v="1"/>
    <n v="-2028.78"/>
  </r>
  <r>
    <x v="8"/>
    <s v="OPT-NIFTY-25-Jan-2024-21400-C-E-I"/>
    <s v="NSE"/>
    <s v="Buy"/>
    <n v="100"/>
    <n v="0"/>
    <n v="21.55"/>
    <n v="2155"/>
    <s v="#202401253700013772"/>
    <n v="0"/>
    <n v="1.0900000000000001"/>
    <n v="0"/>
    <n v="0"/>
    <n v="40"/>
    <n v="7.4"/>
    <n v="48.49"/>
    <n v="2024"/>
    <n v="1"/>
    <n v="2023"/>
    <n v="10"/>
    <n v="10"/>
    <x v="0"/>
    <x v="0"/>
    <n v="-2203.4899999999998"/>
    <x v="1"/>
    <n v="-2203.4899999999998"/>
  </r>
  <r>
    <x v="8"/>
    <s v="OPT-NIFTY-25-Jan-2024-21400-C-E-I"/>
    <s v="NSE"/>
    <s v="Sell"/>
    <n v="100"/>
    <n v="0"/>
    <n v="15.95"/>
    <n v="1595"/>
    <s v="#202401253700010839"/>
    <n v="1"/>
    <n v="0.81"/>
    <n v="0"/>
    <n v="0"/>
    <n v="40"/>
    <n v="7.34"/>
    <n v="49.15"/>
    <n v="2024"/>
    <n v="1"/>
    <n v="2023"/>
    <n v="10"/>
    <n v="10"/>
    <x v="0"/>
    <x v="0"/>
    <n v="1545.85"/>
    <x v="25"/>
    <s v=""/>
  </r>
  <r>
    <x v="8"/>
    <s v="OPT-NIFTY-25-Jan-2024-21400-C-E-I"/>
    <s v="NSE"/>
    <s v="Buy"/>
    <n v="100"/>
    <n v="0"/>
    <n v="26.65"/>
    <n v="2665"/>
    <s v="#202401253700009131"/>
    <n v="0"/>
    <n v="1.35"/>
    <n v="0"/>
    <n v="0"/>
    <n v="40"/>
    <n v="7.44"/>
    <n v="48.79"/>
    <n v="2024"/>
    <n v="1"/>
    <n v="2023"/>
    <n v="10"/>
    <n v="10"/>
    <x v="0"/>
    <x v="0"/>
    <n v="-2713.79"/>
    <x v="1"/>
    <n v="-2713.79"/>
  </r>
  <r>
    <x v="8"/>
    <s v="OPT-NIFTY-25-Jan-2024-21400-P-E-I"/>
    <s v="NSE"/>
    <s v="Sell"/>
    <n v="50"/>
    <n v="0"/>
    <n v="116.1"/>
    <n v="5805"/>
    <s v="#202401253700008328"/>
    <n v="3.63"/>
    <n v="2.93"/>
    <n v="0"/>
    <n v="0.01"/>
    <n v="20"/>
    <n v="4.12"/>
    <n v="30.69"/>
    <n v="2024"/>
    <n v="1"/>
    <n v="2023"/>
    <n v="10"/>
    <n v="10"/>
    <x v="0"/>
    <x v="0"/>
    <n v="5774.31"/>
    <x v="26"/>
    <s v=""/>
  </r>
  <r>
    <x v="8"/>
    <s v="OPT-NIFTY-25-Jan-2024-21400-C-E-I"/>
    <s v="NSE"/>
    <s v="Sell"/>
    <n v="50"/>
    <n v="0"/>
    <n v="32.75"/>
    <n v="1637.5"/>
    <s v="#202401253700006833"/>
    <n v="1.02"/>
    <n v="0.83"/>
    <n v="0"/>
    <n v="0"/>
    <n v="20"/>
    <n v="3.74"/>
    <n v="25.59"/>
    <n v="2024"/>
    <n v="1"/>
    <n v="2023"/>
    <n v="10"/>
    <n v="10"/>
    <x v="0"/>
    <x v="0"/>
    <n v="1611.91"/>
    <x v="27"/>
    <s v=""/>
  </r>
  <r>
    <x v="8"/>
    <s v="OPT-NIFTY-25-Jan-2024-21400-P-E-I"/>
    <s v="NSE"/>
    <s v="Buy"/>
    <n v="50"/>
    <n v="0"/>
    <n v="83.7"/>
    <n v="4185"/>
    <s v="#202401253700006307"/>
    <n v="0"/>
    <n v="2.11"/>
    <n v="0"/>
    <n v="0"/>
    <n v="20"/>
    <n v="3.98"/>
    <n v="26.09"/>
    <n v="2024"/>
    <n v="1"/>
    <n v="2023"/>
    <n v="10"/>
    <n v="10"/>
    <x v="0"/>
    <x v="0"/>
    <n v="-4211.09"/>
    <x v="1"/>
    <n v="-4211.09"/>
  </r>
  <r>
    <x v="8"/>
    <s v="OPT-NIFTY-25-Jan-2024-21400-P-E-I"/>
    <s v="NSE"/>
    <s v="Sell"/>
    <n v="50"/>
    <n v="0"/>
    <n v="72.400000000000006"/>
    <n v="3620"/>
    <s v="#202401253700005092"/>
    <n v="2.2599999999999998"/>
    <n v="1.83"/>
    <n v="0"/>
    <n v="0"/>
    <n v="20"/>
    <n v="3.92"/>
    <n v="28.01"/>
    <n v="2024"/>
    <n v="1"/>
    <n v="2023"/>
    <n v="10"/>
    <n v="10"/>
    <x v="0"/>
    <x v="0"/>
    <n v="3591.99"/>
    <x v="28"/>
    <s v=""/>
  </r>
  <r>
    <x v="8"/>
    <s v="OPT-NIFTY-25-Jan-2024-21400-P-E-I"/>
    <s v="NSE"/>
    <s v="Buy"/>
    <n v="50"/>
    <n v="0"/>
    <n v="67.95"/>
    <n v="3397.5"/>
    <s v="#202401253700004529"/>
    <n v="0"/>
    <n v="1.72"/>
    <n v="0.23"/>
    <n v="0"/>
    <n v="20"/>
    <n v="3.9"/>
    <n v="25.85"/>
    <n v="2024"/>
    <n v="1"/>
    <n v="2023"/>
    <n v="10"/>
    <n v="10"/>
    <x v="0"/>
    <x v="0"/>
    <n v="-3423.35"/>
    <x v="1"/>
    <n v="-3423.35"/>
  </r>
  <r>
    <x v="8"/>
    <s v="OPT-NIFTY-25-Jan-2024-21400-C-E-I"/>
    <s v="NSE"/>
    <s v="Buy"/>
    <n v="50"/>
    <n v="0"/>
    <n v="89.05"/>
    <n v="4452.5"/>
    <s v="#202401252500000521"/>
    <n v="0"/>
    <n v="2.25"/>
    <n v="0"/>
    <n v="0"/>
    <n v="20"/>
    <n v="4"/>
    <n v="26.25"/>
    <n v="2024"/>
    <n v="1"/>
    <n v="2023"/>
    <n v="10"/>
    <n v="10"/>
    <x v="0"/>
    <x v="0"/>
    <n v="-4478.75"/>
    <x v="1"/>
    <n v="-4478.75"/>
  </r>
  <r>
    <x v="9"/>
    <s v="OPT-NIFTY-01-Feb-2024-21500-P-E-I"/>
    <s v="NSE"/>
    <s v="Sell"/>
    <n v="50"/>
    <n v="0"/>
    <n v="88.4"/>
    <n v="4420"/>
    <s v="#202401293700018860"/>
    <n v="2.76"/>
    <n v="2.23"/>
    <n v="0"/>
    <n v="0"/>
    <n v="20"/>
    <n v="4"/>
    <n v="28.99"/>
    <n v="2024"/>
    <n v="1"/>
    <n v="2023"/>
    <n v="10"/>
    <n v="10"/>
    <x v="0"/>
    <x v="0"/>
    <n v="4391.01"/>
    <x v="29"/>
    <s v=""/>
  </r>
  <r>
    <x v="9"/>
    <s v="OPT-NIFTY-01-Feb-2024-21500-P-E-I"/>
    <s v="NSE"/>
    <s v="Buy"/>
    <n v="50"/>
    <n v="0"/>
    <n v="95"/>
    <n v="4750"/>
    <s v="#202401293700015173"/>
    <n v="0"/>
    <n v="2.4"/>
    <n v="0"/>
    <n v="0"/>
    <n v="20"/>
    <n v="4.04"/>
    <n v="26.44"/>
    <n v="2024"/>
    <n v="1"/>
    <n v="2023"/>
    <n v="10"/>
    <n v="10"/>
    <x v="0"/>
    <x v="0"/>
    <n v="-4776.4399999999996"/>
    <x v="1"/>
    <n v="-4776.4399999999996"/>
  </r>
  <r>
    <x v="9"/>
    <s v="OPT-NIFTY-01-Feb-2024-21500-P-E-I"/>
    <s v="NSE"/>
    <s v="Sell"/>
    <n v="100"/>
    <n v="0"/>
    <n v="89"/>
    <n v="8900"/>
    <s v="#202401293700014382"/>
    <n v="5.56"/>
    <n v="4.49"/>
    <n v="0"/>
    <n v="0.01"/>
    <n v="40"/>
    <n v="8.02"/>
    <n v="58.08"/>
    <n v="2024"/>
    <n v="1"/>
    <n v="2023"/>
    <n v="10"/>
    <n v="10"/>
    <x v="0"/>
    <x v="0"/>
    <n v="8841.92"/>
    <x v="30"/>
    <s v=""/>
  </r>
  <r>
    <x v="9"/>
    <s v="OPT-NIFSEL-29-Jan-2024-10450-P-E-I"/>
    <s v="NSE"/>
    <s v="Sell"/>
    <n v="225"/>
    <n v="0"/>
    <n v="0.4"/>
    <n v="90"/>
    <s v="#202401293700014362"/>
    <n v="0.26"/>
    <n v="0.05"/>
    <n v="0"/>
    <n v="0"/>
    <n v="60"/>
    <n v="10.8"/>
    <n v="71.11"/>
    <n v="2024"/>
    <n v="1"/>
    <n v="2023"/>
    <n v="10"/>
    <n v="10"/>
    <x v="0"/>
    <x v="0"/>
    <n v="18.89"/>
    <x v="31"/>
    <s v=""/>
  </r>
  <r>
    <x v="9"/>
    <s v="OPT-NIFSEL-29-Jan-2024-10450-P-E-I"/>
    <s v="NSE"/>
    <s v="Buy"/>
    <n v="150"/>
    <n v="0"/>
    <n v="2.2000000000000002"/>
    <n v="330"/>
    <s v="#202401293700012467"/>
    <n v="0"/>
    <n v="0.17"/>
    <n v="0.02"/>
    <n v="0"/>
    <n v="40"/>
    <n v="7.24"/>
    <n v="47.43"/>
    <n v="2024"/>
    <n v="1"/>
    <n v="2023"/>
    <n v="10"/>
    <n v="10"/>
    <x v="0"/>
    <x v="0"/>
    <n v="-377.43"/>
    <x v="1"/>
    <n v="-377.43"/>
  </r>
  <r>
    <x v="9"/>
    <s v="OPT-NIFTY-01-Feb-2024-21500-P-E-I"/>
    <s v="NSE"/>
    <s v="Buy"/>
    <n v="50"/>
    <n v="0"/>
    <n v="105.45"/>
    <n v="5272.5"/>
    <s v="#202401293700011964"/>
    <n v="0"/>
    <n v="2.66"/>
    <n v="0"/>
    <n v="0.01"/>
    <n v="20"/>
    <n v="4.08"/>
    <n v="26.75"/>
    <n v="2024"/>
    <n v="1"/>
    <n v="2023"/>
    <n v="10"/>
    <n v="10"/>
    <x v="0"/>
    <x v="0"/>
    <n v="-5299.25"/>
    <x v="1"/>
    <n v="-5299.25"/>
  </r>
  <r>
    <x v="9"/>
    <s v="OPT-NIFSEL-29-Jan-2024-10450-P-E-I"/>
    <s v="NSE"/>
    <s v="Buy"/>
    <n v="75"/>
    <n v="0"/>
    <n v="3.55"/>
    <n v="266.25"/>
    <s v="#202401293700011420"/>
    <n v="0"/>
    <n v="0.13"/>
    <n v="0"/>
    <n v="0"/>
    <n v="20"/>
    <n v="3.62"/>
    <n v="23.75"/>
    <n v="2024"/>
    <n v="1"/>
    <n v="2023"/>
    <n v="10"/>
    <n v="10"/>
    <x v="0"/>
    <x v="0"/>
    <n v="-290"/>
    <x v="1"/>
    <n v="-290"/>
  </r>
  <r>
    <x v="9"/>
    <s v="OPT-NIFTY-01-Feb-2024-21500-P-E-I"/>
    <s v="NSE"/>
    <s v="Buy"/>
    <n v="50"/>
    <n v="0"/>
    <n v="120"/>
    <n v="6000"/>
    <s v="#202401293700010256"/>
    <n v="0"/>
    <n v="3.03"/>
    <n v="0"/>
    <n v="0.01"/>
    <n v="20"/>
    <n v="4.1399999999999997"/>
    <n v="27.18"/>
    <n v="2024"/>
    <n v="1"/>
    <n v="2023"/>
    <n v="10"/>
    <n v="10"/>
    <x v="0"/>
    <x v="0"/>
    <n v="-6027.18"/>
    <x v="1"/>
    <n v="-6027.18"/>
  </r>
  <r>
    <x v="9"/>
    <s v="OPT-NIFTY-01-Feb-2024-21500-P-E-I"/>
    <s v="NSE"/>
    <s v="Sell"/>
    <n v="50"/>
    <n v="0"/>
    <n v="117.75"/>
    <n v="5887.5"/>
    <s v="#202401293700007052"/>
    <n v="3.68"/>
    <n v="2.97"/>
    <n v="0"/>
    <n v="0.01"/>
    <n v="20"/>
    <n v="4.1399999999999997"/>
    <n v="30.8"/>
    <n v="2024"/>
    <n v="1"/>
    <n v="2023"/>
    <n v="10"/>
    <n v="10"/>
    <x v="0"/>
    <x v="0"/>
    <n v="5856.7"/>
    <x v="32"/>
    <s v=""/>
  </r>
  <r>
    <x v="9"/>
    <s v="OPT-NIFTY-01-Feb-2024-21500-P-E-I"/>
    <s v="NSE"/>
    <s v="Buy"/>
    <n v="50"/>
    <n v="0"/>
    <n v="114.2"/>
    <n v="5710"/>
    <s v="#202401293700005726"/>
    <n v="0"/>
    <n v="2.88"/>
    <n v="0.96"/>
    <n v="0.01"/>
    <n v="20"/>
    <n v="4.12"/>
    <n v="27.97"/>
    <n v="2024"/>
    <n v="1"/>
    <n v="2023"/>
    <n v="10"/>
    <n v="10"/>
    <x v="0"/>
    <x v="0"/>
    <n v="-5737.97"/>
    <x v="1"/>
    <n v="-5737.97"/>
  </r>
  <r>
    <x v="9"/>
    <s v="OPT-NIFSEL-29-Jan-2024-10600-C-E-I"/>
    <s v="NSE"/>
    <s v="Sell"/>
    <n v="75"/>
    <n v="0"/>
    <n v="18.55"/>
    <n v="1391.25"/>
    <s v="#202401293700004864"/>
    <n v="0.87"/>
    <n v="0.7"/>
    <n v="0"/>
    <n v="0"/>
    <n v="20"/>
    <n v="3.72"/>
    <n v="25.29"/>
    <n v="2024"/>
    <n v="1"/>
    <n v="2023"/>
    <n v="10"/>
    <n v="10"/>
    <x v="0"/>
    <x v="0"/>
    <n v="1365.96"/>
    <x v="33"/>
    <s v=""/>
  </r>
  <r>
    <x v="9"/>
    <s v="OPT-NIFSEL-29-Jan-2024-10600-C-E-I"/>
    <s v="NSE"/>
    <s v="Sell"/>
    <n v="75"/>
    <n v="0"/>
    <n v="18.55"/>
    <n v="1391.25"/>
    <s v="#202401293700004771"/>
    <n v="0.87"/>
    <n v="0.7"/>
    <n v="0"/>
    <n v="0"/>
    <n v="20"/>
    <n v="3.72"/>
    <n v="25.29"/>
    <n v="2024"/>
    <n v="1"/>
    <n v="2023"/>
    <n v="10"/>
    <n v="10"/>
    <x v="0"/>
    <x v="0"/>
    <n v="1365.96"/>
    <x v="33"/>
    <s v=""/>
  </r>
  <r>
    <x v="9"/>
    <s v="OPT-NIFSEL-29-Jan-2024-10600-C-E-I"/>
    <s v="NSE"/>
    <s v="Buy"/>
    <n v="75"/>
    <n v="0"/>
    <n v="3.45"/>
    <n v="258.75"/>
    <s v="#202401293700001543"/>
    <n v="0"/>
    <n v="0.13"/>
    <n v="0"/>
    <n v="0"/>
    <n v="20"/>
    <n v="3.62"/>
    <n v="23.75"/>
    <n v="2024"/>
    <n v="1"/>
    <n v="2023"/>
    <n v="10"/>
    <n v="10"/>
    <x v="0"/>
    <x v="0"/>
    <n v="-282.5"/>
    <x v="1"/>
    <n v="-282.5"/>
  </r>
  <r>
    <x v="9"/>
    <s v="OPT-NIFSEL-29-Jan-2024-10600-C-E-I"/>
    <s v="NSE"/>
    <s v="Buy"/>
    <n v="75"/>
    <n v="0"/>
    <n v="3.55"/>
    <n v="266.25"/>
    <s v="#202401293700001118"/>
    <n v="0"/>
    <n v="0.13"/>
    <n v="0.02"/>
    <n v="0"/>
    <n v="20"/>
    <n v="3.62"/>
    <n v="23.77"/>
    <n v="2024"/>
    <n v="1"/>
    <n v="2023"/>
    <n v="10"/>
    <n v="10"/>
    <x v="0"/>
    <x v="0"/>
    <n v="-290.02"/>
    <x v="1"/>
    <n v="-290.02"/>
  </r>
  <r>
    <x v="10"/>
    <s v="OPT-NIFTY-01-Feb-2024-21700-P-E-I"/>
    <s v="NSE"/>
    <s v="Sell"/>
    <n v="50"/>
    <n v="0"/>
    <n v="161.15"/>
    <n v="8057.5"/>
    <s v="#202401304500007011"/>
    <n v="5.04"/>
    <n v="4.07"/>
    <n v="0"/>
    <n v="0.01"/>
    <n v="20"/>
    <n v="4.34"/>
    <n v="33.46"/>
    <n v="2024"/>
    <n v="1"/>
    <n v="2023"/>
    <n v="10"/>
    <n v="10"/>
    <x v="0"/>
    <x v="0"/>
    <n v="8024.04"/>
    <x v="34"/>
    <s v=""/>
  </r>
  <r>
    <x v="10"/>
    <s v="OPT-NIFTY-01-Feb-2024-21700-P-E-I"/>
    <s v="NSE"/>
    <s v="Buy"/>
    <n v="50"/>
    <n v="0"/>
    <n v="137.94999999999999"/>
    <n v="6897.5"/>
    <s v="#202401304500004896"/>
    <n v="0"/>
    <n v="3.48"/>
    <n v="0.21"/>
    <n v="0.01"/>
    <n v="20"/>
    <n v="4.22"/>
    <n v="27.92"/>
    <n v="2024"/>
    <n v="1"/>
    <n v="2023"/>
    <n v="10"/>
    <n v="10"/>
    <x v="0"/>
    <x v="0"/>
    <n v="-6925.42"/>
    <x v="1"/>
    <n v="-6925.42"/>
  </r>
  <r>
    <x v="10"/>
    <s v="OPT-NIFFIN-30-Jan-2024-20300-P-E-I"/>
    <s v="NSE"/>
    <s v="Sell"/>
    <n v="40"/>
    <n v="0"/>
    <n v="33.299999999999997"/>
    <n v="1332"/>
    <s v="#202401304500004622"/>
    <n v="0.47"/>
    <n v="0.67"/>
    <n v="0"/>
    <n v="0"/>
    <n v="20"/>
    <n v="3.72"/>
    <n v="24.86"/>
    <n v="2024"/>
    <n v="1"/>
    <n v="2023"/>
    <n v="10"/>
    <n v="10"/>
    <x v="0"/>
    <x v="0"/>
    <n v="1307.1400000000001"/>
    <x v="35"/>
    <s v=""/>
  </r>
  <r>
    <x v="10"/>
    <s v="OPT-NIFFIN-30-Jan-2024-20300-P-E-I"/>
    <s v="NSE"/>
    <s v="Sell"/>
    <n v="40"/>
    <n v="0"/>
    <n v="33.5"/>
    <n v="1340"/>
    <s v="#202401304500004527"/>
    <n v="0.84"/>
    <n v="0.68"/>
    <n v="0"/>
    <n v="0"/>
    <n v="20"/>
    <n v="3.72"/>
    <n v="25.24"/>
    <n v="2024"/>
    <n v="1"/>
    <n v="2023"/>
    <n v="10"/>
    <n v="10"/>
    <x v="0"/>
    <x v="0"/>
    <n v="1314.76"/>
    <x v="36"/>
    <s v=""/>
  </r>
  <r>
    <x v="10"/>
    <s v="OPT-NIFFIN-30-Jan-2024-20300-P-E-I"/>
    <s v="NSE"/>
    <s v="Sell"/>
    <n v="40"/>
    <n v="0"/>
    <n v="41.25"/>
    <n v="1650"/>
    <s v="#202401304500003924"/>
    <n v="1.03"/>
    <n v="0.83"/>
    <n v="0"/>
    <n v="0"/>
    <n v="20"/>
    <n v="3.74"/>
    <n v="25.6"/>
    <n v="2024"/>
    <n v="1"/>
    <n v="2023"/>
    <n v="10"/>
    <n v="10"/>
    <x v="0"/>
    <x v="0"/>
    <n v="1624.4"/>
    <x v="37"/>
    <s v=""/>
  </r>
  <r>
    <x v="10"/>
    <s v="OPT-NIFFIN-30-Jan-2024-20300-P-E-I"/>
    <s v="NSE"/>
    <s v="Sell"/>
    <n v="40"/>
    <n v="0"/>
    <n v="35.700000000000003"/>
    <n v="1428"/>
    <s v="#202401304500003453"/>
    <n v="0.89"/>
    <n v="0.72"/>
    <n v="0"/>
    <n v="0"/>
    <n v="20"/>
    <n v="3.72"/>
    <n v="25.33"/>
    <n v="2024"/>
    <n v="1"/>
    <n v="2023"/>
    <n v="10"/>
    <n v="10"/>
    <x v="0"/>
    <x v="0"/>
    <n v="1402.67"/>
    <x v="38"/>
    <s v=""/>
  </r>
  <r>
    <x v="10"/>
    <s v="OPT-NIFFIN-30-Jan-2024-20300-P-E-I"/>
    <s v="NSE"/>
    <s v="Sell"/>
    <n v="40"/>
    <n v="0"/>
    <n v="34.9"/>
    <n v="1396"/>
    <s v="#202401304500003418"/>
    <n v="0.87"/>
    <n v="0.7"/>
    <n v="0"/>
    <n v="0"/>
    <n v="20"/>
    <n v="3.72"/>
    <n v="25.29"/>
    <n v="2024"/>
    <n v="1"/>
    <n v="2023"/>
    <n v="10"/>
    <n v="10"/>
    <x v="0"/>
    <x v="0"/>
    <n v="1370.71"/>
    <x v="39"/>
    <s v=""/>
  </r>
  <r>
    <x v="10"/>
    <s v="OPT-NIFFIN-30-Jan-2024-20300-P-E-I"/>
    <s v="NSE"/>
    <s v="Sell"/>
    <n v="40"/>
    <n v="0"/>
    <n v="34.549999999999997"/>
    <n v="1382"/>
    <s v="#202401304500003415"/>
    <n v="0.86"/>
    <n v="0.7"/>
    <n v="0"/>
    <n v="0"/>
    <n v="20"/>
    <n v="3.72"/>
    <n v="25.28"/>
    <n v="2024"/>
    <n v="1"/>
    <n v="2023"/>
    <n v="10"/>
    <n v="10"/>
    <x v="0"/>
    <x v="0"/>
    <n v="1356.72"/>
    <x v="40"/>
    <s v=""/>
  </r>
  <r>
    <x v="10"/>
    <s v="OPT-NIFFIN-30-Jan-2024-20300-P-E-I"/>
    <s v="NSE"/>
    <s v="Buy"/>
    <n v="40"/>
    <n v="0"/>
    <n v="44.25"/>
    <n v="1770"/>
    <s v="#202401304500002794"/>
    <n v="0"/>
    <n v="0.89"/>
    <n v="0"/>
    <n v="0"/>
    <n v="20"/>
    <n v="3.76"/>
    <n v="24.65"/>
    <n v="2024"/>
    <n v="1"/>
    <n v="2023"/>
    <n v="10"/>
    <n v="10"/>
    <x v="0"/>
    <x v="0"/>
    <n v="-1794.65"/>
    <x v="1"/>
    <n v="-1794.65"/>
  </r>
  <r>
    <x v="10"/>
    <s v="OPT-NIFFIN-30-Jan-2024-20300-P-E-I"/>
    <s v="NSE"/>
    <s v="Buy"/>
    <n v="40"/>
    <n v="0"/>
    <n v="48.5"/>
    <n v="1940"/>
    <s v="#202401304500002207"/>
    <n v="0"/>
    <n v="0.98"/>
    <n v="0"/>
    <n v="0"/>
    <n v="20"/>
    <n v="3.78"/>
    <n v="24.76"/>
    <n v="2024"/>
    <n v="1"/>
    <n v="2023"/>
    <n v="10"/>
    <n v="10"/>
    <x v="0"/>
    <x v="0"/>
    <n v="-1964.76"/>
    <x v="1"/>
    <n v="-1964.76"/>
  </r>
  <r>
    <x v="10"/>
    <s v="OPT-NIFFIN-30-Jan-2024-20300-P-E-I"/>
    <s v="NSE"/>
    <s v="Buy"/>
    <n v="40"/>
    <n v="0"/>
    <n v="45.85"/>
    <n v="1834"/>
    <s v="#202401304500001436"/>
    <n v="0"/>
    <n v="0.93"/>
    <n v="0.79"/>
    <n v="0"/>
    <n v="20"/>
    <n v="3.76"/>
    <n v="25.48"/>
    <n v="2024"/>
    <n v="1"/>
    <n v="2023"/>
    <n v="10"/>
    <n v="10"/>
    <x v="0"/>
    <x v="0"/>
    <n v="-1859.48"/>
    <x v="1"/>
    <n v="-1859.48"/>
  </r>
  <r>
    <x v="10"/>
    <s v="OPT-NIFFIN-30-Jan-2024-20300-P-E-I"/>
    <s v="NSE"/>
    <s v="Buy"/>
    <n v="40"/>
    <n v="0"/>
    <n v="48.35"/>
    <n v="1934"/>
    <s v="#202401304500000968"/>
    <n v="0"/>
    <n v="0.98"/>
    <n v="0"/>
    <n v="0"/>
    <n v="20"/>
    <n v="3.78"/>
    <n v="24.76"/>
    <n v="2024"/>
    <n v="1"/>
    <n v="2023"/>
    <n v="10"/>
    <n v="10"/>
    <x v="0"/>
    <x v="0"/>
    <n v="-1958.76"/>
    <x v="1"/>
    <n v="-1958.76"/>
  </r>
  <r>
    <x v="10"/>
    <s v="OPT-NIFFIN-30-Jan-2024-20300-P-E-I"/>
    <s v="NSE"/>
    <s v="Buy"/>
    <n v="40"/>
    <n v="0"/>
    <n v="51.4"/>
    <n v="2056"/>
    <s v="#202401304500000931"/>
    <n v="0"/>
    <n v="1.04"/>
    <n v="0"/>
    <n v="0"/>
    <n v="20"/>
    <n v="3.78"/>
    <n v="24.82"/>
    <n v="2024"/>
    <n v="1"/>
    <n v="2023"/>
    <n v="10"/>
    <n v="10"/>
    <x v="0"/>
    <x v="0"/>
    <n v="-2080.8200000000002"/>
    <x v="1"/>
    <n v="-2080.8200000000002"/>
  </r>
  <r>
    <x v="10"/>
    <s v="OPT-NIFFIN-30-Jan-2024-20300-P-E-I"/>
    <s v="NSE"/>
    <s v="Buy"/>
    <n v="40"/>
    <n v="0"/>
    <n v="52.5"/>
    <n v="2100"/>
    <s v="#202401304500000927"/>
    <n v="0"/>
    <n v="1.06"/>
    <n v="0"/>
    <n v="0"/>
    <n v="20"/>
    <n v="3.8"/>
    <n v="24.86"/>
    <n v="2024"/>
    <n v="1"/>
    <n v="2023"/>
    <n v="10"/>
    <n v="10"/>
    <x v="0"/>
    <x v="0"/>
    <n v="-2124.86"/>
    <x v="1"/>
    <n v="-2124.86"/>
  </r>
  <r>
    <x v="11"/>
    <s v="OPT-CNXBAN-31-Jan-2024-46100-P-E-I"/>
    <s v="NSE"/>
    <s v="Sell"/>
    <n v="540"/>
    <n v="0"/>
    <n v="192.8"/>
    <n v="104112"/>
    <s v="#202401313700017720"/>
    <n v="65.010000000000005"/>
    <n v="52.57"/>
    <n v="0"/>
    <n v="0.11"/>
    <n v="720"/>
    <n v="139.08000000000001"/>
    <n v="976.77"/>
    <n v="2024"/>
    <n v="1"/>
    <n v="2023"/>
    <n v="10"/>
    <n v="10"/>
    <x v="0"/>
    <x v="0"/>
    <n v="103135.23"/>
    <x v="41"/>
    <s v=""/>
  </r>
  <r>
    <x v="11"/>
    <s v="OPT-CNXBAN-31-Jan-2024-46100-P-E-I"/>
    <s v="NSE"/>
    <s v="Buy"/>
    <n v="75"/>
    <n v="0"/>
    <n v="92"/>
    <n v="6900"/>
    <s v="#202401313700016090"/>
    <n v="0"/>
    <n v="3.49"/>
    <n v="0"/>
    <n v="0.01"/>
    <n v="100"/>
    <n v="18.62"/>
    <n v="122.12"/>
    <n v="2024"/>
    <n v="1"/>
    <n v="2023"/>
    <n v="10"/>
    <n v="10"/>
    <x v="0"/>
    <x v="0"/>
    <n v="-7022.12"/>
    <x v="1"/>
    <n v="-7022.12"/>
  </r>
  <r>
    <x v="11"/>
    <s v="OPT-CNXBAN-31-Jan-2024-46100-P-E-I"/>
    <s v="NSE"/>
    <s v="Buy"/>
    <n v="75"/>
    <n v="0"/>
    <n v="90.55"/>
    <n v="6791.25"/>
    <s v="#202401313700015820"/>
    <n v="0"/>
    <n v="3.45"/>
    <n v="0"/>
    <n v="0"/>
    <n v="100"/>
    <n v="18.600000000000001"/>
    <n v="122.05"/>
    <n v="2024"/>
    <n v="1"/>
    <n v="2023"/>
    <n v="10"/>
    <n v="10"/>
    <x v="0"/>
    <x v="0"/>
    <n v="-6913.3"/>
    <x v="1"/>
    <n v="-6913.3"/>
  </r>
  <r>
    <x v="11"/>
    <s v="OPT-CNXBAN-31-Jan-2024-46100-P-E-I"/>
    <s v="NSE"/>
    <s v="Buy"/>
    <n v="90"/>
    <n v="0"/>
    <n v="94.11"/>
    <n v="8469.75"/>
    <s v="#202401313700015591"/>
    <n v="0"/>
    <n v="4.2699999999999996"/>
    <n v="0"/>
    <n v="0.01"/>
    <n v="120"/>
    <n v="22.36"/>
    <n v="146.63999999999999"/>
    <n v="2024"/>
    <n v="1"/>
    <n v="2023"/>
    <n v="10"/>
    <n v="10"/>
    <x v="0"/>
    <x v="0"/>
    <n v="-8616.39"/>
    <x v="1"/>
    <n v="-8616.39"/>
  </r>
  <r>
    <x v="11"/>
    <s v="OPT-CNXBAN-31-Jan-2024-46100-P-E-I"/>
    <s v="NSE"/>
    <s v="Buy"/>
    <n v="75"/>
    <n v="0"/>
    <n v="103.8"/>
    <n v="7785"/>
    <s v="#202401313700015453"/>
    <n v="0"/>
    <n v="3.94"/>
    <n v="0"/>
    <n v="0.01"/>
    <n v="100"/>
    <n v="18.7"/>
    <n v="122.65"/>
    <n v="2024"/>
    <n v="1"/>
    <n v="2023"/>
    <n v="10"/>
    <n v="10"/>
    <x v="0"/>
    <x v="0"/>
    <n v="-7907.65"/>
    <x v="1"/>
    <n v="-7907.65"/>
  </r>
  <r>
    <x v="11"/>
    <s v="OPT-CNXBAN-31-Jan-2024-46100-P-E-I"/>
    <s v="NSE"/>
    <s v="Buy"/>
    <n v="210"/>
    <n v="0"/>
    <n v="103.1"/>
    <n v="21651"/>
    <s v="#202401313700015234"/>
    <n v="0"/>
    <n v="10.93"/>
    <n v="2"/>
    <n v="0.02"/>
    <n v="280"/>
    <n v="52.38"/>
    <n v="345.33"/>
    <n v="2024"/>
    <n v="1"/>
    <n v="2023"/>
    <n v="10"/>
    <n v="10"/>
    <x v="0"/>
    <x v="0"/>
    <n v="-21996.33"/>
    <x v="1"/>
    <n v="-21996.33"/>
  </r>
  <r>
    <x v="11"/>
    <s v="OPT-CNXBAN-31-Jan-2024-46100-P-E-I"/>
    <s v="NSE"/>
    <s v="Buy"/>
    <n v="15"/>
    <n v="0"/>
    <n v="103.2"/>
    <n v="1548"/>
    <s v="#202401313700015147"/>
    <n v="0"/>
    <n v="0.78"/>
    <n v="0"/>
    <n v="0"/>
    <n v="20"/>
    <n v="3.74"/>
    <n v="24.52"/>
    <n v="2024"/>
    <n v="1"/>
    <n v="2023"/>
    <n v="10"/>
    <n v="10"/>
    <x v="0"/>
    <x v="0"/>
    <n v="-1572.52"/>
    <x v="1"/>
    <n v="-1572.52"/>
  </r>
  <r>
    <x v="12"/>
    <s v="OPT-CNXBAN-07-Feb-2024-45800-P-E-I"/>
    <s v="NSE"/>
    <s v="Sell"/>
    <n v="330"/>
    <n v="0"/>
    <n v="432.88"/>
    <n v="142851.75"/>
    <s v="#202402013700022935"/>
    <n v="89.29"/>
    <n v="72.14"/>
    <n v="0"/>
    <n v="0.14000000000000001"/>
    <n v="440"/>
    <n v="92.2"/>
    <n v="693.77"/>
    <n v="2024"/>
    <n v="2"/>
    <n v="2023"/>
    <n v="11"/>
    <n v="11"/>
    <x v="1"/>
    <x v="1"/>
    <n v="142157.98000000001"/>
    <x v="42"/>
    <s v=""/>
  </r>
  <r>
    <x v="12"/>
    <s v="OPT-CNXBAN-07-Feb-2024-45800-P-E-I"/>
    <s v="NSE"/>
    <s v="Buy"/>
    <n v="45"/>
    <n v="0"/>
    <n v="327.75"/>
    <n v="14748.75"/>
    <s v="#202402013700019042"/>
    <n v="0"/>
    <n v="7.45"/>
    <n v="0"/>
    <n v="0.01"/>
    <n v="60"/>
    <n v="12.14"/>
    <n v="79.599999999999994"/>
    <n v="2024"/>
    <n v="2"/>
    <n v="2023"/>
    <n v="11"/>
    <n v="11"/>
    <x v="1"/>
    <x v="1"/>
    <n v="-14828.35"/>
    <x v="1"/>
    <n v="-14828.35"/>
  </r>
  <r>
    <x v="12"/>
    <s v="OPT-CNXBAN-07-Feb-2024-45800-P-E-I"/>
    <s v="NSE"/>
    <s v="Buy"/>
    <n v="30"/>
    <n v="0"/>
    <n v="355.3"/>
    <n v="10659"/>
    <s v="#202402013700018850"/>
    <n v="0"/>
    <n v="5.38"/>
    <n v="0"/>
    <n v="0.01"/>
    <n v="40"/>
    <n v="8.18"/>
    <n v="53.57"/>
    <n v="2024"/>
    <n v="2"/>
    <n v="2023"/>
    <n v="11"/>
    <n v="11"/>
    <x v="1"/>
    <x v="1"/>
    <n v="-10712.57"/>
    <x v="1"/>
    <n v="-10712.57"/>
  </r>
  <r>
    <x v="12"/>
    <s v="OPT-CNXBAN-07-Feb-2024-45800-P-E-I"/>
    <s v="NSE"/>
    <s v="Buy"/>
    <n v="30"/>
    <n v="0"/>
    <n v="401.85"/>
    <n v="12055.5"/>
    <s v="#202402013700018265"/>
    <n v="0"/>
    <n v="6.09"/>
    <n v="0"/>
    <n v="0.01"/>
    <n v="40"/>
    <n v="8.3000000000000007"/>
    <n v="54.4"/>
    <n v="2024"/>
    <n v="2"/>
    <n v="2023"/>
    <n v="11"/>
    <n v="11"/>
    <x v="1"/>
    <x v="1"/>
    <n v="-12109.9"/>
    <x v="1"/>
    <n v="-12109.9"/>
  </r>
  <r>
    <x v="12"/>
    <s v="OPT-CNXBAN-07-Feb-2024-45800-P-E-I"/>
    <s v="NSE"/>
    <s v="Buy"/>
    <n v="75"/>
    <n v="0"/>
    <n v="409.95"/>
    <n v="30746.25"/>
    <s v="#202402013700017520"/>
    <n v="0"/>
    <n v="15.53"/>
    <n v="0"/>
    <n v="0.03"/>
    <n v="100"/>
    <n v="20.8"/>
    <n v="136.36000000000001"/>
    <n v="2024"/>
    <n v="2"/>
    <n v="2023"/>
    <n v="11"/>
    <n v="11"/>
    <x v="1"/>
    <x v="1"/>
    <n v="-30882.61"/>
    <x v="1"/>
    <n v="-30882.61"/>
  </r>
  <r>
    <x v="12"/>
    <s v="OPT-CNXBAN-07-Feb-2024-45800-P-E-I"/>
    <s v="NSE"/>
    <s v="Buy"/>
    <n v="75"/>
    <n v="0"/>
    <n v="418.81"/>
    <n v="31410.75"/>
    <s v="#202402013700017329"/>
    <n v="0"/>
    <n v="15.86"/>
    <n v="3.75"/>
    <n v="0.04"/>
    <n v="100"/>
    <n v="20.86"/>
    <n v="140.51"/>
    <n v="2024"/>
    <n v="2"/>
    <n v="2023"/>
    <n v="11"/>
    <n v="11"/>
    <x v="1"/>
    <x v="1"/>
    <n v="-31551.26"/>
    <x v="1"/>
    <n v="-31551.26"/>
  </r>
  <r>
    <x v="12"/>
    <s v="OPT-CNXBAN-07-Feb-2024-45800-P-E-I"/>
    <s v="NSE"/>
    <s v="Buy"/>
    <n v="60"/>
    <n v="0"/>
    <n v="431.9"/>
    <n v="25914"/>
    <s v="#202402013700017148"/>
    <n v="0"/>
    <n v="13.08"/>
    <n v="0"/>
    <n v="0.02"/>
    <n v="80"/>
    <n v="16.760000000000002"/>
    <n v="109.86"/>
    <n v="2024"/>
    <n v="2"/>
    <n v="2023"/>
    <n v="11"/>
    <n v="11"/>
    <x v="1"/>
    <x v="1"/>
    <n v="-26023.86"/>
    <x v="1"/>
    <n v="-26023.86"/>
  </r>
  <r>
    <x v="12"/>
    <s v="OPT-CNXBAN-07-Feb-2024-45800-P-E-I"/>
    <s v="NSE"/>
    <s v="Buy"/>
    <n v="15"/>
    <n v="0"/>
    <n v="427.35"/>
    <n v="6410.25"/>
    <s v="#202402013700017013"/>
    <n v="0"/>
    <n v="3.24"/>
    <n v="0"/>
    <n v="0.01"/>
    <n v="20"/>
    <n v="4.18"/>
    <n v="27.43"/>
    <n v="2024"/>
    <n v="2"/>
    <n v="2023"/>
    <n v="11"/>
    <n v="11"/>
    <x v="1"/>
    <x v="1"/>
    <n v="-6437.68"/>
    <x v="1"/>
    <n v="-6437.68"/>
  </r>
  <r>
    <x v="12"/>
    <s v="OPT-NIFTY-01-Feb-2024-22500-C-E-I"/>
    <s v="NSE"/>
    <s v="Sell"/>
    <n v="50"/>
    <n v="0"/>
    <n v="5.4"/>
    <n v="270"/>
    <s v="#202402013700012044"/>
    <n v="0.33"/>
    <n v="0.14000000000000001"/>
    <n v="0"/>
    <n v="0"/>
    <n v="20"/>
    <n v="3.62"/>
    <n v="24.09"/>
    <n v="2024"/>
    <n v="2"/>
    <n v="2023"/>
    <n v="11"/>
    <n v="11"/>
    <x v="1"/>
    <x v="1"/>
    <n v="245.91"/>
    <x v="43"/>
    <s v=""/>
  </r>
  <r>
    <x v="12"/>
    <s v="OPT-NIFTY-01-Feb-2024-22500-C-E-I"/>
    <s v="NSE"/>
    <s v="Sell"/>
    <n v="50"/>
    <n v="0"/>
    <n v="5.4"/>
    <n v="270"/>
    <s v="#202402013700012043"/>
    <n v="0.17"/>
    <n v="0.14000000000000001"/>
    <n v="0"/>
    <n v="0"/>
    <n v="20"/>
    <n v="3.62"/>
    <n v="23.93"/>
    <n v="2024"/>
    <n v="2"/>
    <n v="2023"/>
    <n v="11"/>
    <n v="11"/>
    <x v="1"/>
    <x v="1"/>
    <n v="246.07"/>
    <x v="44"/>
    <s v=""/>
  </r>
  <r>
    <x v="12"/>
    <s v="OPT-NIFTY-01-Feb-2024-22500-C-E-I"/>
    <s v="NSE"/>
    <s v="Buy"/>
    <n v="50"/>
    <n v="0"/>
    <n v="5.3"/>
    <n v="265"/>
    <s v="#202402013700011260"/>
    <n v="0"/>
    <n v="0.13"/>
    <n v="0"/>
    <n v="0"/>
    <n v="20"/>
    <n v="3.62"/>
    <n v="23.75"/>
    <n v="2024"/>
    <n v="2"/>
    <n v="2023"/>
    <n v="11"/>
    <n v="11"/>
    <x v="1"/>
    <x v="1"/>
    <n v="-288.75"/>
    <x v="1"/>
    <n v="-288.75"/>
  </r>
  <r>
    <x v="12"/>
    <s v="OPT-NIFTY-01-Feb-2024-22500-C-E-I"/>
    <s v="NSE"/>
    <s v="Buy"/>
    <n v="50"/>
    <n v="0"/>
    <n v="5.0999999999999996"/>
    <n v="255"/>
    <s v="#202402013700011236"/>
    <n v="0"/>
    <n v="0.13"/>
    <n v="0.02"/>
    <n v="0"/>
    <n v="20"/>
    <n v="3.62"/>
    <n v="23.77"/>
    <n v="2024"/>
    <n v="2"/>
    <n v="2023"/>
    <n v="11"/>
    <n v="11"/>
    <x v="1"/>
    <x v="1"/>
    <n v="-278.77"/>
    <x v="1"/>
    <n v="-278.77"/>
  </r>
  <r>
    <x v="12"/>
    <s v="OPT-NIFTY-01-Feb-2024-21800-C-E-I"/>
    <s v="NSE"/>
    <s v="Sell"/>
    <n v="150"/>
    <n v="0"/>
    <n v="97.9"/>
    <n v="14685"/>
    <s v="#202402013700009806"/>
    <n v="9.18"/>
    <n v="7.42"/>
    <n v="0"/>
    <n v="0.01"/>
    <n v="60"/>
    <n v="12.14"/>
    <n v="88.75"/>
    <n v="2024"/>
    <n v="2"/>
    <n v="2023"/>
    <n v="11"/>
    <n v="11"/>
    <x v="1"/>
    <x v="1"/>
    <n v="14596.25"/>
    <x v="45"/>
    <s v=""/>
  </r>
  <r>
    <x v="12"/>
    <s v="OPT-NIFTY-01-Feb-2024-21800-C-E-I"/>
    <s v="NSE"/>
    <s v="Buy"/>
    <n v="150"/>
    <n v="0"/>
    <n v="76.05"/>
    <n v="11407.5"/>
    <s v="#202402013700008059"/>
    <n v="0"/>
    <n v="5.76"/>
    <n v="0"/>
    <n v="0.01"/>
    <n v="60"/>
    <n v="11.84"/>
    <n v="77.61"/>
    <n v="2024"/>
    <n v="2"/>
    <n v="2023"/>
    <n v="11"/>
    <n v="11"/>
    <x v="1"/>
    <x v="1"/>
    <n v="-11485.11"/>
    <x v="1"/>
    <n v="-11485.11"/>
  </r>
  <r>
    <x v="12"/>
    <s v="OPT-NIFTY-01-Feb-2024-21800-C-E-I"/>
    <s v="NSE"/>
    <s v="Sell"/>
    <n v="350"/>
    <n v="0"/>
    <n v="72"/>
    <n v="25200"/>
    <s v="#202402013700006332"/>
    <n v="15.75"/>
    <n v="12.73"/>
    <n v="0"/>
    <n v="0.03"/>
    <n v="140"/>
    <n v="27.5"/>
    <n v="196.01"/>
    <n v="2024"/>
    <n v="2"/>
    <n v="2023"/>
    <n v="11"/>
    <n v="11"/>
    <x v="1"/>
    <x v="1"/>
    <n v="25003.99"/>
    <x v="46"/>
    <s v=""/>
  </r>
  <r>
    <x v="12"/>
    <s v="OPT-CNXBAN-07-Feb-2024-46000-C-E-I"/>
    <s v="NSE"/>
    <s v="Sell"/>
    <n v="15"/>
    <n v="0"/>
    <n v="564.65"/>
    <n v="8469.75"/>
    <s v="#202402013700005706"/>
    <n v="5.29"/>
    <n v="4.28"/>
    <n v="0"/>
    <n v="0.01"/>
    <n v="20"/>
    <n v="4.38"/>
    <n v="33.96"/>
    <n v="2024"/>
    <n v="2"/>
    <n v="2023"/>
    <n v="11"/>
    <n v="11"/>
    <x v="1"/>
    <x v="1"/>
    <n v="8435.7900000000009"/>
    <x v="47"/>
    <s v=""/>
  </r>
  <r>
    <x v="12"/>
    <s v="OPT-NIFTY-01-Feb-2024-21800-C-E-I"/>
    <s v="NSE"/>
    <s v="Buy"/>
    <n v="150"/>
    <n v="0"/>
    <n v="59"/>
    <n v="8850"/>
    <s v="#202402013700005369"/>
    <n v="0"/>
    <n v="4.47"/>
    <n v="0"/>
    <n v="0.01"/>
    <n v="60"/>
    <n v="11.6"/>
    <n v="76.08"/>
    <n v="2024"/>
    <n v="2"/>
    <n v="2023"/>
    <n v="11"/>
    <n v="11"/>
    <x v="1"/>
    <x v="1"/>
    <n v="-8926.08"/>
    <x v="1"/>
    <n v="-8926.08"/>
  </r>
  <r>
    <x v="12"/>
    <s v="OPT-CNXBAN-07-Feb-2024-46000-C-E-I"/>
    <s v="NSE"/>
    <s v="Buy"/>
    <n v="15"/>
    <n v="0"/>
    <n v="527.9"/>
    <n v="7918.5"/>
    <s v="#202402013700005094"/>
    <n v="0"/>
    <n v="4"/>
    <n v="0.24"/>
    <n v="0.01"/>
    <n v="20"/>
    <n v="4.32"/>
    <n v="28.57"/>
    <n v="2024"/>
    <n v="2"/>
    <n v="2023"/>
    <n v="11"/>
    <n v="11"/>
    <x v="1"/>
    <x v="1"/>
    <n v="-7947.07"/>
    <x v="1"/>
    <n v="-7947.07"/>
  </r>
  <r>
    <x v="12"/>
    <s v="OPT-NIFTY-01-Feb-2024-21800-C-E-I"/>
    <s v="NSE"/>
    <s v="Buy"/>
    <n v="150"/>
    <n v="0"/>
    <n v="63.67"/>
    <n v="9550"/>
    <s v="#202402013700004640"/>
    <n v="0"/>
    <n v="4.82"/>
    <n v="0.99"/>
    <n v="0.01"/>
    <n v="60"/>
    <n v="11.66"/>
    <n v="77.48"/>
    <n v="2024"/>
    <n v="2"/>
    <n v="2023"/>
    <n v="11"/>
    <n v="11"/>
    <x v="1"/>
    <x v="1"/>
    <n v="-9627.48"/>
    <x v="1"/>
    <n v="-9627.48"/>
  </r>
  <r>
    <x v="12"/>
    <s v="OPT-NIFTY-01-Feb-2024-21800-C-E-I"/>
    <s v="NSE"/>
    <s v="Buy"/>
    <n v="50"/>
    <n v="0"/>
    <n v="65.400000000000006"/>
    <n v="3270"/>
    <s v="#202402013700004518"/>
    <n v="0"/>
    <n v="1.65"/>
    <n v="0"/>
    <n v="0"/>
    <n v="20"/>
    <n v="3.9"/>
    <n v="25.55"/>
    <n v="2024"/>
    <n v="2"/>
    <n v="2023"/>
    <n v="11"/>
    <n v="11"/>
    <x v="1"/>
    <x v="1"/>
    <n v="-3295.55"/>
    <x v="1"/>
    <n v="-3295.55"/>
  </r>
  <r>
    <x v="13"/>
    <s v="OPT-HCLTEC-29-Feb-2024-1600-C-E-S"/>
    <s v="NSE"/>
    <s v="Buy"/>
    <n v="700"/>
    <n v="0"/>
    <n v="45.25"/>
    <n v="31675"/>
    <s v="#202402023700011780"/>
    <n v="0"/>
    <n v="16"/>
    <n v="0.86"/>
    <n v="0.03"/>
    <n v="20"/>
    <n v="6.48"/>
    <n v="43.37"/>
    <n v="2024"/>
    <n v="2"/>
    <n v="2023"/>
    <n v="11"/>
    <n v="11"/>
    <x v="1"/>
    <x v="1"/>
    <n v="-31718.37"/>
    <x v="1"/>
    <n v="-31718.37"/>
  </r>
  <r>
    <x v="13"/>
    <s v="OPT-NIFTY-08-Feb-2024-21800-P-E-I"/>
    <s v="NSE"/>
    <s v="Sell"/>
    <n v="50"/>
    <n v="0"/>
    <n v="83.3"/>
    <n v="4165"/>
    <s v="#202402023700007581"/>
    <n v="3"/>
    <n v="2.1"/>
    <n v="0"/>
    <n v="0"/>
    <n v="20"/>
    <n v="3.98"/>
    <n v="29.08"/>
    <n v="2024"/>
    <n v="2"/>
    <n v="2023"/>
    <n v="11"/>
    <n v="11"/>
    <x v="1"/>
    <x v="1"/>
    <n v="4135.92"/>
    <x v="48"/>
    <s v=""/>
  </r>
  <r>
    <x v="13"/>
    <s v="OPT-NIFTY-08-Feb-2024-21800-P-E-I"/>
    <s v="NSE"/>
    <s v="Buy"/>
    <n v="50"/>
    <n v="0"/>
    <n v="90.95"/>
    <n v="4547.5"/>
    <s v="#202402023700003395"/>
    <n v="0"/>
    <n v="2.2999999999999998"/>
    <n v="0.14000000000000001"/>
    <n v="0"/>
    <n v="20"/>
    <n v="4.0199999999999996"/>
    <n v="26.46"/>
    <n v="2024"/>
    <n v="2"/>
    <n v="2023"/>
    <n v="11"/>
    <n v="11"/>
    <x v="1"/>
    <x v="1"/>
    <n v="-4573.96"/>
    <x v="1"/>
    <n v="-4573.96"/>
  </r>
  <r>
    <x v="14"/>
    <s v="OPT-NIFFIN-06-Feb-2024-20350-P-E-I"/>
    <s v="NSE"/>
    <s v="Sell"/>
    <n v="400"/>
    <n v="0"/>
    <n v="122.7"/>
    <n v="49080"/>
    <s v="#202402053700049655"/>
    <n v="30.68"/>
    <n v="24.78"/>
    <n v="0"/>
    <n v="0.05"/>
    <n v="200"/>
    <n v="40.46"/>
    <n v="295.97000000000003"/>
    <n v="2024"/>
    <n v="2"/>
    <n v="2023"/>
    <n v="11"/>
    <n v="11"/>
    <x v="1"/>
    <x v="1"/>
    <n v="48784.03"/>
    <x v="49"/>
    <s v=""/>
  </r>
  <r>
    <x v="14"/>
    <s v="OPT-NIFFIN-06-Feb-2024-20350-P-E-I"/>
    <s v="NSE"/>
    <s v="Buy"/>
    <n v="400"/>
    <n v="0"/>
    <n v="90.03"/>
    <n v="36012"/>
    <s v="#202402053700038894"/>
    <n v="0"/>
    <n v="18.190000000000001"/>
    <n v="2"/>
    <n v="0.03"/>
    <n v="200"/>
    <n v="39.28"/>
    <n v="259.5"/>
    <n v="2024"/>
    <n v="2"/>
    <n v="2023"/>
    <n v="11"/>
    <n v="11"/>
    <x v="1"/>
    <x v="1"/>
    <n v="-36271.5"/>
    <x v="1"/>
    <n v="-36271.5"/>
  </r>
  <r>
    <x v="14"/>
    <s v="OPT-NIFFIN-06-Feb-2024-20350-P-E-I"/>
    <s v="NSE"/>
    <s v="Sell"/>
    <n v="320"/>
    <n v="0"/>
    <n v="80"/>
    <n v="25600"/>
    <s v="#202402053700038641"/>
    <n v="16"/>
    <n v="12.93"/>
    <n v="0"/>
    <n v="0.03"/>
    <n v="160"/>
    <n v="31.14"/>
    <n v="220.1"/>
    <n v="2024"/>
    <n v="2"/>
    <n v="2023"/>
    <n v="11"/>
    <n v="11"/>
    <x v="1"/>
    <x v="1"/>
    <n v="25379.9"/>
    <x v="50"/>
    <s v=""/>
  </r>
  <r>
    <x v="14"/>
    <s v="OPT-NIFFIN-06-Feb-2024-20350-P-E-I"/>
    <s v="NSE"/>
    <s v="Buy"/>
    <n v="40"/>
    <n v="0"/>
    <n v="106.25"/>
    <n v="4250"/>
    <s v="#202402053700036149"/>
    <n v="0"/>
    <n v="2.15"/>
    <n v="0"/>
    <n v="0"/>
    <n v="20"/>
    <n v="3.98"/>
    <n v="26.13"/>
    <n v="2024"/>
    <n v="2"/>
    <n v="2023"/>
    <n v="11"/>
    <n v="11"/>
    <x v="1"/>
    <x v="1"/>
    <n v="-4276.13"/>
    <x v="1"/>
    <n v="-4276.13"/>
  </r>
  <r>
    <x v="14"/>
    <s v="OPT-NIFFIN-06-Feb-2024-20350-P-E-I"/>
    <s v="NSE"/>
    <s v="Buy"/>
    <n v="40"/>
    <n v="0"/>
    <n v="104.75"/>
    <n v="4190"/>
    <s v="#202402053700035872"/>
    <n v="0"/>
    <n v="2.12"/>
    <n v="0"/>
    <n v="0"/>
    <n v="20"/>
    <n v="3.98"/>
    <n v="26.1"/>
    <n v="2024"/>
    <n v="2"/>
    <n v="2023"/>
    <n v="11"/>
    <n v="11"/>
    <x v="1"/>
    <x v="1"/>
    <n v="-4216.1000000000004"/>
    <x v="1"/>
    <n v="-4216.1000000000004"/>
  </r>
  <r>
    <x v="14"/>
    <s v="OPT-NIFFIN-06-Feb-2024-20350-P-E-I"/>
    <s v="NSE"/>
    <s v="Buy"/>
    <n v="80"/>
    <n v="0"/>
    <n v="106.25"/>
    <n v="8500"/>
    <s v="#202402053700035685"/>
    <n v="0"/>
    <n v="4.29"/>
    <n v="0"/>
    <n v="0.01"/>
    <n v="40"/>
    <n v="7.98"/>
    <n v="52.28"/>
    <n v="2024"/>
    <n v="2"/>
    <n v="2023"/>
    <n v="11"/>
    <n v="11"/>
    <x v="1"/>
    <x v="1"/>
    <n v="-8552.2800000000007"/>
    <x v="1"/>
    <n v="-8552.2800000000007"/>
  </r>
  <r>
    <x v="14"/>
    <s v="OPT-NIFFIN-06-Feb-2024-20350-P-E-I"/>
    <s v="NSE"/>
    <s v="Buy"/>
    <n v="160"/>
    <n v="0"/>
    <n v="122.2"/>
    <n v="19552"/>
    <s v="#202402053700035362"/>
    <n v="0"/>
    <n v="9.8800000000000008"/>
    <n v="0"/>
    <n v="0.01"/>
    <n v="80"/>
    <n v="16.18"/>
    <n v="106.07"/>
    <n v="2024"/>
    <n v="2"/>
    <n v="2023"/>
    <n v="11"/>
    <n v="11"/>
    <x v="1"/>
    <x v="1"/>
    <n v="-19658.07"/>
    <x v="1"/>
    <n v="-19658.07"/>
  </r>
  <r>
    <x v="14"/>
    <s v="OPT-NIFFIN-06-Feb-2024-20350-P-E-I"/>
    <s v="NSE"/>
    <s v="Sell"/>
    <n v="80"/>
    <n v="0"/>
    <n v="88"/>
    <n v="7040"/>
    <s v="#202402053700033760"/>
    <n v="4.33"/>
    <n v="3.56"/>
    <n v="0"/>
    <n v="0.01"/>
    <n v="40"/>
    <n v="7.84"/>
    <n v="55.74"/>
    <n v="2024"/>
    <n v="2"/>
    <n v="2023"/>
    <n v="11"/>
    <n v="11"/>
    <x v="1"/>
    <x v="1"/>
    <n v="6984.26"/>
    <x v="51"/>
    <s v=""/>
  </r>
  <r>
    <x v="14"/>
    <s v="OPT-NIFFIN-06-Feb-2024-20350-P-E-I"/>
    <s v="NSE"/>
    <s v="Buy"/>
    <n v="40"/>
    <n v="0"/>
    <n v="76.5"/>
    <n v="3060"/>
    <s v="#202402053700032491"/>
    <n v="0"/>
    <n v="1.55"/>
    <n v="0"/>
    <n v="0"/>
    <n v="20"/>
    <n v="3.88"/>
    <n v="25.43"/>
    <n v="2024"/>
    <n v="2"/>
    <n v="2023"/>
    <n v="11"/>
    <n v="11"/>
    <x v="1"/>
    <x v="1"/>
    <n v="-3085.43"/>
    <x v="1"/>
    <n v="-3085.43"/>
  </r>
  <r>
    <x v="14"/>
    <s v="OPT-NIFFIN-06-Feb-2024-20350-P-E-I"/>
    <s v="NSE"/>
    <s v="Buy"/>
    <n v="40"/>
    <n v="0"/>
    <n v="93.1"/>
    <n v="3724"/>
    <s v="#202402053700031966"/>
    <n v="0"/>
    <n v="1.88"/>
    <n v="0"/>
    <n v="0"/>
    <n v="20"/>
    <n v="3.94"/>
    <n v="25.82"/>
    <n v="2024"/>
    <n v="2"/>
    <n v="2023"/>
    <n v="11"/>
    <n v="11"/>
    <x v="1"/>
    <x v="1"/>
    <n v="-3749.82"/>
    <x v="1"/>
    <n v="-3749.82"/>
  </r>
  <r>
    <x v="15"/>
    <s v="OPT-HCLTEC-29-Feb-2024-1600-C-E-S"/>
    <s v="NSE"/>
    <s v="Sell"/>
    <n v="700"/>
    <n v="0"/>
    <n v="50.05"/>
    <n v="35035"/>
    <s v="#202402063700021088"/>
    <n v="22"/>
    <n v="17.690000000000001"/>
    <n v="0"/>
    <n v="0.04"/>
    <n v="20"/>
    <n v="6.8"/>
    <n v="66.53"/>
    <n v="2024"/>
    <n v="2"/>
    <n v="2023"/>
    <n v="11"/>
    <n v="11"/>
    <x v="1"/>
    <x v="1"/>
    <n v="34968.47"/>
    <x v="52"/>
    <s v=""/>
  </r>
  <r>
    <x v="16"/>
    <s v="OPT-CNXBAN-07-Feb-2024-45800-C-E-I"/>
    <s v="NSE"/>
    <s v="Sell"/>
    <n v="225"/>
    <n v="0"/>
    <n v="29.25"/>
    <n v="6581.25"/>
    <s v="#202402073700021837"/>
    <n v="3.95"/>
    <n v="3.3"/>
    <n v="0"/>
    <n v="0"/>
    <n v="300"/>
    <n v="54.6"/>
    <n v="361.85"/>
    <n v="2024"/>
    <n v="2"/>
    <n v="2023"/>
    <n v="11"/>
    <n v="11"/>
    <x v="1"/>
    <x v="1"/>
    <n v="6219.4"/>
    <x v="53"/>
    <s v=""/>
  </r>
  <r>
    <x v="16"/>
    <s v="OPT-CNXBAN-07-Feb-2024-45800-C-E-I"/>
    <s v="NSE"/>
    <s v="Buy"/>
    <n v="225"/>
    <n v="0"/>
    <n v="38"/>
    <n v="8550"/>
    <s v="#202402073700021327"/>
    <n v="0"/>
    <n v="4.32"/>
    <n v="0.26"/>
    <n v="0.01"/>
    <n v="300"/>
    <n v="54.78"/>
    <n v="359.37"/>
    <n v="2024"/>
    <n v="2"/>
    <n v="2023"/>
    <n v="11"/>
    <n v="11"/>
    <x v="1"/>
    <x v="1"/>
    <n v="-8909.3700000000008"/>
    <x v="1"/>
    <n v="-8909.3700000000008"/>
  </r>
  <r>
    <x v="16"/>
    <s v="OPT-CNXBAN-07-Feb-2024-45900-C-E-I"/>
    <s v="NSE"/>
    <s v="Sell"/>
    <n v="135"/>
    <n v="0"/>
    <n v="14.3"/>
    <n v="1930.5"/>
    <s v="#202402073700019616"/>
    <n v="1.2"/>
    <n v="0.98"/>
    <n v="0"/>
    <n v="0"/>
    <n v="180"/>
    <n v="32.58"/>
    <n v="214.76"/>
    <n v="2024"/>
    <n v="2"/>
    <n v="2023"/>
    <n v="11"/>
    <n v="11"/>
    <x v="1"/>
    <x v="1"/>
    <n v="1715.74"/>
    <x v="54"/>
    <s v=""/>
  </r>
  <r>
    <x v="16"/>
    <s v="OPT-CNXBAN-07-Feb-2024-45900-C-E-I"/>
    <s v="NSE"/>
    <s v="Sell"/>
    <n v="900"/>
    <n v="0"/>
    <n v="15.15"/>
    <n v="13635"/>
    <s v="#202402073700018478"/>
    <n v="8.52"/>
    <n v="6.89"/>
    <n v="0"/>
    <n v="0.02"/>
    <n v="1200"/>
    <n v="217.24"/>
    <n v="1432.67"/>
    <n v="2024"/>
    <n v="2"/>
    <n v="2023"/>
    <n v="11"/>
    <n v="11"/>
    <x v="1"/>
    <x v="1"/>
    <n v="12202.33"/>
    <x v="55"/>
    <s v=""/>
  </r>
  <r>
    <x v="16"/>
    <s v="OPT-CNXBAN-07-Feb-2024-45900-C-E-I"/>
    <s v="NSE"/>
    <s v="Buy"/>
    <n v="345"/>
    <n v="0"/>
    <n v="16.899999999999999"/>
    <n v="5830.5"/>
    <s v="#202402073700015304"/>
    <n v="0"/>
    <n v="2.95"/>
    <n v="0"/>
    <n v="0"/>
    <n v="460"/>
    <n v="83.34"/>
    <n v="546.29"/>
    <n v="2024"/>
    <n v="2"/>
    <n v="2023"/>
    <n v="11"/>
    <n v="11"/>
    <x v="1"/>
    <x v="1"/>
    <n v="-6376.79"/>
    <x v="1"/>
    <n v="-6376.79"/>
  </r>
  <r>
    <x v="16"/>
    <s v="OPT-CNXBAN-07-Feb-2024-45900-C-E-I"/>
    <s v="NSE"/>
    <s v="Buy"/>
    <n v="345"/>
    <n v="0"/>
    <n v="23.35"/>
    <n v="8055.75"/>
    <s v="#202402073700012883"/>
    <n v="0"/>
    <n v="4.07"/>
    <n v="0.99"/>
    <n v="0.01"/>
    <n v="460"/>
    <n v="83.54"/>
    <n v="548.61"/>
    <n v="2024"/>
    <n v="2"/>
    <n v="2023"/>
    <n v="11"/>
    <n v="11"/>
    <x v="1"/>
    <x v="1"/>
    <n v="-8604.36"/>
    <x v="1"/>
    <n v="-8604.36"/>
  </r>
  <r>
    <x v="16"/>
    <s v="OPT-CNXBAN-07-Feb-2024-45900-C-E-I"/>
    <s v="NSE"/>
    <s v="Buy"/>
    <n v="60"/>
    <n v="0"/>
    <n v="41.6"/>
    <n v="2496"/>
    <s v="#202402073700010509"/>
    <n v="0"/>
    <n v="1.26"/>
    <n v="0"/>
    <n v="0"/>
    <n v="80"/>
    <n v="14.62"/>
    <n v="95.88"/>
    <n v="2024"/>
    <n v="2"/>
    <n v="2023"/>
    <n v="11"/>
    <n v="11"/>
    <x v="1"/>
    <x v="1"/>
    <n v="-2591.88"/>
    <x v="1"/>
    <n v="-2591.88"/>
  </r>
  <r>
    <x v="16"/>
    <s v="OPT-CNXBAN-07-Feb-2024-45900-C-E-I"/>
    <s v="NSE"/>
    <s v="Buy"/>
    <n v="45"/>
    <n v="0"/>
    <n v="42.65"/>
    <n v="1919.25"/>
    <s v="#202402073700010460"/>
    <n v="0"/>
    <n v="0.97"/>
    <n v="0"/>
    <n v="0"/>
    <n v="60"/>
    <n v="10.98"/>
    <n v="71.95"/>
    <n v="2024"/>
    <n v="2"/>
    <n v="2023"/>
    <n v="11"/>
    <n v="11"/>
    <x v="1"/>
    <x v="1"/>
    <n v="-1991.2"/>
    <x v="1"/>
    <n v="-1991.2"/>
  </r>
  <r>
    <x v="16"/>
    <s v="OPT-CNXBAN-07-Feb-2024-45900-C-E-I"/>
    <s v="NSE"/>
    <s v="Buy"/>
    <n v="240"/>
    <n v="0"/>
    <n v="47.09"/>
    <n v="11301"/>
    <s v="#202402073700010356"/>
    <n v="0"/>
    <n v="5.71"/>
    <n v="0"/>
    <n v="0"/>
    <n v="320"/>
    <n v="58.64"/>
    <n v="384.35"/>
    <n v="2024"/>
    <n v="2"/>
    <n v="2023"/>
    <n v="11"/>
    <n v="11"/>
    <x v="1"/>
    <x v="1"/>
    <n v="-11685.35"/>
    <x v="1"/>
    <n v="-11685.35"/>
  </r>
  <r>
    <x v="16"/>
    <s v="OPT-NIFTY-08-Feb-2024-22000-C-E-I"/>
    <s v="NSE"/>
    <s v="Sell"/>
    <n v="250"/>
    <n v="0"/>
    <n v="85.05"/>
    <n v="21262.5"/>
    <s v="#202402073700009047"/>
    <n v="13.29"/>
    <n v="10.74"/>
    <n v="0"/>
    <n v="0.02"/>
    <n v="100"/>
    <n v="19.940000000000001"/>
    <n v="143.99"/>
    <n v="2024"/>
    <n v="2"/>
    <n v="2023"/>
    <n v="11"/>
    <n v="11"/>
    <x v="1"/>
    <x v="1"/>
    <n v="21118.51"/>
    <x v="56"/>
    <s v=""/>
  </r>
  <r>
    <x v="16"/>
    <s v="OPT-NIFTY-08-Feb-2024-22000-C-E-I"/>
    <s v="NSE"/>
    <s v="Buy"/>
    <n v="200"/>
    <n v="0"/>
    <n v="98.45"/>
    <n v="19690"/>
    <s v="#202402073700007071"/>
    <n v="0"/>
    <n v="9.94"/>
    <n v="0.75"/>
    <n v="0.02"/>
    <n v="80"/>
    <n v="16.2"/>
    <n v="106.91"/>
    <n v="2024"/>
    <n v="2"/>
    <n v="2023"/>
    <n v="11"/>
    <n v="11"/>
    <x v="1"/>
    <x v="1"/>
    <n v="-19796.91"/>
    <x v="1"/>
    <n v="-19796.91"/>
  </r>
  <r>
    <x v="16"/>
    <s v="OPT-NIFTY-08-Feb-2024-22000-C-E-I"/>
    <s v="NSE"/>
    <s v="Buy"/>
    <n v="50"/>
    <n v="0"/>
    <n v="103.8"/>
    <n v="5190"/>
    <s v="#202402073700004645"/>
    <n v="0"/>
    <n v="2.62"/>
    <n v="0"/>
    <n v="0.01"/>
    <n v="20"/>
    <n v="4.08"/>
    <n v="26.71"/>
    <n v="2024"/>
    <n v="2"/>
    <n v="2023"/>
    <n v="11"/>
    <n v="11"/>
    <x v="1"/>
    <x v="1"/>
    <n v="-5216.71"/>
    <x v="1"/>
    <n v="-5216.71"/>
  </r>
  <r>
    <x v="17"/>
    <s v="OPT-NIFTY-08-Feb-2024-21750-P-E-I"/>
    <s v="NSE"/>
    <s v="Sell"/>
    <n v="50"/>
    <n v="0"/>
    <n v="17.95"/>
    <n v="897.5"/>
    <s v="#202402083700018971"/>
    <n v="0.75"/>
    <n v="0.45"/>
    <n v="0"/>
    <n v="0"/>
    <n v="20"/>
    <n v="3.68"/>
    <n v="24.88"/>
    <n v="2024"/>
    <n v="2"/>
    <n v="2023"/>
    <n v="11"/>
    <n v="11"/>
    <x v="1"/>
    <x v="1"/>
    <n v="872.62"/>
    <x v="57"/>
    <s v=""/>
  </r>
  <r>
    <x v="17"/>
    <s v="OPT-NIFTY-08-Feb-2024-21750-P-E-I"/>
    <s v="NSE"/>
    <s v="Buy"/>
    <n v="50"/>
    <n v="0"/>
    <n v="25.2"/>
    <n v="1260"/>
    <s v="#202402083700018472"/>
    <n v="0"/>
    <n v="0.64"/>
    <n v="0"/>
    <n v="0"/>
    <n v="20"/>
    <n v="3.72"/>
    <n v="24.36"/>
    <n v="2024"/>
    <n v="2"/>
    <n v="2023"/>
    <n v="11"/>
    <n v="11"/>
    <x v="1"/>
    <x v="1"/>
    <n v="-1284.3599999999999"/>
    <x v="1"/>
    <n v="-1284.3599999999999"/>
  </r>
  <r>
    <x v="17"/>
    <s v="OPT-NIFTY-08-Feb-2024-22000-C-E-I"/>
    <s v="NSE"/>
    <s v="Sell"/>
    <n v="250"/>
    <n v="0"/>
    <n v="2.1"/>
    <n v="525"/>
    <s v="#202402083700017431"/>
    <n v="0.33"/>
    <n v="0.27"/>
    <n v="0"/>
    <n v="0"/>
    <n v="100"/>
    <n v="18.04"/>
    <n v="118.64"/>
    <n v="2024"/>
    <n v="2"/>
    <n v="2023"/>
    <n v="11"/>
    <n v="11"/>
    <x v="1"/>
    <x v="1"/>
    <n v="406.36"/>
    <x v="58"/>
    <s v=""/>
  </r>
  <r>
    <x v="17"/>
    <s v="OPT-NIFTY-08-Feb-2024-22000-C-E-I"/>
    <s v="NSE"/>
    <s v="Sell"/>
    <n v="50"/>
    <n v="0"/>
    <n v="2.65"/>
    <n v="132.5"/>
    <s v="#202402083700016414"/>
    <n v="0.08"/>
    <n v="7.0000000000000007E-2"/>
    <n v="0"/>
    <n v="0"/>
    <n v="20"/>
    <n v="3.62"/>
    <n v="23.77"/>
    <n v="2024"/>
    <n v="2"/>
    <n v="2023"/>
    <n v="11"/>
    <n v="11"/>
    <x v="1"/>
    <x v="1"/>
    <n v="108.73"/>
    <x v="59"/>
    <s v=""/>
  </r>
  <r>
    <x v="17"/>
    <s v="OPT-NIFTY-08-Feb-2024-22000-C-E-I"/>
    <s v="NSE"/>
    <s v="Sell"/>
    <n v="50"/>
    <n v="0"/>
    <n v="2.65"/>
    <n v="132.5"/>
    <s v="#202402083700015702"/>
    <n v="0.08"/>
    <n v="7.0000000000000007E-2"/>
    <n v="0"/>
    <n v="0"/>
    <n v="20"/>
    <n v="3.62"/>
    <n v="23.77"/>
    <n v="2024"/>
    <n v="2"/>
    <n v="2023"/>
    <n v="11"/>
    <n v="11"/>
    <x v="1"/>
    <x v="1"/>
    <n v="108.73"/>
    <x v="59"/>
    <s v=""/>
  </r>
  <r>
    <x v="17"/>
    <s v="OPT-NIFTY-08-Feb-2024-22000-C-E-I"/>
    <s v="NSE"/>
    <s v="Buy"/>
    <n v="50"/>
    <n v="0"/>
    <n v="3.15"/>
    <n v="157.5"/>
    <s v="#202402083700014192"/>
    <n v="0"/>
    <n v="0.08"/>
    <n v="0"/>
    <n v="0"/>
    <n v="20"/>
    <n v="3.62"/>
    <n v="23.7"/>
    <n v="2024"/>
    <n v="2"/>
    <n v="2023"/>
    <n v="11"/>
    <n v="11"/>
    <x v="1"/>
    <x v="1"/>
    <n v="-181.2"/>
    <x v="1"/>
    <n v="-181.2"/>
  </r>
  <r>
    <x v="17"/>
    <s v="OPT-NIFTY-08-Feb-2024-22000-C-E-I"/>
    <s v="NSE"/>
    <s v="Buy"/>
    <n v="50"/>
    <n v="0"/>
    <n v="3.15"/>
    <n v="157.5"/>
    <s v="#202402083700014183"/>
    <n v="0"/>
    <n v="0.08"/>
    <n v="0"/>
    <n v="0"/>
    <n v="20"/>
    <n v="3.62"/>
    <n v="23.7"/>
    <n v="2024"/>
    <n v="2"/>
    <n v="2023"/>
    <n v="11"/>
    <n v="11"/>
    <x v="1"/>
    <x v="1"/>
    <n v="-181.2"/>
    <x v="1"/>
    <n v="-181.2"/>
  </r>
  <r>
    <x v="17"/>
    <s v="OPT-NIFTY-08-Feb-2024-22000-C-E-I"/>
    <s v="NSE"/>
    <s v="Buy"/>
    <n v="50"/>
    <n v="0"/>
    <n v="2.95"/>
    <n v="147.5"/>
    <s v="#202402083700014006"/>
    <n v="0"/>
    <n v="7.0000000000000007E-2"/>
    <n v="0"/>
    <n v="0"/>
    <n v="20"/>
    <n v="3.62"/>
    <n v="23.69"/>
    <n v="2024"/>
    <n v="2"/>
    <n v="2023"/>
    <n v="11"/>
    <n v="11"/>
    <x v="1"/>
    <x v="1"/>
    <n v="-171.19"/>
    <x v="1"/>
    <n v="-171.19"/>
  </r>
  <r>
    <x v="17"/>
    <s v="OPT-NIFTY-08-Feb-2024-22000-C-E-I"/>
    <s v="NSE"/>
    <s v="Buy"/>
    <n v="50"/>
    <n v="0"/>
    <n v="3.15"/>
    <n v="157.5"/>
    <s v="#202402083700013938"/>
    <n v="0"/>
    <n v="0.08"/>
    <n v="0"/>
    <n v="0"/>
    <n v="20"/>
    <n v="3.62"/>
    <n v="23.7"/>
    <n v="2024"/>
    <n v="2"/>
    <n v="2023"/>
    <n v="11"/>
    <n v="11"/>
    <x v="1"/>
    <x v="1"/>
    <n v="-181.2"/>
    <x v="1"/>
    <n v="-181.2"/>
  </r>
  <r>
    <x v="17"/>
    <s v="OPT-NIFTY-08-Feb-2024-22000-C-E-I"/>
    <s v="NSE"/>
    <s v="Buy"/>
    <n v="50"/>
    <n v="0"/>
    <n v="3.25"/>
    <n v="162.5"/>
    <s v="#202402083700013884"/>
    <n v="0"/>
    <n v="0.08"/>
    <n v="0"/>
    <n v="0"/>
    <n v="20"/>
    <n v="3.62"/>
    <n v="23.7"/>
    <n v="2024"/>
    <n v="2"/>
    <n v="2023"/>
    <n v="11"/>
    <n v="11"/>
    <x v="1"/>
    <x v="1"/>
    <n v="-186.2"/>
    <x v="1"/>
    <n v="-186.2"/>
  </r>
  <r>
    <x v="17"/>
    <s v="OPT-NIFTY-08-Feb-2024-22000-C-E-I"/>
    <s v="NSE"/>
    <s v="Buy"/>
    <n v="50"/>
    <n v="0"/>
    <n v="5.9"/>
    <n v="295"/>
    <s v="#202402083700010850"/>
    <n v="0"/>
    <n v="0.15"/>
    <n v="0"/>
    <n v="0"/>
    <n v="20"/>
    <n v="3.62"/>
    <n v="23.77"/>
    <n v="2024"/>
    <n v="2"/>
    <n v="2023"/>
    <n v="11"/>
    <n v="11"/>
    <x v="1"/>
    <x v="1"/>
    <n v="-318.77"/>
    <x v="1"/>
    <n v="-318.77"/>
  </r>
  <r>
    <x v="17"/>
    <s v="OPT-NIFTY-08-Feb-2024-22000-C-E-I"/>
    <s v="NSE"/>
    <s v="Buy"/>
    <n v="50"/>
    <n v="0"/>
    <n v="8.8000000000000007"/>
    <n v="440"/>
    <s v="#202402083700009731"/>
    <n v="0"/>
    <n v="0.22"/>
    <n v="0"/>
    <n v="0"/>
    <n v="20"/>
    <n v="3.64"/>
    <n v="23.86"/>
    <n v="2024"/>
    <n v="2"/>
    <n v="2023"/>
    <n v="11"/>
    <n v="11"/>
    <x v="1"/>
    <x v="1"/>
    <n v="-463.86"/>
    <x v="1"/>
    <n v="-463.86"/>
  </r>
  <r>
    <x v="17"/>
    <s v="OPT-NIFTY-08-Feb-2024-22000-P-E-I"/>
    <s v="NSE"/>
    <s v="Sell"/>
    <n v="50"/>
    <n v="0"/>
    <n v="88.3"/>
    <n v="4415"/>
    <s v="#202402083700004004"/>
    <n v="2.76"/>
    <n v="2.23"/>
    <n v="0"/>
    <n v="0"/>
    <n v="20"/>
    <n v="4"/>
    <n v="28.99"/>
    <n v="2024"/>
    <n v="2"/>
    <n v="2023"/>
    <n v="11"/>
    <n v="11"/>
    <x v="1"/>
    <x v="1"/>
    <n v="4386.01"/>
    <x v="60"/>
    <s v=""/>
  </r>
  <r>
    <x v="17"/>
    <s v="OPT-NIFTY-08-Feb-2024-22000-P-E-I"/>
    <s v="NSE"/>
    <s v="Buy"/>
    <n v="50"/>
    <n v="0"/>
    <n v="61.85"/>
    <n v="3092.5"/>
    <s v="#202402083700002795"/>
    <n v="0"/>
    <n v="1.56"/>
    <n v="0"/>
    <n v="0"/>
    <n v="20"/>
    <n v="3.88"/>
    <n v="25.44"/>
    <n v="2024"/>
    <n v="2"/>
    <n v="2023"/>
    <n v="11"/>
    <n v="11"/>
    <x v="1"/>
    <x v="1"/>
    <n v="-3117.94"/>
    <x v="1"/>
    <n v="-3117.94"/>
  </r>
  <r>
    <x v="18"/>
    <s v="OPT-NIFTY-15-Feb-2024-21700-P-E-I"/>
    <s v="NSE"/>
    <s v="Buy"/>
    <n v="50"/>
    <n v="0"/>
    <n v="151.85"/>
    <n v="7592.5"/>
    <s v="#202402093700012593"/>
    <n v="0"/>
    <n v="3.83"/>
    <n v="0"/>
    <n v="0.01"/>
    <n v="20"/>
    <n v="4.3"/>
    <n v="28.14"/>
    <n v="2024"/>
    <n v="2"/>
    <n v="2023"/>
    <n v="11"/>
    <n v="11"/>
    <x v="1"/>
    <x v="1"/>
    <n v="-7620.64"/>
    <x v="1"/>
    <n v="-7620.64"/>
  </r>
  <r>
    <x v="18"/>
    <s v="OPT-NIFTY-15-Feb-2024-21700-P-E-I"/>
    <s v="NSE"/>
    <s v="Sell"/>
    <n v="50"/>
    <n v="0"/>
    <n v="182.25"/>
    <n v="9112.5"/>
    <s v="#202402093700008677"/>
    <n v="6"/>
    <n v="4.5999999999999996"/>
    <n v="0"/>
    <n v="0.01"/>
    <n v="20"/>
    <n v="4.42"/>
    <n v="35.03"/>
    <n v="2024"/>
    <n v="2"/>
    <n v="2023"/>
    <n v="11"/>
    <n v="11"/>
    <x v="1"/>
    <x v="1"/>
    <n v="9077.4699999999993"/>
    <x v="61"/>
    <s v=""/>
  </r>
  <r>
    <x v="18"/>
    <s v="OPT-NIFTY-15-Feb-2024-21700-P-E-I"/>
    <s v="NSE"/>
    <s v="Buy"/>
    <n v="50"/>
    <n v="0"/>
    <n v="180.55"/>
    <n v="9027.5"/>
    <s v="#202402093700004745"/>
    <n v="0"/>
    <n v="4.5599999999999996"/>
    <n v="1"/>
    <n v="0.01"/>
    <n v="20"/>
    <n v="4.42"/>
    <n v="29.99"/>
    <n v="2024"/>
    <n v="2"/>
    <n v="2023"/>
    <n v="11"/>
    <n v="11"/>
    <x v="1"/>
    <x v="1"/>
    <n v="-9057.49"/>
    <x v="1"/>
    <n v="-9057.49"/>
  </r>
  <r>
    <x v="19"/>
    <s v="OPT-NIFTY-15-Feb-2024-21700-P-E-I"/>
    <s v="NSE"/>
    <s v="Sell"/>
    <n v="50"/>
    <n v="0"/>
    <n v="182"/>
    <n v="9100"/>
    <s v="#202402123700013602"/>
    <n v="6"/>
    <n v="4.5999999999999996"/>
    <n v="0"/>
    <n v="0.01"/>
    <n v="20"/>
    <n v="4.42"/>
    <n v="35.03"/>
    <n v="2024"/>
    <n v="2"/>
    <n v="2023"/>
    <n v="11"/>
    <n v="11"/>
    <x v="1"/>
    <x v="1"/>
    <n v="9064.9699999999993"/>
    <x v="62"/>
    <s v=""/>
  </r>
  <r>
    <x v="20"/>
    <s v="OPT-NIFFIN-13-Feb-2024-20150-P-E-I"/>
    <s v="NSE"/>
    <s v="Sell"/>
    <n v="200"/>
    <n v="0"/>
    <n v="73.25"/>
    <n v="14650"/>
    <s v="#202402133700017680"/>
    <n v="9.16"/>
    <n v="7.4"/>
    <n v="0"/>
    <n v="0.01"/>
    <n v="100"/>
    <n v="19.34"/>
    <n v="135.91"/>
    <n v="2024"/>
    <n v="2"/>
    <n v="2023"/>
    <n v="11"/>
    <n v="11"/>
    <x v="1"/>
    <x v="1"/>
    <n v="14514.09"/>
    <x v="63"/>
    <s v=""/>
  </r>
  <r>
    <x v="20"/>
    <s v="OPT-NIFFIN-13-Feb-2024-20150-P-E-I"/>
    <s v="NSE"/>
    <s v="Sell"/>
    <n v="200"/>
    <n v="0"/>
    <n v="72"/>
    <n v="14400"/>
    <s v="#202402133700015322"/>
    <n v="9"/>
    <n v="7.27"/>
    <n v="0"/>
    <n v="0.01"/>
    <n v="100"/>
    <n v="19.32"/>
    <n v="135.6"/>
    <n v="2024"/>
    <n v="2"/>
    <n v="2023"/>
    <n v="11"/>
    <n v="11"/>
    <x v="1"/>
    <x v="1"/>
    <n v="14264.4"/>
    <x v="64"/>
    <s v=""/>
  </r>
  <r>
    <x v="20"/>
    <s v="OPT-NIFFIN-13-Feb-2024-20150-P-E-I"/>
    <s v="NSE"/>
    <s v="Buy"/>
    <n v="400"/>
    <n v="0"/>
    <n v="42.09"/>
    <n v="16836"/>
    <s v="#202402133700013031"/>
    <n v="0"/>
    <n v="8.5"/>
    <n v="0"/>
    <n v="0.02"/>
    <n v="200"/>
    <n v="37.54"/>
    <n v="246.06"/>
    <n v="2024"/>
    <n v="2"/>
    <n v="2023"/>
    <n v="11"/>
    <n v="11"/>
    <x v="1"/>
    <x v="1"/>
    <n v="-17082.060000000001"/>
    <x v="1"/>
    <n v="-17082.060000000001"/>
  </r>
  <r>
    <x v="20"/>
    <s v="OPT-NIFFIN-13-Feb-2024-20150-P-E-I"/>
    <s v="NSE"/>
    <s v="Sell"/>
    <n v="280"/>
    <n v="0"/>
    <n v="44.54"/>
    <n v="12470"/>
    <s v="#202402133700012350"/>
    <n v="7.8"/>
    <n v="6.3"/>
    <n v="0"/>
    <n v="0"/>
    <n v="140"/>
    <n v="26.32"/>
    <n v="180.42"/>
    <n v="2024"/>
    <n v="2"/>
    <n v="2023"/>
    <n v="11"/>
    <n v="11"/>
    <x v="1"/>
    <x v="1"/>
    <n v="12289.58"/>
    <x v="65"/>
    <s v=""/>
  </r>
  <r>
    <x v="20"/>
    <s v="OPT-NIFFIN-13-Feb-2024-20150-P-E-I"/>
    <s v="NSE"/>
    <s v="Buy"/>
    <n v="240"/>
    <n v="0"/>
    <n v="35.5"/>
    <n v="8520"/>
    <s v="#202402133700012125"/>
    <n v="0"/>
    <n v="4.3"/>
    <n v="0.73"/>
    <n v="0.01"/>
    <n v="120"/>
    <n v="22.38"/>
    <n v="147.41999999999999"/>
    <n v="2024"/>
    <n v="2"/>
    <n v="2023"/>
    <n v="11"/>
    <n v="11"/>
    <x v="1"/>
    <x v="1"/>
    <n v="-8667.42"/>
    <x v="1"/>
    <n v="-8667.42"/>
  </r>
  <r>
    <x v="20"/>
    <s v="OPT-NIFFIN-13-Feb-2024-20150-P-E-I"/>
    <s v="NSE"/>
    <s v="Buy"/>
    <n v="40"/>
    <n v="0"/>
    <n v="35.4"/>
    <n v="1416"/>
    <s v="#202402133700012057"/>
    <n v="0"/>
    <n v="0.72"/>
    <n v="0"/>
    <n v="0"/>
    <n v="20"/>
    <n v="3.72"/>
    <n v="24.44"/>
    <n v="2024"/>
    <n v="2"/>
    <n v="2023"/>
    <n v="11"/>
    <n v="11"/>
    <x v="1"/>
    <x v="1"/>
    <n v="-1440.44"/>
    <x v="1"/>
    <n v="-1440.44"/>
  </r>
  <r>
    <x v="20"/>
    <s v="OPT-NIFFIN-13-Feb-2024-19700-P-E-I"/>
    <s v="NSE"/>
    <s v="Sell"/>
    <n v="1520"/>
    <n v="0"/>
    <n v="1.1000000000000001"/>
    <n v="1672"/>
    <s v="#202402133700009129"/>
    <n v="1.05"/>
    <n v="0.84"/>
    <n v="0"/>
    <n v="0"/>
    <n v="760"/>
    <n v="136.94"/>
    <n v="898.83"/>
    <n v="2024"/>
    <n v="2"/>
    <n v="2023"/>
    <n v="11"/>
    <n v="11"/>
    <x v="1"/>
    <x v="1"/>
    <n v="773.17"/>
    <x v="66"/>
    <s v=""/>
  </r>
  <r>
    <x v="20"/>
    <s v="OPT-NIFFIN-13-Feb-2024-19700-P-E-I"/>
    <s v="NSE"/>
    <s v="Buy"/>
    <n v="40"/>
    <n v="0"/>
    <n v="4.45"/>
    <n v="178"/>
    <s v="#202402133700004028"/>
    <n v="0"/>
    <n v="0.09"/>
    <n v="0"/>
    <n v="0"/>
    <n v="20"/>
    <n v="3.62"/>
    <n v="23.71"/>
    <n v="2024"/>
    <n v="2"/>
    <n v="2023"/>
    <n v="11"/>
    <n v="11"/>
    <x v="1"/>
    <x v="1"/>
    <n v="-201.71"/>
    <x v="1"/>
    <n v="-201.71"/>
  </r>
  <r>
    <x v="20"/>
    <s v="OPT-NIFFIN-13-Feb-2024-19700-P-E-I"/>
    <s v="NSE"/>
    <s v="Buy"/>
    <n v="40"/>
    <n v="0"/>
    <n v="4.5999999999999996"/>
    <n v="184"/>
    <s v="#202402133700004022"/>
    <n v="0"/>
    <n v="0.09"/>
    <n v="0"/>
    <n v="0"/>
    <n v="20"/>
    <n v="3.62"/>
    <n v="23.71"/>
    <n v="2024"/>
    <n v="2"/>
    <n v="2023"/>
    <n v="11"/>
    <n v="11"/>
    <x v="1"/>
    <x v="1"/>
    <n v="-207.71"/>
    <x v="1"/>
    <n v="-207.71"/>
  </r>
  <r>
    <x v="20"/>
    <s v="OPT-NIFFIN-13-Feb-2024-19700-P-E-I"/>
    <s v="NSE"/>
    <s v="Buy"/>
    <n v="40"/>
    <n v="0"/>
    <n v="4.6500000000000004"/>
    <n v="186"/>
    <s v="#202402133700004018"/>
    <n v="0"/>
    <n v="0.09"/>
    <n v="0"/>
    <n v="0"/>
    <n v="20"/>
    <n v="3.62"/>
    <n v="23.71"/>
    <n v="2024"/>
    <n v="2"/>
    <n v="2023"/>
    <n v="11"/>
    <n v="11"/>
    <x v="1"/>
    <x v="1"/>
    <n v="-209.71"/>
    <x v="1"/>
    <n v="-209.71"/>
  </r>
  <r>
    <x v="20"/>
    <s v="OPT-NIFFIN-13-Feb-2024-19700-P-E-I"/>
    <s v="NSE"/>
    <s v="Buy"/>
    <n v="40"/>
    <n v="0"/>
    <n v="4.4000000000000004"/>
    <n v="176"/>
    <s v="#202402133700003925"/>
    <n v="0"/>
    <n v="0.09"/>
    <n v="0"/>
    <n v="0"/>
    <n v="20"/>
    <n v="3.62"/>
    <n v="23.71"/>
    <n v="2024"/>
    <n v="2"/>
    <n v="2023"/>
    <n v="11"/>
    <n v="11"/>
    <x v="1"/>
    <x v="1"/>
    <n v="-199.71"/>
    <x v="1"/>
    <n v="-199.71"/>
  </r>
  <r>
    <x v="20"/>
    <s v="OPT-NIFFIN-13-Feb-2024-19700-P-E-I"/>
    <s v="NSE"/>
    <s v="Buy"/>
    <n v="40"/>
    <n v="0"/>
    <n v="4.4000000000000004"/>
    <n v="176"/>
    <s v="#202402133700003914"/>
    <n v="0"/>
    <n v="0.09"/>
    <n v="0"/>
    <n v="0"/>
    <n v="20"/>
    <n v="3.62"/>
    <n v="23.71"/>
    <n v="2024"/>
    <n v="2"/>
    <n v="2023"/>
    <n v="11"/>
    <n v="11"/>
    <x v="1"/>
    <x v="1"/>
    <n v="-199.71"/>
    <x v="1"/>
    <n v="-199.71"/>
  </r>
  <r>
    <x v="20"/>
    <s v="OPT-NIFFIN-13-Feb-2024-19700-P-E-I"/>
    <s v="NSE"/>
    <s v="Buy"/>
    <n v="40"/>
    <n v="0"/>
    <n v="4.25"/>
    <n v="170"/>
    <s v="#202402133700003898"/>
    <n v="0"/>
    <n v="0.09"/>
    <n v="0"/>
    <n v="0"/>
    <n v="20"/>
    <n v="3.62"/>
    <n v="23.71"/>
    <n v="2024"/>
    <n v="2"/>
    <n v="2023"/>
    <n v="11"/>
    <n v="11"/>
    <x v="1"/>
    <x v="1"/>
    <n v="-193.71"/>
    <x v="1"/>
    <n v="-193.71"/>
  </r>
  <r>
    <x v="20"/>
    <s v="OPT-NIFFIN-13-Feb-2024-19700-P-E-I"/>
    <s v="NSE"/>
    <s v="Buy"/>
    <n v="40"/>
    <n v="0"/>
    <n v="4.1500000000000004"/>
    <n v="166"/>
    <s v="#202402133700003831"/>
    <n v="0"/>
    <n v="0.08"/>
    <n v="0"/>
    <n v="0"/>
    <n v="20"/>
    <n v="3.62"/>
    <n v="23.7"/>
    <n v="2024"/>
    <n v="2"/>
    <n v="2023"/>
    <n v="11"/>
    <n v="11"/>
    <x v="1"/>
    <x v="1"/>
    <n v="-189.7"/>
    <x v="1"/>
    <n v="-189.7"/>
  </r>
  <r>
    <x v="20"/>
    <s v="OPT-NIFFIN-13-Feb-2024-19700-P-E-I"/>
    <s v="NSE"/>
    <s v="Buy"/>
    <n v="40"/>
    <n v="0"/>
    <n v="4.2"/>
    <n v="168"/>
    <s v="#202402133700003814"/>
    <n v="0"/>
    <n v="0.08"/>
    <n v="0"/>
    <n v="0"/>
    <n v="20"/>
    <n v="3.62"/>
    <n v="23.7"/>
    <n v="2024"/>
    <n v="2"/>
    <n v="2023"/>
    <n v="11"/>
    <n v="11"/>
    <x v="1"/>
    <x v="1"/>
    <n v="-191.7"/>
    <x v="1"/>
    <n v="-191.7"/>
  </r>
  <r>
    <x v="20"/>
    <s v="OPT-NIFFIN-13-Feb-2024-19700-P-E-I"/>
    <s v="NSE"/>
    <s v="Buy"/>
    <n v="40"/>
    <n v="0"/>
    <n v="4.2"/>
    <n v="168"/>
    <s v="#202402133700003775"/>
    <n v="0"/>
    <n v="0.08"/>
    <n v="0"/>
    <n v="0"/>
    <n v="20"/>
    <n v="3.62"/>
    <n v="23.7"/>
    <n v="2024"/>
    <n v="2"/>
    <n v="2023"/>
    <n v="11"/>
    <n v="11"/>
    <x v="1"/>
    <x v="1"/>
    <n v="-191.7"/>
    <x v="1"/>
    <n v="-191.7"/>
  </r>
  <r>
    <x v="20"/>
    <s v="OPT-NIFFIN-13-Feb-2024-19700-P-E-I"/>
    <s v="NSE"/>
    <s v="Buy"/>
    <n v="40"/>
    <n v="0"/>
    <n v="4.25"/>
    <n v="170"/>
    <s v="#202402133700003764"/>
    <n v="0"/>
    <n v="0.09"/>
    <n v="0"/>
    <n v="0"/>
    <n v="20"/>
    <n v="3.62"/>
    <n v="23.71"/>
    <n v="2024"/>
    <n v="2"/>
    <n v="2023"/>
    <n v="11"/>
    <n v="11"/>
    <x v="1"/>
    <x v="1"/>
    <n v="-193.71"/>
    <x v="1"/>
    <n v="-193.71"/>
  </r>
  <r>
    <x v="20"/>
    <s v="OPT-NIFFIN-13-Feb-2024-19700-P-E-I"/>
    <s v="NSE"/>
    <s v="Buy"/>
    <n v="40"/>
    <n v="0"/>
    <n v="4.1500000000000004"/>
    <n v="166"/>
    <s v="#202402133700003757"/>
    <n v="0"/>
    <n v="0.08"/>
    <n v="0"/>
    <n v="0"/>
    <n v="20"/>
    <n v="3.62"/>
    <n v="23.7"/>
    <n v="2024"/>
    <n v="2"/>
    <n v="2023"/>
    <n v="11"/>
    <n v="11"/>
    <x v="1"/>
    <x v="1"/>
    <n v="-189.7"/>
    <x v="1"/>
    <n v="-189.7"/>
  </r>
  <r>
    <x v="20"/>
    <s v="OPT-NIFFIN-13-Feb-2024-19700-P-E-I"/>
    <s v="NSE"/>
    <s v="Buy"/>
    <n v="40"/>
    <n v="0"/>
    <n v="4.25"/>
    <n v="170"/>
    <s v="#202402133700003751"/>
    <n v="0"/>
    <n v="0.09"/>
    <n v="0"/>
    <n v="0"/>
    <n v="20"/>
    <n v="3.62"/>
    <n v="23.71"/>
    <n v="2024"/>
    <n v="2"/>
    <n v="2023"/>
    <n v="11"/>
    <n v="11"/>
    <x v="1"/>
    <x v="1"/>
    <n v="-193.71"/>
    <x v="1"/>
    <n v="-193.71"/>
  </r>
  <r>
    <x v="20"/>
    <s v="OPT-NIFFIN-13-Feb-2024-19700-P-E-I"/>
    <s v="NSE"/>
    <s v="Buy"/>
    <n v="40"/>
    <n v="0"/>
    <n v="4.2"/>
    <n v="168"/>
    <s v="#202402133700003738"/>
    <n v="0"/>
    <n v="0.08"/>
    <n v="0"/>
    <n v="0"/>
    <n v="20"/>
    <n v="3.62"/>
    <n v="23.7"/>
    <n v="2024"/>
    <n v="2"/>
    <n v="2023"/>
    <n v="11"/>
    <n v="11"/>
    <x v="1"/>
    <x v="1"/>
    <n v="-191.7"/>
    <x v="1"/>
    <n v="-191.7"/>
  </r>
  <r>
    <x v="20"/>
    <s v="OPT-NIFFIN-13-Feb-2024-19700-P-E-I"/>
    <s v="NSE"/>
    <s v="Buy"/>
    <n v="40"/>
    <n v="0"/>
    <n v="4.2"/>
    <n v="168"/>
    <s v="#202402133700003733"/>
    <n v="0"/>
    <n v="0.08"/>
    <n v="0"/>
    <n v="0"/>
    <n v="20"/>
    <n v="3.62"/>
    <n v="23.7"/>
    <n v="2024"/>
    <n v="2"/>
    <n v="2023"/>
    <n v="11"/>
    <n v="11"/>
    <x v="1"/>
    <x v="1"/>
    <n v="-191.7"/>
    <x v="1"/>
    <n v="-191.7"/>
  </r>
  <r>
    <x v="20"/>
    <s v="OPT-NIFFIN-13-Feb-2024-19700-P-E-I"/>
    <s v="NSE"/>
    <s v="Buy"/>
    <n v="40"/>
    <n v="0"/>
    <n v="5.25"/>
    <n v="210"/>
    <s v="#202402133700003229"/>
    <n v="0"/>
    <n v="0.11"/>
    <n v="0"/>
    <n v="0"/>
    <n v="20"/>
    <n v="3.62"/>
    <n v="23.73"/>
    <n v="2024"/>
    <n v="2"/>
    <n v="2023"/>
    <n v="11"/>
    <n v="11"/>
    <x v="1"/>
    <x v="1"/>
    <n v="-233.73"/>
    <x v="1"/>
    <n v="-233.73"/>
  </r>
  <r>
    <x v="20"/>
    <s v="OPT-NIFFIN-13-Feb-2024-19700-P-E-I"/>
    <s v="NSE"/>
    <s v="Buy"/>
    <n v="40"/>
    <n v="0"/>
    <n v="5.2"/>
    <n v="208"/>
    <s v="#202402133700003180"/>
    <n v="0"/>
    <n v="0.11"/>
    <n v="0"/>
    <n v="0"/>
    <n v="20"/>
    <n v="3.62"/>
    <n v="23.73"/>
    <n v="2024"/>
    <n v="2"/>
    <n v="2023"/>
    <n v="11"/>
    <n v="11"/>
    <x v="1"/>
    <x v="1"/>
    <n v="-231.73"/>
    <x v="1"/>
    <n v="-231.73"/>
  </r>
  <r>
    <x v="20"/>
    <s v="OPT-NIFFIN-13-Feb-2024-19700-P-E-I"/>
    <s v="NSE"/>
    <s v="Buy"/>
    <n v="40"/>
    <n v="0"/>
    <n v="5.3"/>
    <n v="212"/>
    <s v="#202402133700003139"/>
    <n v="0"/>
    <n v="0.11"/>
    <n v="0"/>
    <n v="0"/>
    <n v="20"/>
    <n v="3.62"/>
    <n v="23.73"/>
    <n v="2024"/>
    <n v="2"/>
    <n v="2023"/>
    <n v="11"/>
    <n v="11"/>
    <x v="1"/>
    <x v="1"/>
    <n v="-235.73"/>
    <x v="1"/>
    <n v="-235.73"/>
  </r>
  <r>
    <x v="20"/>
    <s v="OPT-NIFFIN-13-Feb-2024-19700-P-E-I"/>
    <s v="NSE"/>
    <s v="Buy"/>
    <n v="40"/>
    <n v="0"/>
    <n v="5.15"/>
    <n v="206"/>
    <s v="#202402133700003113"/>
    <n v="0"/>
    <n v="0.1"/>
    <n v="0"/>
    <n v="0"/>
    <n v="20"/>
    <n v="3.62"/>
    <n v="23.72"/>
    <n v="2024"/>
    <n v="2"/>
    <n v="2023"/>
    <n v="11"/>
    <n v="11"/>
    <x v="1"/>
    <x v="1"/>
    <n v="-229.72"/>
    <x v="1"/>
    <n v="-229.72"/>
  </r>
  <r>
    <x v="20"/>
    <s v="OPT-NIFFIN-13-Feb-2024-19700-P-E-I"/>
    <s v="NSE"/>
    <s v="Buy"/>
    <n v="40"/>
    <n v="0"/>
    <n v="5.4"/>
    <n v="216"/>
    <s v="#202402133700003085"/>
    <n v="0"/>
    <n v="0.11"/>
    <n v="0"/>
    <n v="0"/>
    <n v="20"/>
    <n v="3.62"/>
    <n v="23.73"/>
    <n v="2024"/>
    <n v="2"/>
    <n v="2023"/>
    <n v="11"/>
    <n v="11"/>
    <x v="1"/>
    <x v="1"/>
    <n v="-239.73"/>
    <x v="1"/>
    <n v="-239.73"/>
  </r>
  <r>
    <x v="20"/>
    <s v="OPT-NIFFIN-13-Feb-2024-19700-P-E-I"/>
    <s v="NSE"/>
    <s v="Buy"/>
    <n v="40"/>
    <n v="0"/>
    <n v="5.45"/>
    <n v="218"/>
    <s v="#202402133700003066"/>
    <n v="0"/>
    <n v="0.11"/>
    <n v="0"/>
    <n v="0"/>
    <n v="20"/>
    <n v="3.62"/>
    <n v="23.73"/>
    <n v="2024"/>
    <n v="2"/>
    <n v="2023"/>
    <n v="11"/>
    <n v="11"/>
    <x v="1"/>
    <x v="1"/>
    <n v="-241.73"/>
    <x v="1"/>
    <n v="-241.73"/>
  </r>
  <r>
    <x v="20"/>
    <s v="OPT-NIFFIN-13-Feb-2024-19700-P-E-I"/>
    <s v="NSE"/>
    <s v="Buy"/>
    <n v="40"/>
    <n v="0"/>
    <n v="6.05"/>
    <n v="242"/>
    <s v="#202402133700003041"/>
    <n v="0"/>
    <n v="0.12"/>
    <n v="0"/>
    <n v="0"/>
    <n v="20"/>
    <n v="3.62"/>
    <n v="23.74"/>
    <n v="2024"/>
    <n v="2"/>
    <n v="2023"/>
    <n v="11"/>
    <n v="11"/>
    <x v="1"/>
    <x v="1"/>
    <n v="-265.74"/>
    <x v="1"/>
    <n v="-265.74"/>
  </r>
  <r>
    <x v="20"/>
    <s v="OPT-NIFFIN-13-Feb-2024-19700-P-E-I"/>
    <s v="NSE"/>
    <s v="Buy"/>
    <n v="40"/>
    <n v="0"/>
    <n v="6.2"/>
    <n v="248"/>
    <s v="#202402133700003011"/>
    <n v="0"/>
    <n v="0.13"/>
    <n v="0"/>
    <n v="0"/>
    <n v="20"/>
    <n v="3.62"/>
    <n v="23.75"/>
    <n v="2024"/>
    <n v="2"/>
    <n v="2023"/>
    <n v="11"/>
    <n v="11"/>
    <x v="1"/>
    <x v="1"/>
    <n v="-271.75"/>
    <x v="1"/>
    <n v="-271.75"/>
  </r>
  <r>
    <x v="20"/>
    <s v="OPT-NIFFIN-13-Feb-2024-19700-P-E-I"/>
    <s v="NSE"/>
    <s v="Buy"/>
    <n v="40"/>
    <n v="0"/>
    <n v="6.7"/>
    <n v="268"/>
    <s v="#202402133700002984"/>
    <n v="0"/>
    <n v="0.14000000000000001"/>
    <n v="0"/>
    <n v="0"/>
    <n v="20"/>
    <n v="3.62"/>
    <n v="23.76"/>
    <n v="2024"/>
    <n v="2"/>
    <n v="2023"/>
    <n v="11"/>
    <n v="11"/>
    <x v="1"/>
    <x v="1"/>
    <n v="-291.76"/>
    <x v="1"/>
    <n v="-291.76"/>
  </r>
  <r>
    <x v="20"/>
    <s v="OPT-NIFFIN-13-Feb-2024-19700-P-E-I"/>
    <s v="NSE"/>
    <s v="Buy"/>
    <n v="40"/>
    <n v="0"/>
    <n v="7.6"/>
    <n v="304"/>
    <s v="#202402133700002957"/>
    <n v="0"/>
    <n v="0.15"/>
    <n v="0"/>
    <n v="0"/>
    <n v="20"/>
    <n v="3.62"/>
    <n v="23.77"/>
    <n v="2024"/>
    <n v="2"/>
    <n v="2023"/>
    <n v="11"/>
    <n v="11"/>
    <x v="1"/>
    <x v="1"/>
    <n v="-327.77"/>
    <x v="1"/>
    <n v="-327.77"/>
  </r>
  <r>
    <x v="20"/>
    <s v="OPT-NIFFIN-13-Feb-2024-19700-P-E-I"/>
    <s v="NSE"/>
    <s v="Buy"/>
    <n v="40"/>
    <n v="0"/>
    <n v="7.15"/>
    <n v="286"/>
    <s v="#202402133700002934"/>
    <n v="0"/>
    <n v="0.14000000000000001"/>
    <n v="0"/>
    <n v="0"/>
    <n v="20"/>
    <n v="3.62"/>
    <n v="23.76"/>
    <n v="2024"/>
    <n v="2"/>
    <n v="2023"/>
    <n v="11"/>
    <n v="11"/>
    <x v="1"/>
    <x v="1"/>
    <n v="-309.76"/>
    <x v="1"/>
    <n v="-309.76"/>
  </r>
  <r>
    <x v="20"/>
    <s v="OPT-NIFFIN-13-Feb-2024-19700-P-E-I"/>
    <s v="NSE"/>
    <s v="Buy"/>
    <n v="40"/>
    <n v="0"/>
    <n v="7.75"/>
    <n v="310"/>
    <s v="#202402133700001883"/>
    <n v="0"/>
    <n v="0.16"/>
    <n v="0.27"/>
    <n v="0"/>
    <n v="20"/>
    <n v="3.62"/>
    <n v="24.05"/>
    <n v="2024"/>
    <n v="2"/>
    <n v="2023"/>
    <n v="11"/>
    <n v="11"/>
    <x v="1"/>
    <x v="1"/>
    <n v="-334.05"/>
    <x v="1"/>
    <n v="-334.05"/>
  </r>
  <r>
    <x v="20"/>
    <s v="OPT-NIFFIN-13-Feb-2024-19700-P-E-I"/>
    <s v="NSE"/>
    <s v="Buy"/>
    <n v="40"/>
    <n v="0"/>
    <n v="7.65"/>
    <n v="306"/>
    <s v="#202402133700001846"/>
    <n v="0"/>
    <n v="0.15"/>
    <n v="0"/>
    <n v="0"/>
    <n v="20"/>
    <n v="3.62"/>
    <n v="23.77"/>
    <n v="2024"/>
    <n v="2"/>
    <n v="2023"/>
    <n v="11"/>
    <n v="11"/>
    <x v="1"/>
    <x v="1"/>
    <n v="-329.77"/>
    <x v="1"/>
    <n v="-329.77"/>
  </r>
  <r>
    <x v="20"/>
    <s v="OPT-NIFFIN-13-Feb-2024-19700-P-E-I"/>
    <s v="NSE"/>
    <s v="Buy"/>
    <n v="40"/>
    <n v="0"/>
    <n v="7.45"/>
    <n v="298"/>
    <s v="#202402133700001779"/>
    <n v="0"/>
    <n v="0.15"/>
    <n v="0"/>
    <n v="0"/>
    <n v="20"/>
    <n v="3.62"/>
    <n v="23.77"/>
    <n v="2024"/>
    <n v="2"/>
    <n v="2023"/>
    <n v="11"/>
    <n v="11"/>
    <x v="1"/>
    <x v="1"/>
    <n v="-321.77"/>
    <x v="1"/>
    <n v="-321.77"/>
  </r>
  <r>
    <x v="20"/>
    <s v="OPT-NIFFIN-13-Feb-2024-19700-P-E-I"/>
    <s v="NSE"/>
    <s v="Buy"/>
    <n v="40"/>
    <n v="0"/>
    <n v="7.55"/>
    <n v="302"/>
    <s v="#202402133700001752"/>
    <n v="0"/>
    <n v="0.15"/>
    <n v="0"/>
    <n v="0"/>
    <n v="20"/>
    <n v="3.62"/>
    <n v="23.77"/>
    <n v="2024"/>
    <n v="2"/>
    <n v="2023"/>
    <n v="11"/>
    <n v="11"/>
    <x v="1"/>
    <x v="1"/>
    <n v="-325.77"/>
    <x v="1"/>
    <n v="-325.77"/>
  </r>
  <r>
    <x v="20"/>
    <s v="OPT-NIFFIN-13-Feb-2024-19700-P-E-I"/>
    <s v="NSE"/>
    <s v="Buy"/>
    <n v="40"/>
    <n v="0"/>
    <n v="7.55"/>
    <n v="302"/>
    <s v="#202402133700001696"/>
    <n v="0"/>
    <n v="0.15"/>
    <n v="0"/>
    <n v="0"/>
    <n v="20"/>
    <n v="3.62"/>
    <n v="23.77"/>
    <n v="2024"/>
    <n v="2"/>
    <n v="2023"/>
    <n v="11"/>
    <n v="11"/>
    <x v="1"/>
    <x v="1"/>
    <n v="-325.77"/>
    <x v="1"/>
    <n v="-325.77"/>
  </r>
  <r>
    <x v="20"/>
    <s v="OPT-NIFFIN-13-Feb-2024-19700-P-E-I"/>
    <s v="NSE"/>
    <s v="Buy"/>
    <n v="40"/>
    <n v="0"/>
    <n v="6.85"/>
    <n v="274"/>
    <s v="#202402133700001661"/>
    <n v="0"/>
    <n v="0.14000000000000001"/>
    <n v="0"/>
    <n v="0"/>
    <n v="20"/>
    <n v="3.62"/>
    <n v="23.76"/>
    <n v="2024"/>
    <n v="2"/>
    <n v="2023"/>
    <n v="11"/>
    <n v="11"/>
    <x v="1"/>
    <x v="1"/>
    <n v="-297.76"/>
    <x v="1"/>
    <n v="-297.76"/>
  </r>
  <r>
    <x v="20"/>
    <s v="OPT-NIFFIN-13-Feb-2024-19700-P-E-I"/>
    <s v="NSE"/>
    <s v="Buy"/>
    <n v="40"/>
    <n v="0"/>
    <n v="6.35"/>
    <n v="254"/>
    <s v="#202402133700001635"/>
    <n v="0"/>
    <n v="0.13"/>
    <n v="0"/>
    <n v="0"/>
    <n v="20"/>
    <n v="3.62"/>
    <n v="23.75"/>
    <n v="2024"/>
    <n v="2"/>
    <n v="2023"/>
    <n v="11"/>
    <n v="11"/>
    <x v="1"/>
    <x v="1"/>
    <n v="-277.75"/>
    <x v="1"/>
    <n v="-277.75"/>
  </r>
  <r>
    <x v="20"/>
    <s v="OPT-NIFFIN-13-Feb-2024-19700-P-E-I"/>
    <s v="NSE"/>
    <s v="Buy"/>
    <n v="40"/>
    <n v="0"/>
    <n v="6.65"/>
    <n v="266"/>
    <s v="#202402133700001606"/>
    <n v="0"/>
    <n v="0.13"/>
    <n v="0"/>
    <n v="0"/>
    <n v="20"/>
    <n v="3.62"/>
    <n v="23.75"/>
    <n v="2024"/>
    <n v="2"/>
    <n v="2023"/>
    <n v="11"/>
    <n v="11"/>
    <x v="1"/>
    <x v="1"/>
    <n v="-289.75"/>
    <x v="1"/>
    <n v="-289.75"/>
  </r>
  <r>
    <x v="20"/>
    <s v="OPT-NIFFIN-13-Feb-2024-19700-P-E-I"/>
    <s v="NSE"/>
    <s v="Buy"/>
    <n v="40"/>
    <n v="0"/>
    <n v="6.9"/>
    <n v="276"/>
    <s v="#202402133700001590"/>
    <n v="0"/>
    <n v="0.14000000000000001"/>
    <n v="0"/>
    <n v="0"/>
    <n v="20"/>
    <n v="3.62"/>
    <n v="23.76"/>
    <n v="2024"/>
    <n v="2"/>
    <n v="2023"/>
    <n v="11"/>
    <n v="11"/>
    <x v="1"/>
    <x v="1"/>
    <n v="-299.76"/>
    <x v="1"/>
    <n v="-299.76"/>
  </r>
  <r>
    <x v="20"/>
    <s v="OPT-NIFFIN-13-Feb-2024-19700-P-E-I"/>
    <s v="NSE"/>
    <s v="Buy"/>
    <n v="40"/>
    <n v="0"/>
    <n v="7.7"/>
    <n v="308"/>
    <s v="#202402133700001527"/>
    <n v="0"/>
    <n v="0.16"/>
    <n v="0"/>
    <n v="0"/>
    <n v="20"/>
    <n v="3.62"/>
    <n v="23.78"/>
    <n v="2024"/>
    <n v="2"/>
    <n v="2023"/>
    <n v="11"/>
    <n v="11"/>
    <x v="1"/>
    <x v="1"/>
    <n v="-331.78"/>
    <x v="1"/>
    <n v="-331.78"/>
  </r>
  <r>
    <x v="20"/>
    <s v="OPT-NIFFIN-13-Feb-2024-19700-P-E-I"/>
    <s v="NSE"/>
    <s v="Buy"/>
    <n v="40"/>
    <n v="0"/>
    <n v="9"/>
    <n v="360"/>
    <s v="#202402133700001482"/>
    <n v="0"/>
    <n v="0.18"/>
    <n v="0"/>
    <n v="0"/>
    <n v="20"/>
    <n v="3.64"/>
    <n v="23.82"/>
    <n v="2024"/>
    <n v="2"/>
    <n v="2023"/>
    <n v="11"/>
    <n v="11"/>
    <x v="1"/>
    <x v="1"/>
    <n v="-383.82"/>
    <x v="1"/>
    <n v="-383.82"/>
  </r>
  <r>
    <x v="20"/>
    <s v="OPT-NIFFIN-13-Feb-2024-19700-P-E-I"/>
    <s v="NSE"/>
    <s v="Buy"/>
    <n v="40"/>
    <n v="0"/>
    <n v="10.3"/>
    <n v="412"/>
    <s v="#202402133700001444"/>
    <n v="0"/>
    <n v="0.21"/>
    <n v="0"/>
    <n v="0"/>
    <n v="20"/>
    <n v="3.64"/>
    <n v="23.85"/>
    <n v="2024"/>
    <n v="2"/>
    <n v="2023"/>
    <n v="11"/>
    <n v="11"/>
    <x v="1"/>
    <x v="1"/>
    <n v="-435.85"/>
    <x v="1"/>
    <n v="-435.85"/>
  </r>
  <r>
    <x v="20"/>
    <s v="OPT-NIFFIN-13-Feb-2024-19700-P-E-I"/>
    <s v="NSE"/>
    <s v="Buy"/>
    <n v="40"/>
    <n v="0"/>
    <n v="9.8000000000000007"/>
    <n v="392"/>
    <s v="#202402133700001411"/>
    <n v="0"/>
    <n v="0.2"/>
    <n v="0"/>
    <n v="0"/>
    <n v="20"/>
    <n v="3.64"/>
    <n v="23.84"/>
    <n v="2024"/>
    <n v="2"/>
    <n v="2023"/>
    <n v="11"/>
    <n v="11"/>
    <x v="1"/>
    <x v="1"/>
    <n v="-415.84"/>
    <x v="1"/>
    <n v="-415.84"/>
  </r>
  <r>
    <x v="21"/>
    <s v="OPT-NIFTY-15-Feb-2024-21550-P-E-I"/>
    <s v="NSE"/>
    <s v="Sell"/>
    <n v="800"/>
    <n v="0"/>
    <n v="39.700000000000003"/>
    <n v="31760"/>
    <s v="#202402143700021174"/>
    <n v="19.84"/>
    <n v="16.03"/>
    <n v="0"/>
    <n v="0.03"/>
    <n v="320"/>
    <n v="60.48"/>
    <n v="416.38"/>
    <n v="2024"/>
    <n v="2"/>
    <n v="2023"/>
    <n v="11"/>
    <n v="11"/>
    <x v="1"/>
    <x v="1"/>
    <n v="31343.62"/>
    <x v="67"/>
    <s v=""/>
  </r>
  <r>
    <x v="21"/>
    <s v="OPT-NIFTY-15-Feb-2024-21550-P-E-I"/>
    <s v="NSE"/>
    <s v="Buy"/>
    <n v="400"/>
    <n v="0"/>
    <n v="53.53"/>
    <n v="21412.5"/>
    <s v="#202402143700012687"/>
    <n v="0"/>
    <n v="10.81"/>
    <n v="1.42"/>
    <n v="0.01"/>
    <n v="160"/>
    <n v="30.74"/>
    <n v="202.98"/>
    <n v="2024"/>
    <n v="2"/>
    <n v="2023"/>
    <n v="11"/>
    <n v="11"/>
    <x v="1"/>
    <x v="1"/>
    <n v="-21615.48"/>
    <x v="1"/>
    <n v="-21615.48"/>
  </r>
  <r>
    <x v="21"/>
    <s v="OPT-NIFTY-15-Feb-2024-21550-P-E-I"/>
    <s v="NSE"/>
    <s v="Buy"/>
    <n v="400"/>
    <n v="0"/>
    <n v="64.8"/>
    <n v="25920"/>
    <s v="#202402143700011711"/>
    <n v="0"/>
    <n v="13.09"/>
    <n v="0"/>
    <n v="0.03"/>
    <n v="160"/>
    <n v="31.16"/>
    <n v="204.28"/>
    <n v="2024"/>
    <n v="2"/>
    <n v="2023"/>
    <n v="11"/>
    <n v="11"/>
    <x v="1"/>
    <x v="1"/>
    <n v="-26124.28"/>
    <x v="1"/>
    <n v="-26124.28"/>
  </r>
  <r>
    <x v="21"/>
    <s v="OPT-NIFTY-15-Feb-2024-21650-C-E-I"/>
    <s v="NSE"/>
    <s v="Sell"/>
    <n v="350"/>
    <n v="0"/>
    <n v="59.11"/>
    <n v="20690"/>
    <s v="#202402143700011378"/>
    <n v="12.94"/>
    <n v="10.45"/>
    <n v="0"/>
    <n v="0.02"/>
    <n v="140"/>
    <n v="27.06"/>
    <n v="190.47"/>
    <n v="2024"/>
    <n v="2"/>
    <n v="2023"/>
    <n v="11"/>
    <n v="11"/>
    <x v="1"/>
    <x v="1"/>
    <n v="20499.53"/>
    <x v="68"/>
    <s v=""/>
  </r>
  <r>
    <x v="21"/>
    <s v="OPT-NIFTY-15-Feb-2024-21650-C-E-I"/>
    <s v="NSE"/>
    <s v="Buy"/>
    <n v="300"/>
    <n v="0"/>
    <n v="69.17"/>
    <n v="20750"/>
    <s v="#202402143700009360"/>
    <n v="0"/>
    <n v="10.48"/>
    <n v="0"/>
    <n v="0.02"/>
    <n v="120"/>
    <n v="23.52"/>
    <n v="154.02000000000001"/>
    <n v="2024"/>
    <n v="2"/>
    <n v="2023"/>
    <n v="11"/>
    <n v="11"/>
    <x v="1"/>
    <x v="1"/>
    <n v="-20904.02"/>
    <x v="1"/>
    <n v="-20904.02"/>
  </r>
  <r>
    <x v="21"/>
    <s v="OPT-NIFTY-15-Feb-2024-21650-C-E-I"/>
    <s v="NSE"/>
    <s v="Buy"/>
    <n v="50"/>
    <n v="0"/>
    <n v="71.7"/>
    <n v="3585"/>
    <s v="#202402143700009186"/>
    <n v="0"/>
    <n v="1.81"/>
    <n v="0"/>
    <n v="0"/>
    <n v="20"/>
    <n v="3.92"/>
    <n v="25.73"/>
    <n v="2024"/>
    <n v="2"/>
    <n v="2023"/>
    <n v="11"/>
    <n v="11"/>
    <x v="1"/>
    <x v="1"/>
    <n v="-3610.73"/>
    <x v="1"/>
    <n v="-3610.73"/>
  </r>
  <r>
    <x v="21"/>
    <s v="OPT-CNXBAN-14-Feb-2024-45000-P-E-I"/>
    <s v="NSE"/>
    <s v="Sell"/>
    <n v="195"/>
    <n v="0"/>
    <n v="57.95"/>
    <n v="11300.25"/>
    <s v="#202402143700008683"/>
    <n v="7.07"/>
    <n v="5.71"/>
    <n v="0"/>
    <n v="0"/>
    <n v="260"/>
    <n v="47.84"/>
    <n v="320.62"/>
    <n v="2024"/>
    <n v="2"/>
    <n v="2023"/>
    <n v="11"/>
    <n v="11"/>
    <x v="1"/>
    <x v="1"/>
    <n v="10979.63"/>
    <x v="69"/>
    <s v=""/>
  </r>
  <r>
    <x v="21"/>
    <s v="OPT-CNXBAN-14-Feb-2024-45000-P-E-I"/>
    <s v="NSE"/>
    <s v="Buy"/>
    <n v="90"/>
    <n v="0"/>
    <n v="66.7"/>
    <n v="6003"/>
    <s v="#202402143700008180"/>
    <n v="0"/>
    <n v="3.03"/>
    <n v="0.41"/>
    <n v="0.01"/>
    <n v="120"/>
    <n v="22.14"/>
    <n v="145.59"/>
    <n v="2024"/>
    <n v="2"/>
    <n v="2023"/>
    <n v="11"/>
    <n v="11"/>
    <x v="1"/>
    <x v="1"/>
    <n v="-6148.59"/>
    <x v="1"/>
    <n v="-6148.59"/>
  </r>
  <r>
    <x v="21"/>
    <s v="OPT-CNXBAN-14-Feb-2024-45000-P-E-I"/>
    <s v="NSE"/>
    <s v="Buy"/>
    <n v="90"/>
    <n v="0"/>
    <n v="67.3"/>
    <n v="6057"/>
    <s v="#202402143700008104"/>
    <n v="0"/>
    <n v="3.06"/>
    <n v="0"/>
    <n v="0.01"/>
    <n v="120"/>
    <n v="22.16"/>
    <n v="145.22999999999999"/>
    <n v="2024"/>
    <n v="2"/>
    <n v="2023"/>
    <n v="11"/>
    <n v="11"/>
    <x v="1"/>
    <x v="1"/>
    <n v="-6202.23"/>
    <x v="1"/>
    <n v="-6202.23"/>
  </r>
  <r>
    <x v="21"/>
    <s v="OPT-CNXBAN-14-Feb-2024-45000-P-E-I"/>
    <s v="NSE"/>
    <s v="Buy"/>
    <n v="15"/>
    <n v="0"/>
    <n v="108.2"/>
    <n v="1623"/>
    <s v="#202402143700007825"/>
    <n v="0"/>
    <n v="0.82"/>
    <n v="0"/>
    <n v="0"/>
    <n v="20"/>
    <n v="3.74"/>
    <n v="24.56"/>
    <n v="2024"/>
    <n v="2"/>
    <n v="2023"/>
    <n v="11"/>
    <n v="11"/>
    <x v="1"/>
    <x v="1"/>
    <n v="-1647.56"/>
    <x v="1"/>
    <n v="-1647.56"/>
  </r>
  <r>
    <x v="21"/>
    <s v="OPT-CNXBAN-14-Feb-2024-46000-C-E-I"/>
    <s v="NSE"/>
    <s v="Sell"/>
    <n v="105"/>
    <n v="0"/>
    <n v="5.75"/>
    <n v="603.75"/>
    <s v="#202402143700007602"/>
    <n v="0.38"/>
    <n v="0.3"/>
    <n v="0"/>
    <n v="0"/>
    <n v="140"/>
    <n v="25.26"/>
    <n v="165.94"/>
    <n v="2024"/>
    <n v="2"/>
    <n v="2023"/>
    <n v="11"/>
    <n v="11"/>
    <x v="1"/>
    <x v="1"/>
    <n v="437.81"/>
    <x v="70"/>
    <s v=""/>
  </r>
  <r>
    <x v="21"/>
    <s v="OPT-NIFTY-15-Feb-2024-21650-C-E-I"/>
    <s v="NSE"/>
    <s v="Sell"/>
    <n v="450"/>
    <n v="0"/>
    <n v="63"/>
    <n v="28350"/>
    <s v="#202402143700007219"/>
    <n v="17.78"/>
    <n v="14.32"/>
    <n v="0"/>
    <n v="0.03"/>
    <n v="180"/>
    <n v="34.979999999999997"/>
    <n v="247.11"/>
    <n v="2024"/>
    <n v="2"/>
    <n v="2023"/>
    <n v="11"/>
    <n v="11"/>
    <x v="1"/>
    <x v="1"/>
    <n v="28102.89"/>
    <x v="71"/>
    <s v=""/>
  </r>
  <r>
    <x v="21"/>
    <s v="OPT-NIFTY-15-Feb-2024-21650-C-E-I"/>
    <s v="NSE"/>
    <s v="Buy"/>
    <n v="400"/>
    <n v="0"/>
    <n v="53.8"/>
    <n v="21520"/>
    <s v="#202402143700003585"/>
    <n v="0"/>
    <n v="10.87"/>
    <n v="1.1399999999999999"/>
    <n v="0.02"/>
    <n v="160"/>
    <n v="30.76"/>
    <n v="202.79"/>
    <n v="2024"/>
    <n v="2"/>
    <n v="2023"/>
    <n v="11"/>
    <n v="11"/>
    <x v="1"/>
    <x v="1"/>
    <n v="-21722.79"/>
    <x v="1"/>
    <n v="-21722.79"/>
  </r>
  <r>
    <x v="21"/>
    <s v="OPT-NIFTY-15-Feb-2024-21650-C-E-I"/>
    <s v="NSE"/>
    <s v="Buy"/>
    <n v="50"/>
    <n v="0"/>
    <n v="51.75"/>
    <n v="2587.5"/>
    <s v="#202402143700003174"/>
    <n v="0"/>
    <n v="1.31"/>
    <n v="0"/>
    <n v="0"/>
    <n v="20"/>
    <n v="3.84"/>
    <n v="25.15"/>
    <n v="2024"/>
    <n v="2"/>
    <n v="2023"/>
    <n v="11"/>
    <n v="11"/>
    <x v="1"/>
    <x v="1"/>
    <n v="-2612.65"/>
    <x v="1"/>
    <n v="-2612.65"/>
  </r>
  <r>
    <x v="21"/>
    <s v="OPT-CNXBAN-14-Feb-2024-46000-C-E-I"/>
    <s v="NSE"/>
    <s v="Buy"/>
    <n v="15"/>
    <n v="0"/>
    <n v="9.5"/>
    <n v="142.5"/>
    <s v="#202402143700001092"/>
    <n v="0"/>
    <n v="7.0000000000000007E-2"/>
    <n v="0.03"/>
    <n v="0"/>
    <n v="20"/>
    <n v="3.62"/>
    <n v="23.72"/>
    <n v="2024"/>
    <n v="2"/>
    <n v="2023"/>
    <n v="11"/>
    <n v="11"/>
    <x v="1"/>
    <x v="1"/>
    <n v="-166.22"/>
    <x v="1"/>
    <n v="-166.22"/>
  </r>
  <r>
    <x v="21"/>
    <s v="OPT-CNXBAN-14-Feb-2024-46000-C-E-I"/>
    <s v="NSE"/>
    <s v="Buy"/>
    <n v="15"/>
    <n v="0"/>
    <n v="9.5"/>
    <n v="142.5"/>
    <s v="#202402143700001063"/>
    <n v="0"/>
    <n v="7.0000000000000007E-2"/>
    <n v="0"/>
    <n v="0"/>
    <n v="20"/>
    <n v="3.62"/>
    <n v="23.69"/>
    <n v="2024"/>
    <n v="2"/>
    <n v="2023"/>
    <n v="11"/>
    <n v="11"/>
    <x v="1"/>
    <x v="1"/>
    <n v="-166.19"/>
    <x v="1"/>
    <n v="-166.19"/>
  </r>
  <r>
    <x v="21"/>
    <s v="OPT-CNXBAN-14-Feb-2024-46000-C-E-I"/>
    <s v="NSE"/>
    <s v="Buy"/>
    <n v="15"/>
    <n v="0"/>
    <n v="9.1"/>
    <n v="136.5"/>
    <s v="#202402143700001047"/>
    <n v="0"/>
    <n v="7.0000000000000007E-2"/>
    <n v="0"/>
    <n v="0"/>
    <n v="20"/>
    <n v="3.62"/>
    <n v="23.69"/>
    <n v="2024"/>
    <n v="2"/>
    <n v="2023"/>
    <n v="11"/>
    <n v="11"/>
    <x v="1"/>
    <x v="1"/>
    <n v="-160.19"/>
    <x v="1"/>
    <n v="-160.19"/>
  </r>
  <r>
    <x v="21"/>
    <s v="OPT-CNXBAN-14-Feb-2024-46000-C-E-I"/>
    <s v="NSE"/>
    <s v="Buy"/>
    <n v="15"/>
    <n v="0"/>
    <n v="9.15"/>
    <n v="137.25"/>
    <s v="#202402143700001031"/>
    <n v="0"/>
    <n v="7.0000000000000007E-2"/>
    <n v="0"/>
    <n v="0"/>
    <n v="20"/>
    <n v="3.62"/>
    <n v="23.69"/>
    <n v="2024"/>
    <n v="2"/>
    <n v="2023"/>
    <n v="11"/>
    <n v="11"/>
    <x v="1"/>
    <x v="1"/>
    <n v="-160.94"/>
    <x v="1"/>
    <n v="-160.94"/>
  </r>
  <r>
    <x v="21"/>
    <s v="OPT-CNXBAN-14-Feb-2024-46000-C-E-I"/>
    <s v="NSE"/>
    <s v="Buy"/>
    <n v="15"/>
    <n v="0"/>
    <n v="8.9499999999999993"/>
    <n v="134.25"/>
    <s v="#202402143700001020"/>
    <n v="0"/>
    <n v="7.0000000000000007E-2"/>
    <n v="0"/>
    <n v="0"/>
    <n v="20"/>
    <n v="3.62"/>
    <n v="23.69"/>
    <n v="2024"/>
    <n v="2"/>
    <n v="2023"/>
    <n v="11"/>
    <n v="11"/>
    <x v="1"/>
    <x v="1"/>
    <n v="-157.94"/>
    <x v="1"/>
    <n v="-157.94"/>
  </r>
  <r>
    <x v="21"/>
    <s v="OPT-CNXBAN-14-Feb-2024-46000-C-E-I"/>
    <s v="NSE"/>
    <s v="Buy"/>
    <n v="15"/>
    <n v="0"/>
    <n v="8.75"/>
    <n v="131.25"/>
    <s v="#202402143700001015"/>
    <n v="0"/>
    <n v="7.0000000000000007E-2"/>
    <n v="0"/>
    <n v="0"/>
    <n v="20"/>
    <n v="3.62"/>
    <n v="23.69"/>
    <n v="2024"/>
    <n v="2"/>
    <n v="2023"/>
    <n v="11"/>
    <n v="11"/>
    <x v="1"/>
    <x v="1"/>
    <n v="-154.94"/>
    <x v="1"/>
    <n v="-154.94"/>
  </r>
  <r>
    <x v="21"/>
    <s v="OPT-CNXBAN-14-Feb-2024-46000-C-E-I"/>
    <s v="NSE"/>
    <s v="Buy"/>
    <n v="15"/>
    <n v="0"/>
    <n v="8.6"/>
    <n v="129"/>
    <s v="#202402143700000980"/>
    <n v="0"/>
    <n v="7.0000000000000007E-2"/>
    <n v="0"/>
    <n v="0"/>
    <n v="20"/>
    <n v="3.62"/>
    <n v="23.69"/>
    <n v="2024"/>
    <n v="2"/>
    <n v="2023"/>
    <n v="11"/>
    <n v="11"/>
    <x v="1"/>
    <x v="1"/>
    <n v="-152.69"/>
    <x v="1"/>
    <n v="-152.69"/>
  </r>
  <r>
    <x v="22"/>
    <s v="OPT-NIFTY-15-Feb-2024-21900-C-E-I"/>
    <s v="NSE"/>
    <s v="Sell"/>
    <n v="500"/>
    <n v="0"/>
    <n v="24"/>
    <n v="12000"/>
    <s v="#202402153700028195"/>
    <n v="8"/>
    <n v="6.06"/>
    <n v="0"/>
    <n v="0.01"/>
    <n v="200"/>
    <n v="37.08"/>
    <n v="251.15"/>
    <n v="2024"/>
    <n v="2"/>
    <n v="2023"/>
    <n v="11"/>
    <n v="11"/>
    <x v="1"/>
    <x v="1"/>
    <n v="11748.85"/>
    <x v="72"/>
    <s v=""/>
  </r>
  <r>
    <x v="22"/>
    <s v="OPT-NIFTY-15-Feb-2024-21900-C-E-I"/>
    <s v="NSE"/>
    <s v="Buy"/>
    <n v="500"/>
    <n v="0"/>
    <n v="14.95"/>
    <n v="7475"/>
    <s v="#202402153700027982"/>
    <n v="0"/>
    <n v="3.77"/>
    <n v="0"/>
    <n v="0.01"/>
    <n v="200"/>
    <n v="36.68"/>
    <n v="240.46"/>
    <n v="2024"/>
    <n v="2"/>
    <n v="2023"/>
    <n v="11"/>
    <n v="11"/>
    <x v="1"/>
    <x v="1"/>
    <n v="-7715.46"/>
    <x v="1"/>
    <n v="-7715.46"/>
  </r>
  <r>
    <x v="23"/>
    <s v="OPT-NIFFIN-20-Feb-2024-20550-C-E-I"/>
    <s v="NSE"/>
    <s v="Sell"/>
    <n v="240"/>
    <n v="0"/>
    <n v="125.05"/>
    <n v="30012"/>
    <s v="#202402193700010047"/>
    <n v="19.010000000000002"/>
    <n v="15.17"/>
    <n v="0"/>
    <n v="0.05"/>
    <n v="120"/>
    <n v="24.34"/>
    <n v="178.57"/>
    <n v="2024"/>
    <n v="2"/>
    <n v="2023"/>
    <n v="11"/>
    <n v="11"/>
    <x v="1"/>
    <x v="1"/>
    <n v="29833.43"/>
    <x v="73"/>
    <s v=""/>
  </r>
  <r>
    <x v="23"/>
    <s v="OPT-NIFFIN-20-Feb-2024-20550-C-E-I"/>
    <s v="NSE"/>
    <s v="Buy"/>
    <n v="240"/>
    <n v="0"/>
    <n v="99.95"/>
    <n v="23988"/>
    <s v="#202402193700008262"/>
    <n v="0"/>
    <n v="12.11"/>
    <n v="1"/>
    <n v="0.02"/>
    <n v="120"/>
    <n v="23.78"/>
    <n v="156.91"/>
    <n v="2024"/>
    <n v="2"/>
    <n v="2023"/>
    <n v="11"/>
    <n v="11"/>
    <x v="1"/>
    <x v="1"/>
    <n v="-24144.91"/>
    <x v="1"/>
    <n v="-24144.91"/>
  </r>
  <r>
    <x v="24"/>
    <s v="OPT-NIFFIN-20-Feb-2024-20500-P-E-I"/>
    <s v="NSE"/>
    <s v="Sell"/>
    <n v="1800"/>
    <n v="0"/>
    <n v="2.95"/>
    <n v="5310"/>
    <s v="#202402203700015322"/>
    <n v="3.44"/>
    <n v="2.68"/>
    <n v="0"/>
    <n v="0"/>
    <n v="900"/>
    <n v="162.52000000000001"/>
    <n v="1068.6400000000001"/>
    <n v="2024"/>
    <n v="2"/>
    <n v="2023"/>
    <n v="11"/>
    <n v="11"/>
    <x v="1"/>
    <x v="1"/>
    <n v="4241.3599999999997"/>
    <x v="74"/>
    <s v=""/>
  </r>
  <r>
    <x v="24"/>
    <s v="OPT-NIFFIN-20-Feb-2024-20500-P-E-I"/>
    <s v="NSE"/>
    <s v="Sell"/>
    <n v="1800"/>
    <n v="0"/>
    <n v="2.95"/>
    <n v="5310"/>
    <s v="#202402203700015296"/>
    <n v="3.32"/>
    <n v="2.69"/>
    <n v="0"/>
    <n v="0"/>
    <n v="900"/>
    <n v="162.47999999999999"/>
    <n v="1068.49"/>
    <n v="2024"/>
    <n v="2"/>
    <n v="2023"/>
    <n v="11"/>
    <n v="11"/>
    <x v="1"/>
    <x v="1"/>
    <n v="4241.51"/>
    <x v="75"/>
    <s v=""/>
  </r>
  <r>
    <x v="24"/>
    <s v="OPT-NIFFIN-20-Feb-2024-20500-P-E-I"/>
    <s v="NSE"/>
    <s v="Buy"/>
    <n v="1800"/>
    <n v="0"/>
    <n v="5.0999999999999996"/>
    <n v="9180"/>
    <s v="#202402203700013783"/>
    <n v="0"/>
    <n v="4.63"/>
    <n v="1.3"/>
    <n v="0"/>
    <n v="900"/>
    <n v="162.82"/>
    <n v="1068.75"/>
    <n v="2024"/>
    <n v="2"/>
    <n v="2023"/>
    <n v="11"/>
    <n v="11"/>
    <x v="1"/>
    <x v="1"/>
    <n v="-10248.75"/>
    <x v="1"/>
    <n v="-10248.75"/>
  </r>
  <r>
    <x v="24"/>
    <s v="OPT-NIFFIN-20-Feb-2024-20500-P-E-I"/>
    <s v="NSE"/>
    <s v="Buy"/>
    <n v="1800"/>
    <n v="0"/>
    <n v="6.1"/>
    <n v="10980"/>
    <s v="#202402203700013737"/>
    <n v="0"/>
    <n v="5.54"/>
    <n v="0"/>
    <n v="0.01"/>
    <n v="900"/>
    <n v="162.97999999999999"/>
    <n v="1068.53"/>
    <n v="2024"/>
    <n v="2"/>
    <n v="2023"/>
    <n v="11"/>
    <n v="11"/>
    <x v="1"/>
    <x v="1"/>
    <n v="-12048.53"/>
    <x v="1"/>
    <n v="-12048.53"/>
  </r>
  <r>
    <x v="24"/>
    <s v="OPT-RBLBAN-29-Feb-2024-270-C-E-S"/>
    <s v="NSE"/>
    <s v="Sell"/>
    <n v="2500"/>
    <n v="0"/>
    <n v="9.3000000000000007"/>
    <n v="23250"/>
    <s v="#202402203700012677"/>
    <n v="14.53"/>
    <n v="11.74"/>
    <n v="0"/>
    <n v="0.02"/>
    <n v="20"/>
    <n v="5.72"/>
    <n v="52.01"/>
    <n v="2024"/>
    <n v="2"/>
    <n v="2023"/>
    <n v="11"/>
    <n v="11"/>
    <x v="1"/>
    <x v="1"/>
    <n v="23197.99"/>
    <x v="76"/>
    <s v=""/>
  </r>
  <r>
    <x v="24"/>
    <s v="OPT-RBLBAN-29-Feb-2024-270-C-E-S"/>
    <s v="NSE"/>
    <s v="Buy"/>
    <n v="2500"/>
    <n v="0"/>
    <n v="9.35"/>
    <n v="23375"/>
    <s v="#202402203700012423"/>
    <n v="0"/>
    <n v="11.8"/>
    <n v="0.7"/>
    <n v="0.02"/>
    <n v="20"/>
    <n v="5.72"/>
    <n v="38.24"/>
    <n v="2024"/>
    <n v="2"/>
    <n v="2023"/>
    <n v="11"/>
    <n v="11"/>
    <x v="1"/>
    <x v="1"/>
    <n v="-23413.24"/>
    <x v="1"/>
    <n v="-23413.24"/>
  </r>
  <r>
    <x v="24"/>
    <s v="OPT-NIFFIN-20-Feb-2024-20500-P-E-I"/>
    <s v="NSE"/>
    <s v="Sell"/>
    <n v="1040"/>
    <n v="0"/>
    <n v="4.1500000000000004"/>
    <n v="4316"/>
    <s v="#202402203700011941"/>
    <n v="2.7"/>
    <n v="2.1800000000000002"/>
    <n v="0"/>
    <n v="0"/>
    <n v="520"/>
    <n v="93.98"/>
    <n v="618.86"/>
    <n v="2024"/>
    <n v="2"/>
    <n v="2023"/>
    <n v="11"/>
    <n v="11"/>
    <x v="1"/>
    <x v="1"/>
    <n v="3697.14"/>
    <x v="77"/>
    <s v=""/>
  </r>
  <r>
    <x v="24"/>
    <s v="OPT-NIFFIN-20-Feb-2024-20500-P-E-I"/>
    <s v="NSE"/>
    <s v="Buy"/>
    <n v="520"/>
    <n v="0"/>
    <n v="7.5"/>
    <n v="3900"/>
    <s v="#202402203700011029"/>
    <n v="0"/>
    <n v="1.97"/>
    <n v="0"/>
    <n v="0"/>
    <n v="260"/>
    <n v="47.14"/>
    <n v="309.11"/>
    <n v="2024"/>
    <n v="2"/>
    <n v="2023"/>
    <n v="11"/>
    <n v="11"/>
    <x v="1"/>
    <x v="1"/>
    <n v="-4209.1099999999997"/>
    <x v="1"/>
    <n v="-4209.1099999999997"/>
  </r>
  <r>
    <x v="24"/>
    <s v="OPT-NIFFIN-20-Feb-2024-20500-P-E-I"/>
    <s v="NSE"/>
    <s v="Buy"/>
    <n v="40"/>
    <n v="0"/>
    <n v="9.5500000000000007"/>
    <n v="382"/>
    <s v="#202402203700008469"/>
    <n v="0"/>
    <n v="0.19"/>
    <n v="0"/>
    <n v="0"/>
    <n v="20"/>
    <n v="3.64"/>
    <n v="23.83"/>
    <n v="2024"/>
    <n v="2"/>
    <n v="2023"/>
    <n v="11"/>
    <n v="11"/>
    <x v="1"/>
    <x v="1"/>
    <n v="-405.83"/>
    <x v="1"/>
    <n v="-405.83"/>
  </r>
  <r>
    <x v="24"/>
    <s v="OPT-NIFFIN-20-Feb-2024-20500-P-E-I"/>
    <s v="NSE"/>
    <s v="Buy"/>
    <n v="40"/>
    <n v="0"/>
    <n v="9.65"/>
    <n v="386"/>
    <s v="#202402203700008463"/>
    <n v="0"/>
    <n v="0.19"/>
    <n v="0"/>
    <n v="0"/>
    <n v="20"/>
    <n v="3.64"/>
    <n v="23.83"/>
    <n v="2024"/>
    <n v="2"/>
    <n v="2023"/>
    <n v="11"/>
    <n v="11"/>
    <x v="1"/>
    <x v="1"/>
    <n v="-409.83"/>
    <x v="1"/>
    <n v="-409.83"/>
  </r>
  <r>
    <x v="24"/>
    <s v="OPT-NIFFIN-20-Feb-2024-20500-P-E-I"/>
    <s v="NSE"/>
    <s v="Buy"/>
    <n v="40"/>
    <n v="0"/>
    <n v="9.65"/>
    <n v="386"/>
    <s v="#202402203700008451"/>
    <n v="0"/>
    <n v="0.19"/>
    <n v="0"/>
    <n v="0"/>
    <n v="20"/>
    <n v="3.64"/>
    <n v="23.83"/>
    <n v="2024"/>
    <n v="2"/>
    <n v="2023"/>
    <n v="11"/>
    <n v="11"/>
    <x v="1"/>
    <x v="1"/>
    <n v="-409.83"/>
    <x v="1"/>
    <n v="-409.83"/>
  </r>
  <r>
    <x v="24"/>
    <s v="OPT-NIFFIN-20-Feb-2024-20500-P-E-I"/>
    <s v="NSE"/>
    <s v="Buy"/>
    <n v="40"/>
    <n v="0"/>
    <n v="9.75"/>
    <n v="390"/>
    <s v="#202402203700008395"/>
    <n v="0"/>
    <n v="0.2"/>
    <n v="0"/>
    <n v="0"/>
    <n v="20"/>
    <n v="3.64"/>
    <n v="23.84"/>
    <n v="2024"/>
    <n v="2"/>
    <n v="2023"/>
    <n v="11"/>
    <n v="11"/>
    <x v="1"/>
    <x v="1"/>
    <n v="-413.84"/>
    <x v="1"/>
    <n v="-413.84"/>
  </r>
  <r>
    <x v="24"/>
    <s v="OPT-NIFFIN-20-Feb-2024-20500-P-E-I"/>
    <s v="NSE"/>
    <s v="Buy"/>
    <n v="40"/>
    <n v="0"/>
    <n v="9.9"/>
    <n v="396"/>
    <s v="#202402203700008188"/>
    <n v="0"/>
    <n v="0.2"/>
    <n v="0"/>
    <n v="0"/>
    <n v="20"/>
    <n v="3.64"/>
    <n v="23.84"/>
    <n v="2024"/>
    <n v="2"/>
    <n v="2023"/>
    <n v="11"/>
    <n v="11"/>
    <x v="1"/>
    <x v="1"/>
    <n v="-419.84"/>
    <x v="1"/>
    <n v="-419.84"/>
  </r>
  <r>
    <x v="24"/>
    <s v="OPT-NIFFIN-20-Feb-2024-20500-P-E-I"/>
    <s v="NSE"/>
    <s v="Buy"/>
    <n v="40"/>
    <n v="0"/>
    <n v="9.9"/>
    <n v="396"/>
    <s v="#202402203700008177"/>
    <n v="0"/>
    <n v="0.2"/>
    <n v="0"/>
    <n v="0"/>
    <n v="20"/>
    <n v="3.64"/>
    <n v="23.84"/>
    <n v="2024"/>
    <n v="2"/>
    <n v="2023"/>
    <n v="11"/>
    <n v="11"/>
    <x v="1"/>
    <x v="1"/>
    <n v="-419.84"/>
    <x v="1"/>
    <n v="-419.84"/>
  </r>
  <r>
    <x v="24"/>
    <s v="OPT-NIFFIN-20-Feb-2024-20500-P-E-I"/>
    <s v="NSE"/>
    <s v="Buy"/>
    <n v="40"/>
    <n v="0"/>
    <n v="10"/>
    <n v="400"/>
    <s v="#202402203700008170"/>
    <n v="0"/>
    <n v="0.2"/>
    <n v="0"/>
    <n v="0"/>
    <n v="20"/>
    <n v="3.64"/>
    <n v="23.84"/>
    <n v="2024"/>
    <n v="2"/>
    <n v="2023"/>
    <n v="11"/>
    <n v="11"/>
    <x v="1"/>
    <x v="1"/>
    <n v="-423.84"/>
    <x v="1"/>
    <n v="-423.84"/>
  </r>
  <r>
    <x v="24"/>
    <s v="OPT-NIFFIN-20-Feb-2024-20500-P-E-I"/>
    <s v="NSE"/>
    <s v="Buy"/>
    <n v="40"/>
    <n v="0"/>
    <n v="9.15"/>
    <n v="366"/>
    <s v="#202402203700007642"/>
    <n v="0"/>
    <n v="0.18"/>
    <n v="0"/>
    <n v="0"/>
    <n v="20"/>
    <n v="3.64"/>
    <n v="23.82"/>
    <n v="2024"/>
    <n v="2"/>
    <n v="2023"/>
    <n v="11"/>
    <n v="11"/>
    <x v="1"/>
    <x v="1"/>
    <n v="-389.82"/>
    <x v="1"/>
    <n v="-389.82"/>
  </r>
  <r>
    <x v="24"/>
    <s v="OPT-NIFFIN-20-Feb-2024-20500-P-E-I"/>
    <s v="NSE"/>
    <s v="Buy"/>
    <n v="40"/>
    <n v="0"/>
    <n v="9.0500000000000007"/>
    <n v="362"/>
    <s v="#202402203700007418"/>
    <n v="0"/>
    <n v="0.18"/>
    <n v="0"/>
    <n v="0"/>
    <n v="20"/>
    <n v="3.64"/>
    <n v="23.82"/>
    <n v="2024"/>
    <n v="2"/>
    <n v="2023"/>
    <n v="11"/>
    <n v="11"/>
    <x v="1"/>
    <x v="1"/>
    <n v="-385.82"/>
    <x v="1"/>
    <n v="-385.82"/>
  </r>
  <r>
    <x v="24"/>
    <s v="OPT-NIFFIN-20-Feb-2024-20500-P-E-I"/>
    <s v="NSE"/>
    <s v="Buy"/>
    <n v="40"/>
    <n v="0"/>
    <n v="12.6"/>
    <n v="504"/>
    <s v="#202402203700007160"/>
    <n v="0"/>
    <n v="0.25"/>
    <n v="0"/>
    <n v="0"/>
    <n v="20"/>
    <n v="3.64"/>
    <n v="23.89"/>
    <n v="2024"/>
    <n v="2"/>
    <n v="2023"/>
    <n v="11"/>
    <n v="11"/>
    <x v="1"/>
    <x v="1"/>
    <n v="-527.89"/>
    <x v="1"/>
    <n v="-527.89"/>
  </r>
  <r>
    <x v="24"/>
    <s v="OPT-NIFFIN-20-Feb-2024-20500-P-E-I"/>
    <s v="NSE"/>
    <s v="Buy"/>
    <n v="40"/>
    <n v="0"/>
    <n v="12.55"/>
    <n v="502"/>
    <s v="#202402203700006913"/>
    <n v="0"/>
    <n v="0.25"/>
    <n v="0"/>
    <n v="0"/>
    <n v="20"/>
    <n v="3.64"/>
    <n v="23.89"/>
    <n v="2024"/>
    <n v="2"/>
    <n v="2023"/>
    <n v="11"/>
    <n v="11"/>
    <x v="1"/>
    <x v="1"/>
    <n v="-525.89"/>
    <x v="1"/>
    <n v="-525.89"/>
  </r>
  <r>
    <x v="24"/>
    <s v="OPT-NIFFIN-20-Feb-2024-20500-P-E-I"/>
    <s v="NSE"/>
    <s v="Buy"/>
    <n v="40"/>
    <n v="0"/>
    <n v="14.4"/>
    <n v="576"/>
    <s v="#202402203700006778"/>
    <n v="0"/>
    <n v="0.28999999999999998"/>
    <n v="0"/>
    <n v="0"/>
    <n v="20"/>
    <n v="3.66"/>
    <n v="23.95"/>
    <n v="2024"/>
    <n v="2"/>
    <n v="2023"/>
    <n v="11"/>
    <n v="11"/>
    <x v="1"/>
    <x v="1"/>
    <n v="-599.95000000000005"/>
    <x v="1"/>
    <n v="-599.95000000000005"/>
  </r>
  <r>
    <x v="24"/>
    <s v="OPT-NIFFIN-20-Feb-2024-20500-P-E-I"/>
    <s v="NSE"/>
    <s v="Buy"/>
    <n v="40"/>
    <n v="0"/>
    <n v="30"/>
    <n v="1200"/>
    <s v="#202402203700004937"/>
    <n v="0"/>
    <n v="0.61"/>
    <n v="0"/>
    <n v="0"/>
    <n v="20"/>
    <n v="3.7"/>
    <n v="24.31"/>
    <n v="2024"/>
    <n v="2"/>
    <n v="2023"/>
    <n v="11"/>
    <n v="11"/>
    <x v="1"/>
    <x v="1"/>
    <n v="-1224.31"/>
    <x v="1"/>
    <n v="-1224.31"/>
  </r>
  <r>
    <x v="25"/>
    <s v="OPT-CNXBAN-21-Feb-2024-47200-C-E-I"/>
    <s v="NSE"/>
    <s v="Sell"/>
    <n v="120"/>
    <n v="0"/>
    <n v="78.55"/>
    <n v="9426"/>
    <s v="#202402213700020089"/>
    <n v="5.9"/>
    <n v="4.7699999999999996"/>
    <n v="0"/>
    <n v="0"/>
    <n v="160"/>
    <n v="29.64"/>
    <n v="200.31"/>
    <n v="2024"/>
    <n v="2"/>
    <n v="2023"/>
    <n v="11"/>
    <n v="11"/>
    <x v="1"/>
    <x v="1"/>
    <n v="9225.69"/>
    <x v="78"/>
    <s v=""/>
  </r>
  <r>
    <x v="25"/>
    <s v="OPT-CNXBAN-21-Feb-2024-47200-C-E-I"/>
    <s v="NSE"/>
    <s v="Buy"/>
    <n v="120"/>
    <n v="0"/>
    <n v="68.3"/>
    <n v="8196"/>
    <s v="#202402213700018547"/>
    <n v="0"/>
    <n v="4.1399999999999997"/>
    <n v="0.25"/>
    <n v="0.01"/>
    <n v="160"/>
    <n v="29.54"/>
    <n v="193.94"/>
    <n v="2024"/>
    <n v="2"/>
    <n v="2023"/>
    <n v="11"/>
    <n v="11"/>
    <x v="1"/>
    <x v="1"/>
    <n v="-8389.94"/>
    <x v="1"/>
    <n v="-8389.94"/>
  </r>
  <r>
    <x v="25"/>
    <s v="OPT-CNXBAN-21-Feb-2024-47000-P-E-I"/>
    <s v="NSE"/>
    <s v="Sell"/>
    <n v="105"/>
    <n v="0"/>
    <n v="35.9"/>
    <n v="3769.5"/>
    <s v="#202402213700018507"/>
    <n v="2.36"/>
    <n v="1.9"/>
    <n v="0"/>
    <n v="0"/>
    <n v="140"/>
    <n v="25.54"/>
    <n v="169.8"/>
    <n v="2024"/>
    <n v="2"/>
    <n v="2023"/>
    <n v="11"/>
    <n v="11"/>
    <x v="1"/>
    <x v="1"/>
    <n v="3599.7"/>
    <x v="79"/>
    <s v=""/>
  </r>
  <r>
    <x v="25"/>
    <s v="OPT-CNXBAN-21-Feb-2024-47000-P-E-I"/>
    <s v="NSE"/>
    <s v="Buy"/>
    <n v="105"/>
    <n v="0"/>
    <n v="135.15"/>
    <n v="14190.75"/>
    <s v="#202402213700012658"/>
    <n v="0"/>
    <n v="7.17"/>
    <n v="0.75"/>
    <n v="0.01"/>
    <n v="140"/>
    <n v="26.48"/>
    <n v="174.41"/>
    <n v="2024"/>
    <n v="2"/>
    <n v="2023"/>
    <n v="11"/>
    <n v="11"/>
    <x v="1"/>
    <x v="1"/>
    <n v="-14365.16"/>
    <x v="1"/>
    <n v="-14365.16"/>
  </r>
  <r>
    <x v="25"/>
    <s v="OPT-CNXBAN-21-Feb-2024-47000-P-E-I"/>
    <s v="NSE"/>
    <s v="Sell"/>
    <n v="105"/>
    <n v="0"/>
    <n v="130"/>
    <n v="13650"/>
    <s v="#202402213700012075"/>
    <n v="8.75"/>
    <n v="6.89"/>
    <n v="0"/>
    <n v="0.01"/>
    <n v="140"/>
    <n v="26.44"/>
    <n v="182.09"/>
    <n v="2024"/>
    <n v="2"/>
    <n v="2023"/>
    <n v="11"/>
    <n v="11"/>
    <x v="1"/>
    <x v="1"/>
    <n v="13467.91"/>
    <x v="80"/>
    <s v=""/>
  </r>
  <r>
    <x v="25"/>
    <s v="OPT-CNXBAN-21-Feb-2024-47000-P-E-I"/>
    <s v="NSE"/>
    <s v="Buy"/>
    <n v="45"/>
    <n v="0"/>
    <n v="51.45"/>
    <n v="2315.25"/>
    <s v="#202402213700005424"/>
    <n v="0"/>
    <n v="1.17"/>
    <n v="0"/>
    <n v="0"/>
    <n v="60"/>
    <n v="11.02"/>
    <n v="72.19"/>
    <n v="2024"/>
    <n v="2"/>
    <n v="2023"/>
    <n v="11"/>
    <n v="11"/>
    <x v="1"/>
    <x v="1"/>
    <n v="-2387.44"/>
    <x v="1"/>
    <n v="-2387.44"/>
  </r>
  <r>
    <x v="25"/>
    <s v="OPT-CNXBAN-21-Feb-2024-47000-P-E-I"/>
    <s v="NSE"/>
    <s v="Buy"/>
    <n v="45"/>
    <n v="0"/>
    <n v="69.849999999999994"/>
    <n v="3143.25"/>
    <s v="#202402213700004280"/>
    <n v="0"/>
    <n v="1.59"/>
    <n v="0"/>
    <n v="0"/>
    <n v="60"/>
    <n v="11.1"/>
    <n v="72.69"/>
    <n v="2024"/>
    <n v="2"/>
    <n v="2023"/>
    <n v="11"/>
    <n v="11"/>
    <x v="1"/>
    <x v="1"/>
    <n v="-3215.94"/>
    <x v="1"/>
    <n v="-3215.94"/>
  </r>
  <r>
    <x v="25"/>
    <s v="OPT-CNXBAN-21-Feb-2024-47000-P-E-I"/>
    <s v="NSE"/>
    <s v="Buy"/>
    <n v="15"/>
    <n v="0"/>
    <n v="122.3"/>
    <n v="1834.5"/>
    <s v="#202402213700002257"/>
    <n v="0"/>
    <n v="0.93"/>
    <n v="0"/>
    <n v="0"/>
    <n v="20"/>
    <n v="3.76"/>
    <n v="24.69"/>
    <n v="2024"/>
    <n v="2"/>
    <n v="2023"/>
    <n v="11"/>
    <n v="11"/>
    <x v="1"/>
    <x v="1"/>
    <n v="-1859.19"/>
    <x v="1"/>
    <n v="-1859.19"/>
  </r>
  <r>
    <x v="26"/>
    <s v="OPT-NIFTY-22-Feb-2024-21900-P-E-I"/>
    <s v="NSE"/>
    <s v="Sell"/>
    <n v="250"/>
    <n v="0"/>
    <n v="10"/>
    <n v="2500"/>
    <s v="#202402223700017940"/>
    <n v="1.56"/>
    <n v="1.26"/>
    <n v="0"/>
    <n v="0"/>
    <n v="100"/>
    <n v="18.22"/>
    <n v="121.04"/>
    <n v="2024"/>
    <n v="2"/>
    <n v="2023"/>
    <n v="11"/>
    <n v="11"/>
    <x v="1"/>
    <x v="1"/>
    <n v="2378.96"/>
    <x v="81"/>
    <s v=""/>
  </r>
  <r>
    <x v="26"/>
    <s v="OPT-NIFTY-22-Feb-2024-21900-P-E-I"/>
    <s v="NSE"/>
    <s v="Buy"/>
    <n v="50"/>
    <n v="0"/>
    <n v="21.65"/>
    <n v="1082.5"/>
    <s v="#202402223700016314"/>
    <n v="0"/>
    <n v="0.55000000000000004"/>
    <n v="0"/>
    <n v="0"/>
    <n v="20"/>
    <n v="3.7"/>
    <n v="24.25"/>
    <n v="2024"/>
    <n v="2"/>
    <n v="2023"/>
    <n v="11"/>
    <n v="11"/>
    <x v="1"/>
    <x v="1"/>
    <n v="-1106.75"/>
    <x v="1"/>
    <n v="-1106.75"/>
  </r>
  <r>
    <x v="26"/>
    <s v="OPT-NIFTY-22-Feb-2024-21900-P-E-I"/>
    <s v="NSE"/>
    <s v="Buy"/>
    <n v="50"/>
    <n v="0"/>
    <n v="30"/>
    <n v="1500"/>
    <s v="#202402223700015316"/>
    <n v="0"/>
    <n v="0.76"/>
    <n v="0"/>
    <n v="0"/>
    <n v="20"/>
    <n v="3.74"/>
    <n v="24.5"/>
    <n v="2024"/>
    <n v="2"/>
    <n v="2023"/>
    <n v="11"/>
    <n v="11"/>
    <x v="1"/>
    <x v="1"/>
    <n v="-1524.5"/>
    <x v="1"/>
    <n v="-1524.5"/>
  </r>
  <r>
    <x v="26"/>
    <s v="OPT-NIFTY-22-Feb-2024-21900-P-E-I"/>
    <s v="NSE"/>
    <s v="Buy"/>
    <n v="50"/>
    <n v="0"/>
    <n v="26.4"/>
    <n v="1320"/>
    <s v="#202402223700014837"/>
    <n v="0"/>
    <n v="0.67"/>
    <n v="0"/>
    <n v="0"/>
    <n v="20"/>
    <n v="3.72"/>
    <n v="24.39"/>
    <n v="2024"/>
    <n v="2"/>
    <n v="2023"/>
    <n v="11"/>
    <n v="11"/>
    <x v="1"/>
    <x v="1"/>
    <n v="-1344.39"/>
    <x v="1"/>
    <n v="-1344.39"/>
  </r>
  <r>
    <x v="26"/>
    <s v="OPT-NIFTY-22-Feb-2024-21900-P-E-I"/>
    <s v="NSE"/>
    <s v="Buy"/>
    <n v="50"/>
    <n v="0"/>
    <n v="40"/>
    <n v="2000"/>
    <s v="#202402223700014598"/>
    <n v="0"/>
    <n v="1.01"/>
    <n v="0"/>
    <n v="0"/>
    <n v="20"/>
    <n v="3.78"/>
    <n v="24.79"/>
    <n v="2024"/>
    <n v="2"/>
    <n v="2023"/>
    <n v="11"/>
    <n v="11"/>
    <x v="1"/>
    <x v="1"/>
    <n v="-2024.79"/>
    <x v="1"/>
    <n v="-2024.79"/>
  </r>
  <r>
    <x v="26"/>
    <s v="OPT-NIFTY-22-Feb-2024-21900-P-E-I"/>
    <s v="NSE"/>
    <s v="Buy"/>
    <n v="50"/>
    <n v="0"/>
    <n v="49.5"/>
    <n v="2475"/>
    <s v="#202402223700014129"/>
    <n v="0"/>
    <n v="1.25"/>
    <n v="0"/>
    <n v="0"/>
    <n v="20"/>
    <n v="3.82"/>
    <n v="25.07"/>
    <n v="2024"/>
    <n v="2"/>
    <n v="2023"/>
    <n v="11"/>
    <n v="11"/>
    <x v="1"/>
    <x v="1"/>
    <n v="-2500.0700000000002"/>
    <x v="1"/>
    <n v="-2500.0700000000002"/>
  </r>
  <r>
    <x v="26"/>
    <s v="OPT-NIFTY-22-Feb-2024-22000-P-E-I"/>
    <s v="NSE"/>
    <s v="Sell"/>
    <n v="50"/>
    <n v="0"/>
    <n v="160.05000000000001"/>
    <n v="8002.5"/>
    <s v="#202402223700008533"/>
    <n v="5.44"/>
    <n v="4.04"/>
    <n v="0"/>
    <n v="0.01"/>
    <n v="20"/>
    <n v="4.32"/>
    <n v="33.81"/>
    <n v="2024"/>
    <n v="2"/>
    <n v="2023"/>
    <n v="11"/>
    <n v="11"/>
    <x v="1"/>
    <x v="1"/>
    <n v="7968.69"/>
    <x v="82"/>
    <s v=""/>
  </r>
  <r>
    <x v="26"/>
    <s v="OPT-NIFTY-22-Feb-2024-22000-P-E-I"/>
    <s v="NSE"/>
    <s v="Buy"/>
    <n v="50"/>
    <n v="0"/>
    <n v="136.05000000000001"/>
    <n v="6802.5"/>
    <s v="#202402223700007266"/>
    <n v="0"/>
    <n v="3.44"/>
    <n v="0"/>
    <n v="0.01"/>
    <n v="20"/>
    <n v="4.22"/>
    <n v="27.67"/>
    <n v="2024"/>
    <n v="2"/>
    <n v="2023"/>
    <n v="11"/>
    <n v="11"/>
    <x v="1"/>
    <x v="1"/>
    <n v="-6830.17"/>
    <x v="1"/>
    <n v="-6830.17"/>
  </r>
  <r>
    <x v="27"/>
    <s v="OPT-NIFFIN-27-Feb-2024-20650-P-E-I"/>
    <s v="NSE"/>
    <s v="Sell"/>
    <n v="120"/>
    <n v="0"/>
    <n v="99"/>
    <n v="11880"/>
    <s v="#202402233700022232"/>
    <n v="6.96"/>
    <n v="6"/>
    <n v="0"/>
    <n v="0.01"/>
    <n v="60"/>
    <n v="11.88"/>
    <n v="84.85"/>
    <n v="2024"/>
    <n v="2"/>
    <n v="2023"/>
    <n v="11"/>
    <n v="11"/>
    <x v="1"/>
    <x v="1"/>
    <n v="11795.15"/>
    <x v="83"/>
    <s v=""/>
  </r>
  <r>
    <x v="27"/>
    <s v="OPT-NIFTY-29-Feb-2024-22300-C-E-I"/>
    <s v="NSE"/>
    <s v="Buy"/>
    <n v="100"/>
    <n v="0"/>
    <n v="147.75"/>
    <n v="14775"/>
    <s v="#202402233700013561"/>
    <n v="0"/>
    <n v="7.46"/>
    <n v="0.67"/>
    <n v="0.01"/>
    <n v="40"/>
    <n v="8.5399999999999991"/>
    <n v="56.68"/>
    <n v="2024"/>
    <n v="2"/>
    <n v="2023"/>
    <n v="11"/>
    <n v="11"/>
    <x v="1"/>
    <x v="1"/>
    <n v="-14831.68"/>
    <x v="1"/>
    <n v="-14831.68"/>
  </r>
  <r>
    <x v="27"/>
    <s v="OPT-NIFTY-29-Feb-2024-22300-C-E-I"/>
    <s v="NSE"/>
    <s v="Buy"/>
    <n v="50"/>
    <n v="0"/>
    <n v="147.94999999999999"/>
    <n v="7397.5"/>
    <s v="#202402233700011703"/>
    <n v="0"/>
    <n v="3.74"/>
    <n v="0"/>
    <n v="0.01"/>
    <n v="20"/>
    <n v="4.28"/>
    <n v="28.03"/>
    <n v="2024"/>
    <n v="2"/>
    <n v="2023"/>
    <n v="11"/>
    <n v="11"/>
    <x v="1"/>
    <x v="1"/>
    <n v="-7425.53"/>
    <x v="1"/>
    <n v="-7425.53"/>
  </r>
  <r>
    <x v="27"/>
    <s v="OPT-NIFFIN-27-Feb-2024-20650-P-E-I"/>
    <s v="NSE"/>
    <s v="Buy"/>
    <n v="40"/>
    <n v="0"/>
    <n v="72.900000000000006"/>
    <n v="2916"/>
    <s v="#202402233700009985"/>
    <n v="0"/>
    <n v="1.47"/>
    <n v="0"/>
    <n v="0"/>
    <n v="20"/>
    <n v="3.86"/>
    <n v="25.33"/>
    <n v="2024"/>
    <n v="2"/>
    <n v="2023"/>
    <n v="11"/>
    <n v="11"/>
    <x v="1"/>
    <x v="1"/>
    <n v="-2941.33"/>
    <x v="1"/>
    <n v="-2941.33"/>
  </r>
  <r>
    <x v="27"/>
    <s v="OPT-NIFFIN-27-Feb-2024-20650-P-E-I"/>
    <s v="NSE"/>
    <s v="Buy"/>
    <n v="40"/>
    <n v="0"/>
    <n v="92.1"/>
    <n v="3684"/>
    <s v="#202402233700008998"/>
    <n v="0"/>
    <n v="1.86"/>
    <n v="0"/>
    <n v="0"/>
    <n v="20"/>
    <n v="3.94"/>
    <n v="25.8"/>
    <n v="2024"/>
    <n v="2"/>
    <n v="2023"/>
    <n v="11"/>
    <n v="11"/>
    <x v="1"/>
    <x v="1"/>
    <n v="-3709.8"/>
    <x v="1"/>
    <n v="-3709.8"/>
  </r>
  <r>
    <x v="27"/>
    <s v="OPT-NIFFIN-27-Feb-2024-20650-P-E-I"/>
    <s v="NSE"/>
    <s v="Buy"/>
    <n v="40"/>
    <n v="0"/>
    <n v="98.75"/>
    <n v="3950"/>
    <s v="#202402233700008153"/>
    <n v="0"/>
    <n v="1.99"/>
    <n v="0.32"/>
    <n v="0"/>
    <n v="20"/>
    <n v="3.96"/>
    <n v="26.27"/>
    <n v="2024"/>
    <n v="2"/>
    <n v="2023"/>
    <n v="11"/>
    <n v="11"/>
    <x v="1"/>
    <x v="1"/>
    <n v="-3976.27"/>
    <x v="1"/>
    <n v="-3976.27"/>
  </r>
  <r>
    <x v="27"/>
    <s v="OPT-NIFTY-29-Feb-2024-22200-P-E-I"/>
    <s v="NSE"/>
    <s v="Sell"/>
    <n v="250"/>
    <n v="0"/>
    <n v="134.65"/>
    <n v="33662.5"/>
    <s v="#202402233700007069"/>
    <n v="21.04"/>
    <n v="17"/>
    <n v="0"/>
    <n v="0.03"/>
    <n v="100"/>
    <n v="21.06"/>
    <n v="159.13"/>
    <n v="2024"/>
    <n v="2"/>
    <n v="2023"/>
    <n v="11"/>
    <n v="11"/>
    <x v="1"/>
    <x v="1"/>
    <n v="33503.370000000003"/>
    <x v="84"/>
    <s v=""/>
  </r>
  <r>
    <x v="27"/>
    <s v="OPT-NIFTY-29-Feb-2024-22200-P-E-I"/>
    <s v="NSE"/>
    <s v="Buy"/>
    <n v="200"/>
    <n v="0"/>
    <n v="129.25"/>
    <n v="25850"/>
    <s v="#202402233700003825"/>
    <n v="0"/>
    <n v="13.05"/>
    <n v="1.01"/>
    <n v="0.03"/>
    <n v="80"/>
    <n v="16.760000000000002"/>
    <n v="110.85"/>
    <n v="2024"/>
    <n v="2"/>
    <n v="2023"/>
    <n v="11"/>
    <n v="11"/>
    <x v="1"/>
    <x v="1"/>
    <n v="-25960.85"/>
    <x v="1"/>
    <n v="-25960.85"/>
  </r>
  <r>
    <x v="27"/>
    <s v="OPT-NIFTY-29-Feb-2024-22200-P-E-I"/>
    <s v="NSE"/>
    <s v="Buy"/>
    <n v="50"/>
    <n v="0"/>
    <n v="130.85"/>
    <n v="6542.5"/>
    <s v="#202402233700002965"/>
    <n v="0"/>
    <n v="3.3"/>
    <n v="0"/>
    <n v="0.01"/>
    <n v="20"/>
    <n v="4.2"/>
    <n v="27.51"/>
    <n v="2024"/>
    <n v="2"/>
    <n v="2023"/>
    <n v="11"/>
    <n v="11"/>
    <x v="1"/>
    <x v="1"/>
    <n v="-6570.01"/>
    <x v="1"/>
    <n v="-6570.01"/>
  </r>
  <r>
    <x v="28"/>
    <s v="OPT-NIFTY-29-Feb-2024-22300-C-E-I"/>
    <s v="NSE"/>
    <s v="Sell"/>
    <n v="150"/>
    <n v="0"/>
    <n v="74.099999999999994"/>
    <n v="11115"/>
    <s v="#202402263700007254"/>
    <n v="6.95"/>
    <n v="5.61"/>
    <n v="0"/>
    <n v="0.01"/>
    <n v="60"/>
    <n v="11.82"/>
    <n v="84.39"/>
    <n v="2024"/>
    <n v="2"/>
    <n v="2023"/>
    <n v="11"/>
    <n v="11"/>
    <x v="1"/>
    <x v="1"/>
    <n v="11030.61"/>
    <x v="85"/>
    <s v=""/>
  </r>
  <r>
    <x v="28"/>
    <s v="OPT-NIFSEL-26-Feb-2024-11050-C-E-I"/>
    <s v="NSE"/>
    <s v="Sell"/>
    <n v="450"/>
    <n v="0"/>
    <n v="5.05"/>
    <n v="2272.5"/>
    <s v="#202402263700007190"/>
    <n v="1.06"/>
    <n v="1.1499999999999999"/>
    <n v="0"/>
    <n v="0"/>
    <n v="120"/>
    <n v="21.82"/>
    <n v="144.03"/>
    <n v="2024"/>
    <n v="2"/>
    <n v="2023"/>
    <n v="11"/>
    <n v="11"/>
    <x v="1"/>
    <x v="1"/>
    <n v="2128.4699999999998"/>
    <x v="86"/>
    <s v=""/>
  </r>
  <r>
    <x v="28"/>
    <s v="OPT-NIFSEL-26-Feb-2024-11050-C-E-I"/>
    <s v="NSE"/>
    <s v="Buy"/>
    <n v="150"/>
    <n v="0"/>
    <n v="6.45"/>
    <n v="967.5"/>
    <s v="#202402263700005441"/>
    <n v="0"/>
    <n v="0.48"/>
    <n v="0"/>
    <n v="0"/>
    <n v="40"/>
    <n v="7.28"/>
    <n v="47.76"/>
    <n v="2024"/>
    <n v="2"/>
    <n v="2023"/>
    <n v="11"/>
    <n v="11"/>
    <x v="1"/>
    <x v="1"/>
    <n v="-1015.26"/>
    <x v="1"/>
    <n v="-1015.26"/>
  </r>
  <r>
    <x v="28"/>
    <s v="OPT-NIFSEL-26-Feb-2024-11050-C-E-I"/>
    <s v="NSE"/>
    <s v="Buy"/>
    <n v="150"/>
    <n v="0"/>
    <n v="12.65"/>
    <n v="1897.5"/>
    <s v="#202402263700004132"/>
    <n v="0"/>
    <n v="0.96"/>
    <n v="0"/>
    <n v="0"/>
    <n v="40"/>
    <n v="7.38"/>
    <n v="48.34"/>
    <n v="2024"/>
    <n v="2"/>
    <n v="2023"/>
    <n v="11"/>
    <n v="11"/>
    <x v="1"/>
    <x v="1"/>
    <n v="-1945.84"/>
    <x v="1"/>
    <n v="-1945.84"/>
  </r>
  <r>
    <x v="28"/>
    <s v="OPT-NIFSEL-26-Feb-2024-11050-C-E-I"/>
    <s v="NSE"/>
    <s v="Buy"/>
    <n v="150"/>
    <n v="0"/>
    <n v="32.65"/>
    <n v="4897.5"/>
    <s v="#202402263700003264"/>
    <n v="0"/>
    <n v="2.4700000000000002"/>
    <n v="0"/>
    <n v="0"/>
    <n v="40"/>
    <n v="7.64"/>
    <n v="50.11"/>
    <n v="2024"/>
    <n v="2"/>
    <n v="2023"/>
    <n v="11"/>
    <n v="11"/>
    <x v="1"/>
    <x v="1"/>
    <n v="-4947.6099999999997"/>
    <x v="1"/>
    <n v="-4947.6099999999997"/>
  </r>
  <r>
    <x v="29"/>
    <s v="OPT-NIFTY-29-Feb-2024-22250-C-E-I"/>
    <s v="NSE"/>
    <s v="Sell"/>
    <n v="250"/>
    <n v="0"/>
    <n v="89.15"/>
    <n v="22287.5"/>
    <s v="#202402273700026919"/>
    <n v="13.93"/>
    <n v="11.26"/>
    <n v="0"/>
    <n v="0.02"/>
    <n v="100"/>
    <n v="20.04"/>
    <n v="145.25"/>
    <n v="2024"/>
    <n v="2"/>
    <n v="2023"/>
    <n v="11"/>
    <n v="11"/>
    <x v="1"/>
    <x v="1"/>
    <n v="22142.25"/>
    <x v="87"/>
    <s v=""/>
  </r>
  <r>
    <x v="29"/>
    <s v="OPT-NIFTY-29-Feb-2024-22250-C-E-I"/>
    <s v="NSE"/>
    <s v="Buy"/>
    <n v="250"/>
    <n v="0"/>
    <n v="80.95"/>
    <n v="20237.5"/>
    <s v="#202402273700024779"/>
    <n v="0"/>
    <n v="10.210000000000001"/>
    <n v="0.79"/>
    <n v="0.01"/>
    <n v="100"/>
    <n v="19.82"/>
    <n v="130.83000000000001"/>
    <n v="2024"/>
    <n v="2"/>
    <n v="2023"/>
    <n v="11"/>
    <n v="11"/>
    <x v="1"/>
    <x v="1"/>
    <n v="-20368.330000000002"/>
    <x v="1"/>
    <n v="-20368.330000000002"/>
  </r>
  <r>
    <x v="29"/>
    <s v="OPT-NIFTY-29-Feb-2024-22150-C-E-I"/>
    <s v="NSE"/>
    <s v="Sell"/>
    <n v="50"/>
    <n v="0"/>
    <n v="139.65"/>
    <n v="6982.5"/>
    <s v="#202402273700016118"/>
    <n v="4.3600000000000003"/>
    <n v="3.53"/>
    <n v="0"/>
    <n v="0.01"/>
    <n v="20"/>
    <n v="4.24"/>
    <n v="32.14"/>
    <n v="2024"/>
    <n v="2"/>
    <n v="2023"/>
    <n v="11"/>
    <n v="11"/>
    <x v="1"/>
    <x v="1"/>
    <n v="6950.36"/>
    <x v="88"/>
    <s v=""/>
  </r>
  <r>
    <x v="29"/>
    <s v="OPT-NIFFIN-27-Feb-2024-20600-C-E-I"/>
    <s v="NSE"/>
    <s v="Sell"/>
    <n v="40"/>
    <n v="0"/>
    <n v="29"/>
    <n v="1160"/>
    <s v="#202402273700007789"/>
    <n v="0.71"/>
    <n v="0.59"/>
    <n v="0"/>
    <n v="0"/>
    <n v="20"/>
    <n v="3.7"/>
    <n v="25"/>
    <n v="2024"/>
    <n v="2"/>
    <n v="2023"/>
    <n v="11"/>
    <n v="11"/>
    <x v="1"/>
    <x v="1"/>
    <n v="1135"/>
    <x v="89"/>
    <s v=""/>
  </r>
  <r>
    <x v="29"/>
    <s v="OPT-NIFFIN-27-Feb-2024-20600-C-E-I"/>
    <s v="NSE"/>
    <s v="Buy"/>
    <n v="40"/>
    <n v="0"/>
    <n v="26.65"/>
    <n v="1066"/>
    <s v="#202402273700007447"/>
    <n v="0"/>
    <n v="0.54"/>
    <n v="0.03"/>
    <n v="0"/>
    <n v="20"/>
    <n v="3.7"/>
    <n v="24.27"/>
    <n v="2024"/>
    <n v="2"/>
    <n v="2023"/>
    <n v="11"/>
    <n v="11"/>
    <x v="1"/>
    <x v="1"/>
    <n v="-1090.27"/>
    <x v="1"/>
    <n v="-1090.27"/>
  </r>
  <r>
    <x v="29"/>
    <s v="OPT-NIFTY-29-Feb-2024-22150-C-E-I"/>
    <s v="NSE"/>
    <s v="Buy"/>
    <n v="50"/>
    <n v="0"/>
    <n v="119.25"/>
    <n v="5962.5"/>
    <s v="#202402273700003545"/>
    <n v="0"/>
    <n v="3.01"/>
    <n v="0.18"/>
    <n v="0.01"/>
    <n v="20"/>
    <n v="4.1399999999999997"/>
    <n v="27.34"/>
    <n v="2024"/>
    <n v="2"/>
    <n v="2023"/>
    <n v="11"/>
    <n v="11"/>
    <x v="1"/>
    <x v="1"/>
    <n v="-5989.84"/>
    <x v="1"/>
    <n v="-5989.84"/>
  </r>
  <r>
    <x v="30"/>
    <s v="OPT-CNXBAN-29-Feb-2024-46600-C-E-I"/>
    <s v="NSE"/>
    <s v="Buy"/>
    <n v="600"/>
    <n v="0"/>
    <n v="55"/>
    <n v="33000"/>
    <s v="#202402283700028151"/>
    <n v="0"/>
    <n v="16.670000000000002"/>
    <n v="0"/>
    <n v="0.03"/>
    <n v="800"/>
    <n v="147.02000000000001"/>
    <n v="963.72"/>
    <n v="2024"/>
    <n v="2"/>
    <n v="2023"/>
    <n v="11"/>
    <n v="11"/>
    <x v="1"/>
    <x v="1"/>
    <n v="-33963.72"/>
    <x v="1"/>
    <n v="-33963.72"/>
  </r>
  <r>
    <x v="30"/>
    <s v="OPT-CNXBAN-29-Feb-2024-46600-C-E-I"/>
    <s v="NSE"/>
    <s v="Buy"/>
    <n v="600"/>
    <n v="0"/>
    <n v="115"/>
    <n v="69000"/>
    <s v="#202402283700017286"/>
    <n v="0"/>
    <n v="34.85"/>
    <n v="5.14"/>
    <n v="7.0000000000000007E-2"/>
    <n v="800"/>
    <n v="150.28"/>
    <n v="990.34"/>
    <n v="2024"/>
    <n v="2"/>
    <n v="2023"/>
    <n v="11"/>
    <n v="11"/>
    <x v="1"/>
    <x v="1"/>
    <n v="-69990.34"/>
    <x v="1"/>
    <n v="-69990.34"/>
  </r>
  <r>
    <x v="30"/>
    <s v="OPT-CNXBAN-29-Feb-2024-46600-C-E-I"/>
    <s v="NSE"/>
    <s v="Sell"/>
    <n v="315"/>
    <n v="0"/>
    <n v="106.9"/>
    <n v="33673.5"/>
    <s v="#202402283700016620"/>
    <n v="21.29"/>
    <n v="17.010000000000002"/>
    <n v="0"/>
    <n v="0.03"/>
    <n v="420"/>
    <n v="78.66"/>
    <n v="536.99"/>
    <n v="2024"/>
    <n v="2"/>
    <n v="2023"/>
    <n v="11"/>
    <n v="11"/>
    <x v="1"/>
    <x v="1"/>
    <n v="33136.51"/>
    <x v="90"/>
    <s v=""/>
  </r>
  <r>
    <x v="30"/>
    <s v="OPT-CNXBAN-29-Feb-2024-46600-C-E-I"/>
    <s v="NSE"/>
    <s v="Buy"/>
    <n v="60"/>
    <n v="0"/>
    <n v="117.5"/>
    <n v="7050"/>
    <s v="#202402283700012865"/>
    <n v="0"/>
    <n v="3.56"/>
    <n v="0"/>
    <n v="0.01"/>
    <n v="80"/>
    <n v="15.04"/>
    <n v="98.61"/>
    <n v="2024"/>
    <n v="2"/>
    <n v="2023"/>
    <n v="11"/>
    <n v="11"/>
    <x v="1"/>
    <x v="1"/>
    <n v="-7148.61"/>
    <x v="1"/>
    <n v="-7148.61"/>
  </r>
  <r>
    <x v="30"/>
    <s v="OPT-CNXBAN-29-Feb-2024-46600-C-E-I"/>
    <s v="NSE"/>
    <s v="Buy"/>
    <n v="60"/>
    <n v="0"/>
    <n v="179.6"/>
    <n v="10776"/>
    <s v="#202402283700009861"/>
    <n v="0"/>
    <n v="5.44"/>
    <n v="0"/>
    <n v="0.01"/>
    <n v="80"/>
    <n v="15.38"/>
    <n v="100.83"/>
    <n v="2024"/>
    <n v="2"/>
    <n v="2023"/>
    <n v="11"/>
    <n v="11"/>
    <x v="1"/>
    <x v="1"/>
    <n v="-10876.83"/>
    <x v="1"/>
    <n v="-10876.83"/>
  </r>
  <r>
    <x v="30"/>
    <s v="OPT-CNXBAN-29-Feb-2024-46600-C-E-I"/>
    <s v="NSE"/>
    <s v="Buy"/>
    <n v="60"/>
    <n v="0"/>
    <n v="196.9"/>
    <n v="11814"/>
    <s v="#202402283700009008"/>
    <n v="0"/>
    <n v="5.97"/>
    <n v="0"/>
    <n v="0.01"/>
    <n v="80"/>
    <n v="15.48"/>
    <n v="101.46"/>
    <n v="2024"/>
    <n v="2"/>
    <n v="2023"/>
    <n v="11"/>
    <n v="11"/>
    <x v="1"/>
    <x v="1"/>
    <n v="-11915.46"/>
    <x v="1"/>
    <n v="-11915.46"/>
  </r>
  <r>
    <x v="30"/>
    <s v="OPT-CNXBAN-29-Feb-2024-46600-C-E-I"/>
    <s v="NSE"/>
    <s v="Buy"/>
    <n v="60"/>
    <n v="0"/>
    <n v="238.3"/>
    <n v="14298"/>
    <s v="#202402283700008712"/>
    <n v="0"/>
    <n v="7.22"/>
    <n v="0"/>
    <n v="0.02"/>
    <n v="80"/>
    <n v="15.72"/>
    <n v="102.96"/>
    <n v="2024"/>
    <n v="2"/>
    <n v="2023"/>
    <n v="11"/>
    <n v="11"/>
    <x v="1"/>
    <x v="1"/>
    <n v="-14400.96"/>
    <x v="1"/>
    <n v="-14400.96"/>
  </r>
  <r>
    <x v="30"/>
    <s v="OPT-CNXBAN-29-Feb-2024-46600-C-E-I"/>
    <s v="NSE"/>
    <s v="Buy"/>
    <n v="15"/>
    <n v="0"/>
    <n v="277.7"/>
    <n v="4165.5"/>
    <s v="#202402283700007754"/>
    <n v="0"/>
    <n v="2.1"/>
    <n v="0"/>
    <n v="0"/>
    <n v="20"/>
    <n v="3.98"/>
    <n v="26.08"/>
    <n v="2024"/>
    <n v="2"/>
    <n v="2023"/>
    <n v="11"/>
    <n v="11"/>
    <x v="1"/>
    <x v="1"/>
    <n v="-4191.58"/>
    <x v="1"/>
    <n v="-4191.58"/>
  </r>
  <r>
    <x v="30"/>
    <s v="OPT-CNXBAN-29-Feb-2024-46600-C-E-I"/>
    <s v="NSE"/>
    <s v="Buy"/>
    <n v="60"/>
    <n v="0"/>
    <n v="293.95"/>
    <n v="17637"/>
    <s v="#202402283700007662"/>
    <n v="0"/>
    <n v="8.91"/>
    <n v="0"/>
    <n v="0.01"/>
    <n v="80"/>
    <n v="16"/>
    <n v="104.92"/>
    <n v="2024"/>
    <n v="2"/>
    <n v="2023"/>
    <n v="11"/>
    <n v="11"/>
    <x v="1"/>
    <x v="1"/>
    <n v="-17741.919999999998"/>
    <x v="1"/>
    <n v="-17741.919999999998"/>
  </r>
  <r>
    <x v="30"/>
    <s v="OPT-CNXBAN-29-Feb-2024-46600-C-E-I"/>
    <s v="NSE"/>
    <s v="Sell"/>
    <n v="15"/>
    <n v="0"/>
    <n v="270.8"/>
    <n v="4062"/>
    <s v="#202402283700005124"/>
    <n v="2.54"/>
    <n v="2.0499999999999998"/>
    <n v="0"/>
    <n v="0"/>
    <n v="20"/>
    <n v="3.96"/>
    <n v="28.55"/>
    <n v="2024"/>
    <n v="2"/>
    <n v="2023"/>
    <n v="11"/>
    <n v="11"/>
    <x v="1"/>
    <x v="1"/>
    <n v="4033.45"/>
    <x v="91"/>
    <s v=""/>
  </r>
  <r>
    <x v="30"/>
    <s v="OPT-CNXBAN-29-Feb-2024-46600-C-E-I"/>
    <s v="NSE"/>
    <s v="Buy"/>
    <n v="15"/>
    <n v="0"/>
    <n v="239.05"/>
    <n v="3585.75"/>
    <s v="#202402283700004969"/>
    <n v="0"/>
    <n v="1.81"/>
    <n v="0"/>
    <n v="0"/>
    <n v="20"/>
    <n v="3.92"/>
    <n v="25.73"/>
    <n v="2024"/>
    <n v="2"/>
    <n v="2023"/>
    <n v="11"/>
    <n v="11"/>
    <x v="1"/>
    <x v="1"/>
    <n v="-3611.48"/>
    <x v="1"/>
    <n v="-3611.48"/>
  </r>
  <r>
    <x v="30"/>
    <s v="OPT-CNXBAN-29-Feb-2024-46600-P-E-I"/>
    <s v="NSE"/>
    <s v="Sell"/>
    <n v="105"/>
    <n v="0"/>
    <n v="292.14999999999998"/>
    <n v="30675.75"/>
    <s v="#202402283700004304"/>
    <n v="19.18"/>
    <n v="15.49"/>
    <n v="0"/>
    <n v="0.02"/>
    <n v="140"/>
    <n v="28"/>
    <n v="202.69"/>
    <n v="2024"/>
    <n v="2"/>
    <n v="2023"/>
    <n v="11"/>
    <n v="11"/>
    <x v="1"/>
    <x v="1"/>
    <n v="30473.06"/>
    <x v="92"/>
    <s v=""/>
  </r>
  <r>
    <x v="30"/>
    <s v="OPT-CNXBAN-29-Feb-2024-46600-P-E-I"/>
    <s v="NSE"/>
    <s v="Buy"/>
    <n v="15"/>
    <n v="0"/>
    <n v="253.6"/>
    <n v="3804"/>
    <s v="#202402283700003498"/>
    <n v="0"/>
    <n v="1.92"/>
    <n v="0"/>
    <n v="0"/>
    <n v="20"/>
    <n v="3.94"/>
    <n v="25.86"/>
    <n v="2024"/>
    <n v="2"/>
    <n v="2023"/>
    <n v="11"/>
    <n v="11"/>
    <x v="1"/>
    <x v="1"/>
    <n v="-3829.86"/>
    <x v="1"/>
    <n v="-3829.86"/>
  </r>
  <r>
    <x v="30"/>
    <s v="OPT-CNXBAN-29-Feb-2024-46600-P-E-I"/>
    <s v="NSE"/>
    <s v="Buy"/>
    <n v="15"/>
    <n v="0"/>
    <n v="263.3"/>
    <n v="3949.5"/>
    <s v="#202402283700002316"/>
    <n v="0"/>
    <n v="1.99"/>
    <n v="0"/>
    <n v="0"/>
    <n v="20"/>
    <n v="3.96"/>
    <n v="25.95"/>
    <n v="2024"/>
    <n v="2"/>
    <n v="2023"/>
    <n v="11"/>
    <n v="11"/>
    <x v="1"/>
    <x v="1"/>
    <n v="-3975.45"/>
    <x v="1"/>
    <n v="-3975.45"/>
  </r>
  <r>
    <x v="30"/>
    <s v="OPT-CNXBAN-29-Feb-2024-46600-P-E-I"/>
    <s v="NSE"/>
    <s v="Buy"/>
    <n v="15"/>
    <n v="0"/>
    <n v="276.39999999999998"/>
    <n v="4146"/>
    <s v="#202402283700002128"/>
    <n v="0"/>
    <n v="2.09"/>
    <n v="0"/>
    <n v="0"/>
    <n v="20"/>
    <n v="3.98"/>
    <n v="26.07"/>
    <n v="2024"/>
    <n v="2"/>
    <n v="2023"/>
    <n v="11"/>
    <n v="11"/>
    <x v="1"/>
    <x v="1"/>
    <n v="-4172.07"/>
    <x v="1"/>
    <n v="-4172.07"/>
  </r>
  <r>
    <x v="30"/>
    <s v="OPT-CNXBAN-29-Feb-2024-46600-P-E-I"/>
    <s v="NSE"/>
    <s v="Buy"/>
    <n v="15"/>
    <n v="0"/>
    <n v="277.45"/>
    <n v="4161.75"/>
    <s v="#202402283700002122"/>
    <n v="0"/>
    <n v="2.1"/>
    <n v="0.86"/>
    <n v="0"/>
    <n v="20"/>
    <n v="3.98"/>
    <n v="26.94"/>
    <n v="2024"/>
    <n v="2"/>
    <n v="2023"/>
    <n v="11"/>
    <n v="11"/>
    <x v="1"/>
    <x v="1"/>
    <n v="-4188.6899999999996"/>
    <x v="1"/>
    <n v="-4188.6899999999996"/>
  </r>
  <r>
    <x v="30"/>
    <s v="OPT-CNXBAN-29-Feb-2024-46600-P-E-I"/>
    <s v="NSE"/>
    <s v="Buy"/>
    <n v="15"/>
    <n v="0"/>
    <n v="278.45"/>
    <n v="4176.75"/>
    <s v="#202402283700001855"/>
    <n v="0"/>
    <n v="2.11"/>
    <n v="0"/>
    <n v="0"/>
    <n v="20"/>
    <n v="3.98"/>
    <n v="26.09"/>
    <n v="2024"/>
    <n v="2"/>
    <n v="2023"/>
    <n v="11"/>
    <n v="11"/>
    <x v="1"/>
    <x v="1"/>
    <n v="-4202.84"/>
    <x v="1"/>
    <n v="-4202.84"/>
  </r>
  <r>
    <x v="30"/>
    <s v="OPT-CNXBAN-29-Feb-2024-46600-P-E-I"/>
    <s v="NSE"/>
    <s v="Buy"/>
    <n v="15"/>
    <n v="0"/>
    <n v="280.7"/>
    <n v="4210.5"/>
    <s v="#202402283700001762"/>
    <n v="0"/>
    <n v="2.13"/>
    <n v="0"/>
    <n v="0"/>
    <n v="20"/>
    <n v="3.98"/>
    <n v="26.11"/>
    <n v="2024"/>
    <n v="2"/>
    <n v="2023"/>
    <n v="11"/>
    <n v="11"/>
    <x v="1"/>
    <x v="1"/>
    <n v="-4236.6099999999997"/>
    <x v="1"/>
    <n v="-4236.6099999999997"/>
  </r>
  <r>
    <x v="30"/>
    <s v="OPT-CNXBAN-29-Feb-2024-46600-P-E-I"/>
    <s v="NSE"/>
    <s v="Buy"/>
    <n v="15"/>
    <n v="0"/>
    <n v="276.05"/>
    <n v="4140.75"/>
    <s v="#202402283700001523"/>
    <n v="0"/>
    <n v="2.09"/>
    <n v="0"/>
    <n v="0"/>
    <n v="20"/>
    <n v="3.98"/>
    <n v="26.07"/>
    <n v="2024"/>
    <n v="2"/>
    <n v="2023"/>
    <n v="11"/>
    <n v="11"/>
    <x v="1"/>
    <x v="1"/>
    <n v="-4166.82"/>
    <x v="1"/>
    <n v="-4166.82"/>
  </r>
  <r>
    <x v="31"/>
    <s v="OPT-CNXBAN-29-Feb-2024-46600-C-E-I"/>
    <s v="NSE"/>
    <s v="Sell"/>
    <n v="300"/>
    <n v="0"/>
    <n v="5.65"/>
    <n v="1695"/>
    <s v="#202402293700028090"/>
    <n v="1.06"/>
    <n v="0.86"/>
    <n v="0"/>
    <n v="0"/>
    <n v="400"/>
    <n v="72.16"/>
    <n v="474.08"/>
    <n v="2024"/>
    <n v="2"/>
    <n v="2023"/>
    <n v="11"/>
    <n v="11"/>
    <x v="1"/>
    <x v="1"/>
    <n v="1220.92"/>
    <x v="93"/>
    <s v=""/>
  </r>
  <r>
    <x v="31"/>
    <s v="OPT-CNXBAN-29-Feb-2024-46600-C-E-I"/>
    <s v="NSE"/>
    <s v="Sell"/>
    <n v="900"/>
    <n v="0"/>
    <n v="5.25"/>
    <n v="4725"/>
    <s v="#202402293700028072"/>
    <n v="2.95"/>
    <n v="2.38"/>
    <n v="0"/>
    <n v="0"/>
    <n v="1200"/>
    <n v="216.44"/>
    <n v="1421.77"/>
    <n v="2024"/>
    <n v="2"/>
    <n v="2023"/>
    <n v="11"/>
    <n v="11"/>
    <x v="1"/>
    <x v="1"/>
    <n v="3303.23"/>
    <x v="94"/>
    <s v=""/>
  </r>
  <r>
    <x v="31"/>
    <s v="OPT-CNXBAN-29-Feb-2024-46600-C-E-I"/>
    <s v="NSE"/>
    <s v="Sell"/>
    <n v="900"/>
    <n v="0"/>
    <n v="5.25"/>
    <n v="4725"/>
    <s v="#202402293700028043"/>
    <n v="2.95"/>
    <n v="2.39"/>
    <n v="0"/>
    <n v="0"/>
    <n v="1200"/>
    <n v="216.44"/>
    <n v="1421.78"/>
    <n v="2024"/>
    <n v="2"/>
    <n v="2023"/>
    <n v="11"/>
    <n v="11"/>
    <x v="1"/>
    <x v="1"/>
    <n v="3303.2200000000003"/>
    <x v="95"/>
    <s v=""/>
  </r>
  <r>
    <x v="31"/>
    <s v="OPT-CNXBAN-29-Feb-2024-46600-C-E-I"/>
    <s v="NSE"/>
    <s v="Sell"/>
    <n v="900"/>
    <n v="0"/>
    <n v="4.8499999999999996"/>
    <n v="4363.5"/>
    <s v="#202402293700027521"/>
    <n v="2.73"/>
    <n v="2.21"/>
    <n v="0"/>
    <n v="0"/>
    <n v="1200"/>
    <n v="216.4"/>
    <n v="1421.34"/>
    <n v="2024"/>
    <n v="2"/>
    <n v="2023"/>
    <n v="11"/>
    <n v="11"/>
    <x v="1"/>
    <x v="1"/>
    <n v="2942.16"/>
    <x v="96"/>
    <s v=""/>
  </r>
  <r>
    <x v="31"/>
    <s v="OPT-CNXBAN-29-Feb-2024-46600-C-E-I"/>
    <s v="NSE"/>
    <s v="Sell"/>
    <n v="900"/>
    <n v="0"/>
    <n v="4.9000000000000004"/>
    <n v="4410"/>
    <s v="#202402293700027454"/>
    <n v="2.75"/>
    <n v="2.23"/>
    <n v="0"/>
    <n v="0"/>
    <n v="1200"/>
    <n v="216.4"/>
    <n v="1421.38"/>
    <n v="2024"/>
    <n v="2"/>
    <n v="2023"/>
    <n v="11"/>
    <n v="11"/>
    <x v="1"/>
    <x v="1"/>
    <n v="2988.62"/>
    <x v="97"/>
    <s v=""/>
  </r>
  <r>
    <x v="31"/>
    <s v="OPT-CNXBAN-29-Feb-2024-46600-C-E-I"/>
    <s v="NSE"/>
    <s v="Sell"/>
    <n v="900"/>
    <n v="0"/>
    <n v="4.8499999999999996"/>
    <n v="4365"/>
    <s v="#202402293700027419"/>
    <n v="2.74"/>
    <n v="2.2000000000000002"/>
    <n v="0"/>
    <n v="0"/>
    <n v="1200"/>
    <n v="216.4"/>
    <n v="1421.34"/>
    <n v="2024"/>
    <n v="2"/>
    <n v="2023"/>
    <n v="11"/>
    <n v="11"/>
    <x v="1"/>
    <x v="1"/>
    <n v="2943.66"/>
    <x v="98"/>
    <s v=""/>
  </r>
  <r>
    <x v="31"/>
    <s v="OPT-CNXBAN-29-Feb-2024-46600-C-E-I"/>
    <s v="NSE"/>
    <s v="Sell"/>
    <n v="900"/>
    <n v="0"/>
    <n v="6.95"/>
    <n v="6255"/>
    <s v="#202402293700025531"/>
    <n v="3.84"/>
    <n v="3.17"/>
    <n v="0"/>
    <n v="0"/>
    <n v="1200"/>
    <n v="216.54"/>
    <n v="1423.55"/>
    <n v="2024"/>
    <n v="2"/>
    <n v="2023"/>
    <n v="11"/>
    <n v="11"/>
    <x v="1"/>
    <x v="1"/>
    <n v="4831.45"/>
    <x v="99"/>
    <s v=""/>
  </r>
  <r>
    <x v="31"/>
    <s v="OPT-CNXBAN-29-Feb-2024-46600-C-E-I"/>
    <s v="NSE"/>
    <s v="Buy"/>
    <n v="900"/>
    <n v="0"/>
    <n v="8.9499999999999993"/>
    <n v="8055"/>
    <s v="#202402293700016432"/>
    <n v="0"/>
    <n v="4.07"/>
    <n v="0"/>
    <n v="0"/>
    <n v="1200"/>
    <n v="216.74"/>
    <n v="1420.81"/>
    <n v="2024"/>
    <n v="2"/>
    <n v="2023"/>
    <n v="11"/>
    <n v="11"/>
    <x v="1"/>
    <x v="1"/>
    <n v="-9475.81"/>
    <x v="1"/>
    <n v="-9475.81"/>
  </r>
  <r>
    <x v="31"/>
    <s v="OPT-CNXBAN-29-Feb-2024-46600-C-E-I"/>
    <s v="NSE"/>
    <s v="Buy"/>
    <n v="900"/>
    <n v="0"/>
    <n v="9.6999999999999993"/>
    <n v="8730"/>
    <s v="#202402293700016335"/>
    <n v="0"/>
    <n v="4.41"/>
    <n v="0"/>
    <n v="0"/>
    <n v="1200"/>
    <n v="216.8"/>
    <n v="1421.21"/>
    <n v="2024"/>
    <n v="2"/>
    <n v="2023"/>
    <n v="11"/>
    <n v="11"/>
    <x v="1"/>
    <x v="1"/>
    <n v="-10151.209999999999"/>
    <x v="1"/>
    <n v="-10151.209999999999"/>
  </r>
  <r>
    <x v="31"/>
    <s v="OPT-CNXBAN-29-Feb-2024-46600-C-E-I"/>
    <s v="NSE"/>
    <s v="Buy"/>
    <n v="900"/>
    <n v="0"/>
    <n v="9.1"/>
    <n v="8190"/>
    <s v="#202402293700016296"/>
    <n v="0"/>
    <n v="4.13"/>
    <n v="2"/>
    <n v="0.01"/>
    <n v="1200"/>
    <n v="216.76"/>
    <n v="1422.9"/>
    <n v="2024"/>
    <n v="2"/>
    <n v="2023"/>
    <n v="11"/>
    <n v="11"/>
    <x v="1"/>
    <x v="1"/>
    <n v="-9612.9"/>
    <x v="1"/>
    <n v="-9612.9"/>
  </r>
  <r>
    <x v="31"/>
    <s v="OPT-CNXBAN-29-Feb-2024-46600-C-E-I"/>
    <s v="NSE"/>
    <s v="Buy"/>
    <n v="900"/>
    <n v="0"/>
    <n v="18.2"/>
    <n v="16379.25"/>
    <s v="#202402293700008897"/>
    <n v="0"/>
    <n v="8.2799999999999994"/>
    <n v="0"/>
    <n v="0.01"/>
    <n v="1200"/>
    <n v="217.5"/>
    <n v="1425.79"/>
    <n v="2024"/>
    <n v="2"/>
    <n v="2023"/>
    <n v="11"/>
    <n v="11"/>
    <x v="1"/>
    <x v="1"/>
    <n v="-17805.04"/>
    <x v="1"/>
    <n v="-17805.04"/>
  </r>
  <r>
    <x v="31"/>
    <s v="OPT-CNXBAN-29-Feb-2024-46600-C-E-I"/>
    <s v="NSE"/>
    <s v="Buy"/>
    <n v="900"/>
    <n v="0"/>
    <n v="25.7"/>
    <n v="23130"/>
    <s v="#202402293700001087"/>
    <n v="0"/>
    <n v="11.67"/>
    <n v="0"/>
    <n v="0.01"/>
    <n v="1200"/>
    <n v="218.12"/>
    <n v="1429.8"/>
    <n v="2024"/>
    <n v="2"/>
    <n v="2023"/>
    <n v="11"/>
    <n v="11"/>
    <x v="1"/>
    <x v="1"/>
    <n v="-24559.8"/>
    <x v="1"/>
    <n v="-24559.8"/>
  </r>
  <r>
    <x v="32"/>
    <s v="OPT-NIFFIN-05-Mar-2024-20900-C-E-I"/>
    <s v="NSE"/>
    <s v="Sell"/>
    <n v="160"/>
    <n v="0"/>
    <n v="95.4"/>
    <n v="15264"/>
    <s v="#202403013700020685"/>
    <n v="9.4700000000000006"/>
    <n v="7.71"/>
    <n v="0"/>
    <n v="0.02"/>
    <n v="80"/>
    <n v="15.8"/>
    <n v="113"/>
    <n v="2024"/>
    <n v="3"/>
    <n v="2023"/>
    <n v="12"/>
    <n v="12"/>
    <x v="2"/>
    <x v="2"/>
    <n v="15151"/>
    <x v="100"/>
    <s v=""/>
  </r>
  <r>
    <x v="32"/>
    <s v="OPT-NIFFIN-05-Mar-2024-20900-C-E-I"/>
    <s v="NSE"/>
    <s v="Buy"/>
    <n v="160"/>
    <n v="0"/>
    <n v="89.3"/>
    <n v="14288"/>
    <s v="#202403013700020474"/>
    <n v="0"/>
    <n v="7.21"/>
    <n v="0.43"/>
    <n v="0.01"/>
    <n v="80"/>
    <n v="15.7"/>
    <n v="103.35"/>
    <n v="2024"/>
    <n v="3"/>
    <n v="2023"/>
    <n v="12"/>
    <n v="12"/>
    <x v="2"/>
    <x v="2"/>
    <n v="-14391.35"/>
    <x v="1"/>
    <n v="-14391.35"/>
  </r>
  <r>
    <x v="32"/>
    <s v="OPT-NIFTY-07-Mar-2024-22250-C-E-I"/>
    <s v="NSE"/>
    <s v="Sell"/>
    <n v="300"/>
    <n v="0"/>
    <n v="217.45"/>
    <n v="65235"/>
    <s v="#202403013700011864"/>
    <n v="40.770000000000003"/>
    <n v="32.94"/>
    <n v="0"/>
    <n v="0.06"/>
    <n v="120"/>
    <n v="27.54"/>
    <n v="221.31"/>
    <n v="2024"/>
    <n v="3"/>
    <n v="2023"/>
    <n v="12"/>
    <n v="12"/>
    <x v="2"/>
    <x v="2"/>
    <n v="65013.69"/>
    <x v="101"/>
    <s v=""/>
  </r>
  <r>
    <x v="32"/>
    <s v="OPT-NIFTY-07-Mar-2024-22250-C-E-I"/>
    <s v="NSE"/>
    <s v="Buy"/>
    <n v="300"/>
    <n v="0"/>
    <n v="185.2"/>
    <n v="55560"/>
    <s v="#202403013700011370"/>
    <n v="0"/>
    <n v="28.06"/>
    <n v="2.17"/>
    <n v="0.06"/>
    <n v="120"/>
    <n v="26.66"/>
    <n v="176.95"/>
    <n v="2024"/>
    <n v="3"/>
    <n v="2023"/>
    <n v="12"/>
    <n v="12"/>
    <x v="2"/>
    <x v="2"/>
    <n v="-55736.95"/>
    <x v="1"/>
    <n v="-55736.95"/>
  </r>
  <r>
    <x v="32"/>
    <s v="OPT-NIFSEL-04-Mar-2024-10800-P-E-I"/>
    <s v="NSE"/>
    <s v="Sell"/>
    <n v="225"/>
    <n v="0"/>
    <n v="48.05"/>
    <n v="10811.25"/>
    <s v="#202403013700009839"/>
    <n v="6.75"/>
    <n v="5.46"/>
    <n v="0"/>
    <n v="0"/>
    <n v="60"/>
    <n v="11.76"/>
    <n v="83.97"/>
    <n v="2024"/>
    <n v="3"/>
    <n v="2023"/>
    <n v="12"/>
    <n v="12"/>
    <x v="2"/>
    <x v="2"/>
    <n v="10727.28"/>
    <x v="102"/>
    <s v=""/>
  </r>
  <r>
    <x v="32"/>
    <s v="OPT-NIFSEL-04-Mar-2024-10800-P-E-I"/>
    <s v="NSE"/>
    <s v="Buy"/>
    <n v="150"/>
    <n v="0"/>
    <n v="56.65"/>
    <n v="8497.5"/>
    <s v="#202403013700006175"/>
    <n v="0"/>
    <n v="4.29"/>
    <n v="0.4"/>
    <n v="0.01"/>
    <n v="40"/>
    <n v="7.98"/>
    <n v="52.68"/>
    <n v="2024"/>
    <n v="3"/>
    <n v="2023"/>
    <n v="12"/>
    <n v="12"/>
    <x v="2"/>
    <x v="2"/>
    <n v="-8550.18"/>
    <x v="1"/>
    <n v="-8550.18"/>
  </r>
  <r>
    <x v="32"/>
    <s v="OPT-NIFSEL-04-Mar-2024-10800-P-E-I"/>
    <s v="NSE"/>
    <s v="Buy"/>
    <n v="75"/>
    <n v="0"/>
    <n v="64.2"/>
    <n v="4815"/>
    <s v="#202403013700002612"/>
    <n v="0"/>
    <n v="2.4300000000000002"/>
    <n v="0"/>
    <n v="0"/>
    <n v="20"/>
    <n v="4.04"/>
    <n v="26.47"/>
    <n v="2024"/>
    <n v="3"/>
    <n v="2023"/>
    <n v="12"/>
    <n v="12"/>
    <x v="2"/>
    <x v="2"/>
    <n v="-4841.47"/>
    <x v="1"/>
    <n v="-4841.47"/>
  </r>
  <r>
    <x v="33"/>
    <s v="OPT-CNXBAN-06-Mar-2024-47300-C-E-I"/>
    <s v="NSE"/>
    <s v="Sell"/>
    <n v="105"/>
    <n v="0"/>
    <n v="327.05"/>
    <n v="34340.25"/>
    <s v="#202403043700042511"/>
    <n v="21"/>
    <n v="17.34"/>
    <n v="0"/>
    <n v="0.03"/>
    <n v="140"/>
    <n v="28.32"/>
    <n v="206.69"/>
    <n v="2024"/>
    <n v="3"/>
    <n v="2023"/>
    <n v="12"/>
    <n v="12"/>
    <x v="2"/>
    <x v="2"/>
    <n v="34133.56"/>
    <x v="103"/>
    <s v=""/>
  </r>
  <r>
    <x v="33"/>
    <s v="OPT-CNXBAN-06-Mar-2024-47300-C-E-I"/>
    <s v="NSE"/>
    <s v="Buy"/>
    <n v="105"/>
    <n v="0"/>
    <n v="302.51"/>
    <n v="31763.25"/>
    <s v="#202403043700042460"/>
    <n v="0"/>
    <n v="16.04"/>
    <n v="1"/>
    <n v="0.03"/>
    <n v="140"/>
    <n v="28.1"/>
    <n v="185.17"/>
    <n v="2024"/>
    <n v="3"/>
    <n v="2023"/>
    <n v="12"/>
    <n v="12"/>
    <x v="2"/>
    <x v="2"/>
    <n v="-31948.42"/>
    <x v="1"/>
    <n v="-31948.42"/>
  </r>
  <r>
    <x v="34"/>
    <s v="OPT-CNXBAN-06-Mar-2024-47300-P-E-I"/>
    <s v="NSE"/>
    <s v="Sell"/>
    <n v="105"/>
    <n v="0"/>
    <n v="95"/>
    <n v="9975"/>
    <s v="#202403053700017959"/>
    <n v="6.23"/>
    <n v="5.04"/>
    <n v="0"/>
    <n v="0.01"/>
    <n v="140"/>
    <n v="26.1"/>
    <n v="177.38"/>
    <n v="2024"/>
    <n v="3"/>
    <n v="2023"/>
    <n v="12"/>
    <n v="12"/>
    <x v="2"/>
    <x v="2"/>
    <n v="9797.6200000000008"/>
    <x v="104"/>
    <s v=""/>
  </r>
  <r>
    <x v="34"/>
    <s v="OPT-CNXBAN-06-Mar-2024-47300-P-E-I"/>
    <s v="NSE"/>
    <s v="Buy"/>
    <n v="105"/>
    <n v="0"/>
    <n v="83.85"/>
    <n v="8804.25"/>
    <s v="#202403053700017892"/>
    <n v="0"/>
    <n v="4.46"/>
    <n v="0"/>
    <n v="0.01"/>
    <n v="140"/>
    <n v="26.02"/>
    <n v="170.49"/>
    <n v="2024"/>
    <n v="3"/>
    <n v="2023"/>
    <n v="12"/>
    <n v="12"/>
    <x v="2"/>
    <x v="2"/>
    <n v="-8974.74"/>
    <x v="1"/>
    <n v="-8974.74"/>
  </r>
  <r>
    <x v="34"/>
    <s v="OPT-CNXBAN-06-Mar-2024-47400-C-E-I"/>
    <s v="NSE"/>
    <s v="Sell"/>
    <n v="105"/>
    <n v="0"/>
    <n v="252.3"/>
    <n v="26491.5"/>
    <s v="#202403053700015796"/>
    <n v="16.559999999999999"/>
    <n v="13.38"/>
    <n v="0"/>
    <n v="0.03"/>
    <n v="140"/>
    <n v="27.62"/>
    <n v="197.59"/>
    <n v="2024"/>
    <n v="3"/>
    <n v="2023"/>
    <n v="12"/>
    <n v="12"/>
    <x v="2"/>
    <x v="2"/>
    <n v="26293.91"/>
    <x v="105"/>
    <s v=""/>
  </r>
  <r>
    <x v="34"/>
    <s v="OPT-CNXBAN-06-Mar-2024-47400-C-E-I"/>
    <s v="NSE"/>
    <s v="Buy"/>
    <n v="105"/>
    <n v="0"/>
    <n v="239.85"/>
    <n v="25184.25"/>
    <s v="#202403053700015784"/>
    <n v="0"/>
    <n v="12.72"/>
    <n v="0"/>
    <n v="0.02"/>
    <n v="140"/>
    <n v="27.5"/>
    <n v="180.24"/>
    <n v="2024"/>
    <n v="3"/>
    <n v="2023"/>
    <n v="12"/>
    <n v="12"/>
    <x v="2"/>
    <x v="2"/>
    <n v="-25364.49"/>
    <x v="1"/>
    <n v="-25364.49"/>
  </r>
  <r>
    <x v="34"/>
    <s v="OPT-CNXBAN-06-Mar-2024-47400-C-E-I"/>
    <s v="NSE"/>
    <s v="Sell"/>
    <n v="105"/>
    <n v="0"/>
    <n v="211"/>
    <n v="22155"/>
    <s v="#202403053700012944"/>
    <n v="13.85"/>
    <n v="11.19"/>
    <n v="0"/>
    <n v="0.03"/>
    <n v="140"/>
    <n v="27.22"/>
    <n v="192.29"/>
    <n v="2024"/>
    <n v="3"/>
    <n v="2023"/>
    <n v="12"/>
    <n v="12"/>
    <x v="2"/>
    <x v="2"/>
    <n v="21962.71"/>
    <x v="106"/>
    <s v=""/>
  </r>
  <r>
    <x v="34"/>
    <s v="OPT-CNXBAN-06-Mar-2024-47400-C-E-I"/>
    <s v="NSE"/>
    <s v="Buy"/>
    <n v="105"/>
    <n v="0"/>
    <n v="201.35"/>
    <n v="21141.75"/>
    <s v="#202403053700010297"/>
    <n v="0"/>
    <n v="10.68"/>
    <n v="1.98"/>
    <n v="0.02"/>
    <n v="140"/>
    <n v="27.12"/>
    <n v="179.8"/>
    <n v="2024"/>
    <n v="3"/>
    <n v="2023"/>
    <n v="12"/>
    <n v="12"/>
    <x v="2"/>
    <x v="2"/>
    <n v="-21321.55"/>
    <x v="1"/>
    <n v="-21321.55"/>
  </r>
  <r>
    <x v="34"/>
    <s v="OPT-CNXBAN-06-Mar-2024-47300-P-E-I"/>
    <s v="NSE"/>
    <s v="Sell"/>
    <n v="60"/>
    <n v="0"/>
    <n v="275"/>
    <n v="16500"/>
    <s v="#202403053700007167"/>
    <n v="10.31"/>
    <n v="8.33"/>
    <n v="0"/>
    <n v="0.02"/>
    <n v="80"/>
    <n v="15.9"/>
    <n v="114.56"/>
    <n v="2024"/>
    <n v="3"/>
    <n v="2023"/>
    <n v="12"/>
    <n v="12"/>
    <x v="2"/>
    <x v="2"/>
    <n v="16385.439999999999"/>
    <x v="107"/>
    <s v=""/>
  </r>
  <r>
    <x v="34"/>
    <s v="OPT-CNXBAN-06-Mar-2024-47300-P-E-I"/>
    <s v="NSE"/>
    <s v="Sell"/>
    <n v="45"/>
    <n v="0"/>
    <n v="255.75"/>
    <n v="11508.75"/>
    <s v="#202403053700005723"/>
    <n v="7.19"/>
    <n v="5.81"/>
    <n v="0"/>
    <n v="0.01"/>
    <n v="60"/>
    <n v="11.84"/>
    <n v="84.85"/>
    <n v="2024"/>
    <n v="3"/>
    <n v="2023"/>
    <n v="12"/>
    <n v="12"/>
    <x v="2"/>
    <x v="2"/>
    <n v="11423.9"/>
    <x v="108"/>
    <s v=""/>
  </r>
  <r>
    <x v="34"/>
    <s v="OPT-CNXBAN-06-Mar-2024-47300-P-E-I"/>
    <s v="NSE"/>
    <s v="Buy"/>
    <n v="105"/>
    <n v="0"/>
    <n v="239.8"/>
    <n v="25179"/>
    <s v="#202403053700004949"/>
    <n v="0"/>
    <n v="12.72"/>
    <n v="1.02"/>
    <n v="0.03"/>
    <n v="140"/>
    <n v="27.5"/>
    <n v="181.27"/>
    <n v="2024"/>
    <n v="3"/>
    <n v="2023"/>
    <n v="12"/>
    <n v="12"/>
    <x v="2"/>
    <x v="2"/>
    <n v="-25360.27"/>
    <x v="1"/>
    <n v="-25360.27"/>
  </r>
  <r>
    <x v="34"/>
    <s v="OPT-CNXBAN-06-Mar-2024-47400-C-E-I"/>
    <s v="NSE"/>
    <s v="Sell"/>
    <n v="105"/>
    <n v="0"/>
    <n v="215.17"/>
    <n v="22593"/>
    <s v="#202403053700004830"/>
    <n v="13.86"/>
    <n v="11.41"/>
    <n v="0"/>
    <n v="0.02"/>
    <n v="140"/>
    <n v="27.26"/>
    <n v="192.55"/>
    <n v="2024"/>
    <n v="3"/>
    <n v="2023"/>
    <n v="12"/>
    <n v="12"/>
    <x v="2"/>
    <x v="2"/>
    <n v="22400.45"/>
    <x v="109"/>
    <s v=""/>
  </r>
  <r>
    <x v="34"/>
    <s v="OPT-CNXBAN-06-Mar-2024-47400-C-E-I"/>
    <s v="NSE"/>
    <s v="Buy"/>
    <n v="105"/>
    <n v="0"/>
    <n v="252.3"/>
    <n v="26491.5"/>
    <s v="#202403053700003408"/>
    <n v="0"/>
    <n v="13.37"/>
    <n v="0"/>
    <n v="0.03"/>
    <n v="140"/>
    <n v="27.6"/>
    <n v="181"/>
    <n v="2024"/>
    <n v="3"/>
    <n v="2023"/>
    <n v="12"/>
    <n v="12"/>
    <x v="2"/>
    <x v="2"/>
    <n v="-26672.5"/>
    <x v="1"/>
    <n v="-26672.5"/>
  </r>
  <r>
    <x v="35"/>
    <s v="OPT-CNXBAN-06-Mar-2024-48200-C-E-I"/>
    <s v="NSE"/>
    <s v="Sell"/>
    <n v="525"/>
    <n v="0"/>
    <n v="23.65"/>
    <n v="12416.25"/>
    <s v="#202403063700022683"/>
    <n v="7.76"/>
    <n v="6.27"/>
    <n v="0"/>
    <n v="0.01"/>
    <n v="700"/>
    <n v="127.12"/>
    <n v="841.16"/>
    <n v="2024"/>
    <n v="3"/>
    <n v="2023"/>
    <n v="12"/>
    <n v="12"/>
    <x v="2"/>
    <x v="2"/>
    <n v="11575.09"/>
    <x v="110"/>
    <s v=""/>
  </r>
  <r>
    <x v="35"/>
    <s v="OPT-CNXBAN-06-Mar-2024-48200-C-E-I"/>
    <s v="NSE"/>
    <s v="Buy"/>
    <n v="525"/>
    <n v="0"/>
    <n v="52"/>
    <n v="27300"/>
    <s v="#202403063700016795"/>
    <n v="0"/>
    <n v="13.79"/>
    <n v="0.82"/>
    <n v="0.03"/>
    <n v="700"/>
    <n v="128.47999999999999"/>
    <n v="843.12"/>
    <n v="2024"/>
    <n v="3"/>
    <n v="2023"/>
    <n v="12"/>
    <n v="12"/>
    <x v="2"/>
    <x v="2"/>
    <n v="-28143.119999999999"/>
    <x v="1"/>
    <n v="-28143.119999999999"/>
  </r>
  <r>
    <x v="35"/>
    <s v="OPT-CNXBAN-06-Mar-2024-47500-P-E-I"/>
    <s v="NSE"/>
    <s v="Sell"/>
    <n v="510"/>
    <n v="0"/>
    <n v="24.66"/>
    <n v="12576"/>
    <s v="#202403063700013002"/>
    <n v="7.79"/>
    <n v="6.36"/>
    <n v="0"/>
    <n v="0"/>
    <n v="680"/>
    <n v="123.54"/>
    <n v="817.69"/>
    <n v="2024"/>
    <n v="3"/>
    <n v="2023"/>
    <n v="12"/>
    <n v="12"/>
    <x v="2"/>
    <x v="2"/>
    <n v="11758.31"/>
    <x v="111"/>
    <s v=""/>
  </r>
  <r>
    <x v="35"/>
    <s v="OPT-CNXBAN-06-Mar-2024-47500-P-E-I"/>
    <s v="NSE"/>
    <s v="Buy"/>
    <n v="510"/>
    <n v="0"/>
    <n v="41"/>
    <n v="20910"/>
    <s v="#202403063700010613"/>
    <n v="0"/>
    <n v="10.56"/>
    <n v="1.18"/>
    <n v="0.02"/>
    <n v="680"/>
    <n v="124.3"/>
    <n v="816.06"/>
    <n v="2024"/>
    <n v="3"/>
    <n v="2023"/>
    <n v="12"/>
    <n v="12"/>
    <x v="2"/>
    <x v="2"/>
    <n v="-21726.06"/>
    <x v="1"/>
    <n v="-21726.06"/>
  </r>
  <r>
    <x v="35"/>
    <s v="OPT-CNXBAN-06-Mar-2024-47500-P-E-I"/>
    <s v="NSE"/>
    <s v="Sell"/>
    <n v="105"/>
    <n v="0"/>
    <n v="37.4"/>
    <n v="3927"/>
    <s v="#202403063700009269"/>
    <n v="2.4500000000000002"/>
    <n v="1.98"/>
    <n v="0"/>
    <n v="0"/>
    <n v="140"/>
    <n v="25.56"/>
    <n v="169.99"/>
    <n v="2024"/>
    <n v="3"/>
    <n v="2023"/>
    <n v="12"/>
    <n v="12"/>
    <x v="2"/>
    <x v="2"/>
    <n v="3757.01"/>
    <x v="112"/>
    <s v=""/>
  </r>
  <r>
    <x v="35"/>
    <s v="OPT-CNXBAN-06-Mar-2024-47500-P-E-I"/>
    <s v="NSE"/>
    <s v="Buy"/>
    <n v="105"/>
    <n v="0"/>
    <n v="134.69999999999999"/>
    <n v="14143.5"/>
    <s v="#202403063700002291"/>
    <n v="0"/>
    <n v="7.14"/>
    <n v="0"/>
    <n v="0.01"/>
    <n v="140"/>
    <n v="26.48"/>
    <n v="173.63"/>
    <n v="2024"/>
    <n v="3"/>
    <n v="2023"/>
    <n v="12"/>
    <n v="12"/>
    <x v="2"/>
    <x v="2"/>
    <n v="-14317.13"/>
    <x v="1"/>
    <n v="-14317.13"/>
  </r>
  <r>
    <x v="36"/>
    <s v="OPT-CNXBAN-13-Mar-2024-48000-C-E-I"/>
    <s v="NSE"/>
    <s v="Buy"/>
    <n v="75"/>
    <n v="0"/>
    <n v="346.55"/>
    <n v="25991.25"/>
    <s v="#202403073700021762"/>
    <n v="0"/>
    <n v="13.13"/>
    <n v="0.78"/>
    <n v="0.03"/>
    <n v="100"/>
    <n v="20.36"/>
    <n v="134.30000000000001"/>
    <n v="2024"/>
    <n v="3"/>
    <n v="2023"/>
    <n v="12"/>
    <n v="12"/>
    <x v="2"/>
    <x v="2"/>
    <n v="-26125.55"/>
    <x v="1"/>
    <n v="-26125.55"/>
  </r>
  <r>
    <x v="36"/>
    <s v="OPT-CNXBAN-13-Mar-2024-47800-P-E-I"/>
    <s v="NSE"/>
    <s v="Sell"/>
    <n v="105"/>
    <n v="0"/>
    <n v="365.95"/>
    <n v="38424.75"/>
    <s v="#202403073700012820"/>
    <n v="24.02"/>
    <n v="19.399999999999999"/>
    <n v="0"/>
    <n v="0.04"/>
    <n v="140"/>
    <n v="28.7"/>
    <n v="212.16"/>
    <n v="2024"/>
    <n v="3"/>
    <n v="2023"/>
    <n v="12"/>
    <n v="12"/>
    <x v="2"/>
    <x v="2"/>
    <n v="38212.589999999997"/>
    <x v="113"/>
    <s v=""/>
  </r>
  <r>
    <x v="36"/>
    <s v="OPT-CNXBAN-13-Mar-2024-47800-P-E-I"/>
    <s v="NSE"/>
    <s v="Buy"/>
    <n v="105"/>
    <n v="0"/>
    <n v="350.4"/>
    <n v="36792"/>
    <s v="#202403073700011941"/>
    <n v="0"/>
    <n v="18.579999999999998"/>
    <n v="1.1000000000000001"/>
    <n v="0.04"/>
    <n v="140"/>
    <n v="28.56"/>
    <n v="188.28"/>
    <n v="2024"/>
    <n v="3"/>
    <n v="2023"/>
    <n v="12"/>
    <n v="12"/>
    <x v="2"/>
    <x v="2"/>
    <n v="-36980.28"/>
    <x v="1"/>
    <n v="-36980.28"/>
  </r>
  <r>
    <x v="36"/>
    <s v="OPT-CNXBAN-13-Mar-2024-47800-C-E-I"/>
    <s v="NSE"/>
    <s v="Sell"/>
    <n v="105"/>
    <n v="0"/>
    <n v="399.45"/>
    <n v="41942.25"/>
    <s v="#202403073700010084"/>
    <n v="26.3"/>
    <n v="21.18"/>
    <n v="0"/>
    <n v="0.04"/>
    <n v="140"/>
    <n v="29.02"/>
    <n v="216.54"/>
    <n v="2024"/>
    <n v="3"/>
    <n v="2023"/>
    <n v="12"/>
    <n v="12"/>
    <x v="2"/>
    <x v="2"/>
    <n v="41725.71"/>
    <x v="114"/>
    <s v=""/>
  </r>
  <r>
    <x v="36"/>
    <s v="OPT-CNXBAN-13-Mar-2024-47800-C-E-I"/>
    <s v="NSE"/>
    <s v="Buy"/>
    <n v="105"/>
    <n v="0"/>
    <n v="390.85"/>
    <n v="41039.25"/>
    <s v="#202403073700009680"/>
    <n v="0"/>
    <n v="20.72"/>
    <n v="1.28"/>
    <n v="0.04"/>
    <n v="140"/>
    <n v="28.94"/>
    <n v="190.98"/>
    <n v="2024"/>
    <n v="3"/>
    <n v="2023"/>
    <n v="12"/>
    <n v="12"/>
    <x v="2"/>
    <x v="2"/>
    <n v="-41230.230000000003"/>
    <x v="1"/>
    <n v="-41230.230000000003"/>
  </r>
  <r>
    <x v="36"/>
    <s v="OPT-NIFTY-07-Mar-2024-22500-C-E-I"/>
    <s v="NSE"/>
    <s v="Sell"/>
    <n v="900"/>
    <n v="0"/>
    <n v="35"/>
    <n v="31500"/>
    <s v="#202403073700005493"/>
    <n v="19.690000000000001"/>
    <n v="15.91"/>
    <n v="0"/>
    <n v="0.03"/>
    <n v="360"/>
    <n v="67.66"/>
    <n v="463.29"/>
    <n v="2024"/>
    <n v="3"/>
    <n v="2023"/>
    <n v="12"/>
    <n v="12"/>
    <x v="2"/>
    <x v="2"/>
    <n v="31036.71"/>
    <x v="115"/>
    <s v=""/>
  </r>
  <r>
    <x v="36"/>
    <s v="OPT-NIFTY-07-Mar-2024-22500-C-E-I"/>
    <s v="NSE"/>
    <s v="Buy"/>
    <n v="900"/>
    <n v="0"/>
    <n v="31"/>
    <n v="27900"/>
    <s v="#202403073700004328"/>
    <n v="0"/>
    <n v="14.09"/>
    <n v="0.84"/>
    <n v="0.03"/>
    <n v="360"/>
    <n v="67.34"/>
    <n v="442.3"/>
    <n v="2024"/>
    <n v="3"/>
    <n v="2023"/>
    <n v="12"/>
    <n v="12"/>
    <x v="2"/>
    <x v="2"/>
    <n v="-28342.3"/>
    <x v="1"/>
    <n v="-28342.3"/>
  </r>
  <r>
    <x v="37"/>
    <s v="OPT-CNXBAN-13-Mar-2024-47600-P-E-I"/>
    <s v="NSE"/>
    <s v="Sell"/>
    <n v="120"/>
    <n v="0"/>
    <n v="412"/>
    <n v="49440"/>
    <s v="#202403113700013207"/>
    <n v="30.54"/>
    <n v="24.96"/>
    <n v="0"/>
    <n v="0.05"/>
    <n v="160"/>
    <n v="33.299999999999997"/>
    <n v="248.85"/>
    <n v="2024"/>
    <n v="3"/>
    <n v="2023"/>
    <n v="12"/>
    <n v="12"/>
    <x v="2"/>
    <x v="2"/>
    <n v="49191.15"/>
    <x v="116"/>
    <s v=""/>
  </r>
  <r>
    <x v="37"/>
    <s v="OPT-CNXBAN-13-Mar-2024-47600-P-E-I"/>
    <s v="NSE"/>
    <s v="Buy"/>
    <n v="120"/>
    <n v="0"/>
    <n v="301.10000000000002"/>
    <n v="36132"/>
    <s v="#202403112500002974"/>
    <n v="0"/>
    <n v="18.239999999999998"/>
    <n v="1"/>
    <n v="0.04"/>
    <n v="160"/>
    <n v="32.08"/>
    <n v="211.36"/>
    <n v="2024"/>
    <n v="3"/>
    <n v="2023"/>
    <n v="12"/>
    <n v="12"/>
    <x v="2"/>
    <x v="2"/>
    <n v="-36343.360000000001"/>
    <x v="1"/>
    <n v="-36343.360000000001"/>
  </r>
  <r>
    <x v="37"/>
    <s v="OPT-CNXBAN-13-Mar-2024-48000-C-E-I"/>
    <s v="NSE"/>
    <s v="Sell"/>
    <n v="75"/>
    <n v="0"/>
    <n v="201.9"/>
    <n v="15142.5"/>
    <s v="#202403112500002490"/>
    <n v="9.4600000000000009"/>
    <n v="7.65"/>
    <n v="0"/>
    <n v="0.02"/>
    <n v="100"/>
    <n v="19.38"/>
    <n v="136.51"/>
    <n v="2024"/>
    <n v="3"/>
    <n v="2023"/>
    <n v="12"/>
    <n v="12"/>
    <x v="2"/>
    <x v="2"/>
    <n v="15005.99"/>
    <x v="117"/>
    <s v=""/>
  </r>
  <r>
    <x v="38"/>
    <s v="OPT-CNXBAN-13-Mar-2024-47300-P-E-I"/>
    <s v="NSE"/>
    <s v="Sell"/>
    <n v="120"/>
    <n v="0"/>
    <n v="212"/>
    <n v="25440"/>
    <s v="#202403123700027080"/>
    <n v="15.9"/>
    <n v="12.85"/>
    <n v="0"/>
    <n v="0.03"/>
    <n v="160"/>
    <n v="31.1"/>
    <n v="219.88"/>
    <n v="2024"/>
    <n v="3"/>
    <n v="2023"/>
    <n v="12"/>
    <n v="12"/>
    <x v="2"/>
    <x v="2"/>
    <n v="25220.12"/>
    <x v="118"/>
    <s v=""/>
  </r>
  <r>
    <x v="38"/>
    <s v="OPT-CNXBAN-13-Mar-2024-47300-P-E-I"/>
    <s v="NSE"/>
    <s v="Buy"/>
    <n v="60"/>
    <n v="0"/>
    <n v="232"/>
    <n v="13920"/>
    <s v="#202403123700025035"/>
    <n v="0"/>
    <n v="7.03"/>
    <n v="0"/>
    <n v="0.01"/>
    <n v="80"/>
    <n v="15.66"/>
    <n v="102.7"/>
    <n v="2024"/>
    <n v="3"/>
    <n v="2023"/>
    <n v="12"/>
    <n v="12"/>
    <x v="2"/>
    <x v="2"/>
    <n v="-14022.7"/>
    <x v="1"/>
    <n v="-14022.7"/>
  </r>
  <r>
    <x v="38"/>
    <s v="OPT-CNXBAN-13-Mar-2024-47300-P-E-I"/>
    <s v="NSE"/>
    <s v="Buy"/>
    <n v="60"/>
    <n v="0"/>
    <n v="237.4"/>
    <n v="14244"/>
    <s v="#202403123700024762"/>
    <n v="0"/>
    <n v="7.19"/>
    <n v="0.84"/>
    <n v="0.01"/>
    <n v="80"/>
    <n v="15.7"/>
    <n v="103.74"/>
    <n v="2024"/>
    <n v="3"/>
    <n v="2023"/>
    <n v="12"/>
    <n v="12"/>
    <x v="2"/>
    <x v="2"/>
    <n v="-14347.74"/>
    <x v="1"/>
    <n v="-14347.74"/>
  </r>
  <r>
    <x v="38"/>
    <s v="OPT-CNXBAN-13-Mar-2024-47300-C-E-I"/>
    <s v="NSE"/>
    <s v="Sell"/>
    <n v="135"/>
    <n v="0"/>
    <n v="281.10000000000002"/>
    <n v="37948.5"/>
    <s v="#202403123700017350"/>
    <n v="24.12"/>
    <n v="19.16"/>
    <n v="0"/>
    <n v="0.04"/>
    <n v="180"/>
    <n v="35.86"/>
    <n v="259.18"/>
    <n v="2024"/>
    <n v="3"/>
    <n v="2023"/>
    <n v="12"/>
    <n v="12"/>
    <x v="2"/>
    <x v="2"/>
    <n v="37689.32"/>
    <x v="119"/>
    <s v=""/>
  </r>
  <r>
    <x v="38"/>
    <s v="OPT-CNXBAN-13-Mar-2024-47300-C-E-I"/>
    <s v="NSE"/>
    <s v="Buy"/>
    <n v="45"/>
    <n v="0"/>
    <n v="237.95"/>
    <n v="10707.75"/>
    <s v="#202403123700017207"/>
    <n v="0"/>
    <n v="5.4"/>
    <n v="0"/>
    <n v="0.01"/>
    <n v="60"/>
    <n v="11.76"/>
    <n v="77.17"/>
    <n v="2024"/>
    <n v="3"/>
    <n v="2023"/>
    <n v="12"/>
    <n v="12"/>
    <x v="2"/>
    <x v="2"/>
    <n v="-10784.92"/>
    <x v="1"/>
    <n v="-10784.92"/>
  </r>
  <r>
    <x v="38"/>
    <s v="OPT-CNXBAN-13-Mar-2024-47300-C-E-I"/>
    <s v="NSE"/>
    <s v="Buy"/>
    <n v="45"/>
    <n v="0"/>
    <n v="238.55"/>
    <n v="10734.75"/>
    <s v="#202403123700016542"/>
    <n v="0"/>
    <n v="5.42"/>
    <n v="1.0900000000000001"/>
    <n v="0.01"/>
    <n v="60"/>
    <n v="11.78"/>
    <n v="78.3"/>
    <n v="2024"/>
    <n v="3"/>
    <n v="2023"/>
    <n v="12"/>
    <n v="12"/>
    <x v="2"/>
    <x v="2"/>
    <n v="-10813.05"/>
    <x v="1"/>
    <n v="-10813.05"/>
  </r>
  <r>
    <x v="38"/>
    <s v="OPT-CNXBAN-13-Mar-2024-47300-C-E-I"/>
    <s v="NSE"/>
    <s v="Buy"/>
    <n v="45"/>
    <n v="0"/>
    <n v="301.8"/>
    <n v="13581"/>
    <s v="#202403123700016265"/>
    <n v="0"/>
    <n v="6.86"/>
    <n v="0"/>
    <n v="0.01"/>
    <n v="60"/>
    <n v="12.04"/>
    <n v="78.91"/>
    <n v="2024"/>
    <n v="3"/>
    <n v="2023"/>
    <n v="12"/>
    <n v="12"/>
    <x v="2"/>
    <x v="2"/>
    <n v="-13659.91"/>
    <x v="1"/>
    <n v="-13659.91"/>
  </r>
  <r>
    <x v="38"/>
    <s v="OPT-CNXBAN-13-Mar-2024-47600-C-E-I"/>
    <s v="NSE"/>
    <s v="Sell"/>
    <n v="150"/>
    <n v="0"/>
    <n v="147.25"/>
    <n v="22087.5"/>
    <s v="#202403123700010420"/>
    <n v="13.8"/>
    <n v="11.15"/>
    <n v="0"/>
    <n v="0.02"/>
    <n v="200"/>
    <n v="38.020000000000003"/>
    <n v="262.99"/>
    <n v="2024"/>
    <n v="3"/>
    <n v="2023"/>
    <n v="12"/>
    <n v="12"/>
    <x v="2"/>
    <x v="2"/>
    <n v="21824.51"/>
    <x v="120"/>
    <s v=""/>
  </r>
  <r>
    <x v="38"/>
    <s v="OPT-CNXBAN-13-Mar-2024-47600-C-E-I"/>
    <s v="NSE"/>
    <s v="Buy"/>
    <n v="60"/>
    <n v="0"/>
    <n v="105.25"/>
    <n v="6315"/>
    <s v="#202403123700009658"/>
    <n v="0"/>
    <n v="3.19"/>
    <n v="0.61"/>
    <n v="0.01"/>
    <n v="80"/>
    <n v="14.98"/>
    <n v="98.79"/>
    <n v="2024"/>
    <n v="3"/>
    <n v="2023"/>
    <n v="12"/>
    <n v="12"/>
    <x v="2"/>
    <x v="2"/>
    <n v="-6413.79"/>
    <x v="1"/>
    <n v="-6413.79"/>
  </r>
  <r>
    <x v="38"/>
    <s v="OPT-CNXBAN-13-Mar-2024-47600-C-E-I"/>
    <s v="NSE"/>
    <s v="Buy"/>
    <n v="60"/>
    <n v="0"/>
    <n v="99.03"/>
    <n v="5941.5"/>
    <s v="#202403123700009535"/>
    <n v="0"/>
    <n v="3"/>
    <n v="0"/>
    <n v="0"/>
    <n v="80"/>
    <n v="14.94"/>
    <n v="97.94"/>
    <n v="2024"/>
    <n v="3"/>
    <n v="2023"/>
    <n v="12"/>
    <n v="12"/>
    <x v="2"/>
    <x v="2"/>
    <n v="-6039.44"/>
    <x v="1"/>
    <n v="-6039.44"/>
  </r>
  <r>
    <x v="38"/>
    <s v="OPT-CNXBAN-13-Mar-2024-47600-C-E-I"/>
    <s v="NSE"/>
    <s v="Buy"/>
    <n v="30"/>
    <n v="0"/>
    <n v="270.05"/>
    <n v="8101.5"/>
    <s v="#202403123700008861"/>
    <n v="0"/>
    <n v="4.09"/>
    <n v="0"/>
    <n v="0.01"/>
    <n v="40"/>
    <n v="7.94"/>
    <n v="52.04"/>
    <n v="2024"/>
    <n v="3"/>
    <n v="2023"/>
    <n v="12"/>
    <n v="12"/>
    <x v="2"/>
    <x v="2"/>
    <n v="-8153.54"/>
    <x v="1"/>
    <n v="-8153.54"/>
  </r>
  <r>
    <x v="38"/>
    <s v="OPT-CNXBAN-13-Mar-2024-48000-C-E-I"/>
    <s v="NSE"/>
    <s v="Sell"/>
    <n v="120"/>
    <n v="0"/>
    <n v="145.05000000000001"/>
    <n v="17406"/>
    <s v="#202403123700004000"/>
    <n v="10.88"/>
    <n v="8.7899999999999991"/>
    <n v="0"/>
    <n v="0.01"/>
    <n v="160"/>
    <n v="30.38"/>
    <n v="210.06"/>
    <n v="2024"/>
    <n v="3"/>
    <n v="2023"/>
    <n v="12"/>
    <n v="12"/>
    <x v="2"/>
    <x v="2"/>
    <n v="17195.939999999999"/>
    <x v="121"/>
    <s v=""/>
  </r>
  <r>
    <x v="38"/>
    <s v="OPT-CNXBAN-13-Mar-2024-48000-C-E-I"/>
    <s v="NSE"/>
    <s v="Buy"/>
    <n v="120"/>
    <n v="0"/>
    <n v="127.18"/>
    <n v="15261"/>
    <s v="#202403123700003914"/>
    <n v="0"/>
    <n v="7.71"/>
    <n v="0.46"/>
    <n v="0.01"/>
    <n v="160"/>
    <n v="30.18"/>
    <n v="198.36"/>
    <n v="2024"/>
    <n v="3"/>
    <n v="2023"/>
    <n v="12"/>
    <n v="12"/>
    <x v="2"/>
    <x v="2"/>
    <n v="-15459.36"/>
    <x v="1"/>
    <n v="-15459.36"/>
  </r>
  <r>
    <x v="38"/>
    <s v="OPT-CNXBAN-13-Mar-2024-47300-C-E-I"/>
    <s v="NSE"/>
    <s v="Sell"/>
    <n v="30"/>
    <n v="0"/>
    <n v="282.7"/>
    <n v="8481"/>
    <s v="#202403123700002227"/>
    <n v="5.3"/>
    <n v="4.28"/>
    <n v="0"/>
    <n v="0"/>
    <n v="40"/>
    <n v="7.96"/>
    <n v="57.54"/>
    <n v="2024"/>
    <n v="3"/>
    <n v="2023"/>
    <n v="12"/>
    <n v="12"/>
    <x v="2"/>
    <x v="2"/>
    <n v="8423.4599999999991"/>
    <x v="122"/>
    <s v=""/>
  </r>
  <r>
    <x v="38"/>
    <s v="OPT-CNXBAN-13-Mar-2024-47300-C-E-I"/>
    <s v="NSE"/>
    <s v="Buy"/>
    <n v="15"/>
    <n v="0"/>
    <n v="232.9"/>
    <n v="3493.5"/>
    <s v="#202403123700001972"/>
    <n v="0"/>
    <n v="1.76"/>
    <n v="0"/>
    <n v="0"/>
    <n v="20"/>
    <n v="3.92"/>
    <n v="25.68"/>
    <n v="2024"/>
    <n v="3"/>
    <n v="2023"/>
    <n v="12"/>
    <n v="12"/>
    <x v="2"/>
    <x v="2"/>
    <n v="-3519.18"/>
    <x v="1"/>
    <n v="-3519.18"/>
  </r>
  <r>
    <x v="38"/>
    <s v="OPT-CNXBAN-13-Mar-2024-47300-C-E-I"/>
    <s v="NSE"/>
    <s v="Buy"/>
    <n v="15"/>
    <n v="0"/>
    <n v="242.5"/>
    <n v="3637.5"/>
    <s v="#202403123700001482"/>
    <n v="0"/>
    <n v="1.84"/>
    <n v="0"/>
    <n v="0"/>
    <n v="20"/>
    <n v="3.94"/>
    <n v="25.78"/>
    <n v="2024"/>
    <n v="3"/>
    <n v="2023"/>
    <n v="12"/>
    <n v="12"/>
    <x v="2"/>
    <x v="2"/>
    <n v="-3663.28"/>
    <x v="1"/>
    <n v="-3663.28"/>
  </r>
  <r>
    <x v="39"/>
    <s v="OPT-CNXBAN-13-Mar-2024-46900-P-E-I"/>
    <s v="NSE"/>
    <s v="Sell"/>
    <n v="900"/>
    <n v="0"/>
    <n v="30.1"/>
    <n v="27090"/>
    <s v="#202403133700022718"/>
    <n v="16.93"/>
    <n v="13.68"/>
    <n v="0"/>
    <n v="0.03"/>
    <n v="1200"/>
    <n v="218.46"/>
    <n v="1449.1"/>
    <n v="2024"/>
    <n v="3"/>
    <n v="2023"/>
    <n v="12"/>
    <n v="12"/>
    <x v="2"/>
    <x v="2"/>
    <n v="25640.9"/>
    <x v="123"/>
    <s v=""/>
  </r>
  <r>
    <x v="39"/>
    <s v="OPT-CNXBAN-13-Mar-2024-46900-P-E-I"/>
    <s v="NSE"/>
    <s v="Buy"/>
    <n v="900"/>
    <n v="0"/>
    <n v="49.1"/>
    <n v="44190"/>
    <s v="#202403133700019248"/>
    <n v="0"/>
    <n v="22.32"/>
    <n v="1.33"/>
    <n v="0.03"/>
    <n v="1200"/>
    <n v="220"/>
    <n v="1443.68"/>
    <n v="2024"/>
    <n v="3"/>
    <n v="2023"/>
    <n v="12"/>
    <n v="12"/>
    <x v="2"/>
    <x v="2"/>
    <n v="-45633.68"/>
    <x v="1"/>
    <n v="-45633.68"/>
  </r>
  <r>
    <x v="39"/>
    <s v="OPT-CNXBAN-13-Mar-2024-47100-P-E-I"/>
    <s v="NSE"/>
    <s v="Sell"/>
    <n v="300"/>
    <n v="0"/>
    <n v="78.31"/>
    <n v="23491.5"/>
    <s v="#202403133700017623"/>
    <n v="14.68"/>
    <n v="11.87"/>
    <n v="0"/>
    <n v="0.02"/>
    <n v="400"/>
    <n v="74.14"/>
    <n v="500.71"/>
    <n v="2024"/>
    <n v="3"/>
    <n v="2023"/>
    <n v="12"/>
    <n v="12"/>
    <x v="2"/>
    <x v="2"/>
    <n v="22990.79"/>
    <x v="124"/>
    <s v=""/>
  </r>
  <r>
    <x v="39"/>
    <s v="OPT-CNXBAN-13-Mar-2024-47100-P-E-I"/>
    <s v="NSE"/>
    <s v="Buy"/>
    <n v="300"/>
    <n v="0"/>
    <n v="105.45"/>
    <n v="31635"/>
    <s v="#202403133700014950"/>
    <n v="0"/>
    <n v="15.98"/>
    <n v="0.95"/>
    <n v="0.03"/>
    <n v="400"/>
    <n v="74.88"/>
    <n v="491.84"/>
    <n v="2024"/>
    <n v="3"/>
    <n v="2023"/>
    <n v="12"/>
    <n v="12"/>
    <x v="2"/>
    <x v="2"/>
    <n v="-32126.84"/>
    <x v="1"/>
    <n v="-32126.84"/>
  </r>
  <r>
    <x v="39"/>
    <s v="OPT-CNXBAN-13-Mar-2024-47400-C-E-I"/>
    <s v="NSE"/>
    <s v="Sell"/>
    <n v="600"/>
    <n v="0"/>
    <n v="40.39"/>
    <n v="24234.75"/>
    <s v="#202403133700012884"/>
    <n v="15.18"/>
    <n v="12.23"/>
    <n v="0"/>
    <n v="0"/>
    <n v="800"/>
    <n v="146.16"/>
    <n v="973.57"/>
    <n v="2024"/>
    <n v="3"/>
    <n v="2023"/>
    <n v="12"/>
    <n v="12"/>
    <x v="2"/>
    <x v="2"/>
    <n v="23261.18"/>
    <x v="125"/>
    <s v=""/>
  </r>
  <r>
    <x v="39"/>
    <s v="OPT-CNXBAN-13-Mar-2024-47400-C-E-I"/>
    <s v="NSE"/>
    <s v="Buy"/>
    <n v="600"/>
    <n v="0"/>
    <n v="47.95"/>
    <n v="28771.5"/>
    <s v="#202403133700011981"/>
    <n v="0"/>
    <n v="14.54"/>
    <n v="2.84"/>
    <n v="0.03"/>
    <n v="800"/>
    <n v="146.63999999999999"/>
    <n v="964.05"/>
    <n v="2024"/>
    <n v="3"/>
    <n v="2023"/>
    <n v="12"/>
    <n v="12"/>
    <x v="2"/>
    <x v="2"/>
    <n v="-29735.55"/>
    <x v="1"/>
    <n v="-29735.55"/>
  </r>
  <r>
    <x v="39"/>
    <s v="OPT-CNXBAN-13-Mar-2024-47400-C-E-I"/>
    <s v="NSE"/>
    <s v="Sell"/>
    <n v="210"/>
    <n v="0"/>
    <n v="61.5"/>
    <n v="12915"/>
    <s v="#202403133700010327"/>
    <n v="8.07"/>
    <n v="6.52"/>
    <n v="0"/>
    <n v="0.01"/>
    <n v="280"/>
    <n v="51.58"/>
    <n v="346.18"/>
    <n v="2024"/>
    <n v="3"/>
    <n v="2023"/>
    <n v="12"/>
    <n v="12"/>
    <x v="2"/>
    <x v="2"/>
    <n v="12568.82"/>
    <x v="126"/>
    <s v=""/>
  </r>
  <r>
    <x v="39"/>
    <s v="OPT-CNXBAN-13-Mar-2024-47400-C-E-I"/>
    <s v="NSE"/>
    <s v="Buy"/>
    <n v="105"/>
    <n v="0"/>
    <n v="72.349999999999994"/>
    <n v="7596.75"/>
    <s v="#202403133700009175"/>
    <n v="0"/>
    <n v="3.84"/>
    <n v="0"/>
    <n v="0.01"/>
    <n v="140"/>
    <n v="25.9"/>
    <n v="169.75"/>
    <n v="2024"/>
    <n v="3"/>
    <n v="2023"/>
    <n v="12"/>
    <n v="12"/>
    <x v="2"/>
    <x v="2"/>
    <n v="-7766.5"/>
    <x v="1"/>
    <n v="-7766.5"/>
  </r>
  <r>
    <x v="39"/>
    <s v="OPT-CNXBAN-13-Mar-2024-47400-C-E-I"/>
    <s v="NSE"/>
    <s v="Buy"/>
    <n v="105"/>
    <n v="0"/>
    <n v="107.45"/>
    <n v="11282.25"/>
    <s v="#202403133700007747"/>
    <n v="0"/>
    <n v="5.7"/>
    <n v="0"/>
    <n v="0.01"/>
    <n v="140"/>
    <n v="26.22"/>
    <n v="171.93"/>
    <n v="2024"/>
    <n v="3"/>
    <n v="2023"/>
    <n v="12"/>
    <n v="12"/>
    <x v="2"/>
    <x v="2"/>
    <n v="-11454.18"/>
    <x v="1"/>
    <n v="-11454.18"/>
  </r>
  <r>
    <x v="39"/>
    <s v="OPT-CNXBAN-13-Mar-2024-47300-P-E-I"/>
    <s v="NSE"/>
    <s v="Sell"/>
    <n v="240"/>
    <n v="0"/>
    <n v="143.75"/>
    <n v="34500"/>
    <s v="#202403133700005032"/>
    <n v="21.56"/>
    <n v="17.420000000000002"/>
    <n v="0"/>
    <n v="0.04"/>
    <n v="320"/>
    <n v="60.76"/>
    <n v="419.78"/>
    <n v="2024"/>
    <n v="3"/>
    <n v="2023"/>
    <n v="12"/>
    <n v="12"/>
    <x v="2"/>
    <x v="2"/>
    <n v="34080.22"/>
    <x v="127"/>
    <s v=""/>
  </r>
  <r>
    <x v="39"/>
    <s v="OPT-CNXBAN-13-Mar-2024-47300-P-E-I"/>
    <s v="NSE"/>
    <s v="Buy"/>
    <n v="240"/>
    <n v="0"/>
    <n v="122.9"/>
    <n v="29496"/>
    <s v="#202403133700004972"/>
    <n v="0"/>
    <n v="14.9"/>
    <n v="0.88"/>
    <n v="0.03"/>
    <n v="320"/>
    <n v="60.28"/>
    <n v="396.09"/>
    <n v="2024"/>
    <n v="3"/>
    <n v="2023"/>
    <n v="12"/>
    <n v="12"/>
    <x v="2"/>
    <x v="2"/>
    <n v="-29892.09"/>
    <x v="1"/>
    <n v="-29892.09"/>
  </r>
  <r>
    <x v="39"/>
    <s v="OPT-CNXBAN-13-Mar-2024-47400-C-E-I"/>
    <s v="NSE"/>
    <s v="Sell"/>
    <n v="240"/>
    <n v="0"/>
    <n v="110.61"/>
    <n v="26547"/>
    <s v="#202403133700004486"/>
    <n v="16.59"/>
    <n v="13.41"/>
    <n v="0"/>
    <n v="0.02"/>
    <n v="320"/>
    <n v="60.04"/>
    <n v="410.06"/>
    <n v="2024"/>
    <n v="3"/>
    <n v="2023"/>
    <n v="12"/>
    <n v="12"/>
    <x v="2"/>
    <x v="2"/>
    <n v="26136.94"/>
    <x v="128"/>
    <s v=""/>
  </r>
  <r>
    <x v="39"/>
    <s v="OPT-CNXBAN-13-Mar-2024-47400-C-E-I"/>
    <s v="NSE"/>
    <s v="Buy"/>
    <n v="120"/>
    <n v="0"/>
    <n v="126.05"/>
    <n v="15126"/>
    <s v="#202403133700004054"/>
    <n v="0"/>
    <n v="7.64"/>
    <n v="0"/>
    <n v="0.01"/>
    <n v="160"/>
    <n v="30.16"/>
    <n v="197.81"/>
    <n v="2024"/>
    <n v="3"/>
    <n v="2023"/>
    <n v="12"/>
    <n v="12"/>
    <x v="2"/>
    <x v="2"/>
    <n v="-15323.81"/>
    <x v="1"/>
    <n v="-15323.81"/>
  </r>
  <r>
    <x v="39"/>
    <s v="OPT-CNXBAN-13-Mar-2024-47400-C-E-I"/>
    <s v="NSE"/>
    <s v="Buy"/>
    <n v="120"/>
    <n v="0"/>
    <n v="140.22999999999999"/>
    <n v="16827.75"/>
    <s v="#202403133700002093"/>
    <n v="0"/>
    <n v="8.5"/>
    <n v="0"/>
    <n v="0.02"/>
    <n v="160"/>
    <n v="30.34"/>
    <n v="198.86"/>
    <n v="2024"/>
    <n v="3"/>
    <n v="2023"/>
    <n v="12"/>
    <n v="12"/>
    <x v="2"/>
    <x v="2"/>
    <n v="-17026.61"/>
    <x v="1"/>
    <n v="-17026.61"/>
  </r>
  <r>
    <x v="40"/>
    <s v="OPT-CNXBAN-20-Mar-2024-47200-C-E-I"/>
    <s v="NSE"/>
    <s v="Sell"/>
    <n v="45"/>
    <n v="0"/>
    <n v="283.2"/>
    <n v="12744"/>
    <s v="#202403143700025858"/>
    <n v="7.97"/>
    <n v="6.44"/>
    <n v="0"/>
    <n v="0.01"/>
    <n v="60"/>
    <n v="11.96"/>
    <n v="86.38"/>
    <n v="2024"/>
    <n v="3"/>
    <n v="2023"/>
    <n v="12"/>
    <n v="12"/>
    <x v="2"/>
    <x v="2"/>
    <n v="12657.62"/>
    <x v="129"/>
    <s v=""/>
  </r>
  <r>
    <x v="40"/>
    <s v="OPT-CNXBAN-20-Mar-2024-47200-C-E-I"/>
    <s v="NSE"/>
    <s v="Buy"/>
    <n v="30"/>
    <n v="0"/>
    <n v="488.45"/>
    <n v="14653.5"/>
    <s v="#202403143700016131"/>
    <n v="0"/>
    <n v="7.4"/>
    <n v="0.3"/>
    <n v="0.01"/>
    <n v="40"/>
    <n v="8.5399999999999991"/>
    <n v="56.25"/>
    <n v="2024"/>
    <n v="3"/>
    <n v="2023"/>
    <n v="12"/>
    <n v="12"/>
    <x v="2"/>
    <x v="2"/>
    <n v="-14709.75"/>
    <x v="1"/>
    <n v="-14709.75"/>
  </r>
  <r>
    <x v="40"/>
    <s v="OPT-CNXBAN-20-Mar-2024-47200-C-E-I"/>
    <s v="NSE"/>
    <s v="Buy"/>
    <n v="15"/>
    <n v="0"/>
    <n v="479.1"/>
    <n v="7186.5"/>
    <s v="#202403143700012519"/>
    <n v="0"/>
    <n v="3.63"/>
    <n v="0"/>
    <n v="0.01"/>
    <n v="20"/>
    <n v="4.26"/>
    <n v="27.9"/>
    <n v="2024"/>
    <n v="3"/>
    <n v="2023"/>
    <n v="12"/>
    <n v="12"/>
    <x v="2"/>
    <x v="2"/>
    <n v="-7214.4"/>
    <x v="1"/>
    <n v="-7214.4"/>
  </r>
  <r>
    <x v="40"/>
    <s v="OPT-CNXBAN-20-Mar-2024-46800-C-E-I"/>
    <s v="NSE"/>
    <s v="Sell"/>
    <n v="30"/>
    <n v="0"/>
    <n v="590.04999999999995"/>
    <n v="17701.5"/>
    <s v="#202403143700008272"/>
    <n v="11.06"/>
    <n v="8.94"/>
    <n v="0"/>
    <n v="0.02"/>
    <n v="40"/>
    <n v="8.8000000000000007"/>
    <n v="68.819999999999993"/>
    <n v="2024"/>
    <n v="3"/>
    <n v="2023"/>
    <n v="12"/>
    <n v="12"/>
    <x v="2"/>
    <x v="2"/>
    <n v="17632.68"/>
    <x v="130"/>
    <s v=""/>
  </r>
  <r>
    <x v="40"/>
    <s v="OPT-CNXBAN-20-Mar-2024-46800-C-E-I"/>
    <s v="NSE"/>
    <s v="Buy"/>
    <n v="15"/>
    <n v="0"/>
    <n v="486.45"/>
    <n v="7296.75"/>
    <s v="#202403143700004465"/>
    <n v="0"/>
    <n v="3.68"/>
    <n v="0.46"/>
    <n v="0.01"/>
    <n v="20"/>
    <n v="4.26"/>
    <n v="28.41"/>
    <n v="2024"/>
    <n v="3"/>
    <n v="2023"/>
    <n v="12"/>
    <n v="12"/>
    <x v="2"/>
    <x v="2"/>
    <n v="-7325.16"/>
    <x v="1"/>
    <n v="-7325.16"/>
  </r>
  <r>
    <x v="40"/>
    <s v="OPT-CNXBAN-20-Mar-2024-46800-C-E-I"/>
    <s v="NSE"/>
    <s v="Buy"/>
    <n v="15"/>
    <n v="0"/>
    <n v="529.70000000000005"/>
    <n v="7945.5"/>
    <s v="#202403143700003320"/>
    <n v="0"/>
    <n v="4.01"/>
    <n v="0"/>
    <n v="0.01"/>
    <n v="20"/>
    <n v="4.32"/>
    <n v="28.34"/>
    <n v="2024"/>
    <n v="3"/>
    <n v="2023"/>
    <n v="12"/>
    <n v="12"/>
    <x v="2"/>
    <x v="2"/>
    <n v="-7973.84"/>
    <x v="1"/>
    <n v="-7973.84"/>
  </r>
  <r>
    <x v="40"/>
    <s v="OPT-CNXBAN-20-Mar-2024-46700-C-E-I"/>
    <s v="NSE"/>
    <s v="Sell"/>
    <n v="15"/>
    <n v="0"/>
    <n v="553.04999999999995"/>
    <n v="8295.75"/>
    <s v="#202403143700001174"/>
    <n v="4.97"/>
    <n v="4.1900000000000004"/>
    <n v="0"/>
    <n v="0.01"/>
    <n v="20"/>
    <n v="4.3600000000000003"/>
    <n v="33.53"/>
    <n v="2024"/>
    <n v="3"/>
    <n v="2023"/>
    <n v="12"/>
    <n v="12"/>
    <x v="2"/>
    <x v="2"/>
    <n v="8262.2199999999993"/>
    <x v="131"/>
    <s v=""/>
  </r>
  <r>
    <x v="40"/>
    <s v="OPT-CNXBAN-20-Mar-2024-46700-C-E-I"/>
    <s v="NSE"/>
    <s v="Buy"/>
    <n v="15"/>
    <n v="0"/>
    <n v="527.9"/>
    <n v="7918.5"/>
    <s v="#202403143700001014"/>
    <n v="0"/>
    <n v="4"/>
    <n v="0.24"/>
    <n v="0.01"/>
    <n v="20"/>
    <n v="4.32"/>
    <n v="28.57"/>
    <n v="2024"/>
    <n v="3"/>
    <n v="2023"/>
    <n v="12"/>
    <n v="12"/>
    <x v="2"/>
    <x v="2"/>
    <n v="-7947.07"/>
    <x v="1"/>
    <n v="-7947.07"/>
  </r>
  <r>
    <x v="41"/>
    <s v="OPT-CNXBAN-20-Mar-2024-47900-C-E-I"/>
    <s v="NSE"/>
    <s v="Buy"/>
    <n v="30"/>
    <n v="0"/>
    <n v="35.700000000000003"/>
    <n v="1071"/>
    <s v="#202403153700023749"/>
    <n v="0"/>
    <n v="0.54"/>
    <n v="0"/>
    <n v="0"/>
    <n v="40"/>
    <n v="7.3"/>
    <n v="47.84"/>
    <n v="2024"/>
    <n v="3"/>
    <n v="2023"/>
    <n v="12"/>
    <n v="12"/>
    <x v="2"/>
    <x v="2"/>
    <n v="-1118.8399999999999"/>
    <x v="1"/>
    <n v="-1118.8399999999999"/>
  </r>
  <r>
    <x v="41"/>
    <s v="OPT-CNXBAN-20-Mar-2024-46400-P-E-I"/>
    <s v="NSE"/>
    <s v="Sell"/>
    <n v="15"/>
    <n v="0"/>
    <n v="363.4"/>
    <n v="5451"/>
    <s v="#202403153700020770"/>
    <n v="3"/>
    <n v="2.75"/>
    <n v="0"/>
    <n v="0.01"/>
    <n v="20"/>
    <n v="4.0999999999999996"/>
    <n v="29.86"/>
    <n v="2024"/>
    <n v="3"/>
    <n v="2023"/>
    <n v="12"/>
    <n v="12"/>
    <x v="2"/>
    <x v="2"/>
    <n v="5421.14"/>
    <x v="132"/>
    <s v=""/>
  </r>
  <r>
    <x v="41"/>
    <s v="OPT-CNXBAN-20-Mar-2024-46400-P-E-I"/>
    <s v="NSE"/>
    <s v="Buy"/>
    <n v="15"/>
    <n v="0"/>
    <n v="264.64999999999998"/>
    <n v="3969.75"/>
    <s v="#202403153700019525"/>
    <n v="0"/>
    <n v="2"/>
    <n v="0"/>
    <n v="0"/>
    <n v="20"/>
    <n v="3.96"/>
    <n v="25.96"/>
    <n v="2024"/>
    <n v="3"/>
    <n v="2023"/>
    <n v="12"/>
    <n v="12"/>
    <x v="2"/>
    <x v="2"/>
    <n v="-3995.71"/>
    <x v="1"/>
    <n v="-3995.71"/>
  </r>
  <r>
    <x v="42"/>
    <s v="OPT-CNXBAN-20-Mar-2024-46100-P-E-I"/>
    <s v="NSE"/>
    <s v="Sell"/>
    <n v="30"/>
    <n v="0"/>
    <n v="124.2"/>
    <n v="3726"/>
    <s v="#202403183700015510"/>
    <n v="2.33"/>
    <n v="1.88"/>
    <n v="0"/>
    <n v="0"/>
    <n v="40"/>
    <n v="7.54"/>
    <n v="51.75"/>
    <n v="2024"/>
    <n v="3"/>
    <n v="2023"/>
    <n v="12"/>
    <n v="12"/>
    <x v="2"/>
    <x v="2"/>
    <n v="3674.25"/>
    <x v="133"/>
    <s v=""/>
  </r>
  <r>
    <x v="42"/>
    <s v="OPT-CNXBAN-20-Mar-2024-46100-P-E-I"/>
    <s v="NSE"/>
    <s v="Buy"/>
    <n v="15"/>
    <n v="0"/>
    <n v="255.45"/>
    <n v="3831.75"/>
    <s v="#202403183700012135"/>
    <n v="0"/>
    <n v="1.94"/>
    <n v="0.69"/>
    <n v="0"/>
    <n v="20"/>
    <n v="3.94"/>
    <n v="26.57"/>
    <n v="2024"/>
    <n v="3"/>
    <n v="2023"/>
    <n v="12"/>
    <n v="12"/>
    <x v="2"/>
    <x v="2"/>
    <n v="-3858.32"/>
    <x v="1"/>
    <n v="-3858.32"/>
  </r>
  <r>
    <x v="42"/>
    <s v="OPT-CNXBAN-20-Mar-2024-46100-P-E-I"/>
    <s v="NSE"/>
    <s v="Buy"/>
    <n v="15"/>
    <n v="0"/>
    <n v="277.3"/>
    <n v="4159.5"/>
    <s v="#202403183700010537"/>
    <n v="0"/>
    <n v="2.1"/>
    <n v="0"/>
    <n v="0"/>
    <n v="20"/>
    <n v="3.98"/>
    <n v="26.08"/>
    <n v="2024"/>
    <n v="3"/>
    <n v="2023"/>
    <n v="12"/>
    <n v="12"/>
    <x v="2"/>
    <x v="2"/>
    <n v="-4185.58"/>
    <x v="1"/>
    <n v="-4185.58"/>
  </r>
  <r>
    <x v="42"/>
    <s v="OPT-CNXBAN-20-Mar-2024-47900-C-E-I"/>
    <s v="NSE"/>
    <s v="Sell"/>
    <n v="30"/>
    <n v="0"/>
    <n v="16.7"/>
    <n v="501"/>
    <s v="#202403183700010440"/>
    <n v="0.31"/>
    <n v="0.25"/>
    <n v="0"/>
    <n v="0"/>
    <n v="40"/>
    <n v="7.24"/>
    <n v="47.8"/>
    <n v="2024"/>
    <n v="3"/>
    <n v="2023"/>
    <n v="12"/>
    <n v="12"/>
    <x v="2"/>
    <x v="2"/>
    <n v="453.2"/>
    <x v="134"/>
    <s v=""/>
  </r>
  <r>
    <x v="42"/>
    <s v="OPT-CNXBAN-20-Mar-2024-46400-P-E-I"/>
    <s v="NSE"/>
    <s v="Sell"/>
    <n v="15"/>
    <n v="0"/>
    <n v="418.25"/>
    <n v="6273.75"/>
    <s v="#202403183700010355"/>
    <n v="3.92"/>
    <n v="3.17"/>
    <n v="0"/>
    <n v="0.01"/>
    <n v="20"/>
    <n v="4.18"/>
    <n v="31.28"/>
    <n v="2024"/>
    <n v="3"/>
    <n v="2023"/>
    <n v="12"/>
    <n v="12"/>
    <x v="2"/>
    <x v="2"/>
    <n v="6242.47"/>
    <x v="135"/>
    <s v=""/>
  </r>
  <r>
    <x v="42"/>
    <s v="OPT-CNXBAN-20-Mar-2024-46400-P-E-I"/>
    <s v="NSE"/>
    <s v="Buy"/>
    <n v="15"/>
    <n v="0"/>
    <n v="331.5"/>
    <n v="4972.5"/>
    <s v="#202403183700008229"/>
    <n v="0"/>
    <n v="2.5099999999999998"/>
    <n v="0.15"/>
    <n v="0"/>
    <n v="20"/>
    <n v="4.0599999999999996"/>
    <n v="26.72"/>
    <n v="2024"/>
    <n v="3"/>
    <n v="2023"/>
    <n v="12"/>
    <n v="12"/>
    <x v="2"/>
    <x v="2"/>
    <n v="-4999.22"/>
    <x v="1"/>
    <n v="-4999.22"/>
  </r>
  <r>
    <x v="42"/>
    <s v="OPT-CNXBAN-20-Mar-2024-46500-P-E-I"/>
    <s v="NSE"/>
    <s v="Sell"/>
    <n v="15"/>
    <n v="0"/>
    <n v="425"/>
    <n v="6375"/>
    <s v="#202403183700005755"/>
    <n v="4.4400000000000004"/>
    <n v="3.22"/>
    <n v="0"/>
    <n v="0.01"/>
    <n v="20"/>
    <n v="4.18"/>
    <n v="31.85"/>
    <n v="2024"/>
    <n v="3"/>
    <n v="2023"/>
    <n v="12"/>
    <n v="12"/>
    <x v="2"/>
    <x v="2"/>
    <n v="6343.15"/>
    <x v="136"/>
    <s v=""/>
  </r>
  <r>
    <x v="42"/>
    <s v="OPT-CNXBAN-20-Mar-2024-46500-P-E-I"/>
    <s v="NSE"/>
    <s v="Buy"/>
    <n v="15"/>
    <n v="0"/>
    <n v="364.05"/>
    <n v="5460.75"/>
    <s v="#202403183700005668"/>
    <n v="0"/>
    <n v="2.76"/>
    <n v="0.16"/>
    <n v="0.01"/>
    <n v="20"/>
    <n v="4.0999999999999996"/>
    <n v="27.03"/>
    <n v="2024"/>
    <n v="3"/>
    <n v="2023"/>
    <n v="12"/>
    <n v="12"/>
    <x v="2"/>
    <x v="2"/>
    <n v="-5487.78"/>
    <x v="1"/>
    <n v="-5487.78"/>
  </r>
  <r>
    <x v="43"/>
    <s v="OPT-NIFTY-21-Mar-2024-22000-C-E-I"/>
    <s v="NSE"/>
    <s v="Buy"/>
    <n v="50"/>
    <n v="0"/>
    <n v="45.65"/>
    <n v="2282.5"/>
    <s v="#202403193700022859"/>
    <n v="0"/>
    <n v="1.1499999999999999"/>
    <n v="7.0000000000000007E-2"/>
    <n v="0"/>
    <n v="20"/>
    <n v="3.8"/>
    <n v="25.02"/>
    <n v="2024"/>
    <n v="3"/>
    <n v="2023"/>
    <n v="12"/>
    <n v="12"/>
    <x v="2"/>
    <x v="2"/>
    <n v="-2307.52"/>
    <x v="1"/>
    <n v="-2307.52"/>
  </r>
  <r>
    <x v="43"/>
    <s v="OPT-CNXBAN-20-Mar-2024-46200-P-E-I"/>
    <s v="NSE"/>
    <s v="Sell"/>
    <n v="450"/>
    <n v="0"/>
    <n v="126.73"/>
    <n v="57030"/>
    <s v="#202403193700021940"/>
    <n v="35.65"/>
    <n v="28.8"/>
    <n v="0"/>
    <n v="0.04"/>
    <n v="600"/>
    <n v="113.2"/>
    <n v="777.69"/>
    <n v="2024"/>
    <n v="3"/>
    <n v="2023"/>
    <n v="12"/>
    <n v="12"/>
    <x v="2"/>
    <x v="2"/>
    <n v="56252.31"/>
    <x v="137"/>
    <s v=""/>
  </r>
  <r>
    <x v="43"/>
    <s v="OPT-CNXBAN-20-Mar-2024-46200-P-E-I"/>
    <s v="NSE"/>
    <s v="Buy"/>
    <n v="225"/>
    <n v="0"/>
    <n v="149.56"/>
    <n v="33651"/>
    <s v="#202403193700021654"/>
    <n v="0"/>
    <n v="16.989999999999998"/>
    <n v="0"/>
    <n v="0.04"/>
    <n v="300"/>
    <n v="57.08"/>
    <n v="374.11"/>
    <n v="2024"/>
    <n v="3"/>
    <n v="2023"/>
    <n v="12"/>
    <n v="12"/>
    <x v="2"/>
    <x v="2"/>
    <n v="-34025.11"/>
    <x v="1"/>
    <n v="-34025.11"/>
  </r>
  <r>
    <x v="43"/>
    <s v="OPT-CNXBAN-20-Mar-2024-46200-P-E-I"/>
    <s v="NSE"/>
    <s v="Buy"/>
    <n v="225"/>
    <n v="0"/>
    <n v="197.69"/>
    <n v="44481"/>
    <s v="#202403193700021321"/>
    <n v="0"/>
    <n v="22.46"/>
    <n v="2.34"/>
    <n v="0.05"/>
    <n v="300"/>
    <n v="58.06"/>
    <n v="382.91"/>
    <n v="2024"/>
    <n v="3"/>
    <n v="2023"/>
    <n v="12"/>
    <n v="12"/>
    <x v="2"/>
    <x v="2"/>
    <n v="-44863.91"/>
    <x v="1"/>
    <n v="-44863.91"/>
  </r>
  <r>
    <x v="43"/>
    <s v="OPT-NIFTY-21-Mar-2024-22000-C-E-I"/>
    <s v="NSE"/>
    <s v="Sell"/>
    <n v="50"/>
    <n v="0"/>
    <n v="45.75"/>
    <n v="2287.5"/>
    <s v="#202403193700020919"/>
    <n v="1.43"/>
    <n v="1.1599999999999999"/>
    <n v="0"/>
    <n v="0"/>
    <n v="20"/>
    <n v="3.8"/>
    <n v="26.39"/>
    <n v="2024"/>
    <n v="3"/>
    <n v="2023"/>
    <n v="12"/>
    <n v="12"/>
    <x v="2"/>
    <x v="2"/>
    <n v="2261.11"/>
    <x v="138"/>
    <s v=""/>
  </r>
  <r>
    <x v="43"/>
    <s v="OPT-CNXBAN-20-Mar-2024-46400-C-E-I"/>
    <s v="NSE"/>
    <s v="Sell"/>
    <n v="105"/>
    <n v="0"/>
    <n v="165.04"/>
    <n v="17329.5"/>
    <s v="#202403193700020838"/>
    <n v="10.83"/>
    <n v="8.75"/>
    <n v="0"/>
    <n v="0"/>
    <n v="140"/>
    <n v="26.8"/>
    <n v="186.38"/>
    <n v="2024"/>
    <n v="3"/>
    <n v="2023"/>
    <n v="12"/>
    <n v="12"/>
    <x v="2"/>
    <x v="2"/>
    <n v="17143.12"/>
    <x v="139"/>
    <s v=""/>
  </r>
  <r>
    <x v="43"/>
    <s v="OPT-CNXBAN-20-Mar-2024-46600-C-E-I"/>
    <s v="NSE"/>
    <s v="Sell"/>
    <n v="15"/>
    <n v="0"/>
    <n v="108.3"/>
    <n v="1624.5"/>
    <s v="#202403193700020637"/>
    <n v="1.02"/>
    <n v="0.82"/>
    <n v="0"/>
    <n v="0"/>
    <n v="20"/>
    <n v="3.74"/>
    <n v="25.58"/>
    <n v="2024"/>
    <n v="3"/>
    <n v="2023"/>
    <n v="12"/>
    <n v="12"/>
    <x v="2"/>
    <x v="2"/>
    <n v="1598.92"/>
    <x v="140"/>
    <s v=""/>
  </r>
  <r>
    <x v="43"/>
    <s v="OPT-CNXBAN-20-Mar-2024-46400-C-E-I"/>
    <s v="NSE"/>
    <s v="Buy"/>
    <n v="105"/>
    <n v="0"/>
    <n v="178.35"/>
    <n v="18726.75"/>
    <s v="#202403193700020425"/>
    <n v="0"/>
    <n v="9.4600000000000009"/>
    <n v="0.56000000000000005"/>
    <n v="0.02"/>
    <n v="140"/>
    <n v="26.9"/>
    <n v="176.94"/>
    <n v="2024"/>
    <n v="3"/>
    <n v="2023"/>
    <n v="12"/>
    <n v="12"/>
    <x v="2"/>
    <x v="2"/>
    <n v="-18903.689999999999"/>
    <x v="1"/>
    <n v="-18903.689999999999"/>
  </r>
  <r>
    <x v="43"/>
    <s v="OPT-CNXBAN-20-Mar-2024-46600-C-E-I"/>
    <s v="NSE"/>
    <s v="Sell"/>
    <n v="900"/>
    <n v="0"/>
    <n v="169"/>
    <n v="152100"/>
    <s v="#202403193700017748"/>
    <n v="95.07"/>
    <n v="76.8"/>
    <n v="0"/>
    <n v="0.14000000000000001"/>
    <n v="1200"/>
    <n v="229.86"/>
    <n v="1601.87"/>
    <n v="2024"/>
    <n v="3"/>
    <n v="2023"/>
    <n v="12"/>
    <n v="12"/>
    <x v="2"/>
    <x v="2"/>
    <n v="150498.13"/>
    <x v="141"/>
    <s v=""/>
  </r>
  <r>
    <x v="43"/>
    <s v="OPT-CNXBAN-20-Mar-2024-46600-C-E-I"/>
    <s v="NSE"/>
    <s v="Buy"/>
    <n v="900"/>
    <n v="0"/>
    <n v="164.95"/>
    <n v="148455"/>
    <s v="#202403193700016546"/>
    <n v="0"/>
    <n v="74.98"/>
    <n v="5.03"/>
    <n v="0.15"/>
    <n v="1200"/>
    <n v="229.52"/>
    <n v="1509.68"/>
    <n v="2024"/>
    <n v="3"/>
    <n v="2023"/>
    <n v="12"/>
    <n v="12"/>
    <x v="2"/>
    <x v="2"/>
    <n v="-149964.68"/>
    <x v="1"/>
    <n v="-149964.68"/>
  </r>
  <r>
    <x v="43"/>
    <s v="OPT-CNXBAN-20-Mar-2024-46600-C-E-I"/>
    <s v="NSE"/>
    <s v="Buy"/>
    <n v="15"/>
    <n v="0"/>
    <n v="171"/>
    <n v="2565"/>
    <s v="#202403193700009631"/>
    <n v="0"/>
    <n v="1.3"/>
    <n v="0"/>
    <n v="0"/>
    <n v="20"/>
    <n v="3.84"/>
    <n v="25.14"/>
    <n v="2024"/>
    <n v="3"/>
    <n v="2023"/>
    <n v="12"/>
    <n v="12"/>
    <x v="2"/>
    <x v="2"/>
    <n v="-2590.14"/>
    <x v="1"/>
    <n v="-2590.14"/>
  </r>
  <r>
    <x v="44"/>
    <s v="OPT-CNXBAN-20-Mar-2024-46600-C-E-I"/>
    <s v="NSE"/>
    <s v="Sell"/>
    <n v="450"/>
    <n v="0"/>
    <n v="59.22"/>
    <n v="26650.5"/>
    <s v="#202403203700021967"/>
    <n v="16.670000000000002"/>
    <n v="13.46"/>
    <n v="0"/>
    <n v="0.02"/>
    <n v="600"/>
    <n v="110.4"/>
    <n v="740.55"/>
    <n v="2024"/>
    <n v="3"/>
    <n v="2023"/>
    <n v="12"/>
    <n v="12"/>
    <x v="2"/>
    <x v="2"/>
    <n v="25909.95"/>
    <x v="142"/>
    <s v=""/>
  </r>
  <r>
    <x v="44"/>
    <s v="OPT-CNXBAN-20-Mar-2024-46600-C-E-I"/>
    <s v="NSE"/>
    <s v="Sell"/>
    <n v="900"/>
    <n v="0"/>
    <n v="59.48"/>
    <n v="53532"/>
    <s v="#202403203700021930"/>
    <n v="33.479999999999997"/>
    <n v="27.02"/>
    <n v="0"/>
    <n v="0.04"/>
    <n v="1200"/>
    <n v="220.82"/>
    <n v="1481.36"/>
    <n v="2024"/>
    <n v="3"/>
    <n v="2023"/>
    <n v="12"/>
    <n v="12"/>
    <x v="2"/>
    <x v="2"/>
    <n v="52050.64"/>
    <x v="143"/>
    <s v=""/>
  </r>
  <r>
    <x v="44"/>
    <s v="OPT-CNXBAN-20-Mar-2024-46600-C-E-I"/>
    <s v="NSE"/>
    <s v="Sell"/>
    <n v="900"/>
    <n v="0"/>
    <n v="57.62"/>
    <n v="51858.75"/>
    <s v="#202403203700021876"/>
    <n v="32.880000000000003"/>
    <n v="26.19"/>
    <n v="0"/>
    <n v="0.05"/>
    <n v="1200"/>
    <n v="220.76"/>
    <n v="1479.88"/>
    <n v="2024"/>
    <n v="3"/>
    <n v="2023"/>
    <n v="12"/>
    <n v="12"/>
    <x v="2"/>
    <x v="2"/>
    <n v="50378.87"/>
    <x v="144"/>
    <s v=""/>
  </r>
  <r>
    <x v="44"/>
    <s v="OPT-CNXBAN-20-Mar-2024-46600-C-E-I"/>
    <s v="NSE"/>
    <s v="Buy"/>
    <n v="900"/>
    <n v="0"/>
    <n v="14.4"/>
    <n v="12960"/>
    <s v="#202403203700011994"/>
    <n v="0"/>
    <n v="6.55"/>
    <n v="0"/>
    <n v="0.01"/>
    <n v="1200"/>
    <n v="217.2"/>
    <n v="1423.76"/>
    <n v="2024"/>
    <n v="3"/>
    <n v="2023"/>
    <n v="12"/>
    <n v="12"/>
    <x v="2"/>
    <x v="2"/>
    <n v="-14383.76"/>
    <x v="1"/>
    <n v="-14383.76"/>
  </r>
  <r>
    <x v="44"/>
    <s v="OPT-CNXBAN-20-Mar-2024-46600-C-E-I"/>
    <s v="NSE"/>
    <s v="Buy"/>
    <n v="450"/>
    <n v="0"/>
    <n v="30.05"/>
    <n v="13520.25"/>
    <s v="#202403203700005947"/>
    <n v="0"/>
    <n v="6.89"/>
    <n v="0"/>
    <n v="0"/>
    <n v="600"/>
    <n v="109.2"/>
    <n v="716.09"/>
    <n v="2024"/>
    <n v="3"/>
    <n v="2023"/>
    <n v="12"/>
    <n v="12"/>
    <x v="2"/>
    <x v="2"/>
    <n v="-14236.34"/>
    <x v="1"/>
    <n v="-14236.34"/>
  </r>
  <r>
    <x v="44"/>
    <s v="OPT-CNXBAN-20-Mar-2024-46600-C-E-I"/>
    <s v="NSE"/>
    <s v="Buy"/>
    <n v="900"/>
    <n v="0"/>
    <n v="94.52"/>
    <n v="85069.5"/>
    <s v="#202403203700003021"/>
    <n v="0"/>
    <n v="42.94"/>
    <n v="3"/>
    <n v="0.11"/>
    <n v="1200"/>
    <n v="223.76"/>
    <n v="1469.81"/>
    <n v="2024"/>
    <n v="3"/>
    <n v="2023"/>
    <n v="12"/>
    <n v="12"/>
    <x v="2"/>
    <x v="2"/>
    <n v="-86539.31"/>
    <x v="1"/>
    <n v="-86539.31"/>
  </r>
  <r>
    <x v="45"/>
    <s v="OPT-CNXBAN-27-Mar-2024-46800-C-E-I"/>
    <s v="NSE"/>
    <s v="Sell"/>
    <n v="15"/>
    <n v="0"/>
    <n v="351.2"/>
    <n v="5268"/>
    <s v="#202403213700027141"/>
    <n v="3.29"/>
    <n v="2.66"/>
    <n v="0"/>
    <n v="0.01"/>
    <n v="20"/>
    <n v="4.08"/>
    <n v="30.04"/>
    <n v="2024"/>
    <n v="3"/>
    <n v="2023"/>
    <n v="12"/>
    <n v="12"/>
    <x v="2"/>
    <x v="2"/>
    <n v="5237.96"/>
    <x v="145"/>
    <s v=""/>
  </r>
  <r>
    <x v="45"/>
    <s v="OPT-NIFTY-21-Mar-2024-22000-P-E-I"/>
    <s v="NSE"/>
    <s v="Sell"/>
    <n v="50"/>
    <n v="0"/>
    <n v="12.4"/>
    <n v="620"/>
    <s v="#202403213700022754"/>
    <n v="0.71"/>
    <n v="0.31"/>
    <n v="0"/>
    <n v="0"/>
    <n v="20"/>
    <n v="3.66"/>
    <n v="24.68"/>
    <n v="2024"/>
    <n v="3"/>
    <n v="2023"/>
    <n v="12"/>
    <n v="12"/>
    <x v="2"/>
    <x v="2"/>
    <n v="595.32000000000005"/>
    <x v="146"/>
    <s v=""/>
  </r>
  <r>
    <x v="45"/>
    <s v="OPT-NIFTY-21-Mar-2024-22000-P-E-I"/>
    <s v="NSE"/>
    <s v="Buy"/>
    <n v="50"/>
    <n v="0"/>
    <n v="14.55"/>
    <n v="727.5"/>
    <s v="#202403213700022566"/>
    <n v="0"/>
    <n v="0.37"/>
    <n v="0"/>
    <n v="0"/>
    <n v="20"/>
    <n v="3.66"/>
    <n v="24.03"/>
    <n v="2024"/>
    <n v="3"/>
    <n v="2023"/>
    <n v="12"/>
    <n v="12"/>
    <x v="2"/>
    <x v="2"/>
    <n v="-751.53"/>
    <x v="1"/>
    <n v="-751.53"/>
  </r>
  <r>
    <x v="45"/>
    <s v="OPT-CNXBAN-27-Mar-2024-46800-C-E-I"/>
    <s v="NSE"/>
    <s v="Buy"/>
    <n v="15"/>
    <n v="0"/>
    <n v="392.1"/>
    <n v="5881.5"/>
    <s v="#202403213700017871"/>
    <n v="0"/>
    <n v="2.97"/>
    <n v="0"/>
    <n v="0.01"/>
    <n v="20"/>
    <n v="4.1399999999999997"/>
    <n v="27.12"/>
    <n v="2024"/>
    <n v="3"/>
    <n v="2023"/>
    <n v="12"/>
    <n v="12"/>
    <x v="2"/>
    <x v="2"/>
    <n v="-5908.62"/>
    <x v="1"/>
    <n v="-5908.62"/>
  </r>
  <r>
    <x v="46"/>
    <s v="OPT-CNXBAN-27-Mar-2024-46900-C-E-I"/>
    <s v="NSE"/>
    <s v="Sell"/>
    <n v="60"/>
    <n v="0"/>
    <n v="323.89999999999998"/>
    <n v="19434"/>
    <s v="#202403223700013517"/>
    <n v="12.14"/>
    <n v="9.82"/>
    <n v="0"/>
    <n v="0.02"/>
    <n v="80"/>
    <n v="16.16"/>
    <n v="118.14"/>
    <n v="2024"/>
    <n v="3"/>
    <n v="2023"/>
    <n v="12"/>
    <n v="12"/>
    <x v="2"/>
    <x v="2"/>
    <n v="19315.86"/>
    <x v="147"/>
    <s v=""/>
  </r>
  <r>
    <x v="46"/>
    <s v="OPT-CNXBAN-27-Mar-2024-46900-C-E-I"/>
    <s v="NSE"/>
    <s v="Buy"/>
    <n v="60"/>
    <n v="0"/>
    <n v="378.5"/>
    <n v="22710"/>
    <s v="#202403223700008732"/>
    <n v="0"/>
    <n v="11.47"/>
    <n v="0.68"/>
    <n v="0.03"/>
    <n v="80"/>
    <n v="16.48"/>
    <n v="108.66"/>
    <n v="2024"/>
    <n v="3"/>
    <n v="2023"/>
    <n v="12"/>
    <n v="12"/>
    <x v="2"/>
    <x v="2"/>
    <n v="-22818.66"/>
    <x v="1"/>
    <n v="-22818.66"/>
  </r>
  <r>
    <x v="46"/>
    <s v="OPT-CNXBAN-27-Mar-2024-46500-P-E-I"/>
    <s v="NSE"/>
    <s v="Sell"/>
    <n v="105"/>
    <n v="0"/>
    <n v="193.75"/>
    <n v="20343.75"/>
    <s v="#202403223700006428"/>
    <n v="12.72"/>
    <n v="10.28"/>
    <n v="0"/>
    <n v="0.02"/>
    <n v="140"/>
    <n v="27.06"/>
    <n v="190.08"/>
    <n v="2024"/>
    <n v="3"/>
    <n v="2023"/>
    <n v="12"/>
    <n v="12"/>
    <x v="2"/>
    <x v="2"/>
    <n v="20153.669999999998"/>
    <x v="148"/>
    <s v=""/>
  </r>
  <r>
    <x v="46"/>
    <s v="OPT-CNXBAN-27-Mar-2024-46500-P-E-I"/>
    <s v="NSE"/>
    <s v="Buy"/>
    <n v="105"/>
    <n v="0"/>
    <n v="226.66"/>
    <n v="23799"/>
    <s v="#202403223700004542"/>
    <n v="0"/>
    <n v="12.02"/>
    <n v="1.32"/>
    <n v="0.02"/>
    <n v="140"/>
    <n v="27.36"/>
    <n v="180.72"/>
    <n v="2024"/>
    <n v="3"/>
    <n v="2023"/>
    <n v="12"/>
    <n v="12"/>
    <x v="2"/>
    <x v="2"/>
    <n v="-23979.72"/>
    <x v="1"/>
    <n v="-23979.72"/>
  </r>
  <r>
    <x v="46"/>
    <s v="OPT-CNXBAN-27-Mar-2024-46500-P-E-I"/>
    <s v="NSE"/>
    <s v="Sell"/>
    <n v="30"/>
    <n v="0"/>
    <n v="214.15"/>
    <n v="6424.5"/>
    <s v="#202403223700003689"/>
    <n v="4.1399999999999997"/>
    <n v="3.24"/>
    <n v="0"/>
    <n v="0.01"/>
    <n v="40"/>
    <n v="7.78"/>
    <n v="55.17"/>
    <n v="2024"/>
    <n v="3"/>
    <n v="2023"/>
    <n v="12"/>
    <n v="12"/>
    <x v="2"/>
    <x v="2"/>
    <n v="6369.33"/>
    <x v="149"/>
    <s v=""/>
  </r>
  <r>
    <x v="46"/>
    <s v="OPT-CNXBAN-27-Mar-2024-46500-P-E-I"/>
    <s v="NSE"/>
    <s v="Buy"/>
    <n v="15"/>
    <n v="0"/>
    <n v="214.65"/>
    <n v="3219.75"/>
    <s v="#202403223700003294"/>
    <n v="0"/>
    <n v="1.63"/>
    <n v="0"/>
    <n v="0"/>
    <n v="20"/>
    <n v="3.9"/>
    <n v="25.53"/>
    <n v="2024"/>
    <n v="3"/>
    <n v="2023"/>
    <n v="12"/>
    <n v="12"/>
    <x v="2"/>
    <x v="2"/>
    <n v="-3245.28"/>
    <x v="1"/>
    <n v="-3245.28"/>
  </r>
  <r>
    <x v="46"/>
    <s v="OPT-CNXBAN-27-Mar-2024-46500-P-E-I"/>
    <s v="NSE"/>
    <s v="Buy"/>
    <n v="15"/>
    <n v="0"/>
    <n v="266.45"/>
    <n v="3996.75"/>
    <s v="#202403223700001634"/>
    <n v="0"/>
    <n v="2.02"/>
    <n v="0"/>
    <n v="0"/>
    <n v="20"/>
    <n v="3.96"/>
    <n v="25.98"/>
    <n v="2024"/>
    <n v="3"/>
    <n v="2023"/>
    <n v="12"/>
    <n v="12"/>
    <x v="2"/>
    <x v="2"/>
    <n v="-4022.73"/>
    <x v="1"/>
    <n v="-4022.73"/>
  </r>
  <r>
    <x v="47"/>
    <s v="OPT-CNXBAN-27-Mar-2024-47200-C-E-I"/>
    <s v="NSE"/>
    <s v="Sell"/>
    <n v="840"/>
    <n v="0"/>
    <n v="2.85"/>
    <n v="2394"/>
    <s v="#202403273700018100"/>
    <n v="2"/>
    <n v="1.2"/>
    <n v="0"/>
    <n v="0"/>
    <n v="1120"/>
    <n v="201.82"/>
    <n v="1325.02"/>
    <n v="2024"/>
    <n v="3"/>
    <n v="2023"/>
    <n v="12"/>
    <n v="12"/>
    <x v="2"/>
    <x v="2"/>
    <n v="1068.98"/>
    <x v="150"/>
    <s v=""/>
  </r>
  <r>
    <x v="47"/>
    <s v="OPT-CNXBAN-27-Mar-2024-47200-C-E-I"/>
    <s v="NSE"/>
    <s v="Buy"/>
    <n v="120"/>
    <n v="0"/>
    <n v="3.95"/>
    <n v="474"/>
    <s v="#202403273700015189"/>
    <n v="0"/>
    <n v="0.24"/>
    <n v="0"/>
    <n v="0"/>
    <n v="160"/>
    <n v="28.84"/>
    <n v="189.08"/>
    <n v="2024"/>
    <n v="3"/>
    <n v="2023"/>
    <n v="12"/>
    <n v="12"/>
    <x v="2"/>
    <x v="2"/>
    <n v="-663.08"/>
    <x v="1"/>
    <n v="-663.08"/>
  </r>
  <r>
    <x v="47"/>
    <s v="OPT-CNXBAN-27-Mar-2024-47200-C-E-I"/>
    <s v="NSE"/>
    <s v="Buy"/>
    <n v="120"/>
    <n v="0"/>
    <n v="6.1"/>
    <n v="732"/>
    <s v="#202403273700014315"/>
    <n v="0"/>
    <n v="0.37"/>
    <n v="0"/>
    <n v="0"/>
    <n v="160"/>
    <n v="28.86"/>
    <n v="189.23"/>
    <n v="2024"/>
    <n v="3"/>
    <n v="2023"/>
    <n v="12"/>
    <n v="12"/>
    <x v="2"/>
    <x v="2"/>
    <n v="-921.23"/>
    <x v="1"/>
    <n v="-921.23"/>
  </r>
  <r>
    <x v="47"/>
    <s v="OPT-CNXBAN-27-Mar-2024-47200-C-E-I"/>
    <s v="NSE"/>
    <s v="Buy"/>
    <n v="120"/>
    <n v="0"/>
    <n v="6.9"/>
    <n v="828"/>
    <s v="#202403273700011202"/>
    <n v="0"/>
    <n v="0.42"/>
    <n v="0"/>
    <n v="0"/>
    <n v="160"/>
    <n v="28.88"/>
    <n v="189.3"/>
    <n v="2024"/>
    <n v="3"/>
    <n v="2023"/>
    <n v="12"/>
    <n v="12"/>
    <x v="2"/>
    <x v="2"/>
    <n v="-1017.3"/>
    <x v="1"/>
    <n v="-1017.3"/>
  </r>
  <r>
    <x v="47"/>
    <s v="OPT-CNXBAN-27-Mar-2024-47200-C-E-I"/>
    <s v="NSE"/>
    <s v="Buy"/>
    <n v="120"/>
    <n v="0"/>
    <n v="6.61"/>
    <n v="792.75"/>
    <s v="#202403273700010986"/>
    <n v="0"/>
    <n v="0.4"/>
    <n v="0"/>
    <n v="0"/>
    <n v="160"/>
    <n v="28.86"/>
    <n v="189.26"/>
    <n v="2024"/>
    <n v="3"/>
    <n v="2023"/>
    <n v="12"/>
    <n v="12"/>
    <x v="2"/>
    <x v="2"/>
    <n v="-982.01"/>
    <x v="1"/>
    <n v="-982.01"/>
  </r>
  <r>
    <x v="47"/>
    <s v="OPT-CNXBAN-27-Mar-2024-47200-C-E-I"/>
    <s v="NSE"/>
    <s v="Buy"/>
    <n v="120"/>
    <n v="0"/>
    <n v="11.35"/>
    <n v="1362"/>
    <s v="#202403273700009855"/>
    <n v="0"/>
    <n v="0.69"/>
    <n v="0"/>
    <n v="0"/>
    <n v="160"/>
    <n v="28.92"/>
    <n v="189.61"/>
    <n v="2024"/>
    <n v="3"/>
    <n v="2023"/>
    <n v="12"/>
    <n v="12"/>
    <x v="2"/>
    <x v="2"/>
    <n v="-1551.6100000000001"/>
    <x v="1"/>
    <n v="-1551.6100000000001"/>
  </r>
  <r>
    <x v="47"/>
    <s v="OPT-CNXBAN-27-Mar-2024-47200-C-E-I"/>
    <s v="NSE"/>
    <s v="Buy"/>
    <n v="120"/>
    <n v="0"/>
    <n v="12.75"/>
    <n v="1530"/>
    <s v="#202403273700009592"/>
    <n v="0"/>
    <n v="0.77"/>
    <n v="0"/>
    <n v="0"/>
    <n v="160"/>
    <n v="28.94"/>
    <n v="189.71"/>
    <n v="2024"/>
    <n v="3"/>
    <n v="2023"/>
    <n v="12"/>
    <n v="12"/>
    <x v="2"/>
    <x v="2"/>
    <n v="-1719.71"/>
    <x v="1"/>
    <n v="-1719.71"/>
  </r>
  <r>
    <x v="47"/>
    <s v="OPT-CNXBAN-27-Mar-2024-47200-C-E-I"/>
    <s v="NSE"/>
    <s v="Buy"/>
    <n v="120"/>
    <n v="0"/>
    <n v="26.24"/>
    <n v="3148.5"/>
    <s v="#202403273700008776"/>
    <n v="0"/>
    <n v="1.6"/>
    <n v="0"/>
    <n v="0"/>
    <n v="160"/>
    <n v="29.1"/>
    <n v="190.7"/>
    <n v="2024"/>
    <n v="3"/>
    <n v="2023"/>
    <n v="12"/>
    <n v="12"/>
    <x v="2"/>
    <x v="2"/>
    <n v="-3339.2"/>
    <x v="1"/>
    <n v="-3339.2"/>
  </r>
  <r>
    <x v="48"/>
    <s v="OPT-CNXBAN-03-Apr-2024-47600-C-E-I"/>
    <s v="NSE"/>
    <s v="Sell"/>
    <n v="105"/>
    <n v="0"/>
    <n v="218.1"/>
    <n v="22900.5"/>
    <s v="#202404013700016590"/>
    <n v="14"/>
    <n v="11.45"/>
    <n v="0"/>
    <n v="0.02"/>
    <n v="140"/>
    <n v="27.26"/>
    <n v="192.73"/>
    <n v="2024"/>
    <n v="4"/>
    <n v="2024"/>
    <n v="1"/>
    <s v="01"/>
    <x v="3"/>
    <x v="3"/>
    <n v="22707.77"/>
    <x v="151"/>
    <s v=""/>
  </r>
  <r>
    <x v="48"/>
    <s v="OPT-CNXBAN-03-Apr-2024-47600-C-E-I"/>
    <s v="NSE"/>
    <s v="Buy"/>
    <n v="105"/>
    <n v="0"/>
    <n v="267.04000000000002"/>
    <n v="28038.75"/>
    <s v="#202404013700004194"/>
    <n v="0"/>
    <n v="14.03"/>
    <n v="1"/>
    <n v="0.03"/>
    <n v="140"/>
    <n v="27.72"/>
    <n v="182.78"/>
    <n v="2024"/>
    <n v="4"/>
    <n v="2024"/>
    <n v="1"/>
    <s v="01"/>
    <x v="3"/>
    <x v="3"/>
    <n v="-28221.53"/>
    <x v="1"/>
    <n v="-28221.53"/>
  </r>
  <r>
    <x v="49"/>
    <s v="OPT-CNXBAN-03-Apr-2024-47500-P-E-I"/>
    <s v="NSE"/>
    <s v="Sell"/>
    <n v="105"/>
    <n v="0"/>
    <n v="109.97"/>
    <n v="11547"/>
    <s v="#202404023700008850"/>
    <n v="7.21"/>
    <n v="5.78"/>
    <n v="0"/>
    <n v="0.01"/>
    <n v="140"/>
    <n v="26.24"/>
    <n v="179.24"/>
    <n v="2024"/>
    <n v="4"/>
    <n v="2024"/>
    <n v="1"/>
    <s v="01"/>
    <x v="3"/>
    <x v="3"/>
    <n v="11367.76"/>
    <x v="152"/>
    <s v=""/>
  </r>
  <r>
    <x v="49"/>
    <s v="OPT-CNXBAN-03-Apr-2024-47500-P-E-I"/>
    <s v="NSE"/>
    <s v="Buy"/>
    <n v="105"/>
    <n v="0"/>
    <n v="129"/>
    <n v="13545"/>
    <s v="#202404023700006743"/>
    <n v="0"/>
    <n v="6.77"/>
    <n v="0.93"/>
    <n v="0.01"/>
    <n v="140"/>
    <n v="26.42"/>
    <n v="174.13"/>
    <n v="2024"/>
    <n v="4"/>
    <n v="2024"/>
    <n v="1"/>
    <s v="01"/>
    <x v="3"/>
    <x v="3"/>
    <n v="-13719.13"/>
    <x v="1"/>
    <n v="-13719.13"/>
  </r>
  <r>
    <x v="49"/>
    <s v="OPT-CNXBAN-03-Apr-2024-47500-P-E-I"/>
    <s v="NSE"/>
    <s v="Sell"/>
    <n v="105"/>
    <n v="0"/>
    <n v="130.24"/>
    <n v="13674.75"/>
    <s v="#202404023700006137"/>
    <n v="8.14"/>
    <n v="6.83"/>
    <n v="0"/>
    <n v="0.01"/>
    <n v="140"/>
    <n v="26.44"/>
    <n v="181.42"/>
    <n v="2024"/>
    <n v="4"/>
    <n v="2024"/>
    <n v="1"/>
    <s v="01"/>
    <x v="3"/>
    <x v="3"/>
    <n v="13493.33"/>
    <x v="153"/>
    <s v=""/>
  </r>
  <r>
    <x v="49"/>
    <s v="OPT-CNXBAN-03-Apr-2024-47500-P-E-I"/>
    <s v="NSE"/>
    <s v="Buy"/>
    <n v="105"/>
    <n v="0"/>
    <n v="153.99"/>
    <n v="16168.5"/>
    <s v="#202404023700004482"/>
    <n v="0"/>
    <n v="8.09"/>
    <n v="0"/>
    <n v="0.01"/>
    <n v="140"/>
    <n v="26.66"/>
    <n v="174.76"/>
    <n v="2024"/>
    <n v="4"/>
    <n v="2024"/>
    <n v="1"/>
    <s v="01"/>
    <x v="3"/>
    <x v="3"/>
    <n v="-16343.26"/>
    <x v="1"/>
    <n v="-16343.26"/>
  </r>
  <r>
    <x v="49"/>
    <s v="OPT-CNXBAN-03-Apr-2024-47600-C-E-I"/>
    <s v="NSE"/>
    <s v="Sell"/>
    <n v="15"/>
    <n v="0"/>
    <n v="175.4"/>
    <n v="2631"/>
    <s v="#202404023700001769"/>
    <n v="1.64"/>
    <n v="1.32"/>
    <n v="0"/>
    <n v="0"/>
    <n v="20"/>
    <n v="3.84"/>
    <n v="26.8"/>
    <n v="2024"/>
    <n v="4"/>
    <n v="2024"/>
    <n v="1"/>
    <s v="01"/>
    <x v="3"/>
    <x v="3"/>
    <n v="2604.1999999999998"/>
    <x v="154"/>
    <s v=""/>
  </r>
  <r>
    <x v="49"/>
    <s v="OPT-CNXBAN-03-Apr-2024-47600-C-E-I"/>
    <s v="NSE"/>
    <s v="Buy"/>
    <n v="15"/>
    <n v="0"/>
    <n v="151.19999999999999"/>
    <n v="2268"/>
    <s v="#202404023700001118"/>
    <n v="0"/>
    <n v="1.1299999999999999"/>
    <n v="7.0000000000000007E-2"/>
    <n v="0"/>
    <n v="20"/>
    <n v="3.8"/>
    <n v="25"/>
    <n v="2024"/>
    <n v="4"/>
    <n v="2024"/>
    <n v="1"/>
    <s v="01"/>
    <x v="3"/>
    <x v="3"/>
    <n v="-2293"/>
    <x v="1"/>
    <n v="-2293"/>
  </r>
  <r>
    <x v="50"/>
    <s v="OPT-CNXBAN-03-Apr-2024-47600-C-E-I"/>
    <s v="NSE"/>
    <s v="Sell"/>
    <n v="15"/>
    <n v="0"/>
    <n v="87.3"/>
    <n v="1309.5"/>
    <s v="#202404033700015082"/>
    <n v="0.82"/>
    <n v="0.65"/>
    <n v="0"/>
    <n v="0"/>
    <n v="20"/>
    <n v="3.72"/>
    <n v="25.19"/>
    <n v="2024"/>
    <n v="4"/>
    <n v="2024"/>
    <n v="1"/>
    <s v="01"/>
    <x v="3"/>
    <x v="3"/>
    <n v="1284.31"/>
    <x v="155"/>
    <s v=""/>
  </r>
  <r>
    <x v="50"/>
    <s v="OPT-CNXBAN-03-Apr-2024-47600-C-E-I"/>
    <s v="NSE"/>
    <s v="Buy"/>
    <n v="15"/>
    <n v="0"/>
    <n v="31.1"/>
    <n v="466.5"/>
    <s v="#202404033700011930"/>
    <n v="0"/>
    <n v="0.23"/>
    <n v="0"/>
    <n v="0"/>
    <n v="20"/>
    <n v="3.64"/>
    <n v="23.87"/>
    <n v="2024"/>
    <n v="4"/>
    <n v="2024"/>
    <n v="1"/>
    <s v="01"/>
    <x v="3"/>
    <x v="3"/>
    <n v="-490.37"/>
    <x v="1"/>
    <n v="-490.37"/>
  </r>
  <r>
    <x v="50"/>
    <s v="OPT-CNXBAN-03-Apr-2024-47600-C-E-I"/>
    <s v="NSE"/>
    <s v="Sell"/>
    <n v="600"/>
    <n v="0"/>
    <n v="67.25"/>
    <n v="40350"/>
    <s v="#202404033700007430"/>
    <n v="25.18"/>
    <n v="20.18"/>
    <n v="0"/>
    <n v="0.04"/>
    <n v="800"/>
    <n v="147.63999999999999"/>
    <n v="993.04"/>
    <n v="2024"/>
    <n v="4"/>
    <n v="2024"/>
    <n v="1"/>
    <s v="01"/>
    <x v="3"/>
    <x v="3"/>
    <n v="39356.959999999999"/>
    <x v="156"/>
    <s v=""/>
  </r>
  <r>
    <x v="50"/>
    <s v="OPT-CNXBAN-03-Apr-2024-47600-C-E-I"/>
    <s v="NSE"/>
    <s v="Buy"/>
    <n v="600"/>
    <n v="0"/>
    <n v="34.1"/>
    <n v="20460"/>
    <s v="#202404033700002508"/>
    <n v="0"/>
    <n v="10.23"/>
    <n v="1"/>
    <n v="0.02"/>
    <n v="800"/>
    <n v="145.84"/>
    <n v="957.09"/>
    <n v="2024"/>
    <n v="4"/>
    <n v="2024"/>
    <n v="1"/>
    <s v="01"/>
    <x v="3"/>
    <x v="3"/>
    <n v="-21417.09"/>
    <x v="1"/>
    <n v="-21417.09"/>
  </r>
  <r>
    <x v="51"/>
    <s v="OPT-NIFTY-04-Apr-2024-22450-C-E-I"/>
    <s v="NSE"/>
    <s v="Sell"/>
    <n v="900"/>
    <n v="0"/>
    <n v="52"/>
    <n v="46800"/>
    <s v="#202404043700020035"/>
    <n v="29.25"/>
    <n v="23.4"/>
    <n v="0"/>
    <n v="0.05"/>
    <n v="360"/>
    <n v="69.02"/>
    <n v="481.72"/>
    <n v="2024"/>
    <n v="4"/>
    <n v="2024"/>
    <n v="1"/>
    <s v="01"/>
    <x v="3"/>
    <x v="3"/>
    <n v="46318.28"/>
    <x v="157"/>
    <s v=""/>
  </r>
  <r>
    <x v="51"/>
    <s v="OPT-NIFTY-04-Apr-2024-22450-C-E-I"/>
    <s v="NSE"/>
    <s v="Buy"/>
    <n v="300"/>
    <n v="0"/>
    <n v="25.05"/>
    <n v="7515"/>
    <s v="#202404043700017729"/>
    <n v="0"/>
    <n v="3.76"/>
    <n v="0.51"/>
    <n v="0.01"/>
    <n v="120"/>
    <n v="22.28"/>
    <n v="146.56"/>
    <n v="2024"/>
    <n v="4"/>
    <n v="2024"/>
    <n v="1"/>
    <s v="01"/>
    <x v="3"/>
    <x v="3"/>
    <n v="-7661.56"/>
    <x v="1"/>
    <n v="-7661.56"/>
  </r>
  <r>
    <x v="51"/>
    <s v="OPT-NIFTY-04-Apr-2024-22450-C-E-I"/>
    <s v="NSE"/>
    <s v="Buy"/>
    <n v="300"/>
    <n v="0"/>
    <n v="21"/>
    <n v="6300"/>
    <s v="#202404043700009521"/>
    <n v="0"/>
    <n v="3.18"/>
    <n v="0"/>
    <n v="0"/>
    <n v="120"/>
    <n v="22.2"/>
    <n v="145.38"/>
    <n v="2024"/>
    <n v="4"/>
    <n v="2024"/>
    <n v="1"/>
    <s v="01"/>
    <x v="3"/>
    <x v="3"/>
    <n v="-6445.38"/>
    <x v="1"/>
    <n v="-6445.38"/>
  </r>
  <r>
    <x v="51"/>
    <s v="OPT-NIFTY-04-Apr-2024-22450-C-E-I"/>
    <s v="NSE"/>
    <s v="Buy"/>
    <n v="300"/>
    <n v="0"/>
    <n v="41"/>
    <n v="12300"/>
    <s v="#202404043700008241"/>
    <n v="0"/>
    <n v="6.15"/>
    <n v="0"/>
    <n v="0.01"/>
    <n v="120"/>
    <n v="22.7"/>
    <n v="148.86000000000001"/>
    <n v="2024"/>
    <n v="4"/>
    <n v="2024"/>
    <n v="1"/>
    <s v="01"/>
    <x v="3"/>
    <x v="3"/>
    <n v="-12448.86"/>
    <x v="1"/>
    <n v="-12448.86"/>
  </r>
  <r>
    <x v="51"/>
    <s v="OPT-CNXBAN-10-Apr-2024-48000-C-E-I"/>
    <s v="NSE"/>
    <s v="Sell"/>
    <n v="60"/>
    <n v="0"/>
    <n v="289.39999999999998"/>
    <n v="17364"/>
    <s v="#202404043700008023"/>
    <n v="10.75"/>
    <n v="8.68"/>
    <n v="0"/>
    <n v="0.02"/>
    <n v="80"/>
    <n v="15.96"/>
    <n v="115.41"/>
    <n v="2024"/>
    <n v="4"/>
    <n v="2024"/>
    <n v="1"/>
    <s v="01"/>
    <x v="3"/>
    <x v="3"/>
    <n v="17248.59"/>
    <x v="158"/>
    <s v=""/>
  </r>
  <r>
    <x v="51"/>
    <s v="OPT-CNXBAN-10-Apr-2024-48000-C-E-I"/>
    <s v="NSE"/>
    <s v="Buy"/>
    <n v="60"/>
    <n v="0"/>
    <n v="272.08"/>
    <n v="16324.5"/>
    <s v="#202404043700006997"/>
    <n v="0"/>
    <n v="8.16"/>
    <n v="0.49"/>
    <n v="0.01"/>
    <n v="80"/>
    <n v="15.86"/>
    <n v="104.52"/>
    <n v="2024"/>
    <n v="4"/>
    <n v="2024"/>
    <n v="1"/>
    <s v="01"/>
    <x v="3"/>
    <x v="3"/>
    <n v="-16429.02"/>
    <x v="1"/>
    <n v="-16429.02"/>
  </r>
  <r>
    <x v="52"/>
    <s v="OPT-CNXBAN-10-Apr-2024-48500-C-E-I"/>
    <s v="NSE"/>
    <s v="Sell"/>
    <n v="105"/>
    <n v="0"/>
    <n v="297"/>
    <n v="31185"/>
    <s v="#202404083700042500"/>
    <n v="19.489999999999998"/>
    <n v="15.6"/>
    <n v="0"/>
    <n v="0.03"/>
    <n v="140"/>
    <n v="28.02"/>
    <n v="203.14"/>
    <n v="2024"/>
    <n v="4"/>
    <n v="2024"/>
    <n v="1"/>
    <s v="01"/>
    <x v="3"/>
    <x v="3"/>
    <n v="30981.86"/>
    <x v="159"/>
    <s v=""/>
  </r>
  <r>
    <x v="52"/>
    <s v="OPT-CNXBAN-10-Apr-2024-48500-C-E-I"/>
    <s v="NSE"/>
    <s v="Buy"/>
    <n v="105"/>
    <n v="0"/>
    <n v="289.08999999999997"/>
    <n v="30354.75"/>
    <s v="#202404083700040839"/>
    <n v="0"/>
    <n v="15.18"/>
    <n v="2"/>
    <n v="0.02"/>
    <n v="140"/>
    <n v="27.96"/>
    <n v="185.16"/>
    <n v="2024"/>
    <n v="4"/>
    <n v="2024"/>
    <n v="1"/>
    <s v="01"/>
    <x v="3"/>
    <x v="3"/>
    <n v="-30539.91"/>
    <x v="1"/>
    <n v="-30539.91"/>
  </r>
  <r>
    <x v="52"/>
    <s v="OPT-CNXBAN-10-Apr-2024-48500-C-E-I"/>
    <s v="NSE"/>
    <s v="Sell"/>
    <n v="75"/>
    <n v="0"/>
    <n v="299.14999999999998"/>
    <n v="22436.25"/>
    <s v="#202404083700032225"/>
    <n v="14.51"/>
    <n v="11.22"/>
    <n v="0"/>
    <n v="0.02"/>
    <n v="100"/>
    <n v="20.02"/>
    <n v="145.77000000000001"/>
    <n v="2024"/>
    <n v="4"/>
    <n v="2024"/>
    <n v="1"/>
    <s v="01"/>
    <x v="3"/>
    <x v="3"/>
    <n v="22290.48"/>
    <x v="160"/>
    <s v=""/>
  </r>
  <r>
    <x v="52"/>
    <s v="OPT-CNXBAN-10-Apr-2024-48500-C-E-I"/>
    <s v="NSE"/>
    <s v="Buy"/>
    <n v="15"/>
    <n v="0"/>
    <n v="271.25"/>
    <n v="4068.75"/>
    <s v="#202404083700029477"/>
    <n v="0"/>
    <n v="2.0299999999999998"/>
    <n v="0"/>
    <n v="0"/>
    <n v="20"/>
    <n v="3.96"/>
    <n v="25.99"/>
    <n v="2024"/>
    <n v="4"/>
    <n v="2024"/>
    <n v="1"/>
    <s v="01"/>
    <x v="3"/>
    <x v="3"/>
    <n v="-4094.74"/>
    <x v="1"/>
    <n v="-4094.74"/>
  </r>
  <r>
    <x v="52"/>
    <s v="OPT-CNXBAN-10-Apr-2024-48500-C-E-I"/>
    <s v="NSE"/>
    <s v="Buy"/>
    <n v="15"/>
    <n v="0"/>
    <n v="270.14999999999998"/>
    <n v="4052.25"/>
    <s v="#202404083700025775"/>
    <n v="0"/>
    <n v="2.0299999999999998"/>
    <n v="0"/>
    <n v="0"/>
    <n v="20"/>
    <n v="3.96"/>
    <n v="25.99"/>
    <n v="2024"/>
    <n v="4"/>
    <n v="2024"/>
    <n v="1"/>
    <s v="01"/>
    <x v="3"/>
    <x v="3"/>
    <n v="-4078.24"/>
    <x v="1"/>
    <n v="-4078.24"/>
  </r>
  <r>
    <x v="52"/>
    <s v="OPT-CNXBAN-10-Apr-2024-48500-C-E-I"/>
    <s v="NSE"/>
    <s v="Buy"/>
    <n v="15"/>
    <n v="0"/>
    <n v="291"/>
    <n v="4365"/>
    <s v="#202404083700025210"/>
    <n v="0"/>
    <n v="2.1800000000000002"/>
    <n v="0"/>
    <n v="0"/>
    <n v="20"/>
    <n v="4"/>
    <n v="26.18"/>
    <n v="2024"/>
    <n v="4"/>
    <n v="2024"/>
    <n v="1"/>
    <s v="01"/>
    <x v="3"/>
    <x v="3"/>
    <n v="-4391.18"/>
    <x v="1"/>
    <n v="-4391.18"/>
  </r>
  <r>
    <x v="52"/>
    <s v="OPT-CNXBAN-10-Apr-2024-48500-C-E-I"/>
    <s v="NSE"/>
    <s v="Buy"/>
    <n v="15"/>
    <n v="0"/>
    <n v="315.39999999999998"/>
    <n v="4731"/>
    <s v="#202404083700024250"/>
    <n v="0"/>
    <n v="2.37"/>
    <n v="0"/>
    <n v="0"/>
    <n v="20"/>
    <n v="4.0199999999999996"/>
    <n v="26.39"/>
    <n v="2024"/>
    <n v="4"/>
    <n v="2024"/>
    <n v="1"/>
    <s v="01"/>
    <x v="3"/>
    <x v="3"/>
    <n v="-4757.3900000000003"/>
    <x v="1"/>
    <n v="-4757.3900000000003"/>
  </r>
  <r>
    <x v="52"/>
    <s v="OPT-CNXBAN-10-Apr-2024-48500-C-E-I"/>
    <s v="NSE"/>
    <s v="Buy"/>
    <n v="15"/>
    <n v="0"/>
    <n v="301.39999999999998"/>
    <n v="4521"/>
    <s v="#202404083700023756"/>
    <n v="0"/>
    <n v="2.2599999999999998"/>
    <n v="0"/>
    <n v="0"/>
    <n v="20"/>
    <n v="4"/>
    <n v="26.26"/>
    <n v="2024"/>
    <n v="4"/>
    <n v="2024"/>
    <n v="1"/>
    <s v="01"/>
    <x v="3"/>
    <x v="3"/>
    <n v="-4547.26"/>
    <x v="1"/>
    <n v="-4547.26"/>
  </r>
  <r>
    <x v="53"/>
    <s v="OPT-CNXBAN-10-Apr-2024-48700-P-E-I"/>
    <s v="NSE"/>
    <s v="Sell"/>
    <n v="60"/>
    <n v="0"/>
    <n v="175.65"/>
    <n v="10539"/>
    <s v="#202404093700024551"/>
    <n v="6.59"/>
    <n v="5.27"/>
    <n v="0"/>
    <n v="0.01"/>
    <n v="80"/>
    <n v="15.36"/>
    <n v="107.23"/>
    <n v="2024"/>
    <n v="4"/>
    <n v="2024"/>
    <n v="1"/>
    <s v="01"/>
    <x v="3"/>
    <x v="3"/>
    <n v="10431.77"/>
    <x v="161"/>
    <s v=""/>
  </r>
  <r>
    <x v="53"/>
    <s v="OPT-CNXBAN-10-Apr-2024-48700-P-E-I"/>
    <s v="NSE"/>
    <s v="Buy"/>
    <n v="60"/>
    <n v="0"/>
    <n v="155.05000000000001"/>
    <n v="9303"/>
    <s v="#202404093700024014"/>
    <n v="0"/>
    <n v="4.6500000000000004"/>
    <n v="0.28000000000000003"/>
    <n v="0.01"/>
    <n v="80"/>
    <n v="15.24"/>
    <n v="100.18"/>
    <n v="2024"/>
    <n v="4"/>
    <n v="2024"/>
    <n v="1"/>
    <s v="01"/>
    <x v="3"/>
    <x v="3"/>
    <n v="-9403.18"/>
    <x v="1"/>
    <n v="-9403.18"/>
  </r>
  <r>
    <x v="53"/>
    <s v="OPT-NIFFIN-09-Apr-2024-21700-C-E-I"/>
    <s v="NSE"/>
    <s v="Sell"/>
    <n v="360"/>
    <n v="0"/>
    <n v="62"/>
    <n v="22320"/>
    <s v="#202404093700013097"/>
    <n v="13.95"/>
    <n v="11.16"/>
    <n v="0"/>
    <n v="0.02"/>
    <n v="180"/>
    <n v="34.42"/>
    <n v="239.55"/>
    <n v="2024"/>
    <n v="4"/>
    <n v="2024"/>
    <n v="1"/>
    <s v="01"/>
    <x v="3"/>
    <x v="3"/>
    <n v="22080.45"/>
    <x v="162"/>
    <s v=""/>
  </r>
  <r>
    <x v="53"/>
    <s v="OPT-NIFFIN-09-Apr-2024-21700-C-E-I"/>
    <s v="NSE"/>
    <s v="Buy"/>
    <n v="360"/>
    <n v="0"/>
    <n v="37.200000000000003"/>
    <n v="13392"/>
    <s v="#202404093700010297"/>
    <n v="0"/>
    <n v="6.7"/>
    <n v="0.43"/>
    <n v="0.01"/>
    <n v="180"/>
    <n v="33.6"/>
    <n v="220.74"/>
    <n v="2024"/>
    <n v="4"/>
    <n v="2024"/>
    <n v="1"/>
    <s v="01"/>
    <x v="3"/>
    <x v="3"/>
    <n v="-13612.74"/>
    <x v="1"/>
    <n v="-13612.74"/>
  </r>
  <r>
    <x v="53"/>
    <s v="OPT-NIFFIN-09-Apr-2024-21700-C-E-I"/>
    <s v="NSE"/>
    <s v="Sell"/>
    <n v="40"/>
    <n v="0"/>
    <n v="53.15"/>
    <n v="2126"/>
    <s v="#202404093700009234"/>
    <n v="1.33"/>
    <n v="1.06"/>
    <n v="0"/>
    <n v="0"/>
    <n v="20"/>
    <n v="3.8"/>
    <n v="26.19"/>
    <n v="2024"/>
    <n v="4"/>
    <n v="2024"/>
    <n v="1"/>
    <s v="01"/>
    <x v="3"/>
    <x v="3"/>
    <n v="2099.81"/>
    <x v="163"/>
    <s v=""/>
  </r>
  <r>
    <x v="53"/>
    <s v="OPT-NIFFIN-09-Apr-2024-21700-C-E-I"/>
    <s v="NSE"/>
    <s v="Buy"/>
    <n v="40"/>
    <n v="0"/>
    <n v="25.2"/>
    <n v="1008"/>
    <s v="#202404093700008916"/>
    <n v="0"/>
    <n v="0.5"/>
    <n v="0"/>
    <n v="0"/>
    <n v="20"/>
    <n v="3.7"/>
    <n v="24.2"/>
    <n v="2024"/>
    <n v="4"/>
    <n v="2024"/>
    <n v="1"/>
    <s v="01"/>
    <x v="3"/>
    <x v="3"/>
    <n v="-1032.2"/>
    <x v="1"/>
    <n v="-1032.2"/>
  </r>
  <r>
    <x v="53"/>
    <s v="OPT-CNXBAN-10-Apr-2024-48700-C-E-I"/>
    <s v="NSE"/>
    <s v="Sell"/>
    <n v="150"/>
    <n v="0"/>
    <n v="189.65"/>
    <n v="28447.5"/>
    <s v="#202404093700002688"/>
    <n v="18.13"/>
    <n v="14.22"/>
    <n v="0"/>
    <n v="0.03"/>
    <n v="200"/>
    <n v="38.56"/>
    <n v="270.94"/>
    <n v="2024"/>
    <n v="4"/>
    <n v="2024"/>
    <n v="1"/>
    <s v="01"/>
    <x v="3"/>
    <x v="3"/>
    <n v="28176.560000000001"/>
    <x v="164"/>
    <s v=""/>
  </r>
  <r>
    <x v="53"/>
    <s v="OPT-CNXBAN-10-Apr-2024-48700-C-E-I"/>
    <s v="NSE"/>
    <s v="Buy"/>
    <n v="45"/>
    <n v="0"/>
    <n v="171.28"/>
    <n v="7707.75"/>
    <s v="#202404093700002064"/>
    <n v="0"/>
    <n v="3.85"/>
    <n v="0"/>
    <n v="0.01"/>
    <n v="60"/>
    <n v="11.5"/>
    <n v="75.36"/>
    <n v="2024"/>
    <n v="4"/>
    <n v="2024"/>
    <n v="1"/>
    <s v="01"/>
    <x v="3"/>
    <x v="3"/>
    <n v="-7783.11"/>
    <x v="1"/>
    <n v="-7783.11"/>
  </r>
  <r>
    <x v="53"/>
    <s v="OPT-CNXBAN-10-Apr-2024-48700-C-E-I"/>
    <s v="NSE"/>
    <s v="Buy"/>
    <n v="105"/>
    <n v="0"/>
    <n v="183.35"/>
    <n v="19251.75"/>
    <s v="#202404093700001158"/>
    <n v="0"/>
    <n v="9.6300000000000008"/>
    <n v="1.29"/>
    <n v="0.02"/>
    <n v="140"/>
    <n v="26.94"/>
    <n v="177.88"/>
    <n v="2024"/>
    <n v="4"/>
    <n v="2024"/>
    <n v="1"/>
    <s v="01"/>
    <x v="3"/>
    <x v="3"/>
    <n v="-19429.63"/>
    <x v="1"/>
    <n v="-19429.63"/>
  </r>
  <r>
    <x v="54"/>
    <s v="OPT-CNXBAN-10-Apr-2024-48700-P-E-I"/>
    <s v="NSE"/>
    <s v="Sell"/>
    <n v="420"/>
    <n v="0"/>
    <n v="34.25"/>
    <n v="14385"/>
    <s v="#202404103700017713"/>
    <n v="8.99"/>
    <n v="7.2"/>
    <n v="0"/>
    <n v="0.01"/>
    <n v="560"/>
    <n v="102.1"/>
    <n v="678.3"/>
    <n v="2024"/>
    <n v="4"/>
    <n v="2024"/>
    <n v="1"/>
    <s v="01"/>
    <x v="3"/>
    <x v="3"/>
    <n v="13706.7"/>
    <x v="165"/>
    <s v=""/>
  </r>
  <r>
    <x v="54"/>
    <s v="OPT-CNXBAN-10-Apr-2024-48700-P-E-I"/>
    <s v="NSE"/>
    <s v="Buy"/>
    <n v="210"/>
    <n v="0"/>
    <n v="24"/>
    <n v="5040"/>
    <s v="#202404103700016211"/>
    <n v="0"/>
    <n v="2.52"/>
    <n v="0.34"/>
    <n v="0.01"/>
    <n v="280"/>
    <n v="50.86"/>
    <n v="333.73"/>
    <n v="2024"/>
    <n v="4"/>
    <n v="2024"/>
    <n v="1"/>
    <s v="01"/>
    <x v="3"/>
    <x v="3"/>
    <n v="-5373.73"/>
    <x v="1"/>
    <n v="-5373.73"/>
  </r>
  <r>
    <x v="54"/>
    <s v="OPT-CNXBAN-10-Apr-2024-48700-P-E-I"/>
    <s v="NSE"/>
    <s v="Buy"/>
    <n v="105"/>
    <n v="0"/>
    <n v="28.55"/>
    <n v="2997.75"/>
    <s v="#202404103700015266"/>
    <n v="0"/>
    <n v="1.49"/>
    <n v="0"/>
    <n v="0"/>
    <n v="140"/>
    <n v="25.48"/>
    <n v="166.97"/>
    <n v="2024"/>
    <n v="4"/>
    <n v="2024"/>
    <n v="1"/>
    <s v="01"/>
    <x v="3"/>
    <x v="3"/>
    <n v="-3164.72"/>
    <x v="1"/>
    <n v="-3164.72"/>
  </r>
  <r>
    <x v="54"/>
    <s v="OPT-CNXBAN-10-Apr-2024-48700-P-E-I"/>
    <s v="NSE"/>
    <s v="Buy"/>
    <n v="105"/>
    <n v="0"/>
    <n v="32.6"/>
    <n v="3423"/>
    <s v="#202404103700015135"/>
    <n v="0"/>
    <n v="1.69"/>
    <n v="0"/>
    <n v="0"/>
    <n v="140"/>
    <n v="25.5"/>
    <n v="167.19"/>
    <n v="2024"/>
    <n v="4"/>
    <n v="2024"/>
    <n v="1"/>
    <s v="01"/>
    <x v="3"/>
    <x v="3"/>
    <n v="-3590.19"/>
    <x v="1"/>
    <n v="-3590.19"/>
  </r>
  <r>
    <x v="54"/>
    <s v="OPT-CNXBAN-10-Apr-2024-48800-C-E-I"/>
    <s v="NSE"/>
    <s v="Sell"/>
    <n v="120"/>
    <n v="0"/>
    <n v="205"/>
    <n v="24600"/>
    <s v="#202404103700002828"/>
    <n v="15.01"/>
    <n v="12.3"/>
    <n v="0"/>
    <n v="0.03"/>
    <n v="160"/>
    <n v="31.02"/>
    <n v="218.36"/>
    <n v="2024"/>
    <n v="4"/>
    <n v="2024"/>
    <n v="1"/>
    <s v="01"/>
    <x v="3"/>
    <x v="3"/>
    <n v="24381.64"/>
    <x v="166"/>
    <s v=""/>
  </r>
  <r>
    <x v="54"/>
    <s v="OPT-CNXBAN-10-Apr-2024-48800-C-E-I"/>
    <s v="NSE"/>
    <s v="Buy"/>
    <n v="105"/>
    <n v="0"/>
    <n v="109.1"/>
    <n v="11455.5"/>
    <s v="#202404103700001265"/>
    <n v="0"/>
    <n v="5.73"/>
    <n v="0.66"/>
    <n v="0.01"/>
    <n v="140"/>
    <n v="26.24"/>
    <n v="172.64"/>
    <n v="2024"/>
    <n v="4"/>
    <n v="2024"/>
    <n v="1"/>
    <s v="01"/>
    <x v="3"/>
    <x v="3"/>
    <n v="-11628.14"/>
    <x v="1"/>
    <n v="-11628.14"/>
  </r>
  <r>
    <x v="54"/>
    <s v="OPT-CNXBAN-10-Apr-2024-48800-C-E-I"/>
    <s v="NSE"/>
    <s v="Buy"/>
    <n v="15"/>
    <n v="0"/>
    <n v="111.7"/>
    <n v="1675.5"/>
    <s v="#202404103700000917"/>
    <n v="0"/>
    <n v="0.84"/>
    <n v="0"/>
    <n v="0"/>
    <n v="20"/>
    <n v="3.76"/>
    <n v="24.6"/>
    <n v="2024"/>
    <n v="4"/>
    <n v="2024"/>
    <n v="1"/>
    <s v="01"/>
    <x v="3"/>
    <x v="3"/>
    <n v="-1700.1"/>
    <x v="1"/>
    <n v="-1700.1"/>
  </r>
  <r>
    <x v="55"/>
    <s v="OPT-CNXBAN-16-Apr-2024-48800-C-E-I"/>
    <s v="NSE"/>
    <s v="Sell"/>
    <n v="150"/>
    <n v="0"/>
    <n v="178.87"/>
    <n v="26830.5"/>
    <s v="#202404123700022820"/>
    <n v="16.77"/>
    <n v="13.41"/>
    <n v="0"/>
    <n v="0.03"/>
    <n v="200"/>
    <n v="38.4"/>
    <n v="268.61"/>
    <n v="2024"/>
    <n v="4"/>
    <n v="2024"/>
    <n v="1"/>
    <s v="01"/>
    <x v="3"/>
    <x v="3"/>
    <n v="26561.89"/>
    <x v="167"/>
    <s v=""/>
  </r>
  <r>
    <x v="55"/>
    <s v="OPT-NIFSEL-15-Apr-2024-11025-C-E-I"/>
    <s v="NSE"/>
    <s v="Sell"/>
    <n v="75"/>
    <n v="0"/>
    <n v="31.15"/>
    <n v="2336.25"/>
    <s v="#202404123700018998"/>
    <n v="1.46"/>
    <n v="1.17"/>
    <n v="0"/>
    <n v="0"/>
    <n v="20"/>
    <n v="3.82"/>
    <n v="26.45"/>
    <n v="2024"/>
    <n v="4"/>
    <n v="2024"/>
    <n v="1"/>
    <s v="01"/>
    <x v="3"/>
    <x v="3"/>
    <n v="2309.8000000000002"/>
    <x v="168"/>
    <s v=""/>
  </r>
  <r>
    <x v="55"/>
    <s v="OPT-CNXBAN-16-Apr-2024-48800-C-E-I"/>
    <s v="NSE"/>
    <s v="Buy"/>
    <n v="45"/>
    <n v="0"/>
    <n v="196.9"/>
    <n v="8860.5"/>
    <s v="#202404123700015253"/>
    <n v="0"/>
    <n v="4.43"/>
    <n v="0"/>
    <n v="0.01"/>
    <n v="60"/>
    <n v="11.6"/>
    <n v="76.040000000000006"/>
    <n v="2024"/>
    <n v="4"/>
    <n v="2024"/>
    <n v="1"/>
    <s v="01"/>
    <x v="3"/>
    <x v="3"/>
    <n v="-8936.5400000000009"/>
    <x v="1"/>
    <n v="-8936.5400000000009"/>
  </r>
  <r>
    <x v="55"/>
    <s v="OPT-NIFSEL-15-Apr-2024-11025-C-E-I"/>
    <s v="NSE"/>
    <s v="Buy"/>
    <n v="75"/>
    <n v="0"/>
    <n v="41.65"/>
    <n v="3123.75"/>
    <s v="#202404123700013990"/>
    <n v="0"/>
    <n v="1.56"/>
    <n v="0.09"/>
    <n v="0"/>
    <n v="20"/>
    <n v="3.88"/>
    <n v="25.53"/>
    <n v="2024"/>
    <n v="4"/>
    <n v="2024"/>
    <n v="1"/>
    <s v="01"/>
    <x v="3"/>
    <x v="3"/>
    <n v="-3149.28"/>
    <x v="1"/>
    <n v="-3149.28"/>
  </r>
  <r>
    <x v="55"/>
    <s v="OPT-CNXBAN-16-Apr-2024-48900-C-E-I"/>
    <s v="NSE"/>
    <s v="Sell"/>
    <n v="30"/>
    <n v="0"/>
    <n v="215.15"/>
    <n v="6454.5"/>
    <s v="#202404123700011879"/>
    <n v="3.77"/>
    <n v="3.23"/>
    <n v="0"/>
    <n v="0.01"/>
    <n v="40"/>
    <n v="7.78"/>
    <n v="54.79"/>
    <n v="2024"/>
    <n v="4"/>
    <n v="2024"/>
    <n v="1"/>
    <s v="01"/>
    <x v="3"/>
    <x v="3"/>
    <n v="6399.71"/>
    <x v="169"/>
    <s v=""/>
  </r>
  <r>
    <x v="55"/>
    <s v="OPT-CNXBAN-16-Apr-2024-48800-C-E-I"/>
    <s v="NSE"/>
    <s v="Buy"/>
    <n v="105"/>
    <n v="0"/>
    <n v="227.5"/>
    <n v="23887.5"/>
    <s v="#202404123700011348"/>
    <n v="0"/>
    <n v="11.94"/>
    <n v="0.75"/>
    <n v="0.02"/>
    <n v="140"/>
    <n v="27.36"/>
    <n v="180.07"/>
    <n v="2024"/>
    <n v="4"/>
    <n v="2024"/>
    <n v="1"/>
    <s v="01"/>
    <x v="3"/>
    <x v="3"/>
    <n v="-24067.57"/>
    <x v="1"/>
    <n v="-24067.57"/>
  </r>
  <r>
    <x v="55"/>
    <s v="OPT-CNXBAN-16-Apr-2024-48900-C-E-I"/>
    <s v="NSE"/>
    <s v="Buy"/>
    <n v="15"/>
    <n v="0"/>
    <n v="167"/>
    <n v="2505"/>
    <s v="#202404123700008911"/>
    <n v="0"/>
    <n v="1.25"/>
    <n v="0"/>
    <n v="0"/>
    <n v="20"/>
    <n v="3.82"/>
    <n v="25.07"/>
    <n v="2024"/>
    <n v="4"/>
    <n v="2024"/>
    <n v="1"/>
    <s v="01"/>
    <x v="3"/>
    <x v="3"/>
    <n v="-2530.0700000000002"/>
    <x v="1"/>
    <n v="-2530.0700000000002"/>
  </r>
  <r>
    <x v="55"/>
    <s v="OPT-CNXBAN-16-Apr-2024-48900-C-E-I"/>
    <s v="NSE"/>
    <s v="Buy"/>
    <n v="15"/>
    <n v="0"/>
    <n v="182.6"/>
    <n v="2739"/>
    <s v="#202404123700004941"/>
    <n v="0"/>
    <n v="1.37"/>
    <n v="0.16"/>
    <n v="0"/>
    <n v="20"/>
    <n v="3.84"/>
    <n v="25.37"/>
    <n v="2024"/>
    <n v="4"/>
    <n v="2024"/>
    <n v="1"/>
    <s v="01"/>
    <x v="3"/>
    <x v="3"/>
    <n v="-2764.37"/>
    <x v="1"/>
    <n v="-2764.37"/>
  </r>
  <r>
    <x v="56"/>
    <s v="OPT-NIFSEL-15-Apr-2024-11000-C-E-I"/>
    <s v="NSE"/>
    <s v="Sell"/>
    <n v="1200"/>
    <n v="0"/>
    <n v="0.3"/>
    <n v="360"/>
    <s v="#202404153700016657"/>
    <n v="0.23"/>
    <n v="0.18"/>
    <n v="0"/>
    <n v="0"/>
    <n v="320"/>
    <n v="57.64"/>
    <n v="378.05"/>
    <n v="2024"/>
    <n v="4"/>
    <n v="2024"/>
    <n v="1"/>
    <s v="01"/>
    <x v="3"/>
    <x v="3"/>
    <n v="-18.050000000000011"/>
    <x v="1"/>
    <n v="-18.050000000000011"/>
  </r>
  <r>
    <x v="56"/>
    <s v="OPT-CNXBAN-16-Apr-2024-48000-C-E-I"/>
    <s v="NSE"/>
    <s v="Sell"/>
    <n v="15"/>
    <n v="0"/>
    <n v="244.7"/>
    <n v="3670.5"/>
    <s v="#202404153700016614"/>
    <n v="2.29"/>
    <n v="1.84"/>
    <n v="0"/>
    <n v="0"/>
    <n v="20"/>
    <n v="3.94"/>
    <n v="28.07"/>
    <n v="2024"/>
    <n v="4"/>
    <n v="2024"/>
    <n v="1"/>
    <s v="01"/>
    <x v="3"/>
    <x v="3"/>
    <n v="3642.43"/>
    <x v="170"/>
    <s v=""/>
  </r>
  <r>
    <x v="56"/>
    <s v="OPT-CNXBAN-16-Apr-2024-48000-C-E-I"/>
    <s v="NSE"/>
    <s v="Buy"/>
    <n v="15"/>
    <n v="0"/>
    <n v="269.5"/>
    <n v="4042.5"/>
    <s v="#202404153700015471"/>
    <n v="0"/>
    <n v="2.02"/>
    <n v="0"/>
    <n v="0"/>
    <n v="20"/>
    <n v="3.96"/>
    <n v="25.98"/>
    <n v="2024"/>
    <n v="4"/>
    <n v="2024"/>
    <n v="1"/>
    <s v="01"/>
    <x v="3"/>
    <x v="3"/>
    <n v="-4068.48"/>
    <x v="1"/>
    <n v="-4068.48"/>
  </r>
  <r>
    <x v="56"/>
    <s v="OPT-CNXBAN-16-Apr-2024-48000-C-E-I"/>
    <s v="NSE"/>
    <s v="Sell"/>
    <n v="15"/>
    <n v="0"/>
    <n v="345.15"/>
    <n v="5177.25"/>
    <s v="#202404153700011498"/>
    <n v="3.24"/>
    <n v="2.59"/>
    <n v="0"/>
    <n v="0.01"/>
    <n v="20"/>
    <n v="4.0599999999999996"/>
    <n v="29.9"/>
    <n v="2024"/>
    <n v="4"/>
    <n v="2024"/>
    <n v="1"/>
    <s v="01"/>
    <x v="3"/>
    <x v="3"/>
    <n v="5147.3500000000004"/>
    <x v="171"/>
    <s v=""/>
  </r>
  <r>
    <x v="56"/>
    <s v="OPT-NIFSEL-15-Apr-2024-11000-C-E-I"/>
    <s v="NSE"/>
    <s v="Buy"/>
    <n v="600"/>
    <n v="0"/>
    <n v="1.9"/>
    <n v="1140"/>
    <s v="#202404153700011440"/>
    <n v="0"/>
    <n v="0.56999999999999995"/>
    <n v="0"/>
    <n v="0"/>
    <n v="160"/>
    <n v="28.9"/>
    <n v="189.47"/>
    <n v="2024"/>
    <n v="4"/>
    <n v="2024"/>
    <n v="1"/>
    <s v="01"/>
    <x v="3"/>
    <x v="3"/>
    <n v="-1329.47"/>
    <x v="1"/>
    <n v="-1329.47"/>
  </r>
  <r>
    <x v="56"/>
    <s v="OPT-CNXBAN-16-Apr-2024-48000-C-E-I"/>
    <s v="NSE"/>
    <s v="Buy"/>
    <n v="15"/>
    <n v="0"/>
    <n v="316.3"/>
    <n v="4744.5"/>
    <s v="#202404153700011351"/>
    <n v="0"/>
    <n v="2.37"/>
    <n v="0"/>
    <n v="0"/>
    <n v="20"/>
    <n v="4.0199999999999996"/>
    <n v="26.39"/>
    <n v="2024"/>
    <n v="4"/>
    <n v="2024"/>
    <n v="1"/>
    <s v="01"/>
    <x v="3"/>
    <x v="3"/>
    <n v="-4770.8900000000003"/>
    <x v="1"/>
    <n v="-4770.8900000000003"/>
  </r>
  <r>
    <x v="56"/>
    <s v="OPT-NIFSEL-15-Apr-2024-11000-C-E-I"/>
    <s v="NSE"/>
    <s v="Sell"/>
    <n v="75"/>
    <n v="0"/>
    <n v="1.5"/>
    <n v="112.5"/>
    <s v="#202404153700009208"/>
    <n v="0.02"/>
    <n v="0.06"/>
    <n v="0"/>
    <n v="0"/>
    <n v="20"/>
    <n v="3.62"/>
    <n v="23.7"/>
    <n v="2024"/>
    <n v="4"/>
    <n v="2024"/>
    <n v="1"/>
    <s v="01"/>
    <x v="3"/>
    <x v="3"/>
    <n v="88.8"/>
    <x v="172"/>
    <s v=""/>
  </r>
  <r>
    <x v="56"/>
    <s v="OPT-NIFSEL-15-Apr-2024-11000-C-E-I"/>
    <s v="NSE"/>
    <s v="Sell"/>
    <n v="75"/>
    <n v="0"/>
    <n v="1.5"/>
    <n v="112.5"/>
    <s v="#202404153700009198"/>
    <n v="7.0000000000000007E-2"/>
    <n v="0.06"/>
    <n v="0"/>
    <n v="0"/>
    <n v="20"/>
    <n v="3.62"/>
    <n v="23.75"/>
    <n v="2024"/>
    <n v="4"/>
    <n v="2024"/>
    <n v="1"/>
    <s v="01"/>
    <x v="3"/>
    <x v="3"/>
    <n v="88.75"/>
    <x v="173"/>
    <s v=""/>
  </r>
  <r>
    <x v="56"/>
    <s v="OPT-NIFSEL-15-Apr-2024-11000-C-E-I"/>
    <s v="NSE"/>
    <s v="Sell"/>
    <n v="75"/>
    <n v="0"/>
    <n v="1.5"/>
    <n v="112.5"/>
    <s v="#202404153700009195"/>
    <n v="7.0000000000000007E-2"/>
    <n v="0.06"/>
    <n v="0"/>
    <n v="0"/>
    <n v="20"/>
    <n v="3.62"/>
    <n v="23.75"/>
    <n v="2024"/>
    <n v="4"/>
    <n v="2024"/>
    <n v="1"/>
    <s v="01"/>
    <x v="3"/>
    <x v="3"/>
    <n v="88.75"/>
    <x v="173"/>
    <s v=""/>
  </r>
  <r>
    <x v="56"/>
    <s v="OPT-NIFSEL-15-Apr-2024-11000-C-E-I"/>
    <s v="NSE"/>
    <s v="Sell"/>
    <n v="75"/>
    <n v="0"/>
    <n v="1.7"/>
    <n v="127.5"/>
    <s v="#202404153700009164"/>
    <n v="0.08"/>
    <n v="0.06"/>
    <n v="0"/>
    <n v="0"/>
    <n v="20"/>
    <n v="3.62"/>
    <n v="23.76"/>
    <n v="2024"/>
    <n v="4"/>
    <n v="2024"/>
    <n v="1"/>
    <s v="01"/>
    <x v="3"/>
    <x v="3"/>
    <n v="103.74"/>
    <x v="174"/>
    <s v=""/>
  </r>
  <r>
    <x v="56"/>
    <s v="OPT-NIFSEL-15-Apr-2024-11000-C-E-I"/>
    <s v="NSE"/>
    <s v="Buy"/>
    <n v="600"/>
    <n v="0"/>
    <n v="2.2999999999999998"/>
    <n v="1380"/>
    <s v="#202404153700006121"/>
    <n v="0"/>
    <n v="0.69"/>
    <n v="0"/>
    <n v="0"/>
    <n v="160"/>
    <n v="28.92"/>
    <n v="189.61"/>
    <n v="2024"/>
    <n v="4"/>
    <n v="2024"/>
    <n v="1"/>
    <s v="01"/>
    <x v="3"/>
    <x v="3"/>
    <n v="-1569.6100000000001"/>
    <x v="1"/>
    <n v="-1569.6100000000001"/>
  </r>
  <r>
    <x v="56"/>
    <s v="OPT-NIFSEL-15-Apr-2024-11000-C-E-I"/>
    <s v="NSE"/>
    <s v="Buy"/>
    <n v="75"/>
    <n v="0"/>
    <n v="3.95"/>
    <n v="296.25"/>
    <s v="#202404153700002557"/>
    <n v="0"/>
    <n v="0.15"/>
    <n v="0"/>
    <n v="0"/>
    <n v="20"/>
    <n v="3.62"/>
    <n v="23.77"/>
    <n v="2024"/>
    <n v="4"/>
    <n v="2024"/>
    <n v="1"/>
    <s v="01"/>
    <x v="3"/>
    <x v="3"/>
    <n v="-320.02"/>
    <x v="1"/>
    <n v="-320.02"/>
  </r>
  <r>
    <x v="56"/>
    <s v="OPT-NIFSEL-15-Apr-2024-11000-C-E-I"/>
    <s v="NSE"/>
    <s v="Buy"/>
    <n v="75"/>
    <n v="0"/>
    <n v="3.9"/>
    <n v="292.5"/>
    <s v="#202404153700002536"/>
    <n v="0"/>
    <n v="0.15"/>
    <n v="0"/>
    <n v="0"/>
    <n v="20"/>
    <n v="3.62"/>
    <n v="23.77"/>
    <n v="2024"/>
    <n v="4"/>
    <n v="2024"/>
    <n v="1"/>
    <s v="01"/>
    <x v="3"/>
    <x v="3"/>
    <n v="-316.27"/>
    <x v="1"/>
    <n v="-316.27"/>
  </r>
  <r>
    <x v="56"/>
    <s v="OPT-NIFSEL-15-Apr-2024-11000-C-E-I"/>
    <s v="NSE"/>
    <s v="Buy"/>
    <n v="75"/>
    <n v="0"/>
    <n v="3.85"/>
    <n v="288.75"/>
    <s v="#202404153700002520"/>
    <n v="0"/>
    <n v="0.14000000000000001"/>
    <n v="0"/>
    <n v="0"/>
    <n v="20"/>
    <n v="3.62"/>
    <n v="23.76"/>
    <n v="2024"/>
    <n v="4"/>
    <n v="2024"/>
    <n v="1"/>
    <s v="01"/>
    <x v="3"/>
    <x v="3"/>
    <n v="-312.51"/>
    <x v="1"/>
    <n v="-312.51"/>
  </r>
  <r>
    <x v="56"/>
    <s v="OPT-NIFSEL-15-Apr-2024-11000-C-E-I"/>
    <s v="NSE"/>
    <s v="Buy"/>
    <n v="75"/>
    <n v="0"/>
    <n v="4.1500000000000004"/>
    <n v="311.25"/>
    <s v="#202404153700002380"/>
    <n v="0"/>
    <n v="0.16"/>
    <n v="0"/>
    <n v="0"/>
    <n v="20"/>
    <n v="3.62"/>
    <n v="23.78"/>
    <n v="2024"/>
    <n v="4"/>
    <n v="2024"/>
    <n v="1"/>
    <s v="01"/>
    <x v="3"/>
    <x v="3"/>
    <n v="-335.03"/>
    <x v="1"/>
    <n v="-335.03"/>
  </r>
  <r>
    <x v="57"/>
    <s v="OPT-CNXBAN-16-Apr-2024-47500-C-E-I"/>
    <s v="NSE"/>
    <s v="Sell"/>
    <n v="15"/>
    <n v="0"/>
    <n v="35"/>
    <n v="525"/>
    <s v="#202404163700018156"/>
    <n v="0.18"/>
    <n v="0.26"/>
    <n v="0"/>
    <n v="0"/>
    <n v="20"/>
    <n v="3.64"/>
    <n v="24.08"/>
    <n v="2024"/>
    <n v="4"/>
    <n v="2024"/>
    <n v="1"/>
    <s v="01"/>
    <x v="3"/>
    <x v="3"/>
    <n v="500.92"/>
    <x v="175"/>
    <s v=""/>
  </r>
  <r>
    <x v="57"/>
    <s v="OPT-NIFTY-18-Apr-2024-22250-C-E-I"/>
    <s v="NSE"/>
    <s v="Sell"/>
    <n v="150"/>
    <n v="0"/>
    <n v="30.1"/>
    <n v="4515"/>
    <s v="#202404163700017777"/>
    <n v="2.82"/>
    <n v="2.2599999999999998"/>
    <n v="0"/>
    <n v="0"/>
    <n v="60"/>
    <n v="11.22"/>
    <n v="76.3"/>
    <n v="2024"/>
    <n v="4"/>
    <n v="2024"/>
    <n v="1"/>
    <s v="01"/>
    <x v="3"/>
    <x v="3"/>
    <n v="4438.7"/>
    <x v="176"/>
    <s v=""/>
  </r>
  <r>
    <x v="57"/>
    <s v="OPT-CNXBAN-16-Apr-2024-47500-C-E-I"/>
    <s v="NSE"/>
    <s v="Buy"/>
    <n v="15"/>
    <n v="0"/>
    <n v="79.5"/>
    <n v="1192.5"/>
    <s v="#202404163700010095"/>
    <n v="0"/>
    <n v="0.6"/>
    <n v="0"/>
    <n v="0"/>
    <n v="20"/>
    <n v="3.7"/>
    <n v="24.3"/>
    <n v="2024"/>
    <n v="4"/>
    <n v="2024"/>
    <n v="1"/>
    <s v="01"/>
    <x v="3"/>
    <x v="3"/>
    <n v="-1216.8"/>
    <x v="1"/>
    <n v="-1216.8"/>
  </r>
  <r>
    <x v="57"/>
    <s v="OPT-NIFTY-18-Apr-2024-22250-C-E-I"/>
    <s v="NSE"/>
    <s v="Buy"/>
    <n v="50"/>
    <n v="0"/>
    <n v="52.05"/>
    <n v="2602.5"/>
    <s v="#202404163700006753"/>
    <n v="0"/>
    <n v="1.3"/>
    <n v="0"/>
    <n v="0"/>
    <n v="20"/>
    <n v="3.84"/>
    <n v="25.14"/>
    <n v="2024"/>
    <n v="4"/>
    <n v="2024"/>
    <n v="1"/>
    <s v="01"/>
    <x v="3"/>
    <x v="3"/>
    <n v="-2627.64"/>
    <x v="1"/>
    <n v="-2627.64"/>
  </r>
  <r>
    <x v="57"/>
    <s v="OPT-NIFTY-18-Apr-2024-22250-C-E-I"/>
    <s v="NSE"/>
    <s v="Buy"/>
    <n v="100"/>
    <n v="0"/>
    <n v="58.93"/>
    <n v="5892.5"/>
    <s v="#202404163700006684"/>
    <n v="0"/>
    <n v="2.94"/>
    <n v="0"/>
    <n v="0"/>
    <n v="40"/>
    <n v="7.72"/>
    <n v="50.66"/>
    <n v="2024"/>
    <n v="4"/>
    <n v="2024"/>
    <n v="1"/>
    <s v="01"/>
    <x v="3"/>
    <x v="3"/>
    <n v="-5943.16"/>
    <x v="1"/>
    <n v="-5943.16"/>
  </r>
  <r>
    <x v="58"/>
    <s v="OPT-CNXBAN-24-Apr-2024-47400-P-E-I"/>
    <s v="NSE"/>
    <s v="Sell"/>
    <n v="105"/>
    <n v="0"/>
    <n v="199.25"/>
    <n v="20921.25"/>
    <s v="#202404183700016719"/>
    <n v="12.67"/>
    <n v="10.46"/>
    <n v="0"/>
    <n v="0.02"/>
    <n v="140"/>
    <n v="27.08"/>
    <n v="190.23"/>
    <n v="2024"/>
    <n v="4"/>
    <n v="2024"/>
    <n v="1"/>
    <s v="01"/>
    <x v="3"/>
    <x v="3"/>
    <n v="20731.02"/>
    <x v="177"/>
    <s v=""/>
  </r>
  <r>
    <x v="58"/>
    <s v="OPT-NIFTY-18-Apr-2024-22200-C-E-I"/>
    <s v="NSE"/>
    <s v="Sell"/>
    <n v="50"/>
    <n v="0"/>
    <n v="74.7"/>
    <n v="3735"/>
    <s v="#202404183700010588"/>
    <n v="2.33"/>
    <n v="1.87"/>
    <n v="0"/>
    <n v="0"/>
    <n v="20"/>
    <n v="3.94"/>
    <n v="28.14"/>
    <n v="2024"/>
    <n v="4"/>
    <n v="2024"/>
    <n v="1"/>
    <s v="01"/>
    <x v="3"/>
    <x v="3"/>
    <n v="3706.86"/>
    <x v="178"/>
    <s v=""/>
  </r>
  <r>
    <x v="58"/>
    <s v="OPT-NIFTY-18-Apr-2024-22200-C-E-I"/>
    <s v="NSE"/>
    <s v="Buy"/>
    <n v="50"/>
    <n v="0"/>
    <n v="33"/>
    <n v="1650"/>
    <s v="#202404183700010181"/>
    <n v="0"/>
    <n v="0.83"/>
    <n v="0.05"/>
    <n v="0"/>
    <n v="20"/>
    <n v="3.74"/>
    <n v="24.62"/>
    <n v="2024"/>
    <n v="4"/>
    <n v="2024"/>
    <n v="1"/>
    <s v="01"/>
    <x v="3"/>
    <x v="3"/>
    <n v="-1674.62"/>
    <x v="1"/>
    <n v="-1674.62"/>
  </r>
  <r>
    <x v="58"/>
    <s v="OPT-CNXBAN-24-Apr-2024-47400-P-E-I"/>
    <s v="NSE"/>
    <s v="Buy"/>
    <n v="105"/>
    <n v="0"/>
    <n v="219.35"/>
    <n v="23031.75"/>
    <s v="#202404183700002844"/>
    <n v="0"/>
    <n v="11.52"/>
    <n v="0.95"/>
    <n v="0.02"/>
    <n v="140"/>
    <n v="27.28"/>
    <n v="179.77"/>
    <n v="2024"/>
    <n v="4"/>
    <n v="2024"/>
    <n v="1"/>
    <s v="01"/>
    <x v="3"/>
    <x v="3"/>
    <n v="-23211.52"/>
    <x v="1"/>
    <n v="-23211.52"/>
  </r>
  <r>
    <x v="59"/>
    <s v="OPT-CNXBAN-24-Apr-2024-46600-P-E-I"/>
    <s v="NSE"/>
    <s v="Buy"/>
    <n v="15"/>
    <n v="0"/>
    <n v="292.2"/>
    <n v="4383"/>
    <s v="#202404193700010218"/>
    <n v="0"/>
    <n v="2.19"/>
    <n v="0"/>
    <n v="0"/>
    <n v="20"/>
    <n v="4"/>
    <n v="26.19"/>
    <n v="2024"/>
    <n v="4"/>
    <n v="2024"/>
    <n v="1"/>
    <s v="01"/>
    <x v="3"/>
    <x v="3"/>
    <n v="-4409.1899999999996"/>
    <x v="1"/>
    <n v="-4409.1899999999996"/>
  </r>
  <r>
    <x v="60"/>
    <s v="OPT-CNXBAN-24-Apr-2024-46600-P-E-I"/>
    <s v="NSE"/>
    <s v="Buy"/>
    <n v="900"/>
    <n v="0"/>
    <n v="11.75"/>
    <n v="10575"/>
    <s v="#202404233700007432"/>
    <n v="0"/>
    <n v="5.31"/>
    <n v="1"/>
    <n v="0.01"/>
    <n v="1200"/>
    <n v="217.02"/>
    <n v="1423.34"/>
    <n v="2024"/>
    <n v="4"/>
    <n v="2024"/>
    <n v="1"/>
    <s v="01"/>
    <x v="3"/>
    <x v="3"/>
    <n v="-11998.34"/>
    <x v="1"/>
    <n v="-11998.34"/>
  </r>
  <r>
    <x v="60"/>
    <s v="OPT-CNXBAN-24-Apr-2024-46600-P-E-I"/>
    <s v="NSE"/>
    <s v="Buy"/>
    <n v="600"/>
    <n v="0"/>
    <n v="20.2"/>
    <n v="12120"/>
    <s v="#202404233700004074"/>
    <n v="0"/>
    <n v="6.06"/>
    <n v="0"/>
    <n v="0"/>
    <n v="800"/>
    <n v="145.08000000000001"/>
    <n v="951.14"/>
    <n v="2024"/>
    <n v="4"/>
    <n v="2024"/>
    <n v="1"/>
    <s v="01"/>
    <x v="3"/>
    <x v="3"/>
    <n v="-13071.14"/>
    <x v="1"/>
    <n v="-13071.14"/>
  </r>
  <r>
    <x v="61"/>
    <s v="OPT-CNXBAN-24-Apr-2024-47900-P-E-I"/>
    <s v="NSE"/>
    <s v="Sell"/>
    <n v="900"/>
    <n v="0"/>
    <n v="4.05"/>
    <n v="3645"/>
    <s v="#202404243700019658"/>
    <n v="1.91"/>
    <n v="1.82"/>
    <n v="0"/>
    <n v="0"/>
    <n v="1200"/>
    <n v="216.32"/>
    <n v="1420.05"/>
    <n v="2024"/>
    <n v="4"/>
    <n v="2024"/>
    <n v="1"/>
    <s v="01"/>
    <x v="3"/>
    <x v="3"/>
    <n v="2224.9499999999998"/>
    <x v="179"/>
    <s v=""/>
  </r>
  <r>
    <x v="61"/>
    <s v="OPT-CNXBAN-24-Apr-2024-47900-P-E-I"/>
    <s v="NSE"/>
    <s v="Buy"/>
    <n v="900"/>
    <n v="0"/>
    <n v="11.5"/>
    <n v="10350"/>
    <s v="#202404243700015770"/>
    <n v="0"/>
    <n v="5.22"/>
    <n v="0"/>
    <n v="0"/>
    <n v="1200"/>
    <n v="216.92"/>
    <n v="1422.14"/>
    <n v="2024"/>
    <n v="4"/>
    <n v="2024"/>
    <n v="1"/>
    <s v="01"/>
    <x v="3"/>
    <x v="3"/>
    <n v="-11772.14"/>
    <x v="1"/>
    <n v="-11772.14"/>
  </r>
  <r>
    <x v="61"/>
    <s v="OPT-CNXBAN-24-Apr-2024-46600-P-E-I"/>
    <s v="NSE"/>
    <s v="Sell"/>
    <n v="615"/>
    <n v="0"/>
    <n v="2.2000000000000002"/>
    <n v="1353"/>
    <s v="#202404243700006563"/>
    <n v="0.84"/>
    <n v="0.67"/>
    <n v="0"/>
    <n v="0"/>
    <n v="820"/>
    <n v="147.72"/>
    <n v="969.23"/>
    <n v="2024"/>
    <n v="4"/>
    <n v="2024"/>
    <n v="1"/>
    <s v="01"/>
    <x v="3"/>
    <x v="3"/>
    <n v="383.77"/>
    <x v="180"/>
    <s v=""/>
  </r>
  <r>
    <x v="61"/>
    <s v="OPT-CNXBAN-24-Apr-2024-46600-P-E-I"/>
    <s v="NSE"/>
    <s v="Sell"/>
    <n v="900"/>
    <n v="0"/>
    <n v="2.2000000000000002"/>
    <n v="1980"/>
    <s v="#202404243700006531"/>
    <n v="1.24"/>
    <n v="0.98"/>
    <n v="0"/>
    <n v="0"/>
    <n v="1200"/>
    <n v="216.16"/>
    <n v="1418.38"/>
    <n v="2024"/>
    <n v="4"/>
    <n v="2024"/>
    <n v="1"/>
    <s v="01"/>
    <x v="3"/>
    <x v="3"/>
    <n v="561.61999999999989"/>
    <x v="181"/>
    <s v=""/>
  </r>
  <r>
    <x v="62"/>
    <s v="OPT-NIFTY-02-May-2024-22550-C-E-I"/>
    <s v="NSE"/>
    <s v="Sell"/>
    <n v="200"/>
    <n v="0"/>
    <n v="101.25"/>
    <n v="20250"/>
    <s v="#202404263700016483"/>
    <n v="12.66"/>
    <n v="10.130000000000001"/>
    <n v="0"/>
    <n v="0.02"/>
    <n v="160"/>
    <n v="30.62"/>
    <n v="213.43"/>
    <n v="2024"/>
    <n v="4"/>
    <n v="2024"/>
    <n v="1"/>
    <s v="01"/>
    <x v="3"/>
    <x v="3"/>
    <n v="20036.57"/>
    <x v="182"/>
    <s v=""/>
  </r>
  <r>
    <x v="62"/>
    <s v="OPT-NIFTY-02-May-2024-22550-C-E-I"/>
    <s v="NSE"/>
    <s v="Buy"/>
    <n v="100"/>
    <n v="0"/>
    <n v="131.25"/>
    <n v="13125"/>
    <s v="#202404263700013098"/>
    <n v="0"/>
    <n v="6.56"/>
    <n v="1.21"/>
    <n v="0.01"/>
    <n v="80"/>
    <n v="15.58"/>
    <n v="103.36"/>
    <n v="2024"/>
    <n v="4"/>
    <n v="2024"/>
    <n v="1"/>
    <s v="01"/>
    <x v="3"/>
    <x v="3"/>
    <n v="-13228.36"/>
    <x v="1"/>
    <n v="-13228.36"/>
  </r>
  <r>
    <x v="62"/>
    <s v="OPT-NIFTY-02-May-2024-22550-C-E-I"/>
    <s v="NSE"/>
    <s v="Buy"/>
    <n v="50"/>
    <n v="0"/>
    <n v="131.25"/>
    <n v="6562.5"/>
    <s v="#202404263700011485"/>
    <n v="0"/>
    <n v="3.28"/>
    <n v="0"/>
    <n v="0.01"/>
    <n v="40"/>
    <n v="7.8"/>
    <n v="51.09"/>
    <n v="2024"/>
    <n v="4"/>
    <n v="2024"/>
    <n v="1"/>
    <s v="01"/>
    <x v="3"/>
    <x v="3"/>
    <n v="-6613.59"/>
    <x v="1"/>
    <n v="-6613.59"/>
  </r>
  <r>
    <x v="62"/>
    <s v="OPT-NIFTY-02-May-2024-22550-C-E-I"/>
    <s v="NSE"/>
    <s v="Buy"/>
    <n v="50"/>
    <n v="0"/>
    <n v="146.1"/>
    <n v="7305"/>
    <s v="#202404263700011140"/>
    <n v="0"/>
    <n v="3.65"/>
    <n v="0"/>
    <n v="0.01"/>
    <n v="40"/>
    <n v="7.86"/>
    <n v="51.52"/>
    <n v="2024"/>
    <n v="4"/>
    <n v="2024"/>
    <n v="1"/>
    <s v="01"/>
    <x v="3"/>
    <x v="3"/>
    <n v="-7356.52"/>
    <x v="1"/>
    <n v="-7356.52"/>
  </r>
  <r>
    <x v="62"/>
    <s v="OPT-CNXBAN-30-Apr-2024-48500-C-E-I"/>
    <s v="NSE"/>
    <s v="Sell"/>
    <n v="105"/>
    <n v="0"/>
    <n v="265.75"/>
    <n v="27903.75"/>
    <s v="#202404263700010858"/>
    <n v="17.34"/>
    <n v="13.94"/>
    <n v="0"/>
    <n v="0.01"/>
    <n v="140"/>
    <n v="27.72"/>
    <n v="199.01"/>
    <n v="2024"/>
    <n v="4"/>
    <n v="2024"/>
    <n v="1"/>
    <s v="01"/>
    <x v="3"/>
    <x v="3"/>
    <n v="27704.74"/>
    <x v="183"/>
    <s v=""/>
  </r>
  <r>
    <x v="62"/>
    <s v="OPT-CNXBAN-30-Apr-2024-48500-C-E-I"/>
    <s v="NSE"/>
    <s v="Buy"/>
    <n v="105"/>
    <n v="0"/>
    <n v="251.25"/>
    <n v="26381.25"/>
    <s v="#202404263700010262"/>
    <n v="0"/>
    <n v="13.19"/>
    <n v="0.79"/>
    <n v="0.03"/>
    <n v="140"/>
    <n v="27.58"/>
    <n v="181.59"/>
    <n v="2024"/>
    <n v="4"/>
    <n v="2024"/>
    <n v="1"/>
    <s v="01"/>
    <x v="3"/>
    <x v="3"/>
    <n v="-26562.84"/>
    <x v="1"/>
    <n v="-26562.84"/>
  </r>
  <r>
    <x v="63"/>
    <s v="OPT-NIFFIN-30-Apr-2024-22050-C-E-I"/>
    <s v="NSE"/>
    <s v="Sell"/>
    <n v="400"/>
    <n v="0"/>
    <n v="45.75"/>
    <n v="18300"/>
    <s v="#202404303700025073"/>
    <n v="11"/>
    <n v="9.17"/>
    <n v="0"/>
    <n v="0.01"/>
    <n v="200"/>
    <n v="37.64"/>
    <n v="257.82"/>
    <n v="2024"/>
    <n v="4"/>
    <n v="2024"/>
    <n v="1"/>
    <s v="01"/>
    <x v="3"/>
    <x v="3"/>
    <n v="18042.18"/>
    <x v="184"/>
    <s v=""/>
  </r>
  <r>
    <x v="63"/>
    <s v="OPT-NIFFIN-30-Apr-2024-22050-C-E-I"/>
    <s v="NSE"/>
    <s v="Buy"/>
    <n v="400"/>
    <n v="0"/>
    <n v="31.95"/>
    <n v="12780"/>
    <s v="#202404303700024057"/>
    <n v="0"/>
    <n v="6.39"/>
    <n v="0"/>
    <n v="0.01"/>
    <n v="200"/>
    <n v="37.159999999999997"/>
    <n v="243.56"/>
    <n v="2024"/>
    <n v="4"/>
    <n v="2024"/>
    <n v="1"/>
    <s v="01"/>
    <x v="3"/>
    <x v="3"/>
    <n v="-13023.56"/>
    <x v="1"/>
    <n v="-13023.56"/>
  </r>
  <r>
    <x v="64"/>
    <s v="OPT-NIFTY-02-May-2024-22650-P-E-I"/>
    <s v="NSE"/>
    <s v="Sell"/>
    <n v="500"/>
    <n v="0"/>
    <n v="17.25"/>
    <n v="8625"/>
    <s v="#202405023700023691"/>
    <n v="5"/>
    <n v="4.3099999999999996"/>
    <n v="0"/>
    <n v="0.01"/>
    <n v="400"/>
    <n v="72.78"/>
    <n v="482.1"/>
    <n v="2024"/>
    <n v="5"/>
    <n v="2024"/>
    <n v="2"/>
    <s v="02"/>
    <x v="4"/>
    <x v="4"/>
    <n v="8142.9"/>
    <x v="185"/>
    <s v=""/>
  </r>
  <r>
    <x v="64"/>
    <s v="OPT-NIFTY-02-May-2024-22650-P-E-I"/>
    <s v="NSE"/>
    <s v="Buy"/>
    <n v="250"/>
    <n v="0"/>
    <n v="17.149999999999999"/>
    <n v="4287.5"/>
    <s v="#202405023700022750"/>
    <n v="0"/>
    <n v="2.15"/>
    <n v="0"/>
    <n v="0"/>
    <n v="200"/>
    <n v="36.380000000000003"/>
    <n v="238.53"/>
    <n v="2024"/>
    <n v="5"/>
    <n v="2024"/>
    <n v="2"/>
    <s v="02"/>
    <x v="4"/>
    <x v="4"/>
    <n v="-4526.03"/>
    <x v="1"/>
    <n v="-4526.03"/>
  </r>
  <r>
    <x v="64"/>
    <s v="OPT-NIFTY-02-May-2024-22650-P-E-I"/>
    <s v="NSE"/>
    <s v="Buy"/>
    <n v="250"/>
    <n v="0"/>
    <n v="20.3"/>
    <n v="5075"/>
    <s v="#202405023700022717"/>
    <n v="0"/>
    <n v="2.54"/>
    <n v="0"/>
    <n v="0"/>
    <n v="200"/>
    <n v="36.46"/>
    <n v="239"/>
    <n v="2024"/>
    <n v="5"/>
    <n v="2024"/>
    <n v="2"/>
    <s v="02"/>
    <x v="4"/>
    <x v="4"/>
    <n v="-5314"/>
    <x v="1"/>
    <n v="-5314"/>
  </r>
  <r>
    <x v="65"/>
    <s v="OPT-CNXBAN-08-May-2024-48500-P-E-I"/>
    <s v="NSE"/>
    <s v="Sell"/>
    <n v="135"/>
    <n v="0"/>
    <n v="84.9"/>
    <n v="11461.5"/>
    <s v="#202405063700051514"/>
    <n v="6.68"/>
    <n v="5.73"/>
    <n v="0"/>
    <n v="0.01"/>
    <n v="180"/>
    <n v="33.44"/>
    <n v="225.86"/>
    <n v="2024"/>
    <n v="5"/>
    <n v="2024"/>
    <n v="2"/>
    <s v="02"/>
    <x v="4"/>
    <x v="4"/>
    <n v="11235.64"/>
    <x v="186"/>
    <s v=""/>
  </r>
  <r>
    <x v="65"/>
    <s v="OPT-CNXBAN-08-May-2024-48500-P-E-I"/>
    <s v="NSE"/>
    <s v="Buy"/>
    <n v="135"/>
    <n v="0"/>
    <n v="121.25"/>
    <n v="16368.75"/>
    <s v="#202405063700049716"/>
    <n v="0"/>
    <n v="8.18"/>
    <n v="0.49"/>
    <n v="0.02"/>
    <n v="180"/>
    <n v="33.880000000000003"/>
    <n v="222.57"/>
    <n v="2024"/>
    <n v="5"/>
    <n v="2024"/>
    <n v="2"/>
    <s v="02"/>
    <x v="4"/>
    <x v="4"/>
    <n v="-16591.32"/>
    <x v="1"/>
    <n v="-16591.32"/>
  </r>
  <r>
    <x v="65"/>
    <s v="OPT-CNXBAN-08-May-2024-49200-C-E-I"/>
    <s v="NSE"/>
    <s v="Sell"/>
    <n v="60"/>
    <n v="0"/>
    <n v="195.25"/>
    <n v="11715"/>
    <s v="#202405063700049432"/>
    <n v="7.32"/>
    <n v="5.86"/>
    <n v="0"/>
    <n v="0.01"/>
    <n v="80"/>
    <n v="15.46"/>
    <n v="108.65"/>
    <n v="2024"/>
    <n v="5"/>
    <n v="2024"/>
    <n v="2"/>
    <s v="02"/>
    <x v="4"/>
    <x v="4"/>
    <n v="11606.35"/>
    <x v="187"/>
    <s v=""/>
  </r>
  <r>
    <x v="65"/>
    <s v="OPT-CNXBAN-08-May-2024-49200-C-E-I"/>
    <s v="NSE"/>
    <s v="Buy"/>
    <n v="30"/>
    <n v="0"/>
    <n v="229.5"/>
    <n v="6885"/>
    <s v="#202405063700045791"/>
    <n v="0"/>
    <n v="3.44"/>
    <n v="0.51"/>
    <n v="0.01"/>
    <n v="40"/>
    <n v="7.82"/>
    <n v="51.78"/>
    <n v="2024"/>
    <n v="5"/>
    <n v="2024"/>
    <n v="2"/>
    <s v="02"/>
    <x v="4"/>
    <x v="4"/>
    <n v="-6936.78"/>
    <x v="1"/>
    <n v="-6936.78"/>
  </r>
  <r>
    <x v="65"/>
    <s v="OPT-CNXBAN-08-May-2024-49200-C-E-I"/>
    <s v="NSE"/>
    <s v="Buy"/>
    <n v="30"/>
    <n v="0"/>
    <n v="313.2"/>
    <n v="9396"/>
    <s v="#202405063700042400"/>
    <n v="0"/>
    <n v="4.7"/>
    <n v="0"/>
    <n v="0"/>
    <n v="40"/>
    <n v="8.0399999999999991"/>
    <n v="52.74"/>
    <n v="2024"/>
    <n v="5"/>
    <n v="2024"/>
    <n v="2"/>
    <s v="02"/>
    <x v="4"/>
    <x v="4"/>
    <n v="-9448.74"/>
    <x v="1"/>
    <n v="-9448.74"/>
  </r>
  <r>
    <x v="66"/>
    <s v="OPT-CNXBAN-08-May-2024-49000-C-E-I"/>
    <s v="NSE"/>
    <s v="Sell"/>
    <n v="900"/>
    <n v="0"/>
    <n v="55.25"/>
    <n v="49725"/>
    <s v="#202405073700018858"/>
    <n v="31.55"/>
    <n v="24.86"/>
    <n v="0"/>
    <n v="0.04"/>
    <n v="1200"/>
    <n v="220.48"/>
    <n v="1476.93"/>
    <n v="2024"/>
    <n v="5"/>
    <n v="2024"/>
    <n v="2"/>
    <s v="02"/>
    <x v="4"/>
    <x v="4"/>
    <n v="48248.07"/>
    <x v="188"/>
    <s v=""/>
  </r>
  <r>
    <x v="66"/>
    <s v="OPT-CNXBAN-08-May-2024-49000-C-E-I"/>
    <s v="NSE"/>
    <s v="Buy"/>
    <n v="900"/>
    <n v="0"/>
    <n v="65.95"/>
    <n v="59355"/>
    <s v="#202405073700017930"/>
    <n v="0"/>
    <n v="29.68"/>
    <n v="0"/>
    <n v="0.06"/>
    <n v="1200"/>
    <n v="221.36"/>
    <n v="1451.1"/>
    <n v="2024"/>
    <n v="5"/>
    <n v="2024"/>
    <n v="2"/>
    <s v="02"/>
    <x v="4"/>
    <x v="4"/>
    <n v="-60806.1"/>
    <x v="1"/>
    <n v="-60806.1"/>
  </r>
  <r>
    <x v="66"/>
    <s v="OPT-CNXBAN-08-May-2024-49000-C-E-I"/>
    <s v="NSE"/>
    <s v="Sell"/>
    <n v="900"/>
    <n v="0"/>
    <n v="61.25"/>
    <n v="55125"/>
    <s v="#202405073700014847"/>
    <n v="34.450000000000003"/>
    <n v="27.58"/>
    <n v="0"/>
    <n v="0.05"/>
    <n v="1200"/>
    <n v="220.98"/>
    <n v="1483.06"/>
    <n v="2024"/>
    <n v="5"/>
    <n v="2024"/>
    <n v="2"/>
    <s v="02"/>
    <x v="4"/>
    <x v="4"/>
    <n v="53641.94"/>
    <x v="189"/>
    <s v=""/>
  </r>
  <r>
    <x v="66"/>
    <s v="OPT-CNXBAN-08-May-2024-49000-C-E-I"/>
    <s v="NSE"/>
    <s v="Buy"/>
    <n v="900"/>
    <n v="0"/>
    <n v="91.25"/>
    <n v="82125"/>
    <s v="#202405073700011715"/>
    <n v="0"/>
    <n v="41.07"/>
    <n v="4"/>
    <n v="0.08"/>
    <n v="1200"/>
    <n v="223.42"/>
    <n v="1468.57"/>
    <n v="2024"/>
    <n v="5"/>
    <n v="2024"/>
    <n v="2"/>
    <s v="02"/>
    <x v="4"/>
    <x v="4"/>
    <n v="-83593.570000000007"/>
    <x v="1"/>
    <n v="-83593.570000000007"/>
  </r>
  <r>
    <x v="67"/>
    <s v="OPT-CNXBAN-08-May-2024-48100-P-E-I"/>
    <s v="NSE"/>
    <s v="Sell"/>
    <n v="210"/>
    <n v="0"/>
    <n v="157.25"/>
    <n v="33022.5"/>
    <s v="#202405083700014214"/>
    <n v="21"/>
    <n v="16.52"/>
    <n v="0"/>
    <n v="0.03"/>
    <n v="280"/>
    <n v="53.38"/>
    <n v="370.93"/>
    <n v="2024"/>
    <n v="5"/>
    <n v="2024"/>
    <n v="2"/>
    <s v="02"/>
    <x v="4"/>
    <x v="4"/>
    <n v="32651.57"/>
    <x v="190"/>
    <s v=""/>
  </r>
  <r>
    <x v="67"/>
    <s v="OPT-CNXBAN-08-May-2024-48100-P-E-I"/>
    <s v="NSE"/>
    <s v="Buy"/>
    <n v="210"/>
    <n v="0"/>
    <n v="127.37"/>
    <n v="26748"/>
    <s v="#202405083700006706"/>
    <n v="0"/>
    <n v="13.38"/>
    <n v="1"/>
    <n v="0.02"/>
    <n v="280"/>
    <n v="52.82"/>
    <n v="347.22"/>
    <n v="2024"/>
    <n v="5"/>
    <n v="2024"/>
    <n v="2"/>
    <s v="02"/>
    <x v="4"/>
    <x v="4"/>
    <n v="-27095.22"/>
    <x v="1"/>
    <n v="-27095.22"/>
  </r>
  <r>
    <x v="68"/>
    <s v="OPT-CNXBAN-15-May-2024-48300-C-E-I"/>
    <s v="NSE"/>
    <s v="Sell"/>
    <n v="105"/>
    <n v="0"/>
    <n v="266.79000000000002"/>
    <n v="28013.25"/>
    <s v="#202405093700006756"/>
    <n v="17.25"/>
    <n v="14"/>
    <n v="0"/>
    <n v="0.02"/>
    <n v="140"/>
    <n v="27.72"/>
    <n v="198.99"/>
    <n v="2024"/>
    <n v="5"/>
    <n v="2024"/>
    <n v="2"/>
    <s v="02"/>
    <x v="4"/>
    <x v="4"/>
    <n v="27814.26"/>
    <x v="191"/>
    <s v=""/>
  </r>
  <r>
    <x v="68"/>
    <s v="OPT-CNXBAN-15-May-2024-48300-C-E-I"/>
    <s v="NSE"/>
    <s v="Buy"/>
    <n v="105"/>
    <n v="0"/>
    <n v="328.26"/>
    <n v="34467.75"/>
    <s v="#202405093700004861"/>
    <n v="0"/>
    <n v="17.23"/>
    <n v="2"/>
    <n v="0.03"/>
    <n v="140"/>
    <n v="28.3"/>
    <n v="187.56"/>
    <n v="2024"/>
    <n v="5"/>
    <n v="2024"/>
    <n v="2"/>
    <s v="02"/>
    <x v="4"/>
    <x v="4"/>
    <n v="-34655.31"/>
    <x v="1"/>
    <n v="-34655.31"/>
  </r>
  <r>
    <x v="68"/>
    <s v="OPT-CNXBAN-15-May-2024-48300-C-E-I"/>
    <s v="NSE"/>
    <s v="Sell"/>
    <n v="105"/>
    <n v="0"/>
    <n v="331.25"/>
    <n v="34781.25"/>
    <s v="#202405093700002392"/>
    <n v="21.74"/>
    <n v="17.39"/>
    <n v="0"/>
    <n v="0.03"/>
    <n v="140"/>
    <n v="28.32"/>
    <n v="207.48"/>
    <n v="2024"/>
    <n v="5"/>
    <n v="2024"/>
    <n v="2"/>
    <s v="02"/>
    <x v="4"/>
    <x v="4"/>
    <n v="34573.769999999997"/>
    <x v="192"/>
    <s v=""/>
  </r>
  <r>
    <x v="68"/>
    <s v="OPT-CNXBAN-15-May-2024-48300-C-E-I"/>
    <s v="NSE"/>
    <s v="Buy"/>
    <n v="105"/>
    <n v="0"/>
    <n v="361"/>
    <n v="37905"/>
    <s v="#202405093700000908"/>
    <n v="0"/>
    <n v="18.95"/>
    <n v="0"/>
    <n v="0.05"/>
    <n v="140"/>
    <n v="28.6"/>
    <n v="187.6"/>
    <n v="2024"/>
    <n v="5"/>
    <n v="2024"/>
    <n v="2"/>
    <s v="02"/>
    <x v="4"/>
    <x v="4"/>
    <n v="-38092.6"/>
    <x v="1"/>
    <n v="-38092.6"/>
  </r>
  <r>
    <x v="69"/>
    <s v="OPT-CNXBAN-15-May-2024-48000-C-E-I"/>
    <s v="NSE"/>
    <s v="Sell"/>
    <n v="900"/>
    <n v="0"/>
    <n v="6.55"/>
    <n v="5895"/>
    <s v="#202405153700018923"/>
    <n v="3.99"/>
    <n v="2.95"/>
    <n v="0"/>
    <n v="0"/>
    <n v="1200"/>
    <n v="216.52"/>
    <n v="1423.46"/>
    <n v="2024"/>
    <n v="5"/>
    <n v="2024"/>
    <n v="2"/>
    <s v="02"/>
    <x v="4"/>
    <x v="4"/>
    <n v="4471.54"/>
    <x v="193"/>
    <s v=""/>
  </r>
  <r>
    <x v="69"/>
    <s v="OPT-CNXBAN-15-May-2024-48000-C-E-I"/>
    <s v="NSE"/>
    <s v="Buy"/>
    <n v="900"/>
    <n v="0"/>
    <n v="12.15"/>
    <n v="10935"/>
    <s v="#202405153700015744"/>
    <n v="0"/>
    <n v="5.47"/>
    <n v="0"/>
    <n v="0.01"/>
    <n v="1200"/>
    <n v="216.98"/>
    <n v="1422.46"/>
    <n v="2024"/>
    <n v="5"/>
    <n v="2024"/>
    <n v="2"/>
    <s v="02"/>
    <x v="4"/>
    <x v="4"/>
    <n v="-12357.46"/>
    <x v="1"/>
    <n v="-12357.46"/>
  </r>
  <r>
    <x v="70"/>
    <s v="OPT-CNXBAN-29-May-2024-49200-C-E-I"/>
    <s v="NSE"/>
    <s v="Sell"/>
    <n v="60"/>
    <n v="0"/>
    <n v="314.25"/>
    <n v="18855"/>
    <s v="#202405283700018918"/>
    <n v="12"/>
    <n v="9.43"/>
    <n v="0"/>
    <n v="0.02"/>
    <n v="80"/>
    <n v="16.100000000000001"/>
    <n v="117.55"/>
    <n v="2024"/>
    <n v="5"/>
    <n v="2024"/>
    <n v="2"/>
    <s v="02"/>
    <x v="4"/>
    <x v="4"/>
    <n v="18737.45"/>
    <x v="194"/>
    <s v=""/>
  </r>
  <r>
    <x v="70"/>
    <s v="OPT-CNXBAN-29-May-2024-49200-C-E-I"/>
    <s v="NSE"/>
    <s v="Buy"/>
    <n v="60"/>
    <n v="0"/>
    <n v="289.60000000000002"/>
    <n v="17376"/>
    <s v="#202405283700018833"/>
    <n v="0"/>
    <n v="8.69"/>
    <n v="1"/>
    <n v="0.02"/>
    <n v="80"/>
    <n v="15.96"/>
    <n v="105.67"/>
    <n v="2024"/>
    <n v="5"/>
    <n v="2024"/>
    <n v="2"/>
    <s v="02"/>
    <x v="4"/>
    <x v="4"/>
    <n v="-17481.669999999998"/>
    <x v="1"/>
    <n v="-17481.669999999998"/>
  </r>
  <r>
    <x v="71"/>
    <s v="OPT-CNXBAN-29-May-2024-48400-P-E-I"/>
    <s v="NSE"/>
    <s v="Sell"/>
    <n v="510"/>
    <n v="0"/>
    <n v="33.25"/>
    <n v="16957.5"/>
    <s v="#202405293700006389"/>
    <n v="11.01"/>
    <n v="8.49"/>
    <n v="0"/>
    <n v="0.01"/>
    <n v="680"/>
    <n v="123.94"/>
    <n v="823.45"/>
    <n v="2024"/>
    <n v="5"/>
    <n v="2024"/>
    <n v="2"/>
    <s v="02"/>
    <x v="4"/>
    <x v="4"/>
    <n v="16134.05"/>
    <x v="195"/>
    <s v=""/>
  </r>
  <r>
    <x v="71"/>
    <s v="OPT-CNXBAN-29-May-2024-48400-P-E-I"/>
    <s v="NSE"/>
    <s v="Buy"/>
    <n v="510"/>
    <n v="0"/>
    <n v="29"/>
    <n v="14790"/>
    <s v="#202405293700004625"/>
    <n v="0"/>
    <n v="7.4"/>
    <n v="0"/>
    <n v="0.01"/>
    <n v="680"/>
    <n v="123.74"/>
    <n v="811.15"/>
    <n v="2024"/>
    <n v="5"/>
    <n v="2024"/>
    <n v="2"/>
    <s v="02"/>
    <x v="4"/>
    <x v="4"/>
    <n v="-15601.15"/>
    <x v="1"/>
    <n v="-15601.15"/>
  </r>
  <r>
    <x v="72"/>
    <s v="OPT-NIFTY-30-May-2024-22700-C-E-I"/>
    <s v="NSE"/>
    <s v="Sell"/>
    <n v="25"/>
    <n v="0"/>
    <n v="20.2"/>
    <n v="505"/>
    <s v="#202405303700011119"/>
    <n v="0.32"/>
    <n v="0.25"/>
    <n v="0"/>
    <n v="0"/>
    <n v="20"/>
    <n v="3.64"/>
    <n v="24.21"/>
    <n v="2024"/>
    <n v="5"/>
    <n v="2024"/>
    <n v="2"/>
    <s v="02"/>
    <x v="4"/>
    <x v="4"/>
    <n v="480.79"/>
    <x v="196"/>
    <s v=""/>
  </r>
  <r>
    <x v="72"/>
    <s v="OPT-NIFTY-30-May-2024-22700-C-E-I"/>
    <s v="NSE"/>
    <s v="Sell"/>
    <n v="25"/>
    <n v="0"/>
    <n v="24.3"/>
    <n v="607.5"/>
    <s v="#202405303700009416"/>
    <n v="0.68"/>
    <n v="0.3"/>
    <n v="0"/>
    <n v="0"/>
    <n v="20"/>
    <n v="3.66"/>
    <n v="24.64"/>
    <n v="2024"/>
    <n v="5"/>
    <n v="2024"/>
    <n v="2"/>
    <s v="02"/>
    <x v="4"/>
    <x v="4"/>
    <n v="582.86"/>
    <x v="197"/>
    <s v=""/>
  </r>
  <r>
    <x v="72"/>
    <s v="OPT-NIFTY-30-May-2024-22700-C-E-I"/>
    <s v="NSE"/>
    <s v="Buy"/>
    <n v="25"/>
    <n v="0"/>
    <n v="31.2"/>
    <n v="780"/>
    <s v="#202405303700006317"/>
    <n v="0"/>
    <n v="0.39"/>
    <n v="0"/>
    <n v="0"/>
    <n v="20"/>
    <n v="3.68"/>
    <n v="24.07"/>
    <n v="2024"/>
    <n v="5"/>
    <n v="2024"/>
    <n v="2"/>
    <s v="02"/>
    <x v="4"/>
    <x v="4"/>
    <n v="-804.07"/>
    <x v="1"/>
    <n v="-804.07"/>
  </r>
  <r>
    <x v="72"/>
    <s v="OPT-NIFTY-30-May-2024-22700-C-E-I"/>
    <s v="NSE"/>
    <s v="Buy"/>
    <n v="25"/>
    <n v="0"/>
    <n v="58.2"/>
    <n v="1455"/>
    <s v="#202405303700001910"/>
    <n v="0"/>
    <n v="0.73"/>
    <n v="0"/>
    <n v="0"/>
    <n v="20"/>
    <n v="3.74"/>
    <n v="24.47"/>
    <n v="2024"/>
    <n v="5"/>
    <n v="2024"/>
    <n v="2"/>
    <s v="02"/>
    <x v="4"/>
    <x v="4"/>
    <n v="-1479.47"/>
    <x v="1"/>
    <n v="-1479.47"/>
  </r>
  <r>
    <x v="73"/>
    <s v="OPT-CNXBAN-05-Jun-2024-48500-P-E-I"/>
    <s v="NSE"/>
    <s v="Sell"/>
    <n v="75"/>
    <n v="0"/>
    <n v="710.25"/>
    <n v="53268.75"/>
    <s v="#202406043700012701"/>
    <n v="33"/>
    <n v="26.63"/>
    <n v="0"/>
    <n v="0.05"/>
    <n v="100"/>
    <n v="22.8"/>
    <n v="182.48"/>
    <n v="2024"/>
    <n v="6"/>
    <n v="2024"/>
    <n v="3"/>
    <s v="03"/>
    <x v="5"/>
    <x v="5"/>
    <n v="53086.27"/>
    <x v="198"/>
    <s v=""/>
  </r>
  <r>
    <x v="73"/>
    <s v="OPT-CNXBAN-05-Jun-2024-48500-P-E-I"/>
    <s v="NSE"/>
    <s v="Buy"/>
    <n v="60"/>
    <n v="0"/>
    <n v="520.5"/>
    <n v="31230"/>
    <s v="#202406043700005883"/>
    <n v="0"/>
    <n v="15.62"/>
    <n v="1"/>
    <n v="0.04"/>
    <n v="80"/>
    <n v="17.2"/>
    <n v="113.86"/>
    <n v="2024"/>
    <n v="6"/>
    <n v="2024"/>
    <n v="3"/>
    <s v="03"/>
    <x v="5"/>
    <x v="5"/>
    <n v="-31343.86"/>
    <x v="1"/>
    <n v="-31343.86"/>
  </r>
  <r>
    <x v="73"/>
    <s v="OPT-CNXBAN-05-Jun-2024-48500-P-E-I"/>
    <s v="NSE"/>
    <s v="Buy"/>
    <n v="15"/>
    <n v="0"/>
    <n v="482.65"/>
    <n v="7239.75"/>
    <s v="#202406043700002587"/>
    <n v="0"/>
    <n v="3.62"/>
    <n v="0"/>
    <n v="0.01"/>
    <n v="20"/>
    <n v="4.26"/>
    <n v="27.89"/>
    <n v="2024"/>
    <n v="6"/>
    <n v="2024"/>
    <n v="3"/>
    <s v="03"/>
    <x v="5"/>
    <x v="5"/>
    <n v="-7267.64"/>
    <x v="1"/>
    <n v="-7267.64"/>
  </r>
  <r>
    <x v="74"/>
    <s v="OPT-CNXBAN-05-Jun-2024-47800-C-E-I"/>
    <s v="NSE"/>
    <s v="Sell"/>
    <n v="75"/>
    <n v="0"/>
    <n v="360.25"/>
    <n v="27018.75"/>
    <s v="#202406053700025024"/>
    <n v="17"/>
    <n v="13.51"/>
    <n v="0"/>
    <n v="0.03"/>
    <n v="100"/>
    <n v="20.440000000000001"/>
    <n v="150.97999999999999"/>
    <n v="2024"/>
    <n v="6"/>
    <n v="2024"/>
    <n v="3"/>
    <s v="03"/>
    <x v="5"/>
    <x v="5"/>
    <n v="26867.77"/>
    <x v="199"/>
    <s v=""/>
  </r>
  <r>
    <x v="74"/>
    <s v="OPT-CNXBAN-05-Jun-2024-47800-C-E-I"/>
    <s v="NSE"/>
    <s v="Buy"/>
    <n v="75"/>
    <n v="0"/>
    <n v="311.64999999999998"/>
    <n v="23373.75"/>
    <s v="#202406053700017678"/>
    <n v="0"/>
    <n v="11.69"/>
    <n v="1"/>
    <n v="0.02"/>
    <n v="100"/>
    <n v="20.100000000000001"/>
    <n v="132.81"/>
    <n v="2024"/>
    <n v="6"/>
    <n v="2024"/>
    <n v="3"/>
    <s v="03"/>
    <x v="5"/>
    <x v="5"/>
    <n v="-23506.560000000001"/>
    <x v="1"/>
    <n v="-23506.560000000001"/>
  </r>
  <r>
    <x v="75"/>
    <s v="OPT-NIFTY-06-Jun-2024-22900-C-E-I"/>
    <s v="NSE"/>
    <s v="Sell"/>
    <n v="900"/>
    <n v="0"/>
    <n v="19.25"/>
    <n v="17325"/>
    <s v="#202406063700026553"/>
    <n v="10.82"/>
    <n v="8.66"/>
    <n v="0"/>
    <n v="0.01"/>
    <n v="720"/>
    <n v="131.16"/>
    <n v="870.65"/>
    <n v="2024"/>
    <n v="6"/>
    <n v="2024"/>
    <n v="3"/>
    <s v="03"/>
    <x v="5"/>
    <x v="5"/>
    <n v="16454.349999999999"/>
    <x v="200"/>
    <s v=""/>
  </r>
  <r>
    <x v="75"/>
    <s v="OPT-NIFTY-06-Jun-2024-22900-C-E-I"/>
    <s v="NSE"/>
    <s v="Buy"/>
    <n v="450"/>
    <n v="0"/>
    <n v="41.05"/>
    <n v="18472.5"/>
    <s v="#202406063700017792"/>
    <n v="0"/>
    <n v="9.24"/>
    <n v="1.29"/>
    <n v="0.02"/>
    <n v="360"/>
    <n v="66.459999999999994"/>
    <n v="437.01"/>
    <n v="2024"/>
    <n v="6"/>
    <n v="2024"/>
    <n v="3"/>
    <s v="03"/>
    <x v="5"/>
    <x v="5"/>
    <n v="-18909.509999999998"/>
    <x v="1"/>
    <n v="-18909.509999999998"/>
  </r>
  <r>
    <x v="75"/>
    <s v="OPT-NIFTY-06-Jun-2024-22900-C-E-I"/>
    <s v="NSE"/>
    <s v="Buy"/>
    <n v="225"/>
    <n v="0"/>
    <n v="58.25"/>
    <n v="13106.25"/>
    <s v="#202406063700015166"/>
    <n v="0"/>
    <n v="6.56"/>
    <n v="0"/>
    <n v="0.01"/>
    <n v="180"/>
    <n v="33.58"/>
    <n v="220.15"/>
    <n v="2024"/>
    <n v="6"/>
    <n v="2024"/>
    <n v="3"/>
    <s v="03"/>
    <x v="5"/>
    <x v="5"/>
    <n v="-13326.4"/>
    <x v="1"/>
    <n v="-13326.4"/>
  </r>
  <r>
    <x v="75"/>
    <s v="OPT-NIFTY-06-Jun-2024-22900-C-E-I"/>
    <s v="NSE"/>
    <s v="Buy"/>
    <n v="225"/>
    <n v="0"/>
    <n v="63.25"/>
    <n v="14231.25"/>
    <s v="#202406063700013681"/>
    <n v="0"/>
    <n v="7.12"/>
    <n v="0"/>
    <n v="0.01"/>
    <n v="180"/>
    <n v="33.68"/>
    <n v="220.81"/>
    <n v="2024"/>
    <n v="6"/>
    <n v="2024"/>
    <n v="3"/>
    <s v="03"/>
    <x v="5"/>
    <x v="5"/>
    <n v="-14452.06"/>
    <x v="1"/>
    <n v="-14452.06"/>
  </r>
  <r>
    <x v="75"/>
    <s v="OPT-CNXBAN-12-Jun-2024-49800-C-E-I"/>
    <s v="NSE"/>
    <s v="Sell"/>
    <n v="15"/>
    <n v="0"/>
    <n v="580"/>
    <n v="8700"/>
    <s v="#202406063700011347"/>
    <n v="5.44"/>
    <n v="4.3499999999999996"/>
    <n v="0"/>
    <n v="0.01"/>
    <n v="20"/>
    <n v="4.38"/>
    <n v="34.18"/>
    <n v="2024"/>
    <n v="6"/>
    <n v="2024"/>
    <n v="3"/>
    <s v="03"/>
    <x v="5"/>
    <x v="5"/>
    <n v="8665.82"/>
    <x v="201"/>
    <s v=""/>
  </r>
  <r>
    <x v="75"/>
    <s v="OPT-CNXBAN-12-Jun-2024-49800-C-E-I"/>
    <s v="NSE"/>
    <s v="Buy"/>
    <n v="15"/>
    <n v="0"/>
    <n v="539.85"/>
    <n v="8097.75"/>
    <s v="#202406063700009153"/>
    <n v="0"/>
    <n v="4.05"/>
    <n v="0.24"/>
    <n v="0.01"/>
    <n v="20"/>
    <n v="4.34"/>
    <n v="28.64"/>
    <n v="2024"/>
    <n v="6"/>
    <n v="2024"/>
    <n v="3"/>
    <s v="03"/>
    <x v="5"/>
    <x v="5"/>
    <n v="-8126.39"/>
    <x v="1"/>
    <n v="-8126.39"/>
  </r>
  <r>
    <x v="75"/>
    <s v="OPT-NIFTY-06-Jun-2024-22650-C-E-I"/>
    <s v="NSE"/>
    <s v="Sell"/>
    <n v="125"/>
    <n v="0"/>
    <n v="155.25"/>
    <n v="19406.25"/>
    <s v="#202406063700001912"/>
    <n v="11.73"/>
    <n v="9.6999999999999993"/>
    <n v="0"/>
    <n v="0.02"/>
    <n v="100"/>
    <n v="19.739999999999998"/>
    <n v="141.19"/>
    <n v="2024"/>
    <n v="6"/>
    <n v="2024"/>
    <n v="3"/>
    <s v="03"/>
    <x v="5"/>
    <x v="5"/>
    <n v="19265.060000000001"/>
    <x v="202"/>
    <s v=""/>
  </r>
  <r>
    <x v="75"/>
    <s v="OPT-NIFTY-06-Jun-2024-22650-C-E-I"/>
    <s v="NSE"/>
    <s v="Buy"/>
    <n v="125"/>
    <n v="0"/>
    <n v="125.17"/>
    <n v="15646.25"/>
    <s v="#202406063700001493"/>
    <n v="0"/>
    <n v="7.82"/>
    <n v="0.47"/>
    <n v="0.02"/>
    <n v="100"/>
    <n v="19.399999999999999"/>
    <n v="127.71"/>
    <n v="2024"/>
    <n v="6"/>
    <n v="2024"/>
    <n v="3"/>
    <s v="03"/>
    <x v="5"/>
    <x v="5"/>
    <n v="-15773.96"/>
    <x v="1"/>
    <n v="-15773.96"/>
  </r>
  <r>
    <x v="76"/>
    <s v="OPT-NIFTY-13-Jun-2024-23350-C-E-I"/>
    <s v="NSE"/>
    <s v="Sell"/>
    <n v="100"/>
    <n v="0"/>
    <n v="119.25"/>
    <n v="11925"/>
    <s v="#202406123700022328"/>
    <n v="7"/>
    <n v="5.96"/>
    <n v="0"/>
    <n v="0.01"/>
    <n v="80"/>
    <n v="15.46"/>
    <n v="108.43"/>
    <n v="2024"/>
    <n v="6"/>
    <n v="2024"/>
    <n v="3"/>
    <s v="03"/>
    <x v="5"/>
    <x v="5"/>
    <n v="11816.57"/>
    <x v="203"/>
    <s v=""/>
  </r>
  <r>
    <x v="76"/>
    <s v="OPT-NIFTY-13-Jun-2024-23350-C-E-I"/>
    <s v="NSE"/>
    <s v="Buy"/>
    <n v="100"/>
    <n v="0"/>
    <n v="138.6"/>
    <n v="13860"/>
    <s v="#202406123700013173"/>
    <n v="0"/>
    <n v="6.93"/>
    <n v="0"/>
    <n v="0.01"/>
    <n v="80"/>
    <n v="15.64"/>
    <n v="102.58"/>
    <n v="2024"/>
    <n v="6"/>
    <n v="2024"/>
    <n v="3"/>
    <s v="03"/>
    <x v="5"/>
    <x v="5"/>
    <n v="-13962.58"/>
    <x v="1"/>
    <n v="-13962.58"/>
  </r>
  <r>
    <x v="77"/>
    <s v="OPT-CNXBAN-19-Jun-2024-50000-C-E-I"/>
    <s v="NSE"/>
    <s v="Sell"/>
    <n v="45"/>
    <n v="0"/>
    <n v="290.25"/>
    <n v="13061.25"/>
    <s v="#202406133700021077"/>
    <n v="7.78"/>
    <n v="6.53"/>
    <n v="0"/>
    <n v="0.01"/>
    <n v="60"/>
    <n v="11.98"/>
    <n v="86.3"/>
    <n v="2024"/>
    <n v="6"/>
    <n v="2024"/>
    <n v="3"/>
    <s v="03"/>
    <x v="5"/>
    <x v="5"/>
    <n v="12974.95"/>
    <x v="204"/>
    <s v=""/>
  </r>
  <r>
    <x v="77"/>
    <s v="OPT-CNXBAN-19-Jun-2024-50000-C-E-I"/>
    <s v="NSE"/>
    <s v="Buy"/>
    <n v="45"/>
    <n v="0"/>
    <n v="360.4"/>
    <n v="16218"/>
    <s v="#202406133700014581"/>
    <n v="0"/>
    <n v="8.11"/>
    <n v="0.7"/>
    <n v="0.02"/>
    <n v="60"/>
    <n v="12.26"/>
    <n v="81.09"/>
    <n v="2024"/>
    <n v="6"/>
    <n v="2024"/>
    <n v="3"/>
    <s v="03"/>
    <x v="5"/>
    <x v="5"/>
    <n v="-16299.09"/>
    <x v="1"/>
    <n v="-16299.09"/>
  </r>
  <r>
    <x v="77"/>
    <s v="OPT-NIFTY-13-Jun-2024-23500-P-E-I"/>
    <s v="NSE"/>
    <s v="Sell"/>
    <n v="100"/>
    <n v="0"/>
    <n v="131.55000000000001"/>
    <n v="13155"/>
    <s v="#202406133700003896"/>
    <n v="8.2200000000000006"/>
    <n v="6.58"/>
    <n v="0"/>
    <n v="0.01"/>
    <n v="80"/>
    <n v="15.58"/>
    <n v="110.39"/>
    <n v="2024"/>
    <n v="6"/>
    <n v="2024"/>
    <n v="3"/>
    <s v="03"/>
    <x v="5"/>
    <x v="5"/>
    <n v="13044.61"/>
    <x v="205"/>
    <s v=""/>
  </r>
  <r>
    <x v="77"/>
    <s v="OPT-NIFTY-13-Jun-2024-23500-P-E-I"/>
    <s v="NSE"/>
    <s v="Buy"/>
    <n v="100"/>
    <n v="0"/>
    <n v="100.19"/>
    <n v="10018.75"/>
    <s v="#202406133700001549"/>
    <n v="0"/>
    <n v="5.01"/>
    <n v="0.3"/>
    <n v="0.01"/>
    <n v="80"/>
    <n v="15.3"/>
    <n v="100.62"/>
    <n v="2024"/>
    <n v="6"/>
    <n v="2024"/>
    <n v="3"/>
    <s v="03"/>
    <x v="5"/>
    <x v="5"/>
    <n v="-10119.370000000001"/>
    <x v="1"/>
    <n v="-10119.370000000001"/>
  </r>
  <r>
    <x v="78"/>
    <s v="OPT-NIFSEL-24-Jun-2024-12100-P-E-I"/>
    <s v="NSE"/>
    <s v="Sell"/>
    <n v="150"/>
    <n v="0"/>
    <n v="9"/>
    <n v="1350"/>
    <s v="#202406243700014822"/>
    <n v="1"/>
    <n v="0.68"/>
    <n v="0"/>
    <n v="0"/>
    <n v="40"/>
    <n v="7.32"/>
    <n v="49"/>
    <n v="2024"/>
    <n v="6"/>
    <n v="2024"/>
    <n v="3"/>
    <s v="03"/>
    <x v="5"/>
    <x v="5"/>
    <n v="1301"/>
    <x v="206"/>
    <s v=""/>
  </r>
  <r>
    <x v="78"/>
    <s v="OPT-NIFSEL-24-Jun-2024-12100-P-E-I"/>
    <s v="NSE"/>
    <s v="Buy"/>
    <n v="75"/>
    <n v="0"/>
    <n v="31.25"/>
    <n v="2343.75"/>
    <s v="#202406243700008253"/>
    <n v="0"/>
    <n v="1.17"/>
    <n v="0"/>
    <n v="0"/>
    <n v="20"/>
    <n v="3.82"/>
    <n v="24.99"/>
    <n v="2024"/>
    <n v="6"/>
    <n v="2024"/>
    <n v="3"/>
    <s v="03"/>
    <x v="5"/>
    <x v="5"/>
    <n v="-2368.7399999999998"/>
    <x v="1"/>
    <n v="-2368.7399999999998"/>
  </r>
  <r>
    <x v="78"/>
    <s v="OPT-NIFSEL-24-Jun-2024-12100-P-E-I"/>
    <s v="NSE"/>
    <s v="Buy"/>
    <n v="75"/>
    <n v="0"/>
    <n v="70.3"/>
    <n v="5272.5"/>
    <s v="#202406243700002933"/>
    <n v="0"/>
    <n v="2.64"/>
    <n v="0"/>
    <n v="0.01"/>
    <n v="20"/>
    <n v="4.08"/>
    <n v="26.73"/>
    <n v="2024"/>
    <n v="6"/>
    <n v="2024"/>
    <n v="3"/>
    <s v="03"/>
    <x v="5"/>
    <x v="5"/>
    <n v="-5299.23"/>
    <x v="1"/>
    <n v="-5299.23"/>
  </r>
  <r>
    <x v="79"/>
    <s v="OPT-CNXBAN-03-Jul-2024-52300-C-E-I"/>
    <s v="NSE"/>
    <s v="Sell"/>
    <n v="105"/>
    <n v="0"/>
    <n v="192.2"/>
    <n v="20181"/>
    <s v="#202407023700026525"/>
    <n v="12.62"/>
    <n v="10.09"/>
    <n v="0"/>
    <n v="0.02"/>
    <n v="140"/>
    <n v="27.02"/>
    <n v="189.75"/>
    <n v="2024"/>
    <n v="7"/>
    <n v="2024"/>
    <n v="4"/>
    <s v="04"/>
    <x v="6"/>
    <x v="6"/>
    <n v="19991.25"/>
    <x v="207"/>
    <s v=""/>
  </r>
  <r>
    <x v="79"/>
    <s v="OPT-CNXBAN-03-Jul-2024-52300-C-E-I"/>
    <s v="NSE"/>
    <s v="Buy"/>
    <n v="105"/>
    <n v="0"/>
    <n v="252"/>
    <n v="26460"/>
    <s v="#202407023700024978"/>
    <n v="0"/>
    <n v="13.23"/>
    <n v="0.4"/>
    <n v="0.03"/>
    <n v="140"/>
    <n v="27.58"/>
    <n v="181.24"/>
    <n v="2024"/>
    <n v="7"/>
    <n v="2024"/>
    <n v="4"/>
    <s v="04"/>
    <x v="6"/>
    <x v="6"/>
    <n v="-26641.24"/>
    <x v="1"/>
    <n v="-26641.24"/>
  </r>
  <r>
    <x v="79"/>
    <s v="OPT-CNXBAN-03-Jul-2024-52100-P-E-I"/>
    <s v="NSE"/>
    <s v="Sell"/>
    <n v="105"/>
    <n v="0"/>
    <n v="150"/>
    <n v="15750"/>
    <s v="#202407023700024661"/>
    <n v="9.39"/>
    <n v="7.88"/>
    <n v="0"/>
    <n v="0.02"/>
    <n v="140"/>
    <n v="26.62"/>
    <n v="183.91"/>
    <n v="2024"/>
    <n v="7"/>
    <n v="2024"/>
    <n v="4"/>
    <s v="04"/>
    <x v="6"/>
    <x v="6"/>
    <n v="15566.09"/>
    <x v="208"/>
    <s v=""/>
  </r>
  <r>
    <x v="79"/>
    <s v="OPT-CNXBAN-03-Jul-2024-52100-P-E-I"/>
    <s v="NSE"/>
    <s v="Buy"/>
    <n v="105"/>
    <n v="0"/>
    <n v="191"/>
    <n v="20055"/>
    <s v="#202407023700024209"/>
    <n v="0"/>
    <n v="10.029999999999999"/>
    <n v="0.6"/>
    <n v="0.02"/>
    <n v="140"/>
    <n v="27"/>
    <n v="177.65"/>
    <n v="2024"/>
    <n v="7"/>
    <n v="2024"/>
    <n v="4"/>
    <s v="04"/>
    <x v="6"/>
    <x v="6"/>
    <n v="-20232.650000000001"/>
    <x v="1"/>
    <n v="-20232.650000000001"/>
  </r>
  <r>
    <x v="80"/>
    <s v="OPT-CNXBAN-03-Jul-2024-53000-P-E-I"/>
    <s v="NSE"/>
    <s v="Sell"/>
    <n v="900"/>
    <n v="0"/>
    <n v="27.25"/>
    <n v="24525"/>
    <s v="#202407033700026505"/>
    <n v="15.03"/>
    <n v="12.24"/>
    <n v="0"/>
    <n v="0"/>
    <n v="1200"/>
    <n v="218.26"/>
    <n v="1445.53"/>
    <n v="2024"/>
    <n v="7"/>
    <n v="2024"/>
    <n v="4"/>
    <s v="04"/>
    <x v="6"/>
    <x v="6"/>
    <n v="23079.47"/>
    <x v="209"/>
    <s v=""/>
  </r>
  <r>
    <x v="80"/>
    <s v="OPT-CNXBAN-03-Jul-2024-53000-P-E-I"/>
    <s v="NSE"/>
    <s v="Buy"/>
    <n v="900"/>
    <n v="0"/>
    <n v="22"/>
    <n v="19800"/>
    <s v="#202407033700026043"/>
    <n v="0"/>
    <n v="9.91"/>
    <n v="1"/>
    <n v="0.02"/>
    <n v="1200"/>
    <n v="217.8"/>
    <n v="1428.73"/>
    <n v="2024"/>
    <n v="7"/>
    <n v="2024"/>
    <n v="4"/>
    <s v="04"/>
    <x v="6"/>
    <x v="6"/>
    <n v="-21228.73"/>
    <x v="1"/>
    <n v="-21228.73"/>
  </r>
  <r>
    <x v="81"/>
    <s v="OPT-CNXBAN-10-Jul-2024-53100-P-E-I"/>
    <s v="NSE"/>
    <s v="Sell"/>
    <n v="120"/>
    <n v="0"/>
    <n v="547.29999999999995"/>
    <n v="65676"/>
    <s v="#202407043700011781"/>
    <n v="41"/>
    <n v="32.83"/>
    <n v="0"/>
    <n v="7.0000000000000007E-2"/>
    <n v="160"/>
    <n v="34.72"/>
    <n v="268.62"/>
    <n v="2024"/>
    <n v="7"/>
    <n v="2024"/>
    <n v="4"/>
    <s v="04"/>
    <x v="6"/>
    <x v="6"/>
    <n v="65407.38"/>
    <x v="210"/>
    <s v=""/>
  </r>
  <r>
    <x v="81"/>
    <s v="OPT-CNXBAN-10-Jul-2024-53100-P-E-I"/>
    <s v="NSE"/>
    <s v="Buy"/>
    <n v="60"/>
    <n v="0"/>
    <n v="384"/>
    <n v="23040"/>
    <s v="#202407043700005510"/>
    <n v="0"/>
    <n v="11.52"/>
    <n v="0"/>
    <n v="0.02"/>
    <n v="80"/>
    <n v="16.48"/>
    <n v="108.02"/>
    <n v="2024"/>
    <n v="7"/>
    <n v="2024"/>
    <n v="4"/>
    <s v="04"/>
    <x v="6"/>
    <x v="6"/>
    <n v="-23148.02"/>
    <x v="1"/>
    <n v="-23148.02"/>
  </r>
  <r>
    <x v="81"/>
    <s v="OPT-CNXBAN-10-Jul-2024-53100-P-E-I"/>
    <s v="NSE"/>
    <s v="Buy"/>
    <n v="60"/>
    <n v="0"/>
    <n v="473.2"/>
    <n v="28392"/>
    <s v="#202407043700001154"/>
    <n v="0"/>
    <n v="14.2"/>
    <n v="2"/>
    <n v="0.03"/>
    <n v="80"/>
    <n v="16.96"/>
    <n v="113.19"/>
    <n v="2024"/>
    <n v="7"/>
    <n v="2024"/>
    <n v="4"/>
    <s v="04"/>
    <x v="6"/>
    <x v="6"/>
    <n v="-28505.19"/>
    <x v="1"/>
    <n v="-28505.19"/>
  </r>
  <r>
    <x v="82"/>
    <s v="OPT-CNXBAN-10-Jul-2024-52500-C-E-I"/>
    <s v="NSE"/>
    <s v="Sell"/>
    <n v="75"/>
    <n v="0"/>
    <n v="394.25"/>
    <n v="29568.75"/>
    <s v="#202407053700014938"/>
    <n v="18"/>
    <n v="14.78"/>
    <n v="0"/>
    <n v="0.03"/>
    <n v="100"/>
    <n v="20.66"/>
    <n v="153.47"/>
    <n v="2024"/>
    <n v="7"/>
    <n v="2024"/>
    <n v="4"/>
    <s v="04"/>
    <x v="6"/>
    <x v="6"/>
    <n v="29415.279999999999"/>
    <x v="211"/>
    <s v=""/>
  </r>
  <r>
    <x v="82"/>
    <s v="OPT-CNXBAN-10-Jul-2024-52500-C-E-I"/>
    <s v="NSE"/>
    <s v="Buy"/>
    <n v="75"/>
    <n v="0"/>
    <n v="424.75"/>
    <n v="31856.25"/>
    <s v="#202407053700010353"/>
    <n v="0"/>
    <n v="15.93"/>
    <n v="1"/>
    <n v="0.04"/>
    <n v="100"/>
    <n v="20.88"/>
    <n v="137.85"/>
    <n v="2024"/>
    <n v="7"/>
    <n v="2024"/>
    <n v="4"/>
    <s v="04"/>
    <x v="6"/>
    <x v="6"/>
    <n v="-31994.1"/>
    <x v="1"/>
    <n v="-31994.1"/>
  </r>
  <r>
    <x v="83"/>
    <s v="OPT-CNXBAN-10-Jul-2024-52600-C-E-I"/>
    <s v="NSE"/>
    <s v="Sell"/>
    <n v="45"/>
    <n v="0"/>
    <n v="279.25"/>
    <n v="12566.25"/>
    <s v="#202407083700006549"/>
    <n v="8"/>
    <n v="6.28"/>
    <n v="0"/>
    <n v="0.01"/>
    <n v="60"/>
    <n v="11.94"/>
    <n v="86.23"/>
    <n v="2024"/>
    <n v="7"/>
    <n v="2024"/>
    <n v="4"/>
    <s v="04"/>
    <x v="6"/>
    <x v="6"/>
    <n v="12480.02"/>
    <x v="212"/>
    <s v=""/>
  </r>
  <r>
    <x v="83"/>
    <s v="OPT-CNXBAN-10-Jul-2024-52600-C-E-I"/>
    <s v="NSE"/>
    <s v="Buy"/>
    <n v="45"/>
    <n v="0"/>
    <n v="222"/>
    <n v="9990"/>
    <s v="#202407083700004851"/>
    <n v="0"/>
    <n v="5"/>
    <n v="0"/>
    <n v="0.01"/>
    <n v="60"/>
    <n v="11.7"/>
    <n v="76.709999999999994"/>
    <n v="2024"/>
    <n v="7"/>
    <n v="2024"/>
    <n v="4"/>
    <s v="04"/>
    <x v="6"/>
    <x v="6"/>
    <n v="-10066.709999999999"/>
    <x v="1"/>
    <n v="-10066.709999999999"/>
  </r>
  <r>
    <x v="84"/>
    <s v="OPT-CNXBAN-10-Jul-2024-52600-P-E-I"/>
    <s v="NSE"/>
    <s v="Sell"/>
    <n v="30"/>
    <n v="0"/>
    <n v="218.25"/>
    <n v="6547.5"/>
    <s v="#202407093700011453"/>
    <n v="3.74"/>
    <n v="3.27"/>
    <n v="0"/>
    <n v="0.01"/>
    <n v="40"/>
    <n v="7.8"/>
    <n v="54.82"/>
    <n v="2024"/>
    <n v="7"/>
    <n v="2024"/>
    <n v="4"/>
    <s v="04"/>
    <x v="6"/>
    <x v="6"/>
    <n v="6492.68"/>
    <x v="213"/>
    <s v=""/>
  </r>
  <r>
    <x v="84"/>
    <s v="OPT-NIFTY-11-Jul-2024-24300-C-E-I"/>
    <s v="NSE"/>
    <s v="Sell"/>
    <n v="125"/>
    <n v="0"/>
    <n v="156.9"/>
    <n v="19612.5"/>
    <s v="#202407093700011257"/>
    <n v="12.26"/>
    <n v="9.81"/>
    <n v="0"/>
    <n v="0.02"/>
    <n v="100"/>
    <n v="19.78"/>
    <n v="141.87"/>
    <n v="2024"/>
    <n v="7"/>
    <n v="2024"/>
    <n v="4"/>
    <s v="04"/>
    <x v="6"/>
    <x v="6"/>
    <n v="19470.63"/>
    <x v="214"/>
    <s v=""/>
  </r>
  <r>
    <x v="84"/>
    <s v="OPT-CNXBAN-10-Jul-2024-52600-P-E-I"/>
    <s v="NSE"/>
    <s v="Buy"/>
    <n v="30"/>
    <n v="0"/>
    <n v="198.1"/>
    <n v="5943"/>
    <s v="#202407093700011156"/>
    <n v="0"/>
    <n v="2.97"/>
    <n v="0.18"/>
    <n v="0.01"/>
    <n v="40"/>
    <n v="7.74"/>
    <n v="50.9"/>
    <n v="2024"/>
    <n v="7"/>
    <n v="2024"/>
    <n v="4"/>
    <s v="04"/>
    <x v="6"/>
    <x v="6"/>
    <n v="-5993.9"/>
    <x v="1"/>
    <n v="-5993.9"/>
  </r>
  <r>
    <x v="84"/>
    <s v="OPT-NIFTY-11-Jul-2024-24300-C-E-I"/>
    <s v="NSE"/>
    <s v="Buy"/>
    <n v="125"/>
    <n v="0"/>
    <n v="152.25"/>
    <n v="19031.25"/>
    <s v="#202407093700008695"/>
    <n v="0"/>
    <n v="9.52"/>
    <n v="0.82"/>
    <n v="0.02"/>
    <n v="100"/>
    <n v="19.7"/>
    <n v="130.06"/>
    <n v="2024"/>
    <n v="7"/>
    <n v="2024"/>
    <n v="4"/>
    <s v="04"/>
    <x v="6"/>
    <x v="6"/>
    <n v="-19161.310000000001"/>
    <x v="1"/>
    <n v="-19161.310000000001"/>
  </r>
  <r>
    <x v="85"/>
    <s v="OPT-CNXBAN-10-Jul-2024-52100-P-E-I"/>
    <s v="NSE"/>
    <s v="Sell"/>
    <n v="210"/>
    <n v="0"/>
    <n v="109"/>
    <n v="22890"/>
    <s v="#202407103700011144"/>
    <n v="14"/>
    <n v="11.45"/>
    <n v="0"/>
    <n v="0.03"/>
    <n v="280"/>
    <n v="52.48"/>
    <n v="357.96"/>
    <n v="2024"/>
    <n v="7"/>
    <n v="2024"/>
    <n v="4"/>
    <s v="04"/>
    <x v="6"/>
    <x v="6"/>
    <n v="22532.04"/>
    <x v="215"/>
    <s v=""/>
  </r>
  <r>
    <x v="85"/>
    <s v="OPT-CNXBAN-10-Jul-2024-52100-P-E-I"/>
    <s v="NSE"/>
    <s v="Buy"/>
    <n v="105"/>
    <n v="0"/>
    <n v="70.25"/>
    <n v="7376.25"/>
    <s v="#202407103700010063"/>
    <n v="0"/>
    <n v="3.69"/>
    <n v="1"/>
    <n v="0.01"/>
    <n v="140"/>
    <n v="25.86"/>
    <n v="170.56"/>
    <n v="2024"/>
    <n v="7"/>
    <n v="2024"/>
    <n v="4"/>
    <s v="04"/>
    <x v="6"/>
    <x v="6"/>
    <n v="-7546.81"/>
    <x v="1"/>
    <n v="-7546.81"/>
  </r>
  <r>
    <x v="85"/>
    <s v="OPT-CNXBAN-10-Jul-2024-52100-P-E-I"/>
    <s v="NSE"/>
    <s v="Buy"/>
    <n v="105"/>
    <n v="0"/>
    <n v="90"/>
    <n v="9450"/>
    <s v="#202407103700009739"/>
    <n v="0"/>
    <n v="4.7300000000000004"/>
    <n v="0"/>
    <n v="0.01"/>
    <n v="140"/>
    <n v="26.06"/>
    <n v="170.8"/>
    <n v="2024"/>
    <n v="7"/>
    <n v="2024"/>
    <n v="4"/>
    <s v="04"/>
    <x v="6"/>
    <x v="6"/>
    <n v="-9620.7999999999993"/>
    <x v="1"/>
    <n v="-9620.7999999999993"/>
  </r>
  <r>
    <x v="86"/>
    <s v="OPT-CNXBAN-16-Jul-2024-52100-P-E-I"/>
    <s v="NSE"/>
    <s v="Sell"/>
    <n v="60"/>
    <n v="0"/>
    <n v="445.25"/>
    <n v="26715"/>
    <s v="#202407113700008862"/>
    <n v="17"/>
    <n v="13.36"/>
    <n v="0"/>
    <n v="0.03"/>
    <n v="80"/>
    <n v="16.82"/>
    <n v="127.21"/>
    <n v="2024"/>
    <n v="7"/>
    <n v="2024"/>
    <n v="4"/>
    <s v="04"/>
    <x v="6"/>
    <x v="6"/>
    <n v="26587.79"/>
    <x v="216"/>
    <s v=""/>
  </r>
  <r>
    <x v="86"/>
    <s v="OPT-CNXBAN-16-Jul-2024-52100-P-E-I"/>
    <s v="NSE"/>
    <s v="Buy"/>
    <n v="60"/>
    <n v="0"/>
    <n v="305.25"/>
    <n v="18315"/>
    <s v="#202407113700003655"/>
    <n v="0"/>
    <n v="9.16"/>
    <n v="1"/>
    <n v="0.01"/>
    <n v="80"/>
    <n v="16.059999999999999"/>
    <n v="106.23"/>
    <n v="2024"/>
    <n v="7"/>
    <n v="2024"/>
    <n v="4"/>
    <s v="04"/>
    <x v="6"/>
    <x v="6"/>
    <n v="-18421.23"/>
    <x v="1"/>
    <n v="-18421.23"/>
  </r>
  <r>
    <x v="87"/>
    <s v="OPT-CNXBAN-16-Jul-2024-52600-P-E-I"/>
    <s v="NSE"/>
    <s v="Sell"/>
    <n v="75"/>
    <n v="0"/>
    <n v="346.25"/>
    <n v="25968.75"/>
    <s v="#202407123700015606"/>
    <n v="16"/>
    <n v="12.98"/>
    <n v="0"/>
    <n v="0.03"/>
    <n v="100"/>
    <n v="20.34"/>
    <n v="149.35"/>
    <n v="2024"/>
    <n v="7"/>
    <n v="2024"/>
    <n v="4"/>
    <s v="04"/>
    <x v="6"/>
    <x v="6"/>
    <n v="25819.4"/>
    <x v="217"/>
    <s v=""/>
  </r>
  <r>
    <x v="87"/>
    <s v="OPT-CNXBAN-16-Jul-2024-52600-P-E-I"/>
    <s v="NSE"/>
    <s v="Buy"/>
    <n v="75"/>
    <n v="0"/>
    <n v="326.05"/>
    <n v="24453.75"/>
    <s v="#202407123700013084"/>
    <n v="0"/>
    <n v="12.23"/>
    <n v="1"/>
    <n v="0.02"/>
    <n v="100"/>
    <n v="20.2"/>
    <n v="133.44999999999999"/>
    <n v="2024"/>
    <n v="7"/>
    <n v="2024"/>
    <n v="4"/>
    <s v="04"/>
    <x v="6"/>
    <x v="6"/>
    <n v="-24587.200000000001"/>
    <x v="1"/>
    <n v="-24587.200000000001"/>
  </r>
  <r>
    <x v="88"/>
    <s v="OPT-CNXBAN-16-Jul-2024-52500-C-E-I"/>
    <s v="NSE"/>
    <s v="Sell"/>
    <n v="75"/>
    <n v="0"/>
    <n v="175.25"/>
    <n v="13143.75"/>
    <s v="#202407153700010258"/>
    <n v="8"/>
    <n v="6.57"/>
    <n v="0"/>
    <n v="0.01"/>
    <n v="100"/>
    <n v="19.18"/>
    <n v="133.76"/>
    <n v="2024"/>
    <n v="7"/>
    <n v="2024"/>
    <n v="4"/>
    <s v="04"/>
    <x v="6"/>
    <x v="6"/>
    <n v="13009.99"/>
    <x v="218"/>
    <s v=""/>
  </r>
  <r>
    <x v="88"/>
    <s v="OPT-CNXBAN-16-Jul-2024-52500-C-E-I"/>
    <s v="NSE"/>
    <s v="Buy"/>
    <n v="15"/>
    <n v="0"/>
    <n v="140.25"/>
    <n v="2103.75"/>
    <s v="#202407153700004138"/>
    <n v="0"/>
    <n v="1.05"/>
    <n v="0"/>
    <n v="0"/>
    <n v="20"/>
    <n v="3.78"/>
    <n v="24.83"/>
    <n v="2024"/>
    <n v="7"/>
    <n v="2024"/>
    <n v="4"/>
    <s v="04"/>
    <x v="6"/>
    <x v="6"/>
    <n v="-2128.58"/>
    <x v="1"/>
    <n v="-2128.58"/>
  </r>
  <r>
    <x v="88"/>
    <s v="OPT-CNXBAN-16-Jul-2024-52500-C-E-I"/>
    <s v="NSE"/>
    <s v="Buy"/>
    <n v="15"/>
    <n v="0"/>
    <n v="180"/>
    <n v="2700"/>
    <s v="#202407153700002786"/>
    <n v="0"/>
    <n v="1.35"/>
    <n v="0"/>
    <n v="0"/>
    <n v="20"/>
    <n v="3.84"/>
    <n v="25.19"/>
    <n v="2024"/>
    <n v="7"/>
    <n v="2024"/>
    <n v="4"/>
    <s v="04"/>
    <x v="6"/>
    <x v="6"/>
    <n v="-2725.19"/>
    <x v="1"/>
    <n v="-2725.19"/>
  </r>
  <r>
    <x v="88"/>
    <s v="OPT-CNXBAN-16-Jul-2024-52500-C-E-I"/>
    <s v="NSE"/>
    <s v="Buy"/>
    <n v="45"/>
    <n v="0"/>
    <n v="216.5"/>
    <n v="9742.5"/>
    <s v="#202407153700002087"/>
    <n v="0"/>
    <n v="4.87"/>
    <n v="0"/>
    <n v="0.01"/>
    <n v="60"/>
    <n v="11.68"/>
    <n v="76.56"/>
    <n v="2024"/>
    <n v="7"/>
    <n v="2024"/>
    <n v="4"/>
    <s v="04"/>
    <x v="6"/>
    <x v="6"/>
    <n v="-9819.06"/>
    <x v="1"/>
    <n v="-9819.06"/>
  </r>
  <r>
    <x v="89"/>
    <s v="OPT-CNXBAN-16-Jul-2024-52500-P-E-I"/>
    <s v="NSE"/>
    <s v="Sell"/>
    <n v="150"/>
    <n v="0"/>
    <n v="99.25"/>
    <n v="14887.5"/>
    <s v="#202407163700011252"/>
    <n v="8.81"/>
    <n v="7.44"/>
    <n v="0"/>
    <n v="0.01"/>
    <n v="200"/>
    <n v="37.340000000000003"/>
    <n v="253.6"/>
    <n v="2024"/>
    <n v="7"/>
    <n v="2024"/>
    <n v="4"/>
    <s v="04"/>
    <x v="6"/>
    <x v="6"/>
    <n v="14633.9"/>
    <x v="219"/>
    <s v=""/>
  </r>
  <r>
    <x v="89"/>
    <s v="OPT-CNXBAN-16-Jul-2024-52500-P-E-I"/>
    <s v="NSE"/>
    <s v="Buy"/>
    <n v="75"/>
    <n v="0"/>
    <n v="142.25"/>
    <n v="10668.75"/>
    <s v="#202407163700007196"/>
    <n v="0"/>
    <n v="5.33"/>
    <n v="0"/>
    <n v="0.01"/>
    <n v="100"/>
    <n v="18.96"/>
    <n v="124.3"/>
    <n v="2024"/>
    <n v="7"/>
    <n v="2024"/>
    <n v="4"/>
    <s v="04"/>
    <x v="6"/>
    <x v="6"/>
    <n v="-10793.05"/>
    <x v="1"/>
    <n v="-10793.05"/>
  </r>
  <r>
    <x v="89"/>
    <s v="OPT-CNXBAN-16-Jul-2024-52500-P-E-I"/>
    <s v="NSE"/>
    <s v="Buy"/>
    <n v="75"/>
    <n v="0"/>
    <n v="190"/>
    <n v="14250"/>
    <s v="#202407163700006591"/>
    <n v="0"/>
    <n v="7.13"/>
    <n v="0.37"/>
    <n v="0.01"/>
    <n v="100"/>
    <n v="19.28"/>
    <n v="126.79"/>
    <n v="2024"/>
    <n v="7"/>
    <n v="2024"/>
    <n v="4"/>
    <s v="04"/>
    <x v="6"/>
    <x v="6"/>
    <n v="-14376.79"/>
    <x v="1"/>
    <n v="-14376.79"/>
  </r>
  <r>
    <x v="89"/>
    <s v="OPT-CNXBAN-16-Jul-2024-52600-P-E-I"/>
    <s v="NSE"/>
    <s v="Sell"/>
    <n v="90"/>
    <n v="0"/>
    <n v="252.25"/>
    <n v="22702.5"/>
    <s v="#202407163700002279"/>
    <n v="14.18"/>
    <n v="11.35"/>
    <n v="0"/>
    <n v="0.02"/>
    <n v="120"/>
    <n v="23.64"/>
    <n v="169.19"/>
    <n v="2024"/>
    <n v="7"/>
    <n v="2024"/>
    <n v="4"/>
    <s v="04"/>
    <x v="6"/>
    <x v="6"/>
    <n v="22533.31"/>
    <x v="220"/>
    <s v=""/>
  </r>
  <r>
    <x v="89"/>
    <s v="OPT-CNXBAN-16-Jul-2024-52600-P-E-I"/>
    <s v="NSE"/>
    <s v="Buy"/>
    <n v="90"/>
    <n v="0"/>
    <n v="232.05"/>
    <n v="20884.5"/>
    <s v="#202407163700002137"/>
    <n v="0"/>
    <n v="10.44"/>
    <n v="0.63"/>
    <n v="0.02"/>
    <n v="120"/>
    <n v="23.48"/>
    <n v="154.57"/>
    <n v="2024"/>
    <n v="7"/>
    <n v="2024"/>
    <n v="4"/>
    <s v="04"/>
    <x v="6"/>
    <x v="6"/>
    <n v="-21039.07"/>
    <x v="1"/>
    <n v="-21039.07"/>
  </r>
  <r>
    <x v="90"/>
    <s v="OPT-NIFTY-18-Jul-2024-24500-P-E-I"/>
    <s v="NSE"/>
    <s v="Sell"/>
    <n v="900"/>
    <n v="0"/>
    <n v="31"/>
    <n v="27900"/>
    <s v="#202407184500001624"/>
    <n v="17"/>
    <n v="13.95"/>
    <n v="0"/>
    <n v="0.03"/>
    <n v="720"/>
    <n v="132.12"/>
    <n v="883.1"/>
    <n v="2024"/>
    <n v="7"/>
    <n v="2024"/>
    <n v="4"/>
    <s v="04"/>
    <x v="6"/>
    <x v="6"/>
    <n v="27016.9"/>
    <x v="221"/>
    <s v=""/>
  </r>
  <r>
    <x v="90"/>
    <s v="OPT-NIFTY-18-Jul-2024-24500-P-E-I"/>
    <s v="NSE"/>
    <s v="Buy"/>
    <n v="900"/>
    <n v="0"/>
    <n v="11"/>
    <n v="9900"/>
    <s v="#202407184500000398"/>
    <n v="0"/>
    <n v="4.96"/>
    <n v="0"/>
    <n v="0.01"/>
    <n v="720"/>
    <n v="130.5"/>
    <n v="855.47"/>
    <n v="2024"/>
    <n v="7"/>
    <n v="2024"/>
    <n v="4"/>
    <s v="04"/>
    <x v="6"/>
    <x v="6"/>
    <n v="-10755.47"/>
    <x v="1"/>
    <n v="-10755.47"/>
  </r>
  <r>
    <x v="91"/>
    <s v="OPT-NIFTY-25-Jul-2024-24600-P-E-I"/>
    <s v="NSE"/>
    <s v="Sell"/>
    <n v="75"/>
    <n v="0"/>
    <n v="246"/>
    <n v="18450"/>
    <s v="#202407193700016606"/>
    <n v="11.53"/>
    <n v="9.23"/>
    <n v="0"/>
    <n v="0.02"/>
    <n v="60"/>
    <n v="12.46"/>
    <n v="93.24"/>
    <n v="2024"/>
    <n v="7"/>
    <n v="2024"/>
    <n v="4"/>
    <s v="04"/>
    <x v="6"/>
    <x v="6"/>
    <n v="18356.759999999998"/>
    <x v="222"/>
    <s v=""/>
  </r>
  <r>
    <x v="91"/>
    <s v="OPT-CNXBAN-24-Jul-2024-52600-C-E-I"/>
    <s v="NSE"/>
    <s v="Sell"/>
    <n v="15"/>
    <n v="0"/>
    <n v="389.25"/>
    <n v="5838.75"/>
    <s v="#202407193700013431"/>
    <n v="3.47"/>
    <n v="2.92"/>
    <n v="0"/>
    <n v="0.01"/>
    <n v="20"/>
    <n v="4.12"/>
    <n v="30.52"/>
    <n v="2024"/>
    <n v="7"/>
    <n v="2024"/>
    <n v="4"/>
    <s v="04"/>
    <x v="6"/>
    <x v="6"/>
    <n v="5808.23"/>
    <x v="223"/>
    <s v=""/>
  </r>
  <r>
    <x v="91"/>
    <s v="OPT-NIFTY-25-Jul-2024-24600-P-E-I"/>
    <s v="NSE"/>
    <s v="Buy"/>
    <n v="75"/>
    <n v="0"/>
    <n v="220"/>
    <n v="16500"/>
    <s v="#202407193700013322"/>
    <n v="0"/>
    <n v="8.25"/>
    <n v="0.82"/>
    <n v="0.02"/>
    <n v="60"/>
    <n v="12.28"/>
    <n v="81.37"/>
    <n v="2024"/>
    <n v="7"/>
    <n v="2024"/>
    <n v="4"/>
    <s v="04"/>
    <x v="6"/>
    <x v="6"/>
    <n v="-16581.37"/>
    <x v="1"/>
    <n v="-16581.37"/>
  </r>
  <r>
    <x v="91"/>
    <s v="OPT-CNXBAN-24-Jul-2024-52600-C-E-I"/>
    <s v="NSE"/>
    <s v="Buy"/>
    <n v="15"/>
    <n v="0"/>
    <n v="411"/>
    <n v="6165"/>
    <s v="#202407193700011349"/>
    <n v="0"/>
    <n v="3.08"/>
    <n v="0.18"/>
    <n v="0.01"/>
    <n v="20"/>
    <n v="4.16"/>
    <n v="27.43"/>
    <n v="2024"/>
    <n v="7"/>
    <n v="2024"/>
    <n v="4"/>
    <s v="04"/>
    <x v="6"/>
    <x v="6"/>
    <n v="-6192.43"/>
    <x v="1"/>
    <n v="-6192.43"/>
  </r>
  <r>
    <x v="92"/>
    <s v="OPT-NIFSEL-22-Jul-2024-12125-P-E-I"/>
    <s v="NSE"/>
    <s v="Sell"/>
    <n v="1800"/>
    <n v="0"/>
    <n v="2.6"/>
    <n v="4680"/>
    <s v="#202407223700012072"/>
    <n v="3"/>
    <n v="2.35"/>
    <n v="0"/>
    <n v="0"/>
    <n v="480"/>
    <n v="86.86"/>
    <n v="572.21"/>
    <n v="2024"/>
    <n v="7"/>
    <n v="2024"/>
    <n v="4"/>
    <s v="04"/>
    <x v="6"/>
    <x v="6"/>
    <n v="4107.79"/>
    <x v="224"/>
    <s v=""/>
  </r>
  <r>
    <x v="92"/>
    <s v="OPT-NIFSEL-22-Jul-2024-12125-P-E-I"/>
    <s v="NSE"/>
    <s v="Buy"/>
    <n v="900"/>
    <n v="0"/>
    <n v="3"/>
    <n v="2700"/>
    <s v="#202407223700011357"/>
    <n v="0"/>
    <n v="1.35"/>
    <n v="0"/>
    <n v="0"/>
    <n v="240"/>
    <n v="43.44"/>
    <n v="284.79000000000002"/>
    <n v="2024"/>
    <n v="7"/>
    <n v="2024"/>
    <n v="4"/>
    <s v="04"/>
    <x v="6"/>
    <x v="6"/>
    <n v="-2984.79"/>
    <x v="1"/>
    <n v="-2984.79"/>
  </r>
  <r>
    <x v="92"/>
    <s v="OPT-NIFSEL-22-Jul-2024-12125-P-E-I"/>
    <s v="NSE"/>
    <s v="Buy"/>
    <n v="900"/>
    <n v="0"/>
    <n v="6.7"/>
    <n v="6030"/>
    <s v="#202407223700007233"/>
    <n v="0"/>
    <n v="3.01"/>
    <n v="0"/>
    <n v="0"/>
    <n v="240"/>
    <n v="43.74"/>
    <n v="286.75"/>
    <n v="2024"/>
    <n v="7"/>
    <n v="2024"/>
    <n v="4"/>
    <s v="04"/>
    <x v="6"/>
    <x v="6"/>
    <n v="-6316.75"/>
    <x v="1"/>
    <n v="-6316.75"/>
  </r>
  <r>
    <x v="93"/>
    <s v="OPT-CNXBAN-24-Jul-2024-52500-C-E-I"/>
    <s v="NSE"/>
    <s v="Buy"/>
    <n v="150"/>
    <n v="0"/>
    <n v="98.4"/>
    <n v="14759.25"/>
    <s v="#202407233700015906"/>
    <n v="0"/>
    <n v="7.38"/>
    <n v="1.38"/>
    <n v="0.01"/>
    <n v="200"/>
    <n v="37.340000000000003"/>
    <n v="246.11"/>
    <n v="2024"/>
    <n v="7"/>
    <n v="2024"/>
    <n v="4"/>
    <s v="04"/>
    <x v="6"/>
    <x v="6"/>
    <n v="-15005.36"/>
    <x v="1"/>
    <n v="-15005.36"/>
  </r>
  <r>
    <x v="93"/>
    <s v="OPT-CNXBAN-24-Jul-2024-52500-C-E-I"/>
    <s v="NSE"/>
    <s v="Buy"/>
    <n v="45"/>
    <n v="0"/>
    <n v="435.65"/>
    <n v="19604.25"/>
    <s v="#202407233700008621"/>
    <n v="0"/>
    <n v="9.8000000000000007"/>
    <n v="0"/>
    <n v="0.02"/>
    <n v="60"/>
    <n v="12.56"/>
    <n v="82.38"/>
    <n v="2024"/>
    <n v="7"/>
    <n v="2024"/>
    <n v="4"/>
    <s v="04"/>
    <x v="6"/>
    <x v="6"/>
    <n v="-19686.63"/>
    <x v="1"/>
    <n v="-19686.63"/>
  </r>
  <r>
    <x v="93"/>
    <s v="OPT-CNXBAN-24-Jul-2024-51500-P-E-I"/>
    <s v="NSE"/>
    <s v="Sell"/>
    <n v="75"/>
    <n v="0"/>
    <n v="195"/>
    <n v="14625"/>
    <s v="#202407233700007998"/>
    <n v="9"/>
    <n v="7.31"/>
    <n v="0"/>
    <n v="0.01"/>
    <n v="100"/>
    <n v="19.32"/>
    <n v="135.63999999999999"/>
    <n v="2024"/>
    <n v="7"/>
    <n v="2024"/>
    <n v="4"/>
    <s v="04"/>
    <x v="6"/>
    <x v="6"/>
    <n v="14489.36"/>
    <x v="225"/>
    <s v=""/>
  </r>
  <r>
    <x v="93"/>
    <s v="OPT-CNXBAN-24-Jul-2024-51500-P-E-I"/>
    <s v="NSE"/>
    <s v="Buy"/>
    <n v="75"/>
    <n v="0"/>
    <n v="275.98"/>
    <n v="20698.5"/>
    <s v="#202407233700002991"/>
    <n v="0"/>
    <n v="10.35"/>
    <n v="0.62"/>
    <n v="0.01"/>
    <n v="100"/>
    <n v="19.88"/>
    <n v="130.86000000000001"/>
    <n v="2024"/>
    <n v="7"/>
    <n v="2024"/>
    <n v="4"/>
    <s v="04"/>
    <x v="6"/>
    <x v="6"/>
    <n v="-20829.36"/>
    <x v="1"/>
    <n v="-20829.36"/>
  </r>
  <r>
    <x v="94"/>
    <s v="OPT-CNXBAN-24-Jul-2024-52500-C-E-I"/>
    <s v="NSE"/>
    <s v="Sell"/>
    <n v="195"/>
    <n v="0"/>
    <n v="8.75"/>
    <n v="1706.25"/>
    <s v="#202407243700012998"/>
    <n v="1.07"/>
    <n v="0.85"/>
    <n v="0"/>
    <n v="0"/>
    <n v="260"/>
    <n v="46.96"/>
    <n v="308.88"/>
    <n v="2024"/>
    <n v="7"/>
    <n v="2024"/>
    <n v="4"/>
    <s v="04"/>
    <x v="6"/>
    <x v="6"/>
    <n v="1397.37"/>
    <x v="226"/>
    <s v=""/>
  </r>
  <r>
    <x v="94"/>
    <s v="OPT-CNXBAN-24-Jul-2024-52500-C-E-I"/>
    <s v="NSE"/>
    <s v="Sell"/>
    <n v="900"/>
    <n v="0"/>
    <n v="8.6999999999999993"/>
    <n v="7830"/>
    <s v="#202407243700012974"/>
    <n v="4.8899999999999997"/>
    <n v="3.92"/>
    <n v="0"/>
    <n v="0"/>
    <n v="1200"/>
    <n v="216.7"/>
    <n v="1425.51"/>
    <n v="2024"/>
    <n v="7"/>
    <n v="2024"/>
    <n v="4"/>
    <s v="04"/>
    <x v="6"/>
    <x v="6"/>
    <n v="6404.49"/>
    <x v="227"/>
    <s v=""/>
  </r>
  <r>
    <x v="94"/>
    <s v="OPT-CNXBAN-24-Jul-2024-52500-C-E-I"/>
    <s v="NSE"/>
    <s v="Sell"/>
    <n v="900"/>
    <n v="0"/>
    <n v="8.75"/>
    <n v="7875"/>
    <s v="#202407243700012951"/>
    <n v="5.03"/>
    <n v="3.94"/>
    <n v="0"/>
    <n v="0"/>
    <n v="1200"/>
    <n v="216.72"/>
    <n v="1425.69"/>
    <n v="2024"/>
    <n v="7"/>
    <n v="2024"/>
    <n v="4"/>
    <s v="04"/>
    <x v="6"/>
    <x v="6"/>
    <n v="6449.3099999999995"/>
    <x v="228"/>
    <s v=""/>
  </r>
  <r>
    <x v="94"/>
    <s v="OPT-CNXBAN-24-Jul-2024-52500-C-E-I"/>
    <s v="NSE"/>
    <s v="Buy"/>
    <n v="900"/>
    <n v="0"/>
    <n v="16.25"/>
    <n v="14625"/>
    <s v="#202407243700011697"/>
    <n v="0"/>
    <n v="7.32"/>
    <n v="0"/>
    <n v="0.02"/>
    <n v="1200"/>
    <n v="217.3"/>
    <n v="1424.64"/>
    <n v="2024"/>
    <n v="7"/>
    <n v="2024"/>
    <n v="4"/>
    <s v="04"/>
    <x v="6"/>
    <x v="6"/>
    <n v="-16049.64"/>
    <x v="1"/>
    <n v="-16049.64"/>
  </r>
  <r>
    <x v="94"/>
    <s v="OPT-CNXBAN-24-Jul-2024-52500-C-E-I"/>
    <s v="NSE"/>
    <s v="Buy"/>
    <n v="900"/>
    <n v="0"/>
    <n v="21.25"/>
    <n v="19125"/>
    <s v="#202407243700001880"/>
    <n v="0"/>
    <n v="9.57"/>
    <n v="1"/>
    <n v="0.02"/>
    <n v="1200"/>
    <n v="217.74"/>
    <n v="1428.33"/>
    <n v="2024"/>
    <n v="7"/>
    <n v="2024"/>
    <n v="4"/>
    <s v="04"/>
    <x v="6"/>
    <x v="6"/>
    <n v="-20553.330000000002"/>
    <x v="1"/>
    <n v="-20553.330000000002"/>
  </r>
  <r>
    <x v="95"/>
    <s v="OPT-CNXBAN-07-Aug-2024-50200-C-E-I"/>
    <s v="NSE"/>
    <s v="Sell"/>
    <n v="210"/>
    <n v="0"/>
    <n v="15.25"/>
    <n v="3202.5"/>
    <s v="#202408073700023365"/>
    <n v="2"/>
    <n v="1.6"/>
    <n v="0"/>
    <n v="0"/>
    <n v="280"/>
    <n v="50.68"/>
    <n v="334.28"/>
    <n v="2024"/>
    <n v="8"/>
    <n v="2024"/>
    <n v="5"/>
    <s v="05"/>
    <x v="7"/>
    <x v="7"/>
    <n v="2868.2200000000003"/>
    <x v="229"/>
    <s v=""/>
  </r>
  <r>
    <x v="95"/>
    <s v="OPT-CNXBAN-07-Aug-2024-50200-C-E-I"/>
    <s v="NSE"/>
    <s v="Sell"/>
    <n v="900"/>
    <n v="0"/>
    <n v="15.25"/>
    <n v="13725"/>
    <s v="#202408073700023346"/>
    <n v="9"/>
    <n v="6.86"/>
    <n v="0"/>
    <n v="0.02"/>
    <n v="1200"/>
    <n v="217.24"/>
    <n v="1433.12"/>
    <n v="2024"/>
    <n v="8"/>
    <n v="2024"/>
    <n v="5"/>
    <s v="05"/>
    <x v="7"/>
    <x v="7"/>
    <n v="12291.880000000001"/>
    <x v="230"/>
    <s v=""/>
  </r>
  <r>
    <x v="95"/>
    <s v="OPT-CNXBAN-07-Aug-2024-50200-C-E-I"/>
    <s v="NSE"/>
    <s v="Buy"/>
    <n v="900"/>
    <n v="0"/>
    <n v="33.25"/>
    <n v="29925"/>
    <s v="#202408073700017198"/>
    <n v="0"/>
    <n v="14.97"/>
    <n v="2"/>
    <n v="0.02"/>
    <n v="1200"/>
    <n v="218.7"/>
    <n v="1435.69"/>
    <n v="2024"/>
    <n v="8"/>
    <n v="2024"/>
    <n v="5"/>
    <s v="05"/>
    <x v="7"/>
    <x v="7"/>
    <n v="-31360.69"/>
    <x v="1"/>
    <n v="-31360.69"/>
  </r>
  <r>
    <x v="95"/>
    <s v="OPT-CNXBAN-07-Aug-2024-50200-C-E-I"/>
    <s v="NSE"/>
    <s v="Buy"/>
    <n v="210"/>
    <n v="0"/>
    <n v="101.25"/>
    <n v="21262.5"/>
    <s v="#202408073700010955"/>
    <n v="0"/>
    <n v="10.63"/>
    <n v="0"/>
    <n v="0.02"/>
    <n v="280"/>
    <n v="52.32"/>
    <n v="342.97"/>
    <n v="2024"/>
    <n v="8"/>
    <n v="2024"/>
    <n v="5"/>
    <s v="05"/>
    <x v="7"/>
    <x v="7"/>
    <n v="-21605.47"/>
    <x v="1"/>
    <n v="-21605.47"/>
  </r>
  <r>
    <x v="96"/>
    <s v="OPT-CNXBAN-14-Aug-2024-49600-C-E-I"/>
    <s v="NSE"/>
    <s v="Sell"/>
    <n v="150"/>
    <n v="0"/>
    <n v="185.25"/>
    <n v="27787.5"/>
    <s v="#202408143700013405"/>
    <n v="17"/>
    <n v="13.9"/>
    <n v="0"/>
    <n v="0.03"/>
    <n v="200"/>
    <n v="38.520000000000003"/>
    <n v="269.45"/>
    <n v="2024"/>
    <n v="8"/>
    <n v="2024"/>
    <n v="5"/>
    <s v="05"/>
    <x v="7"/>
    <x v="7"/>
    <n v="27518.05"/>
    <x v="231"/>
    <s v=""/>
  </r>
  <r>
    <x v="96"/>
    <s v="OPT-CNXBAN-14-Aug-2024-49600-C-E-I"/>
    <s v="NSE"/>
    <s v="Buy"/>
    <n v="75"/>
    <n v="0"/>
    <n v="145"/>
    <n v="10875"/>
    <s v="#202408143700012472"/>
    <n v="0"/>
    <n v="5.44"/>
    <n v="0"/>
    <n v="0.01"/>
    <n v="100"/>
    <n v="18.98"/>
    <n v="124.43"/>
    <n v="2024"/>
    <n v="8"/>
    <n v="2024"/>
    <n v="5"/>
    <s v="05"/>
    <x v="7"/>
    <x v="7"/>
    <n v="-10999.43"/>
    <x v="1"/>
    <n v="-10999.43"/>
  </r>
  <r>
    <x v="96"/>
    <s v="OPT-CNXBAN-14-Aug-2024-49600-C-E-I"/>
    <s v="NSE"/>
    <s v="Buy"/>
    <n v="75"/>
    <n v="0"/>
    <n v="195"/>
    <n v="14625"/>
    <s v="#202408143700006914"/>
    <n v="0"/>
    <n v="7.31"/>
    <n v="1"/>
    <n v="0.01"/>
    <n v="100"/>
    <n v="19.32"/>
    <n v="127.64"/>
    <n v="2024"/>
    <n v="8"/>
    <n v="2024"/>
    <n v="5"/>
    <s v="05"/>
    <x v="7"/>
    <x v="7"/>
    <n v="-14752.64"/>
    <x v="1"/>
    <n v="-14752.64"/>
  </r>
  <r>
    <x v="97"/>
    <s v="OPT-CNXBAN-25-Sep-2024-53400-P-E-I"/>
    <s v="NSE"/>
    <s v="Buy"/>
    <n v="15"/>
    <n v="0"/>
    <n v="244"/>
    <n v="3660"/>
    <s v="#202409203700028224"/>
    <n v="0"/>
    <n v="1.83"/>
    <n v="0"/>
    <n v="0"/>
    <n v="20"/>
    <n v="3.92"/>
    <n v="25.75"/>
    <n v="2024"/>
    <n v="9"/>
    <n v="2024"/>
    <n v="6"/>
    <s v="06"/>
    <x v="8"/>
    <x v="8"/>
    <n v="-3685.75"/>
    <x v="1"/>
    <n v="-3685.75"/>
  </r>
  <r>
    <x v="97"/>
    <s v="OPT-CNXBAN-25-Sep-2024-53400-P-E-I"/>
    <s v="NSE"/>
    <s v="Buy"/>
    <n v="15"/>
    <n v="0"/>
    <n v="295.64999999999998"/>
    <n v="4434.75"/>
    <s v="#202409203700027816"/>
    <n v="0"/>
    <n v="2.2200000000000002"/>
    <n v="0"/>
    <n v="0"/>
    <n v="20"/>
    <n v="4"/>
    <n v="26.22"/>
    <n v="2024"/>
    <n v="9"/>
    <n v="2024"/>
    <n v="6"/>
    <s v="06"/>
    <x v="8"/>
    <x v="8"/>
    <n v="-4460.97"/>
    <x v="1"/>
    <n v="-4460.97"/>
  </r>
  <r>
    <x v="97"/>
    <s v="OPT-CNXBAN-25-Sep-2024-53400-P-E-I"/>
    <s v="NSE"/>
    <s v="Buy"/>
    <n v="15"/>
    <n v="0"/>
    <n v="329.25"/>
    <n v="4938.75"/>
    <s v="#202409203700027257"/>
    <n v="0"/>
    <n v="2.4700000000000002"/>
    <n v="0.39"/>
    <n v="0"/>
    <n v="20"/>
    <n v="4.04"/>
    <n v="26.9"/>
    <n v="2024"/>
    <n v="9"/>
    <n v="2024"/>
    <n v="6"/>
    <s v="06"/>
    <x v="8"/>
    <x v="8"/>
    <n v="-4965.6499999999996"/>
    <x v="1"/>
    <n v="-4965.6499999999996"/>
  </r>
  <r>
    <x v="97"/>
    <s v="OPT-CNXBAN-25-Sep-2024-53600-P-E-I"/>
    <s v="NSE"/>
    <s v="Sell"/>
    <n v="60"/>
    <n v="0"/>
    <n v="375.25"/>
    <n v="22515"/>
    <s v="#202409203700018721"/>
    <n v="14"/>
    <n v="11.26"/>
    <n v="0"/>
    <n v="0.02"/>
    <n v="80"/>
    <n v="16.440000000000001"/>
    <n v="121.72"/>
    <n v="2024"/>
    <n v="9"/>
    <n v="2024"/>
    <n v="6"/>
    <s v="06"/>
    <x v="8"/>
    <x v="8"/>
    <n v="22393.279999999999"/>
    <x v="232"/>
    <s v=""/>
  </r>
  <r>
    <x v="97"/>
    <s v="OPT-CNXBAN-25-Sep-2024-53600-P-E-I"/>
    <s v="NSE"/>
    <s v="Buy"/>
    <n v="60"/>
    <n v="0"/>
    <n v="345"/>
    <n v="20700"/>
    <s v="#202409203700017858"/>
    <n v="0"/>
    <n v="10.35"/>
    <n v="0.61"/>
    <n v="0.02"/>
    <n v="80"/>
    <n v="16.260000000000002"/>
    <n v="107.24"/>
    <n v="2024"/>
    <n v="9"/>
    <n v="2024"/>
    <n v="6"/>
    <s v="06"/>
    <x v="8"/>
    <x v="8"/>
    <n v="-20807.240000000002"/>
    <x v="1"/>
    <n v="-20807.240000000002"/>
  </r>
  <r>
    <x v="98"/>
    <s v="OPT-CNXBAN-25-Sep-2024-53400-P-E-I"/>
    <s v="NSE"/>
    <s v="Buy"/>
    <n v="210"/>
    <n v="0"/>
    <n v="25"/>
    <n v="5250"/>
    <s v="#202409243700019760"/>
    <n v="0"/>
    <n v="2.62"/>
    <n v="0"/>
    <n v="0"/>
    <n v="280"/>
    <n v="50.86"/>
    <n v="333.48"/>
    <n v="2024"/>
    <n v="9"/>
    <n v="2024"/>
    <n v="6"/>
    <s v="06"/>
    <x v="8"/>
    <x v="8"/>
    <n v="-5583.48"/>
    <x v="1"/>
    <n v="-5583.48"/>
  </r>
  <r>
    <x v="98"/>
    <s v="OPT-CNXBAN-25-Sep-2024-53400-P-E-I"/>
    <s v="NSE"/>
    <s v="Buy"/>
    <n v="210"/>
    <n v="0"/>
    <n v="39.5"/>
    <n v="8295"/>
    <s v="#202409243700005081"/>
    <n v="0"/>
    <n v="4.1500000000000004"/>
    <n v="1"/>
    <n v="0.01"/>
    <n v="280"/>
    <n v="51.14"/>
    <n v="336.3"/>
    <n v="2024"/>
    <n v="9"/>
    <n v="2024"/>
    <n v="6"/>
    <s v="06"/>
    <x v="8"/>
    <x v="8"/>
    <n v="-8631.2999999999993"/>
    <x v="1"/>
    <n v="-8631.2999999999993"/>
  </r>
  <r>
    <x v="98"/>
    <s v="OPT-CNXBAN-25-Sep-2024-53400-P-E-I"/>
    <s v="NSE"/>
    <s v="Buy"/>
    <n v="210"/>
    <n v="0"/>
    <n v="55.25"/>
    <n v="11602.5"/>
    <s v="#202409243700002217"/>
    <n v="0"/>
    <n v="5.8"/>
    <n v="0"/>
    <n v="0.01"/>
    <n v="280"/>
    <n v="51.46"/>
    <n v="337.27"/>
    <n v="2024"/>
    <n v="9"/>
    <n v="2024"/>
    <n v="6"/>
    <s v="06"/>
    <x v="8"/>
    <x v="8"/>
    <n v="-11939.77"/>
    <x v="1"/>
    <n v="-11939.77"/>
  </r>
  <r>
    <x v="99"/>
    <s v="OPT-CNXBAN-25-Sep-2024-53400-P-E-I"/>
    <s v="NSE"/>
    <s v="Sell"/>
    <n v="675"/>
    <n v="0"/>
    <n v="5"/>
    <n v="3375"/>
    <s v="#202409253700018335"/>
    <n v="2.0099999999999998"/>
    <n v="1.7"/>
    <n v="0"/>
    <n v="0"/>
    <n v="900"/>
    <n v="162.28"/>
    <n v="1065.99"/>
    <n v="2024"/>
    <n v="9"/>
    <n v="2024"/>
    <n v="6"/>
    <s v="06"/>
    <x v="8"/>
    <x v="8"/>
    <n v="2309.0100000000002"/>
    <x v="233"/>
    <s v=""/>
  </r>
  <r>
    <x v="100"/>
    <s v="OPT-CNXBAN-01-Oct-2024-52600-P-E-I"/>
    <s v="NSE"/>
    <s v="Sell"/>
    <n v="900"/>
    <n v="0"/>
    <n v="5"/>
    <n v="4500"/>
    <s v="#202410013700016116"/>
    <n v="4.38"/>
    <n v="1.6"/>
    <n v="0"/>
    <n v="0"/>
    <n v="1200"/>
    <n v="216.3"/>
    <n v="1422.28"/>
    <n v="2024"/>
    <n v="10"/>
    <n v="2024"/>
    <n v="7"/>
    <s v="07"/>
    <x v="9"/>
    <x v="9"/>
    <n v="3077.7200000000003"/>
    <x v="234"/>
    <s v=""/>
  </r>
  <r>
    <x v="100"/>
    <s v="OPT-CNXBAN-01-Oct-2024-52600-P-E-I"/>
    <s v="NSE"/>
    <s v="Sell"/>
    <n v="900"/>
    <n v="0"/>
    <n v="5"/>
    <n v="4500"/>
    <s v="#202410013700016095"/>
    <n v="4.5"/>
    <n v="1.6"/>
    <n v="0"/>
    <n v="0"/>
    <n v="1200"/>
    <n v="216.28"/>
    <n v="1422.38"/>
    <n v="2024"/>
    <n v="10"/>
    <n v="2024"/>
    <n v="7"/>
    <s v="07"/>
    <x v="9"/>
    <x v="9"/>
    <n v="3077.62"/>
    <x v="235"/>
    <s v=""/>
  </r>
  <r>
    <x v="100"/>
    <s v="OPT-CNXBAN-01-Oct-2024-52600-P-E-I"/>
    <s v="NSE"/>
    <s v="Sell"/>
    <n v="900"/>
    <n v="0"/>
    <n v="5"/>
    <n v="4500"/>
    <s v="#202410013700016052"/>
    <n v="4.53"/>
    <n v="1.61"/>
    <n v="0"/>
    <n v="0"/>
    <n v="1200"/>
    <n v="216.28"/>
    <n v="1422.42"/>
    <n v="2024"/>
    <n v="10"/>
    <n v="2024"/>
    <n v="7"/>
    <s v="07"/>
    <x v="9"/>
    <x v="9"/>
    <n v="3077.58"/>
    <x v="236"/>
    <s v=""/>
  </r>
  <r>
    <x v="100"/>
    <s v="OPT-CNXBAN-01-Oct-2024-52600-P-E-I"/>
    <s v="NSE"/>
    <s v="Sell"/>
    <n v="900"/>
    <n v="0"/>
    <n v="6.25"/>
    <n v="5625"/>
    <s v="#202410013700015064"/>
    <n v="5.63"/>
    <n v="2"/>
    <n v="0"/>
    <n v="0.01"/>
    <n v="1200"/>
    <n v="216.36"/>
    <n v="1424"/>
    <n v="2024"/>
    <n v="10"/>
    <n v="2024"/>
    <n v="7"/>
    <s v="07"/>
    <x v="9"/>
    <x v="9"/>
    <n v="4201"/>
    <x v="237"/>
    <s v=""/>
  </r>
  <r>
    <x v="100"/>
    <s v="OPT-CNXBAN-01-Oct-2024-52600-P-E-I"/>
    <s v="NSE"/>
    <s v="Buy"/>
    <n v="900"/>
    <n v="0"/>
    <n v="10"/>
    <n v="9000"/>
    <s v="#202410013700014274"/>
    <n v="0"/>
    <n v="3.19"/>
    <n v="0"/>
    <n v="0"/>
    <n v="1200"/>
    <n v="216.58"/>
    <n v="1419.77"/>
    <n v="2024"/>
    <n v="10"/>
    <n v="2024"/>
    <n v="7"/>
    <s v="07"/>
    <x v="9"/>
    <x v="9"/>
    <n v="-10419.77"/>
    <x v="1"/>
    <n v="-10419.77"/>
  </r>
  <r>
    <x v="100"/>
    <s v="OPT-CNXBAN-01-Oct-2024-52600-P-E-I"/>
    <s v="NSE"/>
    <s v="Buy"/>
    <n v="900"/>
    <n v="0"/>
    <n v="11"/>
    <n v="9900"/>
    <s v="#202410013700014076"/>
    <n v="0"/>
    <n v="3.52"/>
    <n v="0"/>
    <n v="0"/>
    <n v="1200"/>
    <n v="216.62"/>
    <n v="1420.14"/>
    <n v="2024"/>
    <n v="10"/>
    <n v="2024"/>
    <n v="7"/>
    <s v="07"/>
    <x v="9"/>
    <x v="9"/>
    <n v="-11320.14"/>
    <x v="1"/>
    <n v="-11320.14"/>
  </r>
  <r>
    <x v="100"/>
    <s v="OPT-CNXBAN-01-Oct-2024-52600-P-E-I"/>
    <s v="NSE"/>
    <s v="Buy"/>
    <n v="900"/>
    <n v="0"/>
    <n v="14.25"/>
    <n v="12825"/>
    <s v="#202410013700013040"/>
    <n v="0"/>
    <n v="4.57"/>
    <n v="0"/>
    <n v="0.01"/>
    <n v="1200"/>
    <n v="216.84"/>
    <n v="1421.42"/>
    <n v="2024"/>
    <n v="10"/>
    <n v="2024"/>
    <n v="7"/>
    <s v="07"/>
    <x v="9"/>
    <x v="9"/>
    <n v="-14246.42"/>
    <x v="1"/>
    <n v="-14246.42"/>
  </r>
  <r>
    <x v="100"/>
    <s v="OPT-CNXBAN-01-Oct-2024-52600-P-E-I"/>
    <s v="NSE"/>
    <s v="Buy"/>
    <n v="900"/>
    <n v="0"/>
    <n v="14"/>
    <n v="12600"/>
    <s v="#202410013700012956"/>
    <n v="0"/>
    <n v="4.4800000000000004"/>
    <n v="1"/>
    <n v="0.02"/>
    <n v="1200"/>
    <n v="216.82"/>
    <n v="1422.32"/>
    <n v="2024"/>
    <n v="10"/>
    <n v="2024"/>
    <n v="7"/>
    <s v="07"/>
    <x v="9"/>
    <x v="9"/>
    <n v="-14022.32"/>
    <x v="1"/>
    <n v="-14022.32"/>
  </r>
  <r>
    <x v="101"/>
    <s v="OPT-CNXBAN-06-Nov-2024-52000-C-E-I"/>
    <s v="NSE"/>
    <s v="Sell"/>
    <n v="210"/>
    <n v="0"/>
    <n v="119.25"/>
    <n v="25042.5"/>
    <s v="#202411053700010395"/>
    <n v="25"/>
    <n v="8.89"/>
    <n v="0"/>
    <n v="0.02"/>
    <n v="280"/>
    <n v="52"/>
    <n v="365.91"/>
    <n v="2024"/>
    <n v="11"/>
    <n v="2024"/>
    <n v="8"/>
    <s v="08"/>
    <x v="10"/>
    <x v="10"/>
    <n v="24676.59"/>
    <x v="238"/>
    <s v=""/>
  </r>
  <r>
    <x v="101"/>
    <s v="OPT-CNXBAN-06-Nov-2024-52000-C-E-I"/>
    <s v="NSE"/>
    <s v="Buy"/>
    <n v="210"/>
    <n v="0"/>
    <n v="89"/>
    <n v="18690"/>
    <s v="#202411053700010072"/>
    <n v="0"/>
    <n v="6.63"/>
    <n v="1"/>
    <n v="0.01"/>
    <n v="280"/>
    <n v="51.6"/>
    <n v="339.24"/>
    <n v="2024"/>
    <n v="11"/>
    <n v="2024"/>
    <n v="8"/>
    <s v="08"/>
    <x v="10"/>
    <x v="10"/>
    <n v="-19029.240000000002"/>
    <x v="1"/>
    <n v="-19029.240000000002"/>
  </r>
  <r>
    <x v="102"/>
    <s v="OPT-CNXBAN-06-Nov-2024-53000-C-E-I"/>
    <s v="NSE"/>
    <s v="Sell"/>
    <n v="900"/>
    <n v="0"/>
    <n v="3.9"/>
    <n v="3510"/>
    <s v="#202411063700020506"/>
    <n v="3.59"/>
    <n v="1.25"/>
    <n v="0"/>
    <n v="0"/>
    <n v="1200"/>
    <n v="216.24"/>
    <n v="1421.08"/>
    <n v="2024"/>
    <n v="11"/>
    <n v="2024"/>
    <n v="8"/>
    <s v="08"/>
    <x v="10"/>
    <x v="10"/>
    <n v="2088.92"/>
    <x v="239"/>
    <s v=""/>
  </r>
  <r>
    <x v="102"/>
    <s v="OPT-CNXBAN-06-Nov-2024-53000-C-E-I"/>
    <s v="NSE"/>
    <s v="Sell"/>
    <n v="900"/>
    <n v="0"/>
    <n v="2.4500000000000002"/>
    <n v="2205"/>
    <s v="#202411063700020488"/>
    <n v="2.2000000000000002"/>
    <n v="0.79"/>
    <n v="0"/>
    <n v="0"/>
    <n v="1200"/>
    <n v="216.14"/>
    <n v="1419.13"/>
    <n v="2024"/>
    <n v="11"/>
    <n v="2024"/>
    <n v="8"/>
    <s v="08"/>
    <x v="10"/>
    <x v="10"/>
    <n v="785.86999999999989"/>
    <x v="240"/>
    <s v=""/>
  </r>
  <r>
    <x v="102"/>
    <s v="OPT-CNXBAN-06-Nov-2024-53000-C-E-I"/>
    <s v="NSE"/>
    <s v="Sell"/>
    <n v="900"/>
    <n v="0"/>
    <n v="2.4500000000000002"/>
    <n v="2205"/>
    <s v="#202411063700020450"/>
    <n v="2.21"/>
    <n v="0.78"/>
    <n v="0"/>
    <n v="0"/>
    <n v="1200"/>
    <n v="216.14"/>
    <n v="1419.13"/>
    <n v="2024"/>
    <n v="11"/>
    <n v="2024"/>
    <n v="8"/>
    <s v="08"/>
    <x v="10"/>
    <x v="10"/>
    <n v="785.86999999999989"/>
    <x v="240"/>
    <s v=""/>
  </r>
  <r>
    <x v="102"/>
    <s v="OPT-CNXBAN-06-Nov-2024-53000-C-E-I"/>
    <s v="NSE"/>
    <s v="Buy"/>
    <n v="900"/>
    <n v="0"/>
    <n v="11.25"/>
    <n v="10125"/>
    <s v="#202411063700008941"/>
    <n v="0"/>
    <n v="3.6"/>
    <n v="0"/>
    <n v="0.01"/>
    <n v="1200"/>
    <n v="216.66"/>
    <n v="1420.27"/>
    <n v="2024"/>
    <n v="11"/>
    <n v="2024"/>
    <n v="8"/>
    <s v="08"/>
    <x v="10"/>
    <x v="10"/>
    <n v="-11545.27"/>
    <x v="1"/>
    <n v="-11545.27"/>
  </r>
  <r>
    <x v="102"/>
    <s v="OPT-CNXBAN-06-Nov-2024-53000-C-E-I"/>
    <s v="NSE"/>
    <s v="Buy"/>
    <n v="900"/>
    <n v="0"/>
    <n v="20"/>
    <n v="18000"/>
    <s v="#202411063700005998"/>
    <n v="0"/>
    <n v="6.39"/>
    <n v="2"/>
    <n v="0.01"/>
    <n v="1200"/>
    <n v="217.16"/>
    <n v="1425.56"/>
    <n v="2024"/>
    <n v="11"/>
    <n v="2024"/>
    <n v="8"/>
    <s v="08"/>
    <x v="10"/>
    <x v="10"/>
    <n v="-19425.560000000001"/>
    <x v="1"/>
    <n v="-19425.560000000001"/>
  </r>
  <r>
    <x v="102"/>
    <s v="OPT-CNXBAN-06-Nov-2024-53000-C-E-I"/>
    <s v="NSE"/>
    <s v="Buy"/>
    <n v="900"/>
    <n v="0"/>
    <n v="41.25"/>
    <n v="37125"/>
    <s v="#202411062500000737"/>
    <n v="0"/>
    <n v="13.2"/>
    <n v="0"/>
    <n v="0.04"/>
    <n v="1200"/>
    <n v="218.4"/>
    <n v="1431.64"/>
    <n v="2024"/>
    <n v="11"/>
    <n v="2024"/>
    <n v="8"/>
    <s v="08"/>
    <x v="10"/>
    <x v="10"/>
    <n v="-38556.639999999999"/>
    <x v="1"/>
    <n v="-38556.639999999999"/>
  </r>
  <r>
    <x v="103"/>
    <s v="OPT-CNXBAN-27-Nov-2024-50000-P-E-I"/>
    <s v="NSE"/>
    <s v="Buy"/>
    <n v="15"/>
    <n v="0"/>
    <n v="200.8"/>
    <n v="3012"/>
    <s v="#202411193700022342"/>
    <n v="0"/>
    <n v="1.07"/>
    <n v="0"/>
    <n v="0"/>
    <n v="20"/>
    <n v="3.8"/>
    <n v="24.87"/>
    <n v="2024"/>
    <n v="11"/>
    <n v="2024"/>
    <n v="8"/>
    <s v="08"/>
    <x v="10"/>
    <x v="10"/>
    <n v="-3036.87"/>
    <x v="1"/>
    <n v="-3036.87"/>
  </r>
  <r>
    <x v="104"/>
    <s v="OPT-CNXBAN-27-Nov-2024-49000-P-E-I"/>
    <s v="NSE"/>
    <s v="Buy"/>
    <n v="15"/>
    <n v="0"/>
    <n v="104"/>
    <n v="1560"/>
    <s v="#202411213700019130"/>
    <n v="0"/>
    <n v="0.55000000000000004"/>
    <n v="0"/>
    <n v="0"/>
    <n v="20"/>
    <n v="3.7"/>
    <n v="24.25"/>
    <n v="2024"/>
    <n v="11"/>
    <n v="2024"/>
    <n v="8"/>
    <s v="08"/>
    <x v="10"/>
    <x v="10"/>
    <n v="-1584.25"/>
    <x v="1"/>
    <n v="-1584.25"/>
  </r>
  <r>
    <x v="104"/>
    <s v="OPT-NIFTY-21-Nov-2024-23300-C-E-I"/>
    <s v="NSE"/>
    <s v="Sell"/>
    <n v="50"/>
    <n v="0"/>
    <n v="52.25"/>
    <n v="2612.5"/>
    <s v="#202411213700010450"/>
    <n v="2.61"/>
    <n v="0.93"/>
    <n v="0"/>
    <n v="0"/>
    <n v="40"/>
    <n v="7.36"/>
    <n v="50.9"/>
    <n v="2024"/>
    <n v="11"/>
    <n v="2024"/>
    <n v="8"/>
    <s v="08"/>
    <x v="10"/>
    <x v="10"/>
    <n v="2561.6"/>
    <x v="241"/>
    <s v=""/>
  </r>
  <r>
    <x v="104"/>
    <s v="OPT-NIFTY-21-Nov-2024-23300-C-E-I"/>
    <s v="NSE"/>
    <s v="Buy"/>
    <n v="25"/>
    <n v="0"/>
    <n v="31.8"/>
    <n v="795"/>
    <s v="#202411213700009633"/>
    <n v="0"/>
    <n v="0.28000000000000003"/>
    <n v="0"/>
    <n v="0"/>
    <n v="20"/>
    <n v="3.66"/>
    <n v="23.94"/>
    <n v="2024"/>
    <n v="11"/>
    <n v="2024"/>
    <n v="8"/>
    <s v="08"/>
    <x v="10"/>
    <x v="10"/>
    <n v="-818.94"/>
    <x v="1"/>
    <n v="-818.94"/>
  </r>
  <r>
    <x v="104"/>
    <s v="OPT-NIFTY-21-Nov-2024-23300-C-E-I"/>
    <s v="NSE"/>
    <s v="Buy"/>
    <n v="25"/>
    <n v="0"/>
    <n v="32.15"/>
    <n v="803.75"/>
    <s v="#202411213700009035"/>
    <n v="0"/>
    <n v="0.28999999999999998"/>
    <n v="0"/>
    <n v="0"/>
    <n v="20"/>
    <n v="3.66"/>
    <n v="23.95"/>
    <n v="2024"/>
    <n v="11"/>
    <n v="2024"/>
    <n v="8"/>
    <s v="08"/>
    <x v="10"/>
    <x v="10"/>
    <n v="-827.7"/>
    <x v="1"/>
    <n v="-827.7"/>
  </r>
  <r>
    <x v="104"/>
    <s v="OPT-CNXBAN-27-Nov-2024-50000-P-E-I"/>
    <s v="NSE"/>
    <s v="Sell"/>
    <n v="15"/>
    <n v="0"/>
    <n v="380.8"/>
    <n v="5712"/>
    <s v="#202411213700001653"/>
    <n v="5.39"/>
    <n v="2.0299999999999998"/>
    <n v="0"/>
    <n v="0.01"/>
    <n v="20"/>
    <n v="3.96"/>
    <n v="31.39"/>
    <n v="2024"/>
    <n v="11"/>
    <n v="2024"/>
    <n v="8"/>
    <s v="08"/>
    <x v="10"/>
    <x v="10"/>
    <n v="5680.61"/>
    <x v="242"/>
    <s v=""/>
  </r>
  <r>
    <x v="105"/>
    <s v="OPT-CNXBAN-27-Nov-2024-49000-P-E-I"/>
    <s v="NSE"/>
    <s v="Sell"/>
    <n v="15"/>
    <n v="0"/>
    <n v="3.35"/>
    <n v="50.25"/>
    <s v="#202411263700019660"/>
    <n v="0"/>
    <n v="0.02"/>
    <n v="0"/>
    <n v="0"/>
    <n v="20"/>
    <n v="3.6"/>
    <n v="23.62"/>
    <n v="2024"/>
    <n v="11"/>
    <n v="2024"/>
    <n v="8"/>
    <s v="08"/>
    <x v="10"/>
    <x v="10"/>
    <n v="26.63"/>
    <x v="243"/>
    <s v=""/>
  </r>
  <r>
    <x v="106"/>
    <s v="OPT-CNXBAN-24-Dec-2024-49000-P-E-I"/>
    <s v="NSE"/>
    <s v="Buy"/>
    <n v="15"/>
    <n v="0"/>
    <n v="110"/>
    <n v="1650"/>
    <s v="#202411293700018464"/>
    <n v="0"/>
    <n v="0.59"/>
    <n v="0"/>
    <n v="0"/>
    <n v="20"/>
    <n v="3.7"/>
    <n v="24.29"/>
    <n v="2024"/>
    <n v="11"/>
    <n v="2024"/>
    <n v="8"/>
    <s v="08"/>
    <x v="10"/>
    <x v="10"/>
    <n v="-1674.29"/>
    <x v="1"/>
    <n v="-1674.29"/>
  </r>
  <r>
    <x v="107"/>
    <s v="OPT-CNXBAN-24-Dec-2024-49000-P-E-I"/>
    <s v="NSE"/>
    <s v="Buy"/>
    <n v="45"/>
    <n v="0"/>
    <n v="131.1"/>
    <n v="5899.5"/>
    <s v="#202412023700007623"/>
    <n v="0"/>
    <n v="2.1"/>
    <n v="0"/>
    <n v="0.01"/>
    <n v="60"/>
    <n v="11.18"/>
    <n v="73.290000000000006"/>
    <n v="2024"/>
    <n v="12"/>
    <n v="2024"/>
    <n v="9"/>
    <s v="09"/>
    <x v="11"/>
    <x v="11"/>
    <n v="-5972.79"/>
    <x v="1"/>
    <n v="-5972.79"/>
  </r>
  <r>
    <x v="108"/>
    <s v="OPT-NIFTY-05-Dec-2024-24400-P-E-I"/>
    <s v="NSE"/>
    <s v="Buy"/>
    <n v="100"/>
    <n v="0"/>
    <n v="121"/>
    <n v="12100"/>
    <s v="#202412033700009477"/>
    <n v="0"/>
    <n v="4.3"/>
    <n v="0"/>
    <n v="0.01"/>
    <n v="80"/>
    <n v="15.18"/>
    <n v="99.49"/>
    <n v="2024"/>
    <n v="12"/>
    <n v="2024"/>
    <n v="9"/>
    <s v="09"/>
    <x v="11"/>
    <x v="11"/>
    <n v="-12199.49"/>
    <x v="1"/>
    <n v="-12199.49"/>
  </r>
  <r>
    <x v="109"/>
    <s v="OPT-CNXBAN-24-Dec-2024-49000-P-E-I"/>
    <s v="NSE"/>
    <s v="Buy"/>
    <n v="210"/>
    <n v="0"/>
    <n v="61"/>
    <n v="12810"/>
    <s v="#202412043700012019"/>
    <n v="0"/>
    <n v="4.5599999999999996"/>
    <n v="0.38"/>
    <n v="0.01"/>
    <n v="280"/>
    <n v="51.22"/>
    <n v="336.17"/>
    <n v="2024"/>
    <n v="12"/>
    <n v="2024"/>
    <n v="9"/>
    <s v="09"/>
    <x v="11"/>
    <x v="11"/>
    <n v="-13146.17"/>
    <x v="1"/>
    <n v="-13146.17"/>
  </r>
  <r>
    <x v="109"/>
    <s v="OPT-NIFTY-05-Dec-2024-24400-P-E-I"/>
    <s v="NSE"/>
    <s v="Sell"/>
    <n v="300"/>
    <n v="0"/>
    <n v="91.25"/>
    <n v="27375"/>
    <s v="#202412043700011560"/>
    <n v="27"/>
    <n v="9.73"/>
    <n v="0"/>
    <n v="0.03"/>
    <n v="240"/>
    <n v="44.96"/>
    <n v="321.72000000000003"/>
    <n v="2024"/>
    <n v="12"/>
    <n v="2024"/>
    <n v="9"/>
    <s v="09"/>
    <x v="11"/>
    <x v="11"/>
    <n v="27053.279999999999"/>
    <x v="244"/>
    <s v=""/>
  </r>
  <r>
    <x v="109"/>
    <s v="OPT-NIFTY-05-Dec-2024-24400-P-E-I"/>
    <s v="NSE"/>
    <s v="Buy"/>
    <n v="200"/>
    <n v="0"/>
    <n v="71.25"/>
    <n v="14250"/>
    <s v="#202412043700010215"/>
    <n v="0"/>
    <n v="5.08"/>
    <n v="0.62"/>
    <n v="0"/>
    <n v="160"/>
    <n v="29.68"/>
    <n v="195.38"/>
    <n v="2024"/>
    <n v="12"/>
    <n v="2024"/>
    <n v="9"/>
    <s v="09"/>
    <x v="11"/>
    <x v="11"/>
    <n v="-14445.38"/>
    <x v="1"/>
    <n v="-14445.38"/>
  </r>
  <r>
    <x v="110"/>
    <s v="OPT-NIFTY-12-Dec-2024-24350-P-E-I"/>
    <s v="NSE"/>
    <s v="Buy"/>
    <n v="150"/>
    <n v="0"/>
    <n v="70.8"/>
    <n v="10620"/>
    <s v="#202412063700007927"/>
    <n v="0"/>
    <n v="3.77"/>
    <n v="0"/>
    <n v="0.01"/>
    <n v="120"/>
    <n v="22.28"/>
    <n v="146.06"/>
    <n v="2024"/>
    <n v="12"/>
    <n v="2024"/>
    <n v="9"/>
    <s v="09"/>
    <x v="11"/>
    <x v="11"/>
    <n v="-10766.06"/>
    <x v="1"/>
    <n v="-10766.06"/>
  </r>
  <r>
    <x v="110"/>
    <s v="OPT-NIFTY-12-Dec-2024-24350-P-E-I"/>
    <s v="NSE"/>
    <s v="Buy"/>
    <n v="100"/>
    <n v="0"/>
    <n v="90.1"/>
    <n v="9010"/>
    <s v="#202412063700004140"/>
    <n v="0"/>
    <n v="3.2"/>
    <n v="0"/>
    <n v="0.01"/>
    <n v="80"/>
    <n v="14.98"/>
    <n v="98.19"/>
    <n v="2024"/>
    <n v="12"/>
    <n v="2024"/>
    <n v="9"/>
    <s v="09"/>
    <x v="11"/>
    <x v="11"/>
    <n v="-9108.19"/>
    <x v="1"/>
    <n v="-9108.19"/>
  </r>
  <r>
    <x v="110"/>
    <s v="OPT-NIFTY-12-Dec-2024-24350-P-E-I"/>
    <s v="NSE"/>
    <s v="Buy"/>
    <n v="250"/>
    <n v="0"/>
    <n v="101.25"/>
    <n v="25312.5"/>
    <s v="#202412063700002690"/>
    <n v="0"/>
    <n v="9"/>
    <n v="1"/>
    <n v="0.03"/>
    <n v="200"/>
    <n v="37.619999999999997"/>
    <n v="247.65"/>
    <n v="2024"/>
    <n v="12"/>
    <n v="2024"/>
    <n v="9"/>
    <s v="09"/>
    <x v="11"/>
    <x v="11"/>
    <n v="-25560.15"/>
    <x v="1"/>
    <n v="-25560.15"/>
  </r>
  <r>
    <x v="111"/>
    <s v="OPT-NIFTY-12-Dec-2024-24700-P-E-I"/>
    <s v="NSE"/>
    <s v="Sell"/>
    <n v="500"/>
    <n v="0"/>
    <n v="205.25"/>
    <n v="102625"/>
    <s v="#202412093700015341"/>
    <n v="103.01"/>
    <n v="36.47"/>
    <n v="0"/>
    <n v="0.1"/>
    <n v="400"/>
    <n v="78.58"/>
    <n v="618.16"/>
    <n v="2024"/>
    <n v="12"/>
    <n v="2024"/>
    <n v="9"/>
    <s v="09"/>
    <x v="11"/>
    <x v="11"/>
    <n v="102006.84"/>
    <x v="245"/>
    <s v=""/>
  </r>
  <r>
    <x v="111"/>
    <s v="OPT-NIFTY-12-Dec-2024-24700-P-E-I"/>
    <s v="NSE"/>
    <s v="Buy"/>
    <n v="500"/>
    <n v="0"/>
    <n v="174.55"/>
    <n v="87275"/>
    <s v="#202412093700010715"/>
    <n v="0"/>
    <n v="31.01"/>
    <n v="3"/>
    <n v="0.09"/>
    <n v="400"/>
    <n v="77.599999999999994"/>
    <n v="511.7"/>
    <n v="2024"/>
    <n v="12"/>
    <n v="2024"/>
    <n v="9"/>
    <s v="09"/>
    <x v="11"/>
    <x v="11"/>
    <n v="-87786.7"/>
    <x v="1"/>
    <n v="-87786.7"/>
  </r>
  <r>
    <x v="112"/>
    <s v="OPT-NIFTY-12-Dec-2024-24650-P-E-I"/>
    <s v="NSE"/>
    <s v="Sell"/>
    <n v="500"/>
    <n v="0"/>
    <n v="165"/>
    <n v="82500"/>
    <s v="#202412103700009401"/>
    <n v="83"/>
    <n v="29.31"/>
    <n v="0"/>
    <n v="0.08"/>
    <n v="400"/>
    <n v="77.3"/>
    <n v="589.69000000000005"/>
    <n v="2024"/>
    <n v="12"/>
    <n v="2024"/>
    <n v="9"/>
    <s v="09"/>
    <x v="11"/>
    <x v="11"/>
    <n v="81910.31"/>
    <x v="246"/>
    <s v=""/>
  </r>
  <r>
    <x v="112"/>
    <s v="OPT-NIFTY-12-Dec-2024-24650-P-E-I"/>
    <s v="NSE"/>
    <s v="Buy"/>
    <n v="500"/>
    <n v="0"/>
    <n v="151.25"/>
    <n v="75625"/>
    <s v="#202412103700001564"/>
    <n v="0"/>
    <n v="26.88"/>
    <n v="2"/>
    <n v="0.08"/>
    <n v="400"/>
    <n v="76.84"/>
    <n v="505.8"/>
    <n v="2024"/>
    <n v="12"/>
    <n v="2024"/>
    <n v="9"/>
    <s v="09"/>
    <x v="11"/>
    <x v="11"/>
    <n v="-76130.8"/>
    <x v="1"/>
    <n v="-76130.8"/>
  </r>
  <r>
    <x v="113"/>
    <s v="OPT-NIFTY-12-Dec-2024-24650-P-E-I"/>
    <s v="NSE"/>
    <s v="Sell"/>
    <n v="1000"/>
    <n v="0"/>
    <n v="69.06"/>
    <n v="69060"/>
    <s v="#202412113700016642"/>
    <n v="69.099999999999994"/>
    <n v="24.54"/>
    <n v="0"/>
    <n v="0.04"/>
    <n v="800"/>
    <n v="148.36000000000001"/>
    <n v="1042.04"/>
    <n v="2024"/>
    <n v="12"/>
    <n v="2024"/>
    <n v="9"/>
    <s v="09"/>
    <x v="11"/>
    <x v="11"/>
    <n v="68017.960000000006"/>
    <x v="247"/>
    <s v=""/>
  </r>
  <r>
    <x v="113"/>
    <s v="OPT-NIFTY-12-Dec-2024-24350-P-E-I"/>
    <s v="NSE"/>
    <s v="Sell"/>
    <n v="500"/>
    <n v="0"/>
    <n v="8.1"/>
    <n v="4050"/>
    <s v="#202412113700006420"/>
    <n v="4.05"/>
    <n v="1.44"/>
    <n v="0"/>
    <n v="0"/>
    <n v="400"/>
    <n v="72.260000000000005"/>
    <n v="477.75"/>
    <n v="2024"/>
    <n v="12"/>
    <n v="2024"/>
    <n v="9"/>
    <s v="09"/>
    <x v="11"/>
    <x v="11"/>
    <n v="3572.25"/>
    <x v="248"/>
    <s v=""/>
  </r>
  <r>
    <x v="113"/>
    <s v="OPT-NIFTY-12-Dec-2024-24650-P-E-I"/>
    <s v="NSE"/>
    <s v="Buy"/>
    <n v="1000"/>
    <n v="0"/>
    <n v="101.25"/>
    <n v="101250"/>
    <s v="#202412113700004424"/>
    <n v="0"/>
    <n v="35.979999999999997"/>
    <n v="3"/>
    <n v="0.11"/>
    <n v="800"/>
    <n v="150.46"/>
    <n v="989.55"/>
    <n v="2024"/>
    <n v="12"/>
    <n v="2024"/>
    <n v="9"/>
    <s v="09"/>
    <x v="11"/>
    <x v="11"/>
    <n v="-102239.55"/>
    <x v="1"/>
    <n v="-102239.55"/>
  </r>
  <r>
    <x v="113"/>
    <s v="OPT-CNXBAN-24-Dec-2024-49000-P-E-I"/>
    <s v="NSE"/>
    <s v="Sell"/>
    <n v="270"/>
    <n v="0"/>
    <n v="21.1"/>
    <n v="5697"/>
    <s v="#202412113700000644"/>
    <n v="5.93"/>
    <n v="1.99"/>
    <n v="0"/>
    <n v="0"/>
    <n v="360"/>
    <n v="65.16"/>
    <n v="433.08"/>
    <n v="2024"/>
    <n v="12"/>
    <n v="2024"/>
    <n v="9"/>
    <s v="09"/>
    <x v="11"/>
    <x v="11"/>
    <n v="5263.92"/>
    <x v="249"/>
    <s v=""/>
  </r>
  <r>
    <x v="114"/>
    <s v="OPT-NIFTY-19-Dec-2024-24650-C-E-I"/>
    <s v="NSE"/>
    <s v="Sell"/>
    <n v="200"/>
    <n v="0"/>
    <n v="215.25"/>
    <n v="43050"/>
    <s v="#202412133700021488"/>
    <n v="43.3"/>
    <n v="15.28"/>
    <n v="0"/>
    <n v="0.05"/>
    <n v="160"/>
    <n v="31.52"/>
    <n v="250.15"/>
    <n v="2024"/>
    <n v="12"/>
    <n v="2024"/>
    <n v="9"/>
    <s v="09"/>
    <x v="11"/>
    <x v="11"/>
    <n v="42799.85"/>
    <x v="250"/>
    <s v=""/>
  </r>
  <r>
    <x v="114"/>
    <s v="OPT-NIFTY-19-Dec-2024-24650-C-E-I"/>
    <s v="NSE"/>
    <s v="Buy"/>
    <n v="200"/>
    <n v="0"/>
    <n v="193.95"/>
    <n v="38790"/>
    <s v="#202412133700021055"/>
    <n v="0"/>
    <n v="13.78"/>
    <n v="0.8"/>
    <n v="0.03"/>
    <n v="160"/>
    <n v="31.28"/>
    <n v="205.89"/>
    <n v="2024"/>
    <n v="12"/>
    <n v="2024"/>
    <n v="9"/>
    <s v="09"/>
    <x v="11"/>
    <x v="11"/>
    <n v="-38995.89"/>
    <x v="1"/>
    <n v="-38995.89"/>
  </r>
  <r>
    <x v="114"/>
    <s v="OPT-NIFTY-19-Dec-2024-24550-C-E-I"/>
    <s v="NSE"/>
    <s v="Sell"/>
    <n v="100"/>
    <n v="0"/>
    <n v="241.65"/>
    <n v="24165"/>
    <s v="#202412133700018623"/>
    <n v="24.16"/>
    <n v="8.6"/>
    <n v="0"/>
    <n v="0.04"/>
    <n v="80"/>
    <n v="15.92"/>
    <n v="128.72"/>
    <n v="2024"/>
    <n v="12"/>
    <n v="2024"/>
    <n v="9"/>
    <s v="09"/>
    <x v="11"/>
    <x v="11"/>
    <n v="24036.28"/>
    <x v="251"/>
    <s v=""/>
  </r>
  <r>
    <x v="114"/>
    <s v="OPT-NIFTY-19-Dec-2024-24550-C-E-I"/>
    <s v="NSE"/>
    <s v="Buy"/>
    <n v="100"/>
    <n v="0"/>
    <n v="200.55"/>
    <n v="20055"/>
    <s v="#202412133700018408"/>
    <n v="0"/>
    <n v="7.13"/>
    <n v="0.6"/>
    <n v="0.02"/>
    <n v="80"/>
    <n v="15.68"/>
    <n v="103.43"/>
    <n v="2024"/>
    <n v="12"/>
    <n v="2024"/>
    <n v="9"/>
    <s v="09"/>
    <x v="11"/>
    <x v="11"/>
    <n v="-20158.43"/>
    <x v="1"/>
    <n v="-20158.43"/>
  </r>
  <r>
    <x v="114"/>
    <s v="OPT-NIFTY-19-Dec-2024-24500-P-E-I"/>
    <s v="NSE"/>
    <s v="Sell"/>
    <n v="100"/>
    <n v="0"/>
    <n v="215.25"/>
    <n v="21525"/>
    <s v="#202412133700001539"/>
    <n v="21.52"/>
    <n v="7.64"/>
    <n v="0"/>
    <n v="0.02"/>
    <n v="80"/>
    <n v="15.76"/>
    <n v="124.94"/>
    <n v="2024"/>
    <n v="12"/>
    <n v="2024"/>
    <n v="9"/>
    <s v="09"/>
    <x v="11"/>
    <x v="11"/>
    <n v="21400.06"/>
    <x v="252"/>
    <s v=""/>
  </r>
  <r>
    <x v="114"/>
    <s v="OPT-NIFTY-19-Dec-2024-24500-P-E-I"/>
    <s v="NSE"/>
    <s v="Buy"/>
    <n v="100"/>
    <n v="0"/>
    <n v="201"/>
    <n v="20100"/>
    <s v="#202412133700001262"/>
    <n v="0"/>
    <n v="7.14"/>
    <n v="0.6"/>
    <n v="0.02"/>
    <n v="80"/>
    <n v="15.68"/>
    <n v="103.44"/>
    <n v="2024"/>
    <n v="12"/>
    <n v="2024"/>
    <n v="9"/>
    <s v="09"/>
    <x v="11"/>
    <x v="11"/>
    <n v="-20203.439999999999"/>
    <x v="1"/>
    <n v="-20203.439999999999"/>
  </r>
  <r>
    <x v="115"/>
    <s v="OPT-NIFTY-19-Dec-2024-24700-P-E-I"/>
    <s v="NSE"/>
    <s v="Buy"/>
    <n v="200"/>
    <n v="0"/>
    <n v="175.25"/>
    <n v="35050"/>
    <s v="#202412163700016230"/>
    <n v="0"/>
    <n v="12.46"/>
    <n v="1.05"/>
    <n v="0.04"/>
    <n v="160"/>
    <n v="31.04"/>
    <n v="204.59"/>
    <n v="2024"/>
    <n v="12"/>
    <n v="2024"/>
    <n v="9"/>
    <s v="09"/>
    <x v="11"/>
    <x v="11"/>
    <n v="-35254.589999999997"/>
    <x v="1"/>
    <n v="-35254.589999999997"/>
  </r>
  <r>
    <x v="115"/>
    <s v="OPT-NIFTY-19-Dec-2024-24600-P-E-I"/>
    <s v="NSE"/>
    <s v="Sell"/>
    <n v="250"/>
    <n v="0"/>
    <n v="162.25"/>
    <n v="40562.5"/>
    <s v="#202412163700011988"/>
    <n v="40.56"/>
    <n v="14.42"/>
    <n v="0"/>
    <n v="0.04"/>
    <n v="200"/>
    <n v="38.6"/>
    <n v="293.62"/>
    <n v="2024"/>
    <n v="12"/>
    <n v="2024"/>
    <n v="9"/>
    <s v="09"/>
    <x v="11"/>
    <x v="11"/>
    <n v="40268.879999999997"/>
    <x v="253"/>
    <s v=""/>
  </r>
  <r>
    <x v="115"/>
    <s v="OPT-NIFTY-19-Dec-2024-24600-P-E-I"/>
    <s v="NSE"/>
    <s v="Buy"/>
    <n v="250"/>
    <n v="0"/>
    <n v="151.25"/>
    <n v="37812.5"/>
    <s v="#202412163700009840"/>
    <n v="0"/>
    <n v="13.43"/>
    <n v="1.1299999999999999"/>
    <n v="0.04"/>
    <n v="200"/>
    <n v="38.42"/>
    <n v="253.02"/>
    <n v="2024"/>
    <n v="12"/>
    <n v="2024"/>
    <n v="9"/>
    <s v="09"/>
    <x v="11"/>
    <x v="11"/>
    <n v="-38065.519999999997"/>
    <x v="1"/>
    <n v="-38065.519999999997"/>
  </r>
  <r>
    <x v="115"/>
    <s v="OPT-NIFTY-19-Dec-2024-24650-P-E-I"/>
    <s v="NSE"/>
    <s v="Sell"/>
    <n v="250"/>
    <n v="0"/>
    <n v="157"/>
    <n v="39250"/>
    <s v="#202412163700007081"/>
    <n v="39.26"/>
    <n v="13.94"/>
    <n v="0"/>
    <n v="0.04"/>
    <n v="200"/>
    <n v="38.520000000000003"/>
    <n v="291.76"/>
    <n v="2024"/>
    <n v="12"/>
    <n v="2024"/>
    <n v="9"/>
    <s v="09"/>
    <x v="11"/>
    <x v="11"/>
    <n v="38958.239999999998"/>
    <x v="254"/>
    <s v=""/>
  </r>
  <r>
    <x v="115"/>
    <s v="OPT-NIFTY-19-Dec-2024-24650-P-E-I"/>
    <s v="NSE"/>
    <s v="Buy"/>
    <n v="250"/>
    <n v="0"/>
    <n v="131.25"/>
    <n v="32812.5"/>
    <s v="#202412163700006128"/>
    <n v="0"/>
    <n v="11.66"/>
    <n v="0.98"/>
    <n v="0.03"/>
    <n v="200"/>
    <n v="38.119999999999997"/>
    <n v="250.79"/>
    <n v="2024"/>
    <n v="12"/>
    <n v="2024"/>
    <n v="9"/>
    <s v="09"/>
    <x v="11"/>
    <x v="11"/>
    <n v="-33063.29"/>
    <x v="1"/>
    <n v="-33063.29"/>
  </r>
  <r>
    <x v="115"/>
    <s v="OPT-NIFTY-19-Dec-2024-24350-P-E-I"/>
    <s v="NSE"/>
    <s v="Sell"/>
    <n v="1000"/>
    <n v="0"/>
    <n v="38.549999999999997"/>
    <n v="38550"/>
    <s v="#202412163700003620"/>
    <n v="38.19"/>
    <n v="13.69"/>
    <n v="0"/>
    <n v="0.03"/>
    <n v="800"/>
    <n v="146.46"/>
    <n v="998.37"/>
    <n v="2024"/>
    <n v="12"/>
    <n v="2024"/>
    <n v="9"/>
    <s v="09"/>
    <x v="11"/>
    <x v="11"/>
    <n v="37551.629999999997"/>
    <x v="255"/>
    <s v=""/>
  </r>
  <r>
    <x v="115"/>
    <s v="OPT-NIFTY-19-Dec-2024-24350-P-E-I"/>
    <s v="NSE"/>
    <s v="Buy"/>
    <n v="1000"/>
    <n v="0"/>
    <n v="48.05"/>
    <n v="48050"/>
    <s v="#202412163700003194"/>
    <n v="0"/>
    <n v="17.07"/>
    <n v="1.84"/>
    <n v="0.05"/>
    <n v="800"/>
    <n v="147.08000000000001"/>
    <n v="966.04"/>
    <n v="2024"/>
    <n v="12"/>
    <n v="2024"/>
    <n v="9"/>
    <s v="09"/>
    <x v="11"/>
    <x v="11"/>
    <n v="-49016.04"/>
    <x v="1"/>
    <n v="-49016.04"/>
  </r>
  <r>
    <x v="116"/>
    <s v="OPT-NIFTY-19-Dec-2024-24550-C-E-I"/>
    <s v="NSE"/>
    <s v="Sell"/>
    <n v="500"/>
    <n v="0"/>
    <n v="70.25"/>
    <n v="35125"/>
    <s v="#202412173700018637"/>
    <n v="35.14"/>
    <n v="12.46"/>
    <n v="0"/>
    <n v="0.02"/>
    <n v="400"/>
    <n v="74.28"/>
    <n v="521.9"/>
    <n v="2024"/>
    <n v="12"/>
    <n v="2024"/>
    <n v="9"/>
    <s v="09"/>
    <x v="11"/>
    <x v="11"/>
    <n v="34603.1"/>
    <x v="256"/>
    <s v=""/>
  </r>
  <r>
    <x v="116"/>
    <s v="OPT-NIFTY-19-Dec-2024-24550-C-E-I"/>
    <s v="NSE"/>
    <s v="Buy"/>
    <n v="500"/>
    <n v="0"/>
    <n v="99.45"/>
    <n v="49726.25"/>
    <s v="#202412173700015309"/>
    <n v="0"/>
    <n v="17.670000000000002"/>
    <n v="1.72"/>
    <n v="0.03"/>
    <n v="400"/>
    <n v="75.2"/>
    <n v="494.62"/>
    <n v="2024"/>
    <n v="12"/>
    <n v="2024"/>
    <n v="9"/>
    <s v="09"/>
    <x v="11"/>
    <x v="11"/>
    <n v="-50220.87"/>
    <x v="1"/>
    <n v="-50220.87"/>
  </r>
  <r>
    <x v="116"/>
    <s v="OPT-NIFTY-19-Dec-2024-24450-C-E-I"/>
    <s v="NSE"/>
    <s v="Sell"/>
    <n v="250"/>
    <n v="0"/>
    <n v="155.25"/>
    <n v="38812.5"/>
    <s v="#202412173700011243"/>
    <n v="38.81"/>
    <n v="13.79"/>
    <n v="0"/>
    <n v="0.03"/>
    <n v="200"/>
    <n v="38.479999999999997"/>
    <n v="291.11"/>
    <n v="2024"/>
    <n v="12"/>
    <n v="2024"/>
    <n v="9"/>
    <s v="09"/>
    <x v="11"/>
    <x v="11"/>
    <n v="38521.39"/>
    <x v="257"/>
    <s v=""/>
  </r>
  <r>
    <x v="116"/>
    <s v="OPT-NIFTY-19-Dec-2024-24450-C-E-I"/>
    <s v="NSE"/>
    <s v="Buy"/>
    <n v="50"/>
    <n v="0"/>
    <n v="168.2"/>
    <n v="8410"/>
    <s v="#202412173700009485"/>
    <n v="0"/>
    <n v="2.98"/>
    <n v="0"/>
    <n v="0"/>
    <n v="40"/>
    <n v="7.72"/>
    <n v="50.7"/>
    <n v="2024"/>
    <n v="12"/>
    <n v="2024"/>
    <n v="9"/>
    <s v="09"/>
    <x v="11"/>
    <x v="11"/>
    <n v="-8460.7000000000007"/>
    <x v="1"/>
    <n v="-8460.7000000000007"/>
  </r>
  <r>
    <x v="116"/>
    <s v="OPT-NIFTY-19-Dec-2024-24450-C-E-I"/>
    <s v="NSE"/>
    <s v="Buy"/>
    <n v="100"/>
    <n v="0"/>
    <n v="169.95"/>
    <n v="16995"/>
    <s v="#202412173700009159"/>
    <n v="0"/>
    <n v="6.04"/>
    <n v="1.28"/>
    <n v="0.02"/>
    <n v="80"/>
    <n v="15.5"/>
    <n v="102.84"/>
    <n v="2024"/>
    <n v="12"/>
    <n v="2024"/>
    <n v="9"/>
    <s v="09"/>
    <x v="11"/>
    <x v="11"/>
    <n v="-17097.84"/>
    <x v="1"/>
    <n v="-17097.84"/>
  </r>
  <r>
    <x v="116"/>
    <s v="OPT-NIFTY-19-Dec-2024-24450-C-E-I"/>
    <s v="NSE"/>
    <s v="Buy"/>
    <n v="100"/>
    <n v="0"/>
    <n v="171.25"/>
    <n v="17125"/>
    <s v="#202412173700009048"/>
    <n v="0"/>
    <n v="6.08"/>
    <n v="0"/>
    <n v="0.02"/>
    <n v="80"/>
    <n v="15.5"/>
    <n v="101.6"/>
    <n v="2024"/>
    <n v="12"/>
    <n v="2024"/>
    <n v="9"/>
    <s v="09"/>
    <x v="11"/>
    <x v="11"/>
    <n v="-17226.599999999999"/>
    <x v="1"/>
    <n v="-17226.599999999999"/>
  </r>
  <r>
    <x v="116"/>
    <s v="OPT-NIFTY-19-Dec-2024-24700-P-E-I"/>
    <s v="NSE"/>
    <s v="Sell"/>
    <n v="200"/>
    <n v="0"/>
    <n v="205.05"/>
    <n v="41010"/>
    <s v="#202412173700001238"/>
    <n v="41.06"/>
    <n v="14.57"/>
    <n v="0"/>
    <n v="0.04"/>
    <n v="160"/>
    <n v="31.42"/>
    <n v="247.09"/>
    <n v="2024"/>
    <n v="12"/>
    <n v="2024"/>
    <n v="9"/>
    <s v="09"/>
    <x v="11"/>
    <x v="11"/>
    <n v="40762.910000000003"/>
    <x v="258"/>
    <s v=""/>
  </r>
  <r>
    <x v="117"/>
    <s v="OPT-NIFTY-19-Dec-2024-24150-P-E-I"/>
    <s v="NSE"/>
    <s v="Buy"/>
    <n v="500"/>
    <n v="0"/>
    <n v="75"/>
    <n v="37500"/>
    <s v="#202412183700014911"/>
    <n v="0"/>
    <n v="13.32"/>
    <n v="1.39"/>
    <n v="0.04"/>
    <n v="400"/>
    <n v="74.400000000000006"/>
    <n v="489.15"/>
    <n v="2024"/>
    <n v="12"/>
    <n v="2024"/>
    <n v="9"/>
    <s v="09"/>
    <x v="11"/>
    <x v="11"/>
    <n v="-37989.15"/>
    <x v="1"/>
    <n v="-37989.15"/>
  </r>
  <r>
    <x v="117"/>
    <s v="OPT-NIFTY-19-Dec-2024-24150-P-E-I"/>
    <s v="NSE"/>
    <s v="Buy"/>
    <n v="25"/>
    <n v="0"/>
    <n v="71"/>
    <n v="1775"/>
    <s v="#202412183700014869"/>
    <n v="0"/>
    <n v="0.63"/>
    <n v="0"/>
    <n v="0"/>
    <n v="20"/>
    <n v="3.72"/>
    <n v="24.35"/>
    <n v="2024"/>
    <n v="12"/>
    <n v="2024"/>
    <n v="9"/>
    <s v="09"/>
    <x v="11"/>
    <x v="11"/>
    <n v="-1799.35"/>
    <x v="1"/>
    <n v="-1799.35"/>
  </r>
  <r>
    <x v="117"/>
    <s v="OPT-NIFTY-19-Dec-2024-24200-C-E-I"/>
    <s v="NSE"/>
    <s v="Sell"/>
    <n v="300"/>
    <n v="0"/>
    <n v="76"/>
    <n v="22800"/>
    <s v="#202412183700013252"/>
    <n v="23.18"/>
    <n v="8.1"/>
    <n v="0"/>
    <n v="0.03"/>
    <n v="240"/>
    <n v="44.66"/>
    <n v="315.97000000000003"/>
    <n v="2024"/>
    <n v="12"/>
    <n v="2024"/>
    <n v="9"/>
    <s v="09"/>
    <x v="11"/>
    <x v="11"/>
    <n v="22484.03"/>
    <x v="259"/>
    <s v=""/>
  </r>
  <r>
    <x v="117"/>
    <s v="OPT-NIFTY-19-Dec-2024-24200-C-E-I"/>
    <s v="NSE"/>
    <s v="Buy"/>
    <n v="100"/>
    <n v="0"/>
    <n v="95"/>
    <n v="9500"/>
    <s v="#202412183700013214"/>
    <n v="0"/>
    <n v="3.38"/>
    <n v="0.91"/>
    <n v="0.01"/>
    <n v="80"/>
    <n v="15.02"/>
    <n v="99.32"/>
    <n v="2024"/>
    <n v="12"/>
    <n v="2024"/>
    <n v="9"/>
    <s v="09"/>
    <x v="11"/>
    <x v="11"/>
    <n v="-9599.32"/>
    <x v="1"/>
    <n v="-9599.32"/>
  </r>
  <r>
    <x v="117"/>
    <s v="OPT-NIFTY-19-Dec-2024-24200-C-E-I"/>
    <s v="NSE"/>
    <s v="Buy"/>
    <n v="100"/>
    <n v="0"/>
    <n v="99.3"/>
    <n v="9930"/>
    <s v="#202412183700013129"/>
    <n v="0"/>
    <n v="3.53"/>
    <n v="0"/>
    <n v="0.01"/>
    <n v="80"/>
    <n v="15.04"/>
    <n v="98.58"/>
    <n v="2024"/>
    <n v="12"/>
    <n v="2024"/>
    <n v="9"/>
    <s v="09"/>
    <x v="11"/>
    <x v="11"/>
    <n v="-10028.58"/>
    <x v="1"/>
    <n v="-10028.58"/>
  </r>
  <r>
    <x v="117"/>
    <s v="OPT-NIFTY-19-Dec-2024-24200-C-E-I"/>
    <s v="NSE"/>
    <s v="Buy"/>
    <n v="100"/>
    <n v="0"/>
    <n v="108.66"/>
    <n v="10866.25"/>
    <s v="#202412183700012938"/>
    <n v="0"/>
    <n v="3.87"/>
    <n v="0"/>
    <n v="0.01"/>
    <n v="80"/>
    <n v="15.1"/>
    <n v="98.98"/>
    <n v="2024"/>
    <n v="12"/>
    <n v="2024"/>
    <n v="9"/>
    <s v="09"/>
    <x v="11"/>
    <x v="11"/>
    <n v="-10965.23"/>
    <x v="1"/>
    <n v="-10965.23"/>
  </r>
  <r>
    <x v="117"/>
    <s v="OPT-ICIBAN-26-Dec-2024-1320-P-E-S"/>
    <s v="NSE"/>
    <s v="Sell"/>
    <n v="2100"/>
    <n v="0"/>
    <n v="13.25"/>
    <n v="27825"/>
    <s v="#202412183700001568"/>
    <n v="27.83"/>
    <n v="9.89"/>
    <n v="0"/>
    <n v="0.03"/>
    <n v="60"/>
    <n v="12.58"/>
    <n v="110.33"/>
    <n v="2024"/>
    <n v="12"/>
    <n v="2024"/>
    <n v="9"/>
    <s v="09"/>
    <x v="11"/>
    <x v="11"/>
    <n v="27714.67"/>
    <x v="260"/>
    <s v=""/>
  </r>
  <r>
    <x v="117"/>
    <s v="OPT-ICIBAN-26-Dec-2024-1320-P-E-S"/>
    <s v="NSE"/>
    <s v="Buy"/>
    <n v="2100"/>
    <n v="0"/>
    <n v="11.05"/>
    <n v="23205"/>
    <s v="#202412183700000937"/>
    <n v="0"/>
    <n v="8.25"/>
    <n v="0.7"/>
    <n v="0.03"/>
    <n v="60"/>
    <n v="12.3"/>
    <n v="81.28"/>
    <n v="2024"/>
    <n v="12"/>
    <n v="2024"/>
    <n v="9"/>
    <s v="09"/>
    <x v="11"/>
    <x v="11"/>
    <n v="-23286.28"/>
    <x v="1"/>
    <n v="-23286.28"/>
  </r>
  <r>
    <x v="118"/>
    <s v="OPT-ICIBAN-26-Dec-2024-1290-P-E-S"/>
    <s v="NSE"/>
    <s v="Sell"/>
    <n v="2100"/>
    <n v="0"/>
    <n v="16.25"/>
    <n v="34125"/>
    <s v="#202412193700021166"/>
    <n v="34.14"/>
    <n v="12.12"/>
    <n v="0"/>
    <n v="0.03"/>
    <n v="60"/>
    <n v="12.96"/>
    <n v="119.25"/>
    <n v="2024"/>
    <n v="12"/>
    <n v="2024"/>
    <n v="9"/>
    <s v="09"/>
    <x v="11"/>
    <x v="11"/>
    <n v="34005.75"/>
    <x v="261"/>
    <s v=""/>
  </r>
  <r>
    <x v="118"/>
    <s v="OPT-ICIBAN-26-Dec-2024-1290-P-E-S"/>
    <s v="NSE"/>
    <s v="Buy"/>
    <n v="1400"/>
    <n v="0"/>
    <n v="14.7"/>
    <n v="20580"/>
    <s v="#202412193700021008"/>
    <n v="0"/>
    <n v="7.31"/>
    <n v="0.92"/>
    <n v="0.02"/>
    <n v="40"/>
    <n v="8.52"/>
    <n v="56.77"/>
    <n v="2024"/>
    <n v="12"/>
    <n v="2024"/>
    <n v="9"/>
    <s v="09"/>
    <x v="11"/>
    <x v="11"/>
    <n v="-20636.77"/>
    <x v="1"/>
    <n v="-20636.77"/>
  </r>
  <r>
    <x v="118"/>
    <s v="OPT-ICIBAN-26-Dec-2024-1290-P-E-S"/>
    <s v="NSE"/>
    <s v="Buy"/>
    <n v="700"/>
    <n v="0"/>
    <n v="14.25"/>
    <n v="9975"/>
    <s v="#202412193700020177"/>
    <n v="0"/>
    <n v="3.54"/>
    <n v="0"/>
    <n v="0.01"/>
    <n v="20"/>
    <n v="4.24"/>
    <n v="27.79"/>
    <n v="2024"/>
    <n v="12"/>
    <n v="2024"/>
    <n v="9"/>
    <s v="09"/>
    <x v="11"/>
    <x v="11"/>
    <n v="-10002.790000000001"/>
    <x v="1"/>
    <n v="-10002.790000000001"/>
  </r>
  <r>
    <x v="118"/>
    <s v="OPT-LTINFO-26-Dec-2024-6300-P-E-S"/>
    <s v="NSE"/>
    <s v="Sell"/>
    <n v="600"/>
    <n v="0"/>
    <n v="105.25"/>
    <n v="63150"/>
    <s v="#202412193700010102"/>
    <n v="63.16"/>
    <n v="22.44"/>
    <n v="0"/>
    <n v="0.06"/>
    <n v="80"/>
    <n v="18.440000000000001"/>
    <n v="184.1"/>
    <n v="2024"/>
    <n v="12"/>
    <n v="2024"/>
    <n v="9"/>
    <s v="09"/>
    <x v="11"/>
    <x v="11"/>
    <n v="62965.9"/>
    <x v="262"/>
    <s v=""/>
  </r>
  <r>
    <x v="118"/>
    <s v="OPT-LTINFO-26-Dec-2024-6300-P-E-S"/>
    <s v="NSE"/>
    <s v="Buy"/>
    <n v="600"/>
    <n v="0"/>
    <n v="99.7"/>
    <n v="59820"/>
    <s v="#202412193700009588"/>
    <n v="0"/>
    <n v="21.25"/>
    <n v="2.08"/>
    <n v="0.06"/>
    <n v="80"/>
    <n v="18.239999999999998"/>
    <n v="121.63"/>
    <n v="2024"/>
    <n v="12"/>
    <n v="2024"/>
    <n v="9"/>
    <s v="09"/>
    <x v="11"/>
    <x v="11"/>
    <n v="-59941.63"/>
    <x v="1"/>
    <n v="-59941.63"/>
  </r>
  <r>
    <x v="118"/>
    <s v="OPT-NIFTY-19-Dec-2024-24150-P-E-I"/>
    <s v="NSE"/>
    <s v="Sell"/>
    <n v="525"/>
    <n v="0"/>
    <n v="169.18"/>
    <n v="88820"/>
    <s v="#202412192500000280"/>
    <n v="88.72"/>
    <n v="31.55"/>
    <n v="0"/>
    <n v="0.09"/>
    <n v="420"/>
    <n v="81.3"/>
    <n v="621.66"/>
    <n v="2024"/>
    <n v="12"/>
    <n v="2024"/>
    <n v="9"/>
    <s v="09"/>
    <x v="11"/>
    <x v="11"/>
    <n v="88198.34"/>
    <x v="263"/>
    <s v=""/>
  </r>
  <r>
    <x v="119"/>
    <s v="OPT-NIFTY-26-Dec-2024-23850-C-E-I"/>
    <s v="NSE"/>
    <s v="Buy"/>
    <n v="100"/>
    <n v="0"/>
    <n v="105"/>
    <n v="10500"/>
    <s v="#202412203700021315"/>
    <n v="0"/>
    <n v="3.73"/>
    <n v="0"/>
    <n v="0.01"/>
    <n v="80"/>
    <n v="15.08"/>
    <n v="98.82"/>
    <n v="2024"/>
    <n v="12"/>
    <n v="2024"/>
    <n v="9"/>
    <s v="09"/>
    <x v="11"/>
    <x v="11"/>
    <n v="-10598.82"/>
    <x v="1"/>
    <n v="-10598.82"/>
  </r>
  <r>
    <x v="119"/>
    <s v="OPT-NIFTY-26-Dec-2024-23850-C-E-I"/>
    <s v="NSE"/>
    <s v="Buy"/>
    <n v="200"/>
    <n v="0"/>
    <n v="141.25"/>
    <n v="28250"/>
    <s v="#202412203700016167"/>
    <n v="0"/>
    <n v="10.039999999999999"/>
    <n v="2"/>
    <n v="0.03"/>
    <n v="160"/>
    <n v="30.62"/>
    <n v="202.69"/>
    <n v="2024"/>
    <n v="12"/>
    <n v="2024"/>
    <n v="9"/>
    <s v="09"/>
    <x v="11"/>
    <x v="11"/>
    <n v="-28452.69"/>
    <x v="1"/>
    <n v="-28452.69"/>
  </r>
  <r>
    <x v="119"/>
    <s v="OPT-NIFTY-26-Dec-2024-23850-C-E-I"/>
    <s v="NSE"/>
    <s v="Buy"/>
    <n v="100"/>
    <n v="0"/>
    <n v="190.5"/>
    <n v="19050"/>
    <s v="#202412203700013661"/>
    <n v="0"/>
    <n v="6.77"/>
    <n v="0"/>
    <n v="0.02"/>
    <n v="80"/>
    <n v="15.62"/>
    <n v="102.41"/>
    <n v="2024"/>
    <n v="12"/>
    <n v="2024"/>
    <n v="9"/>
    <s v="09"/>
    <x v="11"/>
    <x v="11"/>
    <n v="-19152.41"/>
    <x v="1"/>
    <n v="-19152.41"/>
  </r>
  <r>
    <x v="119"/>
    <s v="OPT-NIFTY-26-Dec-2024-23850-C-E-I"/>
    <s v="NSE"/>
    <s v="Buy"/>
    <n v="100"/>
    <n v="0"/>
    <n v="206.6"/>
    <n v="20660"/>
    <s v="#202412203700013103"/>
    <n v="0"/>
    <n v="7.35"/>
    <n v="0"/>
    <n v="0.03"/>
    <n v="80"/>
    <n v="15.74"/>
    <n v="103.12"/>
    <n v="2024"/>
    <n v="12"/>
    <n v="2024"/>
    <n v="9"/>
    <s v="09"/>
    <x v="11"/>
    <x v="11"/>
    <n v="-20763.12"/>
    <x v="1"/>
    <n v="-20763.12"/>
  </r>
  <r>
    <x v="120"/>
    <s v="OPT-ICIBAN-26-Dec-2024-1300-C-E-S"/>
    <s v="NSE"/>
    <s v="Sell"/>
    <n v="3500"/>
    <n v="0"/>
    <n v="6.1"/>
    <n v="21350"/>
    <s v="#202412233700012667"/>
    <n v="21.35"/>
    <n v="7.58"/>
    <n v="0"/>
    <n v="0.02"/>
    <n v="100"/>
    <n v="19.36"/>
    <n v="148.31"/>
    <n v="2024"/>
    <n v="12"/>
    <n v="2024"/>
    <n v="9"/>
    <s v="09"/>
    <x v="11"/>
    <x v="11"/>
    <n v="21201.69"/>
    <x v="264"/>
    <s v=""/>
  </r>
  <r>
    <x v="120"/>
    <s v="OPT-ICIBAN-26-Dec-2024-1300-C-E-S"/>
    <s v="NSE"/>
    <s v="Buy"/>
    <n v="3500"/>
    <n v="0"/>
    <n v="9.19"/>
    <n v="32165"/>
    <s v="#202412233700009108"/>
    <n v="0"/>
    <n v="11.44"/>
    <n v="1"/>
    <n v="0.04"/>
    <n v="100"/>
    <n v="20.079999999999998"/>
    <n v="132.56"/>
    <n v="2024"/>
    <n v="12"/>
    <n v="2024"/>
    <n v="9"/>
    <s v="09"/>
    <x v="11"/>
    <x v="11"/>
    <n v="-32297.56"/>
    <x v="1"/>
    <n v="-32297.56"/>
  </r>
  <r>
    <x v="120"/>
    <s v="OPT-NIFTY-26-Dec-2024-23850-C-E-I"/>
    <s v="NSE"/>
    <s v="Sell"/>
    <n v="500"/>
    <n v="0"/>
    <n v="72"/>
    <n v="36000"/>
    <s v="#202412233700005004"/>
    <n v="35.65"/>
    <n v="12.79"/>
    <n v="0"/>
    <n v="0.03"/>
    <n v="400"/>
    <n v="74.319999999999993"/>
    <n v="522.79"/>
    <n v="2024"/>
    <n v="12"/>
    <n v="2024"/>
    <n v="9"/>
    <s v="09"/>
    <x v="11"/>
    <x v="11"/>
    <n v="35477.21"/>
    <x v="265"/>
    <s v=""/>
  </r>
  <r>
    <x v="121"/>
    <s v="OPT-NIFTY-26-Dec-2024-23800-C-E-I"/>
    <s v="NSE"/>
    <s v="Sell"/>
    <n v="400"/>
    <n v="0"/>
    <n v="53.5"/>
    <n v="21400"/>
    <s v="#202412243700022529"/>
    <n v="21.41"/>
    <n v="7.6"/>
    <n v="0"/>
    <n v="0.02"/>
    <n v="320"/>
    <n v="58.98"/>
    <n v="408.01"/>
    <n v="2024"/>
    <n v="12"/>
    <n v="2024"/>
    <n v="9"/>
    <s v="09"/>
    <x v="11"/>
    <x v="11"/>
    <n v="20991.99"/>
    <x v="266"/>
    <s v=""/>
  </r>
  <r>
    <x v="121"/>
    <s v="OPT-NIFTY-26-Dec-2024-23800-C-E-I"/>
    <s v="NSE"/>
    <s v="Buy"/>
    <n v="100"/>
    <n v="0"/>
    <n v="58"/>
    <n v="5800"/>
    <s v="#202412243700019033"/>
    <n v="0"/>
    <n v="2.06"/>
    <n v="0"/>
    <n v="0.01"/>
    <n v="80"/>
    <n v="14.78"/>
    <n v="96.85"/>
    <n v="2024"/>
    <n v="12"/>
    <n v="2024"/>
    <n v="9"/>
    <s v="09"/>
    <x v="11"/>
    <x v="11"/>
    <n v="-5896.85"/>
    <x v="1"/>
    <n v="-5896.85"/>
  </r>
  <r>
    <x v="121"/>
    <s v="OPT-NIFTY-26-Dec-2024-23800-C-E-I"/>
    <s v="NSE"/>
    <s v="Buy"/>
    <n v="100"/>
    <n v="0"/>
    <n v="70.8"/>
    <n v="7080"/>
    <s v="#202412243700018377"/>
    <n v="0"/>
    <n v="2.52"/>
    <n v="0.81"/>
    <n v="0.01"/>
    <n v="80"/>
    <n v="14.86"/>
    <n v="98.2"/>
    <n v="2024"/>
    <n v="12"/>
    <n v="2024"/>
    <n v="9"/>
    <s v="09"/>
    <x v="11"/>
    <x v="11"/>
    <n v="-7178.2"/>
    <x v="1"/>
    <n v="-7178.2"/>
  </r>
  <r>
    <x v="121"/>
    <s v="OPT-NIFTY-26-Dec-2024-23800-C-E-I"/>
    <s v="NSE"/>
    <s v="Buy"/>
    <n v="50"/>
    <n v="0"/>
    <n v="71.25"/>
    <n v="3562.5"/>
    <s v="#202412243700017127"/>
    <n v="0"/>
    <n v="1.26"/>
    <n v="0"/>
    <n v="0"/>
    <n v="40"/>
    <n v="7.44"/>
    <n v="48.7"/>
    <n v="2024"/>
    <n v="12"/>
    <n v="2024"/>
    <n v="9"/>
    <s v="09"/>
    <x v="11"/>
    <x v="11"/>
    <n v="-3611.2"/>
    <x v="1"/>
    <n v="-3611.2"/>
  </r>
  <r>
    <x v="121"/>
    <s v="OPT-NIFTY-26-Dec-2024-23800-C-E-I"/>
    <s v="NSE"/>
    <s v="Buy"/>
    <n v="50"/>
    <n v="0"/>
    <n v="78"/>
    <n v="3900"/>
    <s v="#202412243700016418"/>
    <n v="0"/>
    <n v="1.39"/>
    <n v="0"/>
    <n v="0"/>
    <n v="40"/>
    <n v="7.46"/>
    <n v="48.85"/>
    <n v="2024"/>
    <n v="12"/>
    <n v="2024"/>
    <n v="9"/>
    <s v="09"/>
    <x v="11"/>
    <x v="11"/>
    <n v="-3948.85"/>
    <x v="1"/>
    <n v="-3948.85"/>
  </r>
  <r>
    <x v="121"/>
    <s v="OPT-NIFTY-26-Dec-2024-23800-C-E-I"/>
    <s v="NSE"/>
    <s v="Buy"/>
    <n v="100"/>
    <n v="0"/>
    <n v="89"/>
    <n v="8900"/>
    <s v="#202412243700015467"/>
    <n v="0"/>
    <n v="3.16"/>
    <n v="0"/>
    <n v="0.01"/>
    <n v="80"/>
    <n v="14.96"/>
    <n v="98.13"/>
    <n v="2024"/>
    <n v="12"/>
    <n v="2024"/>
    <n v="9"/>
    <s v="09"/>
    <x v="11"/>
    <x v="11"/>
    <n v="-8998.1299999999992"/>
    <x v="1"/>
    <n v="-8998.1299999999992"/>
  </r>
  <r>
    <x v="121"/>
    <s v="OPT-NIFTY-26-Dec-2024-23800-P-E-I"/>
    <s v="NSE"/>
    <s v="Buy"/>
    <n v="25"/>
    <n v="0"/>
    <n v="60.45"/>
    <n v="1511.25"/>
    <s v="#202412243700009333"/>
    <n v="0"/>
    <n v="0.54"/>
    <n v="0"/>
    <n v="0"/>
    <n v="20"/>
    <n v="3.7"/>
    <n v="24.24"/>
    <n v="2024"/>
    <n v="12"/>
    <n v="2024"/>
    <n v="9"/>
    <s v="09"/>
    <x v="11"/>
    <x v="11"/>
    <n v="-1535.49"/>
    <x v="1"/>
    <n v="-1535.49"/>
  </r>
  <r>
    <x v="121"/>
    <s v="OPT-NIFTY-26-Dec-2024-23800-P-E-I"/>
    <s v="NSE"/>
    <s v="Sell"/>
    <n v="100"/>
    <n v="0"/>
    <n v="73.25"/>
    <n v="7325"/>
    <s v="#202412243700008331"/>
    <n v="7.6"/>
    <n v="2.6"/>
    <n v="0"/>
    <n v="0"/>
    <n v="80"/>
    <n v="14.88"/>
    <n v="105.08"/>
    <n v="2024"/>
    <n v="12"/>
    <n v="2024"/>
    <n v="9"/>
    <s v="09"/>
    <x v="11"/>
    <x v="11"/>
    <n v="7219.92"/>
    <x v="267"/>
    <s v=""/>
  </r>
  <r>
    <x v="121"/>
    <s v="OPT-NIFTY-26-Dec-2024-23800-P-E-I"/>
    <s v="NSE"/>
    <s v="Buy"/>
    <n v="75"/>
    <n v="0"/>
    <n v="63.95"/>
    <n v="4796.25"/>
    <s v="#202412243700008245"/>
    <n v="0"/>
    <n v="1.7"/>
    <n v="0.19"/>
    <n v="0"/>
    <n v="60"/>
    <n v="11.1"/>
    <n v="72.989999999999995"/>
    <n v="2024"/>
    <n v="12"/>
    <n v="2024"/>
    <n v="9"/>
    <s v="09"/>
    <x v="11"/>
    <x v="11"/>
    <n v="-4869.24"/>
    <x v="1"/>
    <n v="-4869.24"/>
  </r>
  <r>
    <x v="122"/>
    <s v="OPT-NIFTY-26-Dec-2024-23700-P-E-I"/>
    <s v="NSE"/>
    <s v="Sell"/>
    <n v="500"/>
    <n v="0"/>
    <n v="16.149999999999999"/>
    <n v="8075"/>
    <s v="#202412263700015100"/>
    <n v="8.07"/>
    <n v="2.87"/>
    <n v="0"/>
    <n v="0.01"/>
    <n v="400"/>
    <n v="72.52"/>
    <n v="483.47"/>
    <n v="2024"/>
    <n v="12"/>
    <n v="2024"/>
    <n v="9"/>
    <s v="09"/>
    <x v="11"/>
    <x v="11"/>
    <n v="7591.53"/>
    <x v="268"/>
    <s v=""/>
  </r>
  <r>
    <x v="122"/>
    <s v="OPT-NIFTY-26-Dec-2024-23700-P-E-I"/>
    <s v="NSE"/>
    <s v="Buy"/>
    <n v="200"/>
    <n v="0"/>
    <n v="10.85"/>
    <n v="2170"/>
    <s v="#202412263700013854"/>
    <n v="0"/>
    <n v="0.77"/>
    <n v="0.25"/>
    <n v="0"/>
    <n v="160"/>
    <n v="28.94"/>
    <n v="189.96"/>
    <n v="2024"/>
    <n v="12"/>
    <n v="2024"/>
    <n v="9"/>
    <s v="09"/>
    <x v="11"/>
    <x v="11"/>
    <n v="-2359.96"/>
    <x v="1"/>
    <n v="-2359.96"/>
  </r>
  <r>
    <x v="122"/>
    <s v="OPT-NIFTY-26-Dec-2024-23700-P-E-I"/>
    <s v="NSE"/>
    <s v="Buy"/>
    <n v="100"/>
    <n v="0"/>
    <n v="11.85"/>
    <n v="1185"/>
    <s v="#202412263700011676"/>
    <n v="0"/>
    <n v="0.42"/>
    <n v="0"/>
    <n v="0"/>
    <n v="80"/>
    <n v="14.48"/>
    <n v="94.9"/>
    <n v="2024"/>
    <n v="12"/>
    <n v="2024"/>
    <n v="9"/>
    <s v="09"/>
    <x v="11"/>
    <x v="11"/>
    <n v="-1279.9000000000001"/>
    <x v="1"/>
    <n v="-1279.9000000000001"/>
  </r>
  <r>
    <x v="122"/>
    <s v="OPT-NIFTY-26-Dec-2024-23700-P-E-I"/>
    <s v="NSE"/>
    <s v="Buy"/>
    <n v="100"/>
    <n v="0"/>
    <n v="12.7"/>
    <n v="1270"/>
    <s v="#202412263700010390"/>
    <n v="0"/>
    <n v="0.45"/>
    <n v="0"/>
    <n v="0"/>
    <n v="80"/>
    <n v="14.48"/>
    <n v="94.93"/>
    <n v="2024"/>
    <n v="12"/>
    <n v="2024"/>
    <n v="9"/>
    <s v="09"/>
    <x v="11"/>
    <x v="11"/>
    <n v="-1364.93"/>
    <x v="1"/>
    <n v="-1364.93"/>
  </r>
  <r>
    <x v="122"/>
    <s v="OPT-NIFTY-26-Dec-2024-23700-P-E-I"/>
    <s v="NSE"/>
    <s v="Buy"/>
    <n v="50"/>
    <n v="0"/>
    <n v="17.3"/>
    <n v="865"/>
    <s v="#202412263700010114"/>
    <n v="0"/>
    <n v="0.31"/>
    <n v="0"/>
    <n v="0"/>
    <n v="40"/>
    <n v="7.26"/>
    <n v="47.57"/>
    <n v="2024"/>
    <n v="12"/>
    <n v="2024"/>
    <n v="9"/>
    <s v="09"/>
    <x v="11"/>
    <x v="11"/>
    <n v="-912.57"/>
    <x v="1"/>
    <n v="-912.57"/>
  </r>
  <r>
    <x v="122"/>
    <s v="OPT-NIFTY-26-Dec-2024-23700-P-E-I"/>
    <s v="NSE"/>
    <s v="Buy"/>
    <n v="50"/>
    <n v="0"/>
    <n v="21.75"/>
    <n v="1087.5"/>
    <s v="#202412263700009863"/>
    <n v="0"/>
    <n v="0.39"/>
    <n v="0"/>
    <n v="0"/>
    <n v="40"/>
    <n v="7.28"/>
    <n v="47.67"/>
    <n v="2024"/>
    <n v="12"/>
    <n v="2024"/>
    <n v="9"/>
    <s v="09"/>
    <x v="11"/>
    <x v="11"/>
    <n v="-1135.17"/>
    <x v="1"/>
    <n v="-1135.17"/>
  </r>
  <r>
    <x v="122"/>
    <s v="OPT-NIFTY-26-Dec-2024-23700-P-E-I"/>
    <s v="NSE"/>
    <s v="Sell"/>
    <n v="50"/>
    <n v="0"/>
    <n v="44.25"/>
    <n v="2212.5"/>
    <s v="#202412263700008976"/>
    <n v="2.1"/>
    <n v="0.79"/>
    <n v="0"/>
    <n v="0"/>
    <n v="40"/>
    <n v="7.34"/>
    <n v="50.23"/>
    <n v="2024"/>
    <n v="12"/>
    <n v="2024"/>
    <n v="9"/>
    <s v="09"/>
    <x v="11"/>
    <x v="11"/>
    <n v="2162.27"/>
    <x v="269"/>
    <s v=""/>
  </r>
  <r>
    <x v="122"/>
    <s v="OPT-NIFTY-26-Dec-2024-23700-P-E-I"/>
    <s v="NSE"/>
    <s v="Buy"/>
    <n v="50"/>
    <n v="0"/>
    <n v="33.9"/>
    <n v="1695"/>
    <s v="#202412263700008945"/>
    <n v="0"/>
    <n v="0.6"/>
    <n v="0"/>
    <n v="0"/>
    <n v="40"/>
    <n v="7.3"/>
    <n v="47.9"/>
    <n v="2024"/>
    <n v="12"/>
    <n v="2024"/>
    <n v="9"/>
    <s v="09"/>
    <x v="11"/>
    <x v="11"/>
    <n v="-1742.9"/>
    <x v="1"/>
    <n v="-1742.9"/>
  </r>
  <r>
    <x v="122"/>
    <s v="OPT-NIFTY-26-Dec-2024-23850-P-E-I"/>
    <s v="NSE"/>
    <s v="Buy"/>
    <n v="25"/>
    <n v="0"/>
    <n v="123.65"/>
    <n v="3091.25"/>
    <s v="#202412263700007561"/>
    <n v="0"/>
    <n v="1.1000000000000001"/>
    <n v="0"/>
    <n v="0"/>
    <n v="20"/>
    <n v="3.8"/>
    <n v="24.9"/>
    <n v="2024"/>
    <n v="12"/>
    <n v="2024"/>
    <n v="9"/>
    <s v="09"/>
    <x v="11"/>
    <x v="11"/>
    <n v="-3116.15"/>
    <x v="1"/>
    <n v="-3116.15"/>
  </r>
  <r>
    <x v="122"/>
    <s v="OPT-NIFTY-26-Dec-2024-23850-P-E-I"/>
    <s v="NSE"/>
    <s v="Sell"/>
    <n v="75"/>
    <n v="0"/>
    <n v="134.25"/>
    <n v="10068.75"/>
    <s v="#202412263700007406"/>
    <n v="10.07"/>
    <n v="3.58"/>
    <n v="0"/>
    <n v="0.01"/>
    <n v="60"/>
    <n v="11.44"/>
    <n v="85.1"/>
    <n v="2024"/>
    <n v="12"/>
    <n v="2024"/>
    <n v="9"/>
    <s v="09"/>
    <x v="11"/>
    <x v="11"/>
    <n v="9983.65"/>
    <x v="270"/>
    <s v=""/>
  </r>
  <r>
    <x v="122"/>
    <s v="OPT-NIFTY-26-Dec-2024-23850-P-E-I"/>
    <s v="NSE"/>
    <s v="Buy"/>
    <n v="25"/>
    <n v="0"/>
    <n v="111.95"/>
    <n v="2798.75"/>
    <s v="#202412263700007045"/>
    <n v="0"/>
    <n v="0.99"/>
    <n v="0"/>
    <n v="0"/>
    <n v="20"/>
    <n v="3.78"/>
    <n v="24.77"/>
    <n v="2024"/>
    <n v="12"/>
    <n v="2024"/>
    <n v="9"/>
    <s v="09"/>
    <x v="11"/>
    <x v="11"/>
    <n v="-2823.52"/>
    <x v="1"/>
    <n v="-2823.52"/>
  </r>
  <r>
    <x v="122"/>
    <s v="OPT-NIFTY-26-Dec-2024-23850-P-E-I"/>
    <s v="NSE"/>
    <s v="Buy"/>
    <n v="25"/>
    <n v="0"/>
    <n v="120.15"/>
    <n v="3003.75"/>
    <s v="#202412263700006944"/>
    <n v="0"/>
    <n v="1.07"/>
    <n v="0"/>
    <n v="0"/>
    <n v="20"/>
    <n v="3.8"/>
    <n v="24.87"/>
    <n v="2024"/>
    <n v="12"/>
    <n v="2024"/>
    <n v="9"/>
    <s v="09"/>
    <x v="11"/>
    <x v="11"/>
    <n v="-3028.62"/>
    <x v="1"/>
    <n v="-3028.62"/>
  </r>
  <r>
    <x v="122"/>
    <s v="OPT-NIFTY-26-Dec-2024-23850-P-E-I"/>
    <s v="NSE"/>
    <s v="Sell"/>
    <n v="100"/>
    <n v="0"/>
    <n v="77.55"/>
    <n v="7755"/>
    <s v="#202412263700005137"/>
    <n v="7.76"/>
    <n v="2.76"/>
    <n v="0"/>
    <n v="0.01"/>
    <n v="80"/>
    <n v="14.9"/>
    <n v="105.43"/>
    <n v="2024"/>
    <n v="12"/>
    <n v="2024"/>
    <n v="9"/>
    <s v="09"/>
    <x v="11"/>
    <x v="11"/>
    <n v="7649.57"/>
    <x v="271"/>
    <s v=""/>
  </r>
  <r>
    <x v="122"/>
    <s v="OPT-NIFTY-26-Dec-2024-23850-P-E-I"/>
    <s v="NSE"/>
    <s v="Buy"/>
    <n v="100"/>
    <n v="0"/>
    <n v="70.25"/>
    <n v="7025"/>
    <s v="#202412263700005075"/>
    <n v="0"/>
    <n v="2.4900000000000002"/>
    <n v="0.75"/>
    <n v="0"/>
    <n v="80"/>
    <n v="14.86"/>
    <n v="98.1"/>
    <n v="2024"/>
    <n v="12"/>
    <n v="2024"/>
    <n v="9"/>
    <s v="09"/>
    <x v="11"/>
    <x v="11"/>
    <n v="-7123.1"/>
    <x v="1"/>
    <n v="-7123.1"/>
  </r>
  <r>
    <x v="123"/>
    <s v="OPT-NIFTY-02-Jan-2025-23800-P-E-I"/>
    <s v="NSE"/>
    <s v="Sell"/>
    <n v="150"/>
    <n v="0"/>
    <n v="115"/>
    <n v="17250"/>
    <s v="#202412273700011712"/>
    <n v="17.739999999999998"/>
    <n v="6.13"/>
    <n v="0"/>
    <n v="0.02"/>
    <n v="40"/>
    <n v="8.3000000000000007"/>
    <n v="72.19"/>
    <n v="2024"/>
    <n v="12"/>
    <n v="2024"/>
    <n v="9"/>
    <s v="09"/>
    <x v="11"/>
    <x v="11"/>
    <n v="17177.810000000001"/>
    <x v="272"/>
    <s v=""/>
  </r>
  <r>
    <x v="123"/>
    <s v="OPT-NIFTY-02-Jan-2025-23800-P-E-I"/>
    <s v="NSE"/>
    <s v="Buy"/>
    <n v="150"/>
    <n v="0"/>
    <n v="106.55"/>
    <n v="15982.5"/>
    <s v="#202412273700007531"/>
    <n v="0"/>
    <n v="5.68"/>
    <n v="1"/>
    <n v="0.02"/>
    <n v="40"/>
    <n v="8.2200000000000006"/>
    <n v="54.92"/>
    <n v="2024"/>
    <n v="12"/>
    <n v="2024"/>
    <n v="9"/>
    <s v="09"/>
    <x v="11"/>
    <x v="11"/>
    <n v="-16037.42"/>
    <x v="1"/>
    <n v="-16037.42"/>
  </r>
  <r>
    <x v="123"/>
    <s v="OPT-NIFTY-02-Jan-2025-23800-P-E-I"/>
    <s v="NSE"/>
    <s v="Sell"/>
    <n v="150"/>
    <n v="0"/>
    <n v="101.75"/>
    <n v="15262.5"/>
    <s v="#202412273700005662"/>
    <n v="15.26"/>
    <n v="5.42"/>
    <n v="0"/>
    <n v="0.02"/>
    <n v="40"/>
    <n v="8.18"/>
    <n v="68.88"/>
    <n v="2024"/>
    <n v="12"/>
    <n v="2024"/>
    <n v="9"/>
    <s v="09"/>
    <x v="11"/>
    <x v="11"/>
    <n v="15193.62"/>
    <x v="273"/>
    <s v=""/>
  </r>
  <r>
    <x v="123"/>
    <s v="OPT-NIFTY-02-Jan-2025-23800-P-E-I"/>
    <s v="NSE"/>
    <s v="Buy"/>
    <n v="75"/>
    <n v="0"/>
    <n v="131.69999999999999"/>
    <n v="9877.5"/>
    <s v="#202412273700001345"/>
    <n v="0"/>
    <n v="3.51"/>
    <n v="0"/>
    <n v="0.01"/>
    <n v="20"/>
    <n v="4.24"/>
    <n v="27.76"/>
    <n v="2024"/>
    <n v="12"/>
    <n v="2024"/>
    <n v="9"/>
    <s v="09"/>
    <x v="11"/>
    <x v="11"/>
    <n v="-9905.26"/>
    <x v="1"/>
    <n v="-9905.26"/>
  </r>
  <r>
    <x v="123"/>
    <s v="OPT-NIFTY-02-Jan-2025-23800-P-E-I"/>
    <s v="NSE"/>
    <s v="Buy"/>
    <n v="75"/>
    <n v="0"/>
    <n v="149.44999999999999"/>
    <n v="11208.75"/>
    <s v="#202412273700001191"/>
    <n v="0"/>
    <n v="3.98"/>
    <n v="0"/>
    <n v="0.01"/>
    <n v="20"/>
    <n v="4.32"/>
    <n v="28.31"/>
    <n v="2024"/>
    <n v="12"/>
    <n v="2024"/>
    <n v="9"/>
    <s v="09"/>
    <x v="11"/>
    <x v="11"/>
    <n v="-11237.06"/>
    <x v="1"/>
    <n v="-11237.06"/>
  </r>
  <r>
    <x v="124"/>
    <s v="OPT-NIFTY-02-Jan-2025-23800-P-E-I"/>
    <s v="NSE"/>
    <s v="Sell"/>
    <n v="75"/>
    <n v="0"/>
    <n v="105.25"/>
    <n v="7893.75"/>
    <s v="#202412303700010121"/>
    <n v="7.89"/>
    <n v="2.8"/>
    <n v="0"/>
    <n v="0.01"/>
    <n v="20"/>
    <n v="4.0999999999999996"/>
    <n v="34.799999999999997"/>
    <n v="2024"/>
    <n v="12"/>
    <n v="2024"/>
    <n v="9"/>
    <s v="09"/>
    <x v="11"/>
    <x v="11"/>
    <n v="7858.95"/>
    <x v="274"/>
    <s v=""/>
  </r>
  <r>
    <x v="124"/>
    <s v="OPT-NIFTY-02-Jan-2025-23800-P-E-I"/>
    <s v="NSE"/>
    <s v="Buy"/>
    <n v="75"/>
    <n v="0"/>
    <n v="85"/>
    <n v="6375"/>
    <s v="#202412303700009866"/>
    <n v="0"/>
    <n v="2.27"/>
    <n v="0"/>
    <n v="0.01"/>
    <n v="20"/>
    <n v="4.0199999999999996"/>
    <n v="26.3"/>
    <n v="2024"/>
    <n v="12"/>
    <n v="2024"/>
    <n v="9"/>
    <s v="09"/>
    <x v="11"/>
    <x v="11"/>
    <n v="-6401.3"/>
    <x v="1"/>
    <n v="-6401.3"/>
  </r>
  <r>
    <x v="124"/>
    <s v="OPT-NIFTY-02-Jan-2025-23800-C-E-I"/>
    <s v="NSE"/>
    <s v="Sell"/>
    <n v="75"/>
    <n v="0"/>
    <n v="93.45"/>
    <n v="7008.75"/>
    <s v="#202412303700002104"/>
    <n v="7.11"/>
    <n v="2.4900000000000002"/>
    <n v="0"/>
    <n v="0.01"/>
    <n v="20"/>
    <n v="4.0599999999999996"/>
    <n v="33.67"/>
    <n v="2024"/>
    <n v="12"/>
    <n v="2024"/>
    <n v="9"/>
    <s v="09"/>
    <x v="11"/>
    <x v="11"/>
    <n v="6975.08"/>
    <x v="275"/>
    <s v=""/>
  </r>
  <r>
    <x v="124"/>
    <s v="OPT-NIFTY-02-Jan-2025-23800-C-E-I"/>
    <s v="NSE"/>
    <s v="Buy"/>
    <n v="75"/>
    <n v="0"/>
    <n v="108.55"/>
    <n v="8141.25"/>
    <s v="#202412303700001524"/>
    <n v="0"/>
    <n v="2.89"/>
    <n v="0"/>
    <n v="0.01"/>
    <n v="20"/>
    <n v="4.12"/>
    <n v="27.02"/>
    <n v="2024"/>
    <n v="12"/>
    <n v="2024"/>
    <n v="9"/>
    <s v="09"/>
    <x v="11"/>
    <x v="11"/>
    <n v="-8168.27"/>
    <x v="1"/>
    <n v="-8168.27"/>
  </r>
  <r>
    <x v="125"/>
    <s v="OPT-NIFTY-02-Jan-2025-23550-P-E-I"/>
    <s v="NSE"/>
    <s v="Buy"/>
    <n v="75"/>
    <n v="0"/>
    <n v="103"/>
    <n v="7725"/>
    <s v="#202412313700008524"/>
    <n v="0"/>
    <n v="2.74"/>
    <n v="0"/>
    <n v="0.01"/>
    <n v="20"/>
    <n v="4.0999999999999996"/>
    <n v="26.85"/>
    <n v="2024"/>
    <n v="12"/>
    <n v="2024"/>
    <n v="9"/>
    <s v="09"/>
    <x v="11"/>
    <x v="11"/>
    <n v="-7751.85"/>
    <x v="1"/>
    <n v="-7751.85"/>
  </r>
  <r>
    <x v="125"/>
    <s v="OPT-NIFTY-02-Jan-2025-23550-P-E-I"/>
    <s v="NSE"/>
    <s v="Buy"/>
    <n v="75"/>
    <n v="0"/>
    <n v="108.9"/>
    <n v="8167.5"/>
    <s v="#202412313700008342"/>
    <n v="0"/>
    <n v="2.9"/>
    <n v="0"/>
    <n v="0.01"/>
    <n v="20"/>
    <n v="4.12"/>
    <n v="27.03"/>
    <n v="2024"/>
    <n v="12"/>
    <n v="2024"/>
    <n v="9"/>
    <s v="09"/>
    <x v="11"/>
    <x v="11"/>
    <n v="-8194.5300000000007"/>
    <x v="1"/>
    <n v="-8194.5300000000007"/>
  </r>
  <r>
    <x v="125"/>
    <s v="OPT-NIFTY-02-Jan-2025-23550-P-E-I"/>
    <s v="NSE"/>
    <s v="Buy"/>
    <n v="75"/>
    <n v="0"/>
    <n v="126.25"/>
    <n v="9468.75"/>
    <s v="#202412313700007309"/>
    <n v="0"/>
    <n v="3.36"/>
    <n v="0.44"/>
    <n v="0.01"/>
    <n v="20"/>
    <n v="4.2"/>
    <n v="28.01"/>
    <n v="2024"/>
    <n v="12"/>
    <n v="2024"/>
    <n v="9"/>
    <s v="09"/>
    <x v="11"/>
    <x v="11"/>
    <n v="-9496.76"/>
    <x v="1"/>
    <n v="-9496.76"/>
  </r>
  <r>
    <x v="125"/>
    <s v="OPT-NIFTY-02-Jan-2025-23550-C-E-I"/>
    <s v="NSE"/>
    <s v="Sell"/>
    <n v="75"/>
    <n v="0"/>
    <n v="129.25"/>
    <n v="9693.75"/>
    <s v="#202412313700004232"/>
    <n v="9.56"/>
    <n v="3.44"/>
    <n v="0"/>
    <n v="0.01"/>
    <n v="20"/>
    <n v="4.22"/>
    <n v="37.229999999999997"/>
    <n v="2024"/>
    <n v="12"/>
    <n v="2024"/>
    <n v="9"/>
    <s v="09"/>
    <x v="11"/>
    <x v="11"/>
    <n v="9656.52"/>
    <x v="276"/>
    <s v=""/>
  </r>
  <r>
    <x v="125"/>
    <s v="OPT-NIFTY-02-Jan-2025-23550-C-E-I"/>
    <s v="NSE"/>
    <s v="Buy"/>
    <n v="75"/>
    <n v="0"/>
    <n v="122.25"/>
    <n v="9168.75"/>
    <s v="#202412313700004183"/>
    <n v="0"/>
    <n v="3.26"/>
    <n v="0"/>
    <n v="0.01"/>
    <n v="20"/>
    <n v="4.18"/>
    <n v="27.45"/>
    <n v="2024"/>
    <n v="12"/>
    <n v="2024"/>
    <n v="9"/>
    <s v="09"/>
    <x v="11"/>
    <x v="11"/>
    <n v="-9196.2000000000007"/>
    <x v="1"/>
    <n v="-9196.2000000000007"/>
  </r>
  <r>
    <x v="125"/>
    <s v="OPT-NIFTY-02-Jan-2025-23550-C-E-I"/>
    <s v="NSE"/>
    <s v="Sell"/>
    <n v="75"/>
    <n v="0"/>
    <n v="139.25"/>
    <n v="10443.75"/>
    <s v="#202412313700001647"/>
    <n v="10.44"/>
    <n v="3.71"/>
    <n v="0"/>
    <n v="0.01"/>
    <n v="20"/>
    <n v="4.26"/>
    <n v="38.42"/>
    <n v="2024"/>
    <n v="12"/>
    <n v="2024"/>
    <n v="9"/>
    <s v="09"/>
    <x v="11"/>
    <x v="11"/>
    <n v="10405.33"/>
    <x v="277"/>
    <s v=""/>
  </r>
  <r>
    <x v="125"/>
    <s v="OPT-NIFTY-02-Jan-2025-23550-C-E-I"/>
    <s v="NSE"/>
    <s v="Buy"/>
    <n v="75"/>
    <n v="0"/>
    <n v="127.2"/>
    <n v="9540"/>
    <s v="#202412313700001475"/>
    <n v="0"/>
    <n v="3.39"/>
    <n v="0.56000000000000005"/>
    <n v="0.01"/>
    <n v="20"/>
    <n v="4.22"/>
    <n v="28.18"/>
    <n v="2024"/>
    <n v="12"/>
    <n v="2024"/>
    <n v="9"/>
    <s v="09"/>
    <x v="11"/>
    <x v="11"/>
    <n v="-9568.18"/>
    <x v="1"/>
    <n v="-9568.18"/>
  </r>
  <r>
    <x v="126"/>
    <s v="OPT-NIFTY-02-Jan-2025-23700-C-E-I"/>
    <s v="NSE"/>
    <s v="Sell"/>
    <n v="225"/>
    <n v="0"/>
    <n v="169.75"/>
    <n v="38193.75"/>
    <s v="#202501013700009702"/>
    <n v="38.19"/>
    <n v="13.57"/>
    <n v="0"/>
    <n v="0.04"/>
    <n v="60"/>
    <n v="13.24"/>
    <n v="125.04"/>
    <n v="2025"/>
    <n v="1"/>
    <n v="2024"/>
    <n v="10"/>
    <n v="10"/>
    <x v="12"/>
    <x v="12"/>
    <n v="38068.71"/>
    <x v="278"/>
    <s v=""/>
  </r>
  <r>
    <x v="126"/>
    <s v="OPT-NIFTY-02-Jan-2025-23700-C-E-I"/>
    <s v="NSE"/>
    <s v="Buy"/>
    <n v="225"/>
    <n v="0"/>
    <n v="160.25"/>
    <n v="36056.25"/>
    <s v="#202501013700009410"/>
    <n v="0"/>
    <n v="12.81"/>
    <n v="0.79"/>
    <n v="0.04"/>
    <n v="60"/>
    <n v="13.12"/>
    <n v="86.76"/>
    <n v="2025"/>
    <n v="1"/>
    <n v="2024"/>
    <n v="10"/>
    <n v="10"/>
    <x v="12"/>
    <x v="12"/>
    <n v="-36143.01"/>
    <x v="1"/>
    <n v="-36143.01"/>
  </r>
  <r>
    <x v="126"/>
    <s v="OPT-NIFTY-02-Jan-2025-23650-C-E-I"/>
    <s v="NSE"/>
    <s v="Sell"/>
    <n v="225"/>
    <n v="0"/>
    <n v="115.5"/>
    <n v="25987.5"/>
    <s v="#202501013700003215"/>
    <n v="25.99"/>
    <n v="9.23"/>
    <n v="0"/>
    <n v="0.03"/>
    <n v="60"/>
    <n v="12.46"/>
    <n v="107.71"/>
    <n v="2025"/>
    <n v="1"/>
    <n v="2024"/>
    <n v="10"/>
    <n v="10"/>
    <x v="12"/>
    <x v="12"/>
    <n v="25879.79"/>
    <x v="279"/>
    <s v=""/>
  </r>
  <r>
    <x v="126"/>
    <s v="OPT-NIFTY-02-Jan-2025-23650-C-E-I"/>
    <s v="NSE"/>
    <s v="Buy"/>
    <n v="225"/>
    <n v="0"/>
    <n v="105.4"/>
    <n v="23715"/>
    <s v="#202501013700003149"/>
    <n v="0"/>
    <n v="8.43"/>
    <n v="0.71"/>
    <n v="0.02"/>
    <n v="60"/>
    <n v="12.32"/>
    <n v="81.48"/>
    <n v="2025"/>
    <n v="1"/>
    <n v="2024"/>
    <n v="10"/>
    <n v="10"/>
    <x v="12"/>
    <x v="12"/>
    <n v="-23796.48"/>
    <x v="1"/>
    <n v="-23796.48"/>
  </r>
  <r>
    <x v="126"/>
    <s v="OPT-NIFTY-02-Jan-2025-23650-P-E-I"/>
    <s v="NSE"/>
    <s v="Sell"/>
    <n v="150"/>
    <n v="0"/>
    <n v="120.15"/>
    <n v="18022.5"/>
    <s v="#202501013700001757"/>
    <n v="18.02"/>
    <n v="6.4"/>
    <n v="0"/>
    <n v="0.02"/>
    <n v="40"/>
    <n v="8.36"/>
    <n v="72.8"/>
    <n v="2025"/>
    <n v="1"/>
    <n v="2024"/>
    <n v="10"/>
    <n v="10"/>
    <x v="12"/>
    <x v="12"/>
    <n v="17949.7"/>
    <x v="280"/>
    <s v=""/>
  </r>
  <r>
    <x v="126"/>
    <s v="OPT-NIFTY-02-Jan-2025-23650-P-E-I"/>
    <s v="NSE"/>
    <s v="Buy"/>
    <n v="75"/>
    <n v="0"/>
    <n v="110"/>
    <n v="8250"/>
    <s v="#202501013700001371"/>
    <n v="0"/>
    <n v="2.93"/>
    <n v="0.5"/>
    <n v="0.01"/>
    <n v="20"/>
    <n v="4.12"/>
    <n v="27.56"/>
    <n v="2025"/>
    <n v="1"/>
    <n v="2024"/>
    <n v="10"/>
    <n v="10"/>
    <x v="12"/>
    <x v="12"/>
    <n v="-8277.56"/>
    <x v="1"/>
    <n v="-8277.56"/>
  </r>
  <r>
    <x v="126"/>
    <s v="OPT-NIFTY-02-Jan-2025-23650-P-E-I"/>
    <s v="NSE"/>
    <s v="Buy"/>
    <n v="75"/>
    <n v="0"/>
    <n v="113.4"/>
    <n v="8505"/>
    <s v="#202501013700001293"/>
    <n v="0"/>
    <n v="3.02"/>
    <n v="0"/>
    <n v="0.01"/>
    <n v="20"/>
    <n v="4.1399999999999997"/>
    <n v="27.17"/>
    <n v="2025"/>
    <n v="1"/>
    <n v="2024"/>
    <n v="10"/>
    <n v="10"/>
    <x v="12"/>
    <x v="12"/>
    <n v="-8532.17"/>
    <x v="1"/>
    <n v="-8532.17"/>
  </r>
  <r>
    <x v="126"/>
    <s v="OPT-NIFTY-02-Jan-2025-23550-P-E-I"/>
    <s v="NSE"/>
    <s v="Sell"/>
    <n v="225"/>
    <n v="0"/>
    <n v="86"/>
    <n v="19350"/>
    <s v="#202501013700000301"/>
    <n v="19.8"/>
    <n v="6.87"/>
    <n v="0"/>
    <n v="0.02"/>
    <n v="60"/>
    <n v="12.04"/>
    <n v="98.73"/>
    <n v="2025"/>
    <n v="1"/>
    <n v="2024"/>
    <n v="10"/>
    <n v="10"/>
    <x v="12"/>
    <x v="12"/>
    <n v="19251.27"/>
    <x v="281"/>
    <s v=""/>
  </r>
  <r>
    <x v="127"/>
    <s v="OPT-NIFTY-02-Jan-2025-23800-P-E-I"/>
    <s v="NSE"/>
    <s v="Sell"/>
    <n v="300"/>
    <n v="0"/>
    <n v="37.35"/>
    <n v="11205"/>
    <s v="#202501023700009907"/>
    <n v="11.21"/>
    <n v="3.98"/>
    <n v="0"/>
    <n v="0.01"/>
    <n v="80"/>
    <n v="15.12"/>
    <n v="110.32"/>
    <n v="2025"/>
    <n v="1"/>
    <n v="2024"/>
    <n v="10"/>
    <n v="10"/>
    <x v="12"/>
    <x v="12"/>
    <n v="11094.68"/>
    <x v="282"/>
    <s v=""/>
  </r>
  <r>
    <x v="127"/>
    <s v="OPT-NIFTY-02-Jan-2025-23800-P-E-I"/>
    <s v="NSE"/>
    <s v="Buy"/>
    <n v="300"/>
    <n v="0"/>
    <n v="61.25"/>
    <n v="18375"/>
    <s v="#202501023700006484"/>
    <n v="0"/>
    <n v="6.53"/>
    <n v="2"/>
    <n v="0.02"/>
    <n v="80"/>
    <n v="15.58"/>
    <n v="104.13"/>
    <n v="2025"/>
    <n v="1"/>
    <n v="2024"/>
    <n v="10"/>
    <n v="10"/>
    <x v="12"/>
    <x v="12"/>
    <n v="-18479.13"/>
    <x v="1"/>
    <n v="-18479.13"/>
  </r>
  <r>
    <x v="127"/>
    <s v="OPT-NIFTY-02-Jan-2025-23800-P-E-I"/>
    <s v="NSE"/>
    <s v="Sell"/>
    <n v="300"/>
    <n v="0"/>
    <n v="82.15"/>
    <n v="24645"/>
    <s v="#202501023700004522"/>
    <n v="24.79"/>
    <n v="8.76"/>
    <n v="0"/>
    <n v="0.03"/>
    <n v="80"/>
    <n v="16"/>
    <n v="129.58000000000001"/>
    <n v="2025"/>
    <n v="1"/>
    <n v="2024"/>
    <n v="10"/>
    <n v="10"/>
    <x v="12"/>
    <x v="12"/>
    <n v="24515.42"/>
    <x v="283"/>
    <s v=""/>
  </r>
  <r>
    <x v="127"/>
    <s v="OPT-NIFTY-02-Jan-2025-23800-P-E-I"/>
    <s v="NSE"/>
    <s v="Buy"/>
    <n v="75"/>
    <n v="0"/>
    <n v="114.2"/>
    <n v="8565"/>
    <s v="#202501023700002128"/>
    <n v="0"/>
    <n v="3.04"/>
    <n v="0"/>
    <n v="0.01"/>
    <n v="20"/>
    <n v="4.1399999999999997"/>
    <n v="27.19"/>
    <n v="2025"/>
    <n v="1"/>
    <n v="2024"/>
    <n v="10"/>
    <n v="10"/>
    <x v="12"/>
    <x v="12"/>
    <n v="-8592.19"/>
    <x v="1"/>
    <n v="-8592.19"/>
  </r>
  <r>
    <x v="127"/>
    <s v="OPT-NIFTY-02-Jan-2025-23800-P-E-I"/>
    <s v="NSE"/>
    <s v="Buy"/>
    <n v="225"/>
    <n v="0"/>
    <n v="127.25"/>
    <n v="28631.25"/>
    <s v="#202501023700001889"/>
    <n v="0"/>
    <n v="10.17"/>
    <n v="0"/>
    <n v="0.03"/>
    <n v="60"/>
    <n v="12.64"/>
    <n v="82.84"/>
    <n v="2025"/>
    <n v="1"/>
    <n v="2024"/>
    <n v="10"/>
    <n v="10"/>
    <x v="12"/>
    <x v="12"/>
    <n v="-28714.09"/>
    <x v="1"/>
    <n v="-28714.09"/>
  </r>
  <r>
    <x v="128"/>
    <s v="OPT-NIFTY-09-Jan-2025-23050-P-E-I"/>
    <s v="NSE"/>
    <s v="Sell"/>
    <n v="75"/>
    <n v="0"/>
    <n v="20.25"/>
    <n v="1518.75"/>
    <s v="#202501073700004513"/>
    <n v="2"/>
    <n v="0.54"/>
    <n v="0"/>
    <n v="0"/>
    <n v="20"/>
    <n v="3.7"/>
    <n v="26.24"/>
    <n v="2025"/>
    <n v="1"/>
    <n v="2024"/>
    <n v="10"/>
    <n v="10"/>
    <x v="12"/>
    <x v="12"/>
    <n v="1492.51"/>
    <x v="284"/>
    <s v=""/>
  </r>
  <r>
    <x v="128"/>
    <s v="OPT-NIFTY-09-Jan-2025-23050-P-E-I"/>
    <s v="NSE"/>
    <s v="Buy"/>
    <n v="75"/>
    <n v="0"/>
    <n v="14.25"/>
    <n v="1068.75"/>
    <s v="#202501073700003772"/>
    <n v="0"/>
    <n v="0.38"/>
    <n v="0"/>
    <n v="0"/>
    <n v="20"/>
    <n v="3.66"/>
    <n v="24.04"/>
    <n v="2025"/>
    <n v="1"/>
    <n v="2024"/>
    <n v="10"/>
    <n v="10"/>
    <x v="12"/>
    <x v="12"/>
    <n v="-1092.79"/>
    <x v="1"/>
    <n v="-1092.79"/>
  </r>
  <r>
    <x v="129"/>
    <s v="OPT-NIFTY-09-Jan-2025-23050-P-E-I"/>
    <s v="NSE"/>
    <s v="Sell"/>
    <n v="450"/>
    <n v="0"/>
    <n v="2.4"/>
    <n v="1080"/>
    <s v="#202501083700023138"/>
    <n v="1"/>
    <n v="0.38"/>
    <n v="0"/>
    <n v="0"/>
    <n v="120"/>
    <n v="21.66"/>
    <n v="143.04"/>
    <n v="2025"/>
    <n v="1"/>
    <n v="2024"/>
    <n v="10"/>
    <n v="10"/>
    <x v="12"/>
    <x v="12"/>
    <n v="936.96"/>
    <x v="285"/>
    <s v=""/>
  </r>
  <r>
    <x v="129"/>
    <s v="OPT-NIFTY-09-Jan-2025-23050-P-E-I"/>
    <s v="NSE"/>
    <s v="Buy"/>
    <n v="450"/>
    <n v="0"/>
    <n v="4.25"/>
    <n v="1912.5"/>
    <s v="#202501083700005951"/>
    <n v="0"/>
    <n v="0.68"/>
    <n v="0"/>
    <n v="0"/>
    <n v="120"/>
    <n v="21.72"/>
    <n v="142.4"/>
    <n v="2025"/>
    <n v="1"/>
    <n v="2024"/>
    <n v="10"/>
    <n v="10"/>
    <x v="12"/>
    <x v="12"/>
    <n v="-2054.9"/>
    <x v="1"/>
    <n v="-2054.9"/>
  </r>
  <r>
    <x v="130"/>
    <s v="OPT-NIFTY-16-Jan-2025-23200-C-E-I"/>
    <s v="NSE"/>
    <s v="Sell"/>
    <n v="75"/>
    <n v="0"/>
    <n v="59.25"/>
    <n v="4443.75"/>
    <s v="#202501153700014989"/>
    <n v="4"/>
    <n v="1.58"/>
    <n v="0"/>
    <n v="0"/>
    <n v="20"/>
    <n v="3.88"/>
    <n v="29.46"/>
    <n v="2025"/>
    <n v="1"/>
    <n v="2024"/>
    <n v="10"/>
    <n v="10"/>
    <x v="12"/>
    <x v="12"/>
    <n v="4414.29"/>
    <x v="286"/>
    <s v=""/>
  </r>
  <r>
    <x v="130"/>
    <s v="OPT-NIFTY-16-Jan-2025-23200-C-E-I"/>
    <s v="NSE"/>
    <s v="Buy"/>
    <n v="75"/>
    <n v="0"/>
    <n v="53.8"/>
    <n v="4035"/>
    <s v="#202501153700014377"/>
    <n v="0"/>
    <n v="1.43"/>
    <n v="0"/>
    <n v="0"/>
    <n v="20"/>
    <n v="3.86"/>
    <n v="25.29"/>
    <n v="2025"/>
    <n v="1"/>
    <n v="2024"/>
    <n v="10"/>
    <n v="10"/>
    <x v="12"/>
    <x v="12"/>
    <n v="-4060.29"/>
    <x v="1"/>
    <n v="-4060.29"/>
  </r>
  <r>
    <x v="131"/>
    <s v="OPT-NIFTY-30-Jan-2025-23800-C-E-I"/>
    <s v="NSE"/>
    <s v="Buy"/>
    <n v="100"/>
    <n v="0"/>
    <n v="10"/>
    <n v="1000"/>
    <s v="#202501243700020422"/>
    <n v="0"/>
    <n v="0.36"/>
    <n v="0"/>
    <n v="0"/>
    <n v="80"/>
    <n v="14.46"/>
    <n v="94.82"/>
    <n v="2025"/>
    <n v="1"/>
    <n v="2024"/>
    <n v="10"/>
    <n v="10"/>
    <x v="12"/>
    <x v="12"/>
    <n v="-1094.82"/>
    <x v="1"/>
    <n v="-1094.82"/>
  </r>
  <r>
    <x v="131"/>
    <s v="OPT-NIFTY-30-Jan-2025-23800-C-E-I"/>
    <s v="NSE"/>
    <s v="Buy"/>
    <n v="100"/>
    <n v="0"/>
    <n v="25.1"/>
    <n v="2510"/>
    <s v="#202501243700011763"/>
    <n v="0"/>
    <n v="0.89"/>
    <n v="0"/>
    <n v="0"/>
    <n v="80"/>
    <n v="14.56"/>
    <n v="95.45"/>
    <n v="2025"/>
    <n v="1"/>
    <n v="2024"/>
    <n v="10"/>
    <n v="10"/>
    <x v="12"/>
    <x v="12"/>
    <n v="-2605.4499999999998"/>
    <x v="1"/>
    <n v="-2605.4499999999998"/>
  </r>
  <r>
    <x v="132"/>
    <s v="OPT-NIFTY-30-Jan-2025-23800-C-E-I"/>
    <s v="NSE"/>
    <s v="Sell"/>
    <n v="200"/>
    <n v="0"/>
    <n v="3.1"/>
    <n v="620"/>
    <s v="#202501283700003738"/>
    <n v="1"/>
    <n v="0.22"/>
    <n v="0"/>
    <n v="0"/>
    <n v="160"/>
    <n v="28.84"/>
    <n v="190.06"/>
    <n v="2025"/>
    <n v="1"/>
    <n v="2024"/>
    <n v="10"/>
    <n v="10"/>
    <x v="12"/>
    <x v="12"/>
    <n v="429.94"/>
    <x v="287"/>
    <s v=""/>
  </r>
  <r>
    <x v="133"/>
    <s v="OPT-NIFTY-30-Jan-2025-23200-C-E-I"/>
    <s v="NSE"/>
    <s v="Sell"/>
    <n v="25"/>
    <n v="0"/>
    <n v="123.7"/>
    <n v="3092.5"/>
    <s v="#202501303700012285"/>
    <n v="3.09"/>
    <n v="1.1000000000000001"/>
    <n v="0"/>
    <n v="0"/>
    <n v="20"/>
    <n v="3.8"/>
    <n v="27.99"/>
    <n v="2025"/>
    <n v="1"/>
    <n v="2024"/>
    <n v="10"/>
    <n v="10"/>
    <x v="12"/>
    <x v="12"/>
    <n v="3064.51"/>
    <x v="288"/>
    <s v=""/>
  </r>
  <r>
    <x v="133"/>
    <s v="OPT-NIFTY-30-Jan-2025-23200-C-E-I"/>
    <s v="NSE"/>
    <s v="Buy"/>
    <n v="25"/>
    <n v="0"/>
    <n v="95.75"/>
    <n v="2393.75"/>
    <s v="#202501303700011667"/>
    <n v="0"/>
    <n v="0.85"/>
    <n v="0"/>
    <n v="0"/>
    <n v="20"/>
    <n v="3.76"/>
    <n v="24.61"/>
    <n v="2025"/>
    <n v="1"/>
    <n v="2024"/>
    <n v="10"/>
    <n v="10"/>
    <x v="12"/>
    <x v="12"/>
    <n v="-2418.36"/>
    <x v="1"/>
    <n v="-2418.36"/>
  </r>
  <r>
    <x v="133"/>
    <s v="OPT-NIFTY-30-Jan-2025-23200-C-E-I"/>
    <s v="NSE"/>
    <s v="Sell"/>
    <n v="100"/>
    <n v="0"/>
    <n v="115.25"/>
    <n v="11525"/>
    <s v="#202501303700005629"/>
    <n v="11.91"/>
    <n v="4.09"/>
    <n v="0"/>
    <n v="0.01"/>
    <n v="80"/>
    <n v="15.14"/>
    <n v="111.15"/>
    <n v="2025"/>
    <n v="1"/>
    <n v="2024"/>
    <n v="10"/>
    <n v="10"/>
    <x v="12"/>
    <x v="12"/>
    <n v="11413.85"/>
    <x v="289"/>
    <s v=""/>
  </r>
  <r>
    <x v="133"/>
    <s v="OPT-NIFTY-30-Jan-2025-23200-C-E-I"/>
    <s v="NSE"/>
    <s v="Buy"/>
    <n v="100"/>
    <n v="0"/>
    <n v="103.16"/>
    <n v="10316.25"/>
    <s v="#202501303700002724"/>
    <n v="0"/>
    <n v="3.67"/>
    <n v="0"/>
    <n v="0.01"/>
    <n v="80"/>
    <n v="15.06"/>
    <n v="98.74"/>
    <n v="2025"/>
    <n v="1"/>
    <n v="2024"/>
    <n v="10"/>
    <n v="10"/>
    <x v="12"/>
    <x v="12"/>
    <n v="-10414.99"/>
    <x v="1"/>
    <n v="-10414.99"/>
  </r>
  <r>
    <x v="134"/>
    <s v="OPT-NIFTY-06-Feb-2025-23450-C-E-I"/>
    <s v="NSE"/>
    <s v="Sell"/>
    <n v="75"/>
    <n v="0"/>
    <n v="307.25"/>
    <n v="23043.75"/>
    <s v="#202501313700014454"/>
    <n v="23.04"/>
    <n v="8.19"/>
    <n v="0"/>
    <n v="0.02"/>
    <n v="20"/>
    <n v="5.08"/>
    <n v="56.33"/>
    <n v="2025"/>
    <n v="1"/>
    <n v="2024"/>
    <n v="10"/>
    <n v="10"/>
    <x v="12"/>
    <x v="12"/>
    <n v="22987.42"/>
    <x v="290"/>
    <s v=""/>
  </r>
  <r>
    <x v="134"/>
    <s v="OPT-NIFTY-06-Feb-2025-23450-C-E-I"/>
    <s v="NSE"/>
    <s v="Buy"/>
    <n v="75"/>
    <n v="0"/>
    <n v="286"/>
    <n v="21450"/>
    <s v="#202501313700013663"/>
    <n v="0"/>
    <n v="7.62"/>
    <n v="0"/>
    <n v="0.02"/>
    <n v="20"/>
    <n v="4.9800000000000004"/>
    <n v="32.619999999999997"/>
    <n v="2025"/>
    <n v="1"/>
    <n v="2024"/>
    <n v="10"/>
    <n v="10"/>
    <x v="12"/>
    <x v="12"/>
    <n v="-21482.62"/>
    <x v="1"/>
    <n v="-21482.62"/>
  </r>
  <r>
    <x v="134"/>
    <s v="OPT-NIFTY-06-Feb-2025-23450-C-E-I"/>
    <s v="NSE"/>
    <s v="Sell"/>
    <n v="75"/>
    <n v="0"/>
    <n v="317.25"/>
    <n v="23793.75"/>
    <s v="#202501313700010076"/>
    <n v="23.79"/>
    <n v="8.4499999999999993"/>
    <n v="0"/>
    <n v="0.02"/>
    <n v="20"/>
    <n v="5.12"/>
    <n v="57.38"/>
    <n v="2025"/>
    <n v="1"/>
    <n v="2024"/>
    <n v="10"/>
    <n v="10"/>
    <x v="12"/>
    <x v="12"/>
    <n v="23736.37"/>
    <x v="291"/>
    <s v=""/>
  </r>
  <r>
    <x v="134"/>
    <s v="OPT-NIFTY-06-Feb-2025-23450-C-E-I"/>
    <s v="NSE"/>
    <s v="Buy"/>
    <n v="75"/>
    <n v="0"/>
    <n v="303.5"/>
    <n v="22762.5"/>
    <s v="#202501313700009811"/>
    <n v="0"/>
    <n v="8.09"/>
    <n v="1.33"/>
    <n v="0.02"/>
    <n v="20"/>
    <n v="5.0599999999999996"/>
    <n v="34.5"/>
    <n v="2025"/>
    <n v="1"/>
    <n v="2024"/>
    <n v="10"/>
    <n v="10"/>
    <x v="12"/>
    <x v="12"/>
    <n v="-22797"/>
    <x v="1"/>
    <n v="-22797"/>
  </r>
  <r>
    <x v="134"/>
    <s v="OPT-NIFTY-06-Feb-2025-23400-P-E-I"/>
    <s v="NSE"/>
    <s v="Sell"/>
    <n v="300"/>
    <n v="0"/>
    <n v="259.25"/>
    <n v="77775"/>
    <s v="#202501313700007943"/>
    <n v="77.77"/>
    <n v="27.64"/>
    <n v="0"/>
    <n v="0.08"/>
    <n v="80"/>
    <n v="19.38"/>
    <n v="204.87"/>
    <n v="2025"/>
    <n v="1"/>
    <n v="2024"/>
    <n v="10"/>
    <n v="10"/>
    <x v="12"/>
    <x v="12"/>
    <n v="77570.13"/>
    <x v="292"/>
    <s v=""/>
  </r>
  <r>
    <x v="134"/>
    <s v="OPT-NIFTY-06-Feb-2025-23400-P-E-I"/>
    <s v="NSE"/>
    <s v="Buy"/>
    <n v="150"/>
    <n v="0"/>
    <n v="246.25"/>
    <n v="36937.5"/>
    <s v="#202501313700007785"/>
    <n v="0"/>
    <n v="13.12"/>
    <n v="0"/>
    <n v="0.04"/>
    <n v="40"/>
    <n v="9.56"/>
    <n v="62.72"/>
    <n v="2025"/>
    <n v="1"/>
    <n v="2024"/>
    <n v="10"/>
    <n v="10"/>
    <x v="12"/>
    <x v="12"/>
    <n v="-37000.22"/>
    <x v="1"/>
    <n v="-37000.22"/>
  </r>
  <r>
    <x v="134"/>
    <s v="OPT-NIFTY-06-Feb-2025-23400-P-E-I"/>
    <s v="NSE"/>
    <s v="Buy"/>
    <n v="150"/>
    <n v="0"/>
    <n v="252.3"/>
    <n v="37845"/>
    <s v="#202501313700007702"/>
    <n v="0"/>
    <n v="13.45"/>
    <n v="3.67"/>
    <n v="0.04"/>
    <n v="40"/>
    <n v="9.6199999999999992"/>
    <n v="66.78"/>
    <n v="2025"/>
    <n v="1"/>
    <n v="2024"/>
    <n v="10"/>
    <n v="10"/>
    <x v="12"/>
    <x v="12"/>
    <n v="-37911.78"/>
    <x v="1"/>
    <n v="-37911.78"/>
  </r>
  <r>
    <x v="134"/>
    <s v="OPT-NIFTY-06-Feb-2025-23400-P-E-I"/>
    <s v="NSE"/>
    <s v="Sell"/>
    <n v="150"/>
    <n v="0"/>
    <n v="247.5"/>
    <n v="37125"/>
    <s v="#202501313700007564"/>
    <n v="37.380000000000003"/>
    <n v="13.2"/>
    <n v="0"/>
    <n v="0.04"/>
    <n v="40"/>
    <n v="9.6"/>
    <n v="100.22"/>
    <n v="2025"/>
    <n v="1"/>
    <n v="2024"/>
    <n v="10"/>
    <n v="10"/>
    <x v="12"/>
    <x v="12"/>
    <n v="37024.78"/>
    <x v="293"/>
    <s v=""/>
  </r>
  <r>
    <x v="134"/>
    <s v="OPT-NIFTY-06-Feb-2025-23400-P-E-I"/>
    <s v="NSE"/>
    <s v="Buy"/>
    <n v="75"/>
    <n v="0"/>
    <n v="242.1"/>
    <n v="18157.5"/>
    <s v="#202501313700006901"/>
    <n v="0"/>
    <n v="6.45"/>
    <n v="0"/>
    <n v="0.02"/>
    <n v="20"/>
    <n v="4.76"/>
    <n v="31.23"/>
    <n v="2025"/>
    <n v="1"/>
    <n v="2024"/>
    <n v="10"/>
    <n v="10"/>
    <x v="12"/>
    <x v="12"/>
    <n v="-18188.73"/>
    <x v="1"/>
    <n v="-18188.73"/>
  </r>
  <r>
    <x v="134"/>
    <s v="OPT-NIFTY-06-Feb-2025-23400-P-E-I"/>
    <s v="NSE"/>
    <s v="Buy"/>
    <n v="75"/>
    <n v="0"/>
    <n v="251.25"/>
    <n v="18843.75"/>
    <s v="#202501313700006839"/>
    <n v="0"/>
    <n v="6.7"/>
    <n v="0"/>
    <n v="0.02"/>
    <n v="20"/>
    <n v="4.8"/>
    <n v="31.52"/>
    <n v="2025"/>
    <n v="1"/>
    <n v="2024"/>
    <n v="10"/>
    <n v="10"/>
    <x v="12"/>
    <x v="12"/>
    <n v="-18875.27"/>
    <x v="1"/>
    <n v="-18875.27"/>
  </r>
  <r>
    <x v="135"/>
    <s v="OPT-NIFTY-06-Feb-2025-23600-C-E-I"/>
    <s v="NSE"/>
    <s v="Sell"/>
    <n v="300"/>
    <n v="0"/>
    <n v="103.8"/>
    <n v="31140"/>
    <s v="#202502013700022569"/>
    <n v="31"/>
    <n v="11.06"/>
    <n v="0"/>
    <n v="0.03"/>
    <n v="80"/>
    <n v="16.399999999999999"/>
    <n v="138.49"/>
    <n v="2025"/>
    <n v="2"/>
    <n v="2024"/>
    <n v="11"/>
    <n v="11"/>
    <x v="13"/>
    <x v="13"/>
    <n v="31001.51"/>
    <x v="294"/>
    <s v=""/>
  </r>
  <r>
    <x v="135"/>
    <s v="OPT-NIFTY-06-Feb-2025-23600-C-E-I"/>
    <s v="NSE"/>
    <s v="Buy"/>
    <n v="75"/>
    <n v="0"/>
    <n v="215.3"/>
    <n v="16147.5"/>
    <s v="#202502013700009017"/>
    <n v="0"/>
    <n v="5.74"/>
    <n v="0"/>
    <n v="0.02"/>
    <n v="20"/>
    <n v="4.6399999999999997"/>
    <n v="30.4"/>
    <n v="2025"/>
    <n v="2"/>
    <n v="2024"/>
    <n v="11"/>
    <n v="11"/>
    <x v="13"/>
    <x v="13"/>
    <n v="-16177.9"/>
    <x v="1"/>
    <n v="-16177.9"/>
  </r>
  <r>
    <x v="135"/>
    <s v="OPT-NIFTY-06-Feb-2025-23600-C-E-I"/>
    <s v="NSE"/>
    <s v="Buy"/>
    <n v="75"/>
    <n v="0"/>
    <n v="241.45"/>
    <n v="18108.75"/>
    <s v="#202502013700008356"/>
    <n v="0"/>
    <n v="6.43"/>
    <n v="0"/>
    <n v="0.02"/>
    <n v="20"/>
    <n v="4.76"/>
    <n v="31.21"/>
    <n v="2025"/>
    <n v="2"/>
    <n v="2024"/>
    <n v="11"/>
    <n v="11"/>
    <x v="13"/>
    <x v="13"/>
    <n v="-18139.96"/>
    <x v="1"/>
    <n v="-18139.96"/>
  </r>
  <r>
    <x v="135"/>
    <s v="OPT-NIFTY-06-Feb-2025-23600-C-E-I"/>
    <s v="NSE"/>
    <s v="Buy"/>
    <n v="75"/>
    <n v="0"/>
    <n v="242.1"/>
    <n v="18157.5"/>
    <s v="#202502013700007399"/>
    <n v="0"/>
    <n v="6.45"/>
    <n v="0"/>
    <n v="0.02"/>
    <n v="20"/>
    <n v="4.76"/>
    <n v="31.23"/>
    <n v="2025"/>
    <n v="2"/>
    <n v="2024"/>
    <n v="11"/>
    <n v="11"/>
    <x v="13"/>
    <x v="13"/>
    <n v="-18188.73"/>
    <x v="1"/>
    <n v="-18188.73"/>
  </r>
  <r>
    <x v="135"/>
    <s v="OPT-NIFTY-06-Feb-2025-23600-C-E-I"/>
    <s v="NSE"/>
    <s v="Buy"/>
    <n v="75"/>
    <n v="0"/>
    <n v="252"/>
    <n v="18900"/>
    <s v="#202502013700006973"/>
    <n v="0"/>
    <n v="6.72"/>
    <n v="2"/>
    <n v="0.02"/>
    <n v="20"/>
    <n v="4.82"/>
    <n v="33.56"/>
    <n v="2025"/>
    <n v="2"/>
    <n v="2024"/>
    <n v="11"/>
    <n v="11"/>
    <x v="13"/>
    <x v="13"/>
    <n v="-18933.560000000001"/>
    <x v="1"/>
    <n v="-18933.560000000001"/>
  </r>
  <r>
    <x v="136"/>
    <s v="OPT-NIFTY-06-Feb-2025-23300-C-E-I"/>
    <s v="NSE"/>
    <s v="Sell"/>
    <n v="150"/>
    <n v="0"/>
    <n v="169.95"/>
    <n v="25492.5"/>
    <s v="#202502033700012940"/>
    <n v="25"/>
    <n v="9.06"/>
    <n v="0"/>
    <n v="0.03"/>
    <n v="40"/>
    <n v="8.84"/>
    <n v="82.93"/>
    <n v="2025"/>
    <n v="2"/>
    <n v="2024"/>
    <n v="11"/>
    <n v="11"/>
    <x v="13"/>
    <x v="13"/>
    <n v="25409.57"/>
    <x v="295"/>
    <s v=""/>
  </r>
  <r>
    <x v="136"/>
    <s v="OPT-NIFTY-06-Feb-2025-23300-C-E-I"/>
    <s v="NSE"/>
    <s v="Buy"/>
    <n v="75"/>
    <n v="0"/>
    <n v="120.15"/>
    <n v="9011.25"/>
    <s v="#202502033700010414"/>
    <n v="0"/>
    <n v="3.2"/>
    <n v="0"/>
    <n v="0.01"/>
    <n v="20"/>
    <n v="4.18"/>
    <n v="27.39"/>
    <n v="2025"/>
    <n v="2"/>
    <n v="2024"/>
    <n v="11"/>
    <n v="11"/>
    <x v="13"/>
    <x v="13"/>
    <n v="-9038.64"/>
    <x v="1"/>
    <n v="-9038.64"/>
  </r>
  <r>
    <x v="136"/>
    <s v="OPT-NIFTY-06-Feb-2025-23300-C-E-I"/>
    <s v="NSE"/>
    <s v="Buy"/>
    <n v="75"/>
    <n v="0"/>
    <n v="157.69999999999999"/>
    <n v="11827.5"/>
    <s v="#202502033700002244"/>
    <n v="0"/>
    <n v="4.2"/>
    <n v="1"/>
    <n v="0.01"/>
    <n v="20"/>
    <n v="4.3600000000000003"/>
    <n v="29.57"/>
    <n v="2025"/>
    <n v="2"/>
    <n v="2024"/>
    <n v="11"/>
    <n v="11"/>
    <x v="13"/>
    <x v="13"/>
    <n v="-11857.07"/>
    <x v="1"/>
    <n v="-11857.07"/>
  </r>
  <r>
    <x v="137"/>
    <s v="OPT-NIFTY-06-Feb-2025-23700-P-E-I"/>
    <s v="NSE"/>
    <s v="Sell"/>
    <n v="150"/>
    <n v="0"/>
    <n v="169.25"/>
    <n v="25387.5"/>
    <s v="#202502043700016451"/>
    <n v="25.39"/>
    <n v="9.02"/>
    <n v="0"/>
    <n v="0.03"/>
    <n v="40"/>
    <n v="8.82"/>
    <n v="83.26"/>
    <n v="2025"/>
    <n v="2"/>
    <n v="2024"/>
    <n v="11"/>
    <n v="11"/>
    <x v="13"/>
    <x v="13"/>
    <n v="25304.240000000002"/>
    <x v="296"/>
    <s v=""/>
  </r>
  <r>
    <x v="137"/>
    <s v="OPT-NIFTY-06-Feb-2025-23700-P-E-I"/>
    <s v="NSE"/>
    <s v="Buy"/>
    <n v="75"/>
    <n v="0"/>
    <n v="145.69999999999999"/>
    <n v="10927.5"/>
    <s v="#202502043700016083"/>
    <n v="0"/>
    <n v="3.88"/>
    <n v="0"/>
    <n v="0.01"/>
    <n v="20"/>
    <n v="4.3"/>
    <n v="28.19"/>
    <n v="2025"/>
    <n v="2"/>
    <n v="2024"/>
    <n v="11"/>
    <n v="11"/>
    <x v="13"/>
    <x v="13"/>
    <n v="-10955.69"/>
    <x v="1"/>
    <n v="-10955.69"/>
  </r>
  <r>
    <x v="137"/>
    <s v="OPT-NIFTY-06-Feb-2025-23700-P-E-I"/>
    <s v="NSE"/>
    <s v="Buy"/>
    <n v="75"/>
    <n v="0"/>
    <n v="157.69999999999999"/>
    <n v="11827.5"/>
    <s v="#202502043700015061"/>
    <n v="0"/>
    <n v="4.2"/>
    <n v="0.52"/>
    <n v="0.01"/>
    <n v="20"/>
    <n v="4.3600000000000003"/>
    <n v="29.09"/>
    <n v="2025"/>
    <n v="2"/>
    <n v="2024"/>
    <n v="11"/>
    <n v="11"/>
    <x v="13"/>
    <x v="13"/>
    <n v="-11856.59"/>
    <x v="1"/>
    <n v="-11856.59"/>
  </r>
  <r>
    <x v="137"/>
    <s v="OPT-NIFTY-06-Feb-2025-23350-P-E-I"/>
    <s v="NSE"/>
    <s v="Sell"/>
    <n v="75"/>
    <n v="0"/>
    <n v="72"/>
    <n v="5400"/>
    <s v="#202502043700005707"/>
    <n v="5.4"/>
    <n v="1.92"/>
    <n v="0"/>
    <n v="0.01"/>
    <n v="20"/>
    <n v="3.94"/>
    <n v="31.27"/>
    <n v="2025"/>
    <n v="2"/>
    <n v="2024"/>
    <n v="11"/>
    <n v="11"/>
    <x v="13"/>
    <x v="13"/>
    <n v="5368.73"/>
    <x v="297"/>
    <s v=""/>
  </r>
  <r>
    <x v="137"/>
    <s v="OPT-NIFTY-06-Feb-2025-23600-P-E-I"/>
    <s v="NSE"/>
    <s v="Sell"/>
    <n v="75"/>
    <n v="0"/>
    <n v="169.75"/>
    <n v="12731.25"/>
    <s v="#202502043700005659"/>
    <n v="13.21"/>
    <n v="4.5199999999999996"/>
    <n v="0"/>
    <n v="0.01"/>
    <n v="20"/>
    <n v="4.42"/>
    <n v="42.16"/>
    <n v="2025"/>
    <n v="2"/>
    <n v="2024"/>
    <n v="11"/>
    <n v="11"/>
    <x v="13"/>
    <x v="13"/>
    <n v="12689.09"/>
    <x v="298"/>
    <s v=""/>
  </r>
  <r>
    <x v="137"/>
    <s v="OPT-NIFTY-06-Feb-2025-23600-P-E-I"/>
    <s v="NSE"/>
    <s v="Buy"/>
    <n v="75"/>
    <n v="0"/>
    <n v="150.44999999999999"/>
    <n v="11283.75"/>
    <s v="#202502043700004836"/>
    <n v="0"/>
    <n v="4.01"/>
    <n v="0.34"/>
    <n v="0.01"/>
    <n v="20"/>
    <n v="4.32"/>
    <n v="28.68"/>
    <n v="2025"/>
    <n v="2"/>
    <n v="2024"/>
    <n v="11"/>
    <n v="11"/>
    <x v="13"/>
    <x v="13"/>
    <n v="-11312.43"/>
    <x v="1"/>
    <n v="-11312.43"/>
  </r>
  <r>
    <x v="137"/>
    <s v="OPT-NIFTY-06-Feb-2025-23350-P-E-I"/>
    <s v="NSE"/>
    <s v="Buy"/>
    <n v="75"/>
    <n v="0"/>
    <n v="61.25"/>
    <n v="4593.75"/>
    <s v="#202502043700002651"/>
    <n v="0"/>
    <n v="1.63"/>
    <n v="0.14000000000000001"/>
    <n v="0"/>
    <n v="20"/>
    <n v="3.9"/>
    <n v="25.67"/>
    <n v="2025"/>
    <n v="2"/>
    <n v="2024"/>
    <n v="11"/>
    <n v="11"/>
    <x v="13"/>
    <x v="13"/>
    <n v="-4619.42"/>
    <x v="1"/>
    <n v="-4619.42"/>
  </r>
  <r>
    <x v="138"/>
    <s v="OPT-NIFTY-06-Feb-2025-23750-P-E-I"/>
    <s v="NSE"/>
    <s v="Sell"/>
    <n v="375"/>
    <n v="0"/>
    <n v="93.25"/>
    <n v="34968.75"/>
    <s v="#202502053700010640"/>
    <n v="35"/>
    <n v="12.42"/>
    <n v="0"/>
    <n v="0.03"/>
    <n v="100"/>
    <n v="20.239999999999998"/>
    <n v="167.69"/>
    <n v="2025"/>
    <n v="2"/>
    <n v="2024"/>
    <n v="11"/>
    <n v="11"/>
    <x v="13"/>
    <x v="13"/>
    <n v="34801.06"/>
    <x v="299"/>
    <s v=""/>
  </r>
  <r>
    <x v="138"/>
    <s v="OPT-NIFTY-06-Feb-2025-23750-P-E-I"/>
    <s v="NSE"/>
    <s v="Buy"/>
    <n v="75"/>
    <n v="0"/>
    <n v="79.55"/>
    <n v="5966.25"/>
    <s v="#202502053700007071"/>
    <n v="0"/>
    <n v="2.12"/>
    <n v="0"/>
    <n v="0.01"/>
    <n v="20"/>
    <n v="3.98"/>
    <n v="26.11"/>
    <n v="2025"/>
    <n v="2"/>
    <n v="2024"/>
    <n v="11"/>
    <n v="11"/>
    <x v="13"/>
    <x v="13"/>
    <n v="-5992.36"/>
    <x v="1"/>
    <n v="-5992.36"/>
  </r>
  <r>
    <x v="138"/>
    <s v="OPT-NIFTY-06-Feb-2025-23750-P-E-I"/>
    <s v="NSE"/>
    <s v="Buy"/>
    <n v="75"/>
    <n v="0"/>
    <n v="91.65"/>
    <n v="6873.75"/>
    <s v="#202502053700005846"/>
    <n v="0"/>
    <n v="2.44"/>
    <n v="0"/>
    <n v="0.01"/>
    <n v="20"/>
    <n v="4.04"/>
    <n v="26.49"/>
    <n v="2025"/>
    <n v="2"/>
    <n v="2024"/>
    <n v="11"/>
    <n v="11"/>
    <x v="13"/>
    <x v="13"/>
    <n v="-6900.24"/>
    <x v="1"/>
    <n v="-6900.24"/>
  </r>
  <r>
    <x v="138"/>
    <s v="OPT-NIFTY-06-Feb-2025-23750-P-E-I"/>
    <s v="NSE"/>
    <s v="Buy"/>
    <n v="75"/>
    <n v="0"/>
    <n v="83"/>
    <n v="6225"/>
    <s v="#202502053700005009"/>
    <n v="0"/>
    <n v="2.21"/>
    <n v="0"/>
    <n v="0.01"/>
    <n v="20"/>
    <n v="4"/>
    <n v="26.22"/>
    <n v="2025"/>
    <n v="2"/>
    <n v="2024"/>
    <n v="11"/>
    <n v="11"/>
    <x v="13"/>
    <x v="13"/>
    <n v="-6251.22"/>
    <x v="1"/>
    <n v="-6251.22"/>
  </r>
  <r>
    <x v="138"/>
    <s v="OPT-NIFTY-06-Feb-2025-23750-P-E-I"/>
    <s v="NSE"/>
    <s v="Buy"/>
    <n v="75"/>
    <n v="0"/>
    <n v="92.25"/>
    <n v="6918.75"/>
    <s v="#202502053700004932"/>
    <n v="0"/>
    <n v="2.46"/>
    <n v="1"/>
    <n v="0.01"/>
    <n v="20"/>
    <n v="4.04"/>
    <n v="27.51"/>
    <n v="2025"/>
    <n v="2"/>
    <n v="2024"/>
    <n v="11"/>
    <n v="11"/>
    <x v="13"/>
    <x v="13"/>
    <n v="-6946.26"/>
    <x v="1"/>
    <n v="-6946.26"/>
  </r>
  <r>
    <x v="138"/>
    <s v="OPT-NIFTY-06-Feb-2025-23750-P-E-I"/>
    <s v="NSE"/>
    <s v="Buy"/>
    <n v="75"/>
    <n v="0"/>
    <n v="92"/>
    <n v="6900"/>
    <s v="#202502053700004768"/>
    <n v="0"/>
    <n v="2.4500000000000002"/>
    <n v="0"/>
    <n v="0.01"/>
    <n v="20"/>
    <n v="4.04"/>
    <n v="26.5"/>
    <n v="2025"/>
    <n v="2"/>
    <n v="2024"/>
    <n v="11"/>
    <n v="11"/>
    <x v="13"/>
    <x v="13"/>
    <n v="-6926.5"/>
    <x v="1"/>
    <n v="-6926.5"/>
  </r>
  <r>
    <x v="139"/>
    <s v="OPT-NIFTY-06-Feb-2025-23650-C-E-I"/>
    <s v="NSE"/>
    <s v="Sell"/>
    <n v="750"/>
    <n v="0"/>
    <n v="8"/>
    <n v="6000"/>
    <s v="#202502063700012203"/>
    <n v="6"/>
    <n v="2.13"/>
    <n v="0"/>
    <n v="0"/>
    <n v="200"/>
    <n v="36.380000000000003"/>
    <n v="244.51"/>
    <n v="2025"/>
    <n v="2"/>
    <n v="2024"/>
    <n v="11"/>
    <n v="11"/>
    <x v="13"/>
    <x v="13"/>
    <n v="5755.49"/>
    <x v="300"/>
    <s v=""/>
  </r>
  <r>
    <x v="139"/>
    <s v="OPT-NIFTY-06-Feb-2025-23650-C-E-I"/>
    <s v="NSE"/>
    <s v="Buy"/>
    <n v="750"/>
    <n v="0"/>
    <n v="13.7"/>
    <n v="10275"/>
    <s v="#202502063700009958"/>
    <n v="0"/>
    <n v="3.65"/>
    <n v="1"/>
    <n v="0.01"/>
    <n v="200"/>
    <n v="36.659999999999997"/>
    <n v="241.32"/>
    <n v="2025"/>
    <n v="2"/>
    <n v="2024"/>
    <n v="11"/>
    <n v="11"/>
    <x v="13"/>
    <x v="13"/>
    <n v="-10516.32"/>
    <x v="1"/>
    <n v="-10516.32"/>
  </r>
  <r>
    <x v="139"/>
    <s v="OPT-NIFTY-06-Feb-2025-23650-C-E-I"/>
    <s v="NSE"/>
    <s v="Sell"/>
    <n v="600"/>
    <n v="0"/>
    <n v="22.25"/>
    <n v="13350"/>
    <s v="#202502063700007918"/>
    <n v="13.01"/>
    <n v="4.74"/>
    <n v="0"/>
    <n v="0.02"/>
    <n v="160"/>
    <n v="29.64"/>
    <n v="207.41"/>
    <n v="2025"/>
    <n v="2"/>
    <n v="2024"/>
    <n v="11"/>
    <n v="11"/>
    <x v="13"/>
    <x v="13"/>
    <n v="13142.59"/>
    <x v="301"/>
    <s v=""/>
  </r>
  <r>
    <x v="139"/>
    <s v="OPT-NIFTY-06-Feb-2025-23650-C-E-I"/>
    <s v="NSE"/>
    <s v="Buy"/>
    <n v="300"/>
    <n v="0"/>
    <n v="26.25"/>
    <n v="7875"/>
    <s v="#202502063700007382"/>
    <n v="0"/>
    <n v="2.8"/>
    <n v="0"/>
    <n v="0.01"/>
    <n v="80"/>
    <n v="14.9"/>
    <n v="97.71"/>
    <n v="2025"/>
    <n v="2"/>
    <n v="2024"/>
    <n v="11"/>
    <n v="11"/>
    <x v="13"/>
    <x v="13"/>
    <n v="-7972.71"/>
    <x v="1"/>
    <n v="-7972.71"/>
  </r>
  <r>
    <x v="139"/>
    <s v="OPT-NIFTY-06-Feb-2025-23650-C-E-I"/>
    <s v="NSE"/>
    <s v="Buy"/>
    <n v="300"/>
    <n v="0"/>
    <n v="31.5"/>
    <n v="9450"/>
    <s v="#202502063700006734"/>
    <n v="0"/>
    <n v="3.36"/>
    <n v="0"/>
    <n v="0"/>
    <n v="80"/>
    <n v="15.02"/>
    <n v="98.38"/>
    <n v="2025"/>
    <n v="2"/>
    <n v="2024"/>
    <n v="11"/>
    <n v="11"/>
    <x v="13"/>
    <x v="13"/>
    <n v="-9548.3799999999992"/>
    <x v="1"/>
    <n v="-9548.3799999999992"/>
  </r>
  <r>
    <x v="140"/>
    <s v="OPT-NIFTY-13-Feb-2025-23750-C-E-I"/>
    <s v="NSE"/>
    <s v="Sell"/>
    <n v="150"/>
    <n v="0"/>
    <n v="62"/>
    <n v="9300"/>
    <s v="#202502073700015043"/>
    <n v="9.3000000000000007"/>
    <n v="3.3"/>
    <n v="0"/>
    <n v="0"/>
    <n v="40"/>
    <n v="7.8"/>
    <n v="60.4"/>
    <n v="2025"/>
    <n v="2"/>
    <n v="2024"/>
    <n v="11"/>
    <n v="11"/>
    <x v="13"/>
    <x v="13"/>
    <n v="9239.6"/>
    <x v="302"/>
    <s v=""/>
  </r>
  <r>
    <x v="140"/>
    <s v="OPT-NIFTY-13-Feb-2025-23750-C-E-I"/>
    <s v="NSE"/>
    <s v="Buy"/>
    <n v="75"/>
    <n v="0"/>
    <n v="71.900000000000006"/>
    <n v="5392.5"/>
    <s v="#202502073700014524"/>
    <n v="0"/>
    <n v="1.92"/>
    <n v="0"/>
    <n v="0.01"/>
    <n v="20"/>
    <n v="3.94"/>
    <n v="25.87"/>
    <n v="2025"/>
    <n v="2"/>
    <n v="2024"/>
    <n v="11"/>
    <n v="11"/>
    <x v="13"/>
    <x v="13"/>
    <n v="-5418.37"/>
    <x v="1"/>
    <n v="-5418.37"/>
  </r>
  <r>
    <x v="140"/>
    <s v="OPT-NIFTY-13-Feb-2025-23750-C-E-I"/>
    <s v="NSE"/>
    <s v="Buy"/>
    <n v="75"/>
    <n v="0"/>
    <n v="92.1"/>
    <n v="6907.5"/>
    <s v="#202502073700012222"/>
    <n v="0"/>
    <n v="2.4500000000000002"/>
    <n v="0"/>
    <n v="0.01"/>
    <n v="20"/>
    <n v="4.04"/>
    <n v="26.5"/>
    <n v="2025"/>
    <n v="2"/>
    <n v="2024"/>
    <n v="11"/>
    <n v="11"/>
    <x v="13"/>
    <x v="13"/>
    <n v="-6934"/>
    <x v="1"/>
    <n v="-6934"/>
  </r>
  <r>
    <x v="140"/>
    <s v="OPT-NIFTY-13-Feb-2025-23550-P-E-I"/>
    <s v="NSE"/>
    <s v="Sell"/>
    <n v="150"/>
    <n v="0"/>
    <n v="116.25"/>
    <n v="17437.5"/>
    <s v="#202502073700010081"/>
    <n v="17.440000000000001"/>
    <n v="6.2"/>
    <n v="0"/>
    <n v="0.02"/>
    <n v="40"/>
    <n v="8.32"/>
    <n v="71.98"/>
    <n v="2025"/>
    <n v="2"/>
    <n v="2024"/>
    <n v="11"/>
    <n v="11"/>
    <x v="13"/>
    <x v="13"/>
    <n v="17365.52"/>
    <x v="303"/>
    <s v=""/>
  </r>
  <r>
    <x v="140"/>
    <s v="OPT-NIFTY-13-Feb-2025-23550-P-E-I"/>
    <s v="NSE"/>
    <s v="Buy"/>
    <n v="150"/>
    <n v="0"/>
    <n v="96"/>
    <n v="14400"/>
    <s v="#202502073700009473"/>
    <n v="0"/>
    <n v="5.12"/>
    <n v="0.43"/>
    <n v="0.02"/>
    <n v="40"/>
    <n v="8.1199999999999992"/>
    <n v="53.69"/>
    <n v="2025"/>
    <n v="2"/>
    <n v="2024"/>
    <n v="11"/>
    <n v="11"/>
    <x v="13"/>
    <x v="13"/>
    <n v="-14453.69"/>
    <x v="1"/>
    <n v="-14453.69"/>
  </r>
  <r>
    <x v="140"/>
    <s v="OPT-NIFTY-13-Feb-2025-23750-C-E-I"/>
    <s v="NSE"/>
    <s v="Sell"/>
    <n v="150"/>
    <n v="0"/>
    <n v="120"/>
    <n v="18000"/>
    <s v="#202502073700003436"/>
    <n v="18"/>
    <n v="6.4"/>
    <n v="0"/>
    <n v="0.02"/>
    <n v="40"/>
    <n v="8.36"/>
    <n v="72.78"/>
    <n v="2025"/>
    <n v="2"/>
    <n v="2024"/>
    <n v="11"/>
    <n v="11"/>
    <x v="13"/>
    <x v="13"/>
    <n v="17927.22"/>
    <x v="304"/>
    <s v=""/>
  </r>
  <r>
    <x v="140"/>
    <s v="OPT-NIFTY-13-Feb-2025-23750-C-E-I"/>
    <s v="NSE"/>
    <s v="Buy"/>
    <n v="150"/>
    <n v="0"/>
    <n v="133"/>
    <n v="19950"/>
    <s v="#202502073700002997"/>
    <n v="0"/>
    <n v="7.09"/>
    <n v="1.57"/>
    <n v="0.02"/>
    <n v="40"/>
    <n v="8.48"/>
    <n v="57.16"/>
    <n v="2025"/>
    <n v="2"/>
    <n v="2024"/>
    <n v="11"/>
    <n v="11"/>
    <x v="13"/>
    <x v="13"/>
    <n v="-20007.16"/>
    <x v="1"/>
    <n v="-20007.16"/>
  </r>
  <r>
    <x v="140"/>
    <s v="OPT-NIFTY-13-Feb-2025-23750-C-E-I"/>
    <s v="NSE"/>
    <s v="Sell"/>
    <n v="75"/>
    <n v="0"/>
    <n v="127.7"/>
    <n v="9577.5"/>
    <s v="#202502073700002641"/>
    <n v="9.26"/>
    <n v="3.4"/>
    <n v="0"/>
    <n v="0.01"/>
    <n v="20"/>
    <n v="4.22"/>
    <n v="36.89"/>
    <n v="2025"/>
    <n v="2"/>
    <n v="2024"/>
    <n v="11"/>
    <n v="11"/>
    <x v="13"/>
    <x v="13"/>
    <n v="9540.61"/>
    <x v="305"/>
    <s v=""/>
  </r>
  <r>
    <x v="140"/>
    <s v="OPT-NIFTY-13-Feb-2025-23750-C-E-I"/>
    <s v="NSE"/>
    <s v="Buy"/>
    <n v="75"/>
    <n v="0"/>
    <n v="132.25"/>
    <n v="9918.75"/>
    <s v="#202502073700002307"/>
    <n v="0"/>
    <n v="3.52"/>
    <n v="0"/>
    <n v="0.01"/>
    <n v="20"/>
    <n v="4.24"/>
    <n v="27.77"/>
    <n v="2025"/>
    <n v="2"/>
    <n v="2024"/>
    <n v="11"/>
    <n v="11"/>
    <x v="13"/>
    <x v="13"/>
    <n v="-9946.52"/>
    <x v="1"/>
    <n v="-9946.52"/>
  </r>
  <r>
    <x v="141"/>
    <s v="OPT-NIFTY-13-Feb-2025-23150-P-E-I"/>
    <s v="NSE"/>
    <s v="Sell"/>
    <n v="75"/>
    <n v="0"/>
    <n v="185.1"/>
    <n v="13882.5"/>
    <s v="#202502113700013444"/>
    <n v="14"/>
    <n v="4.93"/>
    <n v="0"/>
    <n v="0.01"/>
    <n v="20"/>
    <n v="4.4800000000000004"/>
    <n v="43.42"/>
    <n v="2025"/>
    <n v="2"/>
    <n v="2024"/>
    <n v="11"/>
    <n v="11"/>
    <x v="13"/>
    <x v="13"/>
    <n v="13839.08"/>
    <x v="306"/>
    <s v=""/>
  </r>
  <r>
    <x v="141"/>
    <s v="OPT-NIFTY-13-Feb-2025-23150-P-E-I"/>
    <s v="NSE"/>
    <s v="Buy"/>
    <n v="75"/>
    <n v="0"/>
    <n v="62.5"/>
    <n v="4687.5"/>
    <s v="#202502113700009822"/>
    <n v="0"/>
    <n v="1.67"/>
    <n v="0"/>
    <n v="0"/>
    <n v="20"/>
    <n v="3.9"/>
    <n v="25.57"/>
    <n v="2025"/>
    <n v="2"/>
    <n v="2024"/>
    <n v="11"/>
    <n v="11"/>
    <x v="13"/>
    <x v="13"/>
    <n v="-4713.07"/>
    <x v="1"/>
    <n v="-4713.07"/>
  </r>
  <r>
    <x v="142"/>
    <s v="OPT-NIFTY-13-Feb-2025-23300-C-E-I"/>
    <s v="NSE"/>
    <s v="Buy"/>
    <n v="300"/>
    <n v="0"/>
    <n v="41.5"/>
    <n v="12450"/>
    <s v="#202502123700019547"/>
    <n v="0"/>
    <n v="4.42"/>
    <n v="0.18"/>
    <n v="0.01"/>
    <n v="80"/>
    <n v="15.2"/>
    <n v="99.81"/>
    <n v="2025"/>
    <n v="2"/>
    <n v="2024"/>
    <n v="11"/>
    <n v="11"/>
    <x v="13"/>
    <x v="13"/>
    <n v="-12549.81"/>
    <x v="1"/>
    <n v="-12549.81"/>
  </r>
  <r>
    <x v="142"/>
    <s v="OPT-NIFTY-13-Feb-2025-22950-P-E-I"/>
    <s v="NSE"/>
    <s v="Sell"/>
    <n v="150"/>
    <n v="0"/>
    <n v="35"/>
    <n v="5250"/>
    <s v="#202502123700019440"/>
    <n v="5.26"/>
    <n v="1.86"/>
    <n v="0"/>
    <n v="0"/>
    <n v="40"/>
    <n v="7.52"/>
    <n v="54.64"/>
    <n v="2025"/>
    <n v="2"/>
    <n v="2024"/>
    <n v="11"/>
    <n v="11"/>
    <x v="13"/>
    <x v="13"/>
    <n v="5195.3599999999997"/>
    <x v="307"/>
    <s v=""/>
  </r>
  <r>
    <x v="142"/>
    <s v="OPT-NIFTY-13-Feb-2025-22950-P-E-I"/>
    <s v="NSE"/>
    <s v="Buy"/>
    <n v="75"/>
    <n v="0"/>
    <n v="65"/>
    <n v="4875"/>
    <s v="#202502123700015237"/>
    <n v="0"/>
    <n v="1.73"/>
    <n v="0"/>
    <n v="0"/>
    <n v="20"/>
    <n v="3.92"/>
    <n v="25.65"/>
    <n v="2025"/>
    <n v="2"/>
    <n v="2024"/>
    <n v="11"/>
    <n v="11"/>
    <x v="13"/>
    <x v="13"/>
    <n v="-4900.6499999999996"/>
    <x v="1"/>
    <n v="-4900.6499999999996"/>
  </r>
  <r>
    <x v="142"/>
    <s v="OPT-NIFTY-13-Feb-2025-23050-C-E-I"/>
    <s v="NSE"/>
    <s v="Sell"/>
    <n v="75"/>
    <n v="0"/>
    <n v="120.35"/>
    <n v="9026.25"/>
    <s v="#202502123700015017"/>
    <n v="9.0299999999999994"/>
    <n v="3.21"/>
    <n v="0"/>
    <n v="0.01"/>
    <n v="20"/>
    <n v="4.18"/>
    <n v="36.43"/>
    <n v="2025"/>
    <n v="2"/>
    <n v="2024"/>
    <n v="11"/>
    <n v="11"/>
    <x v="13"/>
    <x v="13"/>
    <n v="8989.82"/>
    <x v="308"/>
    <s v=""/>
  </r>
  <r>
    <x v="142"/>
    <s v="OPT-NIFTY-13-Feb-2025-23050-C-E-I"/>
    <s v="NSE"/>
    <s v="Buy"/>
    <n v="75"/>
    <n v="0"/>
    <n v="95.5"/>
    <n v="7162.5"/>
    <s v="#202502123700013613"/>
    <n v="0"/>
    <n v="2.54"/>
    <n v="0.21"/>
    <n v="0.01"/>
    <n v="20"/>
    <n v="4.0599999999999996"/>
    <n v="26.82"/>
    <n v="2025"/>
    <n v="2"/>
    <n v="2024"/>
    <n v="11"/>
    <n v="11"/>
    <x v="13"/>
    <x v="13"/>
    <n v="-7189.32"/>
    <x v="1"/>
    <n v="-7189.32"/>
  </r>
  <r>
    <x v="142"/>
    <s v="OPT-NIFTY-13-Feb-2025-22950-P-E-I"/>
    <s v="NSE"/>
    <s v="Buy"/>
    <n v="75"/>
    <n v="0"/>
    <n v="101.25"/>
    <n v="7593.75"/>
    <s v="#202502123700012516"/>
    <n v="0"/>
    <n v="2.7"/>
    <n v="0.37"/>
    <n v="0.01"/>
    <n v="20"/>
    <n v="4.08"/>
    <n v="27.16"/>
    <n v="2025"/>
    <n v="2"/>
    <n v="2024"/>
    <n v="11"/>
    <n v="11"/>
    <x v="13"/>
    <x v="13"/>
    <n v="-7620.91"/>
    <x v="1"/>
    <n v="-7620.91"/>
  </r>
  <r>
    <x v="142"/>
    <s v="OPT-NIFTY-13-Feb-2025-22850-C-E-I"/>
    <s v="NSE"/>
    <s v="Sell"/>
    <n v="75"/>
    <n v="0"/>
    <n v="127"/>
    <n v="9525"/>
    <s v="#202502123700007865"/>
    <n v="9.7200000000000006"/>
    <n v="3.38"/>
    <n v="0"/>
    <n v="0.01"/>
    <n v="20"/>
    <n v="4.22"/>
    <n v="37.33"/>
    <n v="2025"/>
    <n v="2"/>
    <n v="2024"/>
    <n v="11"/>
    <n v="11"/>
    <x v="13"/>
    <x v="13"/>
    <n v="9487.67"/>
    <x v="309"/>
    <s v=""/>
  </r>
  <r>
    <x v="142"/>
    <s v="OPT-NIFTY-13-Feb-2025-22850-C-E-I"/>
    <s v="NSE"/>
    <s v="Buy"/>
    <n v="75"/>
    <n v="0"/>
    <n v="107.15"/>
    <n v="8036.25"/>
    <s v="#202502123700006341"/>
    <n v="0"/>
    <n v="2.86"/>
    <n v="0.24"/>
    <n v="0.01"/>
    <n v="20"/>
    <n v="4.12"/>
    <n v="27.23"/>
    <n v="2025"/>
    <n v="2"/>
    <n v="2024"/>
    <n v="11"/>
    <n v="11"/>
    <x v="13"/>
    <x v="13"/>
    <n v="-8063.48"/>
    <x v="1"/>
    <n v="-8063.48"/>
  </r>
  <r>
    <x v="143"/>
    <s v="OPT-NIFTY-13-Feb-2025-23300-C-E-I"/>
    <s v="NSE"/>
    <s v="Sell"/>
    <n v="300"/>
    <n v="0"/>
    <n v="3.9"/>
    <n v="1170"/>
    <s v="#202502133700015608"/>
    <n v="1"/>
    <n v="0.42"/>
    <n v="0"/>
    <n v="0"/>
    <n v="80"/>
    <n v="14.48"/>
    <n v="95.9"/>
    <n v="2025"/>
    <n v="2"/>
    <n v="2024"/>
    <n v="11"/>
    <n v="11"/>
    <x v="13"/>
    <x v="13"/>
    <n v="1074.0999999999999"/>
    <x v="310"/>
    <s v=""/>
  </r>
  <r>
    <x v="144"/>
    <s v="OPT-NIFTY-20-Feb-2025-23000-C-E-I"/>
    <s v="NSE"/>
    <s v="Sell"/>
    <n v="150"/>
    <n v="0"/>
    <n v="147.25"/>
    <n v="22087.5"/>
    <s v="#202502173700017869"/>
    <n v="22.09"/>
    <n v="7.85"/>
    <n v="0"/>
    <n v="0.02"/>
    <n v="40"/>
    <n v="8.6199999999999992"/>
    <n v="78.58"/>
    <n v="2025"/>
    <n v="2"/>
    <n v="2024"/>
    <n v="11"/>
    <n v="11"/>
    <x v="13"/>
    <x v="13"/>
    <n v="22008.92"/>
    <x v="311"/>
    <s v=""/>
  </r>
  <r>
    <x v="144"/>
    <s v="OPT-NIFTY-20-Feb-2025-23000-C-E-I"/>
    <s v="NSE"/>
    <s v="Buy"/>
    <n v="150"/>
    <n v="0"/>
    <n v="142"/>
    <n v="21300"/>
    <s v="#202502173700017763"/>
    <n v="0"/>
    <n v="7.57"/>
    <n v="0"/>
    <n v="0.02"/>
    <n v="40"/>
    <n v="8.56"/>
    <n v="56.15"/>
    <n v="2025"/>
    <n v="2"/>
    <n v="2024"/>
    <n v="11"/>
    <n v="11"/>
    <x v="13"/>
    <x v="13"/>
    <n v="-21356.15"/>
    <x v="1"/>
    <n v="-21356.15"/>
  </r>
  <r>
    <x v="144"/>
    <s v="OPT-NIFTY-20-Feb-2025-23000-C-E-I"/>
    <s v="NSE"/>
    <s v="Sell"/>
    <n v="150"/>
    <n v="0"/>
    <n v="130"/>
    <n v="19500"/>
    <s v="#202502173700017102"/>
    <n v="19.5"/>
    <n v="6.93"/>
    <n v="0"/>
    <n v="0.02"/>
    <n v="40"/>
    <n v="8.4600000000000009"/>
    <n v="74.91"/>
    <n v="2025"/>
    <n v="2"/>
    <n v="2024"/>
    <n v="11"/>
    <n v="11"/>
    <x v="13"/>
    <x v="13"/>
    <n v="19425.09"/>
    <x v="312"/>
    <s v=""/>
  </r>
  <r>
    <x v="144"/>
    <s v="OPT-NIFTY-20-Feb-2025-23000-C-E-I"/>
    <s v="NSE"/>
    <s v="Buy"/>
    <n v="150"/>
    <n v="0"/>
    <n v="132.25"/>
    <n v="19837.5"/>
    <s v="#202502173700016857"/>
    <n v="0"/>
    <n v="7.05"/>
    <n v="1.73"/>
    <n v="0.02"/>
    <n v="40"/>
    <n v="8.48"/>
    <n v="57.28"/>
    <n v="2025"/>
    <n v="2"/>
    <n v="2024"/>
    <n v="11"/>
    <n v="11"/>
    <x v="13"/>
    <x v="13"/>
    <n v="-19894.78"/>
    <x v="1"/>
    <n v="-19894.78"/>
  </r>
  <r>
    <x v="144"/>
    <s v="OPT-NIFTY-20-Feb-2025-22900-P-E-I"/>
    <s v="NSE"/>
    <s v="Sell"/>
    <n v="75"/>
    <n v="0"/>
    <n v="179.25"/>
    <n v="13443.75"/>
    <s v="#202502173700011242"/>
    <n v="13.44"/>
    <n v="4.78"/>
    <n v="0"/>
    <n v="0.01"/>
    <n v="20"/>
    <n v="4.46"/>
    <n v="42.69"/>
    <n v="2025"/>
    <n v="2"/>
    <n v="2024"/>
    <n v="11"/>
    <n v="11"/>
    <x v="13"/>
    <x v="13"/>
    <n v="13401.06"/>
    <x v="313"/>
    <s v=""/>
  </r>
  <r>
    <x v="144"/>
    <s v="OPT-NIFTY-20-Feb-2025-22900-P-E-I"/>
    <s v="NSE"/>
    <s v="Buy"/>
    <n v="75"/>
    <n v="0"/>
    <n v="156.65"/>
    <n v="11748.75"/>
    <s v="#202502173700011022"/>
    <n v="0"/>
    <n v="4.17"/>
    <n v="0.35"/>
    <n v="0.01"/>
    <n v="20"/>
    <n v="4.3600000000000003"/>
    <n v="28.89"/>
    <n v="2025"/>
    <n v="2"/>
    <n v="2024"/>
    <n v="11"/>
    <n v="11"/>
    <x v="13"/>
    <x v="13"/>
    <n v="-11777.64"/>
    <x v="1"/>
    <n v="-11777.64"/>
  </r>
  <r>
    <x v="144"/>
    <s v="OPT-NIFTY-20-Feb-2025-22900-C-E-I"/>
    <s v="NSE"/>
    <s v="Sell"/>
    <n v="75"/>
    <n v="0"/>
    <n v="159"/>
    <n v="11925"/>
    <s v="#202502173700010940"/>
    <n v="11.93"/>
    <n v="4.24"/>
    <n v="0"/>
    <n v="0.01"/>
    <n v="20"/>
    <n v="4.3600000000000003"/>
    <n v="40.54"/>
    <n v="2025"/>
    <n v="2"/>
    <n v="2024"/>
    <n v="11"/>
    <n v="11"/>
    <x v="13"/>
    <x v="13"/>
    <n v="11884.46"/>
    <x v="314"/>
    <s v=""/>
  </r>
  <r>
    <x v="144"/>
    <s v="OPT-NIFTY-20-Feb-2025-22900-C-E-I"/>
    <s v="NSE"/>
    <s v="Buy"/>
    <n v="75"/>
    <n v="0"/>
    <n v="178.7"/>
    <n v="13402.5"/>
    <s v="#202502173700010799"/>
    <n v="0"/>
    <n v="4.76"/>
    <n v="0.4"/>
    <n v="0.01"/>
    <n v="20"/>
    <n v="4.46"/>
    <n v="29.63"/>
    <n v="2025"/>
    <n v="2"/>
    <n v="2024"/>
    <n v="11"/>
    <n v="11"/>
    <x v="13"/>
    <x v="13"/>
    <n v="-13432.13"/>
    <x v="1"/>
    <n v="-13432.13"/>
  </r>
  <r>
    <x v="144"/>
    <s v="OPT-NIFTY-20-Feb-2025-22850-P-E-I"/>
    <s v="NSE"/>
    <s v="Sell"/>
    <n v="150"/>
    <n v="0"/>
    <n v="148.1"/>
    <n v="22215"/>
    <s v="#202502173700008838"/>
    <n v="22.56"/>
    <n v="7.89"/>
    <n v="0"/>
    <n v="0.02"/>
    <n v="40"/>
    <n v="8.6199999999999992"/>
    <n v="79.09"/>
    <n v="2025"/>
    <n v="2"/>
    <n v="2024"/>
    <n v="11"/>
    <n v="11"/>
    <x v="13"/>
    <x v="13"/>
    <n v="22135.91"/>
    <x v="315"/>
    <s v=""/>
  </r>
  <r>
    <x v="144"/>
    <s v="OPT-NIFTY-20-Feb-2025-22850-P-E-I"/>
    <s v="NSE"/>
    <s v="Buy"/>
    <n v="150"/>
    <n v="0"/>
    <n v="128"/>
    <n v="19200"/>
    <s v="#202502173700008426"/>
    <n v="0"/>
    <n v="6.82"/>
    <n v="1.1299999999999999"/>
    <n v="0.02"/>
    <n v="40"/>
    <n v="8.44"/>
    <n v="56.41"/>
    <n v="2025"/>
    <n v="2"/>
    <n v="2024"/>
    <n v="11"/>
    <n v="11"/>
    <x v="13"/>
    <x v="13"/>
    <n v="-19256.41"/>
    <x v="1"/>
    <n v="-19256.41"/>
  </r>
  <r>
    <x v="144"/>
    <s v="OPT-NIFTY-20-Feb-2025-22850-P-E-I"/>
    <s v="NSE"/>
    <s v="Sell"/>
    <n v="150"/>
    <n v="0"/>
    <n v="135.75"/>
    <n v="20362.5"/>
    <s v="#202502173700008311"/>
    <n v="20.36"/>
    <n v="7.24"/>
    <n v="0"/>
    <n v="0.02"/>
    <n v="40"/>
    <n v="8.52"/>
    <n v="76.14"/>
    <n v="2025"/>
    <n v="2"/>
    <n v="2024"/>
    <n v="11"/>
    <n v="11"/>
    <x v="13"/>
    <x v="13"/>
    <n v="20286.36"/>
    <x v="316"/>
    <s v=""/>
  </r>
  <r>
    <x v="144"/>
    <s v="OPT-NIFTY-20-Feb-2025-22850-P-E-I"/>
    <s v="NSE"/>
    <s v="Buy"/>
    <n v="150"/>
    <n v="0"/>
    <n v="122.65"/>
    <n v="18397.5"/>
    <s v="#202502173700008195"/>
    <n v="0"/>
    <n v="6.54"/>
    <n v="0"/>
    <n v="0.02"/>
    <n v="40"/>
    <n v="8.3800000000000008"/>
    <n v="54.94"/>
    <n v="2025"/>
    <n v="2"/>
    <n v="2024"/>
    <n v="11"/>
    <n v="11"/>
    <x v="13"/>
    <x v="13"/>
    <n v="-18452.439999999999"/>
    <x v="1"/>
    <n v="-18452.439999999999"/>
  </r>
  <r>
    <x v="144"/>
    <s v="OPT-NIFTY-20-Feb-2025-22800-C-E-I"/>
    <s v="NSE"/>
    <s v="Sell"/>
    <n v="75"/>
    <n v="0"/>
    <n v="175"/>
    <n v="13125"/>
    <s v="#202502173700004814"/>
    <n v="13.13"/>
    <n v="4.66"/>
    <n v="0"/>
    <n v="0.01"/>
    <n v="20"/>
    <n v="4.4400000000000004"/>
    <n v="42.24"/>
    <n v="2025"/>
    <n v="2"/>
    <n v="2024"/>
    <n v="11"/>
    <n v="11"/>
    <x v="13"/>
    <x v="13"/>
    <n v="13082.76"/>
    <x v="317"/>
    <s v=""/>
  </r>
  <r>
    <x v="144"/>
    <s v="OPT-NIFTY-20-Feb-2025-22800-C-E-I"/>
    <s v="NSE"/>
    <s v="Buy"/>
    <n v="75"/>
    <n v="0"/>
    <n v="173.95"/>
    <n v="13046.25"/>
    <s v="#202502173700004606"/>
    <n v="0"/>
    <n v="4.6399999999999997"/>
    <n v="0.39"/>
    <n v="0.01"/>
    <n v="20"/>
    <n v="4.4400000000000004"/>
    <n v="29.48"/>
    <n v="2025"/>
    <n v="2"/>
    <n v="2024"/>
    <n v="11"/>
    <n v="11"/>
    <x v="13"/>
    <x v="13"/>
    <n v="-13075.73"/>
    <x v="1"/>
    <n v="-13075.73"/>
  </r>
  <r>
    <x v="145"/>
    <s v="OPT-NIFTY-20-Feb-2025-22950-C-E-I"/>
    <s v="NSE"/>
    <s v="Sell"/>
    <n v="225"/>
    <n v="0"/>
    <n v="121.35"/>
    <n v="27303.75"/>
    <s v="#202502183700014491"/>
    <n v="27.3"/>
    <n v="9.6999999999999993"/>
    <n v="0"/>
    <n v="0.03"/>
    <n v="60"/>
    <n v="12.54"/>
    <n v="109.57"/>
    <n v="2025"/>
    <n v="2"/>
    <n v="2024"/>
    <n v="11"/>
    <n v="11"/>
    <x v="13"/>
    <x v="13"/>
    <n v="27194.18"/>
    <x v="318"/>
    <s v=""/>
  </r>
  <r>
    <x v="145"/>
    <s v="OPT-NIFTY-20-Feb-2025-22950-C-E-I"/>
    <s v="NSE"/>
    <s v="Buy"/>
    <n v="75"/>
    <n v="0"/>
    <n v="115"/>
    <n v="8625"/>
    <s v="#202502183700014446"/>
    <n v="0"/>
    <n v="3.06"/>
    <n v="0"/>
    <n v="0.01"/>
    <n v="20"/>
    <n v="4.16"/>
    <n v="27.23"/>
    <n v="2025"/>
    <n v="2"/>
    <n v="2024"/>
    <n v="11"/>
    <n v="11"/>
    <x v="13"/>
    <x v="13"/>
    <n v="-8652.23"/>
    <x v="1"/>
    <n v="-8652.23"/>
  </r>
  <r>
    <x v="145"/>
    <s v="OPT-NIFTY-20-Feb-2025-22950-C-E-I"/>
    <s v="NSE"/>
    <s v="Buy"/>
    <n v="75"/>
    <n v="0"/>
    <n v="119.25"/>
    <n v="8943.75"/>
    <s v="#202502183700014287"/>
    <n v="0"/>
    <n v="3.18"/>
    <n v="0"/>
    <n v="0.01"/>
    <n v="20"/>
    <n v="4.18"/>
    <n v="27.37"/>
    <n v="2025"/>
    <n v="2"/>
    <n v="2024"/>
    <n v="11"/>
    <n v="11"/>
    <x v="13"/>
    <x v="13"/>
    <n v="-8971.1200000000008"/>
    <x v="1"/>
    <n v="-8971.1200000000008"/>
  </r>
  <r>
    <x v="145"/>
    <s v="OPT-NIFTY-20-Feb-2025-22950-C-E-I"/>
    <s v="NSE"/>
    <s v="Buy"/>
    <n v="75"/>
    <n v="0"/>
    <n v="120"/>
    <n v="9000"/>
    <s v="#202502183700014265"/>
    <n v="0"/>
    <n v="3.2"/>
    <n v="0"/>
    <n v="0.01"/>
    <n v="20"/>
    <n v="4.18"/>
    <n v="27.39"/>
    <n v="2025"/>
    <n v="2"/>
    <n v="2024"/>
    <n v="11"/>
    <n v="11"/>
    <x v="13"/>
    <x v="13"/>
    <n v="-9027.39"/>
    <x v="1"/>
    <n v="-9027.39"/>
  </r>
  <r>
    <x v="145"/>
    <s v="OPT-NIFTY-20-Feb-2025-22850-P-E-I"/>
    <s v="NSE"/>
    <s v="Sell"/>
    <n v="150"/>
    <n v="0"/>
    <n v="129.1"/>
    <n v="19365"/>
    <s v="#202502183700010168"/>
    <n v="19.36"/>
    <n v="6.88"/>
    <n v="0"/>
    <n v="0.02"/>
    <n v="40"/>
    <n v="8.44"/>
    <n v="74.7"/>
    <n v="2025"/>
    <n v="2"/>
    <n v="2024"/>
    <n v="11"/>
    <n v="11"/>
    <x v="13"/>
    <x v="13"/>
    <n v="19290.3"/>
    <x v="319"/>
    <s v=""/>
  </r>
  <r>
    <x v="145"/>
    <s v="OPT-NIFTY-20-Feb-2025-22850-P-E-I"/>
    <s v="NSE"/>
    <s v="Buy"/>
    <n v="75"/>
    <n v="0"/>
    <n v="133"/>
    <n v="9975"/>
    <s v="#202502183700010049"/>
    <n v="0"/>
    <n v="3.54"/>
    <n v="0.59"/>
    <n v="0.01"/>
    <n v="20"/>
    <n v="4.24"/>
    <n v="28.38"/>
    <n v="2025"/>
    <n v="2"/>
    <n v="2024"/>
    <n v="11"/>
    <n v="11"/>
    <x v="13"/>
    <x v="13"/>
    <n v="-10003.379999999999"/>
    <x v="1"/>
    <n v="-10003.379999999999"/>
  </r>
  <r>
    <x v="145"/>
    <s v="OPT-NIFTY-20-Feb-2025-22850-P-E-I"/>
    <s v="NSE"/>
    <s v="Buy"/>
    <n v="75"/>
    <n v="0"/>
    <n v="131"/>
    <n v="9825"/>
    <s v="#202502183700009964"/>
    <n v="0"/>
    <n v="3.49"/>
    <n v="0"/>
    <n v="0.01"/>
    <n v="20"/>
    <n v="4.24"/>
    <n v="27.74"/>
    <n v="2025"/>
    <n v="2"/>
    <n v="2024"/>
    <n v="11"/>
    <n v="11"/>
    <x v="13"/>
    <x v="13"/>
    <n v="-9852.74"/>
    <x v="1"/>
    <n v="-9852.74"/>
  </r>
  <r>
    <x v="145"/>
    <s v="OPT-NIFTY-20-Feb-2025-22850-C-E-I"/>
    <s v="NSE"/>
    <s v="Sell"/>
    <n v="150"/>
    <n v="0"/>
    <n v="159.25"/>
    <n v="23887.5"/>
    <s v="#202502183700007062"/>
    <n v="23.89"/>
    <n v="8.49"/>
    <n v="0"/>
    <n v="0.02"/>
    <n v="40"/>
    <n v="8.74"/>
    <n v="81.14"/>
    <n v="2025"/>
    <n v="2"/>
    <n v="2024"/>
    <n v="11"/>
    <n v="11"/>
    <x v="13"/>
    <x v="13"/>
    <n v="23806.36"/>
    <x v="320"/>
    <s v=""/>
  </r>
  <r>
    <x v="145"/>
    <s v="OPT-NIFTY-20-Feb-2025-22850-C-E-I"/>
    <s v="NSE"/>
    <s v="Buy"/>
    <n v="75"/>
    <n v="0"/>
    <n v="142.19999999999999"/>
    <n v="10665"/>
    <s v="#202502183700006742"/>
    <n v="0"/>
    <n v="3.79"/>
    <n v="0.65"/>
    <n v="0.01"/>
    <n v="20"/>
    <n v="4.28"/>
    <n v="28.73"/>
    <n v="2025"/>
    <n v="2"/>
    <n v="2024"/>
    <n v="11"/>
    <n v="11"/>
    <x v="13"/>
    <x v="13"/>
    <n v="-10693.73"/>
    <x v="1"/>
    <n v="-10693.73"/>
  </r>
  <r>
    <x v="145"/>
    <s v="OPT-NIFTY-20-Feb-2025-22850-C-E-I"/>
    <s v="NSE"/>
    <s v="Buy"/>
    <n v="75"/>
    <n v="0"/>
    <n v="145.55000000000001"/>
    <n v="10916.25"/>
    <s v="#202502183700006724"/>
    <n v="0"/>
    <n v="3.88"/>
    <n v="0"/>
    <n v="0.01"/>
    <n v="20"/>
    <n v="4.3"/>
    <n v="28.19"/>
    <n v="2025"/>
    <n v="2"/>
    <n v="2024"/>
    <n v="11"/>
    <n v="11"/>
    <x v="13"/>
    <x v="13"/>
    <n v="-10944.44"/>
    <x v="1"/>
    <n v="-10944.44"/>
  </r>
  <r>
    <x v="145"/>
    <s v="OPT-NIFTY-20-Feb-2025-22950-P-E-I"/>
    <s v="NSE"/>
    <s v="Sell"/>
    <n v="150"/>
    <n v="0"/>
    <n v="174.25"/>
    <n v="26137.5"/>
    <s v="#202502183700004846"/>
    <n v="26.14"/>
    <n v="9.2799999999999994"/>
    <n v="0"/>
    <n v="0.02"/>
    <n v="40"/>
    <n v="8.8800000000000008"/>
    <n v="84.32"/>
    <n v="2025"/>
    <n v="2"/>
    <n v="2024"/>
    <n v="11"/>
    <n v="11"/>
    <x v="13"/>
    <x v="13"/>
    <n v="26053.18"/>
    <x v="321"/>
    <s v=""/>
  </r>
  <r>
    <x v="145"/>
    <s v="OPT-NIFTY-20-Feb-2025-22950-P-E-I"/>
    <s v="NSE"/>
    <s v="Buy"/>
    <n v="150"/>
    <n v="0"/>
    <n v="154.25"/>
    <n v="23137.5"/>
    <s v="#202502183700004719"/>
    <n v="0"/>
    <n v="8.2200000000000006"/>
    <n v="0.69"/>
    <n v="0.02"/>
    <n v="40"/>
    <n v="8.68"/>
    <n v="57.61"/>
    <n v="2025"/>
    <n v="2"/>
    <n v="2024"/>
    <n v="11"/>
    <n v="11"/>
    <x v="13"/>
    <x v="13"/>
    <n v="-23195.11"/>
    <x v="1"/>
    <n v="-23195.11"/>
  </r>
  <r>
    <x v="145"/>
    <s v="OPT-NIFTY-20-Feb-2025-22950-C-E-I"/>
    <s v="NSE"/>
    <s v="Sell"/>
    <n v="150"/>
    <n v="0"/>
    <n v="137"/>
    <n v="20550"/>
    <s v="#202502183700004414"/>
    <n v="20.69"/>
    <n v="7.3"/>
    <n v="0"/>
    <n v="0.02"/>
    <n v="40"/>
    <n v="8.52"/>
    <n v="76.53"/>
    <n v="2025"/>
    <n v="2"/>
    <n v="2024"/>
    <n v="11"/>
    <n v="11"/>
    <x v="13"/>
    <x v="13"/>
    <n v="20473.47"/>
    <x v="322"/>
    <s v=""/>
  </r>
  <r>
    <x v="145"/>
    <s v="OPT-NIFTY-20-Feb-2025-22950-C-E-I"/>
    <s v="NSE"/>
    <s v="Buy"/>
    <n v="150"/>
    <n v="0"/>
    <n v="142.19999999999999"/>
    <n v="21330"/>
    <s v="#202502183700004187"/>
    <n v="0"/>
    <n v="7.58"/>
    <n v="0"/>
    <n v="0.02"/>
    <n v="40"/>
    <n v="8.56"/>
    <n v="56.16"/>
    <n v="2025"/>
    <n v="2"/>
    <n v="2024"/>
    <n v="11"/>
    <n v="11"/>
    <x v="13"/>
    <x v="13"/>
    <n v="-21386.16"/>
    <x v="1"/>
    <n v="-21386.16"/>
  </r>
  <r>
    <x v="145"/>
    <s v="OPT-NIFTY-20-Feb-2025-22950-C-E-I"/>
    <s v="NSE"/>
    <s v="Sell"/>
    <n v="150"/>
    <n v="0"/>
    <n v="137.44999999999999"/>
    <n v="20617.5"/>
    <s v="#202502183700003457"/>
    <n v="20.62"/>
    <n v="7.32"/>
    <n v="0"/>
    <n v="0.02"/>
    <n v="40"/>
    <n v="8.52"/>
    <n v="76.48"/>
    <n v="2025"/>
    <n v="2"/>
    <n v="2024"/>
    <n v="11"/>
    <n v="11"/>
    <x v="13"/>
    <x v="13"/>
    <n v="20541.02"/>
    <x v="323"/>
    <s v=""/>
  </r>
  <r>
    <x v="145"/>
    <s v="OPT-NIFTY-20-Feb-2025-22950-C-E-I"/>
    <s v="NSE"/>
    <s v="Buy"/>
    <n v="75"/>
    <n v="0"/>
    <n v="129.80000000000001"/>
    <n v="9735"/>
    <s v="#202502183700002728"/>
    <n v="0"/>
    <n v="3.46"/>
    <n v="2.0699999999999998"/>
    <n v="0.01"/>
    <n v="20"/>
    <n v="4.22"/>
    <n v="29.76"/>
    <n v="2025"/>
    <n v="2"/>
    <n v="2024"/>
    <n v="11"/>
    <n v="11"/>
    <x v="13"/>
    <x v="13"/>
    <n v="-9764.76"/>
    <x v="1"/>
    <n v="-9764.76"/>
  </r>
  <r>
    <x v="145"/>
    <s v="OPT-NIFTY-20-Feb-2025-22950-C-E-I"/>
    <s v="NSE"/>
    <s v="Buy"/>
    <n v="75"/>
    <n v="0"/>
    <n v="132.75"/>
    <n v="9956.25"/>
    <s v="#202502183700002653"/>
    <n v="0"/>
    <n v="3.54"/>
    <n v="0"/>
    <n v="0.01"/>
    <n v="20"/>
    <n v="4.24"/>
    <n v="27.79"/>
    <n v="2025"/>
    <n v="2"/>
    <n v="2024"/>
    <n v="11"/>
    <n v="11"/>
    <x v="13"/>
    <x v="13"/>
    <n v="-9984.0400000000009"/>
    <x v="1"/>
    <n v="-9984.0400000000009"/>
  </r>
  <r>
    <x v="146"/>
    <s v="OPT-NIFTY-20-Feb-2025-22950-C-E-I"/>
    <s v="NSE"/>
    <s v="Sell"/>
    <n v="150"/>
    <n v="0"/>
    <n v="129.25"/>
    <n v="19387.5"/>
    <s v="#202502193700011444"/>
    <n v="19.39"/>
    <n v="6.89"/>
    <n v="0"/>
    <n v="0.02"/>
    <n v="40"/>
    <n v="8.44"/>
    <n v="74.739999999999995"/>
    <n v="2025"/>
    <n v="2"/>
    <n v="2024"/>
    <n v="11"/>
    <n v="11"/>
    <x v="13"/>
    <x v="13"/>
    <n v="19312.759999999998"/>
    <x v="324"/>
    <s v=""/>
  </r>
  <r>
    <x v="146"/>
    <s v="OPT-NIFTY-20-Feb-2025-22950-C-E-I"/>
    <s v="NSE"/>
    <s v="Buy"/>
    <n v="150"/>
    <n v="0"/>
    <n v="117"/>
    <n v="17550"/>
    <s v="#202502193700011259"/>
    <n v="0"/>
    <n v="6.24"/>
    <n v="0"/>
    <n v="0.02"/>
    <n v="40"/>
    <n v="8.32"/>
    <n v="54.58"/>
    <n v="2025"/>
    <n v="2"/>
    <n v="2024"/>
    <n v="11"/>
    <n v="11"/>
    <x v="13"/>
    <x v="13"/>
    <n v="-17604.580000000002"/>
    <x v="1"/>
    <n v="-17604.580000000002"/>
  </r>
  <r>
    <x v="146"/>
    <s v="OPT-NIFTY-20-Feb-2025-22950-C-E-I"/>
    <s v="NSE"/>
    <s v="Sell"/>
    <n v="225"/>
    <n v="0"/>
    <n v="115.9"/>
    <n v="26077.5"/>
    <s v="#202502193700010832"/>
    <n v="26.08"/>
    <n v="9.27"/>
    <n v="0"/>
    <n v="0.03"/>
    <n v="60"/>
    <n v="12.48"/>
    <n v="107.86"/>
    <n v="2025"/>
    <n v="2"/>
    <n v="2024"/>
    <n v="11"/>
    <n v="11"/>
    <x v="13"/>
    <x v="13"/>
    <n v="25969.64"/>
    <x v="325"/>
    <s v=""/>
  </r>
  <r>
    <x v="146"/>
    <s v="OPT-NIFTY-20-Feb-2025-22950-C-E-I"/>
    <s v="NSE"/>
    <s v="Buy"/>
    <n v="225"/>
    <n v="0"/>
    <n v="110.25"/>
    <n v="24806.25"/>
    <s v="#202502193700010239"/>
    <n v="0"/>
    <n v="8.82"/>
    <n v="0"/>
    <n v="0.03"/>
    <n v="60"/>
    <n v="12.4"/>
    <n v="81.25"/>
    <n v="2025"/>
    <n v="2"/>
    <n v="2024"/>
    <n v="11"/>
    <n v="11"/>
    <x v="13"/>
    <x v="13"/>
    <n v="-24887.5"/>
    <x v="1"/>
    <n v="-24887.5"/>
  </r>
  <r>
    <x v="146"/>
    <s v="OPT-NIFTY-20-Feb-2025-22950-C-E-I"/>
    <s v="NSE"/>
    <s v="Sell"/>
    <n v="225"/>
    <n v="0"/>
    <n v="107.35"/>
    <n v="24153.75"/>
    <s v="#202502193700010144"/>
    <n v="24.15"/>
    <n v="8.58"/>
    <n v="0"/>
    <n v="0.02"/>
    <n v="60"/>
    <n v="12.34"/>
    <n v="105.09"/>
    <n v="2025"/>
    <n v="2"/>
    <n v="2024"/>
    <n v="11"/>
    <n v="11"/>
    <x v="13"/>
    <x v="13"/>
    <n v="24048.66"/>
    <x v="326"/>
    <s v=""/>
  </r>
  <r>
    <x v="146"/>
    <s v="OPT-NIFTY-20-Feb-2025-22950-C-E-I"/>
    <s v="NSE"/>
    <s v="Buy"/>
    <n v="75"/>
    <n v="0"/>
    <n v="112.55"/>
    <n v="8441.25"/>
    <s v="#202502193700010039"/>
    <n v="0"/>
    <n v="3"/>
    <n v="0"/>
    <n v="0.01"/>
    <n v="20"/>
    <n v="4.1399999999999997"/>
    <n v="27.15"/>
    <n v="2025"/>
    <n v="2"/>
    <n v="2024"/>
    <n v="11"/>
    <n v="11"/>
    <x v="13"/>
    <x v="13"/>
    <n v="-8468.4"/>
    <x v="1"/>
    <n v="-8468.4"/>
  </r>
  <r>
    <x v="146"/>
    <s v="OPT-NIFTY-20-Feb-2025-22950-C-E-I"/>
    <s v="NSE"/>
    <s v="Buy"/>
    <n v="150"/>
    <n v="0"/>
    <n v="118.95"/>
    <n v="17842.5"/>
    <s v="#202502193700009911"/>
    <n v="0"/>
    <n v="6.34"/>
    <n v="1.83"/>
    <n v="0.02"/>
    <n v="40"/>
    <n v="8.34"/>
    <n v="56.53"/>
    <n v="2025"/>
    <n v="2"/>
    <n v="2024"/>
    <n v="11"/>
    <n v="11"/>
    <x v="13"/>
    <x v="13"/>
    <n v="-17899.03"/>
    <x v="1"/>
    <n v="-17899.03"/>
  </r>
  <r>
    <x v="146"/>
    <s v="OPT-NIFTY-20-Feb-2025-22950-P-E-I"/>
    <s v="NSE"/>
    <s v="Sell"/>
    <n v="225"/>
    <n v="0"/>
    <n v="90"/>
    <n v="20250"/>
    <s v="#202502193700009845"/>
    <n v="20.25"/>
    <n v="7.19"/>
    <n v="0"/>
    <n v="0.02"/>
    <n v="60"/>
    <n v="12.1"/>
    <n v="99.56"/>
    <n v="2025"/>
    <n v="2"/>
    <n v="2024"/>
    <n v="11"/>
    <n v="11"/>
    <x v="13"/>
    <x v="13"/>
    <n v="20150.439999999999"/>
    <x v="327"/>
    <s v=""/>
  </r>
  <r>
    <x v="146"/>
    <s v="OPT-NIFTY-20-Feb-2025-22950-P-E-I"/>
    <s v="NSE"/>
    <s v="Buy"/>
    <n v="225"/>
    <n v="0"/>
    <n v="94"/>
    <n v="21150"/>
    <s v="#202502193700009713"/>
    <n v="0"/>
    <n v="7.51"/>
    <n v="0.63"/>
    <n v="0.02"/>
    <n v="60"/>
    <n v="12.16"/>
    <n v="80.319999999999993"/>
    <n v="2025"/>
    <n v="2"/>
    <n v="2024"/>
    <n v="11"/>
    <n v="11"/>
    <x v="13"/>
    <x v="13"/>
    <n v="-21230.32"/>
    <x v="1"/>
    <n v="-21230.32"/>
  </r>
  <r>
    <x v="146"/>
    <s v="OPT-NIFTY-20-Feb-2025-22900-C-E-I"/>
    <s v="NSE"/>
    <s v="Sell"/>
    <n v="150"/>
    <n v="0"/>
    <n v="139"/>
    <n v="20850"/>
    <s v="#202502193700003793"/>
    <n v="21.13"/>
    <n v="7.41"/>
    <n v="0"/>
    <n v="0.02"/>
    <n v="40"/>
    <n v="8.5399999999999991"/>
    <n v="77.099999999999994"/>
    <n v="2025"/>
    <n v="2"/>
    <n v="2024"/>
    <n v="11"/>
    <n v="11"/>
    <x v="13"/>
    <x v="13"/>
    <n v="20772.900000000001"/>
    <x v="328"/>
    <s v=""/>
  </r>
  <r>
    <x v="146"/>
    <s v="OPT-NIFTY-20-Feb-2025-22900-C-E-I"/>
    <s v="NSE"/>
    <s v="Buy"/>
    <n v="150"/>
    <n v="0"/>
    <n v="120.55"/>
    <n v="18082.5"/>
    <s v="#202502193700003625"/>
    <n v="0"/>
    <n v="6.42"/>
    <n v="0.54"/>
    <n v="0.02"/>
    <n v="40"/>
    <n v="8.36"/>
    <n v="55.34"/>
    <n v="2025"/>
    <n v="2"/>
    <n v="2024"/>
    <n v="11"/>
    <n v="11"/>
    <x v="13"/>
    <x v="13"/>
    <n v="-18137.84"/>
    <x v="1"/>
    <n v="-18137.84"/>
  </r>
  <r>
    <x v="147"/>
    <s v="OPT-NIFTY-20-Feb-2025-22850-P-E-I"/>
    <s v="NSE"/>
    <s v="Sell"/>
    <n v="675"/>
    <n v="0"/>
    <n v="14.1"/>
    <n v="9517.5"/>
    <s v="#202502203700011276"/>
    <n v="9.52"/>
    <n v="3.38"/>
    <n v="0"/>
    <n v="0.01"/>
    <n v="180"/>
    <n v="33.020000000000003"/>
    <n v="225.93"/>
    <n v="2025"/>
    <n v="2"/>
    <n v="2024"/>
    <n v="11"/>
    <n v="11"/>
    <x v="13"/>
    <x v="13"/>
    <n v="9291.57"/>
    <x v="329"/>
    <s v=""/>
  </r>
  <r>
    <x v="147"/>
    <s v="OPT-NIFTY-20-Feb-2025-22850-P-E-I"/>
    <s v="NSE"/>
    <s v="Buy"/>
    <n v="675"/>
    <n v="0"/>
    <n v="20.05"/>
    <n v="13533.75"/>
    <s v="#202502203700010856"/>
    <n v="0"/>
    <n v="4.8"/>
    <n v="1.08"/>
    <n v="0.01"/>
    <n v="180"/>
    <n v="33.28"/>
    <n v="219.17"/>
    <n v="2025"/>
    <n v="2"/>
    <n v="2024"/>
    <n v="11"/>
    <n v="11"/>
    <x v="13"/>
    <x v="13"/>
    <n v="-13752.92"/>
    <x v="1"/>
    <n v="-13752.92"/>
  </r>
  <r>
    <x v="147"/>
    <s v="OPT-NIFTY-20-Feb-2025-22850-P-E-I"/>
    <s v="NSE"/>
    <s v="Sell"/>
    <n v="750"/>
    <n v="0"/>
    <n v="16"/>
    <n v="12000"/>
    <s v="#202502203700009964"/>
    <n v="12"/>
    <n v="4.2699999999999996"/>
    <n v="0"/>
    <n v="0"/>
    <n v="200"/>
    <n v="36.799999999999997"/>
    <n v="253.07"/>
    <n v="2025"/>
    <n v="2"/>
    <n v="2024"/>
    <n v="11"/>
    <n v="11"/>
    <x v="13"/>
    <x v="13"/>
    <n v="11746.93"/>
    <x v="330"/>
    <s v=""/>
  </r>
  <r>
    <x v="147"/>
    <s v="OPT-NIFTY-20-Feb-2025-22850-P-E-I"/>
    <s v="NSE"/>
    <s v="Buy"/>
    <n v="750"/>
    <n v="0"/>
    <n v="30.18"/>
    <n v="22631.25"/>
    <s v="#202502203700006754"/>
    <n v="0"/>
    <n v="8.0299999999999994"/>
    <n v="0"/>
    <n v="0.01"/>
    <n v="200"/>
    <n v="37.42"/>
    <n v="245.46"/>
    <n v="2025"/>
    <n v="2"/>
    <n v="2024"/>
    <n v="11"/>
    <n v="11"/>
    <x v="13"/>
    <x v="13"/>
    <n v="-22876.71"/>
    <x v="1"/>
    <n v="-22876.71"/>
  </r>
  <r>
    <x v="147"/>
    <s v="OPT-NIFTY-20-Feb-2025-22850-C-E-I"/>
    <s v="NSE"/>
    <s v="Sell"/>
    <n v="375"/>
    <n v="0"/>
    <n v="62"/>
    <n v="23250"/>
    <s v="#202502203700005523"/>
    <n v="23.48"/>
    <n v="8.25"/>
    <n v="0"/>
    <n v="0"/>
    <n v="100"/>
    <n v="19.5"/>
    <n v="151.22999999999999"/>
    <n v="2025"/>
    <n v="2"/>
    <n v="2024"/>
    <n v="11"/>
    <n v="11"/>
    <x v="13"/>
    <x v="13"/>
    <n v="23098.77"/>
    <x v="331"/>
    <s v=""/>
  </r>
  <r>
    <x v="147"/>
    <s v="OPT-NIFTY-20-Feb-2025-22850-C-E-I"/>
    <s v="NSE"/>
    <s v="Buy"/>
    <n v="75"/>
    <n v="0"/>
    <n v="50.8"/>
    <n v="3810"/>
    <s v="#202502203700003732"/>
    <n v="0"/>
    <n v="1.35"/>
    <n v="0"/>
    <n v="0"/>
    <n v="20"/>
    <n v="3.84"/>
    <n v="25.19"/>
    <n v="2025"/>
    <n v="2"/>
    <n v="2024"/>
    <n v="11"/>
    <n v="11"/>
    <x v="13"/>
    <x v="13"/>
    <n v="-3835.19"/>
    <x v="1"/>
    <n v="-3835.19"/>
  </r>
  <r>
    <x v="147"/>
    <s v="OPT-NIFTY-20-Feb-2025-22850-C-E-I"/>
    <s v="NSE"/>
    <s v="Buy"/>
    <n v="75"/>
    <n v="0"/>
    <n v="83.6"/>
    <n v="6270"/>
    <s v="#202502203700003334"/>
    <n v="0"/>
    <n v="2.23"/>
    <n v="0"/>
    <n v="0.01"/>
    <n v="20"/>
    <n v="4"/>
    <n v="26.24"/>
    <n v="2025"/>
    <n v="2"/>
    <n v="2024"/>
    <n v="11"/>
    <n v="11"/>
    <x v="13"/>
    <x v="13"/>
    <n v="-6296.24"/>
    <x v="1"/>
    <n v="-6296.24"/>
  </r>
  <r>
    <x v="147"/>
    <s v="OPT-NIFTY-20-Feb-2025-22850-C-E-I"/>
    <s v="NSE"/>
    <s v="Buy"/>
    <n v="225"/>
    <n v="0"/>
    <n v="91"/>
    <n v="20475"/>
    <s v="#202502203700003084"/>
    <n v="0"/>
    <n v="7.27"/>
    <n v="0.92"/>
    <n v="0.02"/>
    <n v="60"/>
    <n v="12.12"/>
    <n v="80.33"/>
    <n v="2025"/>
    <n v="2"/>
    <n v="2024"/>
    <n v="11"/>
    <n v="11"/>
    <x v="13"/>
    <x v="13"/>
    <n v="-20555.330000000002"/>
    <x v="1"/>
    <n v="-20555.330000000002"/>
  </r>
  <r>
    <x v="148"/>
    <s v="OPT-NIFTY-27-Feb-2025-22600-C-E-I"/>
    <s v="NSE"/>
    <s v="Sell"/>
    <n v="75"/>
    <n v="0"/>
    <n v="50.25"/>
    <n v="3768.75"/>
    <s v="#202502253700008694"/>
    <n v="3.88"/>
    <n v="1.34"/>
    <n v="0"/>
    <n v="0"/>
    <n v="29"/>
    <n v="5.46"/>
    <n v="39.68"/>
    <n v="2025"/>
    <n v="2"/>
    <n v="2024"/>
    <n v="11"/>
    <n v="11"/>
    <x v="13"/>
    <x v="13"/>
    <n v="3729.07"/>
    <x v="332"/>
    <s v=""/>
  </r>
  <r>
    <x v="148"/>
    <s v="OPT-NIFTY-27-Feb-2025-22600-C-E-I"/>
    <s v="NSE"/>
    <s v="Buy"/>
    <n v="75"/>
    <n v="0"/>
    <n v="68.25"/>
    <n v="5118.75"/>
    <s v="#202502253700006941"/>
    <n v="0"/>
    <n v="1.82"/>
    <n v="0"/>
    <n v="0.01"/>
    <n v="29"/>
    <n v="5.54"/>
    <n v="36.369999999999997"/>
    <n v="2025"/>
    <n v="2"/>
    <n v="2024"/>
    <n v="11"/>
    <n v="11"/>
    <x v="13"/>
    <x v="13"/>
    <n v="-5155.12"/>
    <x v="1"/>
    <n v="-5155.12"/>
  </r>
  <r>
    <x v="148"/>
    <s v="OPT-NIFTY-27-Feb-2025-22600-P-E-I"/>
    <s v="NSE"/>
    <s v="Sell"/>
    <n v="75"/>
    <n v="0"/>
    <n v="68.25"/>
    <n v="5118.75"/>
    <s v="#202502253700006563"/>
    <n v="5.12"/>
    <n v="1.82"/>
    <n v="0"/>
    <n v="0.01"/>
    <n v="29"/>
    <n v="5.54"/>
    <n v="41.49"/>
    <n v="2025"/>
    <n v="2"/>
    <n v="2024"/>
    <n v="11"/>
    <n v="11"/>
    <x v="13"/>
    <x v="13"/>
    <n v="5077.26"/>
    <x v="333"/>
    <s v=""/>
  </r>
  <r>
    <x v="148"/>
    <s v="OPT-NIFTY-27-Feb-2025-22600-P-E-I"/>
    <s v="NSE"/>
    <s v="Buy"/>
    <n v="75"/>
    <n v="0"/>
    <n v="70"/>
    <n v="5250"/>
    <s v="#202502253700006254"/>
    <n v="0"/>
    <n v="1.87"/>
    <n v="0"/>
    <n v="0.01"/>
    <n v="29"/>
    <n v="5.56"/>
    <n v="36.44"/>
    <n v="2025"/>
    <n v="2"/>
    <n v="2024"/>
    <n v="11"/>
    <n v="11"/>
    <x v="13"/>
    <x v="13"/>
    <n v="-5286.44"/>
    <x v="1"/>
    <n v="-5286.44"/>
  </r>
  <r>
    <x v="149"/>
    <s v="OPT-NIFTY-27-Feb-2025-22550-P-E-I"/>
    <s v="NSE"/>
    <s v="Sell"/>
    <n v="750"/>
    <n v="0"/>
    <n v="24.25"/>
    <n v="18187.5"/>
    <s v="#202502273700011061"/>
    <n v="18"/>
    <n v="6.46"/>
    <n v="0"/>
    <n v="0.01"/>
    <n v="290"/>
    <n v="53.38"/>
    <n v="367.85"/>
    <n v="2025"/>
    <n v="2"/>
    <n v="2024"/>
    <n v="11"/>
    <n v="11"/>
    <x v="13"/>
    <x v="13"/>
    <n v="17819.650000000001"/>
    <x v="334"/>
    <s v=""/>
  </r>
  <r>
    <x v="149"/>
    <s v="OPT-NIFTY-27-Feb-2025-22550-P-E-I"/>
    <s v="NSE"/>
    <s v="Buy"/>
    <n v="150"/>
    <n v="0"/>
    <n v="15.25"/>
    <n v="2287.5"/>
    <s v="#202502273700008806"/>
    <n v="0"/>
    <n v="0.81"/>
    <n v="0"/>
    <n v="0"/>
    <n v="58"/>
    <n v="10.58"/>
    <n v="69.39"/>
    <n v="2025"/>
    <n v="2"/>
    <n v="2024"/>
    <n v="11"/>
    <n v="11"/>
    <x v="13"/>
    <x v="13"/>
    <n v="-2356.89"/>
    <x v="1"/>
    <n v="-2356.89"/>
  </r>
  <r>
    <x v="149"/>
    <s v="OPT-NIFTY-27-Feb-2025-22550-P-E-I"/>
    <s v="NSE"/>
    <s v="Buy"/>
    <n v="150"/>
    <n v="0"/>
    <n v="17.05"/>
    <n v="2557.5"/>
    <s v="#202502273700008392"/>
    <n v="0"/>
    <n v="0.91"/>
    <n v="0"/>
    <n v="0"/>
    <n v="58"/>
    <n v="10.6"/>
    <n v="69.510000000000005"/>
    <n v="2025"/>
    <n v="2"/>
    <n v="2024"/>
    <n v="11"/>
    <n v="11"/>
    <x v="13"/>
    <x v="13"/>
    <n v="-2627.01"/>
    <x v="1"/>
    <n v="-2627.01"/>
  </r>
  <r>
    <x v="149"/>
    <s v="OPT-NIFTY-27-Feb-2025-22550-P-E-I"/>
    <s v="NSE"/>
    <s v="Buy"/>
    <n v="150"/>
    <n v="0"/>
    <n v="20.149999999999999"/>
    <n v="3022.5"/>
    <s v="#202502273700008303"/>
    <n v="0"/>
    <n v="1.08"/>
    <n v="0"/>
    <n v="0"/>
    <n v="58"/>
    <n v="10.64"/>
    <n v="69.72"/>
    <n v="2025"/>
    <n v="2"/>
    <n v="2024"/>
    <n v="11"/>
    <n v="11"/>
    <x v="13"/>
    <x v="13"/>
    <n v="-3092.22"/>
    <x v="1"/>
    <n v="-3092.22"/>
  </r>
  <r>
    <x v="149"/>
    <s v="OPT-NIFTY-27-Feb-2025-22550-P-E-I"/>
    <s v="NSE"/>
    <s v="Buy"/>
    <n v="75"/>
    <n v="0"/>
    <n v="24.25"/>
    <n v="1818.75"/>
    <s v="#202502273700005593"/>
    <n v="0"/>
    <n v="0.65"/>
    <n v="0"/>
    <n v="0"/>
    <n v="29"/>
    <n v="5.34"/>
    <n v="34.99"/>
    <n v="2025"/>
    <n v="2"/>
    <n v="2024"/>
    <n v="11"/>
    <n v="11"/>
    <x v="13"/>
    <x v="13"/>
    <n v="-1853.74"/>
    <x v="1"/>
    <n v="-1853.74"/>
  </r>
  <r>
    <x v="149"/>
    <s v="OPT-NIFTY-27-Feb-2025-22550-P-E-I"/>
    <s v="NSE"/>
    <s v="Buy"/>
    <n v="75"/>
    <n v="0"/>
    <n v="24.25"/>
    <n v="1818.75"/>
    <s v="#202502273700005564"/>
    <n v="0"/>
    <n v="0.65"/>
    <n v="0"/>
    <n v="0"/>
    <n v="29"/>
    <n v="5.34"/>
    <n v="34.99"/>
    <n v="2025"/>
    <n v="2"/>
    <n v="2024"/>
    <n v="11"/>
    <n v="11"/>
    <x v="13"/>
    <x v="13"/>
    <n v="-1853.74"/>
    <x v="1"/>
    <n v="-1853.74"/>
  </r>
  <r>
    <x v="149"/>
    <s v="OPT-NIFTY-27-Feb-2025-22550-P-E-I"/>
    <s v="NSE"/>
    <s v="Buy"/>
    <n v="75"/>
    <n v="0"/>
    <n v="24.15"/>
    <n v="1811.25"/>
    <s v="#202502273700005533"/>
    <n v="0"/>
    <n v="0.64"/>
    <n v="0"/>
    <n v="0"/>
    <n v="29"/>
    <n v="5.34"/>
    <n v="34.979999999999997"/>
    <n v="2025"/>
    <n v="2"/>
    <n v="2024"/>
    <n v="11"/>
    <n v="11"/>
    <x v="13"/>
    <x v="13"/>
    <n v="-1846.23"/>
    <x v="1"/>
    <n v="-1846.23"/>
  </r>
  <r>
    <x v="149"/>
    <s v="OPT-NIFTY-27-Feb-2025-22550-P-E-I"/>
    <s v="NSE"/>
    <s v="Buy"/>
    <n v="75"/>
    <n v="0"/>
    <n v="25"/>
    <n v="1875"/>
    <s v="#202502273700005466"/>
    <n v="0"/>
    <n v="0.67"/>
    <n v="0"/>
    <n v="0"/>
    <n v="29"/>
    <n v="5.34"/>
    <n v="35.01"/>
    <n v="2025"/>
    <n v="2"/>
    <n v="2024"/>
    <n v="11"/>
    <n v="11"/>
    <x v="13"/>
    <x v="13"/>
    <n v="-1910.01"/>
    <x v="1"/>
    <n v="-1910.01"/>
  </r>
  <r>
    <x v="150"/>
    <s v="OPT-NIFTY-06-Mar-2025-22300-C-E-I"/>
    <s v="NSE"/>
    <s v="Sell"/>
    <n v="450"/>
    <n v="0"/>
    <n v="90"/>
    <n v="40500"/>
    <s v="#202502283700019088"/>
    <n v="40.5"/>
    <n v="14.39"/>
    <n v="0"/>
    <n v="0.04"/>
    <n v="174"/>
    <n v="33.92"/>
    <n v="262.85000000000002"/>
    <n v="2025"/>
    <n v="2"/>
    <n v="2024"/>
    <n v="11"/>
    <n v="11"/>
    <x v="13"/>
    <x v="13"/>
    <n v="40237.15"/>
    <x v="335"/>
    <s v=""/>
  </r>
  <r>
    <x v="150"/>
    <s v="OPT-NIFTY-06-Mar-2025-22300-C-E-I"/>
    <s v="NSE"/>
    <s v="Buy"/>
    <n v="450"/>
    <n v="0"/>
    <n v="107.95"/>
    <n v="48577.5"/>
    <s v="#202502283700017550"/>
    <n v="0"/>
    <n v="17.28"/>
    <n v="0"/>
    <n v="0.06"/>
    <n v="174"/>
    <n v="34.44"/>
    <n v="225.78"/>
    <n v="2025"/>
    <n v="2"/>
    <n v="2024"/>
    <n v="11"/>
    <n v="11"/>
    <x v="13"/>
    <x v="13"/>
    <n v="-48803.28"/>
    <x v="1"/>
    <n v="-48803.28"/>
  </r>
  <r>
    <x v="150"/>
    <s v="OPT-NIFTY-06-Mar-2025-22250-P-E-I"/>
    <s v="NSE"/>
    <s v="Sell"/>
    <n v="300"/>
    <n v="0"/>
    <n v="169.25"/>
    <n v="50775"/>
    <s v="#202502283700012945"/>
    <n v="50.65"/>
    <n v="18.04"/>
    <n v="0"/>
    <n v="0.05"/>
    <n v="116"/>
    <n v="24.14"/>
    <n v="208.88"/>
    <n v="2025"/>
    <n v="2"/>
    <n v="2024"/>
    <n v="11"/>
    <n v="11"/>
    <x v="13"/>
    <x v="13"/>
    <n v="50566.12"/>
    <x v="336"/>
    <s v=""/>
  </r>
  <r>
    <x v="150"/>
    <s v="OPT-NIFTY-06-Mar-2025-22250-P-E-I"/>
    <s v="NSE"/>
    <s v="Buy"/>
    <n v="300"/>
    <n v="0"/>
    <n v="148.71"/>
    <n v="44613.75"/>
    <s v="#202502283700011855"/>
    <n v="0"/>
    <n v="15.85"/>
    <n v="2.34"/>
    <n v="0.04"/>
    <n v="116"/>
    <n v="23.74"/>
    <n v="157.97"/>
    <n v="2025"/>
    <n v="2"/>
    <n v="2024"/>
    <n v="11"/>
    <n v="11"/>
    <x v="13"/>
    <x v="13"/>
    <n v="-44771.72"/>
    <x v="1"/>
    <n v="-44771.72"/>
  </r>
  <r>
    <x v="150"/>
    <s v="OPT-NIFTY-06-Mar-2025-22300-C-E-I"/>
    <s v="NSE"/>
    <s v="Sell"/>
    <n v="300"/>
    <n v="0"/>
    <n v="127.25"/>
    <n v="38175"/>
    <s v="#202502283700011136"/>
    <n v="38.18"/>
    <n v="13.56"/>
    <n v="0"/>
    <n v="0.04"/>
    <n v="116"/>
    <n v="23.32"/>
    <n v="191.1"/>
    <n v="2025"/>
    <n v="2"/>
    <n v="2024"/>
    <n v="11"/>
    <n v="11"/>
    <x v="13"/>
    <x v="13"/>
    <n v="37983.9"/>
    <x v="337"/>
    <s v=""/>
  </r>
  <r>
    <x v="150"/>
    <s v="OPT-NIFTY-06-Mar-2025-22300-C-E-I"/>
    <s v="NSE"/>
    <s v="Buy"/>
    <n v="300"/>
    <n v="0"/>
    <n v="126.25"/>
    <n v="37875"/>
    <s v="#202502283700010736"/>
    <n v="0"/>
    <n v="13.46"/>
    <n v="0"/>
    <n v="0.04"/>
    <n v="116"/>
    <n v="23.32"/>
    <n v="152.82"/>
    <n v="2025"/>
    <n v="2"/>
    <n v="2024"/>
    <n v="11"/>
    <n v="11"/>
    <x v="13"/>
    <x v="13"/>
    <n v="-38027.82"/>
    <x v="1"/>
    <n v="-38027.82"/>
  </r>
  <r>
    <x v="150"/>
    <s v="OPT-NIFTY-06-Mar-2025-22250-P-E-I"/>
    <s v="NSE"/>
    <s v="Sell"/>
    <n v="300"/>
    <n v="0"/>
    <n v="122.25"/>
    <n v="36675"/>
    <s v="#202502283700010363"/>
    <n v="36.68"/>
    <n v="13.03"/>
    <n v="0"/>
    <n v="0.04"/>
    <n v="116"/>
    <n v="23.22"/>
    <n v="188.97"/>
    <n v="2025"/>
    <n v="2"/>
    <n v="2024"/>
    <n v="11"/>
    <n v="11"/>
    <x v="13"/>
    <x v="13"/>
    <n v="36486.03"/>
    <x v="338"/>
    <s v=""/>
  </r>
  <r>
    <x v="150"/>
    <s v="OPT-NIFTY-06-Mar-2025-22250-P-E-I"/>
    <s v="NSE"/>
    <s v="Buy"/>
    <n v="300"/>
    <n v="0"/>
    <n v="111.78"/>
    <n v="33532.5"/>
    <s v="#202502283700010184"/>
    <n v="0"/>
    <n v="11.92"/>
    <n v="0"/>
    <n v="0.04"/>
    <n v="116"/>
    <n v="23.04"/>
    <n v="151"/>
    <n v="2025"/>
    <n v="2"/>
    <n v="2024"/>
    <n v="11"/>
    <n v="11"/>
    <x v="13"/>
    <x v="13"/>
    <n v="-33683.5"/>
    <x v="1"/>
    <n v="-33683.5"/>
  </r>
  <r>
    <x v="150"/>
    <s v="OPT-NIFTY-06-Mar-2025-22300-C-E-I"/>
    <s v="NSE"/>
    <s v="Sell"/>
    <n v="375"/>
    <n v="0"/>
    <n v="128"/>
    <n v="48000"/>
    <s v="#202502283700010008"/>
    <n v="48"/>
    <n v="17.05"/>
    <n v="0"/>
    <n v="0.05"/>
    <n v="145"/>
    <n v="29.18"/>
    <n v="239.28"/>
    <n v="2025"/>
    <n v="2"/>
    <n v="2024"/>
    <n v="11"/>
    <n v="11"/>
    <x v="13"/>
    <x v="13"/>
    <n v="47760.72"/>
    <x v="339"/>
    <s v=""/>
  </r>
  <r>
    <x v="150"/>
    <s v="OPT-NIFTY-06-Mar-2025-22300-C-E-I"/>
    <s v="NSE"/>
    <s v="Buy"/>
    <n v="300"/>
    <n v="0"/>
    <n v="145.25"/>
    <n v="43575"/>
    <s v="#202502283700009540"/>
    <n v="0"/>
    <n v="15.48"/>
    <n v="4.66"/>
    <n v="0.04"/>
    <n v="116"/>
    <n v="23.68"/>
    <n v="159.86000000000001"/>
    <n v="2025"/>
    <n v="2"/>
    <n v="2024"/>
    <n v="11"/>
    <n v="11"/>
    <x v="13"/>
    <x v="13"/>
    <n v="-43734.86"/>
    <x v="1"/>
    <n v="-43734.86"/>
  </r>
  <r>
    <x v="150"/>
    <s v="OPT-NIFTY-06-Mar-2025-22300-C-E-I"/>
    <s v="NSE"/>
    <s v="Buy"/>
    <n v="75"/>
    <n v="0"/>
    <n v="205.2"/>
    <n v="15390"/>
    <s v="#202502283700001198"/>
    <n v="0"/>
    <n v="5.47"/>
    <n v="0"/>
    <n v="0.02"/>
    <n v="29"/>
    <n v="6.2"/>
    <n v="40.69"/>
    <n v="2025"/>
    <n v="2"/>
    <n v="2024"/>
    <n v="11"/>
    <n v="11"/>
    <x v="13"/>
    <x v="13"/>
    <n v="-15430.69"/>
    <x v="1"/>
    <n v="-15430.69"/>
  </r>
  <r>
    <x v="151"/>
    <s v="OPT-NIFTY-06-Mar-2025-22250-P-E-I"/>
    <s v="NSE"/>
    <s v="Sell"/>
    <n v="75"/>
    <n v="0"/>
    <n v="174.25"/>
    <n v="13068.75"/>
    <s v="#202503033700018063"/>
    <n v="13.07"/>
    <n v="4.6399999999999997"/>
    <n v="0"/>
    <n v="0.01"/>
    <n v="29"/>
    <n v="6.06"/>
    <n v="52.78"/>
    <n v="2025"/>
    <n v="3"/>
    <n v="2024"/>
    <n v="12"/>
    <n v="12"/>
    <x v="14"/>
    <x v="14"/>
    <n v="13015.97"/>
    <x v="340"/>
    <s v=""/>
  </r>
  <r>
    <x v="151"/>
    <s v="OPT-NIFTY-06-Mar-2025-22250-P-E-I"/>
    <s v="NSE"/>
    <s v="Buy"/>
    <n v="75"/>
    <n v="0"/>
    <n v="152.5"/>
    <n v="11437.5"/>
    <s v="#202503033700014960"/>
    <n v="0"/>
    <n v="4.0599999999999996"/>
    <n v="0.34"/>
    <n v="0.01"/>
    <n v="29"/>
    <n v="5.96"/>
    <n v="39.369999999999997"/>
    <n v="2025"/>
    <n v="3"/>
    <n v="2024"/>
    <n v="12"/>
    <n v="12"/>
    <x v="14"/>
    <x v="14"/>
    <n v="-11476.87"/>
    <x v="1"/>
    <n v="-11476.87"/>
  </r>
  <r>
    <x v="151"/>
    <s v="OPT-NIFTY-06-Mar-2025-22250-C-E-I"/>
    <s v="NSE"/>
    <s v="Sell"/>
    <n v="300"/>
    <n v="0"/>
    <n v="51.25"/>
    <n v="15375"/>
    <s v="#202503033700010257"/>
    <n v="15.43"/>
    <n v="5.46"/>
    <n v="0"/>
    <n v="0.02"/>
    <n v="116"/>
    <n v="21.86"/>
    <n v="158.77000000000001"/>
    <n v="2025"/>
    <n v="3"/>
    <n v="2024"/>
    <n v="12"/>
    <n v="12"/>
    <x v="14"/>
    <x v="14"/>
    <n v="15216.23"/>
    <x v="341"/>
    <s v=""/>
  </r>
  <r>
    <x v="151"/>
    <s v="OPT-NIFTY-06-Mar-2025-22250-C-E-I"/>
    <s v="NSE"/>
    <s v="Buy"/>
    <n v="300"/>
    <n v="0"/>
    <n v="53.2"/>
    <n v="15960"/>
    <s v="#202503033700009522"/>
    <n v="0"/>
    <n v="5.67"/>
    <n v="0.66"/>
    <n v="0.02"/>
    <n v="116"/>
    <n v="21.9"/>
    <n v="144.25"/>
    <n v="2025"/>
    <n v="3"/>
    <n v="2024"/>
    <n v="12"/>
    <n v="12"/>
    <x v="14"/>
    <x v="14"/>
    <n v="-16104.25"/>
    <x v="1"/>
    <n v="-16104.25"/>
  </r>
  <r>
    <x v="151"/>
    <s v="OPT-NIFTY-06-Mar-2025-22250-C-E-I"/>
    <s v="NSE"/>
    <s v="Sell"/>
    <n v="225"/>
    <n v="0"/>
    <n v="60"/>
    <n v="13500"/>
    <s v="#202503033700008507"/>
    <n v="13.5"/>
    <n v="4.8"/>
    <n v="0"/>
    <n v="0.01"/>
    <n v="87"/>
    <n v="16.52"/>
    <n v="121.83"/>
    <n v="2025"/>
    <n v="3"/>
    <n v="2024"/>
    <n v="12"/>
    <n v="12"/>
    <x v="14"/>
    <x v="14"/>
    <n v="13378.17"/>
    <x v="342"/>
    <s v=""/>
  </r>
  <r>
    <x v="151"/>
    <s v="OPT-NIFTY-06-Mar-2025-22250-C-E-I"/>
    <s v="NSE"/>
    <s v="Buy"/>
    <n v="75"/>
    <n v="0"/>
    <n v="65.25"/>
    <n v="4893.75"/>
    <s v="#202503033700005932"/>
    <n v="0"/>
    <n v="1.74"/>
    <n v="0"/>
    <n v="0"/>
    <n v="29"/>
    <n v="5.54"/>
    <n v="36.28"/>
    <n v="2025"/>
    <n v="3"/>
    <n v="2024"/>
    <n v="12"/>
    <n v="12"/>
    <x v="14"/>
    <x v="14"/>
    <n v="-4930.03"/>
    <x v="1"/>
    <n v="-4930.03"/>
  </r>
  <r>
    <x v="151"/>
    <s v="OPT-NIFTY-06-Mar-2025-22250-C-E-I"/>
    <s v="NSE"/>
    <s v="Buy"/>
    <n v="75"/>
    <n v="0"/>
    <n v="63.35"/>
    <n v="4751.25"/>
    <s v="#202503033700005611"/>
    <n v="0"/>
    <n v="1.69"/>
    <n v="0"/>
    <n v="0"/>
    <n v="29"/>
    <n v="5.52"/>
    <n v="36.21"/>
    <n v="2025"/>
    <n v="3"/>
    <n v="2024"/>
    <n v="12"/>
    <n v="12"/>
    <x v="14"/>
    <x v="14"/>
    <n v="-4787.46"/>
    <x v="1"/>
    <n v="-4787.46"/>
  </r>
  <r>
    <x v="151"/>
    <s v="OPT-NIFTY-06-Mar-2025-22250-C-E-I"/>
    <s v="NSE"/>
    <s v="Buy"/>
    <n v="75"/>
    <n v="0"/>
    <n v="109.6"/>
    <n v="8220"/>
    <s v="#202503033700003050"/>
    <n v="0"/>
    <n v="2.92"/>
    <n v="0"/>
    <n v="0.01"/>
    <n v="29"/>
    <n v="5.74"/>
    <n v="37.67"/>
    <n v="2025"/>
    <n v="3"/>
    <n v="2024"/>
    <n v="12"/>
    <n v="12"/>
    <x v="14"/>
    <x v="14"/>
    <n v="-8257.67"/>
    <x v="1"/>
    <n v="-8257.67"/>
  </r>
  <r>
    <x v="152"/>
    <s v="OPT-NIFTY-06-Mar-2025-22050-P-E-I"/>
    <s v="NSE"/>
    <s v="Sell"/>
    <n v="225"/>
    <n v="0"/>
    <n v="81.2"/>
    <n v="18270"/>
    <s v="#202503043700015279"/>
    <n v="18.32"/>
    <n v="6.49"/>
    <n v="0"/>
    <n v="0.02"/>
    <n v="87"/>
    <n v="16.84"/>
    <n v="128.66999999999999"/>
    <n v="2025"/>
    <n v="3"/>
    <n v="2024"/>
    <n v="12"/>
    <n v="12"/>
    <x v="14"/>
    <x v="14"/>
    <n v="18141.330000000002"/>
    <x v="343"/>
    <s v=""/>
  </r>
  <r>
    <x v="152"/>
    <s v="OPT-NIFTY-06-Mar-2025-22050-P-E-I"/>
    <s v="NSE"/>
    <s v="Buy"/>
    <n v="150"/>
    <n v="0"/>
    <n v="77.05"/>
    <n v="11557.5"/>
    <s v="#202503043700014966"/>
    <n v="0"/>
    <n v="4.0999999999999996"/>
    <n v="0.72"/>
    <n v="0.02"/>
    <n v="58"/>
    <n v="11.2"/>
    <n v="74.040000000000006"/>
    <n v="2025"/>
    <n v="3"/>
    <n v="2024"/>
    <n v="12"/>
    <n v="12"/>
    <x v="14"/>
    <x v="14"/>
    <n v="-11631.54"/>
    <x v="1"/>
    <n v="-11631.54"/>
  </r>
  <r>
    <x v="152"/>
    <s v="OPT-NIFTY-06-Mar-2025-22050-P-E-I"/>
    <s v="NSE"/>
    <s v="Buy"/>
    <n v="75"/>
    <n v="0"/>
    <n v="76"/>
    <n v="5700"/>
    <s v="#202503043700014950"/>
    <n v="0"/>
    <n v="2.0299999999999998"/>
    <n v="0"/>
    <n v="0.01"/>
    <n v="29"/>
    <n v="5.58"/>
    <n v="36.619999999999997"/>
    <n v="2025"/>
    <n v="3"/>
    <n v="2024"/>
    <n v="12"/>
    <n v="12"/>
    <x v="14"/>
    <x v="14"/>
    <n v="-5736.62"/>
    <x v="1"/>
    <n v="-5736.62"/>
  </r>
  <r>
    <x v="152"/>
    <s v="OPT-NIFTY-06-Mar-2025-22250-C-E-I"/>
    <s v="NSE"/>
    <s v="Sell"/>
    <n v="300"/>
    <n v="0"/>
    <n v="42.25"/>
    <n v="12675"/>
    <s v="#202503043700003865"/>
    <n v="12.68"/>
    <n v="4.51"/>
    <n v="0"/>
    <n v="0.01"/>
    <n v="116"/>
    <n v="21.68"/>
    <n v="154.88"/>
    <n v="2025"/>
    <n v="3"/>
    <n v="2024"/>
    <n v="12"/>
    <n v="12"/>
    <x v="14"/>
    <x v="14"/>
    <n v="12520.12"/>
    <x v="344"/>
    <s v=""/>
  </r>
  <r>
    <x v="152"/>
    <s v="OPT-NIFTY-06-Mar-2025-22250-C-E-I"/>
    <s v="NSE"/>
    <s v="Buy"/>
    <n v="300"/>
    <n v="0"/>
    <n v="31.25"/>
    <n v="9375"/>
    <s v="#202503043700002804"/>
    <n v="0"/>
    <n v="3.33"/>
    <n v="0.28000000000000003"/>
    <n v="0.01"/>
    <n v="116"/>
    <n v="21.48"/>
    <n v="141.1"/>
    <n v="2025"/>
    <n v="3"/>
    <n v="2024"/>
    <n v="12"/>
    <n v="12"/>
    <x v="14"/>
    <x v="14"/>
    <n v="-9516.1"/>
    <x v="1"/>
    <n v="-9516.1"/>
  </r>
  <r>
    <x v="153"/>
    <s v="OPT-NIFTY-06-Mar-2025-22450-C-E-I"/>
    <s v="NSE"/>
    <s v="Sell"/>
    <n v="375"/>
    <n v="0"/>
    <n v="24.25"/>
    <n v="9093.75"/>
    <s v="#202503063700015441"/>
    <n v="9.09"/>
    <n v="3.23"/>
    <n v="0"/>
    <n v="0.01"/>
    <n v="145"/>
    <n v="26.68"/>
    <n v="184.01"/>
    <n v="2025"/>
    <n v="3"/>
    <n v="2024"/>
    <n v="12"/>
    <n v="12"/>
    <x v="14"/>
    <x v="14"/>
    <n v="8909.74"/>
    <x v="345"/>
    <s v=""/>
  </r>
  <r>
    <x v="153"/>
    <s v="OPT-NIFTY-06-Mar-2025-22450-C-E-I"/>
    <s v="NSE"/>
    <s v="Buy"/>
    <n v="375"/>
    <n v="0"/>
    <n v="13.25"/>
    <n v="4968.75"/>
    <s v="#202503063700014454"/>
    <n v="0"/>
    <n v="1.77"/>
    <n v="0"/>
    <n v="0"/>
    <n v="145"/>
    <n v="26.42"/>
    <n v="173.19"/>
    <n v="2025"/>
    <n v="3"/>
    <n v="2024"/>
    <n v="12"/>
    <n v="12"/>
    <x v="14"/>
    <x v="14"/>
    <n v="-5141.9399999999996"/>
    <x v="1"/>
    <n v="-5141.9399999999996"/>
  </r>
  <r>
    <x v="153"/>
    <s v="OPT-NIFTY-06-Mar-2025-22150-P-E-I"/>
    <s v="NSE"/>
    <s v="Sell"/>
    <n v="375"/>
    <n v="0"/>
    <n v="23.73"/>
    <n v="8898.75"/>
    <s v="#202503063700005686"/>
    <n v="8.91"/>
    <n v="3.16"/>
    <n v="0"/>
    <n v="0"/>
    <n v="145"/>
    <n v="26.66"/>
    <n v="183.73"/>
    <n v="2025"/>
    <n v="3"/>
    <n v="2024"/>
    <n v="12"/>
    <n v="12"/>
    <x v="14"/>
    <x v="14"/>
    <n v="8715.02"/>
    <x v="346"/>
    <s v=""/>
  </r>
  <r>
    <x v="153"/>
    <s v="OPT-NIFTY-06-Mar-2025-22150-P-E-I"/>
    <s v="NSE"/>
    <s v="Buy"/>
    <n v="375"/>
    <n v="0"/>
    <n v="11.15"/>
    <n v="4181.25"/>
    <s v="#202503063700002621"/>
    <n v="0"/>
    <n v="1.49"/>
    <n v="0"/>
    <n v="0"/>
    <n v="145"/>
    <n v="26.36"/>
    <n v="172.85"/>
    <n v="2025"/>
    <n v="3"/>
    <n v="2024"/>
    <n v="12"/>
    <n v="12"/>
    <x v="14"/>
    <x v="14"/>
    <n v="-4354.1000000000004"/>
    <x v="1"/>
    <n v="-4354.1000000000004"/>
  </r>
  <r>
    <x v="154"/>
    <s v="OPT-NIFTY-13-Mar-2025-22700-C-E-I"/>
    <s v="NSE"/>
    <s v="Sell"/>
    <n v="150"/>
    <n v="0"/>
    <n v="90.3"/>
    <n v="13545"/>
    <s v="#202503073700016083"/>
    <n v="13.55"/>
    <n v="4.8099999999999996"/>
    <n v="0"/>
    <n v="0.01"/>
    <n v="58"/>
    <n v="11.3"/>
    <n v="87.67"/>
    <n v="2025"/>
    <n v="3"/>
    <n v="2024"/>
    <n v="12"/>
    <n v="12"/>
    <x v="14"/>
    <x v="14"/>
    <n v="13457.33"/>
    <x v="347"/>
    <s v=""/>
  </r>
  <r>
    <x v="154"/>
    <s v="OPT-NIFTY-13-Mar-2025-22700-C-E-I"/>
    <s v="NSE"/>
    <s v="Buy"/>
    <n v="150"/>
    <n v="0"/>
    <n v="87.65"/>
    <n v="13147.5"/>
    <s v="#202503073700014311"/>
    <n v="0"/>
    <n v="4.67"/>
    <n v="1.55"/>
    <n v="0.01"/>
    <n v="58"/>
    <n v="11.28"/>
    <n v="75.510000000000005"/>
    <n v="2025"/>
    <n v="3"/>
    <n v="2024"/>
    <n v="12"/>
    <n v="12"/>
    <x v="14"/>
    <x v="14"/>
    <n v="-13223.01"/>
    <x v="1"/>
    <n v="-13223.01"/>
  </r>
  <r>
    <x v="154"/>
    <s v="OPT-NIFTY-13-Mar-2025-22700-C-E-I"/>
    <s v="NSE"/>
    <s v="Sell"/>
    <n v="150"/>
    <n v="0"/>
    <n v="78.5"/>
    <n v="11775"/>
    <s v="#202503073700013258"/>
    <n v="11.78"/>
    <n v="4.18"/>
    <n v="0"/>
    <n v="0.01"/>
    <n v="58"/>
    <n v="11.2"/>
    <n v="85.17"/>
    <n v="2025"/>
    <n v="3"/>
    <n v="2024"/>
    <n v="12"/>
    <n v="12"/>
    <x v="14"/>
    <x v="14"/>
    <n v="11689.83"/>
    <x v="348"/>
    <s v=""/>
  </r>
  <r>
    <x v="154"/>
    <s v="OPT-NIFTY-13-Mar-2025-22700-C-E-I"/>
    <s v="NSE"/>
    <s v="Buy"/>
    <n v="75"/>
    <n v="0"/>
    <n v="103.35"/>
    <n v="7751.25"/>
    <s v="#202503073700008704"/>
    <n v="0"/>
    <n v="2.75"/>
    <n v="0"/>
    <n v="0.01"/>
    <n v="29"/>
    <n v="5.72"/>
    <n v="37.479999999999997"/>
    <n v="2025"/>
    <n v="3"/>
    <n v="2024"/>
    <n v="12"/>
    <n v="12"/>
    <x v="14"/>
    <x v="14"/>
    <n v="-7788.73"/>
    <x v="1"/>
    <n v="-7788.73"/>
  </r>
  <r>
    <x v="154"/>
    <s v="OPT-NIFTY-13-Mar-2025-22700-C-E-I"/>
    <s v="NSE"/>
    <s v="Buy"/>
    <n v="75"/>
    <n v="0"/>
    <n v="102"/>
    <n v="7650"/>
    <s v="#202503073700008543"/>
    <n v="0"/>
    <n v="2.72"/>
    <n v="0"/>
    <n v="0.01"/>
    <n v="29"/>
    <n v="5.72"/>
    <n v="37.450000000000003"/>
    <n v="2025"/>
    <n v="3"/>
    <n v="2024"/>
    <n v="12"/>
    <n v="12"/>
    <x v="14"/>
    <x v="14"/>
    <n v="-7687.45"/>
    <x v="1"/>
    <n v="-7687.45"/>
  </r>
  <r>
    <x v="154"/>
    <s v="OPT-NIFTY-13-Mar-2025-22700-C-E-I"/>
    <s v="NSE"/>
    <s v="Sell"/>
    <n v="75"/>
    <n v="0"/>
    <n v="105.7"/>
    <n v="7927.5"/>
    <s v="#202503073700007663"/>
    <n v="7.93"/>
    <n v="2.82"/>
    <n v="0"/>
    <n v="0.01"/>
    <n v="29"/>
    <n v="5.72"/>
    <n v="45.48"/>
    <n v="2025"/>
    <n v="3"/>
    <n v="2024"/>
    <n v="12"/>
    <n v="12"/>
    <x v="14"/>
    <x v="14"/>
    <n v="7882.02"/>
    <x v="349"/>
    <s v=""/>
  </r>
  <r>
    <x v="154"/>
    <s v="OPT-NIFTY-13-Mar-2025-22700-C-E-I"/>
    <s v="NSE"/>
    <s v="Buy"/>
    <n v="75"/>
    <n v="0"/>
    <n v="110.05"/>
    <n v="8253.75"/>
    <s v="#202503073700007444"/>
    <n v="0"/>
    <n v="2.93"/>
    <n v="0"/>
    <n v="0.01"/>
    <n v="29"/>
    <n v="5.74"/>
    <n v="37.68"/>
    <n v="2025"/>
    <n v="3"/>
    <n v="2024"/>
    <n v="12"/>
    <n v="12"/>
    <x v="14"/>
    <x v="14"/>
    <n v="-8291.43"/>
    <x v="1"/>
    <n v="-8291.43"/>
  </r>
  <r>
    <x v="154"/>
    <s v="OPT-NIFTY-13-Mar-2025-22350-P-E-I"/>
    <s v="NSE"/>
    <s v="Sell"/>
    <n v="150"/>
    <n v="0"/>
    <n v="54.68"/>
    <n v="8201.25"/>
    <s v="#202503073700007392"/>
    <n v="8"/>
    <n v="2.92"/>
    <n v="0"/>
    <n v="0"/>
    <n v="58"/>
    <n v="10.96"/>
    <n v="79.88"/>
    <n v="2025"/>
    <n v="3"/>
    <n v="2024"/>
    <n v="12"/>
    <n v="12"/>
    <x v="14"/>
    <x v="14"/>
    <n v="8121.37"/>
    <x v="350"/>
    <s v=""/>
  </r>
  <r>
    <x v="154"/>
    <s v="OPT-NIFTY-13-Mar-2025-22350-P-E-I"/>
    <s v="NSE"/>
    <s v="Buy"/>
    <n v="150"/>
    <n v="0"/>
    <n v="58.8"/>
    <n v="8820"/>
    <s v="#202503073700007288"/>
    <n v="0"/>
    <n v="3.13"/>
    <n v="0.45"/>
    <n v="0.01"/>
    <n v="58"/>
    <n v="11"/>
    <n v="72.59"/>
    <n v="2025"/>
    <n v="3"/>
    <n v="2024"/>
    <n v="12"/>
    <n v="12"/>
    <x v="14"/>
    <x v="14"/>
    <n v="-8892.59"/>
    <x v="1"/>
    <n v="-8892.59"/>
  </r>
  <r>
    <x v="154"/>
    <s v="OPT-NIFTY-13-Mar-2025-22700-C-E-I"/>
    <s v="NSE"/>
    <s v="Sell"/>
    <n v="150"/>
    <n v="0"/>
    <n v="98.75"/>
    <n v="14812.5"/>
    <s v="#202503073700005224"/>
    <n v="14.81"/>
    <n v="5.26"/>
    <n v="0"/>
    <n v="0.01"/>
    <n v="58"/>
    <n v="11.38"/>
    <n v="89.46"/>
    <n v="2025"/>
    <n v="3"/>
    <n v="2024"/>
    <n v="12"/>
    <n v="12"/>
    <x v="14"/>
    <x v="14"/>
    <n v="14723.04"/>
    <x v="351"/>
    <s v=""/>
  </r>
  <r>
    <x v="154"/>
    <s v="OPT-NIFTY-13-Mar-2025-22700-C-E-I"/>
    <s v="NSE"/>
    <s v="Buy"/>
    <n v="75"/>
    <n v="0"/>
    <n v="81.400000000000006"/>
    <n v="6105"/>
    <s v="#202503073700004640"/>
    <n v="0"/>
    <n v="2.17"/>
    <n v="0"/>
    <n v="0.01"/>
    <n v="29"/>
    <n v="5.62"/>
    <n v="36.799999999999997"/>
    <n v="2025"/>
    <n v="3"/>
    <n v="2024"/>
    <n v="12"/>
    <n v="12"/>
    <x v="14"/>
    <x v="14"/>
    <n v="-6141.8"/>
    <x v="1"/>
    <n v="-6141.8"/>
  </r>
  <r>
    <x v="154"/>
    <s v="OPT-NIFTY-13-Mar-2025-22350-P-E-I"/>
    <s v="NSE"/>
    <s v="Sell"/>
    <n v="75"/>
    <n v="0"/>
    <n v="70.400000000000006"/>
    <n v="5280"/>
    <s v="#202503073700004603"/>
    <n v="5.28"/>
    <n v="1.88"/>
    <n v="0"/>
    <n v="0.01"/>
    <n v="29"/>
    <n v="5.56"/>
    <n v="41.73"/>
    <n v="2025"/>
    <n v="3"/>
    <n v="2024"/>
    <n v="12"/>
    <n v="12"/>
    <x v="14"/>
    <x v="14"/>
    <n v="5238.2700000000004"/>
    <x v="352"/>
    <s v=""/>
  </r>
  <r>
    <x v="154"/>
    <s v="OPT-NIFTY-13-Mar-2025-22700-C-E-I"/>
    <s v="NSE"/>
    <s v="Buy"/>
    <n v="75"/>
    <n v="0"/>
    <n v="81.25"/>
    <n v="6093.75"/>
    <s v="#202503073700004565"/>
    <n v="0"/>
    <n v="2.17"/>
    <n v="0"/>
    <n v="0.01"/>
    <n v="29"/>
    <n v="5.62"/>
    <n v="36.799999999999997"/>
    <n v="2025"/>
    <n v="3"/>
    <n v="2024"/>
    <n v="12"/>
    <n v="12"/>
    <x v="14"/>
    <x v="14"/>
    <n v="-6130.55"/>
    <x v="1"/>
    <n v="-6130.55"/>
  </r>
  <r>
    <x v="154"/>
    <s v="OPT-NIFTY-13-Mar-2025-22700-C-E-I"/>
    <s v="NSE"/>
    <s v="Sell"/>
    <n v="75"/>
    <n v="0"/>
    <n v="75.5"/>
    <n v="5662.5"/>
    <s v="#202503073700003607"/>
    <n v="5.66"/>
    <n v="2.0099999999999998"/>
    <n v="0"/>
    <n v="0.01"/>
    <n v="29"/>
    <n v="5.58"/>
    <n v="42.26"/>
    <n v="2025"/>
    <n v="3"/>
    <n v="2024"/>
    <n v="12"/>
    <n v="12"/>
    <x v="14"/>
    <x v="14"/>
    <n v="5620.24"/>
    <x v="353"/>
    <s v=""/>
  </r>
  <r>
    <x v="154"/>
    <s v="OPT-NIFTY-13-Mar-2025-22350-P-E-I"/>
    <s v="NSE"/>
    <s v="Buy"/>
    <n v="75"/>
    <n v="0"/>
    <n v="81"/>
    <n v="6075"/>
    <s v="#202503073700003054"/>
    <n v="0"/>
    <n v="2.16"/>
    <n v="0"/>
    <n v="0.01"/>
    <n v="29"/>
    <n v="5.62"/>
    <n v="36.79"/>
    <n v="2025"/>
    <n v="3"/>
    <n v="2024"/>
    <n v="12"/>
    <n v="12"/>
    <x v="14"/>
    <x v="14"/>
    <n v="-6111.79"/>
    <x v="1"/>
    <n v="-6111.79"/>
  </r>
  <r>
    <x v="154"/>
    <s v="OPT-NIFTY-13-Mar-2025-22700-C-E-I"/>
    <s v="NSE"/>
    <s v="Buy"/>
    <n v="75"/>
    <n v="0"/>
    <n v="89.5"/>
    <n v="6712.5"/>
    <s v="#202503073700002797"/>
    <n v="0"/>
    <n v="2.38"/>
    <n v="0"/>
    <n v="0.01"/>
    <n v="29"/>
    <n v="5.66"/>
    <n v="37.049999999999997"/>
    <n v="2025"/>
    <n v="3"/>
    <n v="2024"/>
    <n v="12"/>
    <n v="12"/>
    <x v="14"/>
    <x v="14"/>
    <n v="-6749.55"/>
    <x v="1"/>
    <n v="-6749.55"/>
  </r>
  <r>
    <x v="155"/>
    <s v="OPT-NIFTY-13-Mar-2025-22450-P-E-I"/>
    <s v="NSE"/>
    <s v="Buy"/>
    <n v="75"/>
    <n v="0"/>
    <n v="127.15"/>
    <n v="9536.25"/>
    <s v="#202503113700007148"/>
    <n v="0"/>
    <n v="3.39"/>
    <n v="0"/>
    <n v="0.01"/>
    <n v="29"/>
    <n v="5.84"/>
    <n v="38.24"/>
    <n v="2025"/>
    <n v="3"/>
    <n v="2024"/>
    <n v="12"/>
    <n v="12"/>
    <x v="14"/>
    <x v="14"/>
    <n v="-9574.49"/>
    <x v="1"/>
    <n v="-9574.49"/>
  </r>
  <r>
    <x v="156"/>
    <s v="OPT-NIFTY-13-Mar-2025-22350-C-E-I"/>
    <s v="NSE"/>
    <s v="Sell"/>
    <n v="300"/>
    <n v="0"/>
    <n v="72.25"/>
    <n v="21675"/>
    <s v="#202503123700014416"/>
    <n v="21.68"/>
    <n v="7.72"/>
    <n v="0"/>
    <n v="0.04"/>
    <n v="116"/>
    <n v="22.24"/>
    <n v="167.68"/>
    <n v="2025"/>
    <n v="3"/>
    <n v="2024"/>
    <n v="12"/>
    <n v="12"/>
    <x v="14"/>
    <x v="14"/>
    <n v="21507.32"/>
    <x v="354"/>
    <s v=""/>
  </r>
  <r>
    <x v="156"/>
    <s v="OPT-NIFTY-13-Mar-2025-22350-C-E-I"/>
    <s v="NSE"/>
    <s v="Buy"/>
    <n v="300"/>
    <n v="0"/>
    <n v="79.5"/>
    <n v="23850"/>
    <s v="#202503123700014084"/>
    <n v="0"/>
    <n v="8.4700000000000006"/>
    <n v="0.72"/>
    <n v="0.02"/>
    <n v="116"/>
    <n v="22.4"/>
    <n v="147.61000000000001"/>
    <n v="2025"/>
    <n v="3"/>
    <n v="2024"/>
    <n v="12"/>
    <n v="12"/>
    <x v="14"/>
    <x v="14"/>
    <n v="-23997.61"/>
    <x v="1"/>
    <n v="-23997.61"/>
  </r>
  <r>
    <x v="156"/>
    <s v="OPT-NIFTY-13-Mar-2025-22450-P-E-I"/>
    <s v="NSE"/>
    <s v="Sell"/>
    <n v="75"/>
    <n v="0"/>
    <n v="147.25"/>
    <n v="11043.75"/>
    <s v="#202503123700011847"/>
    <n v="11.04"/>
    <n v="3.92"/>
    <n v="0"/>
    <n v="0.01"/>
    <n v="29"/>
    <n v="5.92"/>
    <n v="49.89"/>
    <n v="2025"/>
    <n v="3"/>
    <n v="2024"/>
    <n v="12"/>
    <n v="12"/>
    <x v="14"/>
    <x v="14"/>
    <n v="10993.86"/>
    <x v="355"/>
    <s v=""/>
  </r>
  <r>
    <x v="156"/>
    <s v="OPT-NIFTY-13-Mar-2025-22350-P-E-I"/>
    <s v="NSE"/>
    <s v="Sell"/>
    <n v="525"/>
    <n v="0"/>
    <n v="59.25"/>
    <n v="31106.25"/>
    <s v="#202503123700006973"/>
    <n v="31.28"/>
    <n v="11.05"/>
    <n v="0"/>
    <n v="0.03"/>
    <n v="203"/>
    <n v="38.54"/>
    <n v="283.89999999999998"/>
    <n v="2025"/>
    <n v="3"/>
    <n v="2024"/>
    <n v="12"/>
    <n v="12"/>
    <x v="14"/>
    <x v="14"/>
    <n v="30822.35"/>
    <x v="356"/>
    <s v=""/>
  </r>
  <r>
    <x v="156"/>
    <s v="OPT-NIFTY-13-Mar-2025-22350-P-E-I"/>
    <s v="NSE"/>
    <s v="Buy"/>
    <n v="525"/>
    <n v="0"/>
    <n v="50.25"/>
    <n v="26381.25"/>
    <s v="#202503123700002901"/>
    <n v="0"/>
    <n v="9.3699999999999992"/>
    <n v="1.28"/>
    <n v="0.02"/>
    <n v="203"/>
    <n v="38.22"/>
    <n v="251.89"/>
    <n v="2025"/>
    <n v="3"/>
    <n v="2024"/>
    <n v="12"/>
    <n v="12"/>
    <x v="14"/>
    <x v="14"/>
    <n v="-26633.14"/>
    <x v="1"/>
    <n v="-26633.14"/>
  </r>
  <r>
    <x v="157"/>
    <s v="OPT-NIFTY-20-Mar-2025-22500-P-E-I"/>
    <s v="NSE"/>
    <s v="Sell"/>
    <n v="75"/>
    <n v="0"/>
    <n v="101.75"/>
    <n v="7631.25"/>
    <s v="#202503173700016172"/>
    <n v="7.63"/>
    <n v="2.71"/>
    <n v="0"/>
    <n v="0.01"/>
    <n v="29"/>
    <n v="5.7"/>
    <n v="45.05"/>
    <n v="2025"/>
    <n v="3"/>
    <n v="2024"/>
    <n v="12"/>
    <n v="12"/>
    <x v="14"/>
    <x v="14"/>
    <n v="7586.2"/>
    <x v="357"/>
    <s v=""/>
  </r>
  <r>
    <x v="157"/>
    <s v="OPT-NIFTY-20-Mar-2025-22500-P-E-I"/>
    <s v="NSE"/>
    <s v="Buy"/>
    <n v="75"/>
    <n v="0"/>
    <n v="104.55"/>
    <n v="7841.25"/>
    <s v="#202503173700015655"/>
    <n v="0"/>
    <n v="2.79"/>
    <n v="0"/>
    <n v="0.01"/>
    <n v="29"/>
    <n v="5.72"/>
    <n v="37.520000000000003"/>
    <n v="2025"/>
    <n v="3"/>
    <n v="2024"/>
    <n v="12"/>
    <n v="12"/>
    <x v="14"/>
    <x v="14"/>
    <n v="-7878.77"/>
    <x v="1"/>
    <n v="-7878.77"/>
  </r>
  <r>
    <x v="157"/>
    <s v="OPT-NIFTY-20-Mar-2025-22500-P-E-I"/>
    <s v="NSE"/>
    <s v="Sell"/>
    <n v="75"/>
    <n v="0"/>
    <n v="105.25"/>
    <n v="7893.75"/>
    <s v="#202503173700006056"/>
    <n v="8.3699999999999992"/>
    <n v="2.8"/>
    <n v="0"/>
    <n v="0.01"/>
    <n v="29"/>
    <n v="5.72"/>
    <n v="45.9"/>
    <n v="2025"/>
    <n v="3"/>
    <n v="2024"/>
    <n v="12"/>
    <n v="12"/>
    <x v="14"/>
    <x v="14"/>
    <n v="7847.85"/>
    <x v="358"/>
    <s v=""/>
  </r>
  <r>
    <x v="157"/>
    <s v="OPT-NIFTY-20-Mar-2025-22500-P-E-I"/>
    <s v="NSE"/>
    <s v="Buy"/>
    <n v="75"/>
    <n v="0"/>
    <n v="102.85"/>
    <n v="7713.75"/>
    <s v="#202503173700005581"/>
    <n v="0"/>
    <n v="2.74"/>
    <n v="0"/>
    <n v="0.01"/>
    <n v="29"/>
    <n v="5.72"/>
    <n v="37.47"/>
    <n v="2025"/>
    <n v="3"/>
    <n v="2024"/>
    <n v="12"/>
    <n v="12"/>
    <x v="14"/>
    <x v="14"/>
    <n v="-7751.22"/>
    <x v="1"/>
    <n v="-7751.22"/>
  </r>
  <r>
    <x v="158"/>
    <s v="OPT-NIFTY-20-Mar-2025-22950-C-E-I"/>
    <s v="NSE"/>
    <s v="Sell"/>
    <n v="75"/>
    <n v="0"/>
    <n v="76.25"/>
    <n v="5718.75"/>
    <s v="#202503193700017435"/>
    <n v="6"/>
    <n v="2.0299999999999998"/>
    <n v="0"/>
    <n v="0.01"/>
    <n v="29"/>
    <n v="5.58"/>
    <n v="42.62"/>
    <n v="2025"/>
    <n v="3"/>
    <n v="2024"/>
    <n v="12"/>
    <n v="12"/>
    <x v="14"/>
    <x v="14"/>
    <n v="5676.13"/>
    <x v="359"/>
    <s v=""/>
  </r>
  <r>
    <x v="158"/>
    <s v="OPT-NIFTY-20-Mar-2025-22950-C-E-I"/>
    <s v="NSE"/>
    <s v="Buy"/>
    <n v="75"/>
    <n v="0"/>
    <n v="65.7"/>
    <n v="4927.5"/>
    <s v="#202503193700017393"/>
    <n v="0"/>
    <n v="1.75"/>
    <n v="0"/>
    <n v="0"/>
    <n v="29"/>
    <n v="5.54"/>
    <n v="36.29"/>
    <n v="2025"/>
    <n v="3"/>
    <n v="2024"/>
    <n v="12"/>
    <n v="12"/>
    <x v="14"/>
    <x v="14"/>
    <n v="-4963.79"/>
    <x v="1"/>
    <n v="-4963.79"/>
  </r>
  <r>
    <x v="159"/>
    <s v="OPT-NIFTY-20-Mar-2025-23100-C-E-I"/>
    <s v="NSE"/>
    <s v="Sell"/>
    <n v="300"/>
    <n v="0"/>
    <n v="26.75"/>
    <n v="8025"/>
    <s v="#202503203700016230"/>
    <n v="8"/>
    <n v="2.85"/>
    <n v="0"/>
    <n v="0.01"/>
    <n v="116"/>
    <n v="21.4"/>
    <n v="148.26"/>
    <n v="2025"/>
    <n v="3"/>
    <n v="2024"/>
    <n v="12"/>
    <n v="12"/>
    <x v="14"/>
    <x v="14"/>
    <n v="7876.74"/>
    <x v="360"/>
    <s v=""/>
  </r>
  <r>
    <x v="159"/>
    <s v="OPT-NIFTY-20-Mar-2025-23100-C-E-I"/>
    <s v="NSE"/>
    <s v="Buy"/>
    <n v="75"/>
    <n v="0"/>
    <n v="14.15"/>
    <n v="1061.25"/>
    <s v="#202503203700014633"/>
    <n v="0"/>
    <n v="0.38"/>
    <n v="0"/>
    <n v="0"/>
    <n v="29"/>
    <n v="5.28"/>
    <n v="34.659999999999997"/>
    <n v="2025"/>
    <n v="3"/>
    <n v="2024"/>
    <n v="12"/>
    <n v="12"/>
    <x v="14"/>
    <x v="14"/>
    <n v="-1095.9100000000001"/>
    <x v="1"/>
    <n v="-1095.9100000000001"/>
  </r>
  <r>
    <x v="159"/>
    <s v="OPT-NIFTY-20-Mar-2025-23100-C-E-I"/>
    <s v="NSE"/>
    <s v="Buy"/>
    <n v="225"/>
    <n v="0"/>
    <n v="17.25"/>
    <n v="3881.25"/>
    <s v="#202503203700014266"/>
    <n v="0"/>
    <n v="1.38"/>
    <n v="0"/>
    <n v="0"/>
    <n v="87"/>
    <n v="15.9"/>
    <n v="104.28"/>
    <n v="2025"/>
    <n v="3"/>
    <n v="2024"/>
    <n v="12"/>
    <n v="12"/>
    <x v="14"/>
    <x v="14"/>
    <n v="-3985.53"/>
    <x v="1"/>
    <n v="-3985.53"/>
  </r>
  <r>
    <x v="160"/>
    <s v="OPT-NIFTY-27-Mar-2025-23450-P-E-I"/>
    <s v="NSE"/>
    <s v="Sell"/>
    <n v="75"/>
    <n v="0"/>
    <n v="49.25"/>
    <n v="3693.75"/>
    <s v="#202503263700018572"/>
    <n v="3.96"/>
    <n v="1.31"/>
    <n v="0"/>
    <n v="0"/>
    <n v="29"/>
    <n v="5.46"/>
    <n v="39.729999999999997"/>
    <n v="2025"/>
    <n v="3"/>
    <n v="2024"/>
    <n v="12"/>
    <n v="12"/>
    <x v="14"/>
    <x v="14"/>
    <n v="3654.02"/>
    <x v="361"/>
    <s v=""/>
  </r>
  <r>
    <x v="160"/>
    <s v="OPT-NIFTY-27-Mar-2025-23450-P-E-I"/>
    <s v="NSE"/>
    <s v="Buy"/>
    <n v="75"/>
    <n v="0"/>
    <n v="41.1"/>
    <n v="3082.5"/>
    <s v="#202503263700018211"/>
    <n v="0"/>
    <n v="1.1000000000000001"/>
    <n v="0"/>
    <n v="0"/>
    <n v="29"/>
    <n v="5.42"/>
    <n v="35.520000000000003"/>
    <n v="2025"/>
    <n v="3"/>
    <n v="2024"/>
    <n v="12"/>
    <n v="12"/>
    <x v="14"/>
    <x v="14"/>
    <n v="-3118.02"/>
    <x v="1"/>
    <n v="-3118.02"/>
  </r>
  <r>
    <x v="160"/>
    <s v="OPT-NIFTY-27-Mar-2025-23700-C-E-I"/>
    <s v="NSE"/>
    <s v="Sell"/>
    <n v="75"/>
    <n v="0"/>
    <n v="107.25"/>
    <n v="8043.75"/>
    <s v="#202503263700006640"/>
    <n v="8.0399999999999991"/>
    <n v="2.86"/>
    <n v="0"/>
    <n v="0.01"/>
    <n v="29"/>
    <n v="5.74"/>
    <n v="45.65"/>
    <n v="2025"/>
    <n v="3"/>
    <n v="2024"/>
    <n v="12"/>
    <n v="12"/>
    <x v="14"/>
    <x v="14"/>
    <n v="7998.1"/>
    <x v="362"/>
    <s v=""/>
  </r>
  <r>
    <x v="160"/>
    <s v="OPT-NIFTY-27-Mar-2025-23700-C-E-I"/>
    <s v="NSE"/>
    <s v="Buy"/>
    <n v="75"/>
    <n v="0"/>
    <n v="87.9"/>
    <n v="6592.5"/>
    <s v="#202503263700005766"/>
    <n v="0"/>
    <n v="2.34"/>
    <n v="0"/>
    <n v="0.01"/>
    <n v="29"/>
    <n v="5.64"/>
    <n v="36.99"/>
    <n v="2025"/>
    <n v="3"/>
    <n v="2024"/>
    <n v="12"/>
    <n v="12"/>
    <x v="14"/>
    <x v="14"/>
    <n v="-6629.49"/>
    <x v="1"/>
    <n v="-6629.49"/>
  </r>
  <r>
    <x v="161"/>
    <s v="OPT-NIFTY-27-Mar-2025-23650-C-E-I"/>
    <s v="NSE"/>
    <s v="Sell"/>
    <n v="525"/>
    <n v="0"/>
    <n v="5.25"/>
    <n v="2756.25"/>
    <s v="#202503273700015756"/>
    <n v="2.76"/>
    <n v="0.98"/>
    <n v="0"/>
    <n v="0"/>
    <n v="203"/>
    <n v="36.72"/>
    <n v="243.46"/>
    <n v="2025"/>
    <n v="3"/>
    <n v="2024"/>
    <n v="12"/>
    <n v="12"/>
    <x v="14"/>
    <x v="14"/>
    <n v="2512.79"/>
    <x v="363"/>
    <s v=""/>
  </r>
  <r>
    <x v="161"/>
    <s v="OPT-NIFTY-27-Mar-2025-23650-C-E-I"/>
    <s v="NSE"/>
    <s v="Buy"/>
    <n v="75"/>
    <n v="0"/>
    <n v="15.15"/>
    <n v="1136.25"/>
    <s v="#202503273700012658"/>
    <n v="0"/>
    <n v="0.4"/>
    <n v="0"/>
    <n v="0"/>
    <n v="29"/>
    <n v="5.3"/>
    <n v="34.700000000000003"/>
    <n v="2025"/>
    <n v="3"/>
    <n v="2024"/>
    <n v="12"/>
    <n v="12"/>
    <x v="14"/>
    <x v="14"/>
    <n v="-1170.95"/>
    <x v="1"/>
    <n v="-1170.95"/>
  </r>
  <r>
    <x v="161"/>
    <s v="OPT-NIFTY-27-Mar-2025-23650-C-E-I"/>
    <s v="NSE"/>
    <s v="Buy"/>
    <n v="450"/>
    <n v="0"/>
    <n v="16.600000000000001"/>
    <n v="7470"/>
    <s v="#202503273700012529"/>
    <n v="0"/>
    <n v="2.65"/>
    <n v="0"/>
    <n v="0.01"/>
    <n v="174"/>
    <n v="31.8"/>
    <n v="208.46"/>
    <n v="2025"/>
    <n v="3"/>
    <n v="2024"/>
    <n v="12"/>
    <n v="12"/>
    <x v="14"/>
    <x v="14"/>
    <n v="-7678.46"/>
    <x v="1"/>
    <n v="-7678.46"/>
  </r>
  <r>
    <x v="161"/>
    <s v="OPT-NIFTY-27-Mar-2025-23550-C-E-I"/>
    <s v="NSE"/>
    <s v="Sell"/>
    <n v="75"/>
    <n v="0"/>
    <n v="83.65"/>
    <n v="6273.75"/>
    <s v="#202503273700006827"/>
    <n v="6.24"/>
    <n v="2.23"/>
    <n v="0"/>
    <n v="0.01"/>
    <n v="29"/>
    <n v="5.62"/>
    <n v="43.1"/>
    <n v="2025"/>
    <n v="3"/>
    <n v="2024"/>
    <n v="12"/>
    <n v="12"/>
    <x v="14"/>
    <x v="14"/>
    <n v="6230.65"/>
    <x v="364"/>
    <s v=""/>
  </r>
  <r>
    <x v="161"/>
    <s v="OPT-NIFTY-27-Mar-2025-23550-C-E-I"/>
    <s v="NSE"/>
    <s v="Buy"/>
    <n v="75"/>
    <n v="0"/>
    <n v="65.8"/>
    <n v="4935"/>
    <s v="#202503273700006519"/>
    <n v="0"/>
    <n v="1.75"/>
    <n v="0"/>
    <n v="0"/>
    <n v="29"/>
    <n v="5.54"/>
    <n v="36.29"/>
    <n v="2025"/>
    <n v="3"/>
    <n v="2024"/>
    <n v="12"/>
    <n v="12"/>
    <x v="14"/>
    <x v="14"/>
    <n v="-4971.29"/>
    <x v="1"/>
    <n v="-4971.29"/>
  </r>
  <r>
    <x v="162"/>
    <s v="OPT-NIFTY-03-Apr-2025-23250-P-E-I"/>
    <s v="NSE"/>
    <s v="Sell"/>
    <n v="150"/>
    <n v="0"/>
    <n v="39.25"/>
    <n v="5887.5"/>
    <s v="#202503283700008186"/>
    <n v="5.89"/>
    <n v="2.09"/>
    <n v="0"/>
    <n v="0.01"/>
    <n v="58"/>
    <n v="10.82"/>
    <n v="76.81"/>
    <n v="2025"/>
    <n v="3"/>
    <n v="2024"/>
    <n v="12"/>
    <n v="12"/>
    <x v="14"/>
    <x v="14"/>
    <n v="5810.69"/>
    <x v="365"/>
    <s v=""/>
  </r>
  <r>
    <x v="162"/>
    <s v="OPT-NIFTY-03-Apr-2025-23250-P-E-I"/>
    <s v="NSE"/>
    <s v="Buy"/>
    <n v="150"/>
    <n v="0"/>
    <n v="33.450000000000003"/>
    <n v="5017.5"/>
    <s v="#202503283700008114"/>
    <n v="0"/>
    <n v="1.78"/>
    <n v="0"/>
    <n v="0.01"/>
    <n v="58"/>
    <n v="10.76"/>
    <n v="70.55"/>
    <n v="2025"/>
    <n v="3"/>
    <n v="2024"/>
    <n v="12"/>
    <n v="12"/>
    <x v="14"/>
    <x v="14"/>
    <n v="-5088.05"/>
    <x v="1"/>
    <n v="-5088.05"/>
  </r>
  <r>
    <x v="162"/>
    <s v="OPT-NIFTY-03-Apr-2025-23250-P-E-I"/>
    <s v="NSE"/>
    <s v="Sell"/>
    <n v="75"/>
    <n v="0"/>
    <n v="40.5"/>
    <n v="3037.5"/>
    <s v="#202503283700006001"/>
    <n v="3.11"/>
    <n v="1.08"/>
    <n v="0"/>
    <n v="0"/>
    <n v="29"/>
    <n v="5.42"/>
    <n v="38.61"/>
    <n v="2025"/>
    <n v="3"/>
    <n v="2024"/>
    <n v="12"/>
    <n v="12"/>
    <x v="14"/>
    <x v="14"/>
    <n v="2998.89"/>
    <x v="366"/>
    <s v=""/>
  </r>
  <r>
    <x v="162"/>
    <s v="OPT-NIFTY-03-Apr-2025-23250-P-E-I"/>
    <s v="NSE"/>
    <s v="Buy"/>
    <n v="75"/>
    <n v="0"/>
    <n v="42.5"/>
    <n v="3187.5"/>
    <s v="#202503283700001412"/>
    <n v="0"/>
    <n v="1.1299999999999999"/>
    <n v="0"/>
    <n v="0"/>
    <n v="29"/>
    <n v="5.42"/>
    <n v="35.549999999999997"/>
    <n v="2025"/>
    <n v="3"/>
    <n v="2024"/>
    <n v="12"/>
    <n v="12"/>
    <x v="14"/>
    <x v="14"/>
    <n v="-3223.05"/>
    <x v="1"/>
    <n v="-3223.05"/>
  </r>
  <r>
    <x v="163"/>
    <s v="OPT-NIFTY-03-Apr-2025-22550-P-E-I"/>
    <s v="NSE"/>
    <s v="Buy"/>
    <n v="525"/>
    <n v="0"/>
    <n v="6.05"/>
    <n v="3176.25"/>
    <s v="#202504013700015773"/>
    <n v="0"/>
    <n v="1.1200000000000001"/>
    <n v="0.1"/>
    <n v="0"/>
    <n v="203"/>
    <n v="36.700000000000003"/>
    <n v="240.92"/>
    <n v="2025"/>
    <n v="4"/>
    <n v="2025"/>
    <n v="1"/>
    <s v="01"/>
    <x v="15"/>
    <x v="15"/>
    <n v="-3417.17"/>
    <x v="1"/>
    <n v="-3417.17"/>
  </r>
  <r>
    <x v="163"/>
    <s v="OPT-NIFTY-03-Apr-2025-23500-P-E-I"/>
    <s v="NSE"/>
    <s v="Sell"/>
    <n v="450"/>
    <n v="0"/>
    <n v="136.30000000000001"/>
    <n v="61335"/>
    <s v="#202504013700006262"/>
    <n v="61.34"/>
    <n v="21.79"/>
    <n v="0"/>
    <n v="0.06"/>
    <n v="174"/>
    <n v="35.26"/>
    <n v="292.45"/>
    <n v="2025"/>
    <n v="4"/>
    <n v="2025"/>
    <n v="1"/>
    <s v="01"/>
    <x v="15"/>
    <x v="15"/>
    <n v="61042.55"/>
    <x v="367"/>
    <s v=""/>
  </r>
  <r>
    <x v="163"/>
    <s v="OPT-NIFTY-03-Apr-2025-23500-P-E-I"/>
    <s v="NSE"/>
    <s v="Buy"/>
    <n v="225"/>
    <n v="0"/>
    <n v="112.85"/>
    <n v="25391.25"/>
    <s v="#202504013700005299"/>
    <n v="0"/>
    <n v="9.02"/>
    <n v="0"/>
    <n v="0.03"/>
    <n v="87"/>
    <n v="17.28"/>
    <n v="113.33"/>
    <n v="2025"/>
    <n v="4"/>
    <n v="2025"/>
    <n v="1"/>
    <s v="01"/>
    <x v="15"/>
    <x v="15"/>
    <n v="-25504.58"/>
    <x v="1"/>
    <n v="-25504.58"/>
  </r>
  <r>
    <x v="163"/>
    <s v="OPT-NIFTY-03-Apr-2025-23500-P-E-I"/>
    <s v="NSE"/>
    <s v="Buy"/>
    <n v="225"/>
    <n v="0"/>
    <n v="104.6"/>
    <n v="23535"/>
    <s v="#202504013700004870"/>
    <n v="0"/>
    <n v="8.36"/>
    <n v="2.14"/>
    <n v="0.03"/>
    <n v="87"/>
    <n v="17.16"/>
    <n v="114.69"/>
    <n v="2025"/>
    <n v="4"/>
    <n v="2025"/>
    <n v="1"/>
    <s v="01"/>
    <x v="15"/>
    <x v="15"/>
    <n v="-23649.69"/>
    <x v="1"/>
    <n v="-23649.69"/>
  </r>
  <r>
    <x v="163"/>
    <s v="OPT-NIFTY-03-Apr-2025-23500-P-E-I"/>
    <s v="NSE"/>
    <s v="Sell"/>
    <n v="225"/>
    <n v="0"/>
    <n v="92.3"/>
    <n v="20767.5"/>
    <s v="#202504013700004775"/>
    <n v="20.76"/>
    <n v="7.38"/>
    <n v="0"/>
    <n v="0.03"/>
    <n v="87"/>
    <n v="16.98"/>
    <n v="132.15"/>
    <n v="2025"/>
    <n v="4"/>
    <n v="2025"/>
    <n v="1"/>
    <s v="01"/>
    <x v="15"/>
    <x v="15"/>
    <n v="20635.349999999999"/>
    <x v="368"/>
    <s v=""/>
  </r>
  <r>
    <x v="163"/>
    <s v="OPT-NIFTY-03-Apr-2025-23500-P-E-I"/>
    <s v="NSE"/>
    <s v="Buy"/>
    <n v="225"/>
    <n v="0"/>
    <n v="95.3"/>
    <n v="21442.5"/>
    <s v="#202504013700004563"/>
    <n v="0"/>
    <n v="7.62"/>
    <n v="0"/>
    <n v="0.02"/>
    <n v="87"/>
    <n v="17.04"/>
    <n v="111.68"/>
    <n v="2025"/>
    <n v="4"/>
    <n v="2025"/>
    <n v="1"/>
    <s v="01"/>
    <x v="15"/>
    <x v="15"/>
    <n v="-21554.18"/>
    <x v="1"/>
    <n v="-21554.18"/>
  </r>
  <r>
    <x v="163"/>
    <s v="OPT-NIFTY-03-Apr-2025-23500-C-E-I"/>
    <s v="NSE"/>
    <s v="Sell"/>
    <n v="225"/>
    <n v="0"/>
    <n v="143.25"/>
    <n v="32231.25"/>
    <s v="#202504013700003041"/>
    <n v="31.9"/>
    <n v="11.45"/>
    <n v="0"/>
    <n v="0.03"/>
    <n v="87"/>
    <n v="17.72"/>
    <n v="148.1"/>
    <n v="2025"/>
    <n v="4"/>
    <n v="2025"/>
    <n v="1"/>
    <s v="01"/>
    <x v="15"/>
    <x v="15"/>
    <n v="32083.15"/>
    <x v="369"/>
    <s v=""/>
  </r>
  <r>
    <x v="163"/>
    <s v="OPT-NIFTY-03-Apr-2025-23500-C-E-I"/>
    <s v="NSE"/>
    <s v="Buy"/>
    <n v="225"/>
    <n v="0"/>
    <n v="112.75"/>
    <n v="25368.75"/>
    <s v="#202504013700002731"/>
    <n v="0"/>
    <n v="9"/>
    <n v="0.76"/>
    <n v="0.03"/>
    <n v="87"/>
    <n v="17.28"/>
    <n v="114.07"/>
    <n v="2025"/>
    <n v="4"/>
    <n v="2025"/>
    <n v="1"/>
    <s v="01"/>
    <x v="15"/>
    <x v="15"/>
    <n v="-25482.82"/>
    <x v="1"/>
    <n v="-25482.82"/>
  </r>
  <r>
    <x v="164"/>
    <s v="OPT-NIFTY-03-Apr-2025-22550-P-E-I"/>
    <s v="NSE"/>
    <s v="Sell"/>
    <n v="525"/>
    <n v="0"/>
    <n v="3.5"/>
    <n v="1837.5"/>
    <s v="#202504023700014292"/>
    <n v="1.87"/>
    <n v="0.65"/>
    <n v="0"/>
    <n v="0"/>
    <n v="203"/>
    <n v="36.659999999999997"/>
    <n v="242.18"/>
    <n v="2025"/>
    <n v="4"/>
    <n v="2025"/>
    <n v="1"/>
    <s v="01"/>
    <x v="15"/>
    <x v="15"/>
    <n v="1595.32"/>
    <x v="370"/>
    <s v=""/>
  </r>
  <r>
    <x v="164"/>
    <s v="OPT-NIFTY-03-Apr-2025-23150-P-E-I"/>
    <s v="NSE"/>
    <s v="Sell"/>
    <n v="1500"/>
    <n v="0"/>
    <n v="29"/>
    <n v="43500"/>
    <s v="#202504023700014277"/>
    <n v="43.5"/>
    <n v="15.46"/>
    <n v="0"/>
    <n v="0.04"/>
    <n v="580"/>
    <n v="107.2"/>
    <n v="746.2"/>
    <n v="2025"/>
    <n v="4"/>
    <n v="2025"/>
    <n v="1"/>
    <s v="01"/>
    <x v="15"/>
    <x v="15"/>
    <n v="42753.8"/>
    <x v="371"/>
    <s v=""/>
  </r>
  <r>
    <x v="164"/>
    <s v="OPT-NIFTY-03-Apr-2025-23150-P-E-I"/>
    <s v="NSE"/>
    <s v="Buy"/>
    <n v="750"/>
    <n v="0"/>
    <n v="51.66"/>
    <n v="38745"/>
    <s v="#202504023700006643"/>
    <n v="0"/>
    <n v="13.77"/>
    <n v="0"/>
    <n v="0.04"/>
    <n v="290"/>
    <n v="54.68"/>
    <n v="358.49"/>
    <n v="2025"/>
    <n v="4"/>
    <n v="2025"/>
    <n v="1"/>
    <s v="01"/>
    <x v="15"/>
    <x v="15"/>
    <n v="-39103.49"/>
    <x v="1"/>
    <n v="-39103.49"/>
  </r>
  <r>
    <x v="164"/>
    <s v="OPT-NIFTY-03-Apr-2025-23150-P-E-I"/>
    <s v="NSE"/>
    <s v="Buy"/>
    <n v="750"/>
    <n v="0"/>
    <n v="56.7"/>
    <n v="42525"/>
    <s v="#202504023700005458"/>
    <n v="0"/>
    <n v="15.11"/>
    <n v="5.17"/>
    <n v="0.04"/>
    <n v="290"/>
    <n v="54.94"/>
    <n v="365.26"/>
    <n v="2025"/>
    <n v="4"/>
    <n v="2025"/>
    <n v="1"/>
    <s v="01"/>
    <x v="15"/>
    <x v="15"/>
    <n v="-42890.26"/>
    <x v="1"/>
    <n v="-42890.26"/>
  </r>
  <r>
    <x v="164"/>
    <s v="OPT-NIFTY-03-Apr-2025-23150-P-E-I"/>
    <s v="NSE"/>
    <s v="Sell"/>
    <n v="1200"/>
    <n v="0"/>
    <n v="60.08"/>
    <n v="72097.5"/>
    <s v="#202504023700004964"/>
    <n v="72.11"/>
    <n v="25.6"/>
    <n v="0"/>
    <n v="0.06"/>
    <n v="464"/>
    <n v="88.12"/>
    <n v="649.89"/>
    <n v="2025"/>
    <n v="4"/>
    <n v="2025"/>
    <n v="1"/>
    <s v="01"/>
    <x v="15"/>
    <x v="15"/>
    <n v="71447.61"/>
    <x v="372"/>
    <s v=""/>
  </r>
  <r>
    <x v="164"/>
    <s v="OPT-NIFTY-03-Apr-2025-23150-P-E-I"/>
    <s v="NSE"/>
    <s v="Buy"/>
    <n v="300"/>
    <n v="0"/>
    <n v="52.85"/>
    <n v="15855"/>
    <s v="#202504023700003256"/>
    <n v="0"/>
    <n v="5.64"/>
    <n v="0"/>
    <n v="0.01"/>
    <n v="116"/>
    <n v="21.9"/>
    <n v="143.55000000000001"/>
    <n v="2025"/>
    <n v="4"/>
    <n v="2025"/>
    <n v="1"/>
    <s v="01"/>
    <x v="15"/>
    <x v="15"/>
    <n v="-15998.55"/>
    <x v="1"/>
    <n v="-15998.55"/>
  </r>
  <r>
    <x v="164"/>
    <s v="OPT-NIFTY-03-Apr-2025-23150-P-E-I"/>
    <s v="NSE"/>
    <s v="Buy"/>
    <n v="300"/>
    <n v="0"/>
    <n v="58.1"/>
    <n v="17430"/>
    <s v="#202504023700002403"/>
    <n v="0"/>
    <n v="6.19"/>
    <n v="0"/>
    <n v="0.01"/>
    <n v="116"/>
    <n v="22"/>
    <n v="144.19999999999999"/>
    <n v="2025"/>
    <n v="4"/>
    <n v="2025"/>
    <n v="1"/>
    <s v="01"/>
    <x v="15"/>
    <x v="15"/>
    <n v="-17574.2"/>
    <x v="1"/>
    <n v="-17574.2"/>
  </r>
  <r>
    <x v="164"/>
    <s v="OPT-NIFTY-03-Apr-2025-23150-P-E-I"/>
    <s v="NSE"/>
    <s v="Buy"/>
    <n v="300"/>
    <n v="0"/>
    <n v="70.56"/>
    <n v="21168.75"/>
    <s v="#202504023700001891"/>
    <n v="0"/>
    <n v="7.52"/>
    <n v="0"/>
    <n v="0.03"/>
    <n v="116"/>
    <n v="22.24"/>
    <n v="145.79"/>
    <n v="2025"/>
    <n v="4"/>
    <n v="2025"/>
    <n v="1"/>
    <s v="01"/>
    <x v="15"/>
    <x v="15"/>
    <n v="-21314.54"/>
    <x v="1"/>
    <n v="-21314.54"/>
  </r>
  <r>
    <x v="164"/>
    <s v="OPT-NIFTY-03-Apr-2025-23150-P-E-I"/>
    <s v="NSE"/>
    <s v="Buy"/>
    <n v="300"/>
    <n v="0"/>
    <n v="88.15"/>
    <n v="26445"/>
    <s v="#202504023700001347"/>
    <n v="0"/>
    <n v="9.4"/>
    <n v="0"/>
    <n v="0.03"/>
    <n v="116"/>
    <n v="22.58"/>
    <n v="148.01"/>
    <n v="2025"/>
    <n v="4"/>
    <n v="2025"/>
    <n v="1"/>
    <s v="01"/>
    <x v="15"/>
    <x v="15"/>
    <n v="-26593.01"/>
    <x v="1"/>
    <n v="-26593.01"/>
  </r>
  <r>
    <x v="164"/>
    <s v="OPT-NIFTY-03-Apr-2025-23250-C-E-I"/>
    <s v="NSE"/>
    <s v="Sell"/>
    <n v="300"/>
    <n v="0"/>
    <n v="85.1"/>
    <n v="25530"/>
    <s v="#202504023700001224"/>
    <n v="25.53"/>
    <n v="9.08"/>
    <n v="0"/>
    <n v="0.03"/>
    <n v="116"/>
    <n v="22.54"/>
    <n v="173.18"/>
    <n v="2025"/>
    <n v="4"/>
    <n v="2025"/>
    <n v="1"/>
    <s v="01"/>
    <x v="15"/>
    <x v="15"/>
    <n v="25356.82"/>
    <x v="373"/>
    <s v=""/>
  </r>
  <r>
    <x v="164"/>
    <s v="OPT-NIFTY-03-Apr-2025-23250-C-E-I"/>
    <s v="NSE"/>
    <s v="Buy"/>
    <n v="300"/>
    <n v="0"/>
    <n v="92.45"/>
    <n v="27735"/>
    <s v="#202504023700000692"/>
    <n v="0"/>
    <n v="9.85"/>
    <n v="0.83"/>
    <n v="0.03"/>
    <n v="116"/>
    <n v="22.64"/>
    <n v="149.35"/>
    <n v="2025"/>
    <n v="4"/>
    <n v="2025"/>
    <n v="1"/>
    <s v="01"/>
    <x v="15"/>
    <x v="15"/>
    <n v="-27884.35"/>
    <x v="1"/>
    <n v="-27884.35"/>
  </r>
  <r>
    <x v="165"/>
    <s v="OPT-NIFTY-03-Apr-2025-23300-P-E-I"/>
    <s v="NSE"/>
    <s v="Sell"/>
    <n v="75"/>
    <n v="0"/>
    <n v="44.45"/>
    <n v="3333.75"/>
    <s v="#202504033700018010"/>
    <n v="3.33"/>
    <n v="1.18"/>
    <n v="0"/>
    <n v="0"/>
    <n v="29"/>
    <n v="5.44"/>
    <n v="38.950000000000003"/>
    <n v="2025"/>
    <n v="4"/>
    <n v="2025"/>
    <n v="1"/>
    <s v="01"/>
    <x v="15"/>
    <x v="15"/>
    <n v="3294.8"/>
    <x v="374"/>
    <s v=""/>
  </r>
  <r>
    <x v="165"/>
    <s v="OPT-NIFTY-03-Apr-2025-23300-P-E-I"/>
    <s v="NSE"/>
    <s v="Buy"/>
    <n v="75"/>
    <n v="0"/>
    <n v="45"/>
    <n v="3375"/>
    <s v="#202504033700017781"/>
    <n v="0"/>
    <n v="1.2"/>
    <n v="0"/>
    <n v="0"/>
    <n v="29"/>
    <n v="5.44"/>
    <n v="35.64"/>
    <n v="2025"/>
    <n v="4"/>
    <n v="2025"/>
    <n v="1"/>
    <s v="01"/>
    <x v="15"/>
    <x v="15"/>
    <n v="-3410.64"/>
    <x v="1"/>
    <n v="-3410.64"/>
  </r>
  <r>
    <x v="165"/>
    <s v="OPT-NIFTY-03-Apr-2025-23300-P-E-I"/>
    <s v="NSE"/>
    <s v="Sell"/>
    <n v="75"/>
    <n v="0"/>
    <n v="47.85"/>
    <n v="3588.75"/>
    <s v="#202504033700016758"/>
    <n v="3.65"/>
    <n v="1.28"/>
    <n v="0"/>
    <n v="0"/>
    <n v="29"/>
    <n v="5.46"/>
    <n v="39.39"/>
    <n v="2025"/>
    <n v="4"/>
    <n v="2025"/>
    <n v="1"/>
    <s v="01"/>
    <x v="15"/>
    <x v="15"/>
    <n v="3549.36"/>
    <x v="375"/>
    <s v=""/>
  </r>
  <r>
    <x v="165"/>
    <s v="OPT-NIFTY-03-Apr-2025-23300-P-E-I"/>
    <s v="NSE"/>
    <s v="Buy"/>
    <n v="75"/>
    <n v="0"/>
    <n v="49.05"/>
    <n v="3678.75"/>
    <s v="#202504033700015423"/>
    <n v="0"/>
    <n v="1.31"/>
    <n v="0"/>
    <n v="0"/>
    <n v="29"/>
    <n v="5.46"/>
    <n v="35.770000000000003"/>
    <n v="2025"/>
    <n v="4"/>
    <n v="2025"/>
    <n v="1"/>
    <s v="01"/>
    <x v="15"/>
    <x v="15"/>
    <n v="-3714.52"/>
    <x v="1"/>
    <n v="-3714.52"/>
  </r>
  <r>
    <x v="165"/>
    <s v="OPT-NIFTY-03-Apr-2025-23300-P-E-I"/>
    <s v="NSE"/>
    <s v="Sell"/>
    <n v="300"/>
    <n v="0"/>
    <n v="47.75"/>
    <n v="14325"/>
    <s v="#202504033700014502"/>
    <n v="14.33"/>
    <n v="5.09"/>
    <n v="0"/>
    <n v="0.01"/>
    <n v="116"/>
    <n v="21.8"/>
    <n v="157.22999999999999"/>
    <n v="2025"/>
    <n v="4"/>
    <n v="2025"/>
    <n v="1"/>
    <s v="01"/>
    <x v="15"/>
    <x v="15"/>
    <n v="14167.77"/>
    <x v="376"/>
    <s v=""/>
  </r>
  <r>
    <x v="165"/>
    <s v="OPT-NIFTY-03-Apr-2025-23300-P-E-I"/>
    <s v="NSE"/>
    <s v="Buy"/>
    <n v="300"/>
    <n v="0"/>
    <n v="37.5"/>
    <n v="11250"/>
    <s v="#202504033700014083"/>
    <n v="0"/>
    <n v="4"/>
    <n v="0.76"/>
    <n v="0.01"/>
    <n v="116"/>
    <n v="21.6"/>
    <n v="142.37"/>
    <n v="2025"/>
    <n v="4"/>
    <n v="2025"/>
    <n v="1"/>
    <s v="01"/>
    <x v="15"/>
    <x v="15"/>
    <n v="-11392.37"/>
    <x v="1"/>
    <n v="-11392.37"/>
  </r>
  <r>
    <x v="165"/>
    <s v="OPT-STABAN-24-Apr-2025-770-P-E-S"/>
    <s v="NSE"/>
    <s v="Sell"/>
    <n v="750"/>
    <n v="0"/>
    <n v="10.25"/>
    <n v="7687.5"/>
    <s v="#202504033700013624"/>
    <n v="7.69"/>
    <n v="2.73"/>
    <n v="0"/>
    <n v="0.01"/>
    <n v="29"/>
    <n v="5.72"/>
    <n v="45.15"/>
    <n v="2025"/>
    <n v="4"/>
    <n v="2025"/>
    <n v="1"/>
    <s v="01"/>
    <x v="15"/>
    <x v="15"/>
    <n v="7642.35"/>
    <x v="377"/>
    <s v=""/>
  </r>
  <r>
    <x v="165"/>
    <s v="OPT-STABAN-24-Apr-2025-770-P-E-S"/>
    <s v="NSE"/>
    <s v="Buy"/>
    <n v="750"/>
    <n v="0"/>
    <n v="10.45"/>
    <n v="7837.5"/>
    <s v="#202504033700010526"/>
    <n v="0"/>
    <n v="2.78"/>
    <n v="0.24"/>
    <n v="0.01"/>
    <n v="29"/>
    <n v="5.72"/>
    <n v="37.75"/>
    <n v="2025"/>
    <n v="4"/>
    <n v="2025"/>
    <n v="1"/>
    <s v="01"/>
    <x v="15"/>
    <x v="15"/>
    <n v="-7875.25"/>
    <x v="1"/>
    <n v="-7875.25"/>
  </r>
  <r>
    <x v="166"/>
    <s v="OPT-NIFTY-09-Apr-2025-22900-C-E-I"/>
    <s v="NSE"/>
    <s v="Sell"/>
    <n v="75"/>
    <n v="0"/>
    <n v="112.45"/>
    <n v="8433.75"/>
    <s v="#202504043700018117"/>
    <n v="8.43"/>
    <n v="3"/>
    <n v="0"/>
    <n v="0.01"/>
    <n v="29"/>
    <n v="5.76"/>
    <n v="46.2"/>
    <n v="2025"/>
    <n v="4"/>
    <n v="2025"/>
    <n v="1"/>
    <s v="01"/>
    <x v="15"/>
    <x v="15"/>
    <n v="8387.5499999999993"/>
    <x v="378"/>
    <s v=""/>
  </r>
  <r>
    <x v="166"/>
    <s v="OPT-NIFTY-09-Apr-2025-22900-C-E-I"/>
    <s v="NSE"/>
    <s v="Buy"/>
    <n v="75"/>
    <n v="0"/>
    <n v="114.25"/>
    <n v="8568.75"/>
    <s v="#202504043700018012"/>
    <n v="0"/>
    <n v="3.04"/>
    <n v="0.26"/>
    <n v="0.01"/>
    <n v="29"/>
    <n v="5.76"/>
    <n v="38.07"/>
    <n v="2025"/>
    <n v="4"/>
    <n v="2025"/>
    <n v="1"/>
    <s v="01"/>
    <x v="15"/>
    <x v="15"/>
    <n v="-8606.82"/>
    <x v="1"/>
    <n v="-8606.82"/>
  </r>
  <r>
    <x v="166"/>
    <s v="OPT-NIFTY-09-Apr-2025-22950-P-E-I"/>
    <s v="NSE"/>
    <s v="Sell"/>
    <n v="75"/>
    <n v="0"/>
    <n v="125.25"/>
    <n v="9393.75"/>
    <s v="#202504043700015765"/>
    <n v="9.39"/>
    <n v="3.34"/>
    <n v="0"/>
    <n v="0.01"/>
    <n v="29"/>
    <n v="5.82"/>
    <n v="47.56"/>
    <n v="2025"/>
    <n v="4"/>
    <n v="2025"/>
    <n v="1"/>
    <s v="01"/>
    <x v="15"/>
    <x v="15"/>
    <n v="9346.19"/>
    <x v="379"/>
    <s v=""/>
  </r>
  <r>
    <x v="166"/>
    <s v="OPT-NIFTY-09-Apr-2025-22950-P-E-I"/>
    <s v="NSE"/>
    <s v="Sell"/>
    <n v="75"/>
    <n v="0"/>
    <n v="137.25"/>
    <n v="10293.75"/>
    <s v="#202504043700015164"/>
    <n v="10.29"/>
    <n v="3.66"/>
    <n v="0"/>
    <n v="0.01"/>
    <n v="29"/>
    <n v="5.88"/>
    <n v="48.84"/>
    <n v="2025"/>
    <n v="4"/>
    <n v="2025"/>
    <n v="1"/>
    <s v="01"/>
    <x v="15"/>
    <x v="15"/>
    <n v="10244.91"/>
    <x v="380"/>
    <s v=""/>
  </r>
  <r>
    <x v="166"/>
    <s v="OPT-NIFTY-09-Apr-2025-22950-P-E-I"/>
    <s v="NSE"/>
    <s v="Buy"/>
    <n v="75"/>
    <n v="0"/>
    <n v="119.15"/>
    <n v="8936.25"/>
    <s v="#202504043700014621"/>
    <n v="0"/>
    <n v="3.18"/>
    <n v="0"/>
    <n v="0.01"/>
    <n v="29"/>
    <n v="5.8"/>
    <n v="37.99"/>
    <n v="2025"/>
    <n v="4"/>
    <n v="2025"/>
    <n v="1"/>
    <s v="01"/>
    <x v="15"/>
    <x v="15"/>
    <n v="-8974.24"/>
    <x v="1"/>
    <n v="-8974.24"/>
  </r>
  <r>
    <x v="166"/>
    <s v="OPT-NIFTY-09-Apr-2025-22950-P-E-I"/>
    <s v="NSE"/>
    <s v="Buy"/>
    <n v="75"/>
    <n v="0"/>
    <n v="133.94999999999999"/>
    <n v="10046.25"/>
    <s v="#202504043700013703"/>
    <n v="0"/>
    <n v="3.57"/>
    <n v="0"/>
    <n v="0.01"/>
    <n v="29"/>
    <n v="5.86"/>
    <n v="38.44"/>
    <n v="2025"/>
    <n v="4"/>
    <n v="2025"/>
    <n v="1"/>
    <s v="01"/>
    <x v="15"/>
    <x v="15"/>
    <n v="-10084.69"/>
    <x v="1"/>
    <n v="-10084.69"/>
  </r>
  <r>
    <x v="166"/>
    <s v="OPT-NIFTY-09-Apr-2025-22950-P-E-I"/>
    <s v="NSE"/>
    <s v="Sell"/>
    <n v="75"/>
    <n v="0"/>
    <n v="127.25"/>
    <n v="9543.75"/>
    <s v="#202504043700013001"/>
    <n v="9.9"/>
    <n v="3.39"/>
    <n v="0"/>
    <n v="0.01"/>
    <n v="29"/>
    <n v="5.84"/>
    <n v="48.14"/>
    <n v="2025"/>
    <n v="4"/>
    <n v="2025"/>
    <n v="1"/>
    <s v="01"/>
    <x v="15"/>
    <x v="15"/>
    <n v="9495.61"/>
    <x v="381"/>
    <s v=""/>
  </r>
  <r>
    <x v="166"/>
    <s v="OPT-NIFTY-09-Apr-2025-22950-P-E-I"/>
    <s v="NSE"/>
    <s v="Buy"/>
    <n v="75"/>
    <n v="0"/>
    <n v="121.55"/>
    <n v="9116.25"/>
    <s v="#202504043700011423"/>
    <n v="0"/>
    <n v="3.24"/>
    <n v="0.46"/>
    <n v="0.01"/>
    <n v="29"/>
    <n v="5.8"/>
    <n v="38.51"/>
    <n v="2025"/>
    <n v="4"/>
    <n v="2025"/>
    <n v="1"/>
    <s v="01"/>
    <x v="15"/>
    <x v="15"/>
    <n v="-9154.76"/>
    <x v="1"/>
    <n v="-9154.76"/>
  </r>
  <r>
    <x v="166"/>
    <s v="OPT-NIFTY-09-Apr-2025-23000-C-E-I"/>
    <s v="NSE"/>
    <s v="Sell"/>
    <n v="75"/>
    <n v="0"/>
    <n v="133.05000000000001"/>
    <n v="9978.75"/>
    <s v="#202504043700011100"/>
    <n v="9.98"/>
    <n v="3.55"/>
    <n v="0"/>
    <n v="0.01"/>
    <n v="29"/>
    <n v="5.86"/>
    <n v="48.4"/>
    <n v="2025"/>
    <n v="4"/>
    <n v="2025"/>
    <n v="1"/>
    <s v="01"/>
    <x v="15"/>
    <x v="15"/>
    <n v="9930.35"/>
    <x v="382"/>
    <s v=""/>
  </r>
  <r>
    <x v="166"/>
    <s v="OPT-NIFTY-09-Apr-2025-23000-C-E-I"/>
    <s v="NSE"/>
    <s v="Buy"/>
    <n v="75"/>
    <n v="0"/>
    <n v="124.75"/>
    <n v="9356.25"/>
    <s v="#202504043700010497"/>
    <n v="0"/>
    <n v="3.32"/>
    <n v="0.28000000000000003"/>
    <n v="0.01"/>
    <n v="29"/>
    <n v="5.82"/>
    <n v="38.43"/>
    <n v="2025"/>
    <n v="4"/>
    <n v="2025"/>
    <n v="1"/>
    <s v="01"/>
    <x v="15"/>
    <x v="15"/>
    <n v="-9394.68"/>
    <x v="1"/>
    <n v="-9394.68"/>
  </r>
  <r>
    <x v="167"/>
    <s v="OPT-NIFTY-09-Apr-2025-21500-P-E-I"/>
    <s v="NSE"/>
    <s v="Sell"/>
    <n v="150"/>
    <n v="0"/>
    <n v="156.85"/>
    <n v="23527.5"/>
    <s v="#202504073700022063"/>
    <n v="23.24"/>
    <n v="8.36"/>
    <n v="0"/>
    <n v="0.02"/>
    <n v="58"/>
    <n v="11.94"/>
    <n v="101.56"/>
    <n v="2025"/>
    <n v="4"/>
    <n v="2025"/>
    <n v="1"/>
    <s v="01"/>
    <x v="15"/>
    <x v="15"/>
    <n v="23425.94"/>
    <x v="383"/>
    <s v=""/>
  </r>
  <r>
    <x v="167"/>
    <s v="OPT-NIFTY-09-Apr-2025-21500-P-E-I"/>
    <s v="NSE"/>
    <s v="Buy"/>
    <n v="75"/>
    <n v="0"/>
    <n v="142.80000000000001"/>
    <n v="10710"/>
    <s v="#202504073700021653"/>
    <n v="0"/>
    <n v="3.81"/>
    <n v="0"/>
    <n v="0.01"/>
    <n v="29"/>
    <n v="5.9"/>
    <n v="38.72"/>
    <n v="2025"/>
    <n v="4"/>
    <n v="2025"/>
    <n v="1"/>
    <s v="01"/>
    <x v="15"/>
    <x v="15"/>
    <n v="-10748.72"/>
    <x v="1"/>
    <n v="-10748.72"/>
  </r>
  <r>
    <x v="167"/>
    <s v="OPT-NIFTY-09-Apr-2025-22850-C-E-I"/>
    <s v="NSE"/>
    <s v="Sell"/>
    <n v="525"/>
    <n v="0"/>
    <n v="24.15"/>
    <n v="12678.75"/>
    <s v="#202504073700021629"/>
    <n v="12.67"/>
    <n v="4.51"/>
    <n v="0"/>
    <n v="0.01"/>
    <n v="203"/>
    <n v="37.36"/>
    <n v="257.55"/>
    <n v="2025"/>
    <n v="4"/>
    <n v="2025"/>
    <n v="1"/>
    <s v="01"/>
    <x v="15"/>
    <x v="15"/>
    <n v="12421.2"/>
    <x v="384"/>
    <s v=""/>
  </r>
  <r>
    <x v="167"/>
    <s v="OPT-NIFTY-09-Apr-2025-22850-C-E-I"/>
    <s v="NSE"/>
    <s v="Buy"/>
    <n v="525"/>
    <n v="0"/>
    <n v="25.04"/>
    <n v="13147.5"/>
    <s v="#202504073700021511"/>
    <n v="0"/>
    <n v="4.68"/>
    <n v="1.02"/>
    <n v="0.01"/>
    <n v="203"/>
    <n v="37.380000000000003"/>
    <n v="246.09"/>
    <n v="2025"/>
    <n v="4"/>
    <n v="2025"/>
    <n v="1"/>
    <s v="01"/>
    <x v="15"/>
    <x v="15"/>
    <n v="-13393.59"/>
    <x v="1"/>
    <n v="-13393.59"/>
  </r>
  <r>
    <x v="167"/>
    <s v="OPT-NIFTY-09-Apr-2025-21500-P-E-I"/>
    <s v="NSE"/>
    <s v="Buy"/>
    <n v="75"/>
    <n v="0"/>
    <n v="160.25"/>
    <n v="12018.75"/>
    <s v="#202504073700020729"/>
    <n v="0"/>
    <n v="4.2699999999999996"/>
    <n v="0"/>
    <n v="0.01"/>
    <n v="29"/>
    <n v="6"/>
    <n v="39.28"/>
    <n v="2025"/>
    <n v="4"/>
    <n v="2025"/>
    <n v="1"/>
    <s v="01"/>
    <x v="15"/>
    <x v="15"/>
    <n v="-12058.03"/>
    <x v="1"/>
    <n v="-12058.03"/>
  </r>
  <r>
    <x v="167"/>
    <s v="OPT-NIFTY-09-Apr-2025-21500-P-E-I"/>
    <s v="NSE"/>
    <s v="Sell"/>
    <n v="75"/>
    <n v="0"/>
    <n v="139.44999999999999"/>
    <n v="10458.75"/>
    <s v="#202504073700007675"/>
    <n v="10.46"/>
    <n v="3.72"/>
    <n v="0"/>
    <n v="0.01"/>
    <n v="29"/>
    <n v="5.9"/>
    <n v="49.09"/>
    <n v="2025"/>
    <n v="4"/>
    <n v="2025"/>
    <n v="1"/>
    <s v="01"/>
    <x v="15"/>
    <x v="15"/>
    <n v="10409.66"/>
    <x v="385"/>
    <s v=""/>
  </r>
  <r>
    <x v="167"/>
    <s v="OPT-NIFTY-09-Apr-2025-21500-P-E-I"/>
    <s v="NSE"/>
    <s v="Buy"/>
    <n v="75"/>
    <n v="0"/>
    <n v="131.69999999999999"/>
    <n v="9877.5"/>
    <s v="#202504073700007635"/>
    <n v="0"/>
    <n v="3.51"/>
    <n v="0.98"/>
    <n v="0.01"/>
    <n v="29"/>
    <n v="5.86"/>
    <n v="39.36"/>
    <n v="2025"/>
    <n v="4"/>
    <n v="2025"/>
    <n v="1"/>
    <s v="01"/>
    <x v="15"/>
    <x v="15"/>
    <n v="-9916.86"/>
    <x v="1"/>
    <n v="-9916.86"/>
  </r>
  <r>
    <x v="167"/>
    <s v="OPT-NIFTY-09-Apr-2025-22850-C-E-I"/>
    <s v="NSE"/>
    <s v="Sell"/>
    <n v="525"/>
    <n v="0"/>
    <n v="26.1"/>
    <n v="13702.5"/>
    <s v="#202504073700004058"/>
    <n v="13.72"/>
    <n v="4.8899999999999997"/>
    <n v="0"/>
    <n v="0"/>
    <n v="203"/>
    <n v="37.4"/>
    <n v="259.01"/>
    <n v="2025"/>
    <n v="4"/>
    <n v="2025"/>
    <n v="1"/>
    <s v="01"/>
    <x v="15"/>
    <x v="15"/>
    <n v="13443.49"/>
    <x v="386"/>
    <s v=""/>
  </r>
  <r>
    <x v="167"/>
    <s v="OPT-NIFTY-09-Apr-2025-22850-C-E-I"/>
    <s v="NSE"/>
    <s v="Sell"/>
    <n v="525"/>
    <n v="0"/>
    <n v="37.950000000000003"/>
    <n v="19923.75"/>
    <s v="#202504073700003414"/>
    <n v="19.93"/>
    <n v="7.07"/>
    <n v="0"/>
    <n v="0.02"/>
    <n v="203"/>
    <n v="37.799999999999997"/>
    <n v="267.82"/>
    <n v="2025"/>
    <n v="4"/>
    <n v="2025"/>
    <n v="1"/>
    <s v="01"/>
    <x v="15"/>
    <x v="15"/>
    <n v="19655.93"/>
    <x v="387"/>
    <s v=""/>
  </r>
  <r>
    <x v="167"/>
    <s v="OPT-NIFTY-09-Apr-2025-22850-C-E-I"/>
    <s v="NSE"/>
    <s v="Buy"/>
    <n v="525"/>
    <n v="0"/>
    <n v="18.25"/>
    <n v="9581.25"/>
    <s v="#202504073700001225"/>
    <n v="0"/>
    <n v="3.41"/>
    <n v="0"/>
    <n v="0.01"/>
    <n v="203"/>
    <n v="37.14"/>
    <n v="243.56"/>
    <n v="2025"/>
    <n v="4"/>
    <n v="2025"/>
    <n v="1"/>
    <s v="01"/>
    <x v="15"/>
    <x v="15"/>
    <n v="-9824.81"/>
    <x v="1"/>
    <n v="-9824.81"/>
  </r>
  <r>
    <x v="167"/>
    <s v="OPT-NIFTY-09-Apr-2025-22850-C-E-I"/>
    <s v="NSE"/>
    <s v="Buy"/>
    <n v="525"/>
    <n v="0"/>
    <n v="33.26"/>
    <n v="17463.75"/>
    <s v="#202504073700000705"/>
    <n v="0"/>
    <n v="6.22"/>
    <n v="0"/>
    <n v="0"/>
    <n v="203"/>
    <n v="37.659999999999997"/>
    <n v="246.88"/>
    <n v="2025"/>
    <n v="4"/>
    <n v="2025"/>
    <n v="1"/>
    <s v="01"/>
    <x v="15"/>
    <x v="15"/>
    <n v="-17710.63"/>
    <x v="1"/>
    <n v="-17710.63"/>
  </r>
  <r>
    <x v="168"/>
    <s v="OPT-NIFTY-09-Apr-2025-22350-P-E-I"/>
    <s v="NSE"/>
    <s v="Sell"/>
    <n v="75"/>
    <n v="0"/>
    <n v="86.7"/>
    <n v="6502.5"/>
    <s v="#202504083700022230"/>
    <n v="6.5"/>
    <n v="2.31"/>
    <n v="0"/>
    <n v="0.01"/>
    <n v="29"/>
    <n v="5.64"/>
    <n v="43.46"/>
    <n v="2025"/>
    <n v="4"/>
    <n v="2025"/>
    <n v="1"/>
    <s v="01"/>
    <x v="15"/>
    <x v="15"/>
    <n v="6459.04"/>
    <x v="388"/>
    <s v=""/>
  </r>
  <r>
    <x v="168"/>
    <s v="OPT-NIFTY-09-Apr-2025-22350-P-E-I"/>
    <s v="NSE"/>
    <s v="Buy"/>
    <n v="75"/>
    <n v="0"/>
    <n v="92.25"/>
    <n v="6918.75"/>
    <s v="#202504083700022105"/>
    <n v="0"/>
    <n v="2.46"/>
    <n v="0"/>
    <n v="0.01"/>
    <n v="29"/>
    <n v="5.66"/>
    <n v="37.130000000000003"/>
    <n v="2025"/>
    <n v="4"/>
    <n v="2025"/>
    <n v="1"/>
    <s v="01"/>
    <x v="15"/>
    <x v="15"/>
    <n v="-6955.88"/>
    <x v="1"/>
    <n v="-6955.88"/>
  </r>
  <r>
    <x v="168"/>
    <s v="OPT-NIFTY-09-Apr-2025-22650-C-E-I"/>
    <s v="NSE"/>
    <s v="Sell"/>
    <n v="75"/>
    <n v="0"/>
    <n v="139.69999999999999"/>
    <n v="10477.5"/>
    <s v="#202504083700021049"/>
    <n v="10.48"/>
    <n v="3.72"/>
    <n v="0"/>
    <n v="0.01"/>
    <n v="29"/>
    <n v="5.9"/>
    <n v="49.11"/>
    <n v="2025"/>
    <n v="4"/>
    <n v="2025"/>
    <n v="1"/>
    <s v="01"/>
    <x v="15"/>
    <x v="15"/>
    <n v="10428.39"/>
    <x v="389"/>
    <s v=""/>
  </r>
  <r>
    <x v="168"/>
    <s v="OPT-NIFTY-09-Apr-2025-22650-C-E-I"/>
    <s v="NSE"/>
    <s v="Buy"/>
    <n v="75"/>
    <n v="0"/>
    <n v="122.7"/>
    <n v="9202.5"/>
    <s v="#202504083700021012"/>
    <n v="0"/>
    <n v="3.27"/>
    <n v="0.28000000000000003"/>
    <n v="0.01"/>
    <n v="29"/>
    <n v="5.82"/>
    <n v="38.380000000000003"/>
    <n v="2025"/>
    <n v="4"/>
    <n v="2025"/>
    <n v="1"/>
    <s v="01"/>
    <x v="15"/>
    <x v="15"/>
    <n v="-9240.8799999999992"/>
    <x v="1"/>
    <n v="-9240.8799999999992"/>
  </r>
  <r>
    <x v="168"/>
    <s v="OPT-NIFTY-09-Apr-2025-22350-P-E-I"/>
    <s v="NSE"/>
    <s v="Sell"/>
    <n v="75"/>
    <n v="0"/>
    <n v="131.25"/>
    <n v="9843.75"/>
    <s v="#202504083700019683"/>
    <n v="9.84"/>
    <n v="3.5"/>
    <n v="0"/>
    <n v="0.01"/>
    <n v="29"/>
    <n v="5.86"/>
    <n v="48.21"/>
    <n v="2025"/>
    <n v="4"/>
    <n v="2025"/>
    <n v="1"/>
    <s v="01"/>
    <x v="15"/>
    <x v="15"/>
    <n v="9795.5400000000009"/>
    <x v="390"/>
    <s v=""/>
  </r>
  <r>
    <x v="168"/>
    <s v="OPT-NIFTY-09-Apr-2025-22350-P-E-I"/>
    <s v="NSE"/>
    <s v="Buy"/>
    <n v="75"/>
    <n v="0"/>
    <n v="101.25"/>
    <n v="7593.75"/>
    <s v="#202504083700019480"/>
    <n v="0"/>
    <n v="2.7"/>
    <n v="0"/>
    <n v="0.01"/>
    <n v="29"/>
    <n v="5.7"/>
    <n v="37.409999999999997"/>
    <n v="2025"/>
    <n v="4"/>
    <n v="2025"/>
    <n v="1"/>
    <s v="01"/>
    <x v="15"/>
    <x v="15"/>
    <n v="-7631.16"/>
    <x v="1"/>
    <n v="-7631.16"/>
  </r>
  <r>
    <x v="168"/>
    <s v="OPT-NIFTY-09-Apr-2025-22350-P-E-I"/>
    <s v="NSE"/>
    <s v="Sell"/>
    <n v="75"/>
    <n v="0"/>
    <n v="98.65"/>
    <n v="7398.75"/>
    <s v="#202504083700016818"/>
    <n v="7.4"/>
    <n v="2.63"/>
    <n v="0"/>
    <n v="0.01"/>
    <n v="29"/>
    <n v="5.7"/>
    <n v="44.74"/>
    <n v="2025"/>
    <n v="4"/>
    <n v="2025"/>
    <n v="1"/>
    <s v="01"/>
    <x v="15"/>
    <x v="15"/>
    <n v="7354.01"/>
    <x v="391"/>
    <s v=""/>
  </r>
  <r>
    <x v="168"/>
    <s v="OPT-NIFTY-09-Apr-2025-22350-P-E-I"/>
    <s v="NSE"/>
    <s v="Buy"/>
    <n v="75"/>
    <n v="0"/>
    <n v="102.1"/>
    <n v="7657.5"/>
    <s v="#202504083700016377"/>
    <n v="0"/>
    <n v="2.72"/>
    <n v="0"/>
    <n v="0.01"/>
    <n v="29"/>
    <n v="5.72"/>
    <n v="37.450000000000003"/>
    <n v="2025"/>
    <n v="4"/>
    <n v="2025"/>
    <n v="1"/>
    <s v="01"/>
    <x v="15"/>
    <x v="15"/>
    <n v="-7694.95"/>
    <x v="1"/>
    <n v="-7694.95"/>
  </r>
  <r>
    <x v="168"/>
    <s v="OPT-NIFTY-09-Apr-2025-22350-P-E-I"/>
    <s v="NSE"/>
    <s v="Sell"/>
    <n v="75"/>
    <n v="0"/>
    <n v="90.1"/>
    <n v="6757.5"/>
    <s v="#202504083700015587"/>
    <n v="6.76"/>
    <n v="2.4"/>
    <n v="0"/>
    <n v="0.01"/>
    <n v="29"/>
    <n v="5.66"/>
    <n v="43.83"/>
    <n v="2025"/>
    <n v="4"/>
    <n v="2025"/>
    <n v="1"/>
    <s v="01"/>
    <x v="15"/>
    <x v="15"/>
    <n v="6713.67"/>
    <x v="392"/>
    <s v=""/>
  </r>
  <r>
    <x v="168"/>
    <s v="OPT-NIFTY-09-Apr-2025-22350-P-E-I"/>
    <s v="NSE"/>
    <s v="Buy"/>
    <n v="75"/>
    <n v="0"/>
    <n v="160.25"/>
    <n v="12018.75"/>
    <s v="#202504083700013472"/>
    <n v="0"/>
    <n v="4.2699999999999996"/>
    <n v="0"/>
    <n v="0.01"/>
    <n v="29"/>
    <n v="6"/>
    <n v="39.28"/>
    <n v="2025"/>
    <n v="4"/>
    <n v="2025"/>
    <n v="1"/>
    <s v="01"/>
    <x v="15"/>
    <x v="15"/>
    <n v="-12058.03"/>
    <x v="1"/>
    <n v="-12058.03"/>
  </r>
  <r>
    <x v="168"/>
    <s v="OPT-NIFTY-09-Apr-2025-22350-C-E-I"/>
    <s v="NSE"/>
    <s v="Sell"/>
    <n v="75"/>
    <n v="0"/>
    <n v="228.5"/>
    <n v="17137.5"/>
    <s v="#202504083700012620"/>
    <n v="17.14"/>
    <n v="6.09"/>
    <n v="0"/>
    <n v="0.02"/>
    <n v="29"/>
    <n v="6.32"/>
    <n v="58.57"/>
    <n v="2025"/>
    <n v="4"/>
    <n v="2025"/>
    <n v="1"/>
    <s v="01"/>
    <x v="15"/>
    <x v="15"/>
    <n v="17078.93"/>
    <x v="393"/>
    <s v=""/>
  </r>
  <r>
    <x v="168"/>
    <s v="OPT-NIFTY-09-Apr-2025-22350-C-E-I"/>
    <s v="NSE"/>
    <s v="Buy"/>
    <n v="75"/>
    <n v="0"/>
    <n v="215.85"/>
    <n v="16188.75"/>
    <s v="#202504083700011844"/>
    <n v="0"/>
    <n v="5.75"/>
    <n v="0.83"/>
    <n v="0.02"/>
    <n v="29"/>
    <n v="6.26"/>
    <n v="41.86"/>
    <n v="2025"/>
    <n v="4"/>
    <n v="2025"/>
    <n v="1"/>
    <s v="01"/>
    <x v="15"/>
    <x v="15"/>
    <n v="-16230.61"/>
    <x v="1"/>
    <n v="-16230.61"/>
  </r>
  <r>
    <x v="168"/>
    <s v="OPT-NIFTY-09-Apr-2025-22350-P-E-I"/>
    <s v="NSE"/>
    <s v="Sell"/>
    <n v="75"/>
    <n v="0"/>
    <n v="149.80000000000001"/>
    <n v="11235"/>
    <s v="#202504083700011365"/>
    <n v="11.24"/>
    <n v="3.99"/>
    <n v="0"/>
    <n v="0.01"/>
    <n v="29"/>
    <n v="5.94"/>
    <n v="50.18"/>
    <n v="2025"/>
    <n v="4"/>
    <n v="2025"/>
    <n v="1"/>
    <s v="01"/>
    <x v="15"/>
    <x v="15"/>
    <n v="11184.82"/>
    <x v="394"/>
    <s v=""/>
  </r>
  <r>
    <x v="168"/>
    <s v="OPT-NIFTY-09-Apr-2025-22350-P-E-I"/>
    <s v="NSE"/>
    <s v="Buy"/>
    <n v="75"/>
    <n v="0"/>
    <n v="138.5"/>
    <n v="10387.5"/>
    <s v="#202504083700011344"/>
    <n v="0"/>
    <n v="3.69"/>
    <n v="0.89"/>
    <n v="0.01"/>
    <n v="29"/>
    <n v="5.88"/>
    <n v="39.47"/>
    <n v="2025"/>
    <n v="4"/>
    <n v="2025"/>
    <n v="1"/>
    <s v="01"/>
    <x v="15"/>
    <x v="15"/>
    <n v="-10426.969999999999"/>
    <x v="1"/>
    <n v="-10426.969999999999"/>
  </r>
  <r>
    <x v="168"/>
    <s v="OPT-NIFTY-09-Apr-2025-22350-C-E-I"/>
    <s v="NSE"/>
    <s v="Sell"/>
    <n v="75"/>
    <n v="0"/>
    <n v="167.95"/>
    <n v="12596.25"/>
    <s v="#202504083700009580"/>
    <n v="12.65"/>
    <n v="4.4800000000000004"/>
    <n v="0"/>
    <n v="0.01"/>
    <n v="29"/>
    <n v="6.02"/>
    <n v="52.16"/>
    <n v="2025"/>
    <n v="4"/>
    <n v="2025"/>
    <n v="1"/>
    <s v="01"/>
    <x v="15"/>
    <x v="15"/>
    <n v="12544.09"/>
    <x v="395"/>
    <s v=""/>
  </r>
  <r>
    <x v="168"/>
    <s v="OPT-NIFTY-09-Apr-2025-22350-C-E-I"/>
    <s v="NSE"/>
    <s v="Buy"/>
    <n v="75"/>
    <n v="0"/>
    <n v="154.19999999999999"/>
    <n v="11565"/>
    <s v="#202504083700009315"/>
    <n v="0"/>
    <n v="4.1100000000000003"/>
    <n v="0"/>
    <n v="0.01"/>
    <n v="29"/>
    <n v="5.96"/>
    <n v="39.08"/>
    <n v="2025"/>
    <n v="4"/>
    <n v="2025"/>
    <n v="1"/>
    <s v="01"/>
    <x v="15"/>
    <x v="15"/>
    <n v="-11604.08"/>
    <x v="1"/>
    <n v="-11604.08"/>
  </r>
  <r>
    <x v="169"/>
    <s v="OPT-NIFTY-09-Apr-2025-22400-P-E-I"/>
    <s v="NSE"/>
    <s v="Sell"/>
    <n v="900"/>
    <n v="0"/>
    <n v="4.1500000000000004"/>
    <n v="3735"/>
    <s v="#202504093700020424"/>
    <n v="3.74"/>
    <n v="1.32"/>
    <n v="0"/>
    <n v="0"/>
    <n v="348"/>
    <n v="62.88"/>
    <n v="415.94"/>
    <n v="2025"/>
    <n v="4"/>
    <n v="2025"/>
    <n v="1"/>
    <s v="01"/>
    <x v="15"/>
    <x v="15"/>
    <n v="3319.06"/>
    <x v="396"/>
    <s v=""/>
  </r>
  <r>
    <x v="169"/>
    <s v="OPT-NIFTY-09-Apr-2025-22400-P-E-I"/>
    <s v="NSE"/>
    <s v="Buy"/>
    <n v="450"/>
    <n v="0"/>
    <n v="8.75"/>
    <n v="3937.5"/>
    <s v="#202504093700017156"/>
    <n v="0"/>
    <n v="1.4"/>
    <n v="0.55000000000000004"/>
    <n v="0"/>
    <n v="174"/>
    <n v="31.58"/>
    <n v="207.53"/>
    <n v="2025"/>
    <n v="4"/>
    <n v="2025"/>
    <n v="1"/>
    <s v="01"/>
    <x v="15"/>
    <x v="15"/>
    <n v="-4145.03"/>
    <x v="1"/>
    <n v="-4145.03"/>
  </r>
  <r>
    <x v="169"/>
    <s v="OPT-NIFTY-09-Apr-2025-22500-C-E-I"/>
    <s v="NSE"/>
    <s v="Sell"/>
    <n v="750"/>
    <n v="0"/>
    <n v="7.25"/>
    <n v="5437.5"/>
    <s v="#202504093700017088"/>
    <n v="5.44"/>
    <n v="1.93"/>
    <n v="0"/>
    <n v="0.01"/>
    <n v="290"/>
    <n v="52.54"/>
    <n v="349.92"/>
    <n v="2025"/>
    <n v="4"/>
    <n v="2025"/>
    <n v="1"/>
    <s v="01"/>
    <x v="15"/>
    <x v="15"/>
    <n v="5087.58"/>
    <x v="397"/>
    <s v=""/>
  </r>
  <r>
    <x v="169"/>
    <s v="OPT-NIFTY-09-Apr-2025-22500-C-E-I"/>
    <s v="NSE"/>
    <s v="Buy"/>
    <n v="750"/>
    <n v="0"/>
    <n v="9.6"/>
    <n v="7200"/>
    <s v="#202504093700017000"/>
    <n v="0"/>
    <n v="2.5499999999999998"/>
    <n v="0.22"/>
    <n v="0"/>
    <n v="290"/>
    <n v="52.66"/>
    <n v="345.43"/>
    <n v="2025"/>
    <n v="4"/>
    <n v="2025"/>
    <n v="1"/>
    <s v="01"/>
    <x v="15"/>
    <x v="15"/>
    <n v="-7545.43"/>
    <x v="1"/>
    <n v="-7545.43"/>
  </r>
  <r>
    <x v="169"/>
    <s v="OPT-NIFTY-09-Apr-2025-22400-P-E-I"/>
    <s v="NSE"/>
    <s v="Buy"/>
    <n v="75"/>
    <n v="0"/>
    <n v="9.25"/>
    <n v="693.75"/>
    <s v="#202504093700016598"/>
    <n v="0"/>
    <n v="0.25"/>
    <n v="0"/>
    <n v="0"/>
    <n v="29"/>
    <n v="5.26"/>
    <n v="34.51"/>
    <n v="2025"/>
    <n v="4"/>
    <n v="2025"/>
    <n v="1"/>
    <s v="01"/>
    <x v="15"/>
    <x v="15"/>
    <n v="-728.26"/>
    <x v="1"/>
    <n v="-728.26"/>
  </r>
  <r>
    <x v="169"/>
    <s v="OPT-NIFTY-09-Apr-2025-22400-P-E-I"/>
    <s v="NSE"/>
    <s v="Buy"/>
    <n v="75"/>
    <n v="0"/>
    <n v="13.15"/>
    <n v="986.25"/>
    <s v="#202504093700015487"/>
    <n v="0"/>
    <n v="0.35"/>
    <n v="0"/>
    <n v="0"/>
    <n v="29"/>
    <n v="5.28"/>
    <n v="34.630000000000003"/>
    <n v="2025"/>
    <n v="4"/>
    <n v="2025"/>
    <n v="1"/>
    <s v="01"/>
    <x v="15"/>
    <x v="15"/>
    <n v="-1020.88"/>
    <x v="1"/>
    <n v="-1020.88"/>
  </r>
  <r>
    <x v="169"/>
    <s v="OPT-NIFTY-09-Apr-2025-22400-P-E-I"/>
    <s v="NSE"/>
    <s v="Buy"/>
    <n v="75"/>
    <n v="0"/>
    <n v="19.3"/>
    <n v="1447.5"/>
    <s v="#202504093700014578"/>
    <n v="0"/>
    <n v="0.51"/>
    <n v="0"/>
    <n v="0"/>
    <n v="29"/>
    <n v="5.32"/>
    <n v="34.83"/>
    <n v="2025"/>
    <n v="4"/>
    <n v="2025"/>
    <n v="1"/>
    <s v="01"/>
    <x v="15"/>
    <x v="15"/>
    <n v="-1482.33"/>
    <x v="1"/>
    <n v="-1482.33"/>
  </r>
  <r>
    <x v="169"/>
    <s v="OPT-NIFTY-09-Apr-2025-22400-C-E-I"/>
    <s v="NSE"/>
    <s v="Sell"/>
    <n v="75"/>
    <n v="0"/>
    <n v="28.15"/>
    <n v="2111.25"/>
    <s v="#202504093700014289"/>
    <n v="2.11"/>
    <n v="0.75"/>
    <n v="0"/>
    <n v="0"/>
    <n v="29"/>
    <n v="5.36"/>
    <n v="37.22"/>
    <n v="2025"/>
    <n v="4"/>
    <n v="2025"/>
    <n v="1"/>
    <s v="01"/>
    <x v="15"/>
    <x v="15"/>
    <n v="2074.0300000000002"/>
    <x v="398"/>
    <s v=""/>
  </r>
  <r>
    <x v="169"/>
    <s v="OPT-NIFTY-09-Apr-2025-22400-C-E-I"/>
    <s v="NSE"/>
    <s v="Buy"/>
    <n v="75"/>
    <n v="0"/>
    <n v="32.200000000000003"/>
    <n v="2415"/>
    <s v="#202504093700014210"/>
    <n v="0"/>
    <n v="0.86"/>
    <n v="0"/>
    <n v="0"/>
    <n v="29"/>
    <n v="5.38"/>
    <n v="35.24"/>
    <n v="2025"/>
    <n v="4"/>
    <n v="2025"/>
    <n v="1"/>
    <s v="01"/>
    <x v="15"/>
    <x v="15"/>
    <n v="-2450.2399999999998"/>
    <x v="1"/>
    <n v="-2450.2399999999998"/>
  </r>
  <r>
    <x v="169"/>
    <s v="OPT-NIFTY-09-Apr-2025-22400-P-E-I"/>
    <s v="NSE"/>
    <s v="Buy"/>
    <n v="75"/>
    <n v="0"/>
    <n v="23.4"/>
    <n v="1755"/>
    <s v="#202504093700013953"/>
    <n v="0"/>
    <n v="0.62"/>
    <n v="0"/>
    <n v="0"/>
    <n v="29"/>
    <n v="5.34"/>
    <n v="34.96"/>
    <n v="2025"/>
    <n v="4"/>
    <n v="2025"/>
    <n v="1"/>
    <s v="01"/>
    <x v="15"/>
    <x v="15"/>
    <n v="-1789.96"/>
    <x v="1"/>
    <n v="-1789.96"/>
  </r>
  <r>
    <x v="169"/>
    <s v="OPT-NIFTY-09-Apr-2025-22400-P-E-I"/>
    <s v="NSE"/>
    <s v="Buy"/>
    <n v="75"/>
    <n v="0"/>
    <n v="28.15"/>
    <n v="2111.25"/>
    <s v="#202504093700012838"/>
    <n v="0"/>
    <n v="0.75"/>
    <n v="0"/>
    <n v="0"/>
    <n v="29"/>
    <n v="5.36"/>
    <n v="35.11"/>
    <n v="2025"/>
    <n v="4"/>
    <n v="2025"/>
    <n v="1"/>
    <s v="01"/>
    <x v="15"/>
    <x v="15"/>
    <n v="-2146.36"/>
    <x v="1"/>
    <n v="-2146.36"/>
  </r>
  <r>
    <x v="169"/>
    <s v="OPT-NIFTY-09-Apr-2025-22400-P-E-I"/>
    <s v="NSE"/>
    <s v="Buy"/>
    <n v="75"/>
    <n v="0"/>
    <n v="69.05"/>
    <n v="5178.75"/>
    <s v="#202504093700008064"/>
    <n v="0"/>
    <n v="1.84"/>
    <n v="0"/>
    <n v="0.01"/>
    <n v="29"/>
    <n v="5.56"/>
    <n v="36.409999999999997"/>
    <n v="2025"/>
    <n v="4"/>
    <n v="2025"/>
    <n v="1"/>
    <s v="01"/>
    <x v="15"/>
    <x v="15"/>
    <n v="-5215.16"/>
    <x v="1"/>
    <n v="-5215.16"/>
  </r>
  <r>
    <x v="169"/>
    <s v="OPT-NIFTY-09-Apr-2025-22400-C-E-I"/>
    <s v="NSE"/>
    <s v="Sell"/>
    <n v="75"/>
    <n v="0"/>
    <n v="83.25"/>
    <n v="6243.75"/>
    <s v="#202504093700007105"/>
    <n v="6.24"/>
    <n v="2.2200000000000002"/>
    <n v="0"/>
    <n v="0.01"/>
    <n v="29"/>
    <n v="5.62"/>
    <n v="43.09"/>
    <n v="2025"/>
    <n v="4"/>
    <n v="2025"/>
    <n v="1"/>
    <s v="01"/>
    <x v="15"/>
    <x v="15"/>
    <n v="6200.66"/>
    <x v="399"/>
    <s v=""/>
  </r>
  <r>
    <x v="169"/>
    <s v="OPT-NIFTY-09-Apr-2025-22400-C-E-I"/>
    <s v="NSE"/>
    <s v="Buy"/>
    <n v="75"/>
    <n v="0"/>
    <n v="68.099999999999994"/>
    <n v="5107.5"/>
    <s v="#202504093700006957"/>
    <n v="0"/>
    <n v="1.81"/>
    <n v="0.23"/>
    <n v="0.01"/>
    <n v="29"/>
    <n v="5.54"/>
    <n v="36.590000000000003"/>
    <n v="2025"/>
    <n v="4"/>
    <n v="2025"/>
    <n v="1"/>
    <s v="01"/>
    <x v="15"/>
    <x v="15"/>
    <n v="-5144.09"/>
    <x v="1"/>
    <n v="-5144.09"/>
  </r>
  <r>
    <x v="169"/>
    <s v="OPT-NIFTY-09-Apr-2025-22400-P-E-I"/>
    <s v="NSE"/>
    <s v="Sell"/>
    <n v="75"/>
    <n v="0"/>
    <n v="81"/>
    <n v="6075"/>
    <s v="#202504093700006425"/>
    <n v="6.47"/>
    <n v="2.16"/>
    <n v="0"/>
    <n v="0.01"/>
    <n v="29"/>
    <n v="5.62"/>
    <n v="43.26"/>
    <n v="2025"/>
    <n v="4"/>
    <n v="2025"/>
    <n v="1"/>
    <s v="01"/>
    <x v="15"/>
    <x v="15"/>
    <n v="6031.74"/>
    <x v="400"/>
    <s v=""/>
  </r>
  <r>
    <x v="169"/>
    <s v="OPT-NIFTY-09-Apr-2025-22400-P-E-I"/>
    <s v="NSE"/>
    <s v="Buy"/>
    <n v="75"/>
    <n v="0"/>
    <n v="83.3"/>
    <n v="6247.5"/>
    <s v="#202504093700006200"/>
    <n v="0"/>
    <n v="2.2200000000000002"/>
    <n v="0"/>
    <n v="0.01"/>
    <n v="29"/>
    <n v="5.62"/>
    <n v="36.85"/>
    <n v="2025"/>
    <n v="4"/>
    <n v="2025"/>
    <n v="1"/>
    <s v="01"/>
    <x v="15"/>
    <x v="15"/>
    <n v="-6284.35"/>
    <x v="1"/>
    <n v="-6284.35"/>
  </r>
  <r>
    <x v="170"/>
    <s v="OPT-NIFTY-17-Apr-2025-22750-P-E-I"/>
    <s v="NSE"/>
    <s v="Sell"/>
    <n v="150"/>
    <n v="0"/>
    <n v="17.7"/>
    <n v="2655"/>
    <s v="#202504153700004658"/>
    <n v="3"/>
    <n v="0.94"/>
    <n v="0"/>
    <n v="0"/>
    <n v="58"/>
    <n v="10.6"/>
    <n v="72.540000000000006"/>
    <n v="2025"/>
    <n v="4"/>
    <n v="2025"/>
    <n v="1"/>
    <s v="01"/>
    <x v="15"/>
    <x v="15"/>
    <n v="2582.46"/>
    <x v="401"/>
    <s v=""/>
  </r>
  <r>
    <x v="170"/>
    <s v="OPT-NIFTY-17-Apr-2025-22750-P-E-I"/>
    <s v="NSE"/>
    <s v="Buy"/>
    <n v="75"/>
    <n v="0"/>
    <n v="23"/>
    <n v="1725"/>
    <s v="#202504153700003201"/>
    <n v="0"/>
    <n v="0.61"/>
    <n v="0"/>
    <n v="0"/>
    <n v="29"/>
    <n v="5.32"/>
    <n v="34.93"/>
    <n v="2025"/>
    <n v="4"/>
    <n v="2025"/>
    <n v="1"/>
    <s v="01"/>
    <x v="15"/>
    <x v="15"/>
    <n v="-1759.93"/>
    <x v="1"/>
    <n v="-1759.93"/>
  </r>
  <r>
    <x v="170"/>
    <s v="OPT-NIFTY-17-Apr-2025-22750-P-E-I"/>
    <s v="NSE"/>
    <s v="Buy"/>
    <n v="75"/>
    <n v="0"/>
    <n v="23.5"/>
    <n v="1762.5"/>
    <s v="#202504153700003067"/>
    <n v="0"/>
    <n v="0.63"/>
    <n v="0"/>
    <n v="0"/>
    <n v="29"/>
    <n v="5.34"/>
    <n v="34.97"/>
    <n v="2025"/>
    <n v="4"/>
    <n v="2025"/>
    <n v="1"/>
    <s v="01"/>
    <x v="15"/>
    <x v="15"/>
    <n v="-1797.47"/>
    <x v="1"/>
    <n v="-1797.47"/>
  </r>
  <r>
    <x v="171"/>
    <s v="OPT-NIFTY-08-May-2025-24350-P-E-I"/>
    <s v="NSE"/>
    <s v="Sell"/>
    <n v="150"/>
    <n v="0"/>
    <n v="145.80000000000001"/>
    <n v="21870"/>
    <s v="#202505023700019488"/>
    <n v="21.87"/>
    <n v="7.77"/>
    <n v="0"/>
    <n v="0.02"/>
    <n v="58"/>
    <n v="11.84"/>
    <n v="99.5"/>
    <n v="2025"/>
    <n v="5"/>
    <n v="2025"/>
    <n v="2"/>
    <s v="02"/>
    <x v="16"/>
    <x v="16"/>
    <n v="21770.5"/>
    <x v="402"/>
    <s v=""/>
  </r>
  <r>
    <x v="171"/>
    <s v="OPT-NIFTY-08-May-2025-24350-P-E-I"/>
    <s v="NSE"/>
    <s v="Buy"/>
    <n v="150"/>
    <n v="0"/>
    <n v="152.69999999999999"/>
    <n v="22905"/>
    <s v="#202505023700019371"/>
    <n v="0"/>
    <n v="8.14"/>
    <n v="2.44"/>
    <n v="0.02"/>
    <n v="58"/>
    <n v="11.92"/>
    <n v="80.52"/>
    <n v="2025"/>
    <n v="5"/>
    <n v="2025"/>
    <n v="2"/>
    <s v="02"/>
    <x v="16"/>
    <x v="16"/>
    <n v="-22985.52"/>
    <x v="1"/>
    <n v="-22985.52"/>
  </r>
  <r>
    <x v="171"/>
    <s v="OPT-NIFTY-08-May-2025-24350-P-E-I"/>
    <s v="NSE"/>
    <s v="Sell"/>
    <n v="75"/>
    <n v="0"/>
    <n v="146.9"/>
    <n v="11017.5"/>
    <s v="#202505023700019299"/>
    <n v="11.02"/>
    <n v="3.91"/>
    <n v="0"/>
    <n v="0.01"/>
    <n v="29"/>
    <n v="5.92"/>
    <n v="49.86"/>
    <n v="2025"/>
    <n v="5"/>
    <n v="2025"/>
    <n v="2"/>
    <s v="02"/>
    <x v="16"/>
    <x v="16"/>
    <n v="10967.64"/>
    <x v="403"/>
    <s v=""/>
  </r>
  <r>
    <x v="171"/>
    <s v="OPT-NIFTY-08-May-2025-24350-P-E-I"/>
    <s v="NSE"/>
    <s v="Buy"/>
    <n v="75"/>
    <n v="0"/>
    <n v="156.44999999999999"/>
    <n v="11733.75"/>
    <s v="#202505023700019157"/>
    <n v="0"/>
    <n v="4.17"/>
    <n v="0"/>
    <n v="0.01"/>
    <n v="29"/>
    <n v="5.98"/>
    <n v="39.159999999999997"/>
    <n v="2025"/>
    <n v="5"/>
    <n v="2025"/>
    <n v="2"/>
    <s v="02"/>
    <x v="16"/>
    <x v="16"/>
    <n v="-11772.91"/>
    <x v="1"/>
    <n v="-11772.91"/>
  </r>
  <r>
    <x v="171"/>
    <s v="OPT-NIFTY-08-May-2025-24300-P-E-I"/>
    <s v="NSE"/>
    <s v="Sell"/>
    <n v="150"/>
    <n v="0"/>
    <n v="209.15"/>
    <n v="31372.5"/>
    <s v="#202505023700017315"/>
    <n v="31.37"/>
    <n v="11.15"/>
    <n v="0"/>
    <n v="0.03"/>
    <n v="58"/>
    <n v="12.46"/>
    <n v="113.01"/>
    <n v="2025"/>
    <n v="5"/>
    <n v="2025"/>
    <n v="2"/>
    <s v="02"/>
    <x v="16"/>
    <x v="16"/>
    <n v="31259.49"/>
    <x v="404"/>
    <s v=""/>
  </r>
  <r>
    <x v="171"/>
    <s v="OPT-NIFTY-08-May-2025-24300-P-E-I"/>
    <s v="NSE"/>
    <s v="Buy"/>
    <n v="75"/>
    <n v="0"/>
    <n v="203"/>
    <n v="15225"/>
    <s v="#202505023700017303"/>
    <n v="0"/>
    <n v="5.41"/>
    <n v="0"/>
    <n v="0.02"/>
    <n v="29"/>
    <n v="6.2"/>
    <n v="40.630000000000003"/>
    <n v="2025"/>
    <n v="5"/>
    <n v="2025"/>
    <n v="2"/>
    <s v="02"/>
    <x v="16"/>
    <x v="16"/>
    <n v="-15265.63"/>
    <x v="1"/>
    <n v="-15265.63"/>
  </r>
  <r>
    <x v="171"/>
    <s v="OPT-NIFTY-08-May-2025-24300-P-E-I"/>
    <s v="NSE"/>
    <s v="Buy"/>
    <n v="75"/>
    <n v="0"/>
    <n v="199.6"/>
    <n v="14970"/>
    <s v="#202505023700017225"/>
    <n v="0"/>
    <n v="5.32"/>
    <n v="0.91"/>
    <n v="0.01"/>
    <n v="29"/>
    <n v="6.18"/>
    <n v="41.42"/>
    <n v="2025"/>
    <n v="5"/>
    <n v="2025"/>
    <n v="2"/>
    <s v="02"/>
    <x v="16"/>
    <x v="16"/>
    <n v="-15011.42"/>
    <x v="1"/>
    <n v="-15011.42"/>
  </r>
  <r>
    <x v="171"/>
    <s v="OPT-NIFTY-08-May-2025-24350-P-E-I"/>
    <s v="NSE"/>
    <s v="Sell"/>
    <n v="150"/>
    <n v="0"/>
    <n v="217.25"/>
    <n v="32587.5"/>
    <s v="#202505023700014773"/>
    <n v="32.58"/>
    <n v="11.58"/>
    <n v="0"/>
    <n v="0.04"/>
    <n v="58"/>
    <n v="12.52"/>
    <n v="114.72"/>
    <n v="2025"/>
    <n v="5"/>
    <n v="2025"/>
    <n v="2"/>
    <s v="02"/>
    <x v="16"/>
    <x v="16"/>
    <n v="32472.78"/>
    <x v="405"/>
    <s v=""/>
  </r>
  <r>
    <x v="171"/>
    <s v="OPT-NIFTY-08-May-2025-24350-P-E-I"/>
    <s v="NSE"/>
    <s v="Buy"/>
    <n v="150"/>
    <n v="0"/>
    <n v="204"/>
    <n v="30600"/>
    <s v="#202505023700014462"/>
    <n v="0"/>
    <n v="10.88"/>
    <n v="0"/>
    <n v="0.04"/>
    <n v="58"/>
    <n v="12.4"/>
    <n v="81.319999999999993"/>
    <n v="2025"/>
    <n v="5"/>
    <n v="2025"/>
    <n v="2"/>
    <s v="02"/>
    <x v="16"/>
    <x v="16"/>
    <n v="-30681.32"/>
    <x v="1"/>
    <n v="-30681.32"/>
  </r>
  <r>
    <x v="171"/>
    <s v="OPT-NIFTY-08-May-2025-24450-P-E-I"/>
    <s v="NSE"/>
    <s v="Sell"/>
    <n v="150"/>
    <n v="0"/>
    <n v="215.45"/>
    <n v="32317.5"/>
    <s v="#202505023700012079"/>
    <n v="32.32"/>
    <n v="11.48"/>
    <n v="0"/>
    <n v="0.04"/>
    <n v="58"/>
    <n v="12.52"/>
    <n v="114.36"/>
    <n v="2025"/>
    <n v="5"/>
    <n v="2025"/>
    <n v="2"/>
    <s v="02"/>
    <x v="16"/>
    <x v="16"/>
    <n v="32203.14"/>
    <x v="406"/>
    <s v=""/>
  </r>
  <r>
    <x v="171"/>
    <s v="OPT-NIFTY-08-May-2025-24450-P-E-I"/>
    <s v="NSE"/>
    <s v="Buy"/>
    <n v="150"/>
    <n v="0"/>
    <n v="203.3"/>
    <n v="30495"/>
    <s v="#202505023700011548"/>
    <n v="0"/>
    <n v="10.84"/>
    <n v="0"/>
    <n v="0.04"/>
    <n v="58"/>
    <n v="12.4"/>
    <n v="81.28"/>
    <n v="2025"/>
    <n v="5"/>
    <n v="2025"/>
    <n v="2"/>
    <s v="02"/>
    <x v="16"/>
    <x v="16"/>
    <n v="-30576.28"/>
    <x v="1"/>
    <n v="-30576.28"/>
  </r>
  <r>
    <x v="171"/>
    <s v="OPT-NIFTY-08-May-2025-24500-P-E-I"/>
    <s v="NSE"/>
    <s v="Sell"/>
    <n v="75"/>
    <n v="0"/>
    <n v="204.55"/>
    <n v="15341.25"/>
    <s v="#202505023700011205"/>
    <n v="15.34"/>
    <n v="5.45"/>
    <n v="0"/>
    <n v="0.02"/>
    <n v="29"/>
    <n v="6.2"/>
    <n v="56.01"/>
    <n v="2025"/>
    <n v="5"/>
    <n v="2025"/>
    <n v="2"/>
    <s v="02"/>
    <x v="16"/>
    <x v="16"/>
    <n v="15285.24"/>
    <x v="407"/>
    <s v=""/>
  </r>
  <r>
    <x v="171"/>
    <s v="OPT-NIFTY-08-May-2025-24500-P-E-I"/>
    <s v="NSE"/>
    <s v="Buy"/>
    <n v="75"/>
    <n v="0"/>
    <n v="202.1"/>
    <n v="15157.5"/>
    <s v="#202505023700010749"/>
    <n v="0"/>
    <n v="5.39"/>
    <n v="0.45"/>
    <n v="0.02"/>
    <n v="29"/>
    <n v="6.2"/>
    <n v="41.06"/>
    <n v="2025"/>
    <n v="5"/>
    <n v="2025"/>
    <n v="2"/>
    <s v="02"/>
    <x v="16"/>
    <x v="16"/>
    <n v="-15198.56"/>
    <x v="1"/>
    <n v="-15198.56"/>
  </r>
  <r>
    <x v="171"/>
    <s v="OPT-NIFTY-08-May-2025-24450-P-E-I"/>
    <s v="NSE"/>
    <s v="Sell"/>
    <n v="75"/>
    <n v="0"/>
    <n v="159.25"/>
    <n v="11943.75"/>
    <s v="#202505023700008123"/>
    <n v="11.94"/>
    <n v="4.24"/>
    <n v="0"/>
    <n v="0.01"/>
    <n v="29"/>
    <n v="5.98"/>
    <n v="51.17"/>
    <n v="2025"/>
    <n v="5"/>
    <n v="2025"/>
    <n v="2"/>
    <s v="02"/>
    <x v="16"/>
    <x v="16"/>
    <n v="11892.58"/>
    <x v="408"/>
    <s v=""/>
  </r>
  <r>
    <x v="171"/>
    <s v="OPT-NIFTY-08-May-2025-24450-P-E-I"/>
    <s v="NSE"/>
    <s v="Buy"/>
    <n v="75"/>
    <n v="0"/>
    <n v="151.25"/>
    <n v="11343.75"/>
    <s v="#202505023700008095"/>
    <n v="0"/>
    <n v="4.03"/>
    <n v="1.26"/>
    <n v="0.01"/>
    <n v="29"/>
    <n v="5.94"/>
    <n v="40.24"/>
    <n v="2025"/>
    <n v="5"/>
    <n v="2025"/>
    <n v="2"/>
    <s v="02"/>
    <x v="16"/>
    <x v="16"/>
    <n v="-11383.99"/>
    <x v="1"/>
    <n v="-11383.99"/>
  </r>
  <r>
    <x v="171"/>
    <s v="OPT-NIFTY-08-May-2025-24450-C-E-I"/>
    <s v="NSE"/>
    <s v="Sell"/>
    <n v="150"/>
    <n v="0"/>
    <n v="227.25"/>
    <n v="34087.5"/>
    <s v="#202505023700002386"/>
    <n v="34.549999999999997"/>
    <n v="12.11"/>
    <n v="0"/>
    <n v="0.03"/>
    <n v="58"/>
    <n v="12.62"/>
    <n v="117.31"/>
    <n v="2025"/>
    <n v="5"/>
    <n v="2025"/>
    <n v="2"/>
    <s v="02"/>
    <x v="16"/>
    <x v="16"/>
    <n v="33970.19"/>
    <x v="409"/>
    <s v=""/>
  </r>
  <r>
    <x v="171"/>
    <s v="OPT-NIFTY-08-May-2025-24450-C-E-I"/>
    <s v="NSE"/>
    <s v="Buy"/>
    <n v="150"/>
    <n v="0"/>
    <n v="208.78"/>
    <n v="31316.25"/>
    <s v="#202505023700002229"/>
    <n v="0"/>
    <n v="11.12"/>
    <n v="0.94"/>
    <n v="0.04"/>
    <n v="58"/>
    <n v="12.44"/>
    <n v="82.54"/>
    <n v="2025"/>
    <n v="5"/>
    <n v="2025"/>
    <n v="2"/>
    <s v="02"/>
    <x v="16"/>
    <x v="16"/>
    <n v="-31398.79"/>
    <x v="1"/>
    <n v="-31398.79"/>
  </r>
  <r>
    <x v="172"/>
    <s v="OPT-NIFTY-08-May-2025-24300-C-E-I"/>
    <s v="NSE"/>
    <s v="Sell"/>
    <n v="150"/>
    <n v="0"/>
    <n v="103.45"/>
    <n v="15517.5"/>
    <s v="#202505073700009231"/>
    <n v="15.52"/>
    <n v="5.51"/>
    <n v="0"/>
    <n v="0.02"/>
    <n v="58"/>
    <n v="11.44"/>
    <n v="90.49"/>
    <n v="2025"/>
    <n v="5"/>
    <n v="2025"/>
    <n v="2"/>
    <s v="02"/>
    <x v="16"/>
    <x v="16"/>
    <n v="15427.01"/>
    <x v="410"/>
    <s v=""/>
  </r>
  <r>
    <x v="172"/>
    <s v="OPT-NIFTY-08-May-2025-24300-C-E-I"/>
    <s v="NSE"/>
    <s v="Buy"/>
    <n v="150"/>
    <n v="0"/>
    <n v="99.75"/>
    <n v="14962.5"/>
    <s v="#202505073700009114"/>
    <n v="0"/>
    <n v="5.32"/>
    <n v="0"/>
    <n v="0.01"/>
    <n v="58"/>
    <n v="11.4"/>
    <n v="74.73"/>
    <n v="2025"/>
    <n v="5"/>
    <n v="2025"/>
    <n v="2"/>
    <s v="02"/>
    <x v="16"/>
    <x v="16"/>
    <n v="-15037.23"/>
    <x v="1"/>
    <n v="-15037.23"/>
  </r>
  <r>
    <x v="172"/>
    <s v="OPT-NIFTY-08-May-2025-24300-C-E-I"/>
    <s v="NSE"/>
    <s v="Sell"/>
    <n v="150"/>
    <n v="0"/>
    <n v="91.4"/>
    <n v="13710"/>
    <s v="#202505073700009035"/>
    <n v="13.72"/>
    <n v="4.88"/>
    <n v="0"/>
    <n v="0.02"/>
    <n v="58"/>
    <n v="11.32"/>
    <n v="87.94"/>
    <n v="2025"/>
    <n v="5"/>
    <n v="2025"/>
    <n v="2"/>
    <s v="02"/>
    <x v="16"/>
    <x v="16"/>
    <n v="13622.06"/>
    <x v="411"/>
    <s v=""/>
  </r>
  <r>
    <x v="172"/>
    <s v="OPT-NIFTY-08-May-2025-24300-C-E-I"/>
    <s v="NSE"/>
    <s v="Buy"/>
    <n v="150"/>
    <n v="0"/>
    <n v="91.6"/>
    <n v="13740"/>
    <s v="#202505073700008527"/>
    <n v="0"/>
    <n v="4.88"/>
    <n v="1"/>
    <n v="0.01"/>
    <n v="58"/>
    <n v="11.32"/>
    <n v="75.209999999999994"/>
    <n v="2025"/>
    <n v="5"/>
    <n v="2025"/>
    <n v="2"/>
    <s v="02"/>
    <x v="16"/>
    <x v="16"/>
    <n v="-13815.21"/>
    <x v="1"/>
    <n v="-13815.21"/>
  </r>
  <r>
    <x v="172"/>
    <s v="OPT-NIFTY-08-May-2025-24300-C-E-I"/>
    <s v="NSE"/>
    <s v="Sell"/>
    <n v="150"/>
    <n v="0"/>
    <n v="78.05"/>
    <n v="11707.5"/>
    <s v="#202505073700008461"/>
    <n v="11.77"/>
    <n v="4.16"/>
    <n v="0"/>
    <n v="0.02"/>
    <n v="58"/>
    <n v="11.2"/>
    <n v="85.15"/>
    <n v="2025"/>
    <n v="5"/>
    <n v="2025"/>
    <n v="2"/>
    <s v="02"/>
    <x v="16"/>
    <x v="16"/>
    <n v="11622.35"/>
    <x v="412"/>
    <s v=""/>
  </r>
  <r>
    <x v="172"/>
    <s v="OPT-NIFTY-08-May-2025-24300-C-E-I"/>
    <s v="NSE"/>
    <s v="Buy"/>
    <n v="75"/>
    <n v="0"/>
    <n v="85.2"/>
    <n v="6390"/>
    <s v="#202505073700007600"/>
    <n v="0"/>
    <n v="2.27"/>
    <n v="0"/>
    <n v="0.01"/>
    <n v="29"/>
    <n v="5.64"/>
    <n v="36.92"/>
    <n v="2025"/>
    <n v="5"/>
    <n v="2025"/>
    <n v="2"/>
    <s v="02"/>
    <x v="16"/>
    <x v="16"/>
    <n v="-6426.92"/>
    <x v="1"/>
    <n v="-6426.92"/>
  </r>
  <r>
    <x v="172"/>
    <s v="OPT-NIFTY-08-May-2025-24300-C-E-I"/>
    <s v="NSE"/>
    <s v="Buy"/>
    <n v="75"/>
    <n v="0"/>
    <n v="118"/>
    <n v="8850"/>
    <s v="#202505073700006263"/>
    <n v="0"/>
    <n v="3.14"/>
    <n v="0"/>
    <n v="0.01"/>
    <n v="29"/>
    <n v="5.78"/>
    <n v="37.93"/>
    <n v="2025"/>
    <n v="5"/>
    <n v="2025"/>
    <n v="2"/>
    <s v="02"/>
    <x v="16"/>
    <x v="16"/>
    <n v="-8887.93"/>
    <x v="1"/>
    <n v="-8887.93"/>
  </r>
  <r>
    <x v="173"/>
    <s v="OPT-NIFTY-08-May-2025-24400-P-E-I"/>
    <s v="NSE"/>
    <s v="Sell"/>
    <n v="225"/>
    <n v="0"/>
    <n v="10.199999999999999"/>
    <n v="2295"/>
    <s v="#202505083700011713"/>
    <n v="2.2999999999999998"/>
    <n v="0.81"/>
    <n v="0"/>
    <n v="0"/>
    <n v="87"/>
    <n v="15.8"/>
    <n v="105.91"/>
    <n v="2025"/>
    <n v="5"/>
    <n v="2025"/>
    <n v="2"/>
    <s v="02"/>
    <x v="16"/>
    <x v="16"/>
    <n v="2189.09"/>
    <x v="413"/>
    <s v=""/>
  </r>
  <r>
    <x v="173"/>
    <s v="OPT-NIFTY-08-May-2025-24400-P-E-I"/>
    <s v="NSE"/>
    <s v="Buy"/>
    <n v="225"/>
    <n v="0"/>
    <n v="11.65"/>
    <n v="2621.25"/>
    <s v="#202505083700011579"/>
    <n v="0"/>
    <n v="0.93"/>
    <n v="0"/>
    <n v="0"/>
    <n v="87"/>
    <n v="15.82"/>
    <n v="103.75"/>
    <n v="2025"/>
    <n v="5"/>
    <n v="2025"/>
    <n v="2"/>
    <s v="02"/>
    <x v="16"/>
    <x v="16"/>
    <n v="-2725"/>
    <x v="1"/>
    <n v="-2725"/>
  </r>
  <r>
    <x v="173"/>
    <s v="OPT-NIFTY-08-May-2025-24400-P-E-I"/>
    <s v="NSE"/>
    <s v="Sell"/>
    <n v="300"/>
    <n v="0"/>
    <n v="11.35"/>
    <n v="3405"/>
    <s v="#202505083700010422"/>
    <n v="3.7"/>
    <n v="1.2"/>
    <n v="0"/>
    <n v="0"/>
    <n v="116"/>
    <n v="21.1"/>
    <n v="142"/>
    <n v="2025"/>
    <n v="5"/>
    <n v="2025"/>
    <n v="2"/>
    <s v="02"/>
    <x v="16"/>
    <x v="16"/>
    <n v="3263"/>
    <x v="414"/>
    <s v=""/>
  </r>
  <r>
    <x v="173"/>
    <s v="OPT-NIFTY-08-May-2025-24400-P-E-I"/>
    <s v="NSE"/>
    <s v="Buy"/>
    <n v="75"/>
    <n v="0"/>
    <n v="16.350000000000001"/>
    <n v="1226.25"/>
    <s v="#202505083700009329"/>
    <n v="0"/>
    <n v="0.44"/>
    <n v="0"/>
    <n v="0"/>
    <n v="29"/>
    <n v="5.3"/>
    <n v="34.74"/>
    <n v="2025"/>
    <n v="5"/>
    <n v="2025"/>
    <n v="2"/>
    <s v="02"/>
    <x v="16"/>
    <x v="16"/>
    <n v="-1260.99"/>
    <x v="1"/>
    <n v="-1260.99"/>
  </r>
  <r>
    <x v="173"/>
    <s v="OPT-NIFTY-08-May-2025-24400-P-E-I"/>
    <s v="NSE"/>
    <s v="Buy"/>
    <n v="75"/>
    <n v="0"/>
    <n v="24.85"/>
    <n v="1863.75"/>
    <s v="#202505083700007209"/>
    <n v="0"/>
    <n v="0.66"/>
    <n v="0"/>
    <n v="0"/>
    <n v="29"/>
    <n v="5.34"/>
    <n v="35"/>
    <n v="2025"/>
    <n v="5"/>
    <n v="2025"/>
    <n v="2"/>
    <s v="02"/>
    <x v="16"/>
    <x v="16"/>
    <n v="-1898.75"/>
    <x v="1"/>
    <n v="-1898.75"/>
  </r>
  <r>
    <x v="173"/>
    <s v="OPT-NIFTY-08-May-2025-24400-P-E-I"/>
    <s v="NSE"/>
    <s v="Buy"/>
    <n v="150"/>
    <n v="0"/>
    <n v="37.450000000000003"/>
    <n v="5617.5"/>
    <s v="#202505083700006575"/>
    <n v="0"/>
    <n v="2"/>
    <n v="0"/>
    <n v="0.01"/>
    <n v="58"/>
    <n v="10.8"/>
    <n v="70.81"/>
    <n v="2025"/>
    <n v="5"/>
    <n v="2025"/>
    <n v="2"/>
    <s v="02"/>
    <x v="16"/>
    <x v="16"/>
    <n v="-5688.31"/>
    <x v="1"/>
    <n v="-5688.31"/>
  </r>
  <r>
    <x v="174"/>
    <s v="OPT-NIFTY-15-May-2025-24650-P-E-I"/>
    <s v="NSE"/>
    <s v="Sell"/>
    <n v="750"/>
    <n v="0"/>
    <n v="16.25"/>
    <n v="12187.5"/>
    <s v="#202505153700021703"/>
    <n v="12.19"/>
    <n v="4.33"/>
    <n v="0"/>
    <n v="0.01"/>
    <n v="290"/>
    <n v="52.98"/>
    <n v="359.51"/>
    <n v="2025"/>
    <n v="5"/>
    <n v="2025"/>
    <n v="2"/>
    <s v="02"/>
    <x v="16"/>
    <x v="16"/>
    <n v="11827.99"/>
    <x v="415"/>
    <s v=""/>
  </r>
  <r>
    <x v="174"/>
    <s v="OPT-NIFTY-15-May-2025-24650-P-E-I"/>
    <s v="NSE"/>
    <s v="Buy"/>
    <n v="750"/>
    <n v="0"/>
    <n v="21.25"/>
    <n v="15937.5"/>
    <s v="#202505153700020609"/>
    <n v="0"/>
    <n v="5.67"/>
    <n v="1.74"/>
    <n v="0.02"/>
    <n v="290"/>
    <n v="53.24"/>
    <n v="350.67"/>
    <n v="2025"/>
    <n v="5"/>
    <n v="2025"/>
    <n v="2"/>
    <s v="02"/>
    <x v="16"/>
    <x v="16"/>
    <n v="-16288.17"/>
    <x v="1"/>
    <n v="-16288.17"/>
  </r>
  <r>
    <x v="174"/>
    <s v="OPT-NIFTY-15-May-2025-24650-P-E-I"/>
    <s v="NSE"/>
    <s v="Sell"/>
    <n v="300"/>
    <n v="0"/>
    <n v="18.850000000000001"/>
    <n v="5655"/>
    <s v="#202505153700020206"/>
    <n v="5.65"/>
    <n v="2"/>
    <n v="0"/>
    <n v="0"/>
    <n v="116"/>
    <n v="21.26"/>
    <n v="144.91"/>
    <n v="2025"/>
    <n v="5"/>
    <n v="2025"/>
    <n v="2"/>
    <s v="02"/>
    <x v="16"/>
    <x v="16"/>
    <n v="5510.09"/>
    <x v="416"/>
    <s v=""/>
  </r>
  <r>
    <x v="174"/>
    <s v="OPT-NIFTY-15-May-2025-24650-P-E-I"/>
    <s v="NSE"/>
    <s v="Buy"/>
    <n v="150"/>
    <n v="0"/>
    <n v="38.25"/>
    <n v="5737.5"/>
    <s v="#202505153700019566"/>
    <n v="0"/>
    <n v="2.04"/>
    <n v="0"/>
    <n v="0.01"/>
    <n v="58"/>
    <n v="10.8"/>
    <n v="70.849999999999994"/>
    <n v="2025"/>
    <n v="5"/>
    <n v="2025"/>
    <n v="2"/>
    <s v="02"/>
    <x v="16"/>
    <x v="16"/>
    <n v="-5808.35"/>
    <x v="1"/>
    <n v="-5808.35"/>
  </r>
  <r>
    <x v="174"/>
    <s v="OPT-NIFTY-15-May-2025-24650-P-E-I"/>
    <s v="NSE"/>
    <s v="Buy"/>
    <n v="150"/>
    <n v="0"/>
    <n v="81"/>
    <n v="12150"/>
    <s v="#202505153700017843"/>
    <n v="0"/>
    <n v="4.32"/>
    <n v="0"/>
    <n v="0.01"/>
    <n v="58"/>
    <n v="11.22"/>
    <n v="73.55"/>
    <n v="2025"/>
    <n v="5"/>
    <n v="2025"/>
    <n v="2"/>
    <s v="02"/>
    <x v="16"/>
    <x v="16"/>
    <n v="-12223.55"/>
    <x v="1"/>
    <n v="-12223.55"/>
  </r>
  <r>
    <x v="174"/>
    <s v="OPT-NIFTY-15-May-2025-24650-P-E-I"/>
    <s v="NSE"/>
    <s v="Sell"/>
    <n v="150"/>
    <n v="0"/>
    <n v="95.25"/>
    <n v="14287.5"/>
    <s v="#202505153700016785"/>
    <n v="14.29"/>
    <n v="5.08"/>
    <n v="0"/>
    <n v="0.01"/>
    <n v="58"/>
    <n v="11.36"/>
    <n v="88.74"/>
    <n v="2025"/>
    <n v="5"/>
    <n v="2025"/>
    <n v="2"/>
    <s v="02"/>
    <x v="16"/>
    <x v="16"/>
    <n v="14198.76"/>
    <x v="417"/>
    <s v=""/>
  </r>
  <r>
    <x v="174"/>
    <s v="OPT-NIFTY-15-May-2025-24650-P-E-I"/>
    <s v="NSE"/>
    <s v="Buy"/>
    <n v="75"/>
    <n v="0"/>
    <n v="73"/>
    <n v="5475"/>
    <s v="#202505153700016057"/>
    <n v="0"/>
    <n v="1.95"/>
    <n v="0"/>
    <n v="0.01"/>
    <n v="29"/>
    <n v="5.58"/>
    <n v="36.54"/>
    <n v="2025"/>
    <n v="5"/>
    <n v="2025"/>
    <n v="2"/>
    <s v="02"/>
    <x v="16"/>
    <x v="16"/>
    <n v="-5511.54"/>
    <x v="1"/>
    <n v="-5511.54"/>
  </r>
  <r>
    <x v="174"/>
    <s v="OPT-NIFTY-15-May-2025-24650-P-E-I"/>
    <s v="NSE"/>
    <s v="Buy"/>
    <n v="75"/>
    <n v="0"/>
    <n v="99.2"/>
    <n v="7440"/>
    <s v="#202505153700015627"/>
    <n v="0"/>
    <n v="2.64"/>
    <n v="0"/>
    <n v="0.01"/>
    <n v="29"/>
    <n v="5.7"/>
    <n v="37.35"/>
    <n v="2025"/>
    <n v="5"/>
    <n v="2025"/>
    <n v="2"/>
    <s v="02"/>
    <x v="16"/>
    <x v="16"/>
    <n v="-7477.35"/>
    <x v="1"/>
    <n v="-7477.35"/>
  </r>
  <r>
    <x v="174"/>
    <s v="OPT-NIFTY-15-May-2025-24550-C-E-I"/>
    <s v="NSE"/>
    <s v="Sell"/>
    <n v="75"/>
    <n v="0"/>
    <n v="131.5"/>
    <n v="9862.5"/>
    <s v="#202505153700014098"/>
    <n v="9.8699999999999992"/>
    <n v="3.5"/>
    <n v="0"/>
    <n v="0.01"/>
    <n v="29"/>
    <n v="5.86"/>
    <n v="48.24"/>
    <n v="2025"/>
    <n v="5"/>
    <n v="2025"/>
    <n v="2"/>
    <s v="02"/>
    <x v="16"/>
    <x v="16"/>
    <n v="9814.26"/>
    <x v="418"/>
    <s v=""/>
  </r>
  <r>
    <x v="174"/>
    <s v="OPT-NIFTY-15-May-2025-24550-C-E-I"/>
    <s v="NSE"/>
    <s v="Buy"/>
    <n v="75"/>
    <n v="0"/>
    <n v="114.9"/>
    <n v="8617.5"/>
    <s v="#202505153700012471"/>
    <n v="0"/>
    <n v="3.06"/>
    <n v="0.26"/>
    <n v="0.01"/>
    <n v="29"/>
    <n v="5.78"/>
    <n v="38.11"/>
    <n v="2025"/>
    <n v="5"/>
    <n v="2025"/>
    <n v="2"/>
    <s v="02"/>
    <x v="16"/>
    <x v="16"/>
    <n v="-8655.61"/>
    <x v="1"/>
    <n v="-8655.61"/>
  </r>
  <r>
    <x v="175"/>
    <s v="OPT-NIFTY-22-May-2025-24750-P-E-I"/>
    <s v="NSE"/>
    <s v="Sell"/>
    <n v="150"/>
    <n v="0"/>
    <n v="77.349999999999994"/>
    <n v="11602.5"/>
    <s v="#202505213700006174"/>
    <n v="12"/>
    <n v="4.12"/>
    <n v="0"/>
    <n v="0.01"/>
    <n v="58"/>
    <n v="11.18"/>
    <n v="85.31"/>
    <n v="2025"/>
    <n v="5"/>
    <n v="2025"/>
    <n v="2"/>
    <s v="02"/>
    <x v="16"/>
    <x v="16"/>
    <n v="11517.19"/>
    <x v="419"/>
    <s v=""/>
  </r>
  <r>
    <x v="175"/>
    <s v="OPT-NIFTY-22-May-2025-24750-P-E-I"/>
    <s v="NSE"/>
    <s v="Buy"/>
    <n v="150"/>
    <n v="0"/>
    <n v="125.6"/>
    <n v="18840"/>
    <s v="#202505213700000977"/>
    <n v="0"/>
    <n v="6.69"/>
    <n v="1"/>
    <n v="0.02"/>
    <n v="58"/>
    <n v="11.64"/>
    <n v="77.349999999999994"/>
    <n v="2025"/>
    <n v="5"/>
    <n v="2025"/>
    <n v="2"/>
    <s v="02"/>
    <x v="16"/>
    <x v="16"/>
    <n v="-18917.349999999999"/>
    <x v="1"/>
    <n v="-18917.349999999999"/>
  </r>
  <r>
    <x v="176"/>
    <s v="OPT-NIFTY-29-May-2025-24050-P-E-I"/>
    <s v="NSE"/>
    <s v="Buy"/>
    <n v="75"/>
    <n v="0"/>
    <n v="24.65"/>
    <n v="1848.75"/>
    <s v="#202505233700005571"/>
    <n v="0"/>
    <n v="0.66"/>
    <n v="0"/>
    <n v="0"/>
    <n v="29"/>
    <n v="5.34"/>
    <n v="35"/>
    <n v="2025"/>
    <n v="5"/>
    <n v="2025"/>
    <n v="2"/>
    <s v="02"/>
    <x v="16"/>
    <x v="16"/>
    <n v="-1883.75"/>
    <x v="1"/>
    <n v="-1883.75"/>
  </r>
  <r>
    <x v="177"/>
    <s v="OPT-NIFTY-29-May-2025-24750-C-E-I"/>
    <s v="NSE"/>
    <s v="Sell"/>
    <n v="150"/>
    <n v="0"/>
    <n v="29.25"/>
    <n v="4387.5"/>
    <s v="#202505293700021886"/>
    <n v="4.38"/>
    <n v="1.56"/>
    <n v="0"/>
    <n v="0"/>
    <n v="58"/>
    <n v="10.72"/>
    <n v="74.66"/>
    <n v="2025"/>
    <n v="5"/>
    <n v="2025"/>
    <n v="2"/>
    <s v="02"/>
    <x v="16"/>
    <x v="16"/>
    <n v="4312.84"/>
    <x v="420"/>
    <s v=""/>
  </r>
  <r>
    <x v="177"/>
    <s v="OPT-NIFTY-29-May-2025-24750-C-E-I"/>
    <s v="NSE"/>
    <s v="Buy"/>
    <n v="150"/>
    <n v="0"/>
    <n v="28.15"/>
    <n v="4222.5"/>
    <s v="#202505293700021784"/>
    <n v="0"/>
    <n v="1.5"/>
    <n v="0"/>
    <n v="0"/>
    <n v="58"/>
    <n v="10.72"/>
    <n v="70.22"/>
    <n v="2025"/>
    <n v="5"/>
    <n v="2025"/>
    <n v="2"/>
    <s v="02"/>
    <x v="16"/>
    <x v="16"/>
    <n v="-4292.72"/>
    <x v="1"/>
    <n v="-4292.72"/>
  </r>
  <r>
    <x v="177"/>
    <s v="OPT-NIFTY-29-May-2025-24050-P-E-I"/>
    <s v="NSE"/>
    <s v="Sell"/>
    <n v="75"/>
    <n v="0"/>
    <n v="1.5"/>
    <n v="112.5"/>
    <s v="#202505293700001341"/>
    <n v="0.61"/>
    <n v="0.04"/>
    <n v="0"/>
    <n v="0"/>
    <n v="29"/>
    <n v="5.22"/>
    <n v="34.869999999999997"/>
    <n v="2025"/>
    <n v="5"/>
    <n v="2025"/>
    <n v="2"/>
    <s v="02"/>
    <x v="16"/>
    <x v="16"/>
    <n v="77.63"/>
    <x v="421"/>
    <s v=""/>
  </r>
  <r>
    <x v="178"/>
    <s v="OPT-NIFTY-05-Jun-2025-24850-C-E-I"/>
    <s v="NSE"/>
    <s v="Sell"/>
    <n v="150"/>
    <n v="0"/>
    <n v="5"/>
    <n v="750"/>
    <s v="#202506053700024913"/>
    <n v="1"/>
    <n v="0.27"/>
    <n v="0"/>
    <n v="0"/>
    <n v="58"/>
    <n v="10.48"/>
    <n v="69.75"/>
    <n v="2025"/>
    <n v="6"/>
    <n v="2025"/>
    <n v="3"/>
    <s v="03"/>
    <x v="17"/>
    <x v="17"/>
    <n v="680.25"/>
    <x v="422"/>
    <s v=""/>
  </r>
  <r>
    <x v="178"/>
    <s v="OPT-NIFTY-05-Jun-2025-24850-C-E-I"/>
    <s v="NSE"/>
    <s v="Buy"/>
    <n v="150"/>
    <n v="0"/>
    <n v="22"/>
    <n v="3300"/>
    <s v="#202506053700018371"/>
    <n v="0"/>
    <n v="1.17"/>
    <n v="0"/>
    <n v="0"/>
    <n v="58"/>
    <n v="10.66"/>
    <n v="69.83"/>
    <n v="2025"/>
    <n v="6"/>
    <n v="2025"/>
    <n v="3"/>
    <s v="03"/>
    <x v="17"/>
    <x v="17"/>
    <n v="-3369.83"/>
    <x v="1"/>
    <n v="-3369.83"/>
  </r>
  <r>
    <x v="179"/>
    <s v="OPT-NIFTY-10-Jul-2025-25400-P-E-I"/>
    <s v="NSE"/>
    <s v="Sell"/>
    <n v="375"/>
    <n v="0"/>
    <n v="152.25"/>
    <n v="57093.75"/>
    <s v="#202507043700010841"/>
    <n v="56.97"/>
    <n v="20.28"/>
    <n v="0"/>
    <n v="0.05"/>
    <n v="145"/>
    <n v="29.76"/>
    <n v="252.06"/>
    <n v="2025"/>
    <n v="7"/>
    <n v="2025"/>
    <n v="4"/>
    <s v="04"/>
    <x v="18"/>
    <x v="18"/>
    <n v="56841.69"/>
    <x v="423"/>
    <s v=""/>
  </r>
  <r>
    <x v="179"/>
    <s v="OPT-NIFTY-10-Jul-2025-25400-P-E-I"/>
    <s v="NSE"/>
    <s v="Buy"/>
    <n v="375"/>
    <n v="0"/>
    <n v="157.1"/>
    <n v="58912.5"/>
    <s v="#202507043700010716"/>
    <n v="0"/>
    <n v="20.94"/>
    <n v="3"/>
    <n v="0.06"/>
    <n v="145"/>
    <n v="29.88"/>
    <n v="198.88"/>
    <n v="2025"/>
    <n v="7"/>
    <n v="2025"/>
    <n v="4"/>
    <s v="04"/>
    <x v="18"/>
    <x v="18"/>
    <n v="-59111.38"/>
    <x v="1"/>
    <n v="-59111.38"/>
  </r>
  <r>
    <x v="179"/>
    <s v="OPT-NIFTY-10-Jul-2025-25400-P-E-I"/>
    <s v="NSE"/>
    <s v="Sell"/>
    <n v="300"/>
    <n v="0"/>
    <n v="153.44999999999999"/>
    <n v="46035"/>
    <s v="#202507043700010648"/>
    <n v="46.04"/>
    <n v="16.36"/>
    <n v="0"/>
    <n v="0.04"/>
    <n v="116"/>
    <n v="23.84"/>
    <n v="202.28"/>
    <n v="2025"/>
    <n v="7"/>
    <n v="2025"/>
    <n v="4"/>
    <s v="04"/>
    <x v="18"/>
    <x v="18"/>
    <n v="45832.72"/>
    <x v="424"/>
    <s v=""/>
  </r>
  <r>
    <x v="179"/>
    <s v="OPT-NIFTY-10-Jul-2025-25400-P-E-I"/>
    <s v="NSE"/>
    <s v="Buy"/>
    <n v="300"/>
    <n v="0"/>
    <n v="157.69999999999999"/>
    <n v="47310"/>
    <s v="#202507043700010535"/>
    <n v="0"/>
    <n v="16.8"/>
    <n v="0"/>
    <n v="0.04"/>
    <n v="116"/>
    <n v="23.92"/>
    <n v="156.76"/>
    <n v="2025"/>
    <n v="7"/>
    <n v="2025"/>
    <n v="4"/>
    <s v="04"/>
    <x v="18"/>
    <x v="18"/>
    <n v="-47466.76"/>
    <x v="1"/>
    <n v="-47466.76"/>
  </r>
  <r>
    <x v="180"/>
    <s v="OPT-NIFTY-14-Aug-2025-24700-C-E-I"/>
    <s v="NSE"/>
    <s v="Sell"/>
    <n v="450"/>
    <n v="0"/>
    <n v="59.65"/>
    <n v="26842.5"/>
    <s v="#202508123700012255"/>
    <n v="27"/>
    <n v="9.5399999999999991"/>
    <n v="0"/>
    <n v="0.02"/>
    <n v="174"/>
    <n v="33.04"/>
    <n v="243.6"/>
    <n v="2025"/>
    <n v="8"/>
    <n v="2025"/>
    <n v="5"/>
    <s v="05"/>
    <x v="19"/>
    <x v="19"/>
    <n v="26598.9"/>
    <x v="425"/>
    <s v=""/>
  </r>
  <r>
    <x v="180"/>
    <s v="OPT-NIFTY-14-Aug-2025-24700-C-E-I"/>
    <s v="NSE"/>
    <s v="Buy"/>
    <n v="225"/>
    <n v="0"/>
    <n v="44.3"/>
    <n v="9967.5"/>
    <s v="#202508123700010646"/>
    <n v="0"/>
    <n v="3.54"/>
    <n v="0"/>
    <n v="0.01"/>
    <n v="87"/>
    <n v="16.3"/>
    <n v="106.85"/>
    <n v="2025"/>
    <n v="8"/>
    <n v="2025"/>
    <n v="5"/>
    <s v="05"/>
    <x v="19"/>
    <x v="19"/>
    <n v="-10074.35"/>
    <x v="1"/>
    <n v="-10074.35"/>
  </r>
  <r>
    <x v="180"/>
    <s v="OPT-NIFTY-14-Aug-2025-24700-C-E-I"/>
    <s v="NSE"/>
    <s v="Buy"/>
    <n v="150"/>
    <n v="0"/>
    <n v="66.05"/>
    <n v="9907.5"/>
    <s v="#202508123700006900"/>
    <n v="0"/>
    <n v="3.52"/>
    <n v="1"/>
    <n v="0.01"/>
    <n v="58"/>
    <n v="11.08"/>
    <n v="73.61"/>
    <n v="2025"/>
    <n v="8"/>
    <n v="2025"/>
    <n v="5"/>
    <s v="05"/>
    <x v="19"/>
    <x v="19"/>
    <n v="-9981.11"/>
    <x v="1"/>
    <n v="-9981.11"/>
  </r>
  <r>
    <x v="180"/>
    <s v="OPT-NIFTY-14-Aug-2025-24700-C-E-I"/>
    <s v="NSE"/>
    <s v="Buy"/>
    <n v="75"/>
    <n v="0"/>
    <n v="82.3"/>
    <n v="6172.5"/>
    <s v="#202508123700006526"/>
    <n v="0"/>
    <n v="2.19"/>
    <n v="0"/>
    <n v="0.01"/>
    <n v="29"/>
    <n v="5.62"/>
    <n v="36.82"/>
    <n v="2025"/>
    <n v="8"/>
    <n v="2025"/>
    <n v="5"/>
    <s v="05"/>
    <x v="19"/>
    <x v="19"/>
    <n v="-6209.32"/>
    <x v="1"/>
    <n v="-6209.32"/>
  </r>
  <r>
    <x v="181"/>
    <s v="OPT-NIFTY-21-Aug-2025-25150-C-E-I"/>
    <s v="NSE"/>
    <s v="Sell"/>
    <n v="900"/>
    <n v="0"/>
    <n v="4.1500000000000004"/>
    <n v="3735"/>
    <s v="#202508213700018813"/>
    <n v="3.73"/>
    <n v="1.33"/>
    <n v="0"/>
    <n v="0"/>
    <n v="348"/>
    <n v="62.88"/>
    <n v="415.94"/>
    <n v="2025"/>
    <n v="8"/>
    <n v="2025"/>
    <n v="5"/>
    <s v="05"/>
    <x v="19"/>
    <x v="19"/>
    <n v="3319.06"/>
    <x v="396"/>
    <s v=""/>
  </r>
  <r>
    <x v="181"/>
    <s v="OPT-NIFTY-21-Aug-2025-25150-C-E-I"/>
    <s v="NSE"/>
    <s v="Sell"/>
    <n v="1500"/>
    <n v="0"/>
    <n v="3.8"/>
    <n v="5700"/>
    <s v="#202508213700018369"/>
    <n v="5.72"/>
    <n v="2.02"/>
    <n v="0"/>
    <n v="0"/>
    <n v="580"/>
    <n v="104.76"/>
    <n v="692.5"/>
    <n v="2025"/>
    <n v="8"/>
    <n v="2025"/>
    <n v="5"/>
    <s v="05"/>
    <x v="19"/>
    <x v="19"/>
    <n v="5007.5"/>
    <x v="426"/>
    <s v=""/>
  </r>
  <r>
    <x v="181"/>
    <s v="OPT-NIFTY-21-Aug-2025-25150-C-E-I"/>
    <s v="NSE"/>
    <s v="Sell"/>
    <n v="450"/>
    <n v="0"/>
    <n v="3.8"/>
    <n v="1710"/>
    <s v="#202508213700018285"/>
    <n v="1.71"/>
    <n v="0.61"/>
    <n v="0"/>
    <n v="0"/>
    <n v="174"/>
    <n v="31.42"/>
    <n v="207.74"/>
    <n v="2025"/>
    <n v="8"/>
    <n v="2025"/>
    <n v="5"/>
    <s v="05"/>
    <x v="19"/>
    <x v="19"/>
    <n v="1502.26"/>
    <x v="427"/>
    <s v=""/>
  </r>
  <r>
    <x v="181"/>
    <s v="OPT-NIFTY-21-Aug-2025-25150-C-E-I"/>
    <s v="NSE"/>
    <s v="Sell"/>
    <n v="150"/>
    <n v="0"/>
    <n v="12.05"/>
    <n v="1807.5"/>
    <s v="#202508213700016581"/>
    <n v="1.86"/>
    <n v="0.64"/>
    <n v="0"/>
    <n v="0"/>
    <n v="58"/>
    <n v="10.56"/>
    <n v="71.06"/>
    <n v="2025"/>
    <n v="8"/>
    <n v="2025"/>
    <n v="5"/>
    <s v="05"/>
    <x v="19"/>
    <x v="19"/>
    <n v="1736.44"/>
    <x v="428"/>
    <s v=""/>
  </r>
  <r>
    <x v="181"/>
    <s v="OPT-NIFTY-21-Aug-2025-25150-C-E-I"/>
    <s v="NSE"/>
    <s v="Buy"/>
    <n v="1500"/>
    <n v="0"/>
    <n v="9.9"/>
    <n v="14850"/>
    <s v="#202508213700016277"/>
    <n v="0"/>
    <n v="5.28"/>
    <n v="1"/>
    <n v="0.01"/>
    <n v="580"/>
    <n v="105.36"/>
    <n v="691.65"/>
    <n v="2025"/>
    <n v="8"/>
    <n v="2025"/>
    <n v="5"/>
    <s v="05"/>
    <x v="19"/>
    <x v="19"/>
    <n v="-15541.65"/>
    <x v="1"/>
    <n v="-15541.65"/>
  </r>
  <r>
    <x v="181"/>
    <s v="OPT-NIFTY-21-Aug-2025-25150-C-E-I"/>
    <s v="NSE"/>
    <s v="Buy"/>
    <n v="750"/>
    <n v="0"/>
    <n v="14.69"/>
    <n v="11017.5"/>
    <s v="#202508213700015714"/>
    <n v="0"/>
    <n v="3.91"/>
    <n v="0"/>
    <n v="0.01"/>
    <n v="290"/>
    <n v="52.92"/>
    <n v="346.84"/>
    <n v="2025"/>
    <n v="8"/>
    <n v="2025"/>
    <n v="5"/>
    <s v="05"/>
    <x v="19"/>
    <x v="19"/>
    <n v="-11364.34"/>
    <x v="1"/>
    <n v="-11364.34"/>
  </r>
  <r>
    <x v="181"/>
    <s v="OPT-NIFTY-21-Aug-2025-25150-C-E-I"/>
    <s v="NSE"/>
    <s v="Buy"/>
    <n v="750"/>
    <n v="0"/>
    <n v="13.45"/>
    <n v="10087.5"/>
    <s v="#202508213700015673"/>
    <n v="0"/>
    <n v="3.58"/>
    <n v="0"/>
    <n v="0.01"/>
    <n v="290"/>
    <n v="52.84"/>
    <n v="346.43"/>
    <n v="2025"/>
    <n v="8"/>
    <n v="2025"/>
    <n v="5"/>
    <s v="05"/>
    <x v="19"/>
    <x v="19"/>
    <n v="-10433.93"/>
    <x v="1"/>
    <n v="-10433.93"/>
  </r>
  <r>
    <x v="182"/>
    <s v="OPT-NIFTY-28-Aug-2025-24500-P-E-I"/>
    <s v="NSE"/>
    <s v="Sell"/>
    <n v="1200"/>
    <n v="0"/>
    <n v="17.649999999999999"/>
    <n v="21180"/>
    <s v="#202508283700020082"/>
    <n v="21.55"/>
    <n v="7.53"/>
    <n v="0"/>
    <n v="0.02"/>
    <n v="464"/>
    <n v="84.88"/>
    <n v="577.98"/>
    <n v="2025"/>
    <n v="8"/>
    <n v="2025"/>
    <n v="5"/>
    <s v="05"/>
    <x v="19"/>
    <x v="19"/>
    <n v="20602.02"/>
    <x v="429"/>
    <s v=""/>
  </r>
  <r>
    <x v="182"/>
    <s v="OPT-NIFTY-28-Aug-2025-24500-P-E-I"/>
    <s v="NSE"/>
    <s v="Buy"/>
    <n v="600"/>
    <n v="0"/>
    <n v="8.25"/>
    <n v="4950"/>
    <s v="#202508283700019428"/>
    <n v="0"/>
    <n v="1.76"/>
    <n v="0.32"/>
    <n v="0"/>
    <n v="232"/>
    <n v="42.08"/>
    <n v="276.16000000000003"/>
    <n v="2025"/>
    <n v="8"/>
    <n v="2025"/>
    <n v="5"/>
    <s v="05"/>
    <x v="19"/>
    <x v="19"/>
    <n v="-5226.16"/>
    <x v="1"/>
    <n v="-5226.16"/>
  </r>
  <r>
    <x v="182"/>
    <s v="OPT-NIFTY-28-Aug-2025-24500-P-E-I"/>
    <s v="NSE"/>
    <s v="Buy"/>
    <n v="600"/>
    <n v="0"/>
    <n v="9.6"/>
    <n v="5760"/>
    <s v="#202508283700018912"/>
    <n v="0"/>
    <n v="2.0499999999999998"/>
    <n v="0"/>
    <n v="0"/>
    <n v="232"/>
    <n v="42.12"/>
    <n v="276.17"/>
    <n v="2025"/>
    <n v="8"/>
    <n v="2025"/>
    <n v="5"/>
    <s v="05"/>
    <x v="19"/>
    <x v="19"/>
    <n v="-6036.17"/>
    <x v="1"/>
    <n v="-6036.17"/>
  </r>
  <r>
    <x v="182"/>
    <s v="OPT-NIFTY-28-Aug-2025-24550-C-E-I"/>
    <s v="NSE"/>
    <s v="Sell"/>
    <n v="675"/>
    <n v="0"/>
    <n v="49.55"/>
    <n v="33446.25"/>
    <s v="#202508283700005256"/>
    <n v="33.450000000000003"/>
    <n v="11.88"/>
    <n v="0"/>
    <n v="0.03"/>
    <n v="261"/>
    <n v="49.14"/>
    <n v="355.5"/>
    <n v="2025"/>
    <n v="8"/>
    <n v="2025"/>
    <n v="5"/>
    <s v="05"/>
    <x v="19"/>
    <x v="19"/>
    <n v="33090.75"/>
    <x v="430"/>
    <s v=""/>
  </r>
  <r>
    <x v="182"/>
    <s v="OPT-NIFTY-28-Aug-2025-24550-C-E-I"/>
    <s v="NSE"/>
    <s v="Buy"/>
    <n v="675"/>
    <n v="0"/>
    <n v="40.07"/>
    <n v="27048.75"/>
    <s v="#202508283700004752"/>
    <n v="0"/>
    <n v="9.6199999999999992"/>
    <n v="0.68"/>
    <n v="0.01"/>
    <n v="261"/>
    <n v="48.76"/>
    <n v="320.07"/>
    <n v="2025"/>
    <n v="8"/>
    <n v="2025"/>
    <n v="5"/>
    <s v="05"/>
    <x v="19"/>
    <x v="19"/>
    <n v="-27368.82"/>
    <x v="1"/>
    <n v="-27368.82"/>
  </r>
  <r>
    <x v="183"/>
    <s v="OPT-NIFTY-02-Sep-2025-24700-P-E-I"/>
    <s v="NSE"/>
    <s v="Sell"/>
    <n v="750"/>
    <n v="0"/>
    <n v="40.25"/>
    <n v="30187.5"/>
    <s v="#202509023700019020"/>
    <n v="30"/>
    <n v="10.73"/>
    <n v="0"/>
    <n v="0.03"/>
    <n v="290"/>
    <n v="54.14"/>
    <n v="384.9"/>
    <n v="2025"/>
    <n v="9"/>
    <n v="2025"/>
    <n v="6"/>
    <s v="06"/>
    <x v="20"/>
    <x v="20"/>
    <n v="29802.6"/>
    <x v="431"/>
    <s v=""/>
  </r>
  <r>
    <x v="183"/>
    <s v="OPT-NIFTY-02-Sep-2025-24700-P-E-I"/>
    <s v="NSE"/>
    <s v="Buy"/>
    <n v="375"/>
    <n v="0"/>
    <n v="24.25"/>
    <n v="9093.75"/>
    <s v="#202509023700018759"/>
    <n v="0"/>
    <n v="3.23"/>
    <n v="1"/>
    <n v="0.01"/>
    <n v="145"/>
    <n v="26.68"/>
    <n v="175.92"/>
    <n v="2025"/>
    <n v="9"/>
    <n v="2025"/>
    <n v="6"/>
    <s v="06"/>
    <x v="20"/>
    <x v="20"/>
    <n v="-9269.67"/>
    <x v="1"/>
    <n v="-9269.67"/>
  </r>
  <r>
    <x v="183"/>
    <s v="OPT-NIFTY-02-Sep-2025-24700-P-E-I"/>
    <s v="NSE"/>
    <s v="Buy"/>
    <n v="375"/>
    <n v="0"/>
    <n v="24.5"/>
    <n v="9187.5"/>
    <s v="#202509023700018665"/>
    <n v="0"/>
    <n v="3.26"/>
    <n v="0"/>
    <n v="0.01"/>
    <n v="145"/>
    <n v="26.7"/>
    <n v="174.97"/>
    <n v="2025"/>
    <n v="9"/>
    <n v="2025"/>
    <n v="6"/>
    <s v="06"/>
    <x v="20"/>
    <x v="20"/>
    <n v="-9362.4699999999993"/>
    <x v="1"/>
    <n v="-9362.4699999999993"/>
  </r>
  <r>
    <x v="184"/>
    <s v="OPT-NIFTY-09-Sep-2025-24650-P-E-I"/>
    <s v="NSE"/>
    <s v="Sell"/>
    <n v="375"/>
    <n v="0"/>
    <n v="94.8"/>
    <n v="35550"/>
    <s v="#202509033700015732"/>
    <n v="35.69"/>
    <n v="12.63"/>
    <n v="0"/>
    <n v="0.03"/>
    <n v="145"/>
    <n v="28.4"/>
    <n v="221.75"/>
    <n v="2025"/>
    <n v="9"/>
    <n v="2025"/>
    <n v="6"/>
    <s v="06"/>
    <x v="20"/>
    <x v="20"/>
    <n v="35328.25"/>
    <x v="432"/>
    <s v=""/>
  </r>
  <r>
    <x v="184"/>
    <s v="OPT-NIFTY-09-Sep-2025-24650-P-E-I"/>
    <s v="NSE"/>
    <s v="Buy"/>
    <n v="375"/>
    <n v="0"/>
    <n v="97.15"/>
    <n v="36431.25"/>
    <s v="#202509033700015506"/>
    <n v="0"/>
    <n v="12.95"/>
    <n v="3"/>
    <n v="0.04"/>
    <n v="145"/>
    <n v="28.44"/>
    <n v="189.43"/>
    <n v="2025"/>
    <n v="9"/>
    <n v="2025"/>
    <n v="6"/>
    <s v="06"/>
    <x v="20"/>
    <x v="20"/>
    <n v="-36620.68"/>
    <x v="1"/>
    <n v="-36620.68"/>
  </r>
  <r>
    <x v="184"/>
    <s v="OPT-NIFTY-09-Sep-2025-24650-P-E-I"/>
    <s v="NSE"/>
    <s v="Sell"/>
    <n v="300"/>
    <n v="0"/>
    <n v="94.33"/>
    <n v="28297.5"/>
    <s v="#202509033700014916"/>
    <n v="28.3"/>
    <n v="10.06"/>
    <n v="0"/>
    <n v="0.02"/>
    <n v="116"/>
    <n v="22.68"/>
    <n v="177.06"/>
    <n v="2025"/>
    <n v="9"/>
    <n v="2025"/>
    <n v="6"/>
    <s v="06"/>
    <x v="20"/>
    <x v="20"/>
    <n v="28120.44"/>
    <x v="433"/>
    <s v=""/>
  </r>
  <r>
    <x v="184"/>
    <s v="OPT-NIFTY-09-Sep-2025-24650-P-E-I"/>
    <s v="NSE"/>
    <s v="Buy"/>
    <n v="300"/>
    <n v="0"/>
    <n v="97.45"/>
    <n v="29235"/>
    <s v="#202509033700014826"/>
    <n v="0"/>
    <n v="10.38"/>
    <n v="0"/>
    <n v="0.02"/>
    <n v="116"/>
    <n v="22.76"/>
    <n v="149.16"/>
    <n v="2025"/>
    <n v="9"/>
    <n v="2025"/>
    <n v="6"/>
    <s v="06"/>
    <x v="20"/>
    <x v="20"/>
    <n v="-29384.16"/>
    <x v="1"/>
    <n v="-29384.16"/>
  </r>
  <r>
    <x v="184"/>
    <s v="OPT-NIFTY-09-Sep-2025-24650-P-E-I"/>
    <s v="NSE"/>
    <s v="Sell"/>
    <n v="300"/>
    <n v="0"/>
    <n v="94.6"/>
    <n v="28380"/>
    <s v="#202509033700014620"/>
    <n v="28.39"/>
    <n v="10.08"/>
    <n v="0"/>
    <n v="0.03"/>
    <n v="116"/>
    <n v="22.7"/>
    <n v="177.2"/>
    <n v="2025"/>
    <n v="9"/>
    <n v="2025"/>
    <n v="6"/>
    <s v="06"/>
    <x v="20"/>
    <x v="20"/>
    <n v="28202.799999999999"/>
    <x v="434"/>
    <s v=""/>
  </r>
  <r>
    <x v="184"/>
    <s v="OPT-NIFTY-09-Sep-2025-24650-P-E-I"/>
    <s v="NSE"/>
    <s v="Buy"/>
    <n v="300"/>
    <n v="0"/>
    <n v="97.55"/>
    <n v="29265"/>
    <s v="#202509033700014568"/>
    <n v="0"/>
    <n v="10.4"/>
    <n v="0"/>
    <n v="0.04"/>
    <n v="116"/>
    <n v="22.72"/>
    <n v="149.16"/>
    <n v="2025"/>
    <n v="9"/>
    <n v="2025"/>
    <n v="6"/>
    <s v="06"/>
    <x v="20"/>
    <x v="20"/>
    <n v="-29414.16"/>
    <x v="1"/>
    <n v="-29414.16"/>
  </r>
  <r>
    <x v="184"/>
    <s v="OPT-NIFTY-09-Sep-2025-24650-P-E-I"/>
    <s v="NSE"/>
    <s v="Sell"/>
    <n v="150"/>
    <n v="0"/>
    <n v="97.58"/>
    <n v="14636.25"/>
    <s v="#202509033700014210"/>
    <n v="14.64"/>
    <n v="5.2"/>
    <n v="0"/>
    <n v="0.02"/>
    <n v="58"/>
    <n v="11.36"/>
    <n v="89.22"/>
    <n v="2025"/>
    <n v="9"/>
    <n v="2025"/>
    <n v="6"/>
    <s v="06"/>
    <x v="20"/>
    <x v="20"/>
    <n v="14547.03"/>
    <x v="435"/>
    <s v=""/>
  </r>
  <r>
    <x v="184"/>
    <s v="OPT-NIFTY-09-Sep-2025-24650-P-E-I"/>
    <s v="NSE"/>
    <s v="Buy"/>
    <n v="75"/>
    <n v="0"/>
    <n v="101.8"/>
    <n v="7635"/>
    <s v="#202509033700014113"/>
    <n v="0"/>
    <n v="2.71"/>
    <n v="0"/>
    <n v="0.01"/>
    <n v="29"/>
    <n v="5.7"/>
    <n v="37.42"/>
    <n v="2025"/>
    <n v="9"/>
    <n v="2025"/>
    <n v="6"/>
    <s v="06"/>
    <x v="20"/>
    <x v="20"/>
    <n v="-7672.42"/>
    <x v="1"/>
    <n v="-7672.42"/>
  </r>
  <r>
    <x v="184"/>
    <s v="OPT-NIFTY-09-Sep-2025-24650-P-E-I"/>
    <s v="NSE"/>
    <s v="Buy"/>
    <n v="75"/>
    <n v="0"/>
    <n v="102.65"/>
    <n v="7698.75"/>
    <s v="#202509033700014091"/>
    <n v="0"/>
    <n v="2.74"/>
    <n v="0"/>
    <n v="0.01"/>
    <n v="29"/>
    <n v="5.72"/>
    <n v="37.47"/>
    <n v="2025"/>
    <n v="9"/>
    <n v="2025"/>
    <n v="6"/>
    <s v="06"/>
    <x v="20"/>
    <x v="20"/>
    <n v="-7736.22"/>
    <x v="1"/>
    <n v="-7736.22"/>
  </r>
  <r>
    <x v="185"/>
    <s v="OPT-NIFTY-09-Sep-2025-24700-P-E-I"/>
    <s v="NSE"/>
    <s v="Sell"/>
    <n v="900"/>
    <n v="0"/>
    <n v="63.25"/>
    <n v="56925"/>
    <s v="#202509043700015846"/>
    <n v="56.93"/>
    <n v="20.23"/>
    <n v="0"/>
    <n v="0.05"/>
    <n v="348"/>
    <n v="66.28"/>
    <n v="491.49"/>
    <n v="2025"/>
    <n v="9"/>
    <n v="2025"/>
    <n v="6"/>
    <s v="06"/>
    <x v="20"/>
    <x v="20"/>
    <n v="56433.51"/>
    <x v="436"/>
    <s v=""/>
  </r>
  <r>
    <x v="185"/>
    <s v="OPT-NIFTY-09-Sep-2025-24700-P-E-I"/>
    <s v="NSE"/>
    <s v="Buy"/>
    <n v="450"/>
    <n v="0"/>
    <n v="49.05"/>
    <n v="22072.5"/>
    <s v="#202509043700014255"/>
    <n v="0"/>
    <n v="7.84"/>
    <n v="1.08"/>
    <n v="0.02"/>
    <n v="174"/>
    <n v="32.74"/>
    <n v="215.68"/>
    <n v="2025"/>
    <n v="9"/>
    <n v="2025"/>
    <n v="6"/>
    <s v="06"/>
    <x v="20"/>
    <x v="20"/>
    <n v="-22288.18"/>
    <x v="1"/>
    <n v="-22288.18"/>
  </r>
  <r>
    <x v="185"/>
    <s v="OPT-NIFTY-09-Sep-2025-24700-P-E-I"/>
    <s v="NSE"/>
    <s v="Buy"/>
    <n v="450"/>
    <n v="0"/>
    <n v="52.35"/>
    <n v="23557.5"/>
    <s v="#202509043700014101"/>
    <n v="0"/>
    <n v="8.35"/>
    <n v="0"/>
    <n v="0.01"/>
    <n v="174"/>
    <n v="32.86"/>
    <n v="215.22"/>
    <n v="2025"/>
    <n v="9"/>
    <n v="2025"/>
    <n v="6"/>
    <s v="06"/>
    <x v="20"/>
    <x v="20"/>
    <n v="-23772.720000000001"/>
    <x v="1"/>
    <n v="-23772.720000000001"/>
  </r>
  <r>
    <x v="185"/>
    <s v="OPT-NIFTY-09-Sep-2025-24650-P-E-I"/>
    <s v="NSE"/>
    <s v="Sell"/>
    <n v="750"/>
    <n v="0"/>
    <n v="39.950000000000003"/>
    <n v="29962.5"/>
    <s v="#202509043700011561"/>
    <n v="30.08"/>
    <n v="10.64"/>
    <n v="0"/>
    <n v="0.03"/>
    <n v="290"/>
    <n v="54.14"/>
    <n v="384.89"/>
    <n v="2025"/>
    <n v="9"/>
    <n v="2025"/>
    <n v="6"/>
    <s v="06"/>
    <x v="20"/>
    <x v="20"/>
    <n v="29577.61"/>
    <x v="437"/>
    <s v=""/>
  </r>
  <r>
    <x v="185"/>
    <s v="OPT-NIFTY-09-Sep-2025-24650-P-E-I"/>
    <s v="NSE"/>
    <s v="Buy"/>
    <n v="375"/>
    <n v="0"/>
    <n v="40.450000000000003"/>
    <n v="15168.75"/>
    <s v="#202509043700011524"/>
    <n v="0"/>
    <n v="5.39"/>
    <n v="0.92"/>
    <n v="0.01"/>
    <n v="145"/>
    <n v="27.08"/>
    <n v="178.4"/>
    <n v="2025"/>
    <n v="9"/>
    <n v="2025"/>
    <n v="6"/>
    <s v="06"/>
    <x v="20"/>
    <x v="20"/>
    <n v="-15347.15"/>
    <x v="1"/>
    <n v="-15347.15"/>
  </r>
  <r>
    <x v="185"/>
    <s v="OPT-NIFTY-09-Sep-2025-24650-P-E-I"/>
    <s v="NSE"/>
    <s v="Buy"/>
    <n v="225"/>
    <n v="0"/>
    <n v="41.55"/>
    <n v="9348.75"/>
    <s v="#202509043700011379"/>
    <n v="0"/>
    <n v="3.32"/>
    <n v="0"/>
    <n v="0.01"/>
    <n v="87"/>
    <n v="16.260000000000002"/>
    <n v="106.59"/>
    <n v="2025"/>
    <n v="9"/>
    <n v="2025"/>
    <n v="6"/>
    <s v="06"/>
    <x v="20"/>
    <x v="20"/>
    <n v="-9455.34"/>
    <x v="1"/>
    <n v="-9455.34"/>
  </r>
  <r>
    <x v="185"/>
    <s v="OPT-NIFTY-09-Sep-2025-24650-P-E-I"/>
    <s v="NSE"/>
    <s v="Buy"/>
    <n v="150"/>
    <n v="0"/>
    <n v="41"/>
    <n v="6150"/>
    <s v="#202509043700011274"/>
    <n v="0"/>
    <n v="2.19"/>
    <n v="0"/>
    <n v="0.01"/>
    <n v="58"/>
    <n v="10.84"/>
    <n v="71.040000000000006"/>
    <n v="2025"/>
    <n v="9"/>
    <n v="2025"/>
    <n v="6"/>
    <s v="06"/>
    <x v="20"/>
    <x v="20"/>
    <n v="-6221.04"/>
    <x v="1"/>
    <n v="-6221.04"/>
  </r>
  <r>
    <x v="186"/>
    <s v="OPT-NIFTY-09-Sep-2025-24700-C-E-I"/>
    <s v="NSE"/>
    <s v="Sell"/>
    <n v="150"/>
    <n v="0"/>
    <n v="139.25"/>
    <n v="20887.5"/>
    <s v="#202509053700018058"/>
    <n v="20.89"/>
    <n v="7.42"/>
    <n v="0"/>
    <n v="0.02"/>
    <n v="58"/>
    <n v="11.78"/>
    <n v="98.11"/>
    <n v="2025"/>
    <n v="9"/>
    <n v="2025"/>
    <n v="6"/>
    <s v="06"/>
    <x v="20"/>
    <x v="20"/>
    <n v="20789.39"/>
    <x v="438"/>
    <s v=""/>
  </r>
  <r>
    <x v="186"/>
    <s v="OPT-NIFTY-09-Sep-2025-24700-C-E-I"/>
    <s v="NSE"/>
    <s v="Buy"/>
    <n v="150"/>
    <n v="0"/>
    <n v="132.19999999999999"/>
    <n v="19830"/>
    <s v="#202509053700017968"/>
    <n v="0"/>
    <n v="7.04"/>
    <n v="0.59"/>
    <n v="0.02"/>
    <n v="58"/>
    <n v="11.72"/>
    <n v="77.37"/>
    <n v="2025"/>
    <n v="9"/>
    <n v="2025"/>
    <n v="6"/>
    <s v="06"/>
    <x v="20"/>
    <x v="20"/>
    <n v="-19907.37"/>
    <x v="1"/>
    <n v="-19907.37"/>
  </r>
  <r>
    <x v="186"/>
    <s v="OPT-NIFTY-09-Sep-2025-24650-P-E-I"/>
    <s v="NSE"/>
    <s v="Sell"/>
    <n v="975"/>
    <n v="0"/>
    <n v="69.45"/>
    <n v="67713.75"/>
    <s v="#202509053700011778"/>
    <n v="68.12"/>
    <n v="24.05"/>
    <n v="0"/>
    <n v="7.0000000000000007E-2"/>
    <n v="377"/>
    <n v="72.2"/>
    <n v="541.44000000000005"/>
    <n v="2025"/>
    <n v="9"/>
    <n v="2025"/>
    <n v="6"/>
    <s v="06"/>
    <x v="20"/>
    <x v="20"/>
    <n v="67172.31"/>
    <x v="439"/>
    <s v=""/>
  </r>
  <r>
    <x v="186"/>
    <s v="OPT-NIFTY-09-Sep-2025-24650-P-E-I"/>
    <s v="NSE"/>
    <s v="Buy"/>
    <n v="225"/>
    <n v="0"/>
    <n v="60.9"/>
    <n v="13702.5"/>
    <s v="#202509053700011699"/>
    <n v="0"/>
    <n v="4.87"/>
    <n v="0"/>
    <n v="0.01"/>
    <n v="87"/>
    <n v="16.54"/>
    <n v="108.42"/>
    <n v="2025"/>
    <n v="9"/>
    <n v="2025"/>
    <n v="6"/>
    <s v="06"/>
    <x v="20"/>
    <x v="20"/>
    <n v="-13810.92"/>
    <x v="1"/>
    <n v="-13810.92"/>
  </r>
  <r>
    <x v="186"/>
    <s v="OPT-NIFTY-09-Sep-2025-24650-P-E-I"/>
    <s v="NSE"/>
    <s v="Buy"/>
    <n v="300"/>
    <n v="0"/>
    <n v="63.8"/>
    <n v="19140"/>
    <s v="#202509053700011568"/>
    <n v="0"/>
    <n v="6.8"/>
    <n v="0"/>
    <n v="0"/>
    <n v="116"/>
    <n v="22.08"/>
    <n v="144.88"/>
    <n v="2025"/>
    <n v="9"/>
    <n v="2025"/>
    <n v="6"/>
    <s v="06"/>
    <x v="20"/>
    <x v="20"/>
    <n v="-19284.88"/>
    <x v="1"/>
    <n v="-19284.88"/>
  </r>
  <r>
    <x v="186"/>
    <s v="OPT-NIFTY-09-Sep-2025-24650-P-E-I"/>
    <s v="NSE"/>
    <s v="Buy"/>
    <n v="450"/>
    <n v="0"/>
    <n v="68.3"/>
    <n v="30735"/>
    <s v="#202509053700010806"/>
    <n v="0"/>
    <n v="10.92"/>
    <n v="2.41"/>
    <n v="0.04"/>
    <n v="174"/>
    <n v="33.28"/>
    <n v="220.65"/>
    <n v="2025"/>
    <n v="9"/>
    <n v="2025"/>
    <n v="6"/>
    <s v="06"/>
    <x v="20"/>
    <x v="20"/>
    <n v="-30955.65"/>
    <x v="1"/>
    <n v="-30955.65"/>
  </r>
  <r>
    <x v="187"/>
    <s v="OPT-NIFTY-09-Sep-2025-24750-P-E-I"/>
    <s v="NSE"/>
    <s v="Sell"/>
    <n v="975"/>
    <n v="0"/>
    <n v="18.25"/>
    <n v="17793.75"/>
    <s v="#202509083700033845"/>
    <n v="17.809999999999999"/>
    <n v="6.33"/>
    <n v="0"/>
    <n v="0.02"/>
    <n v="377"/>
    <n v="69.02"/>
    <n v="470.18"/>
    <n v="2025"/>
    <n v="9"/>
    <n v="2025"/>
    <n v="6"/>
    <s v="06"/>
    <x v="20"/>
    <x v="20"/>
    <n v="17323.57"/>
    <x v="440"/>
    <s v=""/>
  </r>
  <r>
    <x v="187"/>
    <s v="OPT-NIFTY-09-Sep-2025-24750-P-E-I"/>
    <s v="NSE"/>
    <s v="Sell"/>
    <n v="75"/>
    <n v="0"/>
    <n v="21.95"/>
    <n v="1646.25"/>
    <s v="#202509083700029705"/>
    <n v="1.65"/>
    <n v="0.57999999999999996"/>
    <n v="0"/>
    <n v="0"/>
    <n v="29"/>
    <n v="5.32"/>
    <n v="36.549999999999997"/>
    <n v="2025"/>
    <n v="9"/>
    <n v="2025"/>
    <n v="6"/>
    <s v="06"/>
    <x v="20"/>
    <x v="20"/>
    <n v="1609.7"/>
    <x v="441"/>
    <s v=""/>
  </r>
  <r>
    <x v="187"/>
    <s v="OPT-NIFTY-09-Sep-2025-24750-P-E-I"/>
    <s v="NSE"/>
    <s v="Sell"/>
    <n v="150"/>
    <n v="0"/>
    <n v="20.95"/>
    <n v="3142.5"/>
    <s v="#202509083700029191"/>
    <n v="3.14"/>
    <n v="1.1200000000000001"/>
    <n v="0"/>
    <n v="0"/>
    <n v="58"/>
    <n v="10.64"/>
    <n v="72.900000000000006"/>
    <n v="2025"/>
    <n v="9"/>
    <n v="2025"/>
    <n v="6"/>
    <s v="06"/>
    <x v="20"/>
    <x v="20"/>
    <n v="3069.6"/>
    <x v="442"/>
    <s v=""/>
  </r>
  <r>
    <x v="187"/>
    <s v="OPT-NIFTY-09-Sep-2025-24750-P-E-I"/>
    <s v="NSE"/>
    <s v="Sell"/>
    <n v="150"/>
    <n v="0"/>
    <n v="19.95"/>
    <n v="2992.5"/>
    <s v="#202509083700029135"/>
    <n v="2.99"/>
    <n v="1.06"/>
    <n v="0"/>
    <n v="0"/>
    <n v="58"/>
    <n v="10.64"/>
    <n v="72.69"/>
    <n v="2025"/>
    <n v="9"/>
    <n v="2025"/>
    <n v="6"/>
    <s v="06"/>
    <x v="20"/>
    <x v="20"/>
    <n v="2919.81"/>
    <x v="443"/>
    <s v=""/>
  </r>
  <r>
    <x v="187"/>
    <s v="OPT-NIFTY-09-Sep-2025-24750-P-E-I"/>
    <s v="NSE"/>
    <s v="Buy"/>
    <n v="450"/>
    <n v="0"/>
    <n v="30.4"/>
    <n v="13680"/>
    <s v="#202509083700016674"/>
    <n v="0"/>
    <n v="4.8600000000000003"/>
    <n v="0"/>
    <n v="0.01"/>
    <n v="174"/>
    <n v="32.200000000000003"/>
    <n v="211.07"/>
    <n v="2025"/>
    <n v="9"/>
    <n v="2025"/>
    <n v="6"/>
    <s v="06"/>
    <x v="20"/>
    <x v="20"/>
    <n v="-13891.07"/>
    <x v="1"/>
    <n v="-13891.07"/>
  </r>
  <r>
    <x v="187"/>
    <s v="OPT-NIFTY-09-Sep-2025-24750-P-E-I"/>
    <s v="NSE"/>
    <s v="Buy"/>
    <n v="450"/>
    <n v="0"/>
    <n v="31.9"/>
    <n v="14355"/>
    <s v="#202509083700016156"/>
    <n v="0"/>
    <n v="5.0999999999999996"/>
    <n v="2"/>
    <n v="0.01"/>
    <n v="174"/>
    <n v="32.24"/>
    <n v="213.35"/>
    <n v="2025"/>
    <n v="9"/>
    <n v="2025"/>
    <n v="6"/>
    <s v="06"/>
    <x v="20"/>
    <x v="20"/>
    <n v="-14568.35"/>
    <x v="1"/>
    <n v="-14568.35"/>
  </r>
  <r>
    <x v="187"/>
    <s v="OPT-NIFTY-09-Sep-2025-24750-P-E-I"/>
    <s v="NSE"/>
    <s v="Buy"/>
    <n v="450"/>
    <n v="0"/>
    <n v="41.05"/>
    <n v="18472.5"/>
    <s v="#202509083700014695"/>
    <n v="0"/>
    <n v="6.56"/>
    <n v="0"/>
    <n v="0.02"/>
    <n v="174"/>
    <n v="32.5"/>
    <n v="213.08"/>
    <n v="2025"/>
    <n v="9"/>
    <n v="2025"/>
    <n v="6"/>
    <s v="06"/>
    <x v="20"/>
    <x v="20"/>
    <n v="-18685.580000000002"/>
    <x v="1"/>
    <n v="-18685.580000000002"/>
  </r>
  <r>
    <x v="187"/>
    <s v="OPT-NIFTY-09-Sep-2025-24750-P-E-I"/>
    <s v="NSE"/>
    <s v="Sell"/>
    <n v="900"/>
    <n v="0"/>
    <n v="37.950000000000003"/>
    <n v="34155"/>
    <s v="#202509083700011120"/>
    <n v="34.42"/>
    <n v="12.14"/>
    <n v="0"/>
    <n v="0.03"/>
    <n v="348"/>
    <n v="64.84"/>
    <n v="459.43"/>
    <n v="2025"/>
    <n v="9"/>
    <n v="2025"/>
    <n v="6"/>
    <s v="06"/>
    <x v="20"/>
    <x v="20"/>
    <n v="33695.57"/>
    <x v="444"/>
    <s v=""/>
  </r>
  <r>
    <x v="187"/>
    <s v="OPT-NIFTY-09-Sep-2025-24750-P-E-I"/>
    <s v="NSE"/>
    <s v="Buy"/>
    <n v="450"/>
    <n v="0"/>
    <n v="34.950000000000003"/>
    <n v="15727.5"/>
    <s v="#202509083700010728"/>
    <n v="0"/>
    <n v="5.58"/>
    <n v="0"/>
    <n v="0.02"/>
    <n v="174"/>
    <n v="32.32"/>
    <n v="211.92"/>
    <n v="2025"/>
    <n v="9"/>
    <n v="2025"/>
    <n v="6"/>
    <s v="06"/>
    <x v="20"/>
    <x v="20"/>
    <n v="-15939.42"/>
    <x v="1"/>
    <n v="-15939.42"/>
  </r>
  <r>
    <x v="187"/>
    <s v="OPT-NIFTY-09-Sep-2025-24750-P-E-I"/>
    <s v="NSE"/>
    <s v="Buy"/>
    <n v="450"/>
    <n v="0"/>
    <n v="38.65"/>
    <n v="17392.5"/>
    <s v="#202509083700010231"/>
    <n v="0"/>
    <n v="6.18"/>
    <n v="0"/>
    <n v="0.01"/>
    <n v="174"/>
    <n v="32.42"/>
    <n v="212.61"/>
    <n v="2025"/>
    <n v="9"/>
    <n v="2025"/>
    <n v="6"/>
    <s v="06"/>
    <x v="20"/>
    <x v="20"/>
    <n v="-17605.11"/>
    <x v="1"/>
    <n v="-17605.11"/>
  </r>
  <r>
    <x v="188"/>
    <s v="OPT-NIFTY-09-Sep-2025-24750-P-E-I"/>
    <s v="NSE"/>
    <s v="Sell"/>
    <n v="900"/>
    <n v="0"/>
    <n v="3.45"/>
    <n v="3105"/>
    <s v="#202509093700032000"/>
    <n v="3.11"/>
    <n v="1.1000000000000001"/>
    <n v="0"/>
    <n v="0"/>
    <n v="348"/>
    <n v="62.84"/>
    <n v="415.05"/>
    <n v="2025"/>
    <n v="9"/>
    <n v="2025"/>
    <n v="6"/>
    <s v="06"/>
    <x v="20"/>
    <x v="20"/>
    <n v="2689.95"/>
    <x v="445"/>
    <s v=""/>
  </r>
  <r>
    <x v="188"/>
    <s v="OPT-NIFTY-09-Sep-2025-24750-P-E-I"/>
    <s v="NSE"/>
    <s v="Sell"/>
    <n v="1500"/>
    <n v="0"/>
    <n v="3.65"/>
    <n v="5475"/>
    <s v="#202509093700031951"/>
    <n v="5.48"/>
    <n v="1.95"/>
    <n v="0"/>
    <n v="0.01"/>
    <n v="580"/>
    <n v="104.76"/>
    <n v="692.2"/>
    <n v="2025"/>
    <n v="9"/>
    <n v="2025"/>
    <n v="6"/>
    <s v="06"/>
    <x v="20"/>
    <x v="20"/>
    <n v="4782.8"/>
    <x v="446"/>
    <s v=""/>
  </r>
  <r>
    <x v="188"/>
    <s v="OPT-NIFTY-09-Sep-2025-24750-P-E-I"/>
    <s v="NSE"/>
    <s v="Sell"/>
    <n v="1500"/>
    <n v="0"/>
    <n v="3.3"/>
    <n v="4950"/>
    <s v="#202509093700031817"/>
    <n v="4.95"/>
    <n v="1.76"/>
    <n v="0"/>
    <n v="0"/>
    <n v="580"/>
    <n v="104.72"/>
    <n v="691.43"/>
    <n v="2025"/>
    <n v="9"/>
    <n v="2025"/>
    <n v="6"/>
    <s v="06"/>
    <x v="20"/>
    <x v="20"/>
    <n v="4258.57"/>
    <x v="447"/>
    <s v=""/>
  </r>
  <r>
    <x v="188"/>
    <s v="OPT-NIFTY-09-Sep-2025-24750-P-E-I"/>
    <s v="NSE"/>
    <s v="Sell"/>
    <n v="1500"/>
    <n v="0"/>
    <n v="3.4"/>
    <n v="5100"/>
    <s v="#202509093700031713"/>
    <n v="5.0999999999999996"/>
    <n v="1.81"/>
    <n v="0"/>
    <n v="0"/>
    <n v="580"/>
    <n v="104.74"/>
    <n v="691.65"/>
    <n v="2025"/>
    <n v="9"/>
    <n v="2025"/>
    <n v="6"/>
    <s v="06"/>
    <x v="20"/>
    <x v="20"/>
    <n v="4408.3500000000004"/>
    <x v="448"/>
    <s v=""/>
  </r>
  <r>
    <x v="188"/>
    <s v="OPT-NIFTY-09-Sep-2025-24750-P-E-I"/>
    <s v="NSE"/>
    <s v="Buy"/>
    <n v="1350"/>
    <n v="0"/>
    <n v="9.25"/>
    <n v="12487.5"/>
    <s v="#202509093700024548"/>
    <n v="0"/>
    <n v="4.4400000000000004"/>
    <n v="0"/>
    <n v="0.01"/>
    <n v="522"/>
    <n v="94.76"/>
    <n v="621.21"/>
    <n v="2025"/>
    <n v="9"/>
    <n v="2025"/>
    <n v="6"/>
    <s v="06"/>
    <x v="20"/>
    <x v="20"/>
    <n v="-13108.71"/>
    <x v="1"/>
    <n v="-13108.71"/>
  </r>
  <r>
    <x v="188"/>
    <s v="OPT-NIFTY-09-Sep-2025-24750-P-E-I"/>
    <s v="NSE"/>
    <s v="Buy"/>
    <n v="1350"/>
    <n v="0"/>
    <n v="10.7"/>
    <n v="14445"/>
    <s v="#202509093700022732"/>
    <n v="0"/>
    <n v="5.14"/>
    <n v="0"/>
    <n v="0.01"/>
    <n v="522"/>
    <n v="94.88"/>
    <n v="622.03"/>
    <n v="2025"/>
    <n v="9"/>
    <n v="2025"/>
    <n v="6"/>
    <s v="06"/>
    <x v="20"/>
    <x v="20"/>
    <n v="-15067.03"/>
    <x v="1"/>
    <n v="-15067.03"/>
  </r>
  <r>
    <x v="188"/>
    <s v="OPT-NIFTY-09-Sep-2025-24750-P-E-I"/>
    <s v="NSE"/>
    <s v="Buy"/>
    <n v="1350"/>
    <n v="0"/>
    <n v="14.25"/>
    <n v="19237.5"/>
    <s v="#202509093700021839"/>
    <n v="0"/>
    <n v="6.84"/>
    <n v="2.2200000000000002"/>
    <n v="0.02"/>
    <n v="522"/>
    <n v="95.2"/>
    <n v="626.28"/>
    <n v="2025"/>
    <n v="9"/>
    <n v="2025"/>
    <n v="6"/>
    <s v="06"/>
    <x v="20"/>
    <x v="20"/>
    <n v="-19863.78"/>
    <x v="1"/>
    <n v="-19863.78"/>
  </r>
  <r>
    <x v="188"/>
    <s v="OPT-NIFTY-09-Sep-2025-24750-P-E-I"/>
    <s v="NSE"/>
    <s v="Buy"/>
    <n v="1350"/>
    <n v="0"/>
    <n v="16.3"/>
    <n v="22005"/>
    <s v="#202509093700021666"/>
    <n v="0"/>
    <n v="7.81"/>
    <n v="0"/>
    <n v="0.02"/>
    <n v="522"/>
    <n v="95.36"/>
    <n v="625.19000000000005"/>
    <n v="2025"/>
    <n v="9"/>
    <n v="2025"/>
    <n v="6"/>
    <s v="06"/>
    <x v="20"/>
    <x v="20"/>
    <n v="-22630.19"/>
    <x v="1"/>
    <n v="-22630.19"/>
  </r>
  <r>
    <x v="188"/>
    <s v="OPT-NIFTY-09-Sep-2025-24850-P-E-I"/>
    <s v="NSE"/>
    <s v="Sell"/>
    <n v="450"/>
    <n v="0"/>
    <n v="57.95"/>
    <n v="26077.5"/>
    <s v="#202509093700011440"/>
    <n v="26.09"/>
    <n v="9.26"/>
    <n v="0"/>
    <n v="0.02"/>
    <n v="174"/>
    <n v="33"/>
    <n v="242.37"/>
    <n v="2025"/>
    <n v="9"/>
    <n v="2025"/>
    <n v="6"/>
    <s v="06"/>
    <x v="20"/>
    <x v="20"/>
    <n v="25835.13"/>
    <x v="449"/>
    <s v=""/>
  </r>
  <r>
    <x v="188"/>
    <s v="OPT-NIFTY-09-Sep-2025-24850-P-E-I"/>
    <s v="NSE"/>
    <s v="Buy"/>
    <n v="450"/>
    <n v="0"/>
    <n v="53.25"/>
    <n v="23962.5"/>
    <s v="#202509093700011365"/>
    <n v="0"/>
    <n v="8.51"/>
    <n v="0.72"/>
    <n v="0.02"/>
    <n v="174"/>
    <n v="32.86"/>
    <n v="216.11"/>
    <n v="2025"/>
    <n v="9"/>
    <n v="2025"/>
    <n v="6"/>
    <s v="06"/>
    <x v="20"/>
    <x v="20"/>
    <n v="-24178.61"/>
    <x v="1"/>
    <n v="-24178.61"/>
  </r>
  <r>
    <x v="188"/>
    <s v="OPT-NIFTY-09-Sep-2025-24850-C-E-I"/>
    <s v="NSE"/>
    <s v="Sell"/>
    <n v="750"/>
    <n v="0"/>
    <n v="52.95"/>
    <n v="39712.5"/>
    <s v="#202509093700006739"/>
    <n v="39.28"/>
    <n v="14.1"/>
    <n v="0"/>
    <n v="0.02"/>
    <n v="290"/>
    <n v="54.76"/>
    <n v="398.16"/>
    <n v="2025"/>
    <n v="9"/>
    <n v="2025"/>
    <n v="6"/>
    <s v="06"/>
    <x v="20"/>
    <x v="20"/>
    <n v="39314.339999999997"/>
    <x v="450"/>
    <s v=""/>
  </r>
  <r>
    <x v="188"/>
    <s v="OPT-NIFTY-09-Sep-2025-24850-C-E-I"/>
    <s v="NSE"/>
    <s v="Buy"/>
    <n v="750"/>
    <n v="0"/>
    <n v="47.05"/>
    <n v="35287.5"/>
    <s v="#202509093700005552"/>
    <n v="0"/>
    <n v="12.54"/>
    <n v="1.06"/>
    <n v="0.04"/>
    <n v="290"/>
    <n v="54.48"/>
    <n v="358.12"/>
    <n v="2025"/>
    <n v="9"/>
    <n v="2025"/>
    <n v="6"/>
    <s v="06"/>
    <x v="20"/>
    <x v="20"/>
    <n v="-35645.620000000003"/>
    <x v="1"/>
    <n v="-35645.620000000003"/>
  </r>
  <r>
    <x v="189"/>
    <s v="OPT-NIFTY-16-Sep-2025-24950-P-E-I"/>
    <s v="NSE"/>
    <s v="Sell"/>
    <n v="225"/>
    <n v="0"/>
    <n v="87.8"/>
    <n v="19755"/>
    <s v="#202509103700014903"/>
    <n v="19.760000000000002"/>
    <n v="7.02"/>
    <n v="0"/>
    <n v="0.02"/>
    <n v="87"/>
    <n v="16.920000000000002"/>
    <n v="130.72"/>
    <n v="2025"/>
    <n v="9"/>
    <n v="2025"/>
    <n v="6"/>
    <s v="06"/>
    <x v="20"/>
    <x v="20"/>
    <n v="19624.28"/>
    <x v="451"/>
    <s v=""/>
  </r>
  <r>
    <x v="189"/>
    <s v="OPT-NIFTY-16-Sep-2025-24950-P-E-I"/>
    <s v="NSE"/>
    <s v="Buy"/>
    <n v="225"/>
    <n v="0"/>
    <n v="90.8"/>
    <n v="20430"/>
    <s v="#202509103700014737"/>
    <n v="0"/>
    <n v="7.26"/>
    <n v="0.61"/>
    <n v="0.02"/>
    <n v="87"/>
    <n v="16.98"/>
    <n v="111.87"/>
    <n v="2025"/>
    <n v="9"/>
    <n v="2025"/>
    <n v="6"/>
    <s v="06"/>
    <x v="20"/>
    <x v="20"/>
    <n v="-20541.87"/>
    <x v="1"/>
    <n v="-20541.87"/>
  </r>
  <r>
    <x v="189"/>
    <s v="OPT-NIFTY-16-Sep-2025-25000-C-E-I"/>
    <s v="NSE"/>
    <s v="Sell"/>
    <n v="150"/>
    <n v="0"/>
    <n v="119"/>
    <n v="17850"/>
    <s v="#202509103700013709"/>
    <n v="17.850000000000001"/>
    <n v="6.34"/>
    <n v="0"/>
    <n v="0.02"/>
    <n v="58"/>
    <n v="11.58"/>
    <n v="93.79"/>
    <n v="2025"/>
    <n v="9"/>
    <n v="2025"/>
    <n v="6"/>
    <s v="06"/>
    <x v="20"/>
    <x v="20"/>
    <n v="17756.21"/>
    <x v="452"/>
    <s v=""/>
  </r>
  <r>
    <x v="189"/>
    <s v="OPT-NIFTY-16-Sep-2025-25000-C-E-I"/>
    <s v="NSE"/>
    <s v="Buy"/>
    <n v="150"/>
    <n v="0"/>
    <n v="121.9"/>
    <n v="18285"/>
    <s v="#202509103700013511"/>
    <n v="0"/>
    <n v="6.5"/>
    <n v="1.39"/>
    <n v="0.02"/>
    <n v="58"/>
    <n v="11.62"/>
    <n v="77.53"/>
    <n v="2025"/>
    <n v="9"/>
    <n v="2025"/>
    <n v="6"/>
    <s v="06"/>
    <x v="20"/>
    <x v="20"/>
    <n v="-18362.53"/>
    <x v="1"/>
    <n v="-18362.53"/>
  </r>
  <r>
    <x v="189"/>
    <s v="OPT-NIFTY-16-Sep-2025-25000-C-E-I"/>
    <s v="NSE"/>
    <s v="Sell"/>
    <n v="150"/>
    <n v="0"/>
    <n v="118.7"/>
    <n v="17805"/>
    <s v="#202509103700013364"/>
    <n v="17.399999999999999"/>
    <n v="6.33"/>
    <n v="0"/>
    <n v="0.02"/>
    <n v="58"/>
    <n v="11.58"/>
    <n v="93.33"/>
    <n v="2025"/>
    <n v="9"/>
    <n v="2025"/>
    <n v="6"/>
    <s v="06"/>
    <x v="20"/>
    <x v="20"/>
    <n v="17711.669999999998"/>
    <x v="453"/>
    <s v=""/>
  </r>
  <r>
    <x v="189"/>
    <s v="OPT-NIFTY-16-Sep-2025-25000-C-E-I"/>
    <s v="NSE"/>
    <s v="Buy"/>
    <n v="75"/>
    <n v="0"/>
    <n v="125.05"/>
    <n v="9378.75"/>
    <s v="#202509103700012986"/>
    <n v="0"/>
    <n v="3.33"/>
    <n v="0"/>
    <n v="0.01"/>
    <n v="29"/>
    <n v="5.82"/>
    <n v="38.159999999999997"/>
    <n v="2025"/>
    <n v="9"/>
    <n v="2025"/>
    <n v="6"/>
    <s v="06"/>
    <x v="20"/>
    <x v="20"/>
    <n v="-9416.91"/>
    <x v="1"/>
    <n v="-9416.91"/>
  </r>
  <r>
    <x v="189"/>
    <s v="OPT-NIFTY-16-Sep-2025-25000-C-E-I"/>
    <s v="NSE"/>
    <s v="Buy"/>
    <n v="75"/>
    <n v="0"/>
    <n v="128.5"/>
    <n v="9637.5"/>
    <s v="#202509103700012844"/>
    <n v="0"/>
    <n v="3.42"/>
    <n v="0"/>
    <n v="0.01"/>
    <n v="29"/>
    <n v="5.84"/>
    <n v="38.270000000000003"/>
    <n v="2025"/>
    <n v="9"/>
    <n v="2025"/>
    <n v="6"/>
    <s v="06"/>
    <x v="20"/>
    <x v="20"/>
    <n v="-9675.77"/>
    <x v="1"/>
    <n v="-9675.77"/>
  </r>
  <r>
    <x v="190"/>
    <s v="OPT-NIFTY-04-Nov-2025-25750-P-E-I"/>
    <s v="NSE"/>
    <s v="Sell"/>
    <n v="450"/>
    <n v="0"/>
    <n v="78.900000000000006"/>
    <n v="35505"/>
    <s v="#202511043700006125"/>
    <n v="36"/>
    <n v="12.61"/>
    <n v="0"/>
    <n v="0.04"/>
    <n v="174"/>
    <n v="33.6"/>
    <n v="256.25"/>
    <n v="2025"/>
    <n v="11"/>
    <n v="2025"/>
    <n v="8"/>
    <s v="08"/>
    <x v="21"/>
    <x v="21"/>
    <n v="35248.75"/>
    <x v="454"/>
    <s v=""/>
  </r>
  <r>
    <x v="190"/>
    <s v="OPT-NIFTY-04-Nov-2025-25750-P-E-I"/>
    <s v="NSE"/>
    <s v="Buy"/>
    <n v="450"/>
    <n v="0"/>
    <n v="71.25"/>
    <n v="32062.5"/>
    <s v="#202511043700005997"/>
    <n v="0"/>
    <n v="11.4"/>
    <n v="1"/>
    <n v="0.04"/>
    <n v="174"/>
    <n v="33.36"/>
    <n v="219.8"/>
    <n v="2025"/>
    <n v="11"/>
    <n v="2025"/>
    <n v="8"/>
    <s v="08"/>
    <x v="21"/>
    <x v="21"/>
    <n v="-32282.3"/>
    <x v="1"/>
    <n v="-32282.3"/>
  </r>
  <r>
    <x v="191"/>
    <s v="OPT-NIFTY-11-Nov-2025-25600-C-E-I"/>
    <s v="NSE"/>
    <s v="Sell"/>
    <n v="75"/>
    <n v="0"/>
    <n v="84.85"/>
    <n v="6363.75"/>
    <s v="#202511103700016322"/>
    <n v="6.36"/>
    <n v="2.2599999999999998"/>
    <n v="0"/>
    <n v="0.01"/>
    <n v="29"/>
    <n v="5.62"/>
    <n v="43.25"/>
    <n v="2025"/>
    <n v="11"/>
    <n v="2025"/>
    <n v="8"/>
    <s v="08"/>
    <x v="21"/>
    <x v="21"/>
    <n v="6320.5"/>
    <x v="455"/>
    <s v=""/>
  </r>
  <r>
    <x v="191"/>
    <s v="OPT-NIFTY-11-Nov-2025-25600-C-E-I"/>
    <s v="NSE"/>
    <s v="Buy"/>
    <n v="75"/>
    <n v="0"/>
    <n v="80.55"/>
    <n v="6041.25"/>
    <s v="#202511103700015958"/>
    <n v="0"/>
    <n v="2.15"/>
    <n v="0"/>
    <n v="0.01"/>
    <n v="29"/>
    <n v="5.6"/>
    <n v="36.76"/>
    <n v="2025"/>
    <n v="11"/>
    <n v="2025"/>
    <n v="8"/>
    <s v="08"/>
    <x v="21"/>
    <x v="21"/>
    <n v="-6078.01"/>
    <x v="1"/>
    <n v="-6078.01"/>
  </r>
  <r>
    <x v="191"/>
    <s v="OPT-NIFTY-11-Nov-2025-25650-P-E-I"/>
    <s v="NSE"/>
    <s v="Sell"/>
    <n v="75"/>
    <n v="0"/>
    <n v="64.25"/>
    <n v="4818.75"/>
    <s v="#202511103700012959"/>
    <n v="4.6399999999999997"/>
    <n v="1.71"/>
    <n v="0"/>
    <n v="0"/>
    <n v="29"/>
    <n v="5.52"/>
    <n v="40.869999999999997"/>
    <n v="2025"/>
    <n v="11"/>
    <n v="2025"/>
    <n v="8"/>
    <s v="08"/>
    <x v="21"/>
    <x v="21"/>
    <n v="4777.88"/>
    <x v="456"/>
    <s v=""/>
  </r>
  <r>
    <x v="191"/>
    <s v="OPT-NIFTY-11-Nov-2025-25650-P-E-I"/>
    <s v="NSE"/>
    <s v="Buy"/>
    <n v="75"/>
    <n v="0"/>
    <n v="68.3"/>
    <n v="5122.5"/>
    <s v="#202511103700012854"/>
    <n v="0"/>
    <n v="1.82"/>
    <n v="0"/>
    <n v="0.01"/>
    <n v="29"/>
    <n v="5.54"/>
    <n v="36.369999999999997"/>
    <n v="2025"/>
    <n v="11"/>
    <n v="2025"/>
    <n v="8"/>
    <s v="08"/>
    <x v="21"/>
    <x v="21"/>
    <n v="-5158.87"/>
    <x v="1"/>
    <n v="-5158.87"/>
  </r>
  <r>
    <x v="192"/>
    <s v="OPT-NIFTY-18-Nov-2025-25850-P-E-I"/>
    <s v="NSE"/>
    <s v="Buy"/>
    <n v="75"/>
    <n v="0"/>
    <n v="97.35"/>
    <n v="7301.25"/>
    <s v="#202511123700013669"/>
    <n v="0"/>
    <n v="2.59"/>
    <n v="0"/>
    <n v="0.01"/>
    <n v="29"/>
    <n v="5.68"/>
    <n v="37.28"/>
    <n v="2025"/>
    <n v="11"/>
    <n v="2025"/>
    <n v="8"/>
    <s v="08"/>
    <x v="21"/>
    <x v="21"/>
    <n v="-7338.53"/>
    <x v="1"/>
    <n v="-7338.53"/>
  </r>
  <r>
    <x v="192"/>
    <s v="OPT-NIFTY-18-Nov-2025-25950-C-E-I"/>
    <s v="NSE"/>
    <s v="Sell"/>
    <n v="75"/>
    <n v="0"/>
    <n v="102.1"/>
    <n v="7657.5"/>
    <s v="#202511123700009214"/>
    <n v="8"/>
    <n v="2.72"/>
    <n v="0"/>
    <n v="0.01"/>
    <n v="29"/>
    <n v="5.72"/>
    <n v="45.45"/>
    <n v="2025"/>
    <n v="11"/>
    <n v="2025"/>
    <n v="8"/>
    <s v="08"/>
    <x v="21"/>
    <x v="21"/>
    <n v="7612.05"/>
    <x v="457"/>
    <s v=""/>
  </r>
  <r>
    <x v="192"/>
    <s v="OPT-NIFTY-18-Nov-2025-25950-C-E-I"/>
    <s v="NSE"/>
    <s v="Buy"/>
    <n v="75"/>
    <n v="0"/>
    <n v="113.35"/>
    <n v="8501.25"/>
    <s v="#202511123700007622"/>
    <n v="0"/>
    <n v="3.02"/>
    <n v="0"/>
    <n v="0.01"/>
    <n v="29"/>
    <n v="5.76"/>
    <n v="37.79"/>
    <n v="2025"/>
    <n v="11"/>
    <n v="2025"/>
    <n v="8"/>
    <s v="08"/>
    <x v="21"/>
    <x v="21"/>
    <n v="-8539.0400000000009"/>
    <x v="1"/>
    <n v="-8539.0400000000009"/>
  </r>
  <r>
    <x v="193"/>
    <s v="OPT-NIFTY-18-Nov-2025-25850-P-E-I"/>
    <s v="NSE"/>
    <s v="Sell"/>
    <n v="75"/>
    <n v="0"/>
    <n v="119"/>
    <n v="8925"/>
    <s v="#202511132600000650"/>
    <n v="9"/>
    <n v="3.17"/>
    <n v="0"/>
    <n v="0.01"/>
    <n v="29"/>
    <n v="5.8"/>
    <n v="46.98"/>
    <n v="2025"/>
    <n v="11"/>
    <n v="2025"/>
    <n v="8"/>
    <s v="08"/>
    <x v="21"/>
    <x v="21"/>
    <n v="8878.02"/>
    <x v="458"/>
    <s v=""/>
  </r>
  <r>
    <x v="194"/>
    <s v="OPT-NIFTY-18-Nov-2025-25750-P-E-I"/>
    <s v="NSE"/>
    <s v="Sell"/>
    <n v="150"/>
    <n v="0"/>
    <n v="74.900000000000006"/>
    <n v="11235"/>
    <s v="#202511143700019554"/>
    <n v="11"/>
    <n v="4"/>
    <n v="0"/>
    <n v="0.02"/>
    <n v="58"/>
    <n v="11.16"/>
    <n v="84.18"/>
    <n v="2025"/>
    <n v="11"/>
    <n v="2025"/>
    <n v="8"/>
    <s v="08"/>
    <x v="21"/>
    <x v="21"/>
    <n v="11150.82"/>
    <x v="459"/>
    <s v=""/>
  </r>
  <r>
    <x v="194"/>
    <s v="OPT-NIFTY-18-Nov-2025-25750-P-E-I"/>
    <s v="NSE"/>
    <s v="Buy"/>
    <n v="75"/>
    <n v="0"/>
    <n v="62.95"/>
    <n v="4721.25"/>
    <s v="#202511143700018575"/>
    <n v="0"/>
    <n v="1.68"/>
    <n v="0"/>
    <n v="0"/>
    <n v="29"/>
    <n v="5.52"/>
    <n v="36.200000000000003"/>
    <n v="2025"/>
    <n v="11"/>
    <n v="2025"/>
    <n v="8"/>
    <s v="08"/>
    <x v="21"/>
    <x v="21"/>
    <n v="-4757.45"/>
    <x v="1"/>
    <n v="-4757.45"/>
  </r>
  <r>
    <x v="194"/>
    <s v="OPT-NIFTY-18-Nov-2025-25750-P-E-I"/>
    <s v="NSE"/>
    <s v="Buy"/>
    <n v="75"/>
    <n v="0"/>
    <n v="76.349999999999994"/>
    <n v="5726.25"/>
    <s v="#202511143700018296"/>
    <n v="0"/>
    <n v="2.0299999999999998"/>
    <n v="0"/>
    <n v="0.01"/>
    <n v="29"/>
    <n v="5.58"/>
    <n v="36.619999999999997"/>
    <n v="2025"/>
    <n v="11"/>
    <n v="2025"/>
    <n v="8"/>
    <s v="08"/>
    <x v="21"/>
    <x v="21"/>
    <n v="-5762.87"/>
    <x v="1"/>
    <n v="-5762.87"/>
  </r>
  <r>
    <x v="195"/>
    <s v="OPT-NIFTY-18-Nov-2025-26000-P-E-I"/>
    <s v="NSE"/>
    <s v="Sell"/>
    <n v="75"/>
    <n v="0"/>
    <n v="97.25"/>
    <n v="7293.75"/>
    <s v="#202511173700005651"/>
    <n v="7"/>
    <n v="2.59"/>
    <n v="0"/>
    <n v="0.01"/>
    <n v="29"/>
    <n v="5.68"/>
    <n v="44.28"/>
    <n v="2025"/>
    <n v="11"/>
    <n v="2025"/>
    <n v="8"/>
    <s v="08"/>
    <x v="21"/>
    <x v="21"/>
    <n v="7249.47"/>
    <x v="460"/>
    <s v=""/>
  </r>
  <r>
    <x v="195"/>
    <s v="OPT-NIFTY-18-Nov-2025-26000-P-E-I"/>
    <s v="NSE"/>
    <s v="Buy"/>
    <n v="75"/>
    <n v="0"/>
    <n v="87.1"/>
    <n v="6532.5"/>
    <s v="#202511173700004824"/>
    <n v="0"/>
    <n v="2.3199999999999998"/>
    <n v="0"/>
    <n v="0.01"/>
    <n v="29"/>
    <n v="5.64"/>
    <n v="36.97"/>
    <n v="2025"/>
    <n v="11"/>
    <n v="2025"/>
    <n v="8"/>
    <s v="08"/>
    <x v="21"/>
    <x v="21"/>
    <n v="-6569.47"/>
    <x v="1"/>
    <n v="-6569.47"/>
  </r>
  <r>
    <x v="196"/>
    <s v="OPT-NIFTY-18-Nov-2025-26000-P-E-I"/>
    <s v="NSE"/>
    <s v="Sell"/>
    <n v="300"/>
    <n v="0"/>
    <n v="28.85"/>
    <n v="8655"/>
    <s v="#202511183700027198"/>
    <n v="8.66"/>
    <n v="3.08"/>
    <n v="0"/>
    <n v="0"/>
    <n v="116"/>
    <n v="21.44"/>
    <n v="149.18"/>
    <n v="2025"/>
    <n v="11"/>
    <n v="2025"/>
    <n v="8"/>
    <s v="08"/>
    <x v="21"/>
    <x v="21"/>
    <n v="8505.82"/>
    <x v="461"/>
    <s v=""/>
  </r>
  <r>
    <x v="196"/>
    <s v="OPT-NIFTY-18-Nov-2025-26000-P-E-I"/>
    <s v="NSE"/>
    <s v="Sell"/>
    <n v="75"/>
    <n v="0"/>
    <n v="45.25"/>
    <n v="3393.75"/>
    <s v="#202511183700026903"/>
    <n v="3.39"/>
    <n v="1.21"/>
    <n v="0"/>
    <n v="0"/>
    <n v="29"/>
    <n v="5.44"/>
    <n v="39.04"/>
    <n v="2025"/>
    <n v="11"/>
    <n v="2025"/>
    <n v="8"/>
    <s v="08"/>
    <x v="21"/>
    <x v="21"/>
    <n v="3354.71"/>
    <x v="462"/>
    <s v=""/>
  </r>
  <r>
    <x v="196"/>
    <s v="OPT-NIFTY-18-Nov-2025-26000-P-E-I"/>
    <s v="NSE"/>
    <s v="Buy"/>
    <n v="75"/>
    <n v="0"/>
    <n v="76.650000000000006"/>
    <n v="5748.75"/>
    <s v="#202511183700022527"/>
    <n v="0"/>
    <n v="2.04"/>
    <n v="0"/>
    <n v="0.01"/>
    <n v="29"/>
    <n v="5.58"/>
    <n v="36.630000000000003"/>
    <n v="2025"/>
    <n v="11"/>
    <n v="2025"/>
    <n v="8"/>
    <s v="08"/>
    <x v="21"/>
    <x v="21"/>
    <n v="-5785.38"/>
    <x v="1"/>
    <n v="-5785.38"/>
  </r>
  <r>
    <x v="196"/>
    <s v="OPT-NIFTY-18-Nov-2025-26000-P-E-I"/>
    <s v="NSE"/>
    <s v="Buy"/>
    <n v="300"/>
    <n v="0"/>
    <n v="79.7"/>
    <n v="23910"/>
    <s v="#202511183700022281"/>
    <n v="0"/>
    <n v="8.49"/>
    <n v="0"/>
    <n v="0.03"/>
    <n v="116"/>
    <n v="22.4"/>
    <n v="146.91999999999999"/>
    <n v="2025"/>
    <n v="11"/>
    <n v="2025"/>
    <n v="8"/>
    <s v="08"/>
    <x v="21"/>
    <x v="21"/>
    <n v="-24056.92"/>
    <x v="1"/>
    <n v="-24056.92"/>
  </r>
  <r>
    <x v="196"/>
    <s v="OPT-NIFTY-18-Nov-2025-26000-P-E-I"/>
    <s v="NSE"/>
    <s v="Sell"/>
    <n v="375"/>
    <n v="0"/>
    <n v="59.9"/>
    <n v="22462.5"/>
    <s v="#202511183700019883"/>
    <n v="22.46"/>
    <n v="7.99"/>
    <n v="0"/>
    <n v="0.01"/>
    <n v="145"/>
    <n v="27.52"/>
    <n v="202.98"/>
    <n v="2025"/>
    <n v="11"/>
    <n v="2025"/>
    <n v="8"/>
    <s v="08"/>
    <x v="21"/>
    <x v="21"/>
    <n v="22259.52"/>
    <x v="463"/>
    <s v=""/>
  </r>
  <r>
    <x v="196"/>
    <s v="OPT-NIFTY-18-Nov-2025-26000-P-E-I"/>
    <s v="NSE"/>
    <s v="Buy"/>
    <n v="375"/>
    <n v="0"/>
    <n v="52.25"/>
    <n v="19593.75"/>
    <s v="#202511183700019807"/>
    <n v="0"/>
    <n v="6.96"/>
    <n v="1.0900000000000001"/>
    <n v="0.01"/>
    <n v="145"/>
    <n v="27.38"/>
    <n v="180.44"/>
    <n v="2025"/>
    <n v="11"/>
    <n v="2025"/>
    <n v="8"/>
    <s v="08"/>
    <x v="21"/>
    <x v="21"/>
    <n v="-19774.189999999999"/>
    <x v="1"/>
    <n v="-19774.189999999999"/>
  </r>
  <r>
    <x v="196"/>
    <s v="OPT-NIFTY-18-Nov-2025-26000-C-E-I"/>
    <s v="NSE"/>
    <s v="Sell"/>
    <n v="750"/>
    <n v="0"/>
    <n v="30.1"/>
    <n v="22575"/>
    <s v="#202511183700018572"/>
    <n v="22.49"/>
    <n v="8.02"/>
    <n v="0"/>
    <n v="0.02"/>
    <n v="290"/>
    <n v="53.64"/>
    <n v="374.17"/>
    <n v="2025"/>
    <n v="11"/>
    <n v="2025"/>
    <n v="8"/>
    <s v="08"/>
    <x v="21"/>
    <x v="21"/>
    <n v="22200.83"/>
    <x v="464"/>
    <s v=""/>
  </r>
  <r>
    <x v="196"/>
    <s v="OPT-NIFTY-18-Nov-2025-26000-C-E-I"/>
    <s v="NSE"/>
    <s v="Buy"/>
    <n v="75"/>
    <n v="0"/>
    <n v="37.9"/>
    <n v="2842.5"/>
    <s v="#202511183700004571"/>
    <n v="0"/>
    <n v="1.01"/>
    <n v="0"/>
    <n v="0"/>
    <n v="29"/>
    <n v="5.4"/>
    <n v="35.409999999999997"/>
    <n v="2025"/>
    <n v="11"/>
    <n v="2025"/>
    <n v="8"/>
    <s v="08"/>
    <x v="21"/>
    <x v="21"/>
    <n v="-2877.91"/>
    <x v="1"/>
    <n v="-2877.91"/>
  </r>
  <r>
    <x v="196"/>
    <s v="OPT-NIFTY-18-Nov-2025-26000-C-E-I"/>
    <s v="NSE"/>
    <s v="Buy"/>
    <n v="225"/>
    <n v="0"/>
    <n v="39.6"/>
    <n v="8910"/>
    <s v="#202511183700004021"/>
    <n v="0"/>
    <n v="3.17"/>
    <n v="0"/>
    <n v="0.01"/>
    <n v="87"/>
    <n v="16.239999999999998"/>
    <n v="106.42"/>
    <n v="2025"/>
    <n v="11"/>
    <n v="2025"/>
    <n v="8"/>
    <s v="08"/>
    <x v="21"/>
    <x v="21"/>
    <n v="-9016.42"/>
    <x v="1"/>
    <n v="-9016.42"/>
  </r>
  <r>
    <x v="196"/>
    <s v="OPT-NIFTY-18-Nov-2025-26000-C-E-I"/>
    <s v="NSE"/>
    <s v="Buy"/>
    <n v="450"/>
    <n v="0"/>
    <n v="40.98"/>
    <n v="18438.75"/>
    <s v="#202511183700003404"/>
    <n v="0"/>
    <n v="6.55"/>
    <n v="0.91"/>
    <n v="0.02"/>
    <n v="174"/>
    <n v="32.520000000000003"/>
    <n v="214"/>
    <n v="2025"/>
    <n v="11"/>
    <n v="2025"/>
    <n v="8"/>
    <s v="08"/>
    <x v="21"/>
    <x v="21"/>
    <n v="-18652.75"/>
    <x v="1"/>
    <n v="-18652.75"/>
  </r>
  <r>
    <x v="197"/>
    <s v="OPT-NIFTY-25-Nov-2025-26100-P-E-I"/>
    <s v="NSE"/>
    <s v="Buy"/>
    <n v="75"/>
    <n v="0"/>
    <n v="103.15"/>
    <n v="7736.25"/>
    <s v="#202511203700008974"/>
    <n v="0"/>
    <n v="2.75"/>
    <n v="0"/>
    <n v="0.01"/>
    <n v="29"/>
    <n v="5.72"/>
    <n v="37.479999999999997"/>
    <n v="2025"/>
    <n v="11"/>
    <n v="2025"/>
    <n v="8"/>
    <s v="08"/>
    <x v="21"/>
    <x v="21"/>
    <n v="-7773.73"/>
    <x v="1"/>
    <n v="-7773.73"/>
  </r>
  <r>
    <x v="198"/>
    <s v="OPT-NIFTY-25-Nov-2025-26100-P-E-I"/>
    <s v="NSE"/>
    <s v="Sell"/>
    <n v="75"/>
    <n v="0"/>
    <n v="119.9"/>
    <n v="8992.5"/>
    <s v="#202511213700007438"/>
    <n v="9"/>
    <n v="3.2"/>
    <n v="0"/>
    <n v="0.01"/>
    <n v="29"/>
    <n v="5.8"/>
    <n v="47.01"/>
    <n v="2025"/>
    <n v="11"/>
    <n v="2025"/>
    <n v="8"/>
    <s v="08"/>
    <x v="21"/>
    <x v="21"/>
    <n v="8945.49"/>
    <x v="465"/>
    <s v=""/>
  </r>
  <r>
    <x v="199"/>
    <s v="OPT-NIFTY-25-Nov-2025-26100-P-E-I"/>
    <s v="NSE"/>
    <s v="Sell"/>
    <n v="75"/>
    <n v="0"/>
    <n v="74.75"/>
    <n v="5606.25"/>
    <s v="#202511243700017022"/>
    <n v="6"/>
    <n v="1.99"/>
    <n v="0"/>
    <n v="0.01"/>
    <n v="29"/>
    <n v="5.58"/>
    <n v="42.58"/>
    <n v="2025"/>
    <n v="11"/>
    <n v="2025"/>
    <n v="8"/>
    <s v="08"/>
    <x v="21"/>
    <x v="21"/>
    <n v="5563.67"/>
    <x v="466"/>
    <s v=""/>
  </r>
  <r>
    <x v="199"/>
    <s v="OPT-NIFTY-25-Nov-2025-26100-P-E-I"/>
    <s v="NSE"/>
    <s v="Buy"/>
    <n v="75"/>
    <n v="0"/>
    <n v="71.75"/>
    <n v="5381.25"/>
    <s v="#202511243700016998"/>
    <n v="0"/>
    <n v="1.91"/>
    <n v="0"/>
    <n v="0.01"/>
    <n v="29"/>
    <n v="5.56"/>
    <n v="36.479999999999997"/>
    <n v="2025"/>
    <n v="11"/>
    <n v="2025"/>
    <n v="8"/>
    <s v="08"/>
    <x v="21"/>
    <x v="21"/>
    <n v="-5417.73"/>
    <x v="1"/>
    <n v="-5417.73"/>
  </r>
  <r>
    <x v="200"/>
    <s v="OPT-NIFTY-25-Nov-2025-25950-P-E-I"/>
    <s v="NSE"/>
    <s v="Sell"/>
    <n v="450"/>
    <n v="0"/>
    <n v="19.75"/>
    <n v="8887.5"/>
    <s v="#202511253700029325"/>
    <n v="9"/>
    <n v="3.16"/>
    <n v="0"/>
    <n v="0.01"/>
    <n v="174"/>
    <n v="31.9"/>
    <n v="218.07"/>
    <n v="2025"/>
    <n v="11"/>
    <n v="2025"/>
    <n v="8"/>
    <s v="08"/>
    <x v="21"/>
    <x v="21"/>
    <n v="8669.43"/>
    <x v="467"/>
    <s v=""/>
  </r>
  <r>
    <x v="200"/>
    <s v="OPT-NIFTY-25-Nov-2025-25950-P-E-I"/>
    <s v="NSE"/>
    <s v="Buy"/>
    <n v="450"/>
    <n v="0"/>
    <n v="14.75"/>
    <n v="6637.5"/>
    <s v="#202511253700025830"/>
    <n v="0"/>
    <n v="2.36"/>
    <n v="0"/>
    <n v="0"/>
    <n v="174"/>
    <n v="31.76"/>
    <n v="208.12"/>
    <n v="2025"/>
    <n v="11"/>
    <n v="2025"/>
    <n v="8"/>
    <s v="08"/>
    <x v="21"/>
    <x v="21"/>
    <n v="-6845.62"/>
    <x v="1"/>
    <n v="-6845.62"/>
  </r>
  <r>
    <x v="201"/>
    <s v="OPT-NIFTY-02-Dec-2025-26250-P-E-I"/>
    <s v="NSE"/>
    <s v="Buy"/>
    <n v="75"/>
    <n v="0"/>
    <n v="109"/>
    <n v="8175"/>
    <s v="#202511273700012267"/>
    <n v="0"/>
    <n v="2.9"/>
    <n v="0"/>
    <n v="0.01"/>
    <n v="29"/>
    <n v="5.74"/>
    <n v="37.65"/>
    <n v="2025"/>
    <n v="11"/>
    <n v="2025"/>
    <n v="8"/>
    <s v="08"/>
    <x v="21"/>
    <x v="21"/>
    <n v="-8212.65"/>
    <x v="1"/>
    <n v="-8212.65"/>
  </r>
  <r>
    <x v="202"/>
    <s v="OPT-NIFTY-02-Dec-2025-26100-P-E-I"/>
    <s v="NSE"/>
    <s v="Buy"/>
    <n v="375"/>
    <n v="0"/>
    <n v="44.1"/>
    <n v="16537.5"/>
    <s v="#202511283700015905"/>
    <n v="0"/>
    <n v="5.88"/>
    <n v="0.76"/>
    <n v="0.02"/>
    <n v="145"/>
    <n v="27.16"/>
    <n v="178.82"/>
    <n v="2025"/>
    <n v="11"/>
    <n v="2025"/>
    <n v="8"/>
    <s v="08"/>
    <x v="21"/>
    <x v="21"/>
    <n v="-16716.32"/>
    <x v="1"/>
    <n v="-16716.32"/>
  </r>
  <r>
    <x v="202"/>
    <s v="OPT-NIFTY-02-Dec-2025-26100-P-E-I"/>
    <s v="NSE"/>
    <s v="Buy"/>
    <n v="75"/>
    <n v="0"/>
    <n v="44.1"/>
    <n v="3307.5"/>
    <s v="#202511283700015879"/>
    <n v="0"/>
    <n v="1.18"/>
    <n v="0"/>
    <n v="0"/>
    <n v="29"/>
    <n v="5.44"/>
    <n v="35.619999999999997"/>
    <n v="2025"/>
    <n v="11"/>
    <n v="2025"/>
    <n v="8"/>
    <s v="08"/>
    <x v="21"/>
    <x v="21"/>
    <n v="-3343.12"/>
    <x v="1"/>
    <n v="-3343.12"/>
  </r>
  <r>
    <x v="202"/>
    <s v="OPT-NIFTY-02-Dec-2025-26200-C-E-I"/>
    <s v="NSE"/>
    <s v="Sell"/>
    <n v="75"/>
    <n v="0"/>
    <n v="105"/>
    <n v="7875"/>
    <s v="#202511283700015412"/>
    <n v="8"/>
    <n v="2.8"/>
    <n v="0"/>
    <n v="0.01"/>
    <n v="29"/>
    <n v="5.72"/>
    <n v="45.53"/>
    <n v="2025"/>
    <n v="11"/>
    <n v="2025"/>
    <n v="8"/>
    <s v="08"/>
    <x v="21"/>
    <x v="21"/>
    <n v="7829.47"/>
    <x v="468"/>
    <s v=""/>
  </r>
  <r>
    <x v="202"/>
    <s v="OPT-NIFTY-02-Dec-2025-26200-C-E-I"/>
    <s v="NSE"/>
    <s v="Buy"/>
    <n v="75"/>
    <n v="0"/>
    <n v="105.85"/>
    <n v="7938.75"/>
    <s v="#202511283700015346"/>
    <n v="0"/>
    <n v="2.82"/>
    <n v="0.24"/>
    <n v="0.01"/>
    <n v="29"/>
    <n v="5.72"/>
    <n v="37.79"/>
    <n v="2025"/>
    <n v="11"/>
    <n v="2025"/>
    <n v="8"/>
    <s v="08"/>
    <x v="21"/>
    <x v="21"/>
    <n v="-7976.54"/>
    <x v="1"/>
    <n v="-7976.54"/>
  </r>
  <r>
    <x v="203"/>
    <s v="OPT-NIFTY-02-Dec-2025-26250-P-E-I"/>
    <s v="NSE"/>
    <s v="Sell"/>
    <n v="150"/>
    <n v="0"/>
    <n v="119.25"/>
    <n v="17887.5"/>
    <s v="#202512013700021299"/>
    <n v="17.89"/>
    <n v="6.36"/>
    <n v="0"/>
    <n v="0.02"/>
    <n v="58"/>
    <n v="11.58"/>
    <n v="93.85"/>
    <n v="2025"/>
    <n v="12"/>
    <n v="2025"/>
    <n v="9"/>
    <s v="09"/>
    <x v="22"/>
    <x v="22"/>
    <n v="17793.650000000001"/>
    <x v="469"/>
    <s v=""/>
  </r>
  <r>
    <x v="203"/>
    <s v="OPT-NIFTY-02-Dec-2025-26100-P-E-I"/>
    <s v="NSE"/>
    <s v="Sell"/>
    <n v="1800"/>
    <n v="0"/>
    <n v="35"/>
    <n v="63000"/>
    <s v="#202512013700011531"/>
    <n v="63.12"/>
    <n v="22.38"/>
    <n v="0"/>
    <n v="0.06"/>
    <n v="696"/>
    <n v="129.32"/>
    <n v="910.88"/>
    <n v="2025"/>
    <n v="12"/>
    <n v="2025"/>
    <n v="9"/>
    <s v="09"/>
    <x v="22"/>
    <x v="22"/>
    <n v="62089.120000000003"/>
    <x v="470"/>
    <s v=""/>
  </r>
  <r>
    <x v="203"/>
    <s v="OPT-NIFTY-02-Dec-2025-26100-P-E-I"/>
    <s v="NSE"/>
    <s v="Buy"/>
    <n v="900"/>
    <n v="0"/>
    <n v="16.25"/>
    <n v="14625"/>
    <s v="#202512013700004091"/>
    <n v="0"/>
    <n v="5.2"/>
    <n v="0.88"/>
    <n v="0.01"/>
    <n v="348"/>
    <n v="63.58"/>
    <n v="417.67"/>
    <n v="2025"/>
    <n v="12"/>
    <n v="2025"/>
    <n v="9"/>
    <s v="09"/>
    <x v="22"/>
    <x v="22"/>
    <n v="-15042.67"/>
    <x v="1"/>
    <n v="-15042.67"/>
  </r>
  <r>
    <x v="203"/>
    <s v="OPT-NIFTY-02-Dec-2025-26250-P-E-I"/>
    <s v="NSE"/>
    <s v="Buy"/>
    <n v="75"/>
    <n v="0"/>
    <n v="52.95"/>
    <n v="3971.25"/>
    <s v="#202512013700002407"/>
    <n v="0"/>
    <n v="1.41"/>
    <n v="0.12"/>
    <n v="0"/>
    <n v="29"/>
    <n v="5.48"/>
    <n v="36.01"/>
    <n v="2025"/>
    <n v="12"/>
    <n v="2025"/>
    <n v="9"/>
    <s v="09"/>
    <x v="22"/>
    <x v="22"/>
    <n v="-4007.26"/>
    <x v="1"/>
    <n v="-4007.26"/>
  </r>
  <r>
    <x v="203"/>
    <s v="OPT-NIFTY-02-Dec-2025-26100-P-E-I"/>
    <s v="NSE"/>
    <s v="Buy"/>
    <n v="450"/>
    <n v="0"/>
    <n v="18.899999999999999"/>
    <n v="8505"/>
    <s v="#202512013700001235"/>
    <n v="0"/>
    <n v="3.02"/>
    <n v="0"/>
    <n v="0.01"/>
    <n v="174"/>
    <n v="31.88"/>
    <n v="208.91"/>
    <n v="2025"/>
    <n v="12"/>
    <n v="2025"/>
    <n v="9"/>
    <s v="09"/>
    <x v="22"/>
    <x v="22"/>
    <n v="-8713.91"/>
    <x v="1"/>
    <n v="-8713.91"/>
  </r>
  <r>
    <x v="204"/>
    <s v="OPT-NIFTY-02-Dec-2025-26050-P-E-I"/>
    <s v="NSE"/>
    <s v="Sell"/>
    <n v="300"/>
    <n v="0"/>
    <n v="39.25"/>
    <n v="11775"/>
    <s v="#202512023700025744"/>
    <n v="12"/>
    <n v="4.18"/>
    <n v="0"/>
    <n v="0.01"/>
    <n v="116"/>
    <n v="21.64"/>
    <n v="153.83000000000001"/>
    <n v="2025"/>
    <n v="12"/>
    <n v="2025"/>
    <n v="9"/>
    <s v="09"/>
    <x v="22"/>
    <x v="22"/>
    <n v="11621.17"/>
    <x v="471"/>
    <s v=""/>
  </r>
  <r>
    <x v="204"/>
    <s v="OPT-NIFTY-02-Dec-2025-26050-P-E-I"/>
    <s v="NSE"/>
    <s v="Buy"/>
    <n v="225"/>
    <n v="0"/>
    <n v="30.1"/>
    <n v="6772.5"/>
    <s v="#202512023700015551"/>
    <n v="0"/>
    <n v="2.41"/>
    <n v="0"/>
    <n v="0.01"/>
    <n v="87"/>
    <n v="16.100000000000001"/>
    <n v="105.52"/>
    <n v="2025"/>
    <n v="12"/>
    <n v="2025"/>
    <n v="9"/>
    <s v="09"/>
    <x v="22"/>
    <x v="22"/>
    <n v="-6878.02"/>
    <x v="1"/>
    <n v="-6878.02"/>
  </r>
  <r>
    <x v="204"/>
    <s v="OPT-NIFTY-02-Dec-2025-26050-P-E-I"/>
    <s v="NSE"/>
    <s v="Buy"/>
    <n v="75"/>
    <n v="0"/>
    <n v="34"/>
    <n v="2550"/>
    <s v="#202512023700015171"/>
    <n v="0"/>
    <n v="0.91"/>
    <n v="0"/>
    <n v="0"/>
    <n v="29"/>
    <n v="5.38"/>
    <n v="35.29"/>
    <n v="2025"/>
    <n v="12"/>
    <n v="2025"/>
    <n v="9"/>
    <s v="09"/>
    <x v="22"/>
    <x v="22"/>
    <n v="-2585.29"/>
    <x v="1"/>
    <n v="-2585.29"/>
  </r>
  <r>
    <x v="205"/>
    <s v="OPT-NIFTY-09-Dec-2025-26000-P-E-I"/>
    <s v="NSE"/>
    <s v="Buy"/>
    <n v="75"/>
    <n v="0"/>
    <n v="123.6"/>
    <n v="9270"/>
    <s v="#202512033700016479"/>
    <n v="0"/>
    <n v="3.29"/>
    <n v="0.28000000000000003"/>
    <n v="0.01"/>
    <n v="29"/>
    <n v="5.82"/>
    <n v="38.4"/>
    <n v="2025"/>
    <n v="12"/>
    <n v="2025"/>
    <n v="9"/>
    <s v="09"/>
    <x v="22"/>
    <x v="22"/>
    <n v="-9308.4"/>
    <x v="1"/>
    <n v="-9308.4"/>
  </r>
  <r>
    <x v="205"/>
    <s v="OPT-NIFTY-09-Dec-2025-25950-C-E-I"/>
    <s v="NSE"/>
    <s v="Sell"/>
    <n v="75"/>
    <n v="0"/>
    <n v="149.9"/>
    <n v="11242.5"/>
    <s v="#202512033700010578"/>
    <n v="11"/>
    <n v="3.99"/>
    <n v="0"/>
    <n v="0.01"/>
    <n v="29"/>
    <n v="5.94"/>
    <n v="49.94"/>
    <n v="2025"/>
    <n v="12"/>
    <n v="2025"/>
    <n v="9"/>
    <s v="09"/>
    <x v="22"/>
    <x v="22"/>
    <n v="11192.56"/>
    <x v="472"/>
    <s v=""/>
  </r>
  <r>
    <x v="205"/>
    <s v="OPT-NIFTY-09-Dec-2025-25950-C-E-I"/>
    <s v="NSE"/>
    <s v="Buy"/>
    <n v="75"/>
    <n v="0"/>
    <n v="144"/>
    <n v="10800"/>
    <s v="#202512033700010533"/>
    <n v="0"/>
    <n v="3.84"/>
    <n v="0.72"/>
    <n v="0.01"/>
    <n v="29"/>
    <n v="5.92"/>
    <n v="39.49"/>
    <n v="2025"/>
    <n v="12"/>
    <n v="2025"/>
    <n v="9"/>
    <s v="09"/>
    <x v="22"/>
    <x v="22"/>
    <n v="-10839.49"/>
    <x v="1"/>
    <n v="-10839.49"/>
  </r>
  <r>
    <x v="206"/>
    <s v="OPT-NIFTY-09-Dec-2025-26000-P-E-I"/>
    <s v="NSE"/>
    <s v="Sell"/>
    <n v="75"/>
    <n v="0"/>
    <n v="63.95"/>
    <n v="4796.25"/>
    <s v="#202512043700010558"/>
    <n v="5"/>
    <n v="1.7"/>
    <n v="0"/>
    <n v="0"/>
    <n v="29"/>
    <n v="5.52"/>
    <n v="41.22"/>
    <n v="2025"/>
    <n v="12"/>
    <n v="2025"/>
    <n v="9"/>
    <s v="09"/>
    <x v="22"/>
    <x v="22"/>
    <n v="4755.03"/>
    <x v="473"/>
    <s v=""/>
  </r>
  <r>
    <x v="207"/>
    <s v="OPT-NIFTY-09-Dec-2025-26100-P-E-I"/>
    <s v="NSE"/>
    <s v="Buy"/>
    <n v="75"/>
    <n v="0"/>
    <n v="67.25"/>
    <n v="5043.75"/>
    <s v="#202512053700013831"/>
    <n v="0"/>
    <n v="1.79"/>
    <n v="0"/>
    <n v="0.01"/>
    <n v="29"/>
    <n v="5.54"/>
    <n v="36.340000000000003"/>
    <n v="2025"/>
    <n v="12"/>
    <n v="2025"/>
    <n v="9"/>
    <s v="09"/>
    <x v="22"/>
    <x v="22"/>
    <n v="-5080.09"/>
    <x v="1"/>
    <n v="-5080.09"/>
  </r>
  <r>
    <x v="208"/>
    <s v="OPT-NIFTY-09-Dec-2025-26100-P-E-I"/>
    <s v="NSE"/>
    <s v="Sell"/>
    <n v="75"/>
    <n v="0"/>
    <n v="77.25"/>
    <n v="5793.75"/>
    <s v="#202512083700013987"/>
    <n v="6"/>
    <n v="2.06"/>
    <n v="0"/>
    <n v="0.01"/>
    <n v="29"/>
    <n v="5.6"/>
    <n v="42.67"/>
    <n v="2025"/>
    <n v="12"/>
    <n v="2025"/>
    <n v="9"/>
    <s v="09"/>
    <x v="22"/>
    <x v="22"/>
    <n v="5751.08"/>
    <x v="474"/>
    <s v=""/>
  </r>
  <r>
    <x v="209"/>
    <s v="OPT-NIFTY-16-Dec-2025-25800-P-E-I"/>
    <s v="NSE"/>
    <s v="Buy"/>
    <n v="75"/>
    <n v="0"/>
    <n v="61.25"/>
    <n v="4593.75"/>
    <s v="#202512113700024410"/>
    <n v="0"/>
    <n v="1.63"/>
    <n v="0"/>
    <n v="0"/>
    <n v="29"/>
    <n v="5.52"/>
    <n v="36.15"/>
    <n v="2025"/>
    <n v="12"/>
    <n v="2025"/>
    <n v="9"/>
    <s v="09"/>
    <x v="22"/>
    <x v="22"/>
    <n v="-4629.8999999999996"/>
    <x v="1"/>
    <n v="-4629.8999999999996"/>
  </r>
  <r>
    <x v="209"/>
    <s v="OPT-NIFTY-16-Dec-2025-25800-P-E-I"/>
    <s v="NSE"/>
    <s v="Buy"/>
    <n v="75"/>
    <n v="0"/>
    <n v="82.25"/>
    <n v="6168.75"/>
    <s v="#202512113700015729"/>
    <n v="0"/>
    <n v="2.19"/>
    <n v="0"/>
    <n v="0.01"/>
    <n v="29"/>
    <n v="5.62"/>
    <n v="36.82"/>
    <n v="2025"/>
    <n v="12"/>
    <n v="2025"/>
    <n v="9"/>
    <s v="09"/>
    <x v="22"/>
    <x v="22"/>
    <n v="-6205.57"/>
    <x v="1"/>
    <n v="-6205.57"/>
  </r>
  <r>
    <x v="210"/>
    <s v="OPT-NIFTY-16-Dec-2025-25800-P-E-I"/>
    <s v="NSE"/>
    <s v="Sell"/>
    <n v="750"/>
    <n v="0"/>
    <n v="13"/>
    <n v="9750"/>
    <s v="#202512123700036144"/>
    <n v="10"/>
    <n v="3.46"/>
    <n v="0"/>
    <n v="0.01"/>
    <n v="290"/>
    <n v="52.82"/>
    <n v="356.29"/>
    <n v="2025"/>
    <n v="12"/>
    <n v="2025"/>
    <n v="9"/>
    <s v="09"/>
    <x v="22"/>
    <x v="22"/>
    <n v="9393.7099999999991"/>
    <x v="475"/>
    <s v=""/>
  </r>
  <r>
    <x v="210"/>
    <s v="OPT-NIFTY-16-Dec-2025-25800-P-E-I"/>
    <s v="NSE"/>
    <s v="Buy"/>
    <n v="150"/>
    <n v="0"/>
    <n v="18.100000000000001"/>
    <n v="2715"/>
    <s v="#202512123700020712"/>
    <n v="0"/>
    <n v="0.96"/>
    <n v="0"/>
    <n v="0"/>
    <n v="58"/>
    <n v="10.62"/>
    <n v="69.58"/>
    <n v="2025"/>
    <n v="12"/>
    <n v="2025"/>
    <n v="9"/>
    <s v="09"/>
    <x v="22"/>
    <x v="22"/>
    <n v="-2784.58"/>
    <x v="1"/>
    <n v="-2784.58"/>
  </r>
  <r>
    <x v="210"/>
    <s v="OPT-NIFTY-16-Dec-2025-25800-P-E-I"/>
    <s v="NSE"/>
    <s v="Buy"/>
    <n v="150"/>
    <n v="0"/>
    <n v="19.25"/>
    <n v="2887.5"/>
    <s v="#202512123700018183"/>
    <n v="0"/>
    <n v="1.02"/>
    <n v="0"/>
    <n v="0"/>
    <n v="58"/>
    <n v="10.64"/>
    <n v="69.66"/>
    <n v="2025"/>
    <n v="12"/>
    <n v="2025"/>
    <n v="9"/>
    <s v="09"/>
    <x v="22"/>
    <x v="22"/>
    <n v="-2957.16"/>
    <x v="1"/>
    <n v="-2957.16"/>
  </r>
  <r>
    <x v="210"/>
    <s v="OPT-NIFTY-16-Dec-2025-25800-P-E-I"/>
    <s v="NSE"/>
    <s v="Buy"/>
    <n v="150"/>
    <n v="0"/>
    <n v="21.25"/>
    <n v="3187.5"/>
    <s v="#202512123700016184"/>
    <n v="0"/>
    <n v="1.1299999999999999"/>
    <n v="0"/>
    <n v="0"/>
    <n v="58"/>
    <n v="10.64"/>
    <n v="69.77"/>
    <n v="2025"/>
    <n v="12"/>
    <n v="2025"/>
    <n v="9"/>
    <s v="09"/>
    <x v="22"/>
    <x v="22"/>
    <n v="-3257.27"/>
    <x v="1"/>
    <n v="-3257.27"/>
  </r>
  <r>
    <x v="210"/>
    <s v="OPT-NIFTY-16-Dec-2025-25800-P-E-I"/>
    <s v="NSE"/>
    <s v="Buy"/>
    <n v="75"/>
    <n v="0"/>
    <n v="21.25"/>
    <n v="1593.75"/>
    <s v="#202512123700010037"/>
    <n v="0"/>
    <n v="0.56999999999999995"/>
    <n v="0"/>
    <n v="0"/>
    <n v="29"/>
    <n v="5.32"/>
    <n v="34.89"/>
    <n v="2025"/>
    <n v="12"/>
    <n v="2025"/>
    <n v="9"/>
    <s v="09"/>
    <x v="22"/>
    <x v="22"/>
    <n v="-1628.64"/>
    <x v="1"/>
    <n v="-1628.64"/>
  </r>
  <r>
    <x v="210"/>
    <s v="OPT-NIFTY-16-Dec-2025-25800-P-E-I"/>
    <s v="NSE"/>
    <s v="Buy"/>
    <n v="75"/>
    <n v="0"/>
    <n v="29.1"/>
    <n v="2182.5"/>
    <s v="#202512122600001017"/>
    <n v="0"/>
    <n v="0.78"/>
    <n v="0"/>
    <n v="0"/>
    <n v="29"/>
    <n v="5.36"/>
    <n v="35.14"/>
    <n v="2025"/>
    <n v="12"/>
    <n v="2025"/>
    <n v="9"/>
    <s v="09"/>
    <x v="22"/>
    <x v="22"/>
    <n v="-2217.64"/>
    <x v="1"/>
    <n v="-2217.64"/>
  </r>
  <r>
    <x v="211"/>
    <s v="OPT-NIFTY-20-Jan-2026-26050-C-E-I"/>
    <s v="NSE"/>
    <s v="Buy"/>
    <n v="65"/>
    <n v="0"/>
    <n v="67.25"/>
    <n v="4371.25"/>
    <s v="#202601133100025909"/>
    <n v="0"/>
    <n v="1.55"/>
    <n v="0"/>
    <n v="0"/>
    <n v="29"/>
    <n v="5.5"/>
    <n v="36.049999999999997"/>
    <n v="2026"/>
    <n v="1"/>
    <n v="2025"/>
    <n v="10"/>
    <n v="10"/>
    <x v="23"/>
    <x v="23"/>
    <n v="-4407.3"/>
    <x v="1"/>
    <n v="-4407.3"/>
  </r>
  <r>
    <x v="212"/>
    <s v="OPT-NIFTY-20-Jan-2026-26050-C-E-I"/>
    <s v="NSE"/>
    <s v="Sell"/>
    <n v="65"/>
    <n v="0"/>
    <n v="4.4000000000000004"/>
    <n v="286"/>
    <s v="#202601193100004090"/>
    <n v="0"/>
    <n v="0.1"/>
    <n v="0"/>
    <n v="0"/>
    <n v="29"/>
    <n v="5.24"/>
    <n v="34.340000000000003"/>
    <n v="2026"/>
    <n v="1"/>
    <n v="2025"/>
    <n v="10"/>
    <n v="10"/>
    <x v="23"/>
    <x v="23"/>
    <n v="251.66"/>
    <x v="476"/>
    <s v=""/>
  </r>
  <r>
    <x v="213"/>
    <s v="OPT-NIFTY-27-Jan-2026-25000-C-E-I"/>
    <s v="NSE"/>
    <s v="Sell"/>
    <n v="130"/>
    <n v="0"/>
    <n v="89.9"/>
    <n v="11687"/>
    <s v="#202601272700053910"/>
    <n v="11.69"/>
    <n v="4.1500000000000004"/>
    <n v="0"/>
    <n v="0.01"/>
    <n v="58"/>
    <n v="11.18"/>
    <n v="85.03"/>
    <n v="2026"/>
    <n v="1"/>
    <n v="2025"/>
    <n v="10"/>
    <n v="10"/>
    <x v="23"/>
    <x v="23"/>
    <n v="11601.97"/>
    <x v="477"/>
    <s v=""/>
  </r>
  <r>
    <x v="213"/>
    <s v="OPT-NIFTY-27-Jan-2026-25000-C-E-I"/>
    <s v="NSE"/>
    <s v="Buy"/>
    <n v="65"/>
    <n v="0"/>
    <n v="82"/>
    <n v="5330"/>
    <s v="#202601272700049123"/>
    <n v="0"/>
    <n v="1.89"/>
    <n v="0.34"/>
    <n v="0.01"/>
    <n v="29"/>
    <n v="5.56"/>
    <n v="36.799999999999997"/>
    <n v="2026"/>
    <n v="1"/>
    <n v="2025"/>
    <n v="10"/>
    <n v="10"/>
    <x v="23"/>
    <x v="23"/>
    <n v="-5366.8"/>
    <x v="1"/>
    <n v="-5366.8"/>
  </r>
  <r>
    <x v="213"/>
    <s v="OPT-NIFTY-27-Jan-2026-25000-C-E-I"/>
    <s v="NSE"/>
    <s v="Buy"/>
    <n v="65"/>
    <n v="0"/>
    <n v="91"/>
    <n v="5915"/>
    <s v="#202601272700048910"/>
    <n v="0"/>
    <n v="2.1"/>
    <n v="0"/>
    <n v="0.01"/>
    <n v="29"/>
    <n v="5.6"/>
    <n v="36.71"/>
    <n v="2026"/>
    <n v="1"/>
    <n v="2025"/>
    <n v="10"/>
    <n v="10"/>
    <x v="23"/>
    <x v="23"/>
    <n v="-5951.71"/>
    <x v="1"/>
    <n v="-5951.71"/>
  </r>
  <r>
    <x v="213"/>
    <s v="OPT-NIFTY-27-Jan-2026-24950-C-E-I"/>
    <s v="NSE"/>
    <s v="Sell"/>
    <n v="65"/>
    <n v="0"/>
    <n v="195.25"/>
    <n v="12691.25"/>
    <s v="#202601272700010103"/>
    <n v="12.69"/>
    <n v="4.51"/>
    <n v="0"/>
    <n v="0.01"/>
    <n v="29"/>
    <n v="6.04"/>
    <n v="52.25"/>
    <n v="2026"/>
    <n v="1"/>
    <n v="2025"/>
    <n v="10"/>
    <n v="10"/>
    <x v="23"/>
    <x v="23"/>
    <n v="12639"/>
    <x v="478"/>
    <s v=""/>
  </r>
  <r>
    <x v="213"/>
    <s v="OPT-NIFTY-27-Jan-2026-24950-C-E-I"/>
    <s v="NSE"/>
    <s v="Sell"/>
    <n v="65"/>
    <n v="0"/>
    <n v="181.25"/>
    <n v="11781.25"/>
    <s v="#202601272700009601"/>
    <n v="11.62"/>
    <n v="4.1900000000000004"/>
    <n v="0"/>
    <n v="0.01"/>
    <n v="29"/>
    <n v="5.98"/>
    <n v="50.8"/>
    <n v="2026"/>
    <n v="1"/>
    <n v="2025"/>
    <n v="10"/>
    <n v="10"/>
    <x v="23"/>
    <x v="23"/>
    <n v="11730.45"/>
    <x v="479"/>
    <s v=""/>
  </r>
  <r>
    <x v="213"/>
    <s v="OPT-NIFTY-27-Jan-2026-24950-C-E-I"/>
    <s v="NSE"/>
    <s v="Buy"/>
    <n v="65"/>
    <n v="0"/>
    <n v="191.25"/>
    <n v="12431.25"/>
    <s v="#202601272700006358"/>
    <n v="0"/>
    <n v="4.42"/>
    <n v="0"/>
    <n v="0.01"/>
    <n v="29"/>
    <n v="6.02"/>
    <n v="39.450000000000003"/>
    <n v="2026"/>
    <n v="1"/>
    <n v="2025"/>
    <n v="10"/>
    <n v="10"/>
    <x v="23"/>
    <x v="23"/>
    <n v="-12470.7"/>
    <x v="1"/>
    <n v="-12470.7"/>
  </r>
  <r>
    <x v="213"/>
    <s v="OPT-NIFTY-27-Jan-2026-24950-C-E-I"/>
    <s v="NSE"/>
    <s v="Buy"/>
    <n v="65"/>
    <n v="0"/>
    <n v="109.3"/>
    <n v="7104.5"/>
    <s v="#202601272700005475"/>
    <n v="0"/>
    <n v="2.52"/>
    <n v="0.66"/>
    <n v="0.01"/>
    <n v="29"/>
    <n v="5.68"/>
    <n v="37.869999999999997"/>
    <n v="2026"/>
    <n v="1"/>
    <n v="2025"/>
    <n v="10"/>
    <n v="10"/>
    <x v="23"/>
    <x v="23"/>
    <n v="-7142.37"/>
    <x v="1"/>
    <n v="-7142.37"/>
  </r>
  <r>
    <x v="214"/>
    <s v="OPT-NIFTY-03-Feb-2026-25300-P-E-I"/>
    <s v="NSE"/>
    <s v="Sell"/>
    <n v="195"/>
    <n v="0"/>
    <n v="209.9"/>
    <n v="40930.5"/>
    <s v="#202601282700019192"/>
    <n v="40.93"/>
    <n v="14.54"/>
    <n v="0"/>
    <n v="0.04"/>
    <n v="87"/>
    <n v="18.28"/>
    <n v="160.79"/>
    <n v="2026"/>
    <n v="1"/>
    <n v="2025"/>
    <n v="10"/>
    <n v="10"/>
    <x v="23"/>
    <x v="23"/>
    <n v="40769.71"/>
    <x v="480"/>
    <s v=""/>
  </r>
  <r>
    <x v="214"/>
    <s v="OPT-NIFTY-03-Feb-2026-25300-P-E-I"/>
    <s v="NSE"/>
    <s v="Buy"/>
    <n v="195"/>
    <n v="0"/>
    <n v="202.4"/>
    <n v="39468"/>
    <s v="#202601282700019168"/>
    <n v="0"/>
    <n v="14.01"/>
    <n v="0"/>
    <n v="0.03"/>
    <n v="87"/>
    <n v="18.18"/>
    <n v="119.22"/>
    <n v="2026"/>
    <n v="1"/>
    <n v="2025"/>
    <n v="10"/>
    <n v="10"/>
    <x v="23"/>
    <x v="23"/>
    <n v="-39587.22"/>
    <x v="1"/>
    <n v="-39587.22"/>
  </r>
  <r>
    <x v="214"/>
    <s v="OPT-NIFTY-03-Feb-2026-25400-C-E-I"/>
    <s v="NSE"/>
    <s v="Sell"/>
    <n v="195"/>
    <n v="0"/>
    <n v="179.25"/>
    <n v="34953.75"/>
    <s v="#202601282700019090"/>
    <n v="34.950000000000003"/>
    <n v="12.42"/>
    <n v="0"/>
    <n v="0.04"/>
    <n v="87"/>
    <n v="17.899999999999999"/>
    <n v="152.31"/>
    <n v="2026"/>
    <n v="1"/>
    <n v="2025"/>
    <n v="10"/>
    <n v="10"/>
    <x v="23"/>
    <x v="23"/>
    <n v="34801.440000000002"/>
    <x v="481"/>
    <s v=""/>
  </r>
  <r>
    <x v="214"/>
    <s v="OPT-NIFTY-03-Feb-2026-25400-C-E-I"/>
    <s v="NSE"/>
    <s v="Buy"/>
    <n v="65"/>
    <n v="0"/>
    <n v="190.25"/>
    <n v="12366.25"/>
    <s v="#202601282700018753"/>
    <n v="0"/>
    <n v="4.3899999999999997"/>
    <n v="0"/>
    <n v="0.01"/>
    <n v="29"/>
    <n v="6.02"/>
    <n v="39.42"/>
    <n v="2026"/>
    <n v="1"/>
    <n v="2025"/>
    <n v="10"/>
    <n v="10"/>
    <x v="23"/>
    <x v="23"/>
    <n v="-12405.67"/>
    <x v="1"/>
    <n v="-12405.67"/>
  </r>
  <r>
    <x v="214"/>
    <s v="OPT-NIFTY-03-Feb-2026-25400-C-E-I"/>
    <s v="NSE"/>
    <s v="Buy"/>
    <n v="130"/>
    <n v="0"/>
    <n v="200.4"/>
    <n v="26052"/>
    <s v="#202601282700017879"/>
    <n v="0"/>
    <n v="9.26"/>
    <n v="1.1499999999999999"/>
    <n v="0.03"/>
    <n v="58"/>
    <n v="12.12"/>
    <n v="80.56"/>
    <n v="2026"/>
    <n v="1"/>
    <n v="2025"/>
    <n v="10"/>
    <n v="10"/>
    <x v="23"/>
    <x v="23"/>
    <n v="-26132.560000000001"/>
    <x v="1"/>
    <n v="-26132.560000000001"/>
  </r>
  <r>
    <x v="214"/>
    <s v="OPT-NIFTY-03-Feb-2026-25300-P-E-I"/>
    <s v="NSE"/>
    <s v="Sell"/>
    <n v="65"/>
    <n v="0"/>
    <n v="219.9"/>
    <n v="14293.5"/>
    <s v="#202601282700004408"/>
    <n v="14.12"/>
    <n v="5.08"/>
    <n v="0"/>
    <n v="0.01"/>
    <n v="29"/>
    <n v="6.14"/>
    <n v="54.35"/>
    <n v="2026"/>
    <n v="1"/>
    <n v="2025"/>
    <n v="10"/>
    <n v="10"/>
    <x v="23"/>
    <x v="23"/>
    <n v="14239.15"/>
    <x v="482"/>
    <s v=""/>
  </r>
  <r>
    <x v="214"/>
    <s v="OPT-NIFTY-03-Feb-2026-25300-P-E-I"/>
    <s v="NSE"/>
    <s v="Buy"/>
    <n v="65"/>
    <n v="0"/>
    <n v="203.1"/>
    <n v="13201.5"/>
    <s v="#202601282700004257"/>
    <n v="0"/>
    <n v="4.6900000000000004"/>
    <n v="1.85"/>
    <n v="0.01"/>
    <n v="29"/>
    <n v="6.06"/>
    <n v="41.61"/>
    <n v="2026"/>
    <n v="1"/>
    <n v="2025"/>
    <n v="10"/>
    <n v="10"/>
    <x v="23"/>
    <x v="23"/>
    <n v="-13243.11"/>
    <x v="1"/>
    <n v="-13243.11"/>
  </r>
  <r>
    <x v="215"/>
    <s v="OPT-NIFTY-03-Feb-2026-25400-P-E-I"/>
    <s v="NSE"/>
    <s v="Sell"/>
    <n v="130"/>
    <n v="0"/>
    <n v="167.8"/>
    <n v="21814"/>
    <s v="#202601292700028824"/>
    <n v="21.81"/>
    <n v="7.75"/>
    <n v="0"/>
    <n v="0.02"/>
    <n v="58"/>
    <n v="11.84"/>
    <n v="99.42"/>
    <n v="2026"/>
    <n v="1"/>
    <n v="2025"/>
    <n v="10"/>
    <n v="10"/>
    <x v="23"/>
    <x v="23"/>
    <n v="21714.58"/>
    <x v="483"/>
    <s v=""/>
  </r>
  <r>
    <x v="215"/>
    <s v="OPT-NIFTY-03-Feb-2026-25400-P-E-I"/>
    <s v="NSE"/>
    <s v="Buy"/>
    <n v="130"/>
    <n v="0"/>
    <n v="178.75"/>
    <n v="23237.5"/>
    <s v="#202601292700028229"/>
    <n v="0"/>
    <n v="8.26"/>
    <n v="0.61"/>
    <n v="0.02"/>
    <n v="58"/>
    <n v="11.92"/>
    <n v="78.81"/>
    <n v="2026"/>
    <n v="1"/>
    <n v="2025"/>
    <n v="10"/>
    <n v="10"/>
    <x v="23"/>
    <x v="23"/>
    <n v="-23316.31"/>
    <x v="1"/>
    <n v="-23316.31"/>
  </r>
  <r>
    <x v="215"/>
    <s v="OPT-NIFTY-03-Feb-2026-25300-C-E-I"/>
    <s v="NSE"/>
    <s v="Sell"/>
    <n v="65"/>
    <n v="0"/>
    <n v="161.55000000000001"/>
    <n v="10500.75"/>
    <s v="#202601292700012571"/>
    <n v="10.19"/>
    <n v="3.73"/>
    <n v="0"/>
    <n v="0.01"/>
    <n v="29"/>
    <n v="5.9"/>
    <n v="48.83"/>
    <n v="2026"/>
    <n v="1"/>
    <n v="2025"/>
    <n v="10"/>
    <n v="10"/>
    <x v="23"/>
    <x v="23"/>
    <n v="10451.92"/>
    <x v="484"/>
    <s v=""/>
  </r>
  <r>
    <x v="215"/>
    <s v="OPT-NIFTY-03-Feb-2026-25300-C-E-I"/>
    <s v="NSE"/>
    <s v="Buy"/>
    <n v="65"/>
    <n v="0"/>
    <n v="199.6"/>
    <n v="12974"/>
    <s v="#202601292700003148"/>
    <n v="0"/>
    <n v="4.6100000000000003"/>
    <n v="0.39"/>
    <n v="0.01"/>
    <n v="29"/>
    <n v="6.06"/>
    <n v="40.07"/>
    <n v="2026"/>
    <n v="1"/>
    <n v="2025"/>
    <n v="10"/>
    <n v="10"/>
    <x v="23"/>
    <x v="23"/>
    <n v="-13014.07"/>
    <x v="1"/>
    <n v="-13014.07"/>
  </r>
  <r>
    <x v="216"/>
    <s v="OPT-NIFTY-03-Feb-2026-25250-C-E-I"/>
    <s v="NSE"/>
    <s v="Sell"/>
    <n v="65"/>
    <n v="0"/>
    <n v="251.55"/>
    <n v="16350.75"/>
    <s v="#202601302700035394"/>
    <n v="16"/>
    <n v="5.81"/>
    <n v="0"/>
    <n v="0.02"/>
    <n v="29"/>
    <n v="6.26"/>
    <n v="57.09"/>
    <n v="2026"/>
    <n v="1"/>
    <n v="2025"/>
    <n v="10"/>
    <n v="10"/>
    <x v="23"/>
    <x v="23"/>
    <n v="16293.66"/>
    <x v="485"/>
    <s v=""/>
  </r>
  <r>
    <x v="216"/>
    <s v="OPT-NIFTY-03-Feb-2026-25250-C-E-I"/>
    <s v="NSE"/>
    <s v="Buy"/>
    <n v="65"/>
    <n v="0"/>
    <n v="250.55"/>
    <n v="16285.75"/>
    <s v="#202601302700035163"/>
    <n v="0"/>
    <n v="5.79"/>
    <n v="0"/>
    <n v="0.02"/>
    <n v="29"/>
    <n v="6.26"/>
    <n v="41.07"/>
    <n v="2026"/>
    <n v="1"/>
    <n v="2025"/>
    <n v="10"/>
    <n v="10"/>
    <x v="23"/>
    <x v="23"/>
    <n v="-16326.82"/>
    <x v="1"/>
    <n v="-16326.82"/>
  </r>
  <r>
    <x v="216"/>
    <s v="OPT-NIFTY-03-Feb-2026-25250-C-E-I"/>
    <s v="NSE"/>
    <s v="Sell"/>
    <n v="65"/>
    <n v="0"/>
    <n v="259.89999999999998"/>
    <n v="16893.5"/>
    <s v="#202601302700033361"/>
    <n v="16.89"/>
    <n v="6"/>
    <n v="0"/>
    <n v="0.02"/>
    <n v="29"/>
    <n v="6.3"/>
    <n v="58.21"/>
    <n v="2026"/>
    <n v="1"/>
    <n v="2025"/>
    <n v="10"/>
    <n v="10"/>
    <x v="23"/>
    <x v="23"/>
    <n v="16835.29"/>
    <x v="486"/>
    <s v=""/>
  </r>
  <r>
    <x v="216"/>
    <s v="OPT-NIFTY-03-Feb-2026-25250-C-E-I"/>
    <s v="NSE"/>
    <s v="Buy"/>
    <n v="65"/>
    <n v="0"/>
    <n v="234.8"/>
    <n v="15262"/>
    <s v="#202601302700032962"/>
    <n v="0"/>
    <n v="5.42"/>
    <n v="0"/>
    <n v="0.02"/>
    <n v="29"/>
    <n v="6.2"/>
    <n v="40.64"/>
    <n v="2026"/>
    <n v="1"/>
    <n v="2025"/>
    <n v="10"/>
    <n v="10"/>
    <x v="23"/>
    <x v="23"/>
    <n v="-15302.64"/>
    <x v="1"/>
    <n v="-15302.64"/>
  </r>
  <r>
    <x v="216"/>
    <s v="OPT-NIFTY-03-Feb-2026-25300-P-E-I"/>
    <s v="NSE"/>
    <s v="Sell"/>
    <n v="65"/>
    <n v="0"/>
    <n v="208.8"/>
    <n v="13572"/>
    <s v="#202601302700020593"/>
    <n v="13.57"/>
    <n v="4.82"/>
    <n v="0"/>
    <n v="0.01"/>
    <n v="29"/>
    <n v="6.1"/>
    <n v="53.5"/>
    <n v="2026"/>
    <n v="1"/>
    <n v="2025"/>
    <n v="10"/>
    <n v="10"/>
    <x v="23"/>
    <x v="23"/>
    <n v="13518.5"/>
    <x v="487"/>
    <s v=""/>
  </r>
  <r>
    <x v="216"/>
    <s v="OPT-NIFTY-03-Feb-2026-25300-P-E-I"/>
    <s v="NSE"/>
    <s v="Buy"/>
    <n v="65"/>
    <n v="0"/>
    <n v="217.6"/>
    <n v="14144"/>
    <s v="#202601302700020353"/>
    <n v="0"/>
    <n v="5.03"/>
    <n v="0.42"/>
    <n v="0.01"/>
    <n v="29"/>
    <n v="6.12"/>
    <n v="40.58"/>
    <n v="2026"/>
    <n v="1"/>
    <n v="2025"/>
    <n v="10"/>
    <n v="10"/>
    <x v="23"/>
    <x v="23"/>
    <n v="-14184.58"/>
    <x v="1"/>
    <n v="-14184.58"/>
  </r>
  <r>
    <x v="216"/>
    <s v="OPT-NIFTY-03-Feb-2026-25250-C-E-I"/>
    <s v="NSE"/>
    <s v="Sell"/>
    <n v="130"/>
    <n v="0"/>
    <n v="234.9"/>
    <n v="30537"/>
    <s v="#202601302700005687"/>
    <n v="30.54"/>
    <n v="10.85"/>
    <n v="0"/>
    <n v="0.03"/>
    <n v="58"/>
    <n v="12.4"/>
    <n v="111.82"/>
    <n v="2026"/>
    <n v="1"/>
    <n v="2025"/>
    <n v="10"/>
    <n v="10"/>
    <x v="23"/>
    <x v="23"/>
    <n v="30425.18"/>
    <x v="488"/>
    <s v=""/>
  </r>
  <r>
    <x v="216"/>
    <s v="OPT-NIFTY-03-Feb-2026-25250-C-E-I"/>
    <s v="NSE"/>
    <s v="Buy"/>
    <n v="130"/>
    <n v="0"/>
    <n v="201.25"/>
    <n v="26162.5"/>
    <s v="#202601302700002911"/>
    <n v="0"/>
    <n v="9.3000000000000007"/>
    <n v="1.58"/>
    <n v="0.02"/>
    <n v="58"/>
    <n v="12.12"/>
    <n v="81.02"/>
    <n v="2026"/>
    <n v="1"/>
    <n v="2025"/>
    <n v="10"/>
    <n v="10"/>
    <x v="23"/>
    <x v="23"/>
    <n v="-26243.52"/>
    <x v="1"/>
    <n v="-26243.52"/>
  </r>
  <r>
    <x v="217"/>
    <s v="OPT-NIFTY-03-Feb-2026-25000-C-E-I"/>
    <s v="NSE"/>
    <s v="Sell"/>
    <n v="65"/>
    <n v="0"/>
    <n v="197.25"/>
    <n v="12821.25"/>
    <s v="#202602012700051991"/>
    <n v="12.82"/>
    <n v="4.5599999999999996"/>
    <n v="0"/>
    <n v="0.01"/>
    <n v="29"/>
    <n v="6.04"/>
    <n v="52.43"/>
    <n v="2026"/>
    <n v="2"/>
    <n v="2025"/>
    <n v="11"/>
    <n v="11"/>
    <x v="24"/>
    <x v="24"/>
    <n v="12768.82"/>
    <x v="489"/>
    <s v=""/>
  </r>
  <r>
    <x v="217"/>
    <s v="OPT-NIFTY-03-Feb-2026-25000-C-E-I"/>
    <s v="NSE"/>
    <s v="Buy"/>
    <n v="65"/>
    <n v="0"/>
    <n v="182.5"/>
    <n v="11862.5"/>
    <s v="#202602012700051727"/>
    <n v="0"/>
    <n v="4.21"/>
    <n v="0.36"/>
    <n v="0.01"/>
    <n v="29"/>
    <n v="5.98"/>
    <n v="39.56"/>
    <n v="2026"/>
    <n v="2"/>
    <n v="2025"/>
    <n v="11"/>
    <n v="11"/>
    <x v="24"/>
    <x v="24"/>
    <n v="-11902.06"/>
    <x v="1"/>
    <n v="-11902.06"/>
  </r>
  <r>
    <x v="217"/>
    <s v="OPT-NIFTY-03-Feb-2026-25300-C-E-I"/>
    <s v="NSE"/>
    <s v="Sell"/>
    <n v="130"/>
    <n v="0"/>
    <n v="80.849999999999994"/>
    <n v="10510.5"/>
    <s v="#202602012700037006"/>
    <n v="10.52"/>
    <n v="3.74"/>
    <n v="0"/>
    <n v="0.02"/>
    <n v="58"/>
    <n v="11.12"/>
    <n v="83.4"/>
    <n v="2026"/>
    <n v="2"/>
    <n v="2025"/>
    <n v="11"/>
    <n v="11"/>
    <x v="24"/>
    <x v="24"/>
    <n v="10427.1"/>
    <x v="490"/>
    <s v=""/>
  </r>
  <r>
    <x v="217"/>
    <s v="OPT-NIFTY-03-Feb-2026-25300-C-E-I"/>
    <s v="NSE"/>
    <s v="Buy"/>
    <n v="130"/>
    <n v="0"/>
    <n v="67.150000000000006"/>
    <n v="8729.5"/>
    <s v="#202602012700036696"/>
    <n v="0"/>
    <n v="3.1"/>
    <n v="0.23"/>
    <n v="0.01"/>
    <n v="58"/>
    <n v="11"/>
    <n v="72.34"/>
    <n v="2026"/>
    <n v="2"/>
    <n v="2025"/>
    <n v="11"/>
    <n v="11"/>
    <x v="24"/>
    <x v="24"/>
    <n v="-8801.84"/>
    <x v="1"/>
    <n v="-8801.84"/>
  </r>
  <r>
    <x v="217"/>
    <s v="OPT-NIFTY-03-Feb-2026-25350-P-E-I"/>
    <s v="NSE"/>
    <s v="Sell"/>
    <n v="65"/>
    <n v="0"/>
    <n v="202"/>
    <n v="13130"/>
    <s v="#202602012700007743"/>
    <n v="13.13"/>
    <n v="4.67"/>
    <n v="0"/>
    <n v="0.01"/>
    <n v="29"/>
    <n v="6.06"/>
    <n v="52.87"/>
    <n v="2026"/>
    <n v="2"/>
    <n v="2025"/>
    <n v="11"/>
    <n v="11"/>
    <x v="24"/>
    <x v="24"/>
    <n v="13077.13"/>
    <x v="491"/>
    <s v=""/>
  </r>
  <r>
    <x v="217"/>
    <s v="OPT-NIFTY-03-Feb-2026-25350-P-E-I"/>
    <s v="NSE"/>
    <s v="Buy"/>
    <n v="65"/>
    <n v="0"/>
    <n v="208.65"/>
    <n v="13562.25"/>
    <s v="#202602012700006537"/>
    <n v="0"/>
    <n v="4.82"/>
    <n v="0.41"/>
    <n v="0.01"/>
    <n v="29"/>
    <n v="6.1"/>
    <n v="40.340000000000003"/>
    <n v="2026"/>
    <n v="2"/>
    <n v="2025"/>
    <n v="11"/>
    <n v="11"/>
    <x v="24"/>
    <x v="24"/>
    <n v="-13602.59"/>
    <x v="1"/>
    <n v="-13602.59"/>
  </r>
  <r>
    <x v="217"/>
    <s v="OPT-NIFTY-03-Feb-2026-25300-C-E-I"/>
    <s v="NSE"/>
    <s v="Sell"/>
    <n v="65"/>
    <n v="0"/>
    <n v="208"/>
    <n v="13520"/>
    <s v="#202602012700003044"/>
    <n v="13.54"/>
    <n v="4.8"/>
    <n v="0"/>
    <n v="0.01"/>
    <n v="29"/>
    <n v="6.08"/>
    <n v="53.43"/>
    <n v="2026"/>
    <n v="2"/>
    <n v="2025"/>
    <n v="11"/>
    <n v="11"/>
    <x v="24"/>
    <x v="24"/>
    <n v="13466.57"/>
    <x v="492"/>
    <s v=""/>
  </r>
  <r>
    <x v="217"/>
    <s v="OPT-NIFTY-03-Feb-2026-25300-C-E-I"/>
    <s v="NSE"/>
    <s v="Buy"/>
    <n v="65"/>
    <n v="0"/>
    <n v="203.65"/>
    <n v="13237.25"/>
    <s v="#202602012700001323"/>
    <n v="0"/>
    <n v="4.7"/>
    <n v="0"/>
    <n v="0.01"/>
    <n v="29"/>
    <n v="6.06"/>
    <n v="39.770000000000003"/>
    <n v="2026"/>
    <n v="2"/>
    <n v="2025"/>
    <n v="11"/>
    <n v="11"/>
    <x v="24"/>
    <x v="24"/>
    <n v="-13277.02"/>
    <x v="1"/>
    <n v="-13277.02"/>
  </r>
  <r>
    <x v="218"/>
    <s v="OPT-NIFTY-03-Feb-2026-25000-P-E-I"/>
    <s v="NSE"/>
    <s v="Sell"/>
    <n v="130"/>
    <n v="0"/>
    <n v="147.9"/>
    <n v="19227"/>
    <s v="#202602022700015491"/>
    <n v="19.22"/>
    <n v="6.84"/>
    <n v="0"/>
    <n v="0.02"/>
    <n v="58"/>
    <n v="11.68"/>
    <n v="95.76"/>
    <n v="2026"/>
    <n v="2"/>
    <n v="2025"/>
    <n v="11"/>
    <n v="11"/>
    <x v="24"/>
    <x v="24"/>
    <n v="19131.240000000002"/>
    <x v="493"/>
    <s v=""/>
  </r>
  <r>
    <x v="218"/>
    <s v="OPT-NIFTY-03-Feb-2026-25000-P-E-I"/>
    <s v="NSE"/>
    <s v="Buy"/>
    <n v="130"/>
    <n v="0"/>
    <n v="121.75"/>
    <n v="15827.5"/>
    <s v="#202602022700015225"/>
    <n v="0"/>
    <n v="5.62"/>
    <n v="0.47"/>
    <n v="0.02"/>
    <n v="58"/>
    <n v="11.46"/>
    <n v="75.569999999999993"/>
    <n v="2026"/>
    <n v="2"/>
    <n v="2025"/>
    <n v="11"/>
    <n v="11"/>
    <x v="24"/>
    <x v="24"/>
    <n v="-15903.07"/>
    <x v="1"/>
    <n v="-15903.07"/>
  </r>
  <r>
    <x v="218"/>
    <s v="OPT-NIFTY-03-Feb-2026-24750-C-E-I"/>
    <s v="NSE"/>
    <s v="Sell"/>
    <n v="65"/>
    <n v="0"/>
    <n v="209.9"/>
    <n v="13643.5"/>
    <s v="#202602022700010801"/>
    <n v="13.64"/>
    <n v="4.8499999999999996"/>
    <n v="0"/>
    <n v="0.01"/>
    <n v="29"/>
    <n v="6.1"/>
    <n v="53.6"/>
    <n v="2026"/>
    <n v="2"/>
    <n v="2025"/>
    <n v="11"/>
    <n v="11"/>
    <x v="24"/>
    <x v="24"/>
    <n v="13589.9"/>
    <x v="494"/>
    <s v=""/>
  </r>
  <r>
    <x v="218"/>
    <s v="OPT-NIFTY-03-Feb-2026-24750-C-E-I"/>
    <s v="NSE"/>
    <s v="Buy"/>
    <n v="65"/>
    <n v="0"/>
    <n v="192.55"/>
    <n v="12515.75"/>
    <s v="#202602022700010309"/>
    <n v="0"/>
    <n v="4.45"/>
    <n v="0"/>
    <n v="0.01"/>
    <n v="29"/>
    <n v="6.02"/>
    <n v="39.479999999999997"/>
    <n v="2026"/>
    <n v="2"/>
    <n v="2025"/>
    <n v="11"/>
    <n v="11"/>
    <x v="24"/>
    <x v="24"/>
    <n v="-12555.23"/>
    <x v="1"/>
    <n v="-12555.23"/>
  </r>
  <r>
    <x v="218"/>
    <s v="OPT-NIFTY-03-Feb-2026-24750-C-E-I"/>
    <s v="NSE"/>
    <s v="Sell"/>
    <n v="65"/>
    <n v="0"/>
    <n v="114.15"/>
    <n v="7419.75"/>
    <s v="#202602022700008155"/>
    <n v="7.42"/>
    <n v="2.64"/>
    <n v="0"/>
    <n v="0.01"/>
    <n v="29"/>
    <n v="5.7"/>
    <n v="44.77"/>
    <n v="2026"/>
    <n v="2"/>
    <n v="2025"/>
    <n v="11"/>
    <n v="11"/>
    <x v="24"/>
    <x v="24"/>
    <n v="7374.98"/>
    <x v="495"/>
    <s v=""/>
  </r>
  <r>
    <x v="218"/>
    <s v="OPT-NIFTY-03-Feb-2026-24750-C-E-I"/>
    <s v="NSE"/>
    <s v="Buy"/>
    <n v="65"/>
    <n v="0"/>
    <n v="116.4"/>
    <n v="7566"/>
    <s v="#202602022700007860"/>
    <n v="0"/>
    <n v="2.69"/>
    <n v="0.19"/>
    <n v="0.01"/>
    <n v="29"/>
    <n v="5.7"/>
    <n v="37.590000000000003"/>
    <n v="2026"/>
    <n v="2"/>
    <n v="2025"/>
    <n v="11"/>
    <n v="11"/>
    <x v="24"/>
    <x v="24"/>
    <n v="-7603.59"/>
    <x v="1"/>
    <n v="-7603.59"/>
  </r>
  <r>
    <x v="218"/>
    <s v="OPT-NIFTY-03-Feb-2026-24900-P-E-I"/>
    <s v="NSE"/>
    <s v="Sell"/>
    <n v="65"/>
    <n v="0"/>
    <n v="196.9"/>
    <n v="12798.5"/>
    <s v="#202602022700004481"/>
    <n v="12.71"/>
    <n v="4.55"/>
    <n v="0"/>
    <n v="0.01"/>
    <n v="29"/>
    <n v="6.04"/>
    <n v="52.31"/>
    <n v="2026"/>
    <n v="2"/>
    <n v="2025"/>
    <n v="11"/>
    <n v="11"/>
    <x v="24"/>
    <x v="24"/>
    <n v="12746.19"/>
    <x v="496"/>
    <s v=""/>
  </r>
  <r>
    <x v="218"/>
    <s v="OPT-NIFTY-03-Feb-2026-24900-P-E-I"/>
    <s v="NSE"/>
    <s v="Buy"/>
    <n v="65"/>
    <n v="0"/>
    <n v="176.65"/>
    <n v="11482.25"/>
    <s v="#202602022700003161"/>
    <n v="0"/>
    <n v="4.08"/>
    <n v="0.34"/>
    <n v="0.01"/>
    <n v="29"/>
    <n v="5.96"/>
    <n v="39.39"/>
    <n v="2026"/>
    <n v="2"/>
    <n v="2025"/>
    <n v="11"/>
    <n v="11"/>
    <x v="24"/>
    <x v="24"/>
    <n v="-11521.64"/>
    <x v="1"/>
    <n v="-11521.64"/>
  </r>
  <r>
    <x v="219"/>
    <s v="OPT-NIFTY-03-Feb-2026-25850-P-E-I"/>
    <s v="NSE"/>
    <s v="Sell"/>
    <n v="195"/>
    <n v="0"/>
    <n v="109.9"/>
    <n v="21430.5"/>
    <s v="#202602032700041857"/>
    <n v="21"/>
    <n v="7.61"/>
    <n v="0"/>
    <n v="0.02"/>
    <n v="87"/>
    <n v="17.04"/>
    <n v="132.66999999999999"/>
    <n v="2026"/>
    <n v="2"/>
    <n v="2025"/>
    <n v="11"/>
    <n v="11"/>
    <x v="24"/>
    <x v="24"/>
    <n v="21297.83"/>
    <x v="497"/>
    <s v=""/>
  </r>
  <r>
    <x v="219"/>
    <s v="OPT-NIFTY-03-Feb-2026-25850-P-E-I"/>
    <s v="NSE"/>
    <s v="Buy"/>
    <n v="65"/>
    <n v="0"/>
    <n v="102.35"/>
    <n v="6652.75"/>
    <s v="#202602032700024018"/>
    <n v="0"/>
    <n v="2.36"/>
    <n v="0"/>
    <n v="0.01"/>
    <n v="29"/>
    <n v="5.64"/>
    <n v="37.01"/>
    <n v="2026"/>
    <n v="2"/>
    <n v="2025"/>
    <n v="11"/>
    <n v="11"/>
    <x v="24"/>
    <x v="24"/>
    <n v="-6689.76"/>
    <x v="1"/>
    <n v="-6689.76"/>
  </r>
  <r>
    <x v="219"/>
    <s v="OPT-NIFTY-03-Feb-2026-25850-P-E-I"/>
    <s v="NSE"/>
    <s v="Buy"/>
    <n v="65"/>
    <n v="0"/>
    <n v="161.1"/>
    <n v="10471.5"/>
    <s v="#202602032700017343"/>
    <n v="0"/>
    <n v="3.72"/>
    <n v="0"/>
    <n v="0.01"/>
    <n v="29"/>
    <n v="5.9"/>
    <n v="38.630000000000003"/>
    <n v="2026"/>
    <n v="2"/>
    <n v="2025"/>
    <n v="11"/>
    <n v="11"/>
    <x v="24"/>
    <x v="24"/>
    <n v="-10510.13"/>
    <x v="1"/>
    <n v="-10510.13"/>
  </r>
  <r>
    <x v="219"/>
    <s v="OPT-NIFTY-03-Feb-2026-25850-P-E-I"/>
    <s v="NSE"/>
    <s v="Buy"/>
    <n v="65"/>
    <n v="0"/>
    <n v="149.30000000000001"/>
    <n v="9704.5"/>
    <s v="#202602032700004937"/>
    <n v="0"/>
    <n v="3.45"/>
    <n v="1"/>
    <n v="0.01"/>
    <n v="29"/>
    <n v="5.84"/>
    <n v="39.299999999999997"/>
    <n v="2026"/>
    <n v="2"/>
    <n v="2025"/>
    <n v="11"/>
    <n v="11"/>
    <x v="24"/>
    <x v="24"/>
    <n v="-9743.7999999999993"/>
    <x v="1"/>
    <n v="-9743.7999999999993"/>
  </r>
  <r>
    <x v="220"/>
    <s v="OPT-NIFTY-10-Feb-2026-25700-C-E-I"/>
    <s v="NSE"/>
    <s v="Sell"/>
    <n v="65"/>
    <n v="0"/>
    <n v="174"/>
    <n v="11310"/>
    <s v="#202602042700014241"/>
    <n v="11.31"/>
    <n v="4.0199999999999996"/>
    <n v="0"/>
    <n v="0.01"/>
    <n v="29"/>
    <n v="5.94"/>
    <n v="50.28"/>
    <n v="2026"/>
    <n v="2"/>
    <n v="2025"/>
    <n v="11"/>
    <n v="11"/>
    <x v="24"/>
    <x v="24"/>
    <n v="11259.72"/>
    <x v="498"/>
    <s v=""/>
  </r>
  <r>
    <x v="220"/>
    <s v="OPT-NIFTY-10-Feb-2026-25700-C-E-I"/>
    <s v="NSE"/>
    <s v="Buy"/>
    <n v="65"/>
    <n v="0"/>
    <n v="174.5"/>
    <n v="11342.5"/>
    <s v="#202602042700014076"/>
    <n v="0"/>
    <n v="4.03"/>
    <n v="0.34"/>
    <n v="0.01"/>
    <n v="29"/>
    <n v="5.94"/>
    <n v="39.32"/>
    <n v="2026"/>
    <n v="2"/>
    <n v="2025"/>
    <n v="11"/>
    <n v="11"/>
    <x v="24"/>
    <x v="24"/>
    <n v="-11381.82"/>
    <x v="1"/>
    <n v="-11381.82"/>
  </r>
  <r>
    <x v="220"/>
    <s v="OPT-NIFTY-10-Feb-2026-25750-C-E-I"/>
    <s v="NSE"/>
    <s v="Sell"/>
    <n v="65"/>
    <n v="0"/>
    <n v="169.9"/>
    <n v="11043.5"/>
    <s v="#202602042700011441"/>
    <n v="11.04"/>
    <n v="3.92"/>
    <n v="0"/>
    <n v="0.01"/>
    <n v="29"/>
    <n v="5.92"/>
    <n v="49.89"/>
    <n v="2026"/>
    <n v="2"/>
    <n v="2025"/>
    <n v="11"/>
    <n v="11"/>
    <x v="24"/>
    <x v="24"/>
    <n v="10993.61"/>
    <x v="499"/>
    <s v=""/>
  </r>
  <r>
    <x v="220"/>
    <s v="OPT-NIFTY-10-Feb-2026-25750-C-E-I"/>
    <s v="NSE"/>
    <s v="Buy"/>
    <n v="65"/>
    <n v="0"/>
    <n v="160.25"/>
    <n v="10416.25"/>
    <s v="#202602042700011393"/>
    <n v="0"/>
    <n v="3.7"/>
    <n v="0.31"/>
    <n v="0.01"/>
    <n v="29"/>
    <n v="5.88"/>
    <n v="38.9"/>
    <n v="2026"/>
    <n v="2"/>
    <n v="2025"/>
    <n v="11"/>
    <n v="11"/>
    <x v="24"/>
    <x v="24"/>
    <n v="-10455.15"/>
    <x v="1"/>
    <n v="-10455.15"/>
  </r>
  <r>
    <x v="220"/>
    <s v="OPT-NIFTY-10-Feb-2026-25800-P-E-I"/>
    <s v="NSE"/>
    <s v="Sell"/>
    <n v="130"/>
    <n v="0"/>
    <n v="199.9"/>
    <n v="25987"/>
    <s v="#202602042700004029"/>
    <n v="25.64"/>
    <n v="9.24"/>
    <n v="0"/>
    <n v="0.02"/>
    <n v="58"/>
    <n v="12.12"/>
    <n v="105.02"/>
    <n v="2026"/>
    <n v="2"/>
    <n v="2025"/>
    <n v="11"/>
    <n v="11"/>
    <x v="24"/>
    <x v="24"/>
    <n v="25881.98"/>
    <x v="500"/>
    <s v=""/>
  </r>
  <r>
    <x v="220"/>
    <s v="OPT-NIFTY-10-Feb-2026-25800-P-E-I"/>
    <s v="NSE"/>
    <s v="Buy"/>
    <n v="65"/>
    <n v="0"/>
    <n v="179.95"/>
    <n v="11696.75"/>
    <s v="#202602042700003717"/>
    <n v="0"/>
    <n v="4.16"/>
    <n v="0"/>
    <n v="0.01"/>
    <n v="29"/>
    <n v="5.98"/>
    <n v="39.15"/>
    <n v="2026"/>
    <n v="2"/>
    <n v="2025"/>
    <n v="11"/>
    <n v="11"/>
    <x v="24"/>
    <x v="24"/>
    <n v="-11735.9"/>
    <x v="1"/>
    <n v="-11735.9"/>
  </r>
  <r>
    <x v="220"/>
    <s v="OPT-NIFTY-10-Feb-2026-25800-P-E-I"/>
    <s v="NSE"/>
    <s v="Buy"/>
    <n v="65"/>
    <n v="0"/>
    <n v="190.75"/>
    <n v="12398.75"/>
    <s v="#202602042700003071"/>
    <n v="0"/>
    <n v="4.41"/>
    <n v="0.35"/>
    <n v="0.01"/>
    <n v="29"/>
    <n v="6.02"/>
    <n v="39.79"/>
    <n v="2026"/>
    <n v="2"/>
    <n v="2025"/>
    <n v="11"/>
    <n v="11"/>
    <x v="24"/>
    <x v="24"/>
    <n v="-12438.54"/>
    <x v="1"/>
    <n v="-12438.54"/>
  </r>
  <r>
    <x v="221"/>
    <s v="OPT-NIFTY-10-Feb-2026-25750-P-E-I"/>
    <s v="NSE"/>
    <s v="Buy"/>
    <n v="130"/>
    <n v="0"/>
    <n v="202.35"/>
    <n v="26305.5"/>
    <s v="#202602052700013840"/>
    <n v="0"/>
    <n v="9.35"/>
    <n v="1.35"/>
    <n v="0.03"/>
    <n v="58"/>
    <n v="12.12"/>
    <n v="80.849999999999994"/>
    <n v="2026"/>
    <n v="2"/>
    <n v="2025"/>
    <n v="11"/>
    <n v="11"/>
    <x v="24"/>
    <x v="24"/>
    <n v="-26386.35"/>
    <x v="1"/>
    <n v="-26386.35"/>
  </r>
  <r>
    <x v="221"/>
    <s v="OPT-NIFTY-10-Feb-2026-25750-P-E-I"/>
    <s v="NSE"/>
    <s v="Sell"/>
    <n v="65"/>
    <n v="0"/>
    <n v="201"/>
    <n v="13065"/>
    <s v="#202602052700013503"/>
    <n v="13.07"/>
    <n v="4.6399999999999997"/>
    <n v="0"/>
    <n v="0.01"/>
    <n v="29"/>
    <n v="6.06"/>
    <n v="52.78"/>
    <n v="2026"/>
    <n v="2"/>
    <n v="2025"/>
    <n v="11"/>
    <n v="11"/>
    <x v="24"/>
    <x v="24"/>
    <n v="13012.22"/>
    <x v="501"/>
    <s v=""/>
  </r>
  <r>
    <x v="221"/>
    <s v="OPT-NIFTY-10-Feb-2026-25750-P-E-I"/>
    <s v="NSE"/>
    <s v="Buy"/>
    <n v="65"/>
    <n v="0"/>
    <n v="200.1"/>
    <n v="13006.5"/>
    <s v="#202602052700006177"/>
    <n v="0"/>
    <n v="4.62"/>
    <n v="0"/>
    <n v="0.01"/>
    <n v="29"/>
    <n v="6.06"/>
    <n v="39.69"/>
    <n v="2026"/>
    <n v="2"/>
    <n v="2025"/>
    <n v="11"/>
    <n v="11"/>
    <x v="24"/>
    <x v="24"/>
    <n v="-13046.19"/>
    <x v="1"/>
    <n v="-13046.19"/>
  </r>
  <r>
    <x v="221"/>
    <s v="OPT-NIFTY-10-Feb-2026-25650-C-E-I"/>
    <s v="NSE"/>
    <s v="Sell"/>
    <n v="65"/>
    <n v="0"/>
    <n v="153.5"/>
    <n v="9977.5"/>
    <s v="#202602052700004901"/>
    <n v="9.98"/>
    <n v="3.55"/>
    <n v="0"/>
    <n v="0.01"/>
    <n v="29"/>
    <n v="5.86"/>
    <n v="48.4"/>
    <n v="2026"/>
    <n v="2"/>
    <n v="2025"/>
    <n v="11"/>
    <n v="11"/>
    <x v="24"/>
    <x v="24"/>
    <n v="9929.1"/>
    <x v="502"/>
    <s v=""/>
  </r>
  <r>
    <x v="221"/>
    <s v="OPT-NIFTY-10-Feb-2026-25650-C-E-I"/>
    <s v="NSE"/>
    <s v="Buy"/>
    <n v="65"/>
    <n v="0"/>
    <n v="167.05"/>
    <n v="10858.25"/>
    <s v="#202602052700004045"/>
    <n v="0"/>
    <n v="3.86"/>
    <n v="0"/>
    <n v="0.01"/>
    <n v="29"/>
    <n v="5.92"/>
    <n v="38.79"/>
    <n v="2026"/>
    <n v="2"/>
    <n v="2025"/>
    <n v="11"/>
    <n v="11"/>
    <x v="24"/>
    <x v="24"/>
    <n v="-10897.04"/>
    <x v="1"/>
    <n v="-10897.04"/>
  </r>
  <r>
    <x v="221"/>
    <s v="OPT-NIFTY-10-Feb-2026-25650-C-E-I"/>
    <s v="NSE"/>
    <s v="Sell"/>
    <n v="65"/>
    <n v="0"/>
    <n v="187.9"/>
    <n v="12213.5"/>
    <s v="#202602052700002983"/>
    <n v="12.37"/>
    <n v="4.34"/>
    <n v="0"/>
    <n v="0.01"/>
    <n v="29"/>
    <n v="6"/>
    <n v="51.72"/>
    <n v="2026"/>
    <n v="2"/>
    <n v="2025"/>
    <n v="11"/>
    <n v="11"/>
    <x v="24"/>
    <x v="24"/>
    <n v="12161.78"/>
    <x v="503"/>
    <s v=""/>
  </r>
  <r>
    <x v="221"/>
    <s v="OPT-NIFTY-10-Feb-2026-25650-C-E-I"/>
    <s v="NSE"/>
    <s v="Buy"/>
    <n v="65"/>
    <n v="0"/>
    <n v="167.6"/>
    <n v="10894"/>
    <s v="#202602052700002573"/>
    <n v="0"/>
    <n v="3.87"/>
    <n v="0.65"/>
    <n v="0.01"/>
    <n v="29"/>
    <n v="5.92"/>
    <n v="39.450000000000003"/>
    <n v="2026"/>
    <n v="2"/>
    <n v="2025"/>
    <n v="11"/>
    <n v="11"/>
    <x v="24"/>
    <x v="24"/>
    <n v="-10933.45"/>
    <x v="1"/>
    <n v="-10933.45"/>
  </r>
  <r>
    <x v="221"/>
    <s v="OPT-NIFTY-10-Feb-2026-25750-P-E-I"/>
    <s v="NSE"/>
    <s v="Sell"/>
    <n v="130"/>
    <n v="0"/>
    <n v="219.9"/>
    <n v="28587"/>
    <s v="#202602052600001220"/>
    <n v="28.59"/>
    <n v="10.16"/>
    <n v="0"/>
    <n v="0.03"/>
    <n v="58"/>
    <n v="12.28"/>
    <n v="109.06"/>
    <n v="2026"/>
    <n v="2"/>
    <n v="2025"/>
    <n v="11"/>
    <n v="11"/>
    <x v="24"/>
    <x v="24"/>
    <n v="28477.94"/>
    <x v="504"/>
    <s v=""/>
  </r>
  <r>
    <x v="222"/>
    <s v="OPT-ICIBAN-24-Feb-2026-1380-P-E-S"/>
    <s v="NSE"/>
    <s v="Buy"/>
    <n v="700"/>
    <n v="0"/>
    <n v="5.15"/>
    <n v="3605"/>
    <s v="#202602112700002859"/>
    <n v="0"/>
    <n v="1.28"/>
    <n v="0"/>
    <n v="0"/>
    <n v="29"/>
    <n v="5.46"/>
    <n v="35.74"/>
    <n v="2026"/>
    <n v="2"/>
    <n v="2025"/>
    <n v="11"/>
    <n v="11"/>
    <x v="24"/>
    <x v="24"/>
    <n v="-3640.74"/>
    <x v="1"/>
    <n v="-3640.74"/>
  </r>
  <r>
    <x v="223"/>
    <s v="OPT-ICIBAN-24-Feb-2026-1380-P-E-S"/>
    <s v="NSE"/>
    <s v="Buy"/>
    <n v="1400"/>
    <n v="0"/>
    <n v="3.1"/>
    <n v="4340"/>
    <s v="#202602122700002139"/>
    <n v="0"/>
    <n v="1.54"/>
    <n v="0"/>
    <n v="0"/>
    <n v="58"/>
    <n v="10.72"/>
    <n v="70.260000000000005"/>
    <n v="2026"/>
    <n v="2"/>
    <n v="2025"/>
    <n v="11"/>
    <n v="11"/>
    <x v="24"/>
    <x v="24"/>
    <n v="-4410.26"/>
    <x v="1"/>
    <n v="-4410.26"/>
  </r>
  <r>
    <x v="224"/>
    <s v="OPT-ICIBAN-24-Feb-2026-1380-P-E-S"/>
    <s v="NSE"/>
    <s v="Sell"/>
    <n v="2100"/>
    <n v="0"/>
    <n v="3.9"/>
    <n v="8190"/>
    <s v="#202602162700016857"/>
    <n v="8"/>
    <n v="2.91"/>
    <n v="0"/>
    <n v="0"/>
    <n v="87"/>
    <n v="16.2"/>
    <n v="114.11"/>
    <n v="2026"/>
    <n v="2"/>
    <n v="2025"/>
    <n v="11"/>
    <n v="11"/>
    <x v="24"/>
    <x v="24"/>
    <n v="8075.89"/>
    <x v="505"/>
    <s v=""/>
  </r>
  <r>
    <x v="225"/>
    <s v="OPT-NIFTY-17-Feb-2026-25750-P-E-I"/>
    <s v="NSE"/>
    <s v="Sell"/>
    <n v="130"/>
    <n v="0"/>
    <n v="13.05"/>
    <n v="1696.5"/>
    <s v="#202602172700023141"/>
    <n v="1.7"/>
    <n v="0.6"/>
    <n v="0"/>
    <n v="0"/>
    <n v="58"/>
    <n v="10.54"/>
    <n v="70.84"/>
    <n v="2026"/>
    <n v="2"/>
    <n v="2025"/>
    <n v="11"/>
    <n v="11"/>
    <x v="24"/>
    <x v="24"/>
    <n v="1625.66"/>
    <x v="506"/>
    <s v=""/>
  </r>
  <r>
    <x v="225"/>
    <s v="OPT-NIFTY-17-Feb-2026-25750-P-E-I"/>
    <s v="NSE"/>
    <s v="Buy"/>
    <n v="130"/>
    <n v="0"/>
    <n v="37.5"/>
    <n v="4875"/>
    <s v="#202602172700022984"/>
    <n v="0"/>
    <n v="1.73"/>
    <n v="0.15"/>
    <n v="0"/>
    <n v="58"/>
    <n v="10.76"/>
    <n v="70.64"/>
    <n v="2026"/>
    <n v="2"/>
    <n v="2025"/>
    <n v="11"/>
    <n v="11"/>
    <x v="24"/>
    <x v="24"/>
    <n v="-4945.6400000000003"/>
    <x v="1"/>
    <n v="-4945.6400000000003"/>
  </r>
  <r>
    <x v="225"/>
    <s v="OPT-NIFTY-17-Feb-2026-25550-C-E-I"/>
    <s v="NSE"/>
    <s v="Sell"/>
    <n v="65"/>
    <n v="0"/>
    <n v="147.9"/>
    <n v="9613.5"/>
    <s v="#202602172700010664"/>
    <n v="9.61"/>
    <n v="3.42"/>
    <n v="0"/>
    <n v="0.01"/>
    <n v="29"/>
    <n v="5.84"/>
    <n v="47.88"/>
    <n v="2026"/>
    <n v="2"/>
    <n v="2025"/>
    <n v="11"/>
    <n v="11"/>
    <x v="24"/>
    <x v="24"/>
    <n v="9565.6200000000008"/>
    <x v="507"/>
    <s v=""/>
  </r>
  <r>
    <x v="225"/>
    <s v="OPT-NIFTY-17-Feb-2026-25550-C-E-I"/>
    <s v="NSE"/>
    <s v="Buy"/>
    <n v="65"/>
    <n v="0"/>
    <n v="116.9"/>
    <n v="7598.5"/>
    <s v="#202602172700009894"/>
    <n v="0"/>
    <n v="2.7"/>
    <n v="0"/>
    <n v="0.01"/>
    <n v="29"/>
    <n v="5.7"/>
    <n v="37.409999999999997"/>
    <n v="2026"/>
    <n v="2"/>
    <n v="2025"/>
    <n v="11"/>
    <n v="11"/>
    <x v="24"/>
    <x v="24"/>
    <n v="-7635.91"/>
    <x v="1"/>
    <n v="-7635.91"/>
  </r>
  <r>
    <x v="225"/>
    <s v="OPT-NIFTY-17-Feb-2026-25550-C-E-I"/>
    <s v="NSE"/>
    <s v="Sell"/>
    <n v="65"/>
    <n v="0"/>
    <n v="76.45"/>
    <n v="4969.25"/>
    <s v="#202602172700002346"/>
    <n v="4.6900000000000004"/>
    <n v="1.77"/>
    <n v="0"/>
    <n v="0.01"/>
    <n v="29"/>
    <n v="5.54"/>
    <n v="41.01"/>
    <n v="2026"/>
    <n v="2"/>
    <n v="2025"/>
    <n v="11"/>
    <n v="11"/>
    <x v="24"/>
    <x v="24"/>
    <n v="4928.24"/>
    <x v="508"/>
    <s v=""/>
  </r>
  <r>
    <x v="225"/>
    <s v="OPT-NIFTY-17-Feb-2026-25550-C-E-I"/>
    <s v="NSE"/>
    <s v="Buy"/>
    <n v="65"/>
    <n v="0"/>
    <n v="65.8"/>
    <n v="4277"/>
    <s v="#202602172700002118"/>
    <n v="0"/>
    <n v="1.52"/>
    <n v="0.85"/>
    <n v="0"/>
    <n v="29"/>
    <n v="5.5"/>
    <n v="36.869999999999997"/>
    <n v="2026"/>
    <n v="2"/>
    <n v="2025"/>
    <n v="11"/>
    <n v="11"/>
    <x v="24"/>
    <x v="24"/>
    <n v="-4313.87"/>
    <x v="1"/>
    <n v="-4313.87"/>
  </r>
  <r>
    <x v="226"/>
    <s v="OPT-NIFTY-24-Feb-2026-25700-P-E-I"/>
    <s v="NSE"/>
    <s v="Sell"/>
    <n v="130"/>
    <n v="0"/>
    <n v="106.05"/>
    <n v="13786.5"/>
    <s v="#202602182700010968"/>
    <n v="13.79"/>
    <n v="4.9000000000000004"/>
    <n v="0"/>
    <n v="0.01"/>
    <n v="58"/>
    <n v="11.32"/>
    <n v="88.02"/>
    <n v="2026"/>
    <n v="2"/>
    <n v="2025"/>
    <n v="11"/>
    <n v="11"/>
    <x v="24"/>
    <x v="24"/>
    <n v="13698.48"/>
    <x v="509"/>
    <s v=""/>
  </r>
  <r>
    <x v="226"/>
    <s v="OPT-NIFTY-24-Feb-2026-25700-P-E-I"/>
    <s v="NSE"/>
    <s v="Buy"/>
    <n v="130"/>
    <n v="0"/>
    <n v="103.8"/>
    <n v="13494"/>
    <s v="#202602182700010073"/>
    <n v="0"/>
    <n v="4.79"/>
    <n v="1.57"/>
    <n v="0.01"/>
    <n v="58"/>
    <n v="11.3"/>
    <n v="75.67"/>
    <n v="2026"/>
    <n v="2"/>
    <n v="2025"/>
    <n v="11"/>
    <n v="11"/>
    <x v="24"/>
    <x v="24"/>
    <n v="-13569.67"/>
    <x v="1"/>
    <n v="-13569.67"/>
  </r>
  <r>
    <x v="226"/>
    <s v="OPT-NIFTY-24-Feb-2026-25750-C-E-I"/>
    <s v="NSE"/>
    <s v="Sell"/>
    <n v="130"/>
    <n v="0"/>
    <n v="114.9"/>
    <n v="14937"/>
    <s v="#202602182700007909"/>
    <n v="14.94"/>
    <n v="5.31"/>
    <n v="0"/>
    <n v="0.01"/>
    <n v="58"/>
    <n v="11.4"/>
    <n v="89.66"/>
    <n v="2026"/>
    <n v="2"/>
    <n v="2025"/>
    <n v="11"/>
    <n v="11"/>
    <x v="24"/>
    <x v="24"/>
    <n v="14847.34"/>
    <x v="510"/>
    <s v=""/>
  </r>
  <r>
    <x v="226"/>
    <s v="OPT-NIFTY-24-Feb-2026-25750-C-E-I"/>
    <s v="NSE"/>
    <s v="Buy"/>
    <n v="65"/>
    <n v="0"/>
    <n v="109.5"/>
    <n v="7117.5"/>
    <s v="#202602182700007719"/>
    <n v="0"/>
    <n v="2.5299999999999998"/>
    <n v="0.43"/>
    <n v="0.01"/>
    <n v="29"/>
    <n v="5.68"/>
    <n v="37.65"/>
    <n v="2026"/>
    <n v="2"/>
    <n v="2025"/>
    <n v="11"/>
    <n v="11"/>
    <x v="24"/>
    <x v="24"/>
    <n v="-7155.15"/>
    <x v="1"/>
    <n v="-7155.15"/>
  </r>
  <r>
    <x v="226"/>
    <s v="OPT-NIFTY-24-Feb-2026-25750-C-E-I"/>
    <s v="NSE"/>
    <s v="Buy"/>
    <n v="65"/>
    <n v="0"/>
    <n v="110.4"/>
    <n v="7176"/>
    <s v="#202602182700007680"/>
    <n v="0"/>
    <n v="2.5499999999999998"/>
    <n v="0"/>
    <n v="0.01"/>
    <n v="29"/>
    <n v="5.68"/>
    <n v="37.24"/>
    <n v="2026"/>
    <n v="2"/>
    <n v="2025"/>
    <n v="11"/>
    <n v="11"/>
    <x v="24"/>
    <x v="24"/>
    <n v="-7213.24"/>
    <x v="1"/>
    <n v="-7213.24"/>
  </r>
  <r>
    <x v="226"/>
    <s v="OPT-NIFTY-24-Feb-2026-25700-P-E-I"/>
    <s v="NSE"/>
    <s v="Sell"/>
    <n v="65"/>
    <n v="0"/>
    <n v="132"/>
    <n v="8580"/>
    <s v="#202602182700007358"/>
    <n v="8.58"/>
    <n v="3.05"/>
    <n v="0"/>
    <n v="0.01"/>
    <n v="29"/>
    <n v="5.78"/>
    <n v="46.42"/>
    <n v="2026"/>
    <n v="2"/>
    <n v="2025"/>
    <n v="11"/>
    <n v="11"/>
    <x v="24"/>
    <x v="24"/>
    <n v="8533.58"/>
    <x v="511"/>
    <s v=""/>
  </r>
  <r>
    <x v="226"/>
    <s v="OPT-NIFTY-24-Feb-2026-25700-P-E-I"/>
    <s v="NSE"/>
    <s v="Buy"/>
    <n v="65"/>
    <n v="0"/>
    <n v="125.35"/>
    <n v="8147.75"/>
    <s v="#202602182700007305"/>
    <n v="0"/>
    <n v="2.89"/>
    <n v="0"/>
    <n v="0.01"/>
    <n v="29"/>
    <n v="5.74"/>
    <n v="37.64"/>
    <n v="2026"/>
    <n v="2"/>
    <n v="2025"/>
    <n v="11"/>
    <n v="11"/>
    <x v="24"/>
    <x v="24"/>
    <n v="-8185.39"/>
    <x v="1"/>
    <n v="-8185.39"/>
  </r>
  <r>
    <x v="226"/>
    <s v="OPT-NIFTY-24-Feb-2026-25700-P-E-I"/>
    <s v="NSE"/>
    <s v="Sell"/>
    <n v="65"/>
    <n v="0"/>
    <n v="139.9"/>
    <n v="9093.5"/>
    <s v="#202602182700003253"/>
    <n v="9.09"/>
    <n v="3.23"/>
    <n v="0"/>
    <n v="0.01"/>
    <n v="29"/>
    <n v="5.8"/>
    <n v="47.13"/>
    <n v="2026"/>
    <n v="2"/>
    <n v="2025"/>
    <n v="11"/>
    <n v="11"/>
    <x v="24"/>
    <x v="24"/>
    <n v="9046.3700000000008"/>
    <x v="512"/>
    <s v=""/>
  </r>
  <r>
    <x v="226"/>
    <s v="OPT-NIFTY-24-Feb-2026-25700-P-E-I"/>
    <s v="NSE"/>
    <s v="Sell"/>
    <n v="65"/>
    <n v="0"/>
    <n v="127.9"/>
    <n v="8313.5"/>
    <s v="#202602182700003132"/>
    <n v="8.6"/>
    <n v="2.95"/>
    <n v="0"/>
    <n v="0.01"/>
    <n v="29"/>
    <n v="5.76"/>
    <n v="46.32"/>
    <n v="2026"/>
    <n v="2"/>
    <n v="2025"/>
    <n v="11"/>
    <n v="11"/>
    <x v="24"/>
    <x v="24"/>
    <n v="8267.18"/>
    <x v="513"/>
    <s v=""/>
  </r>
  <r>
    <x v="226"/>
    <s v="OPT-NIFTY-24-Feb-2026-25700-P-E-I"/>
    <s v="NSE"/>
    <s v="Buy"/>
    <n v="65"/>
    <n v="0"/>
    <n v="118.95"/>
    <n v="7731.75"/>
    <s v="#202602182700001708"/>
    <n v="0"/>
    <n v="2.75"/>
    <n v="0"/>
    <n v="0.01"/>
    <n v="29"/>
    <n v="5.72"/>
    <n v="37.479999999999997"/>
    <n v="2026"/>
    <n v="2"/>
    <n v="2025"/>
    <n v="11"/>
    <n v="11"/>
    <x v="24"/>
    <x v="24"/>
    <n v="-7769.23"/>
    <x v="1"/>
    <n v="-7769.23"/>
  </r>
  <r>
    <x v="226"/>
    <s v="OPT-NIFTY-24-Feb-2026-25700-P-E-I"/>
    <s v="NSE"/>
    <s v="Buy"/>
    <n v="65"/>
    <n v="0"/>
    <n v="116.25"/>
    <n v="7556.25"/>
    <s v="#202602182700001612"/>
    <n v="0"/>
    <n v="2.68"/>
    <n v="0"/>
    <n v="0.01"/>
    <n v="29"/>
    <n v="5.7"/>
    <n v="37.39"/>
    <n v="2026"/>
    <n v="2"/>
    <n v="2025"/>
    <n v="11"/>
    <n v="11"/>
    <x v="24"/>
    <x v="24"/>
    <n v="-7593.64"/>
    <x v="1"/>
    <n v="-7593.64"/>
  </r>
  <r>
    <x v="227"/>
    <s v="OPT-NIFTY-24-Feb-2026-25550-C-E-I"/>
    <s v="NSE"/>
    <s v="Buy"/>
    <n v="130"/>
    <n v="0"/>
    <n v="122.3"/>
    <n v="15899"/>
    <s v="#202602192700014494"/>
    <n v="0"/>
    <n v="5.64"/>
    <n v="0.48"/>
    <n v="0.02"/>
    <n v="58"/>
    <n v="11.44"/>
    <n v="75.58"/>
    <n v="2026"/>
    <n v="2"/>
    <n v="2025"/>
    <n v="11"/>
    <n v="11"/>
    <x v="24"/>
    <x v="24"/>
    <n v="-15974.58"/>
    <x v="1"/>
    <n v="-15974.58"/>
  </r>
  <r>
    <x v="227"/>
    <s v="OPT-NIFTY-24-Feb-2026-25650-P-E-I"/>
    <s v="NSE"/>
    <s v="Sell"/>
    <n v="65"/>
    <n v="0"/>
    <n v="189.9"/>
    <n v="12343.5"/>
    <s v="#202602192700013154"/>
    <n v="12.34"/>
    <n v="4.3899999999999997"/>
    <n v="0"/>
    <n v="0.01"/>
    <n v="29"/>
    <n v="6.02"/>
    <n v="51.76"/>
    <n v="2026"/>
    <n v="2"/>
    <n v="2025"/>
    <n v="11"/>
    <n v="11"/>
    <x v="24"/>
    <x v="24"/>
    <n v="12291.74"/>
    <x v="514"/>
    <s v=""/>
  </r>
  <r>
    <x v="227"/>
    <s v="OPT-NIFTY-24-Feb-2026-25650-P-E-I"/>
    <s v="NSE"/>
    <s v="Buy"/>
    <n v="65"/>
    <n v="0"/>
    <n v="162.25"/>
    <n v="10546.25"/>
    <s v="#202602192700013017"/>
    <n v="0"/>
    <n v="3.75"/>
    <n v="0.32"/>
    <n v="0.01"/>
    <n v="29"/>
    <n v="5.9"/>
    <n v="38.979999999999997"/>
    <n v="2026"/>
    <n v="2"/>
    <n v="2025"/>
    <n v="11"/>
    <n v="11"/>
    <x v="24"/>
    <x v="24"/>
    <n v="-10585.23"/>
    <x v="1"/>
    <n v="-10585.23"/>
  </r>
  <r>
    <x v="227"/>
    <s v="OPT-NIFTY-24-Feb-2026-25800-C-E-I"/>
    <s v="NSE"/>
    <s v="Sell"/>
    <n v="130"/>
    <n v="0"/>
    <n v="99.9"/>
    <n v="12987"/>
    <s v="#202602192700005810"/>
    <n v="12.98"/>
    <n v="4.62"/>
    <n v="0"/>
    <n v="0.02"/>
    <n v="58"/>
    <n v="11.28"/>
    <n v="86.9"/>
    <n v="2026"/>
    <n v="2"/>
    <n v="2025"/>
    <n v="11"/>
    <n v="11"/>
    <x v="24"/>
    <x v="24"/>
    <n v="12900.1"/>
    <x v="515"/>
    <s v=""/>
  </r>
  <r>
    <x v="227"/>
    <s v="OPT-NIFTY-24-Feb-2026-25800-C-E-I"/>
    <s v="NSE"/>
    <s v="Buy"/>
    <n v="130"/>
    <n v="0"/>
    <n v="97.7"/>
    <n v="12701"/>
    <s v="#202602192700005627"/>
    <n v="0"/>
    <n v="4.5199999999999996"/>
    <n v="0"/>
    <n v="0.02"/>
    <n v="58"/>
    <n v="11.24"/>
    <n v="73.78"/>
    <n v="2026"/>
    <n v="2"/>
    <n v="2025"/>
    <n v="11"/>
    <n v="11"/>
    <x v="24"/>
    <x v="24"/>
    <n v="-12774.78"/>
    <x v="1"/>
    <n v="-12774.78"/>
  </r>
  <r>
    <x v="227"/>
    <s v="OPT-NIFTY-24-Feb-2026-25800-C-E-I"/>
    <s v="NSE"/>
    <s v="Sell"/>
    <n v="65"/>
    <n v="0"/>
    <n v="107.75"/>
    <n v="7003.75"/>
    <s v="#202602192700004036"/>
    <n v="7"/>
    <n v="2.4900000000000002"/>
    <n v="0"/>
    <n v="0.01"/>
    <n v="29"/>
    <n v="5.66"/>
    <n v="44.16"/>
    <n v="2026"/>
    <n v="2"/>
    <n v="2025"/>
    <n v="11"/>
    <n v="11"/>
    <x v="24"/>
    <x v="24"/>
    <n v="6959.59"/>
    <x v="516"/>
    <s v=""/>
  </r>
  <r>
    <x v="227"/>
    <s v="OPT-NIFTY-24-Feb-2026-25800-C-E-I"/>
    <s v="NSE"/>
    <s v="Sell"/>
    <n v="65"/>
    <n v="0"/>
    <n v="113.9"/>
    <n v="7403.5"/>
    <s v="#202602192700003666"/>
    <n v="7.4"/>
    <n v="2.63"/>
    <n v="0"/>
    <n v="0.01"/>
    <n v="29"/>
    <n v="5.7"/>
    <n v="44.74"/>
    <n v="2026"/>
    <n v="2"/>
    <n v="2025"/>
    <n v="11"/>
    <n v="11"/>
    <x v="24"/>
    <x v="24"/>
    <n v="7358.76"/>
    <x v="517"/>
    <s v=""/>
  </r>
  <r>
    <x v="227"/>
    <s v="OPT-NIFTY-24-Feb-2026-25800-C-E-I"/>
    <s v="NSE"/>
    <s v="Buy"/>
    <n v="130"/>
    <n v="0"/>
    <n v="115.45"/>
    <n v="15008.5"/>
    <s v="#202602192700003595"/>
    <n v="0"/>
    <n v="5.33"/>
    <n v="1.2"/>
    <n v="0.02"/>
    <n v="58"/>
    <n v="11.4"/>
    <n v="75.95"/>
    <n v="2026"/>
    <n v="2"/>
    <n v="2025"/>
    <n v="11"/>
    <n v="11"/>
    <x v="24"/>
    <x v="24"/>
    <n v="-15084.45"/>
    <x v="1"/>
    <n v="-15084.45"/>
  </r>
  <r>
    <x v="227"/>
    <s v="OPT-NIFTY-24-Feb-2026-25800-C-E-I"/>
    <s v="NSE"/>
    <s v="Sell"/>
    <n v="65"/>
    <n v="0"/>
    <n v="115.9"/>
    <n v="7533.5"/>
    <s v="#202602192700003138"/>
    <n v="7.26"/>
    <n v="2.68"/>
    <n v="0"/>
    <n v="0.01"/>
    <n v="29"/>
    <n v="5.7"/>
    <n v="44.65"/>
    <n v="2026"/>
    <n v="2"/>
    <n v="2025"/>
    <n v="11"/>
    <n v="11"/>
    <x v="24"/>
    <x v="24"/>
    <n v="7488.85"/>
    <x v="518"/>
    <s v=""/>
  </r>
  <r>
    <x v="227"/>
    <s v="OPT-NIFTY-24-Feb-2026-25800-C-E-I"/>
    <s v="NSE"/>
    <s v="Buy"/>
    <n v="65"/>
    <n v="0"/>
    <n v="118.8"/>
    <n v="7722"/>
    <s v="#202602192700002784"/>
    <n v="0"/>
    <n v="2.74"/>
    <n v="0"/>
    <n v="0.01"/>
    <n v="29"/>
    <n v="5.72"/>
    <n v="37.47"/>
    <n v="2026"/>
    <n v="2"/>
    <n v="2025"/>
    <n v="11"/>
    <n v="11"/>
    <x v="24"/>
    <x v="24"/>
    <n v="-7759.47"/>
    <x v="1"/>
    <n v="-7759.47"/>
  </r>
  <r>
    <x v="228"/>
    <s v="OPT-NIFTY-24-Feb-2026-25550-C-E-I"/>
    <s v="NSE"/>
    <s v="Sell"/>
    <n v="130"/>
    <n v="0"/>
    <n v="169.25"/>
    <n v="22002.5"/>
    <s v="#202602202700016569"/>
    <n v="22"/>
    <n v="7.82"/>
    <n v="0"/>
    <n v="0.02"/>
    <n v="58"/>
    <n v="11.86"/>
    <n v="99.7"/>
    <n v="2026"/>
    <n v="2"/>
    <n v="2025"/>
    <n v="11"/>
    <n v="11"/>
    <x v="24"/>
    <x v="24"/>
    <n v="21902.799999999999"/>
    <x v="519"/>
    <s v=""/>
  </r>
  <r>
    <x v="228"/>
    <s v="OPT-NIFTY-24-Feb-2026-25550-C-E-I"/>
    <s v="NSE"/>
    <s v="Buy"/>
    <n v="130"/>
    <n v="0"/>
    <n v="169.75"/>
    <n v="22067.5"/>
    <s v="#202602202700016126"/>
    <n v="0"/>
    <n v="7.84"/>
    <n v="0"/>
    <n v="0.02"/>
    <n v="58"/>
    <n v="11.84"/>
    <n v="77.7"/>
    <n v="2026"/>
    <n v="2"/>
    <n v="2025"/>
    <n v="11"/>
    <n v="11"/>
    <x v="24"/>
    <x v="24"/>
    <n v="-22145.200000000001"/>
    <x v="1"/>
    <n v="-22145.200000000001"/>
  </r>
  <r>
    <x v="228"/>
    <s v="OPT-NIFTY-24-Feb-2026-25350-P-E-I"/>
    <s v="NSE"/>
    <s v="Buy"/>
    <n v="65"/>
    <n v="0"/>
    <n v="55.35"/>
    <n v="3597.75"/>
    <s v="#202602202700013548"/>
    <n v="0"/>
    <n v="1.28"/>
    <n v="0"/>
    <n v="0"/>
    <n v="29"/>
    <n v="5.46"/>
    <n v="35.74"/>
    <n v="2026"/>
    <n v="2"/>
    <n v="2025"/>
    <n v="11"/>
    <n v="11"/>
    <x v="24"/>
    <x v="24"/>
    <n v="-3633.49"/>
    <x v="1"/>
    <n v="-3633.49"/>
  </r>
  <r>
    <x v="228"/>
    <s v="OPT-NIFTY-24-Feb-2026-25550-C-E-I"/>
    <s v="NSE"/>
    <s v="Sell"/>
    <n v="65"/>
    <n v="0"/>
    <n v="172"/>
    <n v="11180"/>
    <s v="#202602202700013058"/>
    <n v="11.18"/>
    <n v="3.97"/>
    <n v="0"/>
    <n v="0.01"/>
    <n v="29"/>
    <n v="5.94"/>
    <n v="50.1"/>
    <n v="2026"/>
    <n v="2"/>
    <n v="2025"/>
    <n v="11"/>
    <n v="11"/>
    <x v="24"/>
    <x v="24"/>
    <n v="11129.9"/>
    <x v="520"/>
    <s v=""/>
  </r>
  <r>
    <x v="228"/>
    <s v="OPT-NIFTY-24-Feb-2026-25550-C-E-I"/>
    <s v="NSE"/>
    <s v="Buy"/>
    <n v="65"/>
    <n v="0"/>
    <n v="182.25"/>
    <n v="11846.25"/>
    <s v="#202602202700012918"/>
    <n v="0"/>
    <n v="4.21"/>
    <n v="0"/>
    <n v="0.01"/>
    <n v="29"/>
    <n v="5.98"/>
    <n v="39.200000000000003"/>
    <n v="2026"/>
    <n v="2"/>
    <n v="2025"/>
    <n v="11"/>
    <n v="11"/>
    <x v="24"/>
    <x v="24"/>
    <n v="-11885.45"/>
    <x v="1"/>
    <n v="-11885.45"/>
  </r>
  <r>
    <x v="228"/>
    <s v="OPT-NIFTY-24-Feb-2026-25350-P-E-I"/>
    <s v="NSE"/>
    <s v="Buy"/>
    <n v="65"/>
    <n v="0"/>
    <n v="54.35"/>
    <n v="3532.75"/>
    <s v="#202602202700011860"/>
    <n v="0"/>
    <n v="1.26"/>
    <n v="0"/>
    <n v="0"/>
    <n v="29"/>
    <n v="5.44"/>
    <n v="35.700000000000003"/>
    <n v="2026"/>
    <n v="2"/>
    <n v="2025"/>
    <n v="11"/>
    <n v="11"/>
    <x v="24"/>
    <x v="24"/>
    <n v="-3568.45"/>
    <x v="1"/>
    <n v="-3568.45"/>
  </r>
  <r>
    <x v="228"/>
    <s v="OPT-NIFTY-24-Feb-2026-25550-C-E-I"/>
    <s v="NSE"/>
    <s v="Sell"/>
    <n v="195"/>
    <n v="0"/>
    <n v="199.9"/>
    <n v="38980.5"/>
    <s v="#202602202700011207"/>
    <n v="38.979999999999997"/>
    <n v="13.85"/>
    <n v="0"/>
    <n v="0.04"/>
    <n v="87"/>
    <n v="18.16"/>
    <n v="158.03"/>
    <n v="2026"/>
    <n v="2"/>
    <n v="2025"/>
    <n v="11"/>
    <n v="11"/>
    <x v="24"/>
    <x v="24"/>
    <n v="38822.47"/>
    <x v="521"/>
    <s v=""/>
  </r>
  <r>
    <x v="228"/>
    <s v="OPT-NIFTY-24-Feb-2026-25350-P-E-I"/>
    <s v="NSE"/>
    <s v="Buy"/>
    <n v="65"/>
    <n v="0"/>
    <n v="50.4"/>
    <n v="3276"/>
    <s v="#202602202700010965"/>
    <n v="0"/>
    <n v="1.1599999999999999"/>
    <n v="0"/>
    <n v="0"/>
    <n v="29"/>
    <n v="5.42"/>
    <n v="35.58"/>
    <n v="2026"/>
    <n v="2"/>
    <n v="2025"/>
    <n v="11"/>
    <n v="11"/>
    <x v="24"/>
    <x v="24"/>
    <n v="-3311.58"/>
    <x v="1"/>
    <n v="-3311.58"/>
  </r>
  <r>
    <x v="228"/>
    <s v="OPT-NIFTY-24-Feb-2026-25550-C-E-I"/>
    <s v="NSE"/>
    <s v="Buy"/>
    <n v="195"/>
    <n v="0"/>
    <n v="176.45"/>
    <n v="34407.75"/>
    <s v="#202602202700009377"/>
    <n v="0"/>
    <n v="12.23"/>
    <n v="1.61"/>
    <n v="0.03"/>
    <n v="87"/>
    <n v="17.88"/>
    <n v="118.75"/>
    <n v="2026"/>
    <n v="2"/>
    <n v="2025"/>
    <n v="11"/>
    <n v="11"/>
    <x v="24"/>
    <x v="24"/>
    <n v="-34526.5"/>
    <x v="1"/>
    <n v="-34526.5"/>
  </r>
  <r>
    <x v="228"/>
    <s v="OPT-NIFTY-24-Feb-2026-25350-P-E-I"/>
    <s v="NSE"/>
    <s v="Buy"/>
    <n v="65"/>
    <n v="0"/>
    <n v="60.55"/>
    <n v="3935.75"/>
    <s v="#202602202700009082"/>
    <n v="0"/>
    <n v="1.4"/>
    <n v="0"/>
    <n v="0"/>
    <n v="29"/>
    <n v="5.48"/>
    <n v="35.880000000000003"/>
    <n v="2026"/>
    <n v="2"/>
    <n v="2025"/>
    <n v="11"/>
    <n v="11"/>
    <x v="24"/>
    <x v="24"/>
    <n v="-3971.63"/>
    <x v="1"/>
    <n v="-3971.63"/>
  </r>
  <r>
    <x v="228"/>
    <s v="OPT-NIFTY-24-Feb-2026-25350-P-E-I"/>
    <s v="NSE"/>
    <s v="Buy"/>
    <n v="65"/>
    <n v="0"/>
    <n v="55.8"/>
    <n v="3627"/>
    <s v="#202602202700008269"/>
    <n v="0"/>
    <n v="1.29"/>
    <n v="0"/>
    <n v="0"/>
    <n v="29"/>
    <n v="5.46"/>
    <n v="35.75"/>
    <n v="2026"/>
    <n v="2"/>
    <n v="2025"/>
    <n v="11"/>
    <n v="11"/>
    <x v="24"/>
    <x v="24"/>
    <n v="-3662.75"/>
    <x v="1"/>
    <n v="-3662.75"/>
  </r>
  <r>
    <x v="228"/>
    <s v="OPT-NIFTY-24-Feb-2026-25350-P-E-I"/>
    <s v="NSE"/>
    <s v="Buy"/>
    <n v="130"/>
    <n v="0"/>
    <n v="63"/>
    <n v="8190"/>
    <s v="#202602202700006057"/>
    <n v="0"/>
    <n v="2.91"/>
    <n v="1.39"/>
    <n v="0.01"/>
    <n v="58"/>
    <n v="10.96"/>
    <n v="73.27"/>
    <n v="2026"/>
    <n v="2"/>
    <n v="2025"/>
    <n v="11"/>
    <n v="11"/>
    <x v="24"/>
    <x v="24"/>
    <n v="-8263.27"/>
    <x v="1"/>
    <n v="-8263.27"/>
  </r>
  <r>
    <x v="228"/>
    <s v="OPT-NIFTY-24-Feb-2026-25550-C-E-I"/>
    <s v="NSE"/>
    <s v="Sell"/>
    <n v="130"/>
    <n v="0"/>
    <n v="114.8"/>
    <n v="14924"/>
    <s v="#202602202700003969"/>
    <n v="14.84"/>
    <n v="5.3"/>
    <n v="0"/>
    <n v="0.01"/>
    <n v="58"/>
    <n v="11.4"/>
    <n v="89.55"/>
    <n v="2026"/>
    <n v="2"/>
    <n v="2025"/>
    <n v="11"/>
    <n v="11"/>
    <x v="24"/>
    <x v="24"/>
    <n v="14834.45"/>
    <x v="522"/>
    <s v=""/>
  </r>
  <r>
    <x v="228"/>
    <s v="OPT-NIFTY-24-Feb-2026-25350-P-E-I"/>
    <s v="NSE"/>
    <s v="Buy"/>
    <n v="195"/>
    <n v="0"/>
    <n v="102.85"/>
    <n v="20055.75"/>
    <s v="#202602202700001862"/>
    <n v="0"/>
    <n v="7.14"/>
    <n v="0"/>
    <n v="0.03"/>
    <n v="87"/>
    <n v="16.920000000000002"/>
    <n v="111.09"/>
    <n v="2026"/>
    <n v="2"/>
    <n v="2025"/>
    <n v="11"/>
    <n v="11"/>
    <x v="24"/>
    <x v="24"/>
    <n v="-20166.84"/>
    <x v="1"/>
    <n v="-20166.84"/>
  </r>
  <r>
    <x v="229"/>
    <s v="OPT-NIFTY-24-Feb-2026-25650-P-E-I"/>
    <s v="NSE"/>
    <s v="Sell"/>
    <n v="715"/>
    <n v="0"/>
    <n v="109.9"/>
    <n v="78578.5"/>
    <s v="#202602232700009465"/>
    <n v="78.56"/>
    <n v="27.92"/>
    <n v="0"/>
    <n v="0.09"/>
    <n v="319"/>
    <n v="62.48"/>
    <n v="488.05"/>
    <n v="2026"/>
    <n v="2"/>
    <n v="2025"/>
    <n v="11"/>
    <n v="11"/>
    <x v="24"/>
    <x v="24"/>
    <n v="78090.45"/>
    <x v="523"/>
    <s v=""/>
  </r>
  <r>
    <x v="229"/>
    <s v="OPT-NIFTY-24-Feb-2026-25650-P-E-I"/>
    <s v="NSE"/>
    <s v="Buy"/>
    <n v="130"/>
    <n v="0"/>
    <n v="89.65"/>
    <n v="11654.5"/>
    <s v="#202602232700009126"/>
    <n v="0"/>
    <n v="4.1399999999999997"/>
    <n v="0"/>
    <n v="0.02"/>
    <n v="58"/>
    <n v="11.2"/>
    <n v="73.36"/>
    <n v="2026"/>
    <n v="2"/>
    <n v="2025"/>
    <n v="11"/>
    <n v="11"/>
    <x v="24"/>
    <x v="24"/>
    <n v="-11727.86"/>
    <x v="1"/>
    <n v="-11727.86"/>
  </r>
  <r>
    <x v="229"/>
    <s v="OPT-NIFTY-24-Feb-2026-25650-P-E-I"/>
    <s v="NSE"/>
    <s v="Buy"/>
    <n v="130"/>
    <n v="0"/>
    <n v="89.55"/>
    <n v="11641.5"/>
    <s v="#202602232700009115"/>
    <n v="0"/>
    <n v="4.1399999999999997"/>
    <n v="0"/>
    <n v="0.01"/>
    <n v="58"/>
    <n v="11.18"/>
    <n v="73.33"/>
    <n v="2026"/>
    <n v="2"/>
    <n v="2025"/>
    <n v="11"/>
    <n v="11"/>
    <x v="24"/>
    <x v="24"/>
    <n v="-11714.83"/>
    <x v="1"/>
    <n v="-11714.83"/>
  </r>
  <r>
    <x v="229"/>
    <s v="OPT-NIFTY-24-Feb-2026-25650-P-E-I"/>
    <s v="NSE"/>
    <s v="Buy"/>
    <n v="65"/>
    <n v="0"/>
    <n v="79.3"/>
    <n v="5154.5"/>
    <s v="#202602232700007889"/>
    <n v="0"/>
    <n v="1.83"/>
    <n v="0"/>
    <n v="0.01"/>
    <n v="29"/>
    <n v="5.56"/>
    <n v="36.4"/>
    <n v="2026"/>
    <n v="2"/>
    <n v="2025"/>
    <n v="11"/>
    <n v="11"/>
    <x v="24"/>
    <x v="24"/>
    <n v="-5190.8999999999996"/>
    <x v="1"/>
    <n v="-5190.8999999999996"/>
  </r>
  <r>
    <x v="229"/>
    <s v="OPT-NIFTY-24-Feb-2026-25650-P-E-I"/>
    <s v="NSE"/>
    <s v="Buy"/>
    <n v="65"/>
    <n v="0"/>
    <n v="81.650000000000006"/>
    <n v="5307.25"/>
    <s v="#202602232700007866"/>
    <n v="0"/>
    <n v="1.89"/>
    <n v="0"/>
    <n v="0.01"/>
    <n v="29"/>
    <n v="5.56"/>
    <n v="36.46"/>
    <n v="2026"/>
    <n v="2"/>
    <n v="2025"/>
    <n v="11"/>
    <n v="11"/>
    <x v="24"/>
    <x v="24"/>
    <n v="-5343.71"/>
    <x v="1"/>
    <n v="-5343.71"/>
  </r>
  <r>
    <x v="229"/>
    <s v="OPT-NIFTY-24-Feb-2026-25650-P-E-I"/>
    <s v="NSE"/>
    <s v="Buy"/>
    <n v="65"/>
    <n v="0"/>
    <n v="84.2"/>
    <n v="5473"/>
    <s v="#202602232700007831"/>
    <n v="0"/>
    <n v="1.94"/>
    <n v="0"/>
    <n v="0.01"/>
    <n v="29"/>
    <n v="5.58"/>
    <n v="36.53"/>
    <n v="2026"/>
    <n v="2"/>
    <n v="2025"/>
    <n v="11"/>
    <n v="11"/>
    <x v="24"/>
    <x v="24"/>
    <n v="-5509.53"/>
    <x v="1"/>
    <n v="-5509.53"/>
  </r>
  <r>
    <x v="229"/>
    <s v="OPT-NIFTY-24-Feb-2026-25650-P-E-I"/>
    <s v="NSE"/>
    <s v="Buy"/>
    <n v="260"/>
    <n v="0"/>
    <n v="94.7"/>
    <n v="24622"/>
    <s v="#202602232700007682"/>
    <n v="0"/>
    <n v="8.74"/>
    <n v="1.79"/>
    <n v="0.02"/>
    <n v="116"/>
    <n v="22.44"/>
    <n v="148.99"/>
    <n v="2026"/>
    <n v="2"/>
    <n v="2025"/>
    <n v="11"/>
    <n v="11"/>
    <x v="24"/>
    <x v="24"/>
    <n v="-24770.99"/>
    <x v="1"/>
    <n v="-24770.99"/>
  </r>
  <r>
    <x v="229"/>
    <s v="OPT-NIFTY-24-Feb-2026-25650-C-E-I"/>
    <s v="NSE"/>
    <s v="Sell"/>
    <n v="260"/>
    <n v="0"/>
    <n v="114.9"/>
    <n v="29874"/>
    <s v="#202602232700007353"/>
    <n v="29.88"/>
    <n v="10.62"/>
    <n v="0"/>
    <n v="0.02"/>
    <n v="116"/>
    <n v="22.8"/>
    <n v="179.32"/>
    <n v="2026"/>
    <n v="2"/>
    <n v="2025"/>
    <n v="11"/>
    <n v="11"/>
    <x v="24"/>
    <x v="24"/>
    <n v="29694.68"/>
    <x v="524"/>
    <s v=""/>
  </r>
  <r>
    <x v="229"/>
    <s v="OPT-NIFTY-24-Feb-2026-25650-C-E-I"/>
    <s v="NSE"/>
    <s v="Buy"/>
    <n v="260"/>
    <n v="0"/>
    <n v="106.9"/>
    <n v="27794"/>
    <s v="#202602232700006977"/>
    <n v="0"/>
    <n v="9.8800000000000008"/>
    <n v="0.83"/>
    <n v="0.03"/>
    <n v="116"/>
    <n v="22.66"/>
    <n v="149.4"/>
    <n v="2026"/>
    <n v="2"/>
    <n v="2025"/>
    <n v="11"/>
    <n v="11"/>
    <x v="24"/>
    <x v="24"/>
    <n v="-27943.4"/>
    <x v="1"/>
    <n v="-27943.4"/>
  </r>
  <r>
    <x v="229"/>
    <s v="OPT-NIFTY-24-Feb-2026-25350-P-E-I"/>
    <s v="NSE"/>
    <s v="Sell"/>
    <n v="650"/>
    <n v="0"/>
    <n v="18.399999999999999"/>
    <n v="11960"/>
    <s v="#202602232700002462"/>
    <n v="11.96"/>
    <n v="4.25"/>
    <n v="0"/>
    <n v="0.01"/>
    <n v="290"/>
    <n v="52.96"/>
    <n v="359.18"/>
    <n v="2026"/>
    <n v="2"/>
    <n v="2025"/>
    <n v="11"/>
    <n v="11"/>
    <x v="24"/>
    <x v="24"/>
    <n v="11600.82"/>
    <x v="525"/>
    <s v=""/>
  </r>
  <r>
    <x v="229"/>
    <s v="OPT-NIFTY-24-Feb-2026-25350-P-E-I"/>
    <s v="NSE"/>
    <s v="Buy"/>
    <n v="650"/>
    <n v="0"/>
    <n v="19.7"/>
    <n v="12805"/>
    <s v="#202602232700001679"/>
    <n v="0"/>
    <n v="4.54"/>
    <n v="0.38"/>
    <n v="0.02"/>
    <n v="290"/>
    <n v="53"/>
    <n v="347.94"/>
    <n v="2026"/>
    <n v="2"/>
    <n v="2025"/>
    <n v="11"/>
    <n v="11"/>
    <x v="24"/>
    <x v="24"/>
    <n v="-13152.94"/>
    <x v="1"/>
    <n v="-13152.94"/>
  </r>
  <r>
    <x v="229"/>
    <s v="OPT-NIFTY-24-Feb-2026-25350-P-E-I"/>
    <s v="NSE"/>
    <s v="Sell"/>
    <n v="650"/>
    <n v="0"/>
    <n v="22"/>
    <n v="14300"/>
    <s v="#202602232700001112"/>
    <n v="14.59"/>
    <n v="5.08"/>
    <n v="0"/>
    <n v="0.01"/>
    <n v="290"/>
    <n v="53.12"/>
    <n v="362.8"/>
    <n v="2026"/>
    <n v="2"/>
    <n v="2025"/>
    <n v="11"/>
    <n v="11"/>
    <x v="24"/>
    <x v="24"/>
    <n v="13937.2"/>
    <x v="526"/>
    <s v=""/>
  </r>
  <r>
    <x v="230"/>
    <m/>
    <m/>
    <m/>
    <m/>
    <m/>
    <m/>
    <m/>
    <m/>
    <m/>
    <m/>
    <m/>
    <m/>
    <m/>
    <m/>
    <m/>
    <m/>
    <m/>
    <m/>
    <m/>
    <m/>
    <x v="25"/>
    <x v="25"/>
    <m/>
    <x v="5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764A5-7E5C-4C6D-B972-1412839BA520}" name="PivotTable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35" firstHeaderRow="1" firstDataRow="1" firstDataCol="4"/>
  <pivotFields count="29">
    <pivotField axis="axisRow" compact="0" outline="0" showAll="0" defaultSubtotal="0">
      <items count="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28"/>
    <field x="27"/>
    <field x="26"/>
    <field x="0"/>
  </rowFields>
  <rowItems count="232">
    <i>
      <x/>
      <x/>
      <x/>
      <x v="230"/>
    </i>
    <i>
      <x v="1"/>
      <x v="1"/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2">
      <x v="3"/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1">
      <x v="2"/>
      <x v="4"/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2"/>
    </i>
    <i r="3">
      <x v="63"/>
    </i>
    <i r="2">
      <x v="5"/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2">
      <x v="6"/>
      <x v="73"/>
    </i>
    <i r="3">
      <x v="74"/>
    </i>
    <i r="3">
      <x v="75"/>
    </i>
    <i r="3">
      <x v="76"/>
    </i>
    <i r="3">
      <x v="77"/>
    </i>
    <i r="3">
      <x v="78"/>
    </i>
    <i r="1">
      <x v="3"/>
      <x v="7"/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2">
      <x v="8"/>
      <x v="95"/>
    </i>
    <i r="3">
      <x v="96"/>
    </i>
    <i r="2">
      <x v="9"/>
      <x v="97"/>
    </i>
    <i r="3">
      <x v="98"/>
    </i>
    <i r="3">
      <x v="99"/>
    </i>
    <i r="1">
      <x v="4"/>
      <x v="10"/>
      <x v="100"/>
    </i>
    <i r="2">
      <x v="11"/>
      <x v="101"/>
    </i>
    <i r="3">
      <x v="102"/>
    </i>
    <i r="3">
      <x v="103"/>
    </i>
    <i r="3">
      <x v="104"/>
    </i>
    <i r="3">
      <x v="105"/>
    </i>
    <i r="3">
      <x v="106"/>
    </i>
    <i r="2">
      <x v="12"/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3">
      <x v="123"/>
    </i>
    <i r="3">
      <x v="124"/>
    </i>
    <i r="3">
      <x v="125"/>
    </i>
    <i>
      <x v="2"/>
      <x v="1"/>
      <x v="1"/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2">
      <x v="2"/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2">
      <x v="3"/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1">
      <x v="2"/>
      <x v="4"/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2">
      <x v="5"/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2">
      <x v="6"/>
      <x v="178"/>
    </i>
    <i r="1">
      <x v="3"/>
      <x v="7"/>
      <x v="179"/>
    </i>
    <i r="2">
      <x v="8"/>
      <x v="180"/>
    </i>
    <i r="3">
      <x v="181"/>
    </i>
    <i r="3">
      <x v="182"/>
    </i>
    <i r="2">
      <x v="9"/>
      <x v="183"/>
    </i>
    <i r="3">
      <x v="184"/>
    </i>
    <i r="3">
      <x v="185"/>
    </i>
    <i r="3">
      <x v="186"/>
    </i>
    <i r="3">
      <x v="187"/>
    </i>
    <i r="3">
      <x v="188"/>
    </i>
    <i r="3">
      <x v="189"/>
    </i>
    <i r="1">
      <x v="4"/>
      <x v="11"/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12"/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>
      <x v="3"/>
      <x v="1"/>
      <x v="1"/>
      <x v="211"/>
    </i>
    <i r="3">
      <x v="212"/>
    </i>
    <i r="3">
      <x v="213"/>
    </i>
    <i r="3">
      <x v="214"/>
    </i>
    <i r="3">
      <x v="215"/>
    </i>
    <i r="3">
      <x v="216"/>
    </i>
    <i r="2">
      <x v="2"/>
      <x v="217"/>
    </i>
    <i r="3">
      <x v="218"/>
    </i>
    <i r="3">
      <x v="219"/>
    </i>
    <i r="3">
      <x v="220"/>
    </i>
    <i r="3">
      <x v="221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t="grand">
      <x/>
    </i>
  </rowItems>
  <colItems count="1">
    <i/>
  </colItems>
  <dataFields count="1">
    <dataField name="Sum of Amoun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6836C-6316-4558-B9B1-75A5ACA06061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E30" firstHeaderRow="1" firstDataRow="2" firstDataCol="2"/>
  <pivotFields count="24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4">
        <item x="1"/>
        <item h="1" x="2"/>
        <item x="0"/>
        <item h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6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x="2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 defaultSubtotal="0"/>
  </pivotFields>
  <rowFields count="2">
    <field x="21"/>
    <field x="22"/>
  </rowFields>
  <rowItems count="26">
    <i>
      <x/>
      <x v="4"/>
    </i>
    <i>
      <x v="1"/>
      <x v="3"/>
    </i>
    <i>
      <x v="2"/>
      <x v="7"/>
    </i>
    <i>
      <x v="3"/>
      <x/>
    </i>
    <i>
      <x v="4"/>
      <x v="8"/>
    </i>
    <i>
      <x v="5"/>
      <x v="6"/>
    </i>
    <i>
      <x v="6"/>
      <x v="5"/>
    </i>
    <i>
      <x v="7"/>
      <x v="1"/>
    </i>
    <i>
      <x v="8"/>
      <x v="11"/>
    </i>
    <i>
      <x v="9"/>
      <x v="10"/>
    </i>
    <i>
      <x v="10"/>
      <x v="9"/>
    </i>
    <i>
      <x v="11"/>
      <x v="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 t="grand">
      <x/>
    </i>
  </rowItems>
  <colFields count="1">
    <field x="3"/>
  </colFields>
  <colItems count="3">
    <i>
      <x/>
    </i>
    <i>
      <x v="2"/>
    </i>
    <i t="grand">
      <x/>
    </i>
  </colItems>
  <dataFields count="1">
    <dataField name="Sum of Amount" fld="23" baseField="21" baseItem="0"/>
  </dataFields>
  <formats count="1">
    <format dxfId="0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52658-6F6E-44E9-B3D3-77BDBD165A12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H4:J30" firstHeaderRow="1" firstDataRow="1" firstDataCol="2"/>
  <pivotFields count="29">
    <pivotField compact="0" outline="0" showAll="0" defaultSubtotal="0">
      <items count="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</items>
    </pivotField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2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6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x="2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21"/>
    <field x="22"/>
  </rowFields>
  <rowItems count="26">
    <i>
      <x/>
      <x v="4"/>
    </i>
    <i>
      <x v="1"/>
      <x v="3"/>
    </i>
    <i>
      <x v="2"/>
      <x v="7"/>
    </i>
    <i>
      <x v="3"/>
      <x/>
    </i>
    <i>
      <x v="4"/>
      <x v="8"/>
    </i>
    <i>
      <x v="5"/>
      <x v="6"/>
    </i>
    <i>
      <x v="6"/>
      <x v="5"/>
    </i>
    <i>
      <x v="7"/>
      <x v="1"/>
    </i>
    <i>
      <x v="8"/>
      <x v="11"/>
    </i>
    <i>
      <x v="9"/>
      <x v="10"/>
    </i>
    <i>
      <x v="10"/>
      <x v="9"/>
    </i>
    <i>
      <x v="11"/>
      <x v="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 t="grand">
      <x/>
    </i>
  </rowItems>
  <colItems count="1">
    <i/>
  </colItems>
  <dataFields count="1">
    <dataField name="Sum of Amount" fld="23" baseField="0" baseItem="0"/>
  </dataFields>
  <chartFormats count="1"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6"/>
  <sheetViews>
    <sheetView topLeftCell="A1390" zoomScaleNormal="100" workbookViewId="0">
      <selection activeCell="A1407" sqref="A1407"/>
    </sheetView>
  </sheetViews>
  <sheetFormatPr defaultRowHeight="15" x14ac:dyDescent="0.25"/>
  <cols>
    <col min="1" max="1" width="10.5703125" bestFit="1" customWidth="1"/>
    <col min="2" max="2" width="36.140625" bestFit="1" customWidth="1"/>
    <col min="24" max="24" width="10.28515625" style="3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919</v>
      </c>
      <c r="R1" t="s">
        <v>920</v>
      </c>
      <c r="S1" t="s">
        <v>921</v>
      </c>
      <c r="T1" t="s">
        <v>922</v>
      </c>
      <c r="U1" t="s">
        <v>924</v>
      </c>
      <c r="V1" t="s">
        <v>925</v>
      </c>
      <c r="W1" t="s">
        <v>923</v>
      </c>
      <c r="X1" s="3" t="s">
        <v>939</v>
      </c>
      <c r="Y1" t="s">
        <v>1886</v>
      </c>
      <c r="Z1" t="s">
        <v>1887</v>
      </c>
    </row>
    <row r="2" spans="1:26" x14ac:dyDescent="0.25">
      <c r="A2" s="1">
        <v>45300</v>
      </c>
      <c r="B2" t="s">
        <v>903</v>
      </c>
      <c r="C2" t="s">
        <v>17</v>
      </c>
      <c r="D2" t="s">
        <v>18</v>
      </c>
      <c r="E2">
        <v>600</v>
      </c>
      <c r="F2">
        <v>0</v>
      </c>
      <c r="G2">
        <v>51.9</v>
      </c>
      <c r="H2">
        <v>31140</v>
      </c>
      <c r="I2" t="s">
        <v>904</v>
      </c>
      <c r="J2">
        <v>19</v>
      </c>
      <c r="K2">
        <v>15.73</v>
      </c>
      <c r="L2">
        <v>0</v>
      </c>
      <c r="M2">
        <v>0.03</v>
      </c>
      <c r="N2">
        <v>300</v>
      </c>
      <c r="O2">
        <v>56.84</v>
      </c>
      <c r="P2">
        <v>391.6</v>
      </c>
      <c r="Q2">
        <f t="shared" ref="Q2:Q65" si="0">YEAR(A2)</f>
        <v>2024</v>
      </c>
      <c r="R2">
        <f t="shared" ref="R2:R65" si="1">MONTH(A2)</f>
        <v>1</v>
      </c>
      <c r="S2">
        <f t="shared" ref="S2:S65" si="2">IF(R2&lt;4,Q2-1,Q2)</f>
        <v>2023</v>
      </c>
      <c r="T2">
        <f t="shared" ref="T2:T65" si="3">IF(R2&lt;4,R2+9,R2-3)</f>
        <v>10</v>
      </c>
      <c r="U2">
        <f t="shared" ref="U2:U65" si="4">IF(LEN(T2)=1,_xlfn.CONCAT(0,T2),T2)</f>
        <v>10</v>
      </c>
      <c r="V2" t="str">
        <f t="shared" ref="V2:V65" si="5">_xlfn.CONCAT(S2,U2)</f>
        <v>202310</v>
      </c>
      <c r="W2" t="str">
        <f t="shared" ref="W2:W65" si="6">_xlfn.CONCAT(TEXT(A2,"MMM"),"-",MID(Q2,3,2))</f>
        <v>Jan-24</v>
      </c>
      <c r="X2" s="3">
        <f t="shared" ref="X2:X65" si="7">IFERROR(IF(D2="Sell",(H2-P2),-(H2+P2)),0)</f>
        <v>30748.400000000001</v>
      </c>
      <c r="Y2">
        <f>IF(X2&gt;0,X2,"")</f>
        <v>30748.400000000001</v>
      </c>
      <c r="Z2" t="str">
        <f>IF(X2&lt;0,X2,"")</f>
        <v/>
      </c>
    </row>
    <row r="3" spans="1:26" x14ac:dyDescent="0.25">
      <c r="A3" s="1">
        <v>45300</v>
      </c>
      <c r="B3" t="s">
        <v>903</v>
      </c>
      <c r="C3" t="s">
        <v>17</v>
      </c>
      <c r="D3" t="s">
        <v>22</v>
      </c>
      <c r="E3">
        <v>40</v>
      </c>
      <c r="F3">
        <v>0</v>
      </c>
      <c r="G3">
        <v>17.7</v>
      </c>
      <c r="H3">
        <v>708</v>
      </c>
      <c r="I3" t="s">
        <v>905</v>
      </c>
      <c r="J3">
        <v>0</v>
      </c>
      <c r="K3">
        <v>0.36</v>
      </c>
      <c r="L3">
        <v>0</v>
      </c>
      <c r="M3">
        <v>0</v>
      </c>
      <c r="N3">
        <v>20</v>
      </c>
      <c r="O3">
        <v>3.66</v>
      </c>
      <c r="P3">
        <v>24.02</v>
      </c>
      <c r="Q3">
        <f t="shared" si="0"/>
        <v>2024</v>
      </c>
      <c r="R3">
        <f t="shared" si="1"/>
        <v>1</v>
      </c>
      <c r="S3">
        <f t="shared" si="2"/>
        <v>2023</v>
      </c>
      <c r="T3">
        <f t="shared" si="3"/>
        <v>10</v>
      </c>
      <c r="U3">
        <f t="shared" si="4"/>
        <v>10</v>
      </c>
      <c r="V3" t="str">
        <f t="shared" si="5"/>
        <v>202310</v>
      </c>
      <c r="W3" t="str">
        <f t="shared" si="6"/>
        <v>Jan-24</v>
      </c>
      <c r="X3" s="3">
        <f t="shared" si="7"/>
        <v>-732.02</v>
      </c>
      <c r="Y3" t="str">
        <f t="shared" ref="Y3:Y66" si="8">IF(X3&gt;0,X3,"")</f>
        <v/>
      </c>
      <c r="Z3">
        <f t="shared" ref="Z3:Z66" si="9">IF(X3&lt;0,X3,"")</f>
        <v>-732.02</v>
      </c>
    </row>
    <row r="4" spans="1:26" x14ac:dyDescent="0.25">
      <c r="A4" s="1">
        <v>45300</v>
      </c>
      <c r="B4" t="s">
        <v>903</v>
      </c>
      <c r="C4" t="s">
        <v>17</v>
      </c>
      <c r="D4" t="s">
        <v>22</v>
      </c>
      <c r="E4">
        <v>40</v>
      </c>
      <c r="F4">
        <v>0</v>
      </c>
      <c r="G4">
        <v>21.1</v>
      </c>
      <c r="H4">
        <v>844</v>
      </c>
      <c r="I4" t="s">
        <v>906</v>
      </c>
      <c r="J4">
        <v>0</v>
      </c>
      <c r="K4">
        <v>0.43</v>
      </c>
      <c r="L4">
        <v>0</v>
      </c>
      <c r="M4">
        <v>0</v>
      </c>
      <c r="N4">
        <v>20</v>
      </c>
      <c r="O4">
        <v>3.68</v>
      </c>
      <c r="P4">
        <v>24.11</v>
      </c>
      <c r="Q4">
        <f t="shared" si="0"/>
        <v>2024</v>
      </c>
      <c r="R4">
        <f t="shared" si="1"/>
        <v>1</v>
      </c>
      <c r="S4">
        <f t="shared" si="2"/>
        <v>2023</v>
      </c>
      <c r="T4">
        <f t="shared" si="3"/>
        <v>10</v>
      </c>
      <c r="U4">
        <f t="shared" si="4"/>
        <v>10</v>
      </c>
      <c r="V4" t="str">
        <f t="shared" si="5"/>
        <v>202310</v>
      </c>
      <c r="W4" t="str">
        <f t="shared" si="6"/>
        <v>Jan-24</v>
      </c>
      <c r="X4" s="3">
        <f t="shared" si="7"/>
        <v>-868.11</v>
      </c>
      <c r="Y4" t="str">
        <f t="shared" si="8"/>
        <v/>
      </c>
      <c r="Z4">
        <f t="shared" si="9"/>
        <v>-868.11</v>
      </c>
    </row>
    <row r="5" spans="1:26" x14ac:dyDescent="0.25">
      <c r="A5" s="1">
        <v>45300</v>
      </c>
      <c r="B5" t="s">
        <v>903</v>
      </c>
      <c r="C5" t="s">
        <v>17</v>
      </c>
      <c r="D5" t="s">
        <v>22</v>
      </c>
      <c r="E5">
        <v>40</v>
      </c>
      <c r="F5">
        <v>0</v>
      </c>
      <c r="G5">
        <v>23.3</v>
      </c>
      <c r="H5">
        <v>932</v>
      </c>
      <c r="I5" t="s">
        <v>907</v>
      </c>
      <c r="J5">
        <v>0</v>
      </c>
      <c r="K5">
        <v>0.47</v>
      </c>
      <c r="L5">
        <v>0</v>
      </c>
      <c r="M5">
        <v>0</v>
      </c>
      <c r="N5">
        <v>20</v>
      </c>
      <c r="O5">
        <v>3.68</v>
      </c>
      <c r="P5">
        <v>24.15</v>
      </c>
      <c r="Q5">
        <f t="shared" si="0"/>
        <v>2024</v>
      </c>
      <c r="R5">
        <f t="shared" si="1"/>
        <v>1</v>
      </c>
      <c r="S5">
        <f t="shared" si="2"/>
        <v>2023</v>
      </c>
      <c r="T5">
        <f t="shared" si="3"/>
        <v>10</v>
      </c>
      <c r="U5">
        <f t="shared" si="4"/>
        <v>10</v>
      </c>
      <c r="V5" t="str">
        <f t="shared" si="5"/>
        <v>202310</v>
      </c>
      <c r="W5" t="str">
        <f t="shared" si="6"/>
        <v>Jan-24</v>
      </c>
      <c r="X5" s="3">
        <f t="shared" si="7"/>
        <v>-956.15</v>
      </c>
      <c r="Y5" t="str">
        <f t="shared" si="8"/>
        <v/>
      </c>
      <c r="Z5">
        <f t="shared" si="9"/>
        <v>-956.15</v>
      </c>
    </row>
    <row r="6" spans="1:26" x14ac:dyDescent="0.25">
      <c r="A6" s="1">
        <v>45300</v>
      </c>
      <c r="B6" t="s">
        <v>903</v>
      </c>
      <c r="C6" t="s">
        <v>17</v>
      </c>
      <c r="D6" t="s">
        <v>22</v>
      </c>
      <c r="E6">
        <v>40</v>
      </c>
      <c r="F6">
        <v>0</v>
      </c>
      <c r="G6">
        <v>22.1</v>
      </c>
      <c r="H6">
        <v>884</v>
      </c>
      <c r="I6" t="s">
        <v>908</v>
      </c>
      <c r="J6">
        <v>0</v>
      </c>
      <c r="K6">
        <v>0.45</v>
      </c>
      <c r="L6">
        <v>0</v>
      </c>
      <c r="M6">
        <v>0</v>
      </c>
      <c r="N6">
        <v>20</v>
      </c>
      <c r="O6">
        <v>3.68</v>
      </c>
      <c r="P6">
        <v>24.13</v>
      </c>
      <c r="Q6">
        <f t="shared" si="0"/>
        <v>2024</v>
      </c>
      <c r="R6">
        <f t="shared" si="1"/>
        <v>1</v>
      </c>
      <c r="S6">
        <f t="shared" si="2"/>
        <v>2023</v>
      </c>
      <c r="T6">
        <f t="shared" si="3"/>
        <v>10</v>
      </c>
      <c r="U6">
        <f t="shared" si="4"/>
        <v>10</v>
      </c>
      <c r="V6" t="str">
        <f t="shared" si="5"/>
        <v>202310</v>
      </c>
      <c r="W6" t="str">
        <f t="shared" si="6"/>
        <v>Jan-24</v>
      </c>
      <c r="X6" s="3">
        <f t="shared" si="7"/>
        <v>-908.13</v>
      </c>
      <c r="Y6" t="str">
        <f t="shared" si="8"/>
        <v/>
      </c>
      <c r="Z6">
        <f t="shared" si="9"/>
        <v>-908.13</v>
      </c>
    </row>
    <row r="7" spans="1:26" x14ac:dyDescent="0.25">
      <c r="A7" s="1">
        <v>45300</v>
      </c>
      <c r="B7" t="s">
        <v>903</v>
      </c>
      <c r="C7" t="s">
        <v>17</v>
      </c>
      <c r="D7" t="s">
        <v>22</v>
      </c>
      <c r="E7">
        <v>40</v>
      </c>
      <c r="F7">
        <v>0</v>
      </c>
      <c r="G7">
        <v>23.05</v>
      </c>
      <c r="H7">
        <v>922</v>
      </c>
      <c r="I7" t="s">
        <v>909</v>
      </c>
      <c r="J7">
        <v>0</v>
      </c>
      <c r="K7">
        <v>0.47</v>
      </c>
      <c r="L7">
        <v>0</v>
      </c>
      <c r="M7">
        <v>0</v>
      </c>
      <c r="N7">
        <v>20</v>
      </c>
      <c r="O7">
        <v>3.68</v>
      </c>
      <c r="P7">
        <v>24.15</v>
      </c>
      <c r="Q7">
        <f t="shared" si="0"/>
        <v>2024</v>
      </c>
      <c r="R7">
        <f t="shared" si="1"/>
        <v>1</v>
      </c>
      <c r="S7">
        <f t="shared" si="2"/>
        <v>2023</v>
      </c>
      <c r="T7">
        <f t="shared" si="3"/>
        <v>10</v>
      </c>
      <c r="U7">
        <f t="shared" si="4"/>
        <v>10</v>
      </c>
      <c r="V7" t="str">
        <f t="shared" si="5"/>
        <v>202310</v>
      </c>
      <c r="W7" t="str">
        <f t="shared" si="6"/>
        <v>Jan-24</v>
      </c>
      <c r="X7" s="3">
        <f t="shared" si="7"/>
        <v>-946.15</v>
      </c>
      <c r="Y7" t="str">
        <f t="shared" si="8"/>
        <v/>
      </c>
      <c r="Z7">
        <f t="shared" si="9"/>
        <v>-946.15</v>
      </c>
    </row>
    <row r="8" spans="1:26" x14ac:dyDescent="0.25">
      <c r="A8" s="1">
        <v>45300</v>
      </c>
      <c r="B8" t="s">
        <v>903</v>
      </c>
      <c r="C8" t="s">
        <v>17</v>
      </c>
      <c r="D8" t="s">
        <v>22</v>
      </c>
      <c r="E8">
        <v>40</v>
      </c>
      <c r="F8">
        <v>0</v>
      </c>
      <c r="G8">
        <v>28.7</v>
      </c>
      <c r="H8">
        <v>1148</v>
      </c>
      <c r="I8" t="s">
        <v>910</v>
      </c>
      <c r="J8">
        <v>0</v>
      </c>
      <c r="K8">
        <v>0.57999999999999996</v>
      </c>
      <c r="L8">
        <v>0</v>
      </c>
      <c r="M8">
        <v>0</v>
      </c>
      <c r="N8">
        <v>20</v>
      </c>
      <c r="O8">
        <v>3.7</v>
      </c>
      <c r="P8">
        <v>24.28</v>
      </c>
      <c r="Q8">
        <f t="shared" si="0"/>
        <v>2024</v>
      </c>
      <c r="R8">
        <f t="shared" si="1"/>
        <v>1</v>
      </c>
      <c r="S8">
        <f t="shared" si="2"/>
        <v>2023</v>
      </c>
      <c r="T8">
        <f t="shared" si="3"/>
        <v>10</v>
      </c>
      <c r="U8">
        <f t="shared" si="4"/>
        <v>10</v>
      </c>
      <c r="V8" t="str">
        <f t="shared" si="5"/>
        <v>202310</v>
      </c>
      <c r="W8" t="str">
        <f t="shared" si="6"/>
        <v>Jan-24</v>
      </c>
      <c r="X8" s="3">
        <f t="shared" si="7"/>
        <v>-1172.28</v>
      </c>
      <c r="Y8" t="str">
        <f t="shared" si="8"/>
        <v/>
      </c>
      <c r="Z8">
        <f t="shared" si="9"/>
        <v>-1172.28</v>
      </c>
    </row>
    <row r="9" spans="1:26" x14ac:dyDescent="0.25">
      <c r="A9" s="1">
        <v>45300</v>
      </c>
      <c r="B9" t="s">
        <v>903</v>
      </c>
      <c r="C9" t="s">
        <v>17</v>
      </c>
      <c r="D9" t="s">
        <v>22</v>
      </c>
      <c r="E9">
        <v>40</v>
      </c>
      <c r="F9">
        <v>0</v>
      </c>
      <c r="G9">
        <v>26.65</v>
      </c>
      <c r="H9">
        <v>1066</v>
      </c>
      <c r="I9" t="s">
        <v>911</v>
      </c>
      <c r="J9">
        <v>0</v>
      </c>
      <c r="K9">
        <v>0.54</v>
      </c>
      <c r="L9">
        <v>0</v>
      </c>
      <c r="M9">
        <v>0</v>
      </c>
      <c r="N9">
        <v>20</v>
      </c>
      <c r="O9">
        <v>3.7</v>
      </c>
      <c r="P9">
        <v>24.24</v>
      </c>
      <c r="Q9">
        <f t="shared" si="0"/>
        <v>2024</v>
      </c>
      <c r="R9">
        <f t="shared" si="1"/>
        <v>1</v>
      </c>
      <c r="S9">
        <f t="shared" si="2"/>
        <v>2023</v>
      </c>
      <c r="T9">
        <f t="shared" si="3"/>
        <v>10</v>
      </c>
      <c r="U9">
        <f t="shared" si="4"/>
        <v>10</v>
      </c>
      <c r="V9" t="str">
        <f t="shared" si="5"/>
        <v>202310</v>
      </c>
      <c r="W9" t="str">
        <f t="shared" si="6"/>
        <v>Jan-24</v>
      </c>
      <c r="X9" s="3">
        <f t="shared" si="7"/>
        <v>-1090.24</v>
      </c>
      <c r="Y9" t="str">
        <f t="shared" si="8"/>
        <v/>
      </c>
      <c r="Z9">
        <f t="shared" si="9"/>
        <v>-1090.24</v>
      </c>
    </row>
    <row r="10" spans="1:26" x14ac:dyDescent="0.25">
      <c r="A10" s="1">
        <v>45300</v>
      </c>
      <c r="B10" t="s">
        <v>903</v>
      </c>
      <c r="C10" t="s">
        <v>17</v>
      </c>
      <c r="D10" t="s">
        <v>22</v>
      </c>
      <c r="E10">
        <v>40</v>
      </c>
      <c r="F10">
        <v>0</v>
      </c>
      <c r="G10">
        <v>29</v>
      </c>
      <c r="H10">
        <v>1160</v>
      </c>
      <c r="I10" t="s">
        <v>912</v>
      </c>
      <c r="J10">
        <v>0</v>
      </c>
      <c r="K10">
        <v>0.59</v>
      </c>
      <c r="L10">
        <v>0</v>
      </c>
      <c r="M10">
        <v>0</v>
      </c>
      <c r="N10">
        <v>20</v>
      </c>
      <c r="O10">
        <v>3.7</v>
      </c>
      <c r="P10">
        <v>24.29</v>
      </c>
      <c r="Q10">
        <f t="shared" si="0"/>
        <v>2024</v>
      </c>
      <c r="R10">
        <f t="shared" si="1"/>
        <v>1</v>
      </c>
      <c r="S10">
        <f t="shared" si="2"/>
        <v>2023</v>
      </c>
      <c r="T10">
        <f t="shared" si="3"/>
        <v>10</v>
      </c>
      <c r="U10">
        <f t="shared" si="4"/>
        <v>10</v>
      </c>
      <c r="V10" t="str">
        <f t="shared" si="5"/>
        <v>202310</v>
      </c>
      <c r="W10" t="str">
        <f t="shared" si="6"/>
        <v>Jan-24</v>
      </c>
      <c r="X10" s="3">
        <f t="shared" si="7"/>
        <v>-1184.29</v>
      </c>
      <c r="Y10" t="str">
        <f t="shared" si="8"/>
        <v/>
      </c>
      <c r="Z10">
        <f t="shared" si="9"/>
        <v>-1184.29</v>
      </c>
    </row>
    <row r="11" spans="1:26" x14ac:dyDescent="0.25">
      <c r="A11" s="1">
        <v>45300</v>
      </c>
      <c r="B11" t="s">
        <v>903</v>
      </c>
      <c r="C11" t="s">
        <v>17</v>
      </c>
      <c r="D11" t="s">
        <v>22</v>
      </c>
      <c r="E11">
        <v>40</v>
      </c>
      <c r="F11">
        <v>0</v>
      </c>
      <c r="G11">
        <v>32.6</v>
      </c>
      <c r="H11">
        <v>1304</v>
      </c>
      <c r="I11" t="s">
        <v>913</v>
      </c>
      <c r="J11">
        <v>0</v>
      </c>
      <c r="K11">
        <v>0.66</v>
      </c>
      <c r="L11">
        <v>0</v>
      </c>
      <c r="M11">
        <v>0</v>
      </c>
      <c r="N11">
        <v>20</v>
      </c>
      <c r="O11">
        <v>3.72</v>
      </c>
      <c r="P11">
        <v>24.38</v>
      </c>
      <c r="Q11">
        <f t="shared" si="0"/>
        <v>2024</v>
      </c>
      <c r="R11">
        <f t="shared" si="1"/>
        <v>1</v>
      </c>
      <c r="S11">
        <f t="shared" si="2"/>
        <v>2023</v>
      </c>
      <c r="T11">
        <f t="shared" si="3"/>
        <v>10</v>
      </c>
      <c r="U11">
        <f t="shared" si="4"/>
        <v>10</v>
      </c>
      <c r="V11" t="str">
        <f t="shared" si="5"/>
        <v>202310</v>
      </c>
      <c r="W11" t="str">
        <f t="shared" si="6"/>
        <v>Jan-24</v>
      </c>
      <c r="X11" s="3">
        <f t="shared" si="7"/>
        <v>-1328.38</v>
      </c>
      <c r="Y11" t="str">
        <f t="shared" si="8"/>
        <v/>
      </c>
      <c r="Z11">
        <f t="shared" si="9"/>
        <v>-1328.38</v>
      </c>
    </row>
    <row r="12" spans="1:26" x14ac:dyDescent="0.25">
      <c r="A12" s="1">
        <v>45300</v>
      </c>
      <c r="B12" t="s">
        <v>903</v>
      </c>
      <c r="C12" t="s">
        <v>17</v>
      </c>
      <c r="D12" t="s">
        <v>22</v>
      </c>
      <c r="E12">
        <v>40</v>
      </c>
      <c r="F12">
        <v>0</v>
      </c>
      <c r="G12">
        <v>33.85</v>
      </c>
      <c r="H12">
        <v>1354</v>
      </c>
      <c r="I12" t="s">
        <v>914</v>
      </c>
      <c r="J12">
        <v>0</v>
      </c>
      <c r="K12">
        <v>0.68</v>
      </c>
      <c r="L12">
        <v>0</v>
      </c>
      <c r="M12">
        <v>0</v>
      </c>
      <c r="N12">
        <v>20</v>
      </c>
      <c r="O12">
        <v>3.72</v>
      </c>
      <c r="P12">
        <v>24.4</v>
      </c>
      <c r="Q12">
        <f t="shared" si="0"/>
        <v>2024</v>
      </c>
      <c r="R12">
        <f t="shared" si="1"/>
        <v>1</v>
      </c>
      <c r="S12">
        <f t="shared" si="2"/>
        <v>2023</v>
      </c>
      <c r="T12">
        <f t="shared" si="3"/>
        <v>10</v>
      </c>
      <c r="U12">
        <f t="shared" si="4"/>
        <v>10</v>
      </c>
      <c r="V12" t="str">
        <f t="shared" si="5"/>
        <v>202310</v>
      </c>
      <c r="W12" t="str">
        <f t="shared" si="6"/>
        <v>Jan-24</v>
      </c>
      <c r="X12" s="3">
        <f t="shared" si="7"/>
        <v>-1378.4</v>
      </c>
      <c r="Y12" t="str">
        <f t="shared" si="8"/>
        <v/>
      </c>
      <c r="Z12">
        <f t="shared" si="9"/>
        <v>-1378.4</v>
      </c>
    </row>
    <row r="13" spans="1:26" x14ac:dyDescent="0.25">
      <c r="A13" s="1">
        <v>45300</v>
      </c>
      <c r="B13" t="s">
        <v>903</v>
      </c>
      <c r="C13" t="s">
        <v>17</v>
      </c>
      <c r="D13" t="s">
        <v>22</v>
      </c>
      <c r="E13">
        <v>160</v>
      </c>
      <c r="F13">
        <v>0</v>
      </c>
      <c r="G13">
        <v>37.15</v>
      </c>
      <c r="H13">
        <v>5944</v>
      </c>
      <c r="I13" t="s">
        <v>915</v>
      </c>
      <c r="J13">
        <v>0</v>
      </c>
      <c r="K13">
        <v>3</v>
      </c>
      <c r="L13">
        <v>1</v>
      </c>
      <c r="M13">
        <v>0</v>
      </c>
      <c r="N13">
        <v>80</v>
      </c>
      <c r="O13">
        <v>14.94</v>
      </c>
      <c r="P13">
        <v>98.94</v>
      </c>
      <c r="Q13">
        <f t="shared" si="0"/>
        <v>2024</v>
      </c>
      <c r="R13">
        <f t="shared" si="1"/>
        <v>1</v>
      </c>
      <c r="S13">
        <f t="shared" si="2"/>
        <v>2023</v>
      </c>
      <c r="T13">
        <f t="shared" si="3"/>
        <v>10</v>
      </c>
      <c r="U13">
        <f t="shared" si="4"/>
        <v>10</v>
      </c>
      <c r="V13" t="str">
        <f t="shared" si="5"/>
        <v>202310</v>
      </c>
      <c r="W13" t="str">
        <f t="shared" si="6"/>
        <v>Jan-24</v>
      </c>
      <c r="X13" s="3">
        <f t="shared" si="7"/>
        <v>-6042.94</v>
      </c>
      <c r="Y13" t="str">
        <f t="shared" si="8"/>
        <v/>
      </c>
      <c r="Z13">
        <f t="shared" si="9"/>
        <v>-6042.94</v>
      </c>
    </row>
    <row r="14" spans="1:26" x14ac:dyDescent="0.25">
      <c r="A14" s="1">
        <v>45300</v>
      </c>
      <c r="B14" t="s">
        <v>903</v>
      </c>
      <c r="C14" t="s">
        <v>17</v>
      </c>
      <c r="D14" t="s">
        <v>22</v>
      </c>
      <c r="E14">
        <v>40</v>
      </c>
      <c r="F14">
        <v>0</v>
      </c>
      <c r="G14">
        <v>35.5</v>
      </c>
      <c r="H14">
        <v>1420</v>
      </c>
      <c r="I14" t="s">
        <v>916</v>
      </c>
      <c r="J14">
        <v>0</v>
      </c>
      <c r="K14">
        <v>0.72</v>
      </c>
      <c r="L14">
        <v>0</v>
      </c>
      <c r="M14">
        <v>0</v>
      </c>
      <c r="N14">
        <v>20</v>
      </c>
      <c r="O14">
        <v>3.72</v>
      </c>
      <c r="P14">
        <v>24.44</v>
      </c>
      <c r="Q14">
        <f t="shared" si="0"/>
        <v>2024</v>
      </c>
      <c r="R14">
        <f t="shared" si="1"/>
        <v>1</v>
      </c>
      <c r="S14">
        <f t="shared" si="2"/>
        <v>2023</v>
      </c>
      <c r="T14">
        <f t="shared" si="3"/>
        <v>10</v>
      </c>
      <c r="U14">
        <f t="shared" si="4"/>
        <v>10</v>
      </c>
      <c r="V14" t="str">
        <f t="shared" si="5"/>
        <v>202310</v>
      </c>
      <c r="W14" t="str">
        <f t="shared" si="6"/>
        <v>Jan-24</v>
      </c>
      <c r="X14" s="3">
        <f t="shared" si="7"/>
        <v>-1444.44</v>
      </c>
      <c r="Y14" t="str">
        <f t="shared" si="8"/>
        <v/>
      </c>
      <c r="Z14">
        <f t="shared" si="9"/>
        <v>-1444.44</v>
      </c>
    </row>
    <row r="15" spans="1:26" x14ac:dyDescent="0.25">
      <c r="A15" s="1">
        <v>45301</v>
      </c>
      <c r="B15" t="s">
        <v>887</v>
      </c>
      <c r="C15" t="s">
        <v>17</v>
      </c>
      <c r="D15" t="s">
        <v>22</v>
      </c>
      <c r="E15">
        <v>300</v>
      </c>
      <c r="F15">
        <v>0</v>
      </c>
      <c r="G15">
        <v>0.5</v>
      </c>
      <c r="H15">
        <v>150</v>
      </c>
      <c r="I15" t="s">
        <v>888</v>
      </c>
      <c r="J15">
        <v>0</v>
      </c>
      <c r="K15">
        <v>0.08</v>
      </c>
      <c r="L15">
        <v>0</v>
      </c>
      <c r="M15">
        <v>0</v>
      </c>
      <c r="N15">
        <v>400</v>
      </c>
      <c r="O15">
        <v>72.02</v>
      </c>
      <c r="P15">
        <v>472.1</v>
      </c>
      <c r="Q15">
        <f t="shared" si="0"/>
        <v>2024</v>
      </c>
      <c r="R15">
        <f t="shared" si="1"/>
        <v>1</v>
      </c>
      <c r="S15">
        <f t="shared" si="2"/>
        <v>2023</v>
      </c>
      <c r="T15">
        <f t="shared" si="3"/>
        <v>10</v>
      </c>
      <c r="U15">
        <f t="shared" si="4"/>
        <v>10</v>
      </c>
      <c r="V15" t="str">
        <f t="shared" si="5"/>
        <v>202310</v>
      </c>
      <c r="W15" t="str">
        <f t="shared" si="6"/>
        <v>Jan-24</v>
      </c>
      <c r="X15" s="3">
        <f t="shared" si="7"/>
        <v>-622.1</v>
      </c>
      <c r="Y15" t="str">
        <f t="shared" si="8"/>
        <v/>
      </c>
      <c r="Z15">
        <f t="shared" si="9"/>
        <v>-622.1</v>
      </c>
    </row>
    <row r="16" spans="1:26" x14ac:dyDescent="0.25">
      <c r="A16" s="1">
        <v>45301</v>
      </c>
      <c r="B16" t="s">
        <v>887</v>
      </c>
      <c r="C16" t="s">
        <v>17</v>
      </c>
      <c r="D16" t="s">
        <v>22</v>
      </c>
      <c r="E16">
        <v>900</v>
      </c>
      <c r="F16">
        <v>0</v>
      </c>
      <c r="G16">
        <v>0.5</v>
      </c>
      <c r="H16">
        <v>450</v>
      </c>
      <c r="I16" t="s">
        <v>889</v>
      </c>
      <c r="J16">
        <v>0</v>
      </c>
      <c r="K16">
        <v>0.23</v>
      </c>
      <c r="L16">
        <v>0.41</v>
      </c>
      <c r="M16">
        <v>0</v>
      </c>
      <c r="N16">
        <v>1200</v>
      </c>
      <c r="O16">
        <v>216.04</v>
      </c>
      <c r="P16">
        <v>1416.68</v>
      </c>
      <c r="Q16">
        <f t="shared" si="0"/>
        <v>2024</v>
      </c>
      <c r="R16">
        <f t="shared" si="1"/>
        <v>1</v>
      </c>
      <c r="S16">
        <f t="shared" si="2"/>
        <v>2023</v>
      </c>
      <c r="T16">
        <f t="shared" si="3"/>
        <v>10</v>
      </c>
      <c r="U16">
        <f t="shared" si="4"/>
        <v>10</v>
      </c>
      <c r="V16" t="str">
        <f t="shared" si="5"/>
        <v>202310</v>
      </c>
      <c r="W16" t="str">
        <f t="shared" si="6"/>
        <v>Jan-24</v>
      </c>
      <c r="X16" s="3">
        <f t="shared" si="7"/>
        <v>-1866.68</v>
      </c>
      <c r="Y16" t="str">
        <f t="shared" si="8"/>
        <v/>
      </c>
      <c r="Z16">
        <f t="shared" si="9"/>
        <v>-1866.68</v>
      </c>
    </row>
    <row r="17" spans="1:26" x14ac:dyDescent="0.25">
      <c r="A17" s="1">
        <v>45301</v>
      </c>
      <c r="B17" t="s">
        <v>887</v>
      </c>
      <c r="C17" t="s">
        <v>17</v>
      </c>
      <c r="D17" t="s">
        <v>22</v>
      </c>
      <c r="E17">
        <v>900</v>
      </c>
      <c r="F17">
        <v>0</v>
      </c>
      <c r="G17">
        <v>0.7</v>
      </c>
      <c r="H17">
        <v>630</v>
      </c>
      <c r="I17" t="s">
        <v>890</v>
      </c>
      <c r="J17">
        <v>0</v>
      </c>
      <c r="K17">
        <v>0.33</v>
      </c>
      <c r="L17">
        <v>0</v>
      </c>
      <c r="M17">
        <v>0</v>
      </c>
      <c r="N17">
        <v>1200</v>
      </c>
      <c r="O17">
        <v>216.08</v>
      </c>
      <c r="P17">
        <v>1416.41</v>
      </c>
      <c r="Q17">
        <f t="shared" si="0"/>
        <v>2024</v>
      </c>
      <c r="R17">
        <f t="shared" si="1"/>
        <v>1</v>
      </c>
      <c r="S17">
        <f t="shared" si="2"/>
        <v>2023</v>
      </c>
      <c r="T17">
        <f t="shared" si="3"/>
        <v>10</v>
      </c>
      <c r="U17">
        <f t="shared" si="4"/>
        <v>10</v>
      </c>
      <c r="V17" t="str">
        <f t="shared" si="5"/>
        <v>202310</v>
      </c>
      <c r="W17" t="str">
        <f t="shared" si="6"/>
        <v>Jan-24</v>
      </c>
      <c r="X17" s="3">
        <f t="shared" si="7"/>
        <v>-2046.41</v>
      </c>
      <c r="Y17" t="str">
        <f t="shared" si="8"/>
        <v/>
      </c>
      <c r="Z17">
        <f t="shared" si="9"/>
        <v>-2046.41</v>
      </c>
    </row>
    <row r="18" spans="1:26" x14ac:dyDescent="0.25">
      <c r="A18" s="1">
        <v>45301</v>
      </c>
      <c r="B18" t="s">
        <v>887</v>
      </c>
      <c r="C18" t="s">
        <v>17</v>
      </c>
      <c r="D18" t="s">
        <v>22</v>
      </c>
      <c r="E18">
        <v>900</v>
      </c>
      <c r="F18">
        <v>0</v>
      </c>
      <c r="G18">
        <v>1.3</v>
      </c>
      <c r="H18">
        <v>1170</v>
      </c>
      <c r="I18" t="s">
        <v>891</v>
      </c>
      <c r="J18">
        <v>0</v>
      </c>
      <c r="K18">
        <v>0.6</v>
      </c>
      <c r="L18">
        <v>0</v>
      </c>
      <c r="M18">
        <v>0</v>
      </c>
      <c r="N18">
        <v>1200</v>
      </c>
      <c r="O18">
        <v>216.1</v>
      </c>
      <c r="P18">
        <v>1416.7</v>
      </c>
      <c r="Q18">
        <f t="shared" si="0"/>
        <v>2024</v>
      </c>
      <c r="R18">
        <f t="shared" si="1"/>
        <v>1</v>
      </c>
      <c r="S18">
        <f t="shared" si="2"/>
        <v>2023</v>
      </c>
      <c r="T18">
        <f t="shared" si="3"/>
        <v>10</v>
      </c>
      <c r="U18">
        <f t="shared" si="4"/>
        <v>10</v>
      </c>
      <c r="V18" t="str">
        <f t="shared" si="5"/>
        <v>202310</v>
      </c>
      <c r="W18" t="str">
        <f t="shared" si="6"/>
        <v>Jan-24</v>
      </c>
      <c r="X18" s="3">
        <f t="shared" si="7"/>
        <v>-2586.6999999999998</v>
      </c>
      <c r="Y18" t="str">
        <f t="shared" si="8"/>
        <v/>
      </c>
      <c r="Z18">
        <f t="shared" si="9"/>
        <v>-2586.6999999999998</v>
      </c>
    </row>
    <row r="19" spans="1:26" x14ac:dyDescent="0.25">
      <c r="A19" s="1">
        <v>45301</v>
      </c>
      <c r="B19" t="s">
        <v>887</v>
      </c>
      <c r="C19" t="s">
        <v>17</v>
      </c>
      <c r="D19" t="s">
        <v>22</v>
      </c>
      <c r="E19">
        <v>150</v>
      </c>
      <c r="F19">
        <v>0</v>
      </c>
      <c r="G19">
        <v>4</v>
      </c>
      <c r="H19">
        <v>600</v>
      </c>
      <c r="I19" t="s">
        <v>892</v>
      </c>
      <c r="J19">
        <v>0</v>
      </c>
      <c r="K19">
        <v>0.3</v>
      </c>
      <c r="L19">
        <v>0</v>
      </c>
      <c r="M19">
        <v>0</v>
      </c>
      <c r="N19">
        <v>200</v>
      </c>
      <c r="O19">
        <v>36.06</v>
      </c>
      <c r="P19">
        <v>236.36</v>
      </c>
      <c r="Q19">
        <f t="shared" si="0"/>
        <v>2024</v>
      </c>
      <c r="R19">
        <f t="shared" si="1"/>
        <v>1</v>
      </c>
      <c r="S19">
        <f t="shared" si="2"/>
        <v>2023</v>
      </c>
      <c r="T19">
        <f t="shared" si="3"/>
        <v>10</v>
      </c>
      <c r="U19">
        <f t="shared" si="4"/>
        <v>10</v>
      </c>
      <c r="V19" t="str">
        <f t="shared" si="5"/>
        <v>202310</v>
      </c>
      <c r="W19" t="str">
        <f t="shared" si="6"/>
        <v>Jan-24</v>
      </c>
      <c r="X19" s="3">
        <f t="shared" si="7"/>
        <v>-836.36</v>
      </c>
      <c r="Y19" t="str">
        <f t="shared" si="8"/>
        <v/>
      </c>
      <c r="Z19">
        <f t="shared" si="9"/>
        <v>-836.36</v>
      </c>
    </row>
    <row r="20" spans="1:26" x14ac:dyDescent="0.25">
      <c r="A20" s="1">
        <v>45301</v>
      </c>
      <c r="B20" t="s">
        <v>887</v>
      </c>
      <c r="C20" t="s">
        <v>17</v>
      </c>
      <c r="D20" t="s">
        <v>22</v>
      </c>
      <c r="E20">
        <v>510</v>
      </c>
      <c r="F20">
        <v>0</v>
      </c>
      <c r="G20">
        <v>4</v>
      </c>
      <c r="H20">
        <v>2040</v>
      </c>
      <c r="I20" t="s">
        <v>893</v>
      </c>
      <c r="J20">
        <v>0</v>
      </c>
      <c r="K20">
        <v>1.03</v>
      </c>
      <c r="L20">
        <v>0</v>
      </c>
      <c r="M20">
        <v>0</v>
      </c>
      <c r="N20">
        <v>680</v>
      </c>
      <c r="O20">
        <v>122.58</v>
      </c>
      <c r="P20">
        <v>803.61</v>
      </c>
      <c r="Q20">
        <f t="shared" si="0"/>
        <v>2024</v>
      </c>
      <c r="R20">
        <f t="shared" si="1"/>
        <v>1</v>
      </c>
      <c r="S20">
        <f t="shared" si="2"/>
        <v>2023</v>
      </c>
      <c r="T20">
        <f t="shared" si="3"/>
        <v>10</v>
      </c>
      <c r="U20">
        <f t="shared" si="4"/>
        <v>10</v>
      </c>
      <c r="V20" t="str">
        <f t="shared" si="5"/>
        <v>202310</v>
      </c>
      <c r="W20" t="str">
        <f t="shared" si="6"/>
        <v>Jan-24</v>
      </c>
      <c r="X20" s="3">
        <f t="shared" si="7"/>
        <v>-2843.61</v>
      </c>
      <c r="Y20" t="str">
        <f t="shared" si="8"/>
        <v/>
      </c>
      <c r="Z20">
        <f t="shared" si="9"/>
        <v>-2843.61</v>
      </c>
    </row>
    <row r="21" spans="1:26" x14ac:dyDescent="0.25">
      <c r="A21" s="1">
        <v>45301</v>
      </c>
      <c r="B21" t="s">
        <v>887</v>
      </c>
      <c r="C21" t="s">
        <v>17</v>
      </c>
      <c r="D21" t="s">
        <v>22</v>
      </c>
      <c r="E21">
        <v>510</v>
      </c>
      <c r="F21">
        <v>0</v>
      </c>
      <c r="G21">
        <v>7</v>
      </c>
      <c r="H21">
        <v>3570</v>
      </c>
      <c r="I21" t="s">
        <v>894</v>
      </c>
      <c r="J21">
        <v>0</v>
      </c>
      <c r="K21">
        <v>1.8</v>
      </c>
      <c r="L21">
        <v>0</v>
      </c>
      <c r="M21">
        <v>0</v>
      </c>
      <c r="N21">
        <v>680</v>
      </c>
      <c r="O21">
        <v>122.72</v>
      </c>
      <c r="P21">
        <v>804.52</v>
      </c>
      <c r="Q21">
        <f t="shared" si="0"/>
        <v>2024</v>
      </c>
      <c r="R21">
        <f t="shared" si="1"/>
        <v>1</v>
      </c>
      <c r="S21">
        <f t="shared" si="2"/>
        <v>2023</v>
      </c>
      <c r="T21">
        <f t="shared" si="3"/>
        <v>10</v>
      </c>
      <c r="U21">
        <f t="shared" si="4"/>
        <v>10</v>
      </c>
      <c r="V21" t="str">
        <f t="shared" si="5"/>
        <v>202310</v>
      </c>
      <c r="W21" t="str">
        <f t="shared" si="6"/>
        <v>Jan-24</v>
      </c>
      <c r="X21" s="3">
        <f t="shared" si="7"/>
        <v>-4374.5200000000004</v>
      </c>
      <c r="Y21" t="str">
        <f t="shared" si="8"/>
        <v/>
      </c>
      <c r="Z21">
        <f t="shared" si="9"/>
        <v>-4374.5200000000004</v>
      </c>
    </row>
    <row r="22" spans="1:26" x14ac:dyDescent="0.25">
      <c r="A22" s="1">
        <v>45301</v>
      </c>
      <c r="B22" t="s">
        <v>895</v>
      </c>
      <c r="C22" t="s">
        <v>17</v>
      </c>
      <c r="D22" t="s">
        <v>18</v>
      </c>
      <c r="E22">
        <v>650</v>
      </c>
      <c r="F22">
        <v>0</v>
      </c>
      <c r="G22">
        <v>31.5</v>
      </c>
      <c r="H22">
        <v>20475</v>
      </c>
      <c r="I22" t="s">
        <v>896</v>
      </c>
      <c r="J22">
        <v>13</v>
      </c>
      <c r="K22">
        <v>10.34</v>
      </c>
      <c r="L22">
        <v>0</v>
      </c>
      <c r="M22">
        <v>0.02</v>
      </c>
      <c r="N22">
        <v>20</v>
      </c>
      <c r="O22">
        <v>5.46</v>
      </c>
      <c r="P22">
        <v>48.82</v>
      </c>
      <c r="Q22">
        <f t="shared" si="0"/>
        <v>2024</v>
      </c>
      <c r="R22">
        <f t="shared" si="1"/>
        <v>1</v>
      </c>
      <c r="S22">
        <f t="shared" si="2"/>
        <v>2023</v>
      </c>
      <c r="T22">
        <f t="shared" si="3"/>
        <v>10</v>
      </c>
      <c r="U22">
        <f t="shared" si="4"/>
        <v>10</v>
      </c>
      <c r="V22" t="str">
        <f t="shared" si="5"/>
        <v>202310</v>
      </c>
      <c r="W22" t="str">
        <f t="shared" si="6"/>
        <v>Jan-24</v>
      </c>
      <c r="X22" s="3">
        <f t="shared" si="7"/>
        <v>20426.18</v>
      </c>
      <c r="Y22">
        <f t="shared" si="8"/>
        <v>20426.18</v>
      </c>
      <c r="Z22" t="str">
        <f t="shared" si="9"/>
        <v/>
      </c>
    </row>
    <row r="23" spans="1:26" x14ac:dyDescent="0.25">
      <c r="A23" s="1">
        <v>45301</v>
      </c>
      <c r="B23" t="s">
        <v>887</v>
      </c>
      <c r="C23" t="s">
        <v>17</v>
      </c>
      <c r="D23" t="s">
        <v>22</v>
      </c>
      <c r="E23">
        <v>210</v>
      </c>
      <c r="F23">
        <v>0</v>
      </c>
      <c r="G23">
        <v>11</v>
      </c>
      <c r="H23">
        <v>2310</v>
      </c>
      <c r="I23" t="s">
        <v>897</v>
      </c>
      <c r="J23">
        <v>0</v>
      </c>
      <c r="K23">
        <v>1.17</v>
      </c>
      <c r="L23">
        <v>0</v>
      </c>
      <c r="M23">
        <v>0</v>
      </c>
      <c r="N23">
        <v>280</v>
      </c>
      <c r="O23">
        <v>50.62</v>
      </c>
      <c r="P23">
        <v>331.79</v>
      </c>
      <c r="Q23">
        <f t="shared" si="0"/>
        <v>2024</v>
      </c>
      <c r="R23">
        <f t="shared" si="1"/>
        <v>1</v>
      </c>
      <c r="S23">
        <f t="shared" si="2"/>
        <v>2023</v>
      </c>
      <c r="T23">
        <f t="shared" si="3"/>
        <v>10</v>
      </c>
      <c r="U23">
        <f t="shared" si="4"/>
        <v>10</v>
      </c>
      <c r="V23" t="str">
        <f t="shared" si="5"/>
        <v>202310</v>
      </c>
      <c r="W23" t="str">
        <f t="shared" si="6"/>
        <v>Jan-24</v>
      </c>
      <c r="X23" s="3">
        <f t="shared" si="7"/>
        <v>-2641.79</v>
      </c>
      <c r="Y23" t="str">
        <f t="shared" si="8"/>
        <v/>
      </c>
      <c r="Z23">
        <f t="shared" si="9"/>
        <v>-2641.79</v>
      </c>
    </row>
    <row r="24" spans="1:26" x14ac:dyDescent="0.25">
      <c r="A24" s="1">
        <v>45301</v>
      </c>
      <c r="B24" t="s">
        <v>887</v>
      </c>
      <c r="C24" t="s">
        <v>17</v>
      </c>
      <c r="D24" t="s">
        <v>22</v>
      </c>
      <c r="E24">
        <v>210</v>
      </c>
      <c r="F24">
        <v>0</v>
      </c>
      <c r="G24">
        <v>16</v>
      </c>
      <c r="H24">
        <v>3360</v>
      </c>
      <c r="I24" t="s">
        <v>898</v>
      </c>
      <c r="J24">
        <v>0</v>
      </c>
      <c r="K24">
        <v>1.69</v>
      </c>
      <c r="L24">
        <v>0</v>
      </c>
      <c r="M24">
        <v>0</v>
      </c>
      <c r="N24">
        <v>280</v>
      </c>
      <c r="O24">
        <v>50.7</v>
      </c>
      <c r="P24">
        <v>332.39</v>
      </c>
      <c r="Q24">
        <f t="shared" si="0"/>
        <v>2024</v>
      </c>
      <c r="R24">
        <f t="shared" si="1"/>
        <v>1</v>
      </c>
      <c r="S24">
        <f t="shared" si="2"/>
        <v>2023</v>
      </c>
      <c r="T24">
        <f t="shared" si="3"/>
        <v>10</v>
      </c>
      <c r="U24">
        <f t="shared" si="4"/>
        <v>10</v>
      </c>
      <c r="V24" t="str">
        <f t="shared" si="5"/>
        <v>202310</v>
      </c>
      <c r="W24" t="str">
        <f t="shared" si="6"/>
        <v>Jan-24</v>
      </c>
      <c r="X24" s="3">
        <f t="shared" si="7"/>
        <v>-3692.39</v>
      </c>
      <c r="Y24" t="str">
        <f t="shared" si="8"/>
        <v/>
      </c>
      <c r="Z24">
        <f t="shared" si="9"/>
        <v>-3692.39</v>
      </c>
    </row>
    <row r="25" spans="1:26" x14ac:dyDescent="0.25">
      <c r="A25" s="1">
        <v>45301</v>
      </c>
      <c r="B25" t="s">
        <v>887</v>
      </c>
      <c r="C25" t="s">
        <v>17</v>
      </c>
      <c r="D25" t="s">
        <v>22</v>
      </c>
      <c r="E25">
        <v>210</v>
      </c>
      <c r="F25">
        <v>0</v>
      </c>
      <c r="G25">
        <v>19</v>
      </c>
      <c r="H25">
        <v>3990</v>
      </c>
      <c r="I25" t="s">
        <v>899</v>
      </c>
      <c r="J25">
        <v>0</v>
      </c>
      <c r="K25">
        <v>2.0099999999999998</v>
      </c>
      <c r="L25">
        <v>0</v>
      </c>
      <c r="M25">
        <v>0</v>
      </c>
      <c r="N25">
        <v>280</v>
      </c>
      <c r="O25">
        <v>50.76</v>
      </c>
      <c r="P25">
        <v>332.77</v>
      </c>
      <c r="Q25">
        <f t="shared" si="0"/>
        <v>2024</v>
      </c>
      <c r="R25">
        <f t="shared" si="1"/>
        <v>1</v>
      </c>
      <c r="S25">
        <f t="shared" si="2"/>
        <v>2023</v>
      </c>
      <c r="T25">
        <f t="shared" si="3"/>
        <v>10</v>
      </c>
      <c r="U25">
        <f t="shared" si="4"/>
        <v>10</v>
      </c>
      <c r="V25" t="str">
        <f t="shared" si="5"/>
        <v>202310</v>
      </c>
      <c r="W25" t="str">
        <f t="shared" si="6"/>
        <v>Jan-24</v>
      </c>
      <c r="X25" s="3">
        <f t="shared" si="7"/>
        <v>-4322.7700000000004</v>
      </c>
      <c r="Y25" t="str">
        <f t="shared" si="8"/>
        <v/>
      </c>
      <c r="Z25">
        <f t="shared" si="9"/>
        <v>-4322.7700000000004</v>
      </c>
    </row>
    <row r="26" spans="1:26" x14ac:dyDescent="0.25">
      <c r="A26" s="1">
        <v>45301</v>
      </c>
      <c r="B26" t="s">
        <v>887</v>
      </c>
      <c r="C26" t="s">
        <v>17</v>
      </c>
      <c r="D26" t="s">
        <v>22</v>
      </c>
      <c r="E26">
        <v>105</v>
      </c>
      <c r="F26">
        <v>0</v>
      </c>
      <c r="G26">
        <v>33</v>
      </c>
      <c r="H26">
        <v>3465</v>
      </c>
      <c r="I26" t="s">
        <v>900</v>
      </c>
      <c r="J26">
        <v>0</v>
      </c>
      <c r="K26">
        <v>1.75</v>
      </c>
      <c r="L26">
        <v>0</v>
      </c>
      <c r="M26">
        <v>0</v>
      </c>
      <c r="N26">
        <v>140</v>
      </c>
      <c r="O26">
        <v>25.52</v>
      </c>
      <c r="P26">
        <v>167.27</v>
      </c>
      <c r="Q26">
        <f t="shared" si="0"/>
        <v>2024</v>
      </c>
      <c r="R26">
        <f t="shared" si="1"/>
        <v>1</v>
      </c>
      <c r="S26">
        <f t="shared" si="2"/>
        <v>2023</v>
      </c>
      <c r="T26">
        <f t="shared" si="3"/>
        <v>10</v>
      </c>
      <c r="U26">
        <f t="shared" si="4"/>
        <v>10</v>
      </c>
      <c r="V26" t="str">
        <f t="shared" si="5"/>
        <v>202310</v>
      </c>
      <c r="W26" t="str">
        <f t="shared" si="6"/>
        <v>Jan-24</v>
      </c>
      <c r="X26" s="3">
        <f t="shared" si="7"/>
        <v>-3632.27</v>
      </c>
      <c r="Y26" t="str">
        <f t="shared" si="8"/>
        <v/>
      </c>
      <c r="Z26">
        <f t="shared" si="9"/>
        <v>-3632.27</v>
      </c>
    </row>
    <row r="27" spans="1:26" x14ac:dyDescent="0.25">
      <c r="A27" s="1">
        <v>45301</v>
      </c>
      <c r="B27" t="s">
        <v>887</v>
      </c>
      <c r="C27" t="s">
        <v>17</v>
      </c>
      <c r="D27" t="s">
        <v>22</v>
      </c>
      <c r="E27">
        <v>105</v>
      </c>
      <c r="F27">
        <v>0</v>
      </c>
      <c r="G27">
        <v>46.95</v>
      </c>
      <c r="H27">
        <v>4929.75</v>
      </c>
      <c r="I27" t="s">
        <v>901</v>
      </c>
      <c r="J27">
        <v>0</v>
      </c>
      <c r="K27">
        <v>2.5</v>
      </c>
      <c r="L27">
        <v>0</v>
      </c>
      <c r="M27">
        <v>0</v>
      </c>
      <c r="N27">
        <v>140</v>
      </c>
      <c r="O27">
        <v>25.64</v>
      </c>
      <c r="P27">
        <v>168.14</v>
      </c>
      <c r="Q27">
        <f t="shared" si="0"/>
        <v>2024</v>
      </c>
      <c r="R27">
        <f t="shared" si="1"/>
        <v>1</v>
      </c>
      <c r="S27">
        <f t="shared" si="2"/>
        <v>2023</v>
      </c>
      <c r="T27">
        <f t="shared" si="3"/>
        <v>10</v>
      </c>
      <c r="U27">
        <f t="shared" si="4"/>
        <v>10</v>
      </c>
      <c r="V27" t="str">
        <f t="shared" si="5"/>
        <v>202310</v>
      </c>
      <c r="W27" t="str">
        <f t="shared" si="6"/>
        <v>Jan-24</v>
      </c>
      <c r="X27" s="3">
        <f t="shared" si="7"/>
        <v>-5097.8900000000003</v>
      </c>
      <c r="Y27" t="str">
        <f t="shared" si="8"/>
        <v/>
      </c>
      <c r="Z27">
        <f t="shared" si="9"/>
        <v>-5097.8900000000003</v>
      </c>
    </row>
    <row r="28" spans="1:26" x14ac:dyDescent="0.25">
      <c r="A28" s="1">
        <v>45301</v>
      </c>
      <c r="B28" t="s">
        <v>895</v>
      </c>
      <c r="C28" t="s">
        <v>17</v>
      </c>
      <c r="D28" t="s">
        <v>22</v>
      </c>
      <c r="E28">
        <v>650</v>
      </c>
      <c r="F28">
        <v>0</v>
      </c>
      <c r="G28">
        <v>30.45</v>
      </c>
      <c r="H28">
        <v>19792.5</v>
      </c>
      <c r="I28" t="s">
        <v>902</v>
      </c>
      <c r="J28">
        <v>0</v>
      </c>
      <c r="K28">
        <v>10</v>
      </c>
      <c r="L28">
        <v>0.59</v>
      </c>
      <c r="M28">
        <v>0.02</v>
      </c>
      <c r="N28">
        <v>20</v>
      </c>
      <c r="O28">
        <v>5.4</v>
      </c>
      <c r="P28">
        <v>36.01</v>
      </c>
      <c r="Q28">
        <f t="shared" si="0"/>
        <v>2024</v>
      </c>
      <c r="R28">
        <f t="shared" si="1"/>
        <v>1</v>
      </c>
      <c r="S28">
        <f t="shared" si="2"/>
        <v>2023</v>
      </c>
      <c r="T28">
        <f t="shared" si="3"/>
        <v>10</v>
      </c>
      <c r="U28">
        <f t="shared" si="4"/>
        <v>10</v>
      </c>
      <c r="V28" t="str">
        <f t="shared" si="5"/>
        <v>202310</v>
      </c>
      <c r="W28" t="str">
        <f t="shared" si="6"/>
        <v>Jan-24</v>
      </c>
      <c r="X28" s="3">
        <f t="shared" si="7"/>
        <v>-19828.509999999998</v>
      </c>
      <c r="Y28" t="str">
        <f t="shared" si="8"/>
        <v/>
      </c>
      <c r="Z28">
        <f t="shared" si="9"/>
        <v>-19828.509999999998</v>
      </c>
    </row>
    <row r="29" spans="1:26" x14ac:dyDescent="0.25">
      <c r="A29" s="1">
        <v>45301</v>
      </c>
      <c r="B29" t="s">
        <v>887</v>
      </c>
      <c r="C29" t="s">
        <v>17</v>
      </c>
      <c r="D29" t="s">
        <v>917</v>
      </c>
      <c r="E29">
        <v>5010</v>
      </c>
      <c r="F29">
        <v>0</v>
      </c>
      <c r="G29">
        <v>0</v>
      </c>
      <c r="H29" t="s">
        <v>918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f t="shared" si="0"/>
        <v>2024</v>
      </c>
      <c r="R29">
        <f t="shared" si="1"/>
        <v>1</v>
      </c>
      <c r="S29">
        <f t="shared" si="2"/>
        <v>2023</v>
      </c>
      <c r="T29">
        <f t="shared" si="3"/>
        <v>10</v>
      </c>
      <c r="U29">
        <f t="shared" si="4"/>
        <v>10</v>
      </c>
      <c r="V29" t="str">
        <f t="shared" si="5"/>
        <v>202310</v>
      </c>
      <c r="W29" t="str">
        <f t="shared" si="6"/>
        <v>Jan-24</v>
      </c>
      <c r="X29" s="3">
        <f t="shared" si="7"/>
        <v>0</v>
      </c>
      <c r="Y29" t="str">
        <f t="shared" si="8"/>
        <v/>
      </c>
      <c r="Z29" t="str">
        <f t="shared" si="9"/>
        <v/>
      </c>
    </row>
    <row r="30" spans="1:26" x14ac:dyDescent="0.25">
      <c r="A30" s="1">
        <v>45302</v>
      </c>
      <c r="B30" t="s">
        <v>884</v>
      </c>
      <c r="C30" t="s">
        <v>17</v>
      </c>
      <c r="D30" t="s">
        <v>18</v>
      </c>
      <c r="E30">
        <v>40</v>
      </c>
      <c r="F30">
        <v>0</v>
      </c>
      <c r="G30">
        <v>105</v>
      </c>
      <c r="H30">
        <v>4200</v>
      </c>
      <c r="I30" t="s">
        <v>885</v>
      </c>
      <c r="J30">
        <v>3</v>
      </c>
      <c r="K30">
        <v>2.12</v>
      </c>
      <c r="L30">
        <v>0</v>
      </c>
      <c r="M30">
        <v>0</v>
      </c>
      <c r="N30">
        <v>20</v>
      </c>
      <c r="O30">
        <v>3.98</v>
      </c>
      <c r="P30">
        <v>29.1</v>
      </c>
      <c r="Q30">
        <f t="shared" si="0"/>
        <v>2024</v>
      </c>
      <c r="R30">
        <f t="shared" si="1"/>
        <v>1</v>
      </c>
      <c r="S30">
        <f t="shared" si="2"/>
        <v>2023</v>
      </c>
      <c r="T30">
        <f t="shared" si="3"/>
        <v>10</v>
      </c>
      <c r="U30">
        <f t="shared" si="4"/>
        <v>10</v>
      </c>
      <c r="V30" t="str">
        <f t="shared" si="5"/>
        <v>202310</v>
      </c>
      <c r="W30" t="str">
        <f t="shared" si="6"/>
        <v>Jan-24</v>
      </c>
      <c r="X30" s="3">
        <f t="shared" si="7"/>
        <v>4170.8999999999996</v>
      </c>
      <c r="Y30">
        <f t="shared" si="8"/>
        <v>4170.8999999999996</v>
      </c>
      <c r="Z30" t="str">
        <f t="shared" si="9"/>
        <v/>
      </c>
    </row>
    <row r="31" spans="1:26" x14ac:dyDescent="0.25">
      <c r="A31" s="1">
        <v>45302</v>
      </c>
      <c r="B31" t="s">
        <v>884</v>
      </c>
      <c r="C31" t="s">
        <v>17</v>
      </c>
      <c r="D31" t="s">
        <v>22</v>
      </c>
      <c r="E31">
        <v>40</v>
      </c>
      <c r="F31">
        <v>0</v>
      </c>
      <c r="G31">
        <v>75.75</v>
      </c>
      <c r="H31">
        <v>3030</v>
      </c>
      <c r="I31" t="s">
        <v>886</v>
      </c>
      <c r="J31">
        <v>0</v>
      </c>
      <c r="K31">
        <v>1.53</v>
      </c>
      <c r="L31">
        <v>0</v>
      </c>
      <c r="M31">
        <v>0</v>
      </c>
      <c r="N31">
        <v>20</v>
      </c>
      <c r="O31">
        <v>3.88</v>
      </c>
      <c r="P31">
        <v>25.41</v>
      </c>
      <c r="Q31">
        <f t="shared" si="0"/>
        <v>2024</v>
      </c>
      <c r="R31">
        <f t="shared" si="1"/>
        <v>1</v>
      </c>
      <c r="S31">
        <f t="shared" si="2"/>
        <v>2023</v>
      </c>
      <c r="T31">
        <f t="shared" si="3"/>
        <v>10</v>
      </c>
      <c r="U31">
        <f t="shared" si="4"/>
        <v>10</v>
      </c>
      <c r="V31" t="str">
        <f t="shared" si="5"/>
        <v>202310</v>
      </c>
      <c r="W31" t="str">
        <f t="shared" si="6"/>
        <v>Jan-24</v>
      </c>
      <c r="X31" s="3">
        <f t="shared" si="7"/>
        <v>-3055.41</v>
      </c>
      <c r="Y31" t="str">
        <f t="shared" si="8"/>
        <v/>
      </c>
      <c r="Z31">
        <f t="shared" si="9"/>
        <v>-3055.41</v>
      </c>
    </row>
    <row r="32" spans="1:26" x14ac:dyDescent="0.25">
      <c r="A32" s="1">
        <v>45308</v>
      </c>
      <c r="B32" t="s">
        <v>870</v>
      </c>
      <c r="C32" t="s">
        <v>17</v>
      </c>
      <c r="D32" t="s">
        <v>18</v>
      </c>
      <c r="E32">
        <v>600</v>
      </c>
      <c r="F32">
        <v>0</v>
      </c>
      <c r="G32">
        <v>16.149999999999999</v>
      </c>
      <c r="H32">
        <v>9690</v>
      </c>
      <c r="I32" t="s">
        <v>871</v>
      </c>
      <c r="J32">
        <v>6.06</v>
      </c>
      <c r="K32">
        <v>4.9000000000000004</v>
      </c>
      <c r="L32">
        <v>0</v>
      </c>
      <c r="M32">
        <v>0.01</v>
      </c>
      <c r="N32">
        <v>800</v>
      </c>
      <c r="O32">
        <v>144.88</v>
      </c>
      <c r="P32">
        <v>955.85</v>
      </c>
      <c r="Q32">
        <f t="shared" si="0"/>
        <v>2024</v>
      </c>
      <c r="R32">
        <f t="shared" si="1"/>
        <v>1</v>
      </c>
      <c r="S32">
        <f t="shared" si="2"/>
        <v>2023</v>
      </c>
      <c r="T32">
        <f t="shared" si="3"/>
        <v>10</v>
      </c>
      <c r="U32">
        <f t="shared" si="4"/>
        <v>10</v>
      </c>
      <c r="V32" t="str">
        <f t="shared" si="5"/>
        <v>202310</v>
      </c>
      <c r="W32" t="str">
        <f t="shared" si="6"/>
        <v>Jan-24</v>
      </c>
      <c r="X32" s="3">
        <f t="shared" si="7"/>
        <v>8734.15</v>
      </c>
      <c r="Y32">
        <f t="shared" si="8"/>
        <v>8734.15</v>
      </c>
      <c r="Z32" t="str">
        <f t="shared" si="9"/>
        <v/>
      </c>
    </row>
    <row r="33" spans="1:26" x14ac:dyDescent="0.25">
      <c r="A33" s="1">
        <v>45308</v>
      </c>
      <c r="B33" t="s">
        <v>870</v>
      </c>
      <c r="C33" t="s">
        <v>17</v>
      </c>
      <c r="D33" t="s">
        <v>18</v>
      </c>
      <c r="E33">
        <v>900</v>
      </c>
      <c r="F33">
        <v>0</v>
      </c>
      <c r="G33">
        <v>16.149999999999999</v>
      </c>
      <c r="H33">
        <v>14535</v>
      </c>
      <c r="I33" t="s">
        <v>872</v>
      </c>
      <c r="J33">
        <v>8.9499999999999993</v>
      </c>
      <c r="K33">
        <v>7.34</v>
      </c>
      <c r="L33">
        <v>0</v>
      </c>
      <c r="M33">
        <v>0.01</v>
      </c>
      <c r="N33">
        <v>1200</v>
      </c>
      <c r="O33">
        <v>217.32</v>
      </c>
      <c r="P33">
        <v>1433.62</v>
      </c>
      <c r="Q33">
        <f t="shared" si="0"/>
        <v>2024</v>
      </c>
      <c r="R33">
        <f t="shared" si="1"/>
        <v>1</v>
      </c>
      <c r="S33">
        <f t="shared" si="2"/>
        <v>2023</v>
      </c>
      <c r="T33">
        <f t="shared" si="3"/>
        <v>10</v>
      </c>
      <c r="U33">
        <f t="shared" si="4"/>
        <v>10</v>
      </c>
      <c r="V33" t="str">
        <f t="shared" si="5"/>
        <v>202310</v>
      </c>
      <c r="W33" t="str">
        <f t="shared" si="6"/>
        <v>Jan-24</v>
      </c>
      <c r="X33" s="3">
        <f t="shared" si="7"/>
        <v>13101.380000000001</v>
      </c>
      <c r="Y33">
        <f t="shared" si="8"/>
        <v>13101.380000000001</v>
      </c>
      <c r="Z33" t="str">
        <f t="shared" si="9"/>
        <v/>
      </c>
    </row>
    <row r="34" spans="1:26" x14ac:dyDescent="0.25">
      <c r="A34" s="1">
        <v>45308</v>
      </c>
      <c r="B34" t="s">
        <v>870</v>
      </c>
      <c r="C34" t="s">
        <v>17</v>
      </c>
      <c r="D34" t="s">
        <v>22</v>
      </c>
      <c r="E34">
        <v>300</v>
      </c>
      <c r="F34">
        <v>0</v>
      </c>
      <c r="G34">
        <v>31.75</v>
      </c>
      <c r="H34">
        <v>9525</v>
      </c>
      <c r="I34" t="s">
        <v>873</v>
      </c>
      <c r="J34">
        <v>0</v>
      </c>
      <c r="K34">
        <v>4.8</v>
      </c>
      <c r="L34">
        <v>0</v>
      </c>
      <c r="M34">
        <v>0</v>
      </c>
      <c r="N34">
        <v>400</v>
      </c>
      <c r="O34">
        <v>72.86</v>
      </c>
      <c r="P34">
        <v>477.66</v>
      </c>
      <c r="Q34">
        <f t="shared" si="0"/>
        <v>2024</v>
      </c>
      <c r="R34">
        <f t="shared" si="1"/>
        <v>1</v>
      </c>
      <c r="S34">
        <f t="shared" si="2"/>
        <v>2023</v>
      </c>
      <c r="T34">
        <f t="shared" si="3"/>
        <v>10</v>
      </c>
      <c r="U34">
        <f t="shared" si="4"/>
        <v>10</v>
      </c>
      <c r="V34" t="str">
        <f t="shared" si="5"/>
        <v>202310</v>
      </c>
      <c r="W34" t="str">
        <f t="shared" si="6"/>
        <v>Jan-24</v>
      </c>
      <c r="X34" s="3">
        <f t="shared" si="7"/>
        <v>-10002.66</v>
      </c>
      <c r="Y34" t="str">
        <f t="shared" si="8"/>
        <v/>
      </c>
      <c r="Z34">
        <f t="shared" si="9"/>
        <v>-10002.66</v>
      </c>
    </row>
    <row r="35" spans="1:26" x14ac:dyDescent="0.25">
      <c r="A35" s="1">
        <v>45308</v>
      </c>
      <c r="B35" t="s">
        <v>870</v>
      </c>
      <c r="C35" t="s">
        <v>17</v>
      </c>
      <c r="D35" t="s">
        <v>22</v>
      </c>
      <c r="E35">
        <v>300</v>
      </c>
      <c r="F35">
        <v>0</v>
      </c>
      <c r="G35">
        <v>40.25</v>
      </c>
      <c r="H35">
        <v>12075</v>
      </c>
      <c r="I35" t="s">
        <v>874</v>
      </c>
      <c r="J35">
        <v>0</v>
      </c>
      <c r="K35">
        <v>6.08</v>
      </c>
      <c r="L35">
        <v>0</v>
      </c>
      <c r="M35">
        <v>0</v>
      </c>
      <c r="N35">
        <v>400</v>
      </c>
      <c r="O35">
        <v>73.099999999999994</v>
      </c>
      <c r="P35">
        <v>479.18</v>
      </c>
      <c r="Q35">
        <f t="shared" si="0"/>
        <v>2024</v>
      </c>
      <c r="R35">
        <f t="shared" si="1"/>
        <v>1</v>
      </c>
      <c r="S35">
        <f t="shared" si="2"/>
        <v>2023</v>
      </c>
      <c r="T35">
        <f t="shared" si="3"/>
        <v>10</v>
      </c>
      <c r="U35">
        <f t="shared" si="4"/>
        <v>10</v>
      </c>
      <c r="V35" t="str">
        <f t="shared" si="5"/>
        <v>202310</v>
      </c>
      <c r="W35" t="str">
        <f t="shared" si="6"/>
        <v>Jan-24</v>
      </c>
      <c r="X35" s="3">
        <f t="shared" si="7"/>
        <v>-12554.18</v>
      </c>
      <c r="Y35" t="str">
        <f t="shared" si="8"/>
        <v/>
      </c>
      <c r="Z35">
        <f t="shared" si="9"/>
        <v>-12554.18</v>
      </c>
    </row>
    <row r="36" spans="1:26" x14ac:dyDescent="0.25">
      <c r="A36" s="1">
        <v>45308</v>
      </c>
      <c r="B36" t="s">
        <v>870</v>
      </c>
      <c r="C36" t="s">
        <v>17</v>
      </c>
      <c r="D36" t="s">
        <v>22</v>
      </c>
      <c r="E36">
        <v>300</v>
      </c>
      <c r="F36">
        <v>0</v>
      </c>
      <c r="G36">
        <v>49.15</v>
      </c>
      <c r="H36">
        <v>14745</v>
      </c>
      <c r="I36" t="s">
        <v>875</v>
      </c>
      <c r="J36">
        <v>0</v>
      </c>
      <c r="K36">
        <v>7.45</v>
      </c>
      <c r="L36">
        <v>2</v>
      </c>
      <c r="M36">
        <v>0.01</v>
      </c>
      <c r="N36">
        <v>400</v>
      </c>
      <c r="O36">
        <v>73.34</v>
      </c>
      <c r="P36">
        <v>482.8</v>
      </c>
      <c r="Q36">
        <f t="shared" si="0"/>
        <v>2024</v>
      </c>
      <c r="R36">
        <f t="shared" si="1"/>
        <v>1</v>
      </c>
      <c r="S36">
        <f t="shared" si="2"/>
        <v>2023</v>
      </c>
      <c r="T36">
        <f t="shared" si="3"/>
        <v>10</v>
      </c>
      <c r="U36">
        <f t="shared" si="4"/>
        <v>10</v>
      </c>
      <c r="V36" t="str">
        <f t="shared" si="5"/>
        <v>202310</v>
      </c>
      <c r="W36" t="str">
        <f t="shared" si="6"/>
        <v>Jan-24</v>
      </c>
      <c r="X36" s="3">
        <f t="shared" si="7"/>
        <v>-15227.8</v>
      </c>
      <c r="Y36" t="str">
        <f t="shared" si="8"/>
        <v/>
      </c>
      <c r="Z36">
        <f t="shared" si="9"/>
        <v>-15227.8</v>
      </c>
    </row>
    <row r="37" spans="1:26" x14ac:dyDescent="0.25">
      <c r="A37" s="1">
        <v>45308</v>
      </c>
      <c r="B37" t="s">
        <v>870</v>
      </c>
      <c r="C37" t="s">
        <v>17</v>
      </c>
      <c r="D37" t="s">
        <v>22</v>
      </c>
      <c r="E37">
        <v>150</v>
      </c>
      <c r="F37">
        <v>0</v>
      </c>
      <c r="G37">
        <v>43.45</v>
      </c>
      <c r="H37">
        <v>6517.5</v>
      </c>
      <c r="I37" t="s">
        <v>876</v>
      </c>
      <c r="J37">
        <v>0</v>
      </c>
      <c r="K37">
        <v>3.29</v>
      </c>
      <c r="L37">
        <v>0</v>
      </c>
      <c r="M37">
        <v>0.01</v>
      </c>
      <c r="N37">
        <v>200</v>
      </c>
      <c r="O37">
        <v>36.6</v>
      </c>
      <c r="P37">
        <v>239.9</v>
      </c>
      <c r="Q37">
        <f t="shared" si="0"/>
        <v>2024</v>
      </c>
      <c r="R37">
        <f t="shared" si="1"/>
        <v>1</v>
      </c>
      <c r="S37">
        <f t="shared" si="2"/>
        <v>2023</v>
      </c>
      <c r="T37">
        <f t="shared" si="3"/>
        <v>10</v>
      </c>
      <c r="U37">
        <f t="shared" si="4"/>
        <v>10</v>
      </c>
      <c r="V37" t="str">
        <f t="shared" si="5"/>
        <v>202310</v>
      </c>
      <c r="W37" t="str">
        <f t="shared" si="6"/>
        <v>Jan-24</v>
      </c>
      <c r="X37" s="3">
        <f t="shared" si="7"/>
        <v>-6757.4</v>
      </c>
      <c r="Y37" t="str">
        <f t="shared" si="8"/>
        <v/>
      </c>
      <c r="Z37">
        <f t="shared" si="9"/>
        <v>-6757.4</v>
      </c>
    </row>
    <row r="38" spans="1:26" x14ac:dyDescent="0.25">
      <c r="A38" s="1">
        <v>45308</v>
      </c>
      <c r="B38" t="s">
        <v>870</v>
      </c>
      <c r="C38" t="s">
        <v>17</v>
      </c>
      <c r="D38" t="s">
        <v>22</v>
      </c>
      <c r="E38">
        <v>150</v>
      </c>
      <c r="F38">
        <v>0</v>
      </c>
      <c r="G38">
        <v>52.55</v>
      </c>
      <c r="H38">
        <v>7882.5</v>
      </c>
      <c r="I38" t="s">
        <v>877</v>
      </c>
      <c r="J38">
        <v>0</v>
      </c>
      <c r="K38">
        <v>3.98</v>
      </c>
      <c r="L38">
        <v>0</v>
      </c>
      <c r="M38">
        <v>0.01</v>
      </c>
      <c r="N38">
        <v>200</v>
      </c>
      <c r="O38">
        <v>36.72</v>
      </c>
      <c r="P38">
        <v>240.71</v>
      </c>
      <c r="Q38">
        <f t="shared" si="0"/>
        <v>2024</v>
      </c>
      <c r="R38">
        <f t="shared" si="1"/>
        <v>1</v>
      </c>
      <c r="S38">
        <f t="shared" si="2"/>
        <v>2023</v>
      </c>
      <c r="T38">
        <f t="shared" si="3"/>
        <v>10</v>
      </c>
      <c r="U38">
        <f t="shared" si="4"/>
        <v>10</v>
      </c>
      <c r="V38" t="str">
        <f t="shared" si="5"/>
        <v>202310</v>
      </c>
      <c r="W38" t="str">
        <f t="shared" si="6"/>
        <v>Jan-24</v>
      </c>
      <c r="X38" s="3">
        <f t="shared" si="7"/>
        <v>-8123.21</v>
      </c>
      <c r="Y38" t="str">
        <f t="shared" si="8"/>
        <v/>
      </c>
      <c r="Z38">
        <f t="shared" si="9"/>
        <v>-8123.21</v>
      </c>
    </row>
    <row r="39" spans="1:26" x14ac:dyDescent="0.25">
      <c r="A39" s="1">
        <v>45308</v>
      </c>
      <c r="B39" t="s">
        <v>870</v>
      </c>
      <c r="C39" t="s">
        <v>17</v>
      </c>
      <c r="D39" t="s">
        <v>22</v>
      </c>
      <c r="E39">
        <v>150</v>
      </c>
      <c r="F39">
        <v>0</v>
      </c>
      <c r="G39">
        <v>54</v>
      </c>
      <c r="H39">
        <v>8100</v>
      </c>
      <c r="I39" t="s">
        <v>878</v>
      </c>
      <c r="J39">
        <v>0</v>
      </c>
      <c r="K39">
        <v>4.09</v>
      </c>
      <c r="L39">
        <v>0</v>
      </c>
      <c r="M39">
        <v>0.01</v>
      </c>
      <c r="N39">
        <v>200</v>
      </c>
      <c r="O39">
        <v>36.74</v>
      </c>
      <c r="P39">
        <v>240.84</v>
      </c>
      <c r="Q39">
        <f t="shared" si="0"/>
        <v>2024</v>
      </c>
      <c r="R39">
        <f t="shared" si="1"/>
        <v>1</v>
      </c>
      <c r="S39">
        <f t="shared" si="2"/>
        <v>2023</v>
      </c>
      <c r="T39">
        <f t="shared" si="3"/>
        <v>10</v>
      </c>
      <c r="U39">
        <f t="shared" si="4"/>
        <v>10</v>
      </c>
      <c r="V39" t="str">
        <f t="shared" si="5"/>
        <v>202310</v>
      </c>
      <c r="W39" t="str">
        <f t="shared" si="6"/>
        <v>Jan-24</v>
      </c>
      <c r="X39" s="3">
        <f t="shared" si="7"/>
        <v>-8340.84</v>
      </c>
      <c r="Y39" t="str">
        <f t="shared" si="8"/>
        <v/>
      </c>
      <c r="Z39">
        <f t="shared" si="9"/>
        <v>-8340.84</v>
      </c>
    </row>
    <row r="40" spans="1:26" x14ac:dyDescent="0.25">
      <c r="A40" s="1">
        <v>45308</v>
      </c>
      <c r="B40" t="s">
        <v>870</v>
      </c>
      <c r="C40" t="s">
        <v>17</v>
      </c>
      <c r="D40" t="s">
        <v>22</v>
      </c>
      <c r="E40">
        <v>90</v>
      </c>
      <c r="F40">
        <v>0</v>
      </c>
      <c r="G40">
        <v>74</v>
      </c>
      <c r="H40">
        <v>6660</v>
      </c>
      <c r="I40" t="s">
        <v>879</v>
      </c>
      <c r="J40">
        <v>0</v>
      </c>
      <c r="K40">
        <v>3.36</v>
      </c>
      <c r="L40">
        <v>0</v>
      </c>
      <c r="M40">
        <v>0.01</v>
      </c>
      <c r="N40">
        <v>120</v>
      </c>
      <c r="O40">
        <v>22.2</v>
      </c>
      <c r="P40">
        <v>145.57</v>
      </c>
      <c r="Q40">
        <f t="shared" si="0"/>
        <v>2024</v>
      </c>
      <c r="R40">
        <f t="shared" si="1"/>
        <v>1</v>
      </c>
      <c r="S40">
        <f t="shared" si="2"/>
        <v>2023</v>
      </c>
      <c r="T40">
        <f t="shared" si="3"/>
        <v>10</v>
      </c>
      <c r="U40">
        <f t="shared" si="4"/>
        <v>10</v>
      </c>
      <c r="V40" t="str">
        <f t="shared" si="5"/>
        <v>202310</v>
      </c>
      <c r="W40" t="str">
        <f t="shared" si="6"/>
        <v>Jan-24</v>
      </c>
      <c r="X40" s="3">
        <f t="shared" si="7"/>
        <v>-6805.57</v>
      </c>
      <c r="Y40" t="str">
        <f t="shared" si="8"/>
        <v/>
      </c>
      <c r="Z40">
        <f t="shared" si="9"/>
        <v>-6805.57</v>
      </c>
    </row>
    <row r="41" spans="1:26" x14ac:dyDescent="0.25">
      <c r="A41" s="1">
        <v>45308</v>
      </c>
      <c r="B41" t="s">
        <v>870</v>
      </c>
      <c r="C41" t="s">
        <v>17</v>
      </c>
      <c r="D41" t="s">
        <v>22</v>
      </c>
      <c r="E41">
        <v>15</v>
      </c>
      <c r="F41">
        <v>0</v>
      </c>
      <c r="G41">
        <v>77.75</v>
      </c>
      <c r="H41">
        <v>1166.25</v>
      </c>
      <c r="I41" t="s">
        <v>880</v>
      </c>
      <c r="J41">
        <v>0</v>
      </c>
      <c r="K41">
        <v>0.59</v>
      </c>
      <c r="L41">
        <v>0</v>
      </c>
      <c r="M41">
        <v>0</v>
      </c>
      <c r="N41">
        <v>20</v>
      </c>
      <c r="O41">
        <v>3.7</v>
      </c>
      <c r="P41">
        <v>24.29</v>
      </c>
      <c r="Q41">
        <f t="shared" si="0"/>
        <v>2024</v>
      </c>
      <c r="R41">
        <f t="shared" si="1"/>
        <v>1</v>
      </c>
      <c r="S41">
        <f t="shared" si="2"/>
        <v>2023</v>
      </c>
      <c r="T41">
        <f t="shared" si="3"/>
        <v>10</v>
      </c>
      <c r="U41">
        <f t="shared" si="4"/>
        <v>10</v>
      </c>
      <c r="V41" t="str">
        <f t="shared" si="5"/>
        <v>202310</v>
      </c>
      <c r="W41" t="str">
        <f t="shared" si="6"/>
        <v>Jan-24</v>
      </c>
      <c r="X41" s="3">
        <f t="shared" si="7"/>
        <v>-1190.54</v>
      </c>
      <c r="Y41" t="str">
        <f t="shared" si="8"/>
        <v/>
      </c>
      <c r="Z41">
        <f t="shared" si="9"/>
        <v>-1190.54</v>
      </c>
    </row>
    <row r="42" spans="1:26" x14ac:dyDescent="0.25">
      <c r="A42" s="1">
        <v>45308</v>
      </c>
      <c r="B42" t="s">
        <v>870</v>
      </c>
      <c r="C42" t="s">
        <v>17</v>
      </c>
      <c r="D42" t="s">
        <v>22</v>
      </c>
      <c r="E42">
        <v>15</v>
      </c>
      <c r="F42">
        <v>0</v>
      </c>
      <c r="G42">
        <v>79</v>
      </c>
      <c r="H42">
        <v>1185</v>
      </c>
      <c r="I42" t="s">
        <v>881</v>
      </c>
      <c r="J42">
        <v>0</v>
      </c>
      <c r="K42">
        <v>0.6</v>
      </c>
      <c r="L42">
        <v>0</v>
      </c>
      <c r="M42">
        <v>0</v>
      </c>
      <c r="N42">
        <v>20</v>
      </c>
      <c r="O42">
        <v>3.7</v>
      </c>
      <c r="P42">
        <v>24.3</v>
      </c>
      <c r="Q42">
        <f t="shared" si="0"/>
        <v>2024</v>
      </c>
      <c r="R42">
        <f t="shared" si="1"/>
        <v>1</v>
      </c>
      <c r="S42">
        <f t="shared" si="2"/>
        <v>2023</v>
      </c>
      <c r="T42">
        <f t="shared" si="3"/>
        <v>10</v>
      </c>
      <c r="U42">
        <f t="shared" si="4"/>
        <v>10</v>
      </c>
      <c r="V42" t="str">
        <f t="shared" si="5"/>
        <v>202310</v>
      </c>
      <c r="W42" t="str">
        <f t="shared" si="6"/>
        <v>Jan-24</v>
      </c>
      <c r="X42" s="3">
        <f t="shared" si="7"/>
        <v>-1209.3</v>
      </c>
      <c r="Y42" t="str">
        <f t="shared" si="8"/>
        <v/>
      </c>
      <c r="Z42">
        <f t="shared" si="9"/>
        <v>-1209.3</v>
      </c>
    </row>
    <row r="43" spans="1:26" x14ac:dyDescent="0.25">
      <c r="A43" s="1">
        <v>45308</v>
      </c>
      <c r="B43" t="s">
        <v>870</v>
      </c>
      <c r="C43" t="s">
        <v>17</v>
      </c>
      <c r="D43" t="s">
        <v>22</v>
      </c>
      <c r="E43">
        <v>15</v>
      </c>
      <c r="F43">
        <v>0</v>
      </c>
      <c r="G43">
        <v>80.650000000000006</v>
      </c>
      <c r="H43">
        <v>1209.75</v>
      </c>
      <c r="I43" t="s">
        <v>882</v>
      </c>
      <c r="J43">
        <v>0</v>
      </c>
      <c r="K43">
        <v>0.61</v>
      </c>
      <c r="L43">
        <v>0</v>
      </c>
      <c r="M43">
        <v>0</v>
      </c>
      <c r="N43">
        <v>20</v>
      </c>
      <c r="O43">
        <v>3.7</v>
      </c>
      <c r="P43">
        <v>24.31</v>
      </c>
      <c r="Q43">
        <f t="shared" si="0"/>
        <v>2024</v>
      </c>
      <c r="R43">
        <f t="shared" si="1"/>
        <v>1</v>
      </c>
      <c r="S43">
        <f t="shared" si="2"/>
        <v>2023</v>
      </c>
      <c r="T43">
        <f t="shared" si="3"/>
        <v>10</v>
      </c>
      <c r="U43">
        <f t="shared" si="4"/>
        <v>10</v>
      </c>
      <c r="V43" t="str">
        <f t="shared" si="5"/>
        <v>202310</v>
      </c>
      <c r="W43" t="str">
        <f t="shared" si="6"/>
        <v>Jan-24</v>
      </c>
      <c r="X43" s="3">
        <f t="shared" si="7"/>
        <v>-1234.06</v>
      </c>
      <c r="Y43" t="str">
        <f t="shared" si="8"/>
        <v/>
      </c>
      <c r="Z43">
        <f t="shared" si="9"/>
        <v>-1234.06</v>
      </c>
    </row>
    <row r="44" spans="1:26" x14ac:dyDescent="0.25">
      <c r="A44" s="1">
        <v>45308</v>
      </c>
      <c r="B44" t="s">
        <v>870</v>
      </c>
      <c r="C44" t="s">
        <v>17</v>
      </c>
      <c r="D44" t="s">
        <v>22</v>
      </c>
      <c r="E44">
        <v>15</v>
      </c>
      <c r="F44">
        <v>0</v>
      </c>
      <c r="G44">
        <v>87.6</v>
      </c>
      <c r="H44">
        <v>1314</v>
      </c>
      <c r="I44" t="s">
        <v>883</v>
      </c>
      <c r="J44">
        <v>0</v>
      </c>
      <c r="K44">
        <v>0.66</v>
      </c>
      <c r="L44">
        <v>0</v>
      </c>
      <c r="M44">
        <v>0</v>
      </c>
      <c r="N44">
        <v>20</v>
      </c>
      <c r="O44">
        <v>3.72</v>
      </c>
      <c r="P44">
        <v>24.38</v>
      </c>
      <c r="Q44">
        <f t="shared" si="0"/>
        <v>2024</v>
      </c>
      <c r="R44">
        <f t="shared" si="1"/>
        <v>1</v>
      </c>
      <c r="S44">
        <f t="shared" si="2"/>
        <v>2023</v>
      </c>
      <c r="T44">
        <f t="shared" si="3"/>
        <v>10</v>
      </c>
      <c r="U44">
        <f t="shared" si="4"/>
        <v>10</v>
      </c>
      <c r="V44" t="str">
        <f t="shared" si="5"/>
        <v>202310</v>
      </c>
      <c r="W44" t="str">
        <f t="shared" si="6"/>
        <v>Jan-24</v>
      </c>
      <c r="X44" s="3">
        <f t="shared" si="7"/>
        <v>-1338.38</v>
      </c>
      <c r="Y44" t="str">
        <f t="shared" si="8"/>
        <v/>
      </c>
      <c r="Z44">
        <f t="shared" si="9"/>
        <v>-1338.38</v>
      </c>
    </row>
    <row r="45" spans="1:26" x14ac:dyDescent="0.25">
      <c r="A45" s="1">
        <v>45309</v>
      </c>
      <c r="B45" t="s">
        <v>848</v>
      </c>
      <c r="C45" t="s">
        <v>17</v>
      </c>
      <c r="D45" t="s">
        <v>18</v>
      </c>
      <c r="E45">
        <v>50</v>
      </c>
      <c r="F45">
        <v>0</v>
      </c>
      <c r="G45">
        <v>28.55</v>
      </c>
      <c r="H45">
        <v>1427.5</v>
      </c>
      <c r="I45" t="s">
        <v>849</v>
      </c>
      <c r="J45">
        <v>0.89</v>
      </c>
      <c r="K45">
        <v>0.72</v>
      </c>
      <c r="L45">
        <v>0</v>
      </c>
      <c r="M45">
        <v>0</v>
      </c>
      <c r="N45">
        <v>20</v>
      </c>
      <c r="O45">
        <v>3.72</v>
      </c>
      <c r="P45">
        <v>25.33</v>
      </c>
      <c r="Q45">
        <f t="shared" si="0"/>
        <v>2024</v>
      </c>
      <c r="R45">
        <f t="shared" si="1"/>
        <v>1</v>
      </c>
      <c r="S45">
        <f t="shared" si="2"/>
        <v>2023</v>
      </c>
      <c r="T45">
        <f t="shared" si="3"/>
        <v>10</v>
      </c>
      <c r="U45">
        <f t="shared" si="4"/>
        <v>10</v>
      </c>
      <c r="V45" t="str">
        <f t="shared" si="5"/>
        <v>202310</v>
      </c>
      <c r="W45" t="str">
        <f t="shared" si="6"/>
        <v>Jan-24</v>
      </c>
      <c r="X45" s="3">
        <f t="shared" si="7"/>
        <v>1402.17</v>
      </c>
      <c r="Y45">
        <f t="shared" si="8"/>
        <v>1402.17</v>
      </c>
      <c r="Z45" t="str">
        <f t="shared" si="9"/>
        <v/>
      </c>
    </row>
    <row r="46" spans="1:26" x14ac:dyDescent="0.25">
      <c r="A46" s="1">
        <v>45309</v>
      </c>
      <c r="B46" t="s">
        <v>848</v>
      </c>
      <c r="C46" t="s">
        <v>17</v>
      </c>
      <c r="D46" t="s">
        <v>22</v>
      </c>
      <c r="E46">
        <v>50</v>
      </c>
      <c r="F46">
        <v>0</v>
      </c>
      <c r="G46">
        <v>16.649999999999999</v>
      </c>
      <c r="H46">
        <v>832.5</v>
      </c>
      <c r="I46" t="s">
        <v>850</v>
      </c>
      <c r="J46">
        <v>0</v>
      </c>
      <c r="K46">
        <v>0.42</v>
      </c>
      <c r="L46">
        <v>0</v>
      </c>
      <c r="M46">
        <v>0</v>
      </c>
      <c r="N46">
        <v>20</v>
      </c>
      <c r="O46">
        <v>3.68</v>
      </c>
      <c r="P46">
        <v>24.1</v>
      </c>
      <c r="Q46">
        <f t="shared" si="0"/>
        <v>2024</v>
      </c>
      <c r="R46">
        <f t="shared" si="1"/>
        <v>1</v>
      </c>
      <c r="S46">
        <f t="shared" si="2"/>
        <v>2023</v>
      </c>
      <c r="T46">
        <f t="shared" si="3"/>
        <v>10</v>
      </c>
      <c r="U46">
        <f t="shared" si="4"/>
        <v>10</v>
      </c>
      <c r="V46" t="str">
        <f t="shared" si="5"/>
        <v>202310</v>
      </c>
      <c r="W46" t="str">
        <f t="shared" si="6"/>
        <v>Jan-24</v>
      </c>
      <c r="X46" s="3">
        <f t="shared" si="7"/>
        <v>-856.6</v>
      </c>
      <c r="Y46" t="str">
        <f t="shared" si="8"/>
        <v/>
      </c>
      <c r="Z46">
        <f t="shared" si="9"/>
        <v>-856.6</v>
      </c>
    </row>
    <row r="47" spans="1:26" x14ac:dyDescent="0.25">
      <c r="A47" s="1">
        <v>45309</v>
      </c>
      <c r="B47" t="s">
        <v>848</v>
      </c>
      <c r="C47" t="s">
        <v>17</v>
      </c>
      <c r="D47" t="s">
        <v>18</v>
      </c>
      <c r="E47">
        <v>100</v>
      </c>
      <c r="F47">
        <v>0</v>
      </c>
      <c r="G47">
        <v>21.6</v>
      </c>
      <c r="H47">
        <v>2160</v>
      </c>
      <c r="I47" t="s">
        <v>851</v>
      </c>
      <c r="J47">
        <v>1.35</v>
      </c>
      <c r="K47">
        <v>1.0900000000000001</v>
      </c>
      <c r="L47">
        <v>0</v>
      </c>
      <c r="M47">
        <v>0</v>
      </c>
      <c r="N47">
        <v>40</v>
      </c>
      <c r="O47">
        <v>7.4</v>
      </c>
      <c r="P47">
        <v>49.84</v>
      </c>
      <c r="Q47">
        <f t="shared" si="0"/>
        <v>2024</v>
      </c>
      <c r="R47">
        <f t="shared" si="1"/>
        <v>1</v>
      </c>
      <c r="S47">
        <f t="shared" si="2"/>
        <v>2023</v>
      </c>
      <c r="T47">
        <f t="shared" si="3"/>
        <v>10</v>
      </c>
      <c r="U47">
        <f t="shared" si="4"/>
        <v>10</v>
      </c>
      <c r="V47" t="str">
        <f t="shared" si="5"/>
        <v>202310</v>
      </c>
      <c r="W47" t="str">
        <f t="shared" si="6"/>
        <v>Jan-24</v>
      </c>
      <c r="X47" s="3">
        <f t="shared" si="7"/>
        <v>2110.16</v>
      </c>
      <c r="Y47">
        <f t="shared" si="8"/>
        <v>2110.16</v>
      </c>
      <c r="Z47" t="str">
        <f t="shared" si="9"/>
        <v/>
      </c>
    </row>
    <row r="48" spans="1:26" x14ac:dyDescent="0.25">
      <c r="A48" s="1">
        <v>45309</v>
      </c>
      <c r="B48" t="s">
        <v>848</v>
      </c>
      <c r="C48" t="s">
        <v>17</v>
      </c>
      <c r="D48" t="s">
        <v>22</v>
      </c>
      <c r="E48">
        <v>100</v>
      </c>
      <c r="F48">
        <v>0</v>
      </c>
      <c r="G48">
        <v>10.8</v>
      </c>
      <c r="H48">
        <v>1080</v>
      </c>
      <c r="I48" t="s">
        <v>852</v>
      </c>
      <c r="J48">
        <v>0</v>
      </c>
      <c r="K48">
        <v>0.54</v>
      </c>
      <c r="L48">
        <v>0</v>
      </c>
      <c r="M48">
        <v>0</v>
      </c>
      <c r="N48">
        <v>40</v>
      </c>
      <c r="O48">
        <v>7.28</v>
      </c>
      <c r="P48">
        <v>47.82</v>
      </c>
      <c r="Q48">
        <f t="shared" si="0"/>
        <v>2024</v>
      </c>
      <c r="R48">
        <f t="shared" si="1"/>
        <v>1</v>
      </c>
      <c r="S48">
        <f t="shared" si="2"/>
        <v>2023</v>
      </c>
      <c r="T48">
        <f t="shared" si="3"/>
        <v>10</v>
      </c>
      <c r="U48">
        <f t="shared" si="4"/>
        <v>10</v>
      </c>
      <c r="V48" t="str">
        <f t="shared" si="5"/>
        <v>202310</v>
      </c>
      <c r="W48" t="str">
        <f t="shared" si="6"/>
        <v>Jan-24</v>
      </c>
      <c r="X48" s="3">
        <f t="shared" si="7"/>
        <v>-1127.82</v>
      </c>
      <c r="Y48" t="str">
        <f t="shared" si="8"/>
        <v/>
      </c>
      <c r="Z48">
        <f t="shared" si="9"/>
        <v>-1127.82</v>
      </c>
    </row>
    <row r="49" spans="1:26" x14ac:dyDescent="0.25">
      <c r="A49" s="1">
        <v>45309</v>
      </c>
      <c r="B49" t="s">
        <v>853</v>
      </c>
      <c r="C49" t="s">
        <v>17</v>
      </c>
      <c r="D49" t="s">
        <v>18</v>
      </c>
      <c r="E49">
        <v>50</v>
      </c>
      <c r="F49">
        <v>0</v>
      </c>
      <c r="G49">
        <v>2.5</v>
      </c>
      <c r="H49">
        <v>125</v>
      </c>
      <c r="I49" t="s">
        <v>854</v>
      </c>
      <c r="J49">
        <v>0.08</v>
      </c>
      <c r="K49">
        <v>0.06</v>
      </c>
      <c r="L49">
        <v>0</v>
      </c>
      <c r="M49">
        <v>0</v>
      </c>
      <c r="N49">
        <v>20</v>
      </c>
      <c r="O49">
        <v>3.62</v>
      </c>
      <c r="P49">
        <v>23.76</v>
      </c>
      <c r="Q49">
        <f t="shared" si="0"/>
        <v>2024</v>
      </c>
      <c r="R49">
        <f t="shared" si="1"/>
        <v>1</v>
      </c>
      <c r="S49">
        <f t="shared" si="2"/>
        <v>2023</v>
      </c>
      <c r="T49">
        <f t="shared" si="3"/>
        <v>10</v>
      </c>
      <c r="U49">
        <f t="shared" si="4"/>
        <v>10</v>
      </c>
      <c r="V49" t="str">
        <f t="shared" si="5"/>
        <v>202310</v>
      </c>
      <c r="W49" t="str">
        <f t="shared" si="6"/>
        <v>Jan-24</v>
      </c>
      <c r="X49" s="3">
        <f t="shared" si="7"/>
        <v>101.24</v>
      </c>
      <c r="Y49">
        <f t="shared" si="8"/>
        <v>101.24</v>
      </c>
      <c r="Z49" t="str">
        <f t="shared" si="9"/>
        <v/>
      </c>
    </row>
    <row r="50" spans="1:26" x14ac:dyDescent="0.25">
      <c r="A50" s="1">
        <v>45309</v>
      </c>
      <c r="B50" t="s">
        <v>853</v>
      </c>
      <c r="C50" t="s">
        <v>17</v>
      </c>
      <c r="D50" t="s">
        <v>18</v>
      </c>
      <c r="E50">
        <v>50</v>
      </c>
      <c r="F50">
        <v>0</v>
      </c>
      <c r="G50">
        <v>2.5</v>
      </c>
      <c r="H50">
        <v>125</v>
      </c>
      <c r="I50" t="s">
        <v>855</v>
      </c>
      <c r="J50">
        <v>0.08</v>
      </c>
      <c r="K50">
        <v>0.06</v>
      </c>
      <c r="L50">
        <v>0</v>
      </c>
      <c r="M50">
        <v>0</v>
      </c>
      <c r="N50">
        <v>20</v>
      </c>
      <c r="O50">
        <v>3.62</v>
      </c>
      <c r="P50">
        <v>23.76</v>
      </c>
      <c r="Q50">
        <f t="shared" si="0"/>
        <v>2024</v>
      </c>
      <c r="R50">
        <f t="shared" si="1"/>
        <v>1</v>
      </c>
      <c r="S50">
        <f t="shared" si="2"/>
        <v>2023</v>
      </c>
      <c r="T50">
        <f t="shared" si="3"/>
        <v>10</v>
      </c>
      <c r="U50">
        <f t="shared" si="4"/>
        <v>10</v>
      </c>
      <c r="V50" t="str">
        <f t="shared" si="5"/>
        <v>202310</v>
      </c>
      <c r="W50" t="str">
        <f t="shared" si="6"/>
        <v>Jan-24</v>
      </c>
      <c r="X50" s="3">
        <f t="shared" si="7"/>
        <v>101.24</v>
      </c>
      <c r="Y50">
        <f t="shared" si="8"/>
        <v>101.24</v>
      </c>
      <c r="Z50" t="str">
        <f t="shared" si="9"/>
        <v/>
      </c>
    </row>
    <row r="51" spans="1:26" x14ac:dyDescent="0.25">
      <c r="A51" s="1">
        <v>45309</v>
      </c>
      <c r="B51" t="s">
        <v>853</v>
      </c>
      <c r="C51" t="s">
        <v>17</v>
      </c>
      <c r="D51" t="s">
        <v>18</v>
      </c>
      <c r="E51">
        <v>50</v>
      </c>
      <c r="F51">
        <v>0</v>
      </c>
      <c r="G51">
        <v>2.7</v>
      </c>
      <c r="H51">
        <v>135</v>
      </c>
      <c r="I51" t="s">
        <v>856</v>
      </c>
      <c r="J51">
        <v>0.08</v>
      </c>
      <c r="K51">
        <v>7.0000000000000007E-2</v>
      </c>
      <c r="L51">
        <v>0</v>
      </c>
      <c r="M51">
        <v>0</v>
      </c>
      <c r="N51">
        <v>20</v>
      </c>
      <c r="O51">
        <v>3.62</v>
      </c>
      <c r="P51">
        <v>23.77</v>
      </c>
      <c r="Q51">
        <f t="shared" si="0"/>
        <v>2024</v>
      </c>
      <c r="R51">
        <f t="shared" si="1"/>
        <v>1</v>
      </c>
      <c r="S51">
        <f t="shared" si="2"/>
        <v>2023</v>
      </c>
      <c r="T51">
        <f t="shared" si="3"/>
        <v>10</v>
      </c>
      <c r="U51">
        <f t="shared" si="4"/>
        <v>10</v>
      </c>
      <c r="V51" t="str">
        <f t="shared" si="5"/>
        <v>202310</v>
      </c>
      <c r="W51" t="str">
        <f t="shared" si="6"/>
        <v>Jan-24</v>
      </c>
      <c r="X51" s="3">
        <f t="shared" si="7"/>
        <v>111.23</v>
      </c>
      <c r="Y51">
        <f t="shared" si="8"/>
        <v>111.23</v>
      </c>
      <c r="Z51" t="str">
        <f t="shared" si="9"/>
        <v/>
      </c>
    </row>
    <row r="52" spans="1:26" x14ac:dyDescent="0.25">
      <c r="A52" s="1">
        <v>45309</v>
      </c>
      <c r="B52" t="s">
        <v>853</v>
      </c>
      <c r="C52" t="s">
        <v>17</v>
      </c>
      <c r="D52" t="s">
        <v>18</v>
      </c>
      <c r="E52">
        <v>50</v>
      </c>
      <c r="F52">
        <v>0</v>
      </c>
      <c r="G52">
        <v>2.95</v>
      </c>
      <c r="H52">
        <v>147.5</v>
      </c>
      <c r="I52" t="s">
        <v>857</v>
      </c>
      <c r="J52">
        <v>0.18</v>
      </c>
      <c r="K52">
        <v>7.0000000000000007E-2</v>
      </c>
      <c r="L52">
        <v>0</v>
      </c>
      <c r="M52">
        <v>0</v>
      </c>
      <c r="N52">
        <v>20</v>
      </c>
      <c r="O52">
        <v>3.62</v>
      </c>
      <c r="P52">
        <v>23.87</v>
      </c>
      <c r="Q52">
        <f t="shared" si="0"/>
        <v>2024</v>
      </c>
      <c r="R52">
        <f t="shared" si="1"/>
        <v>1</v>
      </c>
      <c r="S52">
        <f t="shared" si="2"/>
        <v>2023</v>
      </c>
      <c r="T52">
        <f t="shared" si="3"/>
        <v>10</v>
      </c>
      <c r="U52">
        <f t="shared" si="4"/>
        <v>10</v>
      </c>
      <c r="V52" t="str">
        <f t="shared" si="5"/>
        <v>202310</v>
      </c>
      <c r="W52" t="str">
        <f t="shared" si="6"/>
        <v>Jan-24</v>
      </c>
      <c r="X52" s="3">
        <f t="shared" si="7"/>
        <v>123.63</v>
      </c>
      <c r="Y52">
        <f t="shared" si="8"/>
        <v>123.63</v>
      </c>
      <c r="Z52" t="str">
        <f t="shared" si="9"/>
        <v/>
      </c>
    </row>
    <row r="53" spans="1:26" x14ac:dyDescent="0.25">
      <c r="A53" s="1">
        <v>45309</v>
      </c>
      <c r="B53" t="s">
        <v>853</v>
      </c>
      <c r="C53" t="s">
        <v>17</v>
      </c>
      <c r="D53" t="s">
        <v>22</v>
      </c>
      <c r="E53">
        <v>50</v>
      </c>
      <c r="F53">
        <v>0</v>
      </c>
      <c r="G53">
        <v>3.2</v>
      </c>
      <c r="H53">
        <v>160</v>
      </c>
      <c r="I53" t="s">
        <v>858</v>
      </c>
      <c r="J53">
        <v>0</v>
      </c>
      <c r="K53">
        <v>0.08</v>
      </c>
      <c r="L53">
        <v>0</v>
      </c>
      <c r="M53">
        <v>0</v>
      </c>
      <c r="N53">
        <v>20</v>
      </c>
      <c r="O53">
        <v>3.62</v>
      </c>
      <c r="P53">
        <v>23.7</v>
      </c>
      <c r="Q53">
        <f t="shared" si="0"/>
        <v>2024</v>
      </c>
      <c r="R53">
        <f t="shared" si="1"/>
        <v>1</v>
      </c>
      <c r="S53">
        <f t="shared" si="2"/>
        <v>2023</v>
      </c>
      <c r="T53">
        <f t="shared" si="3"/>
        <v>10</v>
      </c>
      <c r="U53">
        <f t="shared" si="4"/>
        <v>10</v>
      </c>
      <c r="V53" t="str">
        <f t="shared" si="5"/>
        <v>202310</v>
      </c>
      <c r="W53" t="str">
        <f t="shared" si="6"/>
        <v>Jan-24</v>
      </c>
      <c r="X53" s="3">
        <f t="shared" si="7"/>
        <v>-183.7</v>
      </c>
      <c r="Y53" t="str">
        <f t="shared" si="8"/>
        <v/>
      </c>
      <c r="Z53">
        <f t="shared" si="9"/>
        <v>-183.7</v>
      </c>
    </row>
    <row r="54" spans="1:26" x14ac:dyDescent="0.25">
      <c r="A54" s="1">
        <v>45309</v>
      </c>
      <c r="B54" t="s">
        <v>853</v>
      </c>
      <c r="C54" t="s">
        <v>17</v>
      </c>
      <c r="D54" t="s">
        <v>22</v>
      </c>
      <c r="E54">
        <v>50</v>
      </c>
      <c r="F54">
        <v>0</v>
      </c>
      <c r="G54">
        <v>3.7</v>
      </c>
      <c r="H54">
        <v>185</v>
      </c>
      <c r="I54" t="s">
        <v>859</v>
      </c>
      <c r="J54">
        <v>0</v>
      </c>
      <c r="K54">
        <v>0.09</v>
      </c>
      <c r="L54">
        <v>0</v>
      </c>
      <c r="M54">
        <v>0</v>
      </c>
      <c r="N54">
        <v>20</v>
      </c>
      <c r="O54">
        <v>3.62</v>
      </c>
      <c r="P54">
        <v>23.71</v>
      </c>
      <c r="Q54">
        <f t="shared" si="0"/>
        <v>2024</v>
      </c>
      <c r="R54">
        <f t="shared" si="1"/>
        <v>1</v>
      </c>
      <c r="S54">
        <f t="shared" si="2"/>
        <v>2023</v>
      </c>
      <c r="T54">
        <f t="shared" si="3"/>
        <v>10</v>
      </c>
      <c r="U54">
        <f t="shared" si="4"/>
        <v>10</v>
      </c>
      <c r="V54" t="str">
        <f t="shared" si="5"/>
        <v>202310</v>
      </c>
      <c r="W54" t="str">
        <f t="shared" si="6"/>
        <v>Jan-24</v>
      </c>
      <c r="X54" s="3">
        <f t="shared" si="7"/>
        <v>-208.71</v>
      </c>
      <c r="Y54" t="str">
        <f t="shared" si="8"/>
        <v/>
      </c>
      <c r="Z54">
        <f t="shared" si="9"/>
        <v>-208.71</v>
      </c>
    </row>
    <row r="55" spans="1:26" x14ac:dyDescent="0.25">
      <c r="A55" s="1">
        <v>45309</v>
      </c>
      <c r="B55" t="s">
        <v>853</v>
      </c>
      <c r="C55" t="s">
        <v>17</v>
      </c>
      <c r="D55" t="s">
        <v>22</v>
      </c>
      <c r="E55">
        <v>50</v>
      </c>
      <c r="F55">
        <v>0</v>
      </c>
      <c r="G55">
        <v>5.75</v>
      </c>
      <c r="H55">
        <v>287.5</v>
      </c>
      <c r="I55" t="s">
        <v>860</v>
      </c>
      <c r="J55">
        <v>0</v>
      </c>
      <c r="K55">
        <v>0.15</v>
      </c>
      <c r="L55">
        <v>0</v>
      </c>
      <c r="M55">
        <v>0</v>
      </c>
      <c r="N55">
        <v>20</v>
      </c>
      <c r="O55">
        <v>3.62</v>
      </c>
      <c r="P55">
        <v>23.77</v>
      </c>
      <c r="Q55">
        <f t="shared" si="0"/>
        <v>2024</v>
      </c>
      <c r="R55">
        <f t="shared" si="1"/>
        <v>1</v>
      </c>
      <c r="S55">
        <f t="shared" si="2"/>
        <v>2023</v>
      </c>
      <c r="T55">
        <f t="shared" si="3"/>
        <v>10</v>
      </c>
      <c r="U55">
        <f t="shared" si="4"/>
        <v>10</v>
      </c>
      <c r="V55" t="str">
        <f t="shared" si="5"/>
        <v>202310</v>
      </c>
      <c r="W55" t="str">
        <f t="shared" si="6"/>
        <v>Jan-24</v>
      </c>
      <c r="X55" s="3">
        <f t="shared" si="7"/>
        <v>-311.27</v>
      </c>
      <c r="Y55" t="str">
        <f t="shared" si="8"/>
        <v/>
      </c>
      <c r="Z55">
        <f t="shared" si="9"/>
        <v>-311.27</v>
      </c>
    </row>
    <row r="56" spans="1:26" x14ac:dyDescent="0.25">
      <c r="A56" s="1">
        <v>45309</v>
      </c>
      <c r="B56" t="s">
        <v>853</v>
      </c>
      <c r="C56" t="s">
        <v>17</v>
      </c>
      <c r="D56" t="s">
        <v>22</v>
      </c>
      <c r="E56">
        <v>50</v>
      </c>
      <c r="F56">
        <v>0</v>
      </c>
      <c r="G56">
        <v>6.35</v>
      </c>
      <c r="H56">
        <v>317.5</v>
      </c>
      <c r="I56" t="s">
        <v>861</v>
      </c>
      <c r="J56">
        <v>0</v>
      </c>
      <c r="K56">
        <v>0.16</v>
      </c>
      <c r="L56">
        <v>0</v>
      </c>
      <c r="M56">
        <v>0</v>
      </c>
      <c r="N56">
        <v>20</v>
      </c>
      <c r="O56">
        <v>3.62</v>
      </c>
      <c r="P56">
        <v>23.78</v>
      </c>
      <c r="Q56">
        <f t="shared" si="0"/>
        <v>2024</v>
      </c>
      <c r="R56">
        <f t="shared" si="1"/>
        <v>1</v>
      </c>
      <c r="S56">
        <f t="shared" si="2"/>
        <v>2023</v>
      </c>
      <c r="T56">
        <f t="shared" si="3"/>
        <v>10</v>
      </c>
      <c r="U56">
        <f t="shared" si="4"/>
        <v>10</v>
      </c>
      <c r="V56" t="str">
        <f t="shared" si="5"/>
        <v>202310</v>
      </c>
      <c r="W56" t="str">
        <f t="shared" si="6"/>
        <v>Jan-24</v>
      </c>
      <c r="X56" s="3">
        <f t="shared" si="7"/>
        <v>-341.28</v>
      </c>
      <c r="Y56" t="str">
        <f t="shared" si="8"/>
        <v/>
      </c>
      <c r="Z56">
        <f t="shared" si="9"/>
        <v>-341.28</v>
      </c>
    </row>
    <row r="57" spans="1:26" x14ac:dyDescent="0.25">
      <c r="A57" s="1">
        <v>45309</v>
      </c>
      <c r="B57" t="s">
        <v>862</v>
      </c>
      <c r="C57" t="s">
        <v>17</v>
      </c>
      <c r="D57" t="s">
        <v>18</v>
      </c>
      <c r="E57">
        <v>50</v>
      </c>
      <c r="F57">
        <v>0</v>
      </c>
      <c r="G57">
        <v>35.65</v>
      </c>
      <c r="H57">
        <v>1782.5</v>
      </c>
      <c r="I57" t="s">
        <v>863</v>
      </c>
      <c r="J57">
        <v>1.1100000000000001</v>
      </c>
      <c r="K57">
        <v>0.9</v>
      </c>
      <c r="L57">
        <v>0</v>
      </c>
      <c r="M57">
        <v>0</v>
      </c>
      <c r="N57">
        <v>20</v>
      </c>
      <c r="O57">
        <v>3.76</v>
      </c>
      <c r="P57">
        <v>25.77</v>
      </c>
      <c r="Q57">
        <f t="shared" si="0"/>
        <v>2024</v>
      </c>
      <c r="R57">
        <f t="shared" si="1"/>
        <v>1</v>
      </c>
      <c r="S57">
        <f t="shared" si="2"/>
        <v>2023</v>
      </c>
      <c r="T57">
        <f t="shared" si="3"/>
        <v>10</v>
      </c>
      <c r="U57">
        <f t="shared" si="4"/>
        <v>10</v>
      </c>
      <c r="V57" t="str">
        <f t="shared" si="5"/>
        <v>202310</v>
      </c>
      <c r="W57" t="str">
        <f t="shared" si="6"/>
        <v>Jan-24</v>
      </c>
      <c r="X57" s="3">
        <f t="shared" si="7"/>
        <v>1756.73</v>
      </c>
      <c r="Y57">
        <f t="shared" si="8"/>
        <v>1756.73</v>
      </c>
      <c r="Z57" t="str">
        <f t="shared" si="9"/>
        <v/>
      </c>
    </row>
    <row r="58" spans="1:26" x14ac:dyDescent="0.25">
      <c r="A58" s="1">
        <v>45309</v>
      </c>
      <c r="B58" t="s">
        <v>862</v>
      </c>
      <c r="C58" t="s">
        <v>17</v>
      </c>
      <c r="D58" t="s">
        <v>18</v>
      </c>
      <c r="E58">
        <v>50</v>
      </c>
      <c r="F58">
        <v>0</v>
      </c>
      <c r="G58">
        <v>35.65</v>
      </c>
      <c r="H58">
        <v>1782.5</v>
      </c>
      <c r="I58" t="s">
        <v>864</v>
      </c>
      <c r="J58">
        <v>1.1100000000000001</v>
      </c>
      <c r="K58">
        <v>0.9</v>
      </c>
      <c r="L58">
        <v>0</v>
      </c>
      <c r="M58">
        <v>0</v>
      </c>
      <c r="N58">
        <v>20</v>
      </c>
      <c r="O58">
        <v>3.76</v>
      </c>
      <c r="P58">
        <v>25.77</v>
      </c>
      <c r="Q58">
        <f t="shared" si="0"/>
        <v>2024</v>
      </c>
      <c r="R58">
        <f t="shared" si="1"/>
        <v>1</v>
      </c>
      <c r="S58">
        <f t="shared" si="2"/>
        <v>2023</v>
      </c>
      <c r="T58">
        <f t="shared" si="3"/>
        <v>10</v>
      </c>
      <c r="U58">
        <f t="shared" si="4"/>
        <v>10</v>
      </c>
      <c r="V58" t="str">
        <f t="shared" si="5"/>
        <v>202310</v>
      </c>
      <c r="W58" t="str">
        <f t="shared" si="6"/>
        <v>Jan-24</v>
      </c>
      <c r="X58" s="3">
        <f t="shared" si="7"/>
        <v>1756.73</v>
      </c>
      <c r="Y58">
        <f t="shared" si="8"/>
        <v>1756.73</v>
      </c>
      <c r="Z58" t="str">
        <f t="shared" si="9"/>
        <v/>
      </c>
    </row>
    <row r="59" spans="1:26" x14ac:dyDescent="0.25">
      <c r="A59" s="1">
        <v>45309</v>
      </c>
      <c r="B59" t="s">
        <v>862</v>
      </c>
      <c r="C59" t="s">
        <v>17</v>
      </c>
      <c r="D59" t="s">
        <v>22</v>
      </c>
      <c r="E59">
        <v>50</v>
      </c>
      <c r="F59">
        <v>0</v>
      </c>
      <c r="G59">
        <v>10.75</v>
      </c>
      <c r="H59">
        <v>537.5</v>
      </c>
      <c r="I59" t="s">
        <v>865</v>
      </c>
      <c r="J59">
        <v>0</v>
      </c>
      <c r="K59">
        <v>0.27</v>
      </c>
      <c r="L59">
        <v>0</v>
      </c>
      <c r="M59">
        <v>0</v>
      </c>
      <c r="N59">
        <v>20</v>
      </c>
      <c r="O59">
        <v>3.64</v>
      </c>
      <c r="P59">
        <v>23.91</v>
      </c>
      <c r="Q59">
        <f t="shared" si="0"/>
        <v>2024</v>
      </c>
      <c r="R59">
        <f t="shared" si="1"/>
        <v>1</v>
      </c>
      <c r="S59">
        <f t="shared" si="2"/>
        <v>2023</v>
      </c>
      <c r="T59">
        <f t="shared" si="3"/>
        <v>10</v>
      </c>
      <c r="U59">
        <f t="shared" si="4"/>
        <v>10</v>
      </c>
      <c r="V59" t="str">
        <f t="shared" si="5"/>
        <v>202310</v>
      </c>
      <c r="W59" t="str">
        <f t="shared" si="6"/>
        <v>Jan-24</v>
      </c>
      <c r="X59" s="3">
        <f t="shared" si="7"/>
        <v>-561.41</v>
      </c>
      <c r="Y59" t="str">
        <f t="shared" si="8"/>
        <v/>
      </c>
      <c r="Z59">
        <f t="shared" si="9"/>
        <v>-561.41</v>
      </c>
    </row>
    <row r="60" spans="1:26" x14ac:dyDescent="0.25">
      <c r="A60" s="1">
        <v>45309</v>
      </c>
      <c r="B60" t="s">
        <v>862</v>
      </c>
      <c r="C60" t="s">
        <v>17</v>
      </c>
      <c r="D60" t="s">
        <v>22</v>
      </c>
      <c r="E60">
        <v>50</v>
      </c>
      <c r="F60">
        <v>0</v>
      </c>
      <c r="G60">
        <v>10.6</v>
      </c>
      <c r="H60">
        <v>530</v>
      </c>
      <c r="I60" t="s">
        <v>866</v>
      </c>
      <c r="J60">
        <v>0</v>
      </c>
      <c r="K60">
        <v>0.27</v>
      </c>
      <c r="L60">
        <v>0</v>
      </c>
      <c r="M60">
        <v>0</v>
      </c>
      <c r="N60">
        <v>20</v>
      </c>
      <c r="O60">
        <v>3.64</v>
      </c>
      <c r="P60">
        <v>23.91</v>
      </c>
      <c r="Q60">
        <f t="shared" si="0"/>
        <v>2024</v>
      </c>
      <c r="R60">
        <f t="shared" si="1"/>
        <v>1</v>
      </c>
      <c r="S60">
        <f t="shared" si="2"/>
        <v>2023</v>
      </c>
      <c r="T60">
        <f t="shared" si="3"/>
        <v>10</v>
      </c>
      <c r="U60">
        <f t="shared" si="4"/>
        <v>10</v>
      </c>
      <c r="V60" t="str">
        <f t="shared" si="5"/>
        <v>202310</v>
      </c>
      <c r="W60" t="str">
        <f t="shared" si="6"/>
        <v>Jan-24</v>
      </c>
      <c r="X60" s="3">
        <f t="shared" si="7"/>
        <v>-553.91</v>
      </c>
      <c r="Y60" t="str">
        <f t="shared" si="8"/>
        <v/>
      </c>
      <c r="Z60">
        <f t="shared" si="9"/>
        <v>-553.91</v>
      </c>
    </row>
    <row r="61" spans="1:26" x14ac:dyDescent="0.25">
      <c r="A61" s="1">
        <v>45309</v>
      </c>
      <c r="B61" t="s">
        <v>867</v>
      </c>
      <c r="C61" t="s">
        <v>17</v>
      </c>
      <c r="D61" t="s">
        <v>18</v>
      </c>
      <c r="E61">
        <v>50</v>
      </c>
      <c r="F61">
        <v>0</v>
      </c>
      <c r="G61">
        <v>3.35</v>
      </c>
      <c r="H61">
        <v>167.5</v>
      </c>
      <c r="I61" t="s">
        <v>868</v>
      </c>
      <c r="J61">
        <v>0.1</v>
      </c>
      <c r="K61">
        <v>0.08</v>
      </c>
      <c r="L61">
        <v>0</v>
      </c>
      <c r="M61">
        <v>0</v>
      </c>
      <c r="N61">
        <v>20</v>
      </c>
      <c r="O61">
        <v>3.62</v>
      </c>
      <c r="P61">
        <v>23.8</v>
      </c>
      <c r="Q61">
        <f t="shared" si="0"/>
        <v>2024</v>
      </c>
      <c r="R61">
        <f t="shared" si="1"/>
        <v>1</v>
      </c>
      <c r="S61">
        <f t="shared" si="2"/>
        <v>2023</v>
      </c>
      <c r="T61">
        <f t="shared" si="3"/>
        <v>10</v>
      </c>
      <c r="U61">
        <f t="shared" si="4"/>
        <v>10</v>
      </c>
      <c r="V61" t="str">
        <f t="shared" si="5"/>
        <v>202310</v>
      </c>
      <c r="W61" t="str">
        <f t="shared" si="6"/>
        <v>Jan-24</v>
      </c>
      <c r="X61" s="3">
        <f t="shared" si="7"/>
        <v>143.69999999999999</v>
      </c>
      <c r="Y61">
        <f t="shared" si="8"/>
        <v>143.69999999999999</v>
      </c>
      <c r="Z61" t="str">
        <f t="shared" si="9"/>
        <v/>
      </c>
    </row>
    <row r="62" spans="1:26" x14ac:dyDescent="0.25">
      <c r="A62" s="1">
        <v>45309</v>
      </c>
      <c r="B62" t="s">
        <v>867</v>
      </c>
      <c r="C62" t="s">
        <v>17</v>
      </c>
      <c r="D62" t="s">
        <v>22</v>
      </c>
      <c r="E62">
        <v>50</v>
      </c>
      <c r="F62">
        <v>0</v>
      </c>
      <c r="G62">
        <v>9.5</v>
      </c>
      <c r="H62">
        <v>475</v>
      </c>
      <c r="I62" t="s">
        <v>869</v>
      </c>
      <c r="J62">
        <v>0</v>
      </c>
      <c r="K62">
        <v>0.24</v>
      </c>
      <c r="L62">
        <v>0</v>
      </c>
      <c r="M62">
        <v>0</v>
      </c>
      <c r="N62">
        <v>20</v>
      </c>
      <c r="O62">
        <v>3.64</v>
      </c>
      <c r="P62">
        <v>23.88</v>
      </c>
      <c r="Q62">
        <f t="shared" si="0"/>
        <v>2024</v>
      </c>
      <c r="R62">
        <f t="shared" si="1"/>
        <v>1</v>
      </c>
      <c r="S62">
        <f t="shared" si="2"/>
        <v>2023</v>
      </c>
      <c r="T62">
        <f t="shared" si="3"/>
        <v>10</v>
      </c>
      <c r="U62">
        <f t="shared" si="4"/>
        <v>10</v>
      </c>
      <c r="V62" t="str">
        <f t="shared" si="5"/>
        <v>202310</v>
      </c>
      <c r="W62" t="str">
        <f t="shared" si="6"/>
        <v>Jan-24</v>
      </c>
      <c r="X62" s="3">
        <f t="shared" si="7"/>
        <v>-498.88</v>
      </c>
      <c r="Y62" t="str">
        <f t="shared" si="8"/>
        <v/>
      </c>
      <c r="Z62">
        <f t="shared" si="9"/>
        <v>-498.88</v>
      </c>
    </row>
    <row r="63" spans="1:26" x14ac:dyDescent="0.25">
      <c r="A63" s="1">
        <v>45310</v>
      </c>
      <c r="B63" t="s">
        <v>844</v>
      </c>
      <c r="C63" t="s">
        <v>17</v>
      </c>
      <c r="D63" t="s">
        <v>18</v>
      </c>
      <c r="E63">
        <v>30</v>
      </c>
      <c r="F63">
        <v>0</v>
      </c>
      <c r="G63">
        <v>437.4</v>
      </c>
      <c r="H63">
        <v>13122</v>
      </c>
      <c r="I63" t="s">
        <v>845</v>
      </c>
      <c r="J63">
        <v>8</v>
      </c>
      <c r="K63">
        <v>6.63</v>
      </c>
      <c r="L63">
        <v>0</v>
      </c>
      <c r="M63">
        <v>0.01</v>
      </c>
      <c r="N63">
        <v>40</v>
      </c>
      <c r="O63">
        <v>8.4</v>
      </c>
      <c r="P63">
        <v>63.04</v>
      </c>
      <c r="Q63">
        <f t="shared" si="0"/>
        <v>2024</v>
      </c>
      <c r="R63">
        <f t="shared" si="1"/>
        <v>1</v>
      </c>
      <c r="S63">
        <f t="shared" si="2"/>
        <v>2023</v>
      </c>
      <c r="T63">
        <f t="shared" si="3"/>
        <v>10</v>
      </c>
      <c r="U63">
        <f t="shared" si="4"/>
        <v>10</v>
      </c>
      <c r="V63" t="str">
        <f t="shared" si="5"/>
        <v>202310</v>
      </c>
      <c r="W63" t="str">
        <f t="shared" si="6"/>
        <v>Jan-24</v>
      </c>
      <c r="X63" s="3">
        <f t="shared" si="7"/>
        <v>13058.96</v>
      </c>
      <c r="Y63">
        <f t="shared" si="8"/>
        <v>13058.96</v>
      </c>
      <c r="Z63" t="str">
        <f t="shared" si="9"/>
        <v/>
      </c>
    </row>
    <row r="64" spans="1:26" x14ac:dyDescent="0.25">
      <c r="A64" s="1">
        <v>45310</v>
      </c>
      <c r="B64" t="s">
        <v>844</v>
      </c>
      <c r="C64" t="s">
        <v>17</v>
      </c>
      <c r="D64" t="s">
        <v>22</v>
      </c>
      <c r="E64">
        <v>15</v>
      </c>
      <c r="F64">
        <v>0</v>
      </c>
      <c r="G64">
        <v>324</v>
      </c>
      <c r="H64">
        <v>4860</v>
      </c>
      <c r="I64" t="s">
        <v>846</v>
      </c>
      <c r="J64">
        <v>0</v>
      </c>
      <c r="K64">
        <v>2.4500000000000002</v>
      </c>
      <c r="L64">
        <v>0</v>
      </c>
      <c r="M64">
        <v>0</v>
      </c>
      <c r="N64">
        <v>20</v>
      </c>
      <c r="O64">
        <v>4.04</v>
      </c>
      <c r="P64">
        <v>26.49</v>
      </c>
      <c r="Q64">
        <f t="shared" si="0"/>
        <v>2024</v>
      </c>
      <c r="R64">
        <f t="shared" si="1"/>
        <v>1</v>
      </c>
      <c r="S64">
        <f t="shared" si="2"/>
        <v>2023</v>
      </c>
      <c r="T64">
        <f t="shared" si="3"/>
        <v>10</v>
      </c>
      <c r="U64">
        <f t="shared" si="4"/>
        <v>10</v>
      </c>
      <c r="V64" t="str">
        <f t="shared" si="5"/>
        <v>202310</v>
      </c>
      <c r="W64" t="str">
        <f t="shared" si="6"/>
        <v>Jan-24</v>
      </c>
      <c r="X64" s="3">
        <f t="shared" si="7"/>
        <v>-4886.49</v>
      </c>
      <c r="Y64" t="str">
        <f t="shared" si="8"/>
        <v/>
      </c>
      <c r="Z64">
        <f t="shared" si="9"/>
        <v>-4886.49</v>
      </c>
    </row>
    <row r="65" spans="1:26" x14ac:dyDescent="0.25">
      <c r="A65" s="1">
        <v>45310</v>
      </c>
      <c r="B65" t="s">
        <v>844</v>
      </c>
      <c r="C65" t="s">
        <v>17</v>
      </c>
      <c r="D65" t="s">
        <v>22</v>
      </c>
      <c r="E65">
        <v>15</v>
      </c>
      <c r="F65">
        <v>0</v>
      </c>
      <c r="G65">
        <v>323.45</v>
      </c>
      <c r="H65">
        <v>4851.75</v>
      </c>
      <c r="I65" t="s">
        <v>847</v>
      </c>
      <c r="J65">
        <v>0</v>
      </c>
      <c r="K65">
        <v>2.4500000000000002</v>
      </c>
      <c r="L65">
        <v>0</v>
      </c>
      <c r="M65">
        <v>0</v>
      </c>
      <c r="N65">
        <v>20</v>
      </c>
      <c r="O65">
        <v>4.04</v>
      </c>
      <c r="P65">
        <v>26.49</v>
      </c>
      <c r="Q65">
        <f t="shared" si="0"/>
        <v>2024</v>
      </c>
      <c r="R65">
        <f t="shared" si="1"/>
        <v>1</v>
      </c>
      <c r="S65">
        <f t="shared" si="2"/>
        <v>2023</v>
      </c>
      <c r="T65">
        <f t="shared" si="3"/>
        <v>10</v>
      </c>
      <c r="U65">
        <f t="shared" si="4"/>
        <v>10</v>
      </c>
      <c r="V65" t="str">
        <f t="shared" si="5"/>
        <v>202310</v>
      </c>
      <c r="W65" t="str">
        <f t="shared" si="6"/>
        <v>Jan-24</v>
      </c>
      <c r="X65" s="3">
        <f t="shared" si="7"/>
        <v>-4878.24</v>
      </c>
      <c r="Y65" t="str">
        <f t="shared" si="8"/>
        <v/>
      </c>
      <c r="Z65">
        <f t="shared" si="9"/>
        <v>-4878.24</v>
      </c>
    </row>
    <row r="66" spans="1:26" x14ac:dyDescent="0.25">
      <c r="A66" s="1">
        <v>45314</v>
      </c>
      <c r="B66" t="s">
        <v>828</v>
      </c>
      <c r="C66" t="s">
        <v>17</v>
      </c>
      <c r="D66" t="s">
        <v>18</v>
      </c>
      <c r="E66">
        <v>1250</v>
      </c>
      <c r="F66">
        <v>0</v>
      </c>
      <c r="G66">
        <v>4.5999999999999996</v>
      </c>
      <c r="H66">
        <v>5750</v>
      </c>
      <c r="I66" t="s">
        <v>829</v>
      </c>
      <c r="J66">
        <v>3.59</v>
      </c>
      <c r="K66">
        <v>2.9</v>
      </c>
      <c r="L66">
        <v>0</v>
      </c>
      <c r="M66">
        <v>0.01</v>
      </c>
      <c r="N66">
        <v>20</v>
      </c>
      <c r="O66">
        <v>4.12</v>
      </c>
      <c r="P66">
        <v>30.62</v>
      </c>
      <c r="Q66">
        <f t="shared" ref="Q66:Q129" si="10">YEAR(A66)</f>
        <v>2024</v>
      </c>
      <c r="R66">
        <f t="shared" ref="R66:R129" si="11">MONTH(A66)</f>
        <v>1</v>
      </c>
      <c r="S66">
        <f t="shared" ref="S66:S129" si="12">IF(R66&lt;4,Q66-1,Q66)</f>
        <v>2023</v>
      </c>
      <c r="T66">
        <f t="shared" ref="T66:T129" si="13">IF(R66&lt;4,R66+9,R66-3)</f>
        <v>10</v>
      </c>
      <c r="U66">
        <f t="shared" ref="U66:U129" si="14">IF(LEN(T66)=1,_xlfn.CONCAT(0,T66),T66)</f>
        <v>10</v>
      </c>
      <c r="V66" t="str">
        <f t="shared" ref="V66:V129" si="15">_xlfn.CONCAT(S66,U66)</f>
        <v>202310</v>
      </c>
      <c r="W66" t="str">
        <f t="shared" ref="W66:W129" si="16">_xlfn.CONCAT(TEXT(A66,"MMM"),"-",MID(Q66,3,2))</f>
        <v>Jan-24</v>
      </c>
      <c r="X66" s="3">
        <f t="shared" ref="X66:X129" si="17">IFERROR(IF(D66="Sell",(H66-P66),-(H66+P66)),0)</f>
        <v>5719.38</v>
      </c>
      <c r="Y66">
        <f t="shared" si="8"/>
        <v>5719.38</v>
      </c>
      <c r="Z66" t="str">
        <f t="shared" si="9"/>
        <v/>
      </c>
    </row>
    <row r="67" spans="1:26" x14ac:dyDescent="0.25">
      <c r="A67" s="1">
        <v>45314</v>
      </c>
      <c r="B67" t="s">
        <v>828</v>
      </c>
      <c r="C67" t="s">
        <v>17</v>
      </c>
      <c r="D67" t="s">
        <v>22</v>
      </c>
      <c r="E67">
        <v>1250</v>
      </c>
      <c r="F67">
        <v>0</v>
      </c>
      <c r="G67">
        <v>7.5</v>
      </c>
      <c r="H67">
        <v>9375</v>
      </c>
      <c r="I67" t="s">
        <v>830</v>
      </c>
      <c r="J67">
        <v>0</v>
      </c>
      <c r="K67">
        <v>4.7300000000000004</v>
      </c>
      <c r="L67">
        <v>0.71</v>
      </c>
      <c r="M67">
        <v>0.01</v>
      </c>
      <c r="N67">
        <v>20</v>
      </c>
      <c r="O67">
        <v>4.46</v>
      </c>
      <c r="P67">
        <v>29.91</v>
      </c>
      <c r="Q67">
        <f t="shared" si="10"/>
        <v>2024</v>
      </c>
      <c r="R67">
        <f t="shared" si="11"/>
        <v>1</v>
      </c>
      <c r="S67">
        <f t="shared" si="12"/>
        <v>2023</v>
      </c>
      <c r="T67">
        <f t="shared" si="13"/>
        <v>10</v>
      </c>
      <c r="U67">
        <f t="shared" si="14"/>
        <v>10</v>
      </c>
      <c r="V67" t="str">
        <f t="shared" si="15"/>
        <v>202310</v>
      </c>
      <c r="W67" t="str">
        <f t="shared" si="16"/>
        <v>Jan-24</v>
      </c>
      <c r="X67" s="3">
        <f t="shared" si="17"/>
        <v>-9404.91</v>
      </c>
      <c r="Y67" t="str">
        <f t="shared" ref="Y67:Y130" si="18">IF(X67&gt;0,X67,"")</f>
        <v/>
      </c>
      <c r="Z67">
        <f t="shared" ref="Z67:Z130" si="19">IF(X67&lt;0,X67,"")</f>
        <v>-9404.91</v>
      </c>
    </row>
    <row r="68" spans="1:26" x14ac:dyDescent="0.25">
      <c r="A68" s="1">
        <v>45314</v>
      </c>
      <c r="B68" t="s">
        <v>831</v>
      </c>
      <c r="C68" t="s">
        <v>17</v>
      </c>
      <c r="D68" t="s">
        <v>18</v>
      </c>
      <c r="E68">
        <v>40</v>
      </c>
      <c r="F68">
        <v>0</v>
      </c>
      <c r="G68">
        <v>4.3499999999999996</v>
      </c>
      <c r="H68">
        <v>174</v>
      </c>
      <c r="I68" t="s">
        <v>832</v>
      </c>
      <c r="J68">
        <v>0.28000000000000003</v>
      </c>
      <c r="K68">
        <v>0.09</v>
      </c>
      <c r="L68">
        <v>0</v>
      </c>
      <c r="M68">
        <v>0</v>
      </c>
      <c r="N68">
        <v>20</v>
      </c>
      <c r="O68">
        <v>3.62</v>
      </c>
      <c r="P68">
        <v>23.99</v>
      </c>
      <c r="Q68">
        <f t="shared" si="10"/>
        <v>2024</v>
      </c>
      <c r="R68">
        <f t="shared" si="11"/>
        <v>1</v>
      </c>
      <c r="S68">
        <f t="shared" si="12"/>
        <v>2023</v>
      </c>
      <c r="T68">
        <f t="shared" si="13"/>
        <v>10</v>
      </c>
      <c r="U68">
        <f t="shared" si="14"/>
        <v>10</v>
      </c>
      <c r="V68" t="str">
        <f t="shared" si="15"/>
        <v>202310</v>
      </c>
      <c r="W68" t="str">
        <f t="shared" si="16"/>
        <v>Jan-24</v>
      </c>
      <c r="X68" s="3">
        <f t="shared" si="17"/>
        <v>150.01</v>
      </c>
      <c r="Y68">
        <f t="shared" si="18"/>
        <v>150.01</v>
      </c>
      <c r="Z68" t="str">
        <f t="shared" si="19"/>
        <v/>
      </c>
    </row>
    <row r="69" spans="1:26" x14ac:dyDescent="0.25">
      <c r="A69" s="1">
        <v>45314</v>
      </c>
      <c r="B69" t="s">
        <v>831</v>
      </c>
      <c r="C69" t="s">
        <v>17</v>
      </c>
      <c r="D69" t="s">
        <v>18</v>
      </c>
      <c r="E69">
        <v>160</v>
      </c>
      <c r="F69">
        <v>0</v>
      </c>
      <c r="G69">
        <v>5.75</v>
      </c>
      <c r="H69">
        <v>920</v>
      </c>
      <c r="I69" t="s">
        <v>833</v>
      </c>
      <c r="J69">
        <v>0.57999999999999996</v>
      </c>
      <c r="K69">
        <v>0.46</v>
      </c>
      <c r="L69">
        <v>0</v>
      </c>
      <c r="M69">
        <v>0</v>
      </c>
      <c r="N69">
        <v>80</v>
      </c>
      <c r="O69">
        <v>14.48</v>
      </c>
      <c r="P69">
        <v>95.52</v>
      </c>
      <c r="Q69">
        <f t="shared" si="10"/>
        <v>2024</v>
      </c>
      <c r="R69">
        <f t="shared" si="11"/>
        <v>1</v>
      </c>
      <c r="S69">
        <f t="shared" si="12"/>
        <v>2023</v>
      </c>
      <c r="T69">
        <f t="shared" si="13"/>
        <v>10</v>
      </c>
      <c r="U69">
        <f t="shared" si="14"/>
        <v>10</v>
      </c>
      <c r="V69" t="str">
        <f t="shared" si="15"/>
        <v>202310</v>
      </c>
      <c r="W69" t="str">
        <f t="shared" si="16"/>
        <v>Jan-24</v>
      </c>
      <c r="X69" s="3">
        <f t="shared" si="17"/>
        <v>824.48</v>
      </c>
      <c r="Y69">
        <f t="shared" si="18"/>
        <v>824.48</v>
      </c>
      <c r="Z69" t="str">
        <f t="shared" si="19"/>
        <v/>
      </c>
    </row>
    <row r="70" spans="1:26" x14ac:dyDescent="0.25">
      <c r="A70" s="1">
        <v>45314</v>
      </c>
      <c r="B70" t="s">
        <v>831</v>
      </c>
      <c r="C70" t="s">
        <v>17</v>
      </c>
      <c r="D70" t="s">
        <v>18</v>
      </c>
      <c r="E70">
        <v>40</v>
      </c>
      <c r="F70">
        <v>0</v>
      </c>
      <c r="G70">
        <v>5.8</v>
      </c>
      <c r="H70">
        <v>232</v>
      </c>
      <c r="I70" t="s">
        <v>834</v>
      </c>
      <c r="J70">
        <v>0.15</v>
      </c>
      <c r="K70">
        <v>0.12</v>
      </c>
      <c r="L70">
        <v>0</v>
      </c>
      <c r="M70">
        <v>0</v>
      </c>
      <c r="N70">
        <v>20</v>
      </c>
      <c r="O70">
        <v>3.62</v>
      </c>
      <c r="P70">
        <v>23.89</v>
      </c>
      <c r="Q70">
        <f t="shared" si="10"/>
        <v>2024</v>
      </c>
      <c r="R70">
        <f t="shared" si="11"/>
        <v>1</v>
      </c>
      <c r="S70">
        <f t="shared" si="12"/>
        <v>2023</v>
      </c>
      <c r="T70">
        <f t="shared" si="13"/>
        <v>10</v>
      </c>
      <c r="U70">
        <f t="shared" si="14"/>
        <v>10</v>
      </c>
      <c r="V70" t="str">
        <f t="shared" si="15"/>
        <v>202310</v>
      </c>
      <c r="W70" t="str">
        <f t="shared" si="16"/>
        <v>Jan-24</v>
      </c>
      <c r="X70" s="3">
        <f t="shared" si="17"/>
        <v>208.11</v>
      </c>
      <c r="Y70">
        <f t="shared" si="18"/>
        <v>208.11</v>
      </c>
      <c r="Z70" t="str">
        <f t="shared" si="19"/>
        <v/>
      </c>
    </row>
    <row r="71" spans="1:26" x14ac:dyDescent="0.25">
      <c r="A71" s="1">
        <v>45314</v>
      </c>
      <c r="B71" t="s">
        <v>835</v>
      </c>
      <c r="C71" t="s">
        <v>17</v>
      </c>
      <c r="D71" t="s">
        <v>18</v>
      </c>
      <c r="E71">
        <v>50</v>
      </c>
      <c r="F71">
        <v>0</v>
      </c>
      <c r="G71">
        <v>108.9</v>
      </c>
      <c r="H71">
        <v>5445</v>
      </c>
      <c r="I71" t="s">
        <v>836</v>
      </c>
      <c r="J71">
        <v>3.4</v>
      </c>
      <c r="K71">
        <v>2.75</v>
      </c>
      <c r="L71">
        <v>0</v>
      </c>
      <c r="M71">
        <v>0.01</v>
      </c>
      <c r="N71">
        <v>20</v>
      </c>
      <c r="O71">
        <v>4.0999999999999996</v>
      </c>
      <c r="P71">
        <v>30.26</v>
      </c>
      <c r="Q71">
        <f t="shared" si="10"/>
        <v>2024</v>
      </c>
      <c r="R71">
        <f t="shared" si="11"/>
        <v>1</v>
      </c>
      <c r="S71">
        <f t="shared" si="12"/>
        <v>2023</v>
      </c>
      <c r="T71">
        <f t="shared" si="13"/>
        <v>10</v>
      </c>
      <c r="U71">
        <f t="shared" si="14"/>
        <v>10</v>
      </c>
      <c r="V71" t="str">
        <f t="shared" si="15"/>
        <v>202310</v>
      </c>
      <c r="W71" t="str">
        <f t="shared" si="16"/>
        <v>Jan-24</v>
      </c>
      <c r="X71" s="3">
        <f t="shared" si="17"/>
        <v>5414.74</v>
      </c>
      <c r="Y71">
        <f t="shared" si="18"/>
        <v>5414.74</v>
      </c>
      <c r="Z71" t="str">
        <f t="shared" si="19"/>
        <v/>
      </c>
    </row>
    <row r="72" spans="1:26" x14ac:dyDescent="0.25">
      <c r="A72" s="1">
        <v>45314</v>
      </c>
      <c r="B72" t="s">
        <v>831</v>
      </c>
      <c r="C72" t="s">
        <v>17</v>
      </c>
      <c r="D72" t="s">
        <v>22</v>
      </c>
      <c r="E72">
        <v>40</v>
      </c>
      <c r="F72">
        <v>0</v>
      </c>
      <c r="G72">
        <v>11.25</v>
      </c>
      <c r="H72">
        <v>450</v>
      </c>
      <c r="I72" t="s">
        <v>837</v>
      </c>
      <c r="J72">
        <v>0</v>
      </c>
      <c r="K72">
        <v>0.23</v>
      </c>
      <c r="L72">
        <v>0</v>
      </c>
      <c r="M72">
        <v>0</v>
      </c>
      <c r="N72">
        <v>20</v>
      </c>
      <c r="O72">
        <v>3.64</v>
      </c>
      <c r="P72">
        <v>23.87</v>
      </c>
      <c r="Q72">
        <f t="shared" si="10"/>
        <v>2024</v>
      </c>
      <c r="R72">
        <f t="shared" si="11"/>
        <v>1</v>
      </c>
      <c r="S72">
        <f t="shared" si="12"/>
        <v>2023</v>
      </c>
      <c r="T72">
        <f t="shared" si="13"/>
        <v>10</v>
      </c>
      <c r="U72">
        <f t="shared" si="14"/>
        <v>10</v>
      </c>
      <c r="V72" t="str">
        <f t="shared" si="15"/>
        <v>202310</v>
      </c>
      <c r="W72" t="str">
        <f t="shared" si="16"/>
        <v>Jan-24</v>
      </c>
      <c r="X72" s="3">
        <f t="shared" si="17"/>
        <v>-473.87</v>
      </c>
      <c r="Y72" t="str">
        <f t="shared" si="18"/>
        <v/>
      </c>
      <c r="Z72">
        <f t="shared" si="19"/>
        <v>-473.87</v>
      </c>
    </row>
    <row r="73" spans="1:26" x14ac:dyDescent="0.25">
      <c r="A73" s="1">
        <v>45314</v>
      </c>
      <c r="B73" t="s">
        <v>831</v>
      </c>
      <c r="C73" t="s">
        <v>17</v>
      </c>
      <c r="D73" t="s">
        <v>22</v>
      </c>
      <c r="E73">
        <v>40</v>
      </c>
      <c r="F73">
        <v>0</v>
      </c>
      <c r="G73">
        <v>16.55</v>
      </c>
      <c r="H73">
        <v>662</v>
      </c>
      <c r="I73" t="s">
        <v>838</v>
      </c>
      <c r="J73">
        <v>0</v>
      </c>
      <c r="K73">
        <v>0.33</v>
      </c>
      <c r="L73">
        <v>0</v>
      </c>
      <c r="M73">
        <v>0</v>
      </c>
      <c r="N73">
        <v>20</v>
      </c>
      <c r="O73">
        <v>3.66</v>
      </c>
      <c r="P73">
        <v>23.99</v>
      </c>
      <c r="Q73">
        <f t="shared" si="10"/>
        <v>2024</v>
      </c>
      <c r="R73">
        <f t="shared" si="11"/>
        <v>1</v>
      </c>
      <c r="S73">
        <f t="shared" si="12"/>
        <v>2023</v>
      </c>
      <c r="T73">
        <f t="shared" si="13"/>
        <v>10</v>
      </c>
      <c r="U73">
        <f t="shared" si="14"/>
        <v>10</v>
      </c>
      <c r="V73" t="str">
        <f t="shared" si="15"/>
        <v>202310</v>
      </c>
      <c r="W73" t="str">
        <f t="shared" si="16"/>
        <v>Jan-24</v>
      </c>
      <c r="X73" s="3">
        <f t="shared" si="17"/>
        <v>-685.99</v>
      </c>
      <c r="Y73" t="str">
        <f t="shared" si="18"/>
        <v/>
      </c>
      <c r="Z73">
        <f t="shared" si="19"/>
        <v>-685.99</v>
      </c>
    </row>
    <row r="74" spans="1:26" x14ac:dyDescent="0.25">
      <c r="A74" s="1">
        <v>45314</v>
      </c>
      <c r="B74" t="s">
        <v>831</v>
      </c>
      <c r="C74" t="s">
        <v>17</v>
      </c>
      <c r="D74" t="s">
        <v>22</v>
      </c>
      <c r="E74">
        <v>40</v>
      </c>
      <c r="F74">
        <v>0</v>
      </c>
      <c r="G74">
        <v>22.05</v>
      </c>
      <c r="H74">
        <v>882</v>
      </c>
      <c r="I74" t="s">
        <v>839</v>
      </c>
      <c r="J74">
        <v>0</v>
      </c>
      <c r="K74">
        <v>0.45</v>
      </c>
      <c r="L74">
        <v>0</v>
      </c>
      <c r="M74">
        <v>0</v>
      </c>
      <c r="N74">
        <v>20</v>
      </c>
      <c r="O74">
        <v>3.68</v>
      </c>
      <c r="P74">
        <v>24.13</v>
      </c>
      <c r="Q74">
        <f t="shared" si="10"/>
        <v>2024</v>
      </c>
      <c r="R74">
        <f t="shared" si="11"/>
        <v>1</v>
      </c>
      <c r="S74">
        <f t="shared" si="12"/>
        <v>2023</v>
      </c>
      <c r="T74">
        <f t="shared" si="13"/>
        <v>10</v>
      </c>
      <c r="U74">
        <f t="shared" si="14"/>
        <v>10</v>
      </c>
      <c r="V74" t="str">
        <f t="shared" si="15"/>
        <v>202310</v>
      </c>
      <c r="W74" t="str">
        <f t="shared" si="16"/>
        <v>Jan-24</v>
      </c>
      <c r="X74" s="3">
        <f t="shared" si="17"/>
        <v>-906.13</v>
      </c>
      <c r="Y74" t="str">
        <f t="shared" si="18"/>
        <v/>
      </c>
      <c r="Z74">
        <f t="shared" si="19"/>
        <v>-906.13</v>
      </c>
    </row>
    <row r="75" spans="1:26" x14ac:dyDescent="0.25">
      <c r="A75" s="1">
        <v>45314</v>
      </c>
      <c r="B75" t="s">
        <v>835</v>
      </c>
      <c r="C75" t="s">
        <v>17</v>
      </c>
      <c r="D75" t="s">
        <v>22</v>
      </c>
      <c r="E75">
        <v>50</v>
      </c>
      <c r="F75">
        <v>0</v>
      </c>
      <c r="G75">
        <v>75.7</v>
      </c>
      <c r="H75">
        <v>3785</v>
      </c>
      <c r="I75" t="s">
        <v>840</v>
      </c>
      <c r="J75">
        <v>0</v>
      </c>
      <c r="K75">
        <v>1.91</v>
      </c>
      <c r="L75">
        <v>0.11</v>
      </c>
      <c r="M75">
        <v>0</v>
      </c>
      <c r="N75">
        <v>20</v>
      </c>
      <c r="O75">
        <v>3.94</v>
      </c>
      <c r="P75">
        <v>25.96</v>
      </c>
      <c r="Q75">
        <f t="shared" si="10"/>
        <v>2024</v>
      </c>
      <c r="R75">
        <f t="shared" si="11"/>
        <v>1</v>
      </c>
      <c r="S75">
        <f t="shared" si="12"/>
        <v>2023</v>
      </c>
      <c r="T75">
        <f t="shared" si="13"/>
        <v>10</v>
      </c>
      <c r="U75">
        <f t="shared" si="14"/>
        <v>10</v>
      </c>
      <c r="V75" t="str">
        <f t="shared" si="15"/>
        <v>202310</v>
      </c>
      <c r="W75" t="str">
        <f t="shared" si="16"/>
        <v>Jan-24</v>
      </c>
      <c r="X75" s="3">
        <f t="shared" si="17"/>
        <v>-3810.96</v>
      </c>
      <c r="Y75" t="str">
        <f t="shared" si="18"/>
        <v/>
      </c>
      <c r="Z75">
        <f t="shared" si="19"/>
        <v>-3810.96</v>
      </c>
    </row>
    <row r="76" spans="1:26" x14ac:dyDescent="0.25">
      <c r="A76" s="1">
        <v>45314</v>
      </c>
      <c r="B76" t="s">
        <v>831</v>
      </c>
      <c r="C76" t="s">
        <v>17</v>
      </c>
      <c r="D76" t="s">
        <v>22</v>
      </c>
      <c r="E76">
        <v>40</v>
      </c>
      <c r="F76">
        <v>0</v>
      </c>
      <c r="G76">
        <v>24.3</v>
      </c>
      <c r="H76">
        <v>972</v>
      </c>
      <c r="I76" t="s">
        <v>841</v>
      </c>
      <c r="J76">
        <v>0</v>
      </c>
      <c r="K76">
        <v>0.49</v>
      </c>
      <c r="L76">
        <v>0</v>
      </c>
      <c r="M76">
        <v>0</v>
      </c>
      <c r="N76">
        <v>20</v>
      </c>
      <c r="O76">
        <v>3.68</v>
      </c>
      <c r="P76">
        <v>24.17</v>
      </c>
      <c r="Q76">
        <f t="shared" si="10"/>
        <v>2024</v>
      </c>
      <c r="R76">
        <f t="shared" si="11"/>
        <v>1</v>
      </c>
      <c r="S76">
        <f t="shared" si="12"/>
        <v>2023</v>
      </c>
      <c r="T76">
        <f t="shared" si="13"/>
        <v>10</v>
      </c>
      <c r="U76">
        <f t="shared" si="14"/>
        <v>10</v>
      </c>
      <c r="V76" t="str">
        <f t="shared" si="15"/>
        <v>202310</v>
      </c>
      <c r="W76" t="str">
        <f t="shared" si="16"/>
        <v>Jan-24</v>
      </c>
      <c r="X76" s="3">
        <f t="shared" si="17"/>
        <v>-996.17</v>
      </c>
      <c r="Y76" t="str">
        <f t="shared" si="18"/>
        <v/>
      </c>
      <c r="Z76">
        <f t="shared" si="19"/>
        <v>-996.17</v>
      </c>
    </row>
    <row r="77" spans="1:26" x14ac:dyDescent="0.25">
      <c r="A77" s="1">
        <v>45314</v>
      </c>
      <c r="B77" t="s">
        <v>831</v>
      </c>
      <c r="C77" t="s">
        <v>17</v>
      </c>
      <c r="D77" t="s">
        <v>22</v>
      </c>
      <c r="E77">
        <v>40</v>
      </c>
      <c r="F77">
        <v>0</v>
      </c>
      <c r="G77">
        <v>30.1</v>
      </c>
      <c r="H77">
        <v>1204</v>
      </c>
      <c r="I77" t="s">
        <v>842</v>
      </c>
      <c r="J77">
        <v>0</v>
      </c>
      <c r="K77">
        <v>0.61</v>
      </c>
      <c r="L77">
        <v>0</v>
      </c>
      <c r="M77">
        <v>0</v>
      </c>
      <c r="N77">
        <v>20</v>
      </c>
      <c r="O77">
        <v>3.7</v>
      </c>
      <c r="P77">
        <v>24.31</v>
      </c>
      <c r="Q77">
        <f t="shared" si="10"/>
        <v>2024</v>
      </c>
      <c r="R77">
        <f t="shared" si="11"/>
        <v>1</v>
      </c>
      <c r="S77">
        <f t="shared" si="12"/>
        <v>2023</v>
      </c>
      <c r="T77">
        <f t="shared" si="13"/>
        <v>10</v>
      </c>
      <c r="U77">
        <f t="shared" si="14"/>
        <v>10</v>
      </c>
      <c r="V77" t="str">
        <f t="shared" si="15"/>
        <v>202310</v>
      </c>
      <c r="W77" t="str">
        <f t="shared" si="16"/>
        <v>Jan-24</v>
      </c>
      <c r="X77" s="3">
        <f t="shared" si="17"/>
        <v>-1228.31</v>
      </c>
      <c r="Y77" t="str">
        <f t="shared" si="18"/>
        <v/>
      </c>
      <c r="Z77">
        <f t="shared" si="19"/>
        <v>-1228.31</v>
      </c>
    </row>
    <row r="78" spans="1:26" x14ac:dyDescent="0.25">
      <c r="A78" s="1">
        <v>45314</v>
      </c>
      <c r="B78" t="s">
        <v>831</v>
      </c>
      <c r="C78" t="s">
        <v>17</v>
      </c>
      <c r="D78" t="s">
        <v>22</v>
      </c>
      <c r="E78">
        <v>40</v>
      </c>
      <c r="F78">
        <v>0</v>
      </c>
      <c r="G78">
        <v>41.9</v>
      </c>
      <c r="H78">
        <v>1676</v>
      </c>
      <c r="I78" t="s">
        <v>843</v>
      </c>
      <c r="J78">
        <v>0</v>
      </c>
      <c r="K78">
        <v>0.85</v>
      </c>
      <c r="L78">
        <v>0.18</v>
      </c>
      <c r="M78">
        <v>0</v>
      </c>
      <c r="N78">
        <v>20</v>
      </c>
      <c r="O78">
        <v>3.76</v>
      </c>
      <c r="P78">
        <v>24.79</v>
      </c>
      <c r="Q78">
        <f t="shared" si="10"/>
        <v>2024</v>
      </c>
      <c r="R78">
        <f t="shared" si="11"/>
        <v>1</v>
      </c>
      <c r="S78">
        <f t="shared" si="12"/>
        <v>2023</v>
      </c>
      <c r="T78">
        <f t="shared" si="13"/>
        <v>10</v>
      </c>
      <c r="U78">
        <f t="shared" si="14"/>
        <v>10</v>
      </c>
      <c r="V78" t="str">
        <f t="shared" si="15"/>
        <v>202310</v>
      </c>
      <c r="W78" t="str">
        <f t="shared" si="16"/>
        <v>Jan-24</v>
      </c>
      <c r="X78" s="3">
        <f t="shared" si="17"/>
        <v>-1700.79</v>
      </c>
      <c r="Y78" t="str">
        <f t="shared" si="18"/>
        <v/>
      </c>
      <c r="Z78">
        <f t="shared" si="19"/>
        <v>-1700.79</v>
      </c>
    </row>
    <row r="79" spans="1:26" x14ac:dyDescent="0.25">
      <c r="A79" s="1">
        <v>45315</v>
      </c>
      <c r="B79" t="s">
        <v>815</v>
      </c>
      <c r="C79" t="s">
        <v>17</v>
      </c>
      <c r="D79" t="s">
        <v>18</v>
      </c>
      <c r="E79">
        <v>15</v>
      </c>
      <c r="F79">
        <v>0</v>
      </c>
      <c r="G79">
        <v>402.3</v>
      </c>
      <c r="H79">
        <v>6034.5</v>
      </c>
      <c r="I79" t="s">
        <v>816</v>
      </c>
      <c r="J79">
        <v>3.45</v>
      </c>
      <c r="K79">
        <v>3.05</v>
      </c>
      <c r="L79">
        <v>0</v>
      </c>
      <c r="M79">
        <v>0.01</v>
      </c>
      <c r="N79">
        <v>20</v>
      </c>
      <c r="O79">
        <v>4.16</v>
      </c>
      <c r="P79">
        <v>30.67</v>
      </c>
      <c r="Q79">
        <f t="shared" si="10"/>
        <v>2024</v>
      </c>
      <c r="R79">
        <f t="shared" si="11"/>
        <v>1</v>
      </c>
      <c r="S79">
        <f t="shared" si="12"/>
        <v>2023</v>
      </c>
      <c r="T79">
        <f t="shared" si="13"/>
        <v>10</v>
      </c>
      <c r="U79">
        <f t="shared" si="14"/>
        <v>10</v>
      </c>
      <c r="V79" t="str">
        <f t="shared" si="15"/>
        <v>202310</v>
      </c>
      <c r="W79" t="str">
        <f t="shared" si="16"/>
        <v>Jan-24</v>
      </c>
      <c r="X79" s="3">
        <f t="shared" si="17"/>
        <v>6003.83</v>
      </c>
      <c r="Y79">
        <f t="shared" si="18"/>
        <v>6003.83</v>
      </c>
      <c r="Z79" t="str">
        <f t="shared" si="19"/>
        <v/>
      </c>
    </row>
    <row r="80" spans="1:26" x14ac:dyDescent="0.25">
      <c r="A80" s="1">
        <v>45315</v>
      </c>
      <c r="B80" t="s">
        <v>815</v>
      </c>
      <c r="C80" t="s">
        <v>17</v>
      </c>
      <c r="D80" t="s">
        <v>22</v>
      </c>
      <c r="E80">
        <v>15</v>
      </c>
      <c r="F80">
        <v>0</v>
      </c>
      <c r="G80">
        <v>248.5</v>
      </c>
      <c r="H80">
        <v>3727.5</v>
      </c>
      <c r="I80" t="s">
        <v>817</v>
      </c>
      <c r="J80">
        <v>0</v>
      </c>
      <c r="K80">
        <v>1.88</v>
      </c>
      <c r="L80">
        <v>0</v>
      </c>
      <c r="M80">
        <v>0</v>
      </c>
      <c r="N80">
        <v>20</v>
      </c>
      <c r="O80">
        <v>3.94</v>
      </c>
      <c r="P80">
        <v>25.82</v>
      </c>
      <c r="Q80">
        <f t="shared" si="10"/>
        <v>2024</v>
      </c>
      <c r="R80">
        <f t="shared" si="11"/>
        <v>1</v>
      </c>
      <c r="S80">
        <f t="shared" si="12"/>
        <v>2023</v>
      </c>
      <c r="T80">
        <f t="shared" si="13"/>
        <v>10</v>
      </c>
      <c r="U80">
        <f t="shared" si="14"/>
        <v>10</v>
      </c>
      <c r="V80" t="str">
        <f t="shared" si="15"/>
        <v>202310</v>
      </c>
      <c r="W80" t="str">
        <f t="shared" si="16"/>
        <v>Jan-24</v>
      </c>
      <c r="X80" s="3">
        <f t="shared" si="17"/>
        <v>-3753.32</v>
      </c>
      <c r="Y80" t="str">
        <f t="shared" si="18"/>
        <v/>
      </c>
      <c r="Z80">
        <f t="shared" si="19"/>
        <v>-3753.32</v>
      </c>
    </row>
    <row r="81" spans="1:26" x14ac:dyDescent="0.25">
      <c r="A81" s="1">
        <v>45315</v>
      </c>
      <c r="B81" t="s">
        <v>818</v>
      </c>
      <c r="C81" t="s">
        <v>17</v>
      </c>
      <c r="D81" t="s">
        <v>18</v>
      </c>
      <c r="E81">
        <v>15</v>
      </c>
      <c r="F81">
        <v>0</v>
      </c>
      <c r="G81">
        <v>116.25</v>
      </c>
      <c r="H81">
        <v>1743.75</v>
      </c>
      <c r="I81" t="s">
        <v>819</v>
      </c>
      <c r="J81">
        <v>1.0900000000000001</v>
      </c>
      <c r="K81">
        <v>0.88</v>
      </c>
      <c r="L81">
        <v>0</v>
      </c>
      <c r="M81">
        <v>0</v>
      </c>
      <c r="N81">
        <v>20</v>
      </c>
      <c r="O81">
        <v>3.76</v>
      </c>
      <c r="P81">
        <v>25.73</v>
      </c>
      <c r="Q81">
        <f t="shared" si="10"/>
        <v>2024</v>
      </c>
      <c r="R81">
        <f t="shared" si="11"/>
        <v>1</v>
      </c>
      <c r="S81">
        <f t="shared" si="12"/>
        <v>2023</v>
      </c>
      <c r="T81">
        <f t="shared" si="13"/>
        <v>10</v>
      </c>
      <c r="U81">
        <f t="shared" si="14"/>
        <v>10</v>
      </c>
      <c r="V81" t="str">
        <f t="shared" si="15"/>
        <v>202310</v>
      </c>
      <c r="W81" t="str">
        <f t="shared" si="16"/>
        <v>Jan-24</v>
      </c>
      <c r="X81" s="3">
        <f t="shared" si="17"/>
        <v>1718.02</v>
      </c>
      <c r="Y81">
        <f t="shared" si="18"/>
        <v>1718.02</v>
      </c>
      <c r="Z81" t="str">
        <f t="shared" si="19"/>
        <v/>
      </c>
    </row>
    <row r="82" spans="1:26" x14ac:dyDescent="0.25">
      <c r="A82" s="1">
        <v>45315</v>
      </c>
      <c r="B82" t="s">
        <v>818</v>
      </c>
      <c r="C82" t="s">
        <v>17</v>
      </c>
      <c r="D82" t="s">
        <v>18</v>
      </c>
      <c r="E82">
        <v>15</v>
      </c>
      <c r="F82">
        <v>0</v>
      </c>
      <c r="G82">
        <v>116.25</v>
      </c>
      <c r="H82">
        <v>1743.75</v>
      </c>
      <c r="I82" t="s">
        <v>820</v>
      </c>
      <c r="J82">
        <v>1.0900000000000001</v>
      </c>
      <c r="K82">
        <v>0.88</v>
      </c>
      <c r="L82">
        <v>0</v>
      </c>
      <c r="M82">
        <v>0</v>
      </c>
      <c r="N82">
        <v>20</v>
      </c>
      <c r="O82">
        <v>3.76</v>
      </c>
      <c r="P82">
        <v>25.73</v>
      </c>
      <c r="Q82">
        <f t="shared" si="10"/>
        <v>2024</v>
      </c>
      <c r="R82">
        <f t="shared" si="11"/>
        <v>1</v>
      </c>
      <c r="S82">
        <f t="shared" si="12"/>
        <v>2023</v>
      </c>
      <c r="T82">
        <f t="shared" si="13"/>
        <v>10</v>
      </c>
      <c r="U82">
        <f t="shared" si="14"/>
        <v>10</v>
      </c>
      <c r="V82" t="str">
        <f t="shared" si="15"/>
        <v>202310</v>
      </c>
      <c r="W82" t="str">
        <f t="shared" si="16"/>
        <v>Jan-24</v>
      </c>
      <c r="X82" s="3">
        <f t="shared" si="17"/>
        <v>1718.02</v>
      </c>
      <c r="Y82">
        <f t="shared" si="18"/>
        <v>1718.02</v>
      </c>
      <c r="Z82" t="str">
        <f t="shared" si="19"/>
        <v/>
      </c>
    </row>
    <row r="83" spans="1:26" x14ac:dyDescent="0.25">
      <c r="A83" s="1">
        <v>45315</v>
      </c>
      <c r="B83" t="s">
        <v>818</v>
      </c>
      <c r="C83" t="s">
        <v>17</v>
      </c>
      <c r="D83" t="s">
        <v>22</v>
      </c>
      <c r="E83">
        <v>15</v>
      </c>
      <c r="F83">
        <v>0</v>
      </c>
      <c r="G83">
        <v>95.8</v>
      </c>
      <c r="H83">
        <v>1437</v>
      </c>
      <c r="I83" t="s">
        <v>821</v>
      </c>
      <c r="J83">
        <v>0</v>
      </c>
      <c r="K83">
        <v>0.73</v>
      </c>
      <c r="L83">
        <v>0</v>
      </c>
      <c r="M83">
        <v>0</v>
      </c>
      <c r="N83">
        <v>20</v>
      </c>
      <c r="O83">
        <v>3.74</v>
      </c>
      <c r="P83">
        <v>24.47</v>
      </c>
      <c r="Q83">
        <f t="shared" si="10"/>
        <v>2024</v>
      </c>
      <c r="R83">
        <f t="shared" si="11"/>
        <v>1</v>
      </c>
      <c r="S83">
        <f t="shared" si="12"/>
        <v>2023</v>
      </c>
      <c r="T83">
        <f t="shared" si="13"/>
        <v>10</v>
      </c>
      <c r="U83">
        <f t="shared" si="14"/>
        <v>10</v>
      </c>
      <c r="V83" t="str">
        <f t="shared" si="15"/>
        <v>202310</v>
      </c>
      <c r="W83" t="str">
        <f t="shared" si="16"/>
        <v>Jan-24</v>
      </c>
      <c r="X83" s="3">
        <f t="shared" si="17"/>
        <v>-1461.47</v>
      </c>
      <c r="Y83" t="str">
        <f t="shared" si="18"/>
        <v/>
      </c>
      <c r="Z83">
        <f t="shared" si="19"/>
        <v>-1461.47</v>
      </c>
    </row>
    <row r="84" spans="1:26" x14ac:dyDescent="0.25">
      <c r="A84" s="1">
        <v>45315</v>
      </c>
      <c r="B84" t="s">
        <v>818</v>
      </c>
      <c r="C84" t="s">
        <v>17</v>
      </c>
      <c r="D84" t="s">
        <v>22</v>
      </c>
      <c r="E84">
        <v>15</v>
      </c>
      <c r="F84">
        <v>0</v>
      </c>
      <c r="G84">
        <v>104.5</v>
      </c>
      <c r="H84">
        <v>1567.5</v>
      </c>
      <c r="I84" t="s">
        <v>822</v>
      </c>
      <c r="J84">
        <v>0</v>
      </c>
      <c r="K84">
        <v>0.79</v>
      </c>
      <c r="L84">
        <v>0</v>
      </c>
      <c r="M84">
        <v>0</v>
      </c>
      <c r="N84">
        <v>20</v>
      </c>
      <c r="O84">
        <v>3.74</v>
      </c>
      <c r="P84">
        <v>24.53</v>
      </c>
      <c r="Q84">
        <f t="shared" si="10"/>
        <v>2024</v>
      </c>
      <c r="R84">
        <f t="shared" si="11"/>
        <v>1</v>
      </c>
      <c r="S84">
        <f t="shared" si="12"/>
        <v>2023</v>
      </c>
      <c r="T84">
        <f t="shared" si="13"/>
        <v>10</v>
      </c>
      <c r="U84">
        <f t="shared" si="14"/>
        <v>10</v>
      </c>
      <c r="V84" t="str">
        <f t="shared" si="15"/>
        <v>202310</v>
      </c>
      <c r="W84" t="str">
        <f t="shared" si="16"/>
        <v>Jan-24</v>
      </c>
      <c r="X84" s="3">
        <f t="shared" si="17"/>
        <v>-1592.03</v>
      </c>
      <c r="Y84" t="str">
        <f t="shared" si="18"/>
        <v/>
      </c>
      <c r="Z84">
        <f t="shared" si="19"/>
        <v>-1592.03</v>
      </c>
    </row>
    <row r="85" spans="1:26" x14ac:dyDescent="0.25">
      <c r="A85" s="1">
        <v>45315</v>
      </c>
      <c r="B85" t="s">
        <v>823</v>
      </c>
      <c r="C85" t="s">
        <v>17</v>
      </c>
      <c r="D85" t="s">
        <v>18</v>
      </c>
      <c r="E85">
        <v>15</v>
      </c>
      <c r="F85">
        <v>0</v>
      </c>
      <c r="G85">
        <v>286.60000000000002</v>
      </c>
      <c r="H85">
        <v>4299</v>
      </c>
      <c r="I85" t="s">
        <v>824</v>
      </c>
      <c r="J85">
        <v>2.69</v>
      </c>
      <c r="K85">
        <v>2.17</v>
      </c>
      <c r="L85">
        <v>0</v>
      </c>
      <c r="M85">
        <v>0</v>
      </c>
      <c r="N85">
        <v>20</v>
      </c>
      <c r="O85">
        <v>4</v>
      </c>
      <c r="P85">
        <v>28.86</v>
      </c>
      <c r="Q85">
        <f t="shared" si="10"/>
        <v>2024</v>
      </c>
      <c r="R85">
        <f t="shared" si="11"/>
        <v>1</v>
      </c>
      <c r="S85">
        <f t="shared" si="12"/>
        <v>2023</v>
      </c>
      <c r="T85">
        <f t="shared" si="13"/>
        <v>10</v>
      </c>
      <c r="U85">
        <f t="shared" si="14"/>
        <v>10</v>
      </c>
      <c r="V85" t="str">
        <f t="shared" si="15"/>
        <v>202310</v>
      </c>
      <c r="W85" t="str">
        <f t="shared" si="16"/>
        <v>Jan-24</v>
      </c>
      <c r="X85" s="3">
        <f t="shared" si="17"/>
        <v>4270.1400000000003</v>
      </c>
      <c r="Y85">
        <f t="shared" si="18"/>
        <v>4270.1400000000003</v>
      </c>
      <c r="Z85" t="str">
        <f t="shared" si="19"/>
        <v/>
      </c>
    </row>
    <row r="86" spans="1:26" x14ac:dyDescent="0.25">
      <c r="A86" s="1">
        <v>45315</v>
      </c>
      <c r="B86" t="s">
        <v>823</v>
      </c>
      <c r="C86" t="s">
        <v>17</v>
      </c>
      <c r="D86" t="s">
        <v>18</v>
      </c>
      <c r="E86">
        <v>15</v>
      </c>
      <c r="F86">
        <v>0</v>
      </c>
      <c r="G86">
        <v>286.60000000000002</v>
      </c>
      <c r="H86">
        <v>4299</v>
      </c>
      <c r="I86" t="s">
        <v>825</v>
      </c>
      <c r="J86">
        <v>2.69</v>
      </c>
      <c r="K86">
        <v>2.17</v>
      </c>
      <c r="L86">
        <v>0</v>
      </c>
      <c r="M86">
        <v>0</v>
      </c>
      <c r="N86">
        <v>20</v>
      </c>
      <c r="O86">
        <v>4</v>
      </c>
      <c r="P86">
        <v>28.86</v>
      </c>
      <c r="Q86">
        <f t="shared" si="10"/>
        <v>2024</v>
      </c>
      <c r="R86">
        <f t="shared" si="11"/>
        <v>1</v>
      </c>
      <c r="S86">
        <f t="shared" si="12"/>
        <v>2023</v>
      </c>
      <c r="T86">
        <f t="shared" si="13"/>
        <v>10</v>
      </c>
      <c r="U86">
        <f t="shared" si="14"/>
        <v>10</v>
      </c>
      <c r="V86" t="str">
        <f t="shared" si="15"/>
        <v>202310</v>
      </c>
      <c r="W86" t="str">
        <f t="shared" si="16"/>
        <v>Jan-24</v>
      </c>
      <c r="X86" s="3">
        <f t="shared" si="17"/>
        <v>4270.1400000000003</v>
      </c>
      <c r="Y86">
        <f t="shared" si="18"/>
        <v>4270.1400000000003</v>
      </c>
      <c r="Z86" t="str">
        <f t="shared" si="19"/>
        <v/>
      </c>
    </row>
    <row r="87" spans="1:26" x14ac:dyDescent="0.25">
      <c r="A87" s="1">
        <v>45315</v>
      </c>
      <c r="B87" t="s">
        <v>823</v>
      </c>
      <c r="C87" t="s">
        <v>17</v>
      </c>
      <c r="D87" t="s">
        <v>22</v>
      </c>
      <c r="E87">
        <v>15</v>
      </c>
      <c r="F87">
        <v>0</v>
      </c>
      <c r="G87">
        <v>157.19999999999999</v>
      </c>
      <c r="H87">
        <v>2358</v>
      </c>
      <c r="I87" t="s">
        <v>826</v>
      </c>
      <c r="J87">
        <v>0</v>
      </c>
      <c r="K87">
        <v>1.19</v>
      </c>
      <c r="L87">
        <v>0</v>
      </c>
      <c r="M87">
        <v>0</v>
      </c>
      <c r="N87">
        <v>20</v>
      </c>
      <c r="O87">
        <v>3.82</v>
      </c>
      <c r="P87">
        <v>25.01</v>
      </c>
      <c r="Q87">
        <f t="shared" si="10"/>
        <v>2024</v>
      </c>
      <c r="R87">
        <f t="shared" si="11"/>
        <v>1</v>
      </c>
      <c r="S87">
        <f t="shared" si="12"/>
        <v>2023</v>
      </c>
      <c r="T87">
        <f t="shared" si="13"/>
        <v>10</v>
      </c>
      <c r="U87">
        <f t="shared" si="14"/>
        <v>10</v>
      </c>
      <c r="V87" t="str">
        <f t="shared" si="15"/>
        <v>202310</v>
      </c>
      <c r="W87" t="str">
        <f t="shared" si="16"/>
        <v>Jan-24</v>
      </c>
      <c r="X87" s="3">
        <f t="shared" si="17"/>
        <v>-2383.0100000000002</v>
      </c>
      <c r="Y87" t="str">
        <f t="shared" si="18"/>
        <v/>
      </c>
      <c r="Z87">
        <f t="shared" si="19"/>
        <v>-2383.0100000000002</v>
      </c>
    </row>
    <row r="88" spans="1:26" x14ac:dyDescent="0.25">
      <c r="A88" s="1">
        <v>45315</v>
      </c>
      <c r="B88" t="s">
        <v>823</v>
      </c>
      <c r="C88" t="s">
        <v>17</v>
      </c>
      <c r="D88" t="s">
        <v>22</v>
      </c>
      <c r="E88">
        <v>15</v>
      </c>
      <c r="F88">
        <v>0</v>
      </c>
      <c r="G88">
        <v>216.95</v>
      </c>
      <c r="H88">
        <v>3254.25</v>
      </c>
      <c r="I88" t="s">
        <v>827</v>
      </c>
      <c r="J88">
        <v>0</v>
      </c>
      <c r="K88">
        <v>1.64</v>
      </c>
      <c r="L88">
        <v>0</v>
      </c>
      <c r="M88">
        <v>0</v>
      </c>
      <c r="N88">
        <v>20</v>
      </c>
      <c r="O88">
        <v>3.9</v>
      </c>
      <c r="P88">
        <v>25.54</v>
      </c>
      <c r="Q88">
        <f t="shared" si="10"/>
        <v>2024</v>
      </c>
      <c r="R88">
        <f t="shared" si="11"/>
        <v>1</v>
      </c>
      <c r="S88">
        <f t="shared" si="12"/>
        <v>2023</v>
      </c>
      <c r="T88">
        <f t="shared" si="13"/>
        <v>10</v>
      </c>
      <c r="U88">
        <f t="shared" si="14"/>
        <v>10</v>
      </c>
      <c r="V88" t="str">
        <f t="shared" si="15"/>
        <v>202310</v>
      </c>
      <c r="W88" t="str">
        <f t="shared" si="16"/>
        <v>Jan-24</v>
      </c>
      <c r="X88" s="3">
        <f t="shared" si="17"/>
        <v>-3279.79</v>
      </c>
      <c r="Y88" t="str">
        <f t="shared" si="18"/>
        <v/>
      </c>
      <c r="Z88">
        <f t="shared" si="19"/>
        <v>-3279.79</v>
      </c>
    </row>
    <row r="89" spans="1:26" x14ac:dyDescent="0.25">
      <c r="A89" s="1">
        <v>45316</v>
      </c>
      <c r="B89" t="s">
        <v>796</v>
      </c>
      <c r="C89" t="s">
        <v>17</v>
      </c>
      <c r="D89" t="s">
        <v>18</v>
      </c>
      <c r="E89">
        <v>100</v>
      </c>
      <c r="F89">
        <v>0</v>
      </c>
      <c r="G89">
        <v>57</v>
      </c>
      <c r="H89">
        <v>5700</v>
      </c>
      <c r="I89" t="s">
        <v>797</v>
      </c>
      <c r="J89">
        <v>3.56</v>
      </c>
      <c r="K89">
        <v>2.88</v>
      </c>
      <c r="L89">
        <v>0</v>
      </c>
      <c r="M89">
        <v>0.01</v>
      </c>
      <c r="N89">
        <v>40</v>
      </c>
      <c r="O89">
        <v>7.72</v>
      </c>
      <c r="P89">
        <v>54.17</v>
      </c>
      <c r="Q89">
        <f t="shared" si="10"/>
        <v>2024</v>
      </c>
      <c r="R89">
        <f t="shared" si="11"/>
        <v>1</v>
      </c>
      <c r="S89">
        <f t="shared" si="12"/>
        <v>2023</v>
      </c>
      <c r="T89">
        <f t="shared" si="13"/>
        <v>10</v>
      </c>
      <c r="U89">
        <f t="shared" si="14"/>
        <v>10</v>
      </c>
      <c r="V89" t="str">
        <f t="shared" si="15"/>
        <v>202310</v>
      </c>
      <c r="W89" t="str">
        <f t="shared" si="16"/>
        <v>Jan-24</v>
      </c>
      <c r="X89" s="3">
        <f t="shared" si="17"/>
        <v>5645.83</v>
      </c>
      <c r="Y89">
        <f t="shared" si="18"/>
        <v>5645.83</v>
      </c>
      <c r="Z89" t="str">
        <f t="shared" si="19"/>
        <v/>
      </c>
    </row>
    <row r="90" spans="1:26" x14ac:dyDescent="0.25">
      <c r="A90" s="1">
        <v>45316</v>
      </c>
      <c r="B90" t="s">
        <v>796</v>
      </c>
      <c r="C90" t="s">
        <v>17</v>
      </c>
      <c r="D90" t="s">
        <v>22</v>
      </c>
      <c r="E90">
        <v>100</v>
      </c>
      <c r="F90">
        <v>0</v>
      </c>
      <c r="G90">
        <v>44.85</v>
      </c>
      <c r="H90">
        <v>4485</v>
      </c>
      <c r="I90" t="s">
        <v>798</v>
      </c>
      <c r="J90">
        <v>0</v>
      </c>
      <c r="K90">
        <v>2.2599999999999998</v>
      </c>
      <c r="L90">
        <v>0.37</v>
      </c>
      <c r="M90">
        <v>0</v>
      </c>
      <c r="N90">
        <v>40</v>
      </c>
      <c r="O90">
        <v>7.6</v>
      </c>
      <c r="P90">
        <v>50.23</v>
      </c>
      <c r="Q90">
        <f t="shared" si="10"/>
        <v>2024</v>
      </c>
      <c r="R90">
        <f t="shared" si="11"/>
        <v>1</v>
      </c>
      <c r="S90">
        <f t="shared" si="12"/>
        <v>2023</v>
      </c>
      <c r="T90">
        <f t="shared" si="13"/>
        <v>10</v>
      </c>
      <c r="U90">
        <f t="shared" si="14"/>
        <v>10</v>
      </c>
      <c r="V90" t="str">
        <f t="shared" si="15"/>
        <v>202310</v>
      </c>
      <c r="W90" t="str">
        <f t="shared" si="16"/>
        <v>Jan-24</v>
      </c>
      <c r="X90" s="3">
        <f t="shared" si="17"/>
        <v>-4535.2299999999996</v>
      </c>
      <c r="Y90" t="str">
        <f t="shared" si="18"/>
        <v/>
      </c>
      <c r="Z90">
        <f t="shared" si="19"/>
        <v>-4535.2299999999996</v>
      </c>
    </row>
    <row r="91" spans="1:26" x14ac:dyDescent="0.25">
      <c r="A91" s="1">
        <v>45316</v>
      </c>
      <c r="B91" t="s">
        <v>796</v>
      </c>
      <c r="C91" t="s">
        <v>17</v>
      </c>
      <c r="D91" t="s">
        <v>18</v>
      </c>
      <c r="E91">
        <v>200</v>
      </c>
      <c r="F91">
        <v>0</v>
      </c>
      <c r="G91">
        <v>55</v>
      </c>
      <c r="H91">
        <v>11000</v>
      </c>
      <c r="I91" t="s">
        <v>799</v>
      </c>
      <c r="J91">
        <v>6.88</v>
      </c>
      <c r="K91">
        <v>5.56</v>
      </c>
      <c r="L91">
        <v>0</v>
      </c>
      <c r="M91">
        <v>0.01</v>
      </c>
      <c r="N91">
        <v>80</v>
      </c>
      <c r="O91">
        <v>15.42</v>
      </c>
      <c r="P91">
        <v>107.87</v>
      </c>
      <c r="Q91">
        <f t="shared" si="10"/>
        <v>2024</v>
      </c>
      <c r="R91">
        <f t="shared" si="11"/>
        <v>1</v>
      </c>
      <c r="S91">
        <f t="shared" si="12"/>
        <v>2023</v>
      </c>
      <c r="T91">
        <f t="shared" si="13"/>
        <v>10</v>
      </c>
      <c r="U91">
        <f t="shared" si="14"/>
        <v>10</v>
      </c>
      <c r="V91" t="str">
        <f t="shared" si="15"/>
        <v>202310</v>
      </c>
      <c r="W91" t="str">
        <f t="shared" si="16"/>
        <v>Jan-24</v>
      </c>
      <c r="X91" s="3">
        <f t="shared" si="17"/>
        <v>10892.13</v>
      </c>
      <c r="Y91">
        <f t="shared" si="18"/>
        <v>10892.13</v>
      </c>
      <c r="Z91" t="str">
        <f t="shared" si="19"/>
        <v/>
      </c>
    </row>
    <row r="92" spans="1:26" x14ac:dyDescent="0.25">
      <c r="A92" s="1">
        <v>45316</v>
      </c>
      <c r="B92" t="s">
        <v>796</v>
      </c>
      <c r="C92" t="s">
        <v>17</v>
      </c>
      <c r="D92" t="s">
        <v>22</v>
      </c>
      <c r="E92">
        <v>200</v>
      </c>
      <c r="F92">
        <v>0</v>
      </c>
      <c r="G92">
        <v>45.4</v>
      </c>
      <c r="H92">
        <v>9080</v>
      </c>
      <c r="I92" t="s">
        <v>800</v>
      </c>
      <c r="J92">
        <v>0</v>
      </c>
      <c r="K92">
        <v>4.59</v>
      </c>
      <c r="L92">
        <v>0</v>
      </c>
      <c r="M92">
        <v>0</v>
      </c>
      <c r="N92">
        <v>80</v>
      </c>
      <c r="O92">
        <v>15.22</v>
      </c>
      <c r="P92">
        <v>99.81</v>
      </c>
      <c r="Q92">
        <f t="shared" si="10"/>
        <v>2024</v>
      </c>
      <c r="R92">
        <f t="shared" si="11"/>
        <v>1</v>
      </c>
      <c r="S92">
        <f t="shared" si="12"/>
        <v>2023</v>
      </c>
      <c r="T92">
        <f t="shared" si="13"/>
        <v>10</v>
      </c>
      <c r="U92">
        <f t="shared" si="14"/>
        <v>10</v>
      </c>
      <c r="V92" t="str">
        <f t="shared" si="15"/>
        <v>202310</v>
      </c>
      <c r="W92" t="str">
        <f t="shared" si="16"/>
        <v>Jan-24</v>
      </c>
      <c r="X92" s="3">
        <f t="shared" si="17"/>
        <v>-9179.81</v>
      </c>
      <c r="Y92" t="str">
        <f t="shared" si="18"/>
        <v/>
      </c>
      <c r="Z92">
        <f t="shared" si="19"/>
        <v>-9179.81</v>
      </c>
    </row>
    <row r="93" spans="1:26" x14ac:dyDescent="0.25">
      <c r="A93" s="1">
        <v>45316</v>
      </c>
      <c r="B93" t="s">
        <v>801</v>
      </c>
      <c r="C93" t="s">
        <v>17</v>
      </c>
      <c r="D93" t="s">
        <v>18</v>
      </c>
      <c r="E93">
        <v>300</v>
      </c>
      <c r="F93">
        <v>0</v>
      </c>
      <c r="G93">
        <v>14.15</v>
      </c>
      <c r="H93">
        <v>4245</v>
      </c>
      <c r="I93" t="s">
        <v>802</v>
      </c>
      <c r="J93">
        <v>2.65</v>
      </c>
      <c r="K93">
        <v>2.15</v>
      </c>
      <c r="L93">
        <v>0</v>
      </c>
      <c r="M93">
        <v>0</v>
      </c>
      <c r="N93">
        <v>120</v>
      </c>
      <c r="O93">
        <v>21.98</v>
      </c>
      <c r="P93">
        <v>146.78</v>
      </c>
      <c r="Q93">
        <f t="shared" si="10"/>
        <v>2024</v>
      </c>
      <c r="R93">
        <f t="shared" si="11"/>
        <v>1</v>
      </c>
      <c r="S93">
        <f t="shared" si="12"/>
        <v>2023</v>
      </c>
      <c r="T93">
        <f t="shared" si="13"/>
        <v>10</v>
      </c>
      <c r="U93">
        <f t="shared" si="14"/>
        <v>10</v>
      </c>
      <c r="V93" t="str">
        <f t="shared" si="15"/>
        <v>202310</v>
      </c>
      <c r="W93" t="str">
        <f t="shared" si="16"/>
        <v>Jan-24</v>
      </c>
      <c r="X93" s="3">
        <f t="shared" si="17"/>
        <v>4098.22</v>
      </c>
      <c r="Y93">
        <f t="shared" si="18"/>
        <v>4098.22</v>
      </c>
      <c r="Z93" t="str">
        <f t="shared" si="19"/>
        <v/>
      </c>
    </row>
    <row r="94" spans="1:26" x14ac:dyDescent="0.25">
      <c r="A94" s="1">
        <v>45316</v>
      </c>
      <c r="B94" t="s">
        <v>801</v>
      </c>
      <c r="C94" t="s">
        <v>17</v>
      </c>
      <c r="D94" t="s">
        <v>22</v>
      </c>
      <c r="E94">
        <v>100</v>
      </c>
      <c r="F94">
        <v>0</v>
      </c>
      <c r="G94">
        <v>19.75</v>
      </c>
      <c r="H94">
        <v>1975</v>
      </c>
      <c r="I94" t="s">
        <v>803</v>
      </c>
      <c r="J94">
        <v>0</v>
      </c>
      <c r="K94">
        <v>1</v>
      </c>
      <c r="L94">
        <v>0</v>
      </c>
      <c r="M94">
        <v>0</v>
      </c>
      <c r="N94">
        <v>40</v>
      </c>
      <c r="O94">
        <v>7.38</v>
      </c>
      <c r="P94">
        <v>48.38</v>
      </c>
      <c r="Q94">
        <f t="shared" si="10"/>
        <v>2024</v>
      </c>
      <c r="R94">
        <f t="shared" si="11"/>
        <v>1</v>
      </c>
      <c r="S94">
        <f t="shared" si="12"/>
        <v>2023</v>
      </c>
      <c r="T94">
        <f t="shared" si="13"/>
        <v>10</v>
      </c>
      <c r="U94">
        <f t="shared" si="14"/>
        <v>10</v>
      </c>
      <c r="V94" t="str">
        <f t="shared" si="15"/>
        <v>202310</v>
      </c>
      <c r="W94" t="str">
        <f t="shared" si="16"/>
        <v>Jan-24</v>
      </c>
      <c r="X94" s="3">
        <f t="shared" si="17"/>
        <v>-2023.38</v>
      </c>
      <c r="Y94" t="str">
        <f t="shared" si="18"/>
        <v/>
      </c>
      <c r="Z94">
        <f t="shared" si="19"/>
        <v>-2023.38</v>
      </c>
    </row>
    <row r="95" spans="1:26" x14ac:dyDescent="0.25">
      <c r="A95" s="1">
        <v>45316</v>
      </c>
      <c r="B95" t="s">
        <v>801</v>
      </c>
      <c r="C95" t="s">
        <v>17</v>
      </c>
      <c r="D95" t="s">
        <v>22</v>
      </c>
      <c r="E95">
        <v>100</v>
      </c>
      <c r="F95">
        <v>0</v>
      </c>
      <c r="G95">
        <v>19.8</v>
      </c>
      <c r="H95">
        <v>1980</v>
      </c>
      <c r="I95" t="s">
        <v>804</v>
      </c>
      <c r="J95">
        <v>0</v>
      </c>
      <c r="K95">
        <v>1</v>
      </c>
      <c r="L95">
        <v>0.4</v>
      </c>
      <c r="M95">
        <v>0</v>
      </c>
      <c r="N95">
        <v>40</v>
      </c>
      <c r="O95">
        <v>7.38</v>
      </c>
      <c r="P95">
        <v>48.78</v>
      </c>
      <c r="Q95">
        <f t="shared" si="10"/>
        <v>2024</v>
      </c>
      <c r="R95">
        <f t="shared" si="11"/>
        <v>1</v>
      </c>
      <c r="S95">
        <f t="shared" si="12"/>
        <v>2023</v>
      </c>
      <c r="T95">
        <f t="shared" si="13"/>
        <v>10</v>
      </c>
      <c r="U95">
        <f t="shared" si="14"/>
        <v>10</v>
      </c>
      <c r="V95" t="str">
        <f t="shared" si="15"/>
        <v>202310</v>
      </c>
      <c r="W95" t="str">
        <f t="shared" si="16"/>
        <v>Jan-24</v>
      </c>
      <c r="X95" s="3">
        <f t="shared" si="17"/>
        <v>-2028.78</v>
      </c>
      <c r="Y95" t="str">
        <f t="shared" si="18"/>
        <v/>
      </c>
      <c r="Z95">
        <f t="shared" si="19"/>
        <v>-2028.78</v>
      </c>
    </row>
    <row r="96" spans="1:26" x14ac:dyDescent="0.25">
      <c r="A96" s="1">
        <v>45316</v>
      </c>
      <c r="B96" t="s">
        <v>801</v>
      </c>
      <c r="C96" t="s">
        <v>17</v>
      </c>
      <c r="D96" t="s">
        <v>22</v>
      </c>
      <c r="E96">
        <v>100</v>
      </c>
      <c r="F96">
        <v>0</v>
      </c>
      <c r="G96">
        <v>21.55</v>
      </c>
      <c r="H96">
        <v>2155</v>
      </c>
      <c r="I96" t="s">
        <v>805</v>
      </c>
      <c r="J96">
        <v>0</v>
      </c>
      <c r="K96">
        <v>1.0900000000000001</v>
      </c>
      <c r="L96">
        <v>0</v>
      </c>
      <c r="M96">
        <v>0</v>
      </c>
      <c r="N96">
        <v>40</v>
      </c>
      <c r="O96">
        <v>7.4</v>
      </c>
      <c r="P96">
        <v>48.49</v>
      </c>
      <c r="Q96">
        <f t="shared" si="10"/>
        <v>2024</v>
      </c>
      <c r="R96">
        <f t="shared" si="11"/>
        <v>1</v>
      </c>
      <c r="S96">
        <f t="shared" si="12"/>
        <v>2023</v>
      </c>
      <c r="T96">
        <f t="shared" si="13"/>
        <v>10</v>
      </c>
      <c r="U96">
        <f t="shared" si="14"/>
        <v>10</v>
      </c>
      <c r="V96" t="str">
        <f t="shared" si="15"/>
        <v>202310</v>
      </c>
      <c r="W96" t="str">
        <f t="shared" si="16"/>
        <v>Jan-24</v>
      </c>
      <c r="X96" s="3">
        <f t="shared" si="17"/>
        <v>-2203.4899999999998</v>
      </c>
      <c r="Y96" t="str">
        <f t="shared" si="18"/>
        <v/>
      </c>
      <c r="Z96">
        <f t="shared" si="19"/>
        <v>-2203.4899999999998</v>
      </c>
    </row>
    <row r="97" spans="1:26" x14ac:dyDescent="0.25">
      <c r="A97" s="1">
        <v>45316</v>
      </c>
      <c r="B97" t="s">
        <v>801</v>
      </c>
      <c r="C97" t="s">
        <v>17</v>
      </c>
      <c r="D97" t="s">
        <v>18</v>
      </c>
      <c r="E97">
        <v>100</v>
      </c>
      <c r="F97">
        <v>0</v>
      </c>
      <c r="G97">
        <v>15.95</v>
      </c>
      <c r="H97">
        <v>1595</v>
      </c>
      <c r="I97" t="s">
        <v>806</v>
      </c>
      <c r="J97">
        <v>1</v>
      </c>
      <c r="K97">
        <v>0.81</v>
      </c>
      <c r="L97">
        <v>0</v>
      </c>
      <c r="M97">
        <v>0</v>
      </c>
      <c r="N97">
        <v>40</v>
      </c>
      <c r="O97">
        <v>7.34</v>
      </c>
      <c r="P97">
        <v>49.15</v>
      </c>
      <c r="Q97">
        <f t="shared" si="10"/>
        <v>2024</v>
      </c>
      <c r="R97">
        <f t="shared" si="11"/>
        <v>1</v>
      </c>
      <c r="S97">
        <f t="shared" si="12"/>
        <v>2023</v>
      </c>
      <c r="T97">
        <f t="shared" si="13"/>
        <v>10</v>
      </c>
      <c r="U97">
        <f t="shared" si="14"/>
        <v>10</v>
      </c>
      <c r="V97" t="str">
        <f t="shared" si="15"/>
        <v>202310</v>
      </c>
      <c r="W97" t="str">
        <f t="shared" si="16"/>
        <v>Jan-24</v>
      </c>
      <c r="X97" s="3">
        <f t="shared" si="17"/>
        <v>1545.85</v>
      </c>
      <c r="Y97">
        <f t="shared" si="18"/>
        <v>1545.85</v>
      </c>
      <c r="Z97" t="str">
        <f t="shared" si="19"/>
        <v/>
      </c>
    </row>
    <row r="98" spans="1:26" x14ac:dyDescent="0.25">
      <c r="A98" s="1">
        <v>45316</v>
      </c>
      <c r="B98" t="s">
        <v>801</v>
      </c>
      <c r="C98" t="s">
        <v>17</v>
      </c>
      <c r="D98" t="s">
        <v>22</v>
      </c>
      <c r="E98">
        <v>100</v>
      </c>
      <c r="F98">
        <v>0</v>
      </c>
      <c r="G98">
        <v>26.65</v>
      </c>
      <c r="H98">
        <v>2665</v>
      </c>
      <c r="I98" t="s">
        <v>807</v>
      </c>
      <c r="J98">
        <v>0</v>
      </c>
      <c r="K98">
        <v>1.35</v>
      </c>
      <c r="L98">
        <v>0</v>
      </c>
      <c r="M98">
        <v>0</v>
      </c>
      <c r="N98">
        <v>40</v>
      </c>
      <c r="O98">
        <v>7.44</v>
      </c>
      <c r="P98">
        <v>48.79</v>
      </c>
      <c r="Q98">
        <f t="shared" si="10"/>
        <v>2024</v>
      </c>
      <c r="R98">
        <f t="shared" si="11"/>
        <v>1</v>
      </c>
      <c r="S98">
        <f t="shared" si="12"/>
        <v>2023</v>
      </c>
      <c r="T98">
        <f t="shared" si="13"/>
        <v>10</v>
      </c>
      <c r="U98">
        <f t="shared" si="14"/>
        <v>10</v>
      </c>
      <c r="V98" t="str">
        <f t="shared" si="15"/>
        <v>202310</v>
      </c>
      <c r="W98" t="str">
        <f t="shared" si="16"/>
        <v>Jan-24</v>
      </c>
      <c r="X98" s="3">
        <f t="shared" si="17"/>
        <v>-2713.79</v>
      </c>
      <c r="Y98" t="str">
        <f t="shared" si="18"/>
        <v/>
      </c>
      <c r="Z98">
        <f t="shared" si="19"/>
        <v>-2713.79</v>
      </c>
    </row>
    <row r="99" spans="1:26" x14ac:dyDescent="0.25">
      <c r="A99" s="1">
        <v>45316</v>
      </c>
      <c r="B99" t="s">
        <v>808</v>
      </c>
      <c r="C99" t="s">
        <v>17</v>
      </c>
      <c r="D99" t="s">
        <v>18</v>
      </c>
      <c r="E99">
        <v>50</v>
      </c>
      <c r="F99">
        <v>0</v>
      </c>
      <c r="G99">
        <v>116.1</v>
      </c>
      <c r="H99">
        <v>5805</v>
      </c>
      <c r="I99" t="s">
        <v>809</v>
      </c>
      <c r="J99">
        <v>3.63</v>
      </c>
      <c r="K99">
        <v>2.93</v>
      </c>
      <c r="L99">
        <v>0</v>
      </c>
      <c r="M99">
        <v>0.01</v>
      </c>
      <c r="N99">
        <v>20</v>
      </c>
      <c r="O99">
        <v>4.12</v>
      </c>
      <c r="P99">
        <v>30.69</v>
      </c>
      <c r="Q99">
        <f t="shared" si="10"/>
        <v>2024</v>
      </c>
      <c r="R99">
        <f t="shared" si="11"/>
        <v>1</v>
      </c>
      <c r="S99">
        <f t="shared" si="12"/>
        <v>2023</v>
      </c>
      <c r="T99">
        <f t="shared" si="13"/>
        <v>10</v>
      </c>
      <c r="U99">
        <f t="shared" si="14"/>
        <v>10</v>
      </c>
      <c r="V99" t="str">
        <f t="shared" si="15"/>
        <v>202310</v>
      </c>
      <c r="W99" t="str">
        <f t="shared" si="16"/>
        <v>Jan-24</v>
      </c>
      <c r="X99" s="3">
        <f t="shared" si="17"/>
        <v>5774.31</v>
      </c>
      <c r="Y99">
        <f t="shared" si="18"/>
        <v>5774.31</v>
      </c>
      <c r="Z99" t="str">
        <f t="shared" si="19"/>
        <v/>
      </c>
    </row>
    <row r="100" spans="1:26" x14ac:dyDescent="0.25">
      <c r="A100" s="1">
        <v>45316</v>
      </c>
      <c r="B100" t="s">
        <v>801</v>
      </c>
      <c r="C100" t="s">
        <v>17</v>
      </c>
      <c r="D100" t="s">
        <v>18</v>
      </c>
      <c r="E100">
        <v>50</v>
      </c>
      <c r="F100">
        <v>0</v>
      </c>
      <c r="G100">
        <v>32.75</v>
      </c>
      <c r="H100">
        <v>1637.5</v>
      </c>
      <c r="I100" t="s">
        <v>810</v>
      </c>
      <c r="J100">
        <v>1.02</v>
      </c>
      <c r="K100">
        <v>0.83</v>
      </c>
      <c r="L100">
        <v>0</v>
      </c>
      <c r="M100">
        <v>0</v>
      </c>
      <c r="N100">
        <v>20</v>
      </c>
      <c r="O100">
        <v>3.74</v>
      </c>
      <c r="P100">
        <v>25.59</v>
      </c>
      <c r="Q100">
        <f t="shared" si="10"/>
        <v>2024</v>
      </c>
      <c r="R100">
        <f t="shared" si="11"/>
        <v>1</v>
      </c>
      <c r="S100">
        <f t="shared" si="12"/>
        <v>2023</v>
      </c>
      <c r="T100">
        <f t="shared" si="13"/>
        <v>10</v>
      </c>
      <c r="U100">
        <f t="shared" si="14"/>
        <v>10</v>
      </c>
      <c r="V100" t="str">
        <f t="shared" si="15"/>
        <v>202310</v>
      </c>
      <c r="W100" t="str">
        <f t="shared" si="16"/>
        <v>Jan-24</v>
      </c>
      <c r="X100" s="3">
        <f t="shared" si="17"/>
        <v>1611.91</v>
      </c>
      <c r="Y100">
        <f t="shared" si="18"/>
        <v>1611.91</v>
      </c>
      <c r="Z100" t="str">
        <f t="shared" si="19"/>
        <v/>
      </c>
    </row>
    <row r="101" spans="1:26" x14ac:dyDescent="0.25">
      <c r="A101" s="1">
        <v>45316</v>
      </c>
      <c r="B101" t="s">
        <v>808</v>
      </c>
      <c r="C101" t="s">
        <v>17</v>
      </c>
      <c r="D101" t="s">
        <v>22</v>
      </c>
      <c r="E101">
        <v>50</v>
      </c>
      <c r="F101">
        <v>0</v>
      </c>
      <c r="G101">
        <v>83.7</v>
      </c>
      <c r="H101">
        <v>4185</v>
      </c>
      <c r="I101" t="s">
        <v>811</v>
      </c>
      <c r="J101">
        <v>0</v>
      </c>
      <c r="K101">
        <v>2.11</v>
      </c>
      <c r="L101">
        <v>0</v>
      </c>
      <c r="M101">
        <v>0</v>
      </c>
      <c r="N101">
        <v>20</v>
      </c>
      <c r="O101">
        <v>3.98</v>
      </c>
      <c r="P101">
        <v>26.09</v>
      </c>
      <c r="Q101">
        <f t="shared" si="10"/>
        <v>2024</v>
      </c>
      <c r="R101">
        <f t="shared" si="11"/>
        <v>1</v>
      </c>
      <c r="S101">
        <f t="shared" si="12"/>
        <v>2023</v>
      </c>
      <c r="T101">
        <f t="shared" si="13"/>
        <v>10</v>
      </c>
      <c r="U101">
        <f t="shared" si="14"/>
        <v>10</v>
      </c>
      <c r="V101" t="str">
        <f t="shared" si="15"/>
        <v>202310</v>
      </c>
      <c r="W101" t="str">
        <f t="shared" si="16"/>
        <v>Jan-24</v>
      </c>
      <c r="X101" s="3">
        <f t="shared" si="17"/>
        <v>-4211.09</v>
      </c>
      <c r="Y101" t="str">
        <f t="shared" si="18"/>
        <v/>
      </c>
      <c r="Z101">
        <f t="shared" si="19"/>
        <v>-4211.09</v>
      </c>
    </row>
    <row r="102" spans="1:26" x14ac:dyDescent="0.25">
      <c r="A102" s="1">
        <v>45316</v>
      </c>
      <c r="B102" t="s">
        <v>808</v>
      </c>
      <c r="C102" t="s">
        <v>17</v>
      </c>
      <c r="D102" t="s">
        <v>18</v>
      </c>
      <c r="E102">
        <v>50</v>
      </c>
      <c r="F102">
        <v>0</v>
      </c>
      <c r="G102">
        <v>72.400000000000006</v>
      </c>
      <c r="H102">
        <v>3620</v>
      </c>
      <c r="I102" t="s">
        <v>812</v>
      </c>
      <c r="J102">
        <v>2.2599999999999998</v>
      </c>
      <c r="K102">
        <v>1.83</v>
      </c>
      <c r="L102">
        <v>0</v>
      </c>
      <c r="M102">
        <v>0</v>
      </c>
      <c r="N102">
        <v>20</v>
      </c>
      <c r="O102">
        <v>3.92</v>
      </c>
      <c r="P102">
        <v>28.01</v>
      </c>
      <c r="Q102">
        <f t="shared" si="10"/>
        <v>2024</v>
      </c>
      <c r="R102">
        <f t="shared" si="11"/>
        <v>1</v>
      </c>
      <c r="S102">
        <f t="shared" si="12"/>
        <v>2023</v>
      </c>
      <c r="T102">
        <f t="shared" si="13"/>
        <v>10</v>
      </c>
      <c r="U102">
        <f t="shared" si="14"/>
        <v>10</v>
      </c>
      <c r="V102" t="str">
        <f t="shared" si="15"/>
        <v>202310</v>
      </c>
      <c r="W102" t="str">
        <f t="shared" si="16"/>
        <v>Jan-24</v>
      </c>
      <c r="X102" s="3">
        <f t="shared" si="17"/>
        <v>3591.99</v>
      </c>
      <c r="Y102">
        <f t="shared" si="18"/>
        <v>3591.99</v>
      </c>
      <c r="Z102" t="str">
        <f t="shared" si="19"/>
        <v/>
      </c>
    </row>
    <row r="103" spans="1:26" x14ac:dyDescent="0.25">
      <c r="A103" s="1">
        <v>45316</v>
      </c>
      <c r="B103" t="s">
        <v>808</v>
      </c>
      <c r="C103" t="s">
        <v>17</v>
      </c>
      <c r="D103" t="s">
        <v>22</v>
      </c>
      <c r="E103">
        <v>50</v>
      </c>
      <c r="F103">
        <v>0</v>
      </c>
      <c r="G103">
        <v>67.95</v>
      </c>
      <c r="H103">
        <v>3397.5</v>
      </c>
      <c r="I103" t="s">
        <v>813</v>
      </c>
      <c r="J103">
        <v>0</v>
      </c>
      <c r="K103">
        <v>1.72</v>
      </c>
      <c r="L103">
        <v>0.23</v>
      </c>
      <c r="M103">
        <v>0</v>
      </c>
      <c r="N103">
        <v>20</v>
      </c>
      <c r="O103">
        <v>3.9</v>
      </c>
      <c r="P103">
        <v>25.85</v>
      </c>
      <c r="Q103">
        <f t="shared" si="10"/>
        <v>2024</v>
      </c>
      <c r="R103">
        <f t="shared" si="11"/>
        <v>1</v>
      </c>
      <c r="S103">
        <f t="shared" si="12"/>
        <v>2023</v>
      </c>
      <c r="T103">
        <f t="shared" si="13"/>
        <v>10</v>
      </c>
      <c r="U103">
        <f t="shared" si="14"/>
        <v>10</v>
      </c>
      <c r="V103" t="str">
        <f t="shared" si="15"/>
        <v>202310</v>
      </c>
      <c r="W103" t="str">
        <f t="shared" si="16"/>
        <v>Jan-24</v>
      </c>
      <c r="X103" s="3">
        <f t="shared" si="17"/>
        <v>-3423.35</v>
      </c>
      <c r="Y103" t="str">
        <f t="shared" si="18"/>
        <v/>
      </c>
      <c r="Z103">
        <f t="shared" si="19"/>
        <v>-3423.35</v>
      </c>
    </row>
    <row r="104" spans="1:26" x14ac:dyDescent="0.25">
      <c r="A104" s="1">
        <v>45316</v>
      </c>
      <c r="B104" t="s">
        <v>801</v>
      </c>
      <c r="C104" t="s">
        <v>17</v>
      </c>
      <c r="D104" t="s">
        <v>22</v>
      </c>
      <c r="E104">
        <v>50</v>
      </c>
      <c r="F104">
        <v>0</v>
      </c>
      <c r="G104">
        <v>89.05</v>
      </c>
      <c r="H104">
        <v>4452.5</v>
      </c>
      <c r="I104" t="s">
        <v>814</v>
      </c>
      <c r="J104">
        <v>0</v>
      </c>
      <c r="K104">
        <v>2.25</v>
      </c>
      <c r="L104">
        <v>0</v>
      </c>
      <c r="M104">
        <v>0</v>
      </c>
      <c r="N104">
        <v>20</v>
      </c>
      <c r="O104">
        <v>4</v>
      </c>
      <c r="P104">
        <v>26.25</v>
      </c>
      <c r="Q104">
        <f t="shared" si="10"/>
        <v>2024</v>
      </c>
      <c r="R104">
        <f t="shared" si="11"/>
        <v>1</v>
      </c>
      <c r="S104">
        <f t="shared" si="12"/>
        <v>2023</v>
      </c>
      <c r="T104">
        <f t="shared" si="13"/>
        <v>10</v>
      </c>
      <c r="U104">
        <f t="shared" si="14"/>
        <v>10</v>
      </c>
      <c r="V104" t="str">
        <f t="shared" si="15"/>
        <v>202310</v>
      </c>
      <c r="W104" t="str">
        <f t="shared" si="16"/>
        <v>Jan-24</v>
      </c>
      <c r="X104" s="3">
        <f t="shared" si="17"/>
        <v>-4478.75</v>
      </c>
      <c r="Y104" t="str">
        <f t="shared" si="18"/>
        <v/>
      </c>
      <c r="Z104">
        <f t="shared" si="19"/>
        <v>-4478.75</v>
      </c>
    </row>
    <row r="105" spans="1:26" x14ac:dyDescent="0.25">
      <c r="A105" s="1">
        <v>45320</v>
      </c>
      <c r="B105" t="s">
        <v>779</v>
      </c>
      <c r="C105" t="s">
        <v>17</v>
      </c>
      <c r="D105" t="s">
        <v>18</v>
      </c>
      <c r="E105">
        <v>50</v>
      </c>
      <c r="F105">
        <v>0</v>
      </c>
      <c r="G105">
        <v>88.4</v>
      </c>
      <c r="H105">
        <v>4420</v>
      </c>
      <c r="I105" t="s">
        <v>780</v>
      </c>
      <c r="J105">
        <v>2.76</v>
      </c>
      <c r="K105">
        <v>2.23</v>
      </c>
      <c r="L105">
        <v>0</v>
      </c>
      <c r="M105">
        <v>0</v>
      </c>
      <c r="N105">
        <v>20</v>
      </c>
      <c r="O105">
        <v>4</v>
      </c>
      <c r="P105">
        <v>28.99</v>
      </c>
      <c r="Q105">
        <f t="shared" si="10"/>
        <v>2024</v>
      </c>
      <c r="R105">
        <f t="shared" si="11"/>
        <v>1</v>
      </c>
      <c r="S105">
        <f t="shared" si="12"/>
        <v>2023</v>
      </c>
      <c r="T105">
        <f t="shared" si="13"/>
        <v>10</v>
      </c>
      <c r="U105">
        <f t="shared" si="14"/>
        <v>10</v>
      </c>
      <c r="V105" t="str">
        <f t="shared" si="15"/>
        <v>202310</v>
      </c>
      <c r="W105" t="str">
        <f t="shared" si="16"/>
        <v>Jan-24</v>
      </c>
      <c r="X105" s="3">
        <f t="shared" si="17"/>
        <v>4391.01</v>
      </c>
      <c r="Y105">
        <f t="shared" si="18"/>
        <v>4391.01</v>
      </c>
      <c r="Z105" t="str">
        <f t="shared" si="19"/>
        <v/>
      </c>
    </row>
    <row r="106" spans="1:26" x14ac:dyDescent="0.25">
      <c r="A106" s="1">
        <v>45320</v>
      </c>
      <c r="B106" t="s">
        <v>779</v>
      </c>
      <c r="C106" t="s">
        <v>17</v>
      </c>
      <c r="D106" t="s">
        <v>22</v>
      </c>
      <c r="E106">
        <v>50</v>
      </c>
      <c r="F106">
        <v>0</v>
      </c>
      <c r="G106">
        <v>95</v>
      </c>
      <c r="H106">
        <v>4750</v>
      </c>
      <c r="I106" t="s">
        <v>781</v>
      </c>
      <c r="J106">
        <v>0</v>
      </c>
      <c r="K106">
        <v>2.4</v>
      </c>
      <c r="L106">
        <v>0</v>
      </c>
      <c r="M106">
        <v>0</v>
      </c>
      <c r="N106">
        <v>20</v>
      </c>
      <c r="O106">
        <v>4.04</v>
      </c>
      <c r="P106">
        <v>26.44</v>
      </c>
      <c r="Q106">
        <f t="shared" si="10"/>
        <v>2024</v>
      </c>
      <c r="R106">
        <f t="shared" si="11"/>
        <v>1</v>
      </c>
      <c r="S106">
        <f t="shared" si="12"/>
        <v>2023</v>
      </c>
      <c r="T106">
        <f t="shared" si="13"/>
        <v>10</v>
      </c>
      <c r="U106">
        <f t="shared" si="14"/>
        <v>10</v>
      </c>
      <c r="V106" t="str">
        <f t="shared" si="15"/>
        <v>202310</v>
      </c>
      <c r="W106" t="str">
        <f t="shared" si="16"/>
        <v>Jan-24</v>
      </c>
      <c r="X106" s="3">
        <f t="shared" si="17"/>
        <v>-4776.4399999999996</v>
      </c>
      <c r="Y106" t="str">
        <f t="shared" si="18"/>
        <v/>
      </c>
      <c r="Z106">
        <f t="shared" si="19"/>
        <v>-4776.4399999999996</v>
      </c>
    </row>
    <row r="107" spans="1:26" x14ac:dyDescent="0.25">
      <c r="A107" s="1">
        <v>45320</v>
      </c>
      <c r="B107" t="s">
        <v>779</v>
      </c>
      <c r="C107" t="s">
        <v>17</v>
      </c>
      <c r="D107" t="s">
        <v>18</v>
      </c>
      <c r="E107">
        <v>100</v>
      </c>
      <c r="F107">
        <v>0</v>
      </c>
      <c r="G107">
        <v>89</v>
      </c>
      <c r="H107">
        <v>8900</v>
      </c>
      <c r="I107" t="s">
        <v>782</v>
      </c>
      <c r="J107">
        <v>5.56</v>
      </c>
      <c r="K107">
        <v>4.49</v>
      </c>
      <c r="L107">
        <v>0</v>
      </c>
      <c r="M107">
        <v>0.01</v>
      </c>
      <c r="N107">
        <v>40</v>
      </c>
      <c r="O107">
        <v>8.02</v>
      </c>
      <c r="P107">
        <v>58.08</v>
      </c>
      <c r="Q107">
        <f t="shared" si="10"/>
        <v>2024</v>
      </c>
      <c r="R107">
        <f t="shared" si="11"/>
        <v>1</v>
      </c>
      <c r="S107">
        <f t="shared" si="12"/>
        <v>2023</v>
      </c>
      <c r="T107">
        <f t="shared" si="13"/>
        <v>10</v>
      </c>
      <c r="U107">
        <f t="shared" si="14"/>
        <v>10</v>
      </c>
      <c r="V107" t="str">
        <f t="shared" si="15"/>
        <v>202310</v>
      </c>
      <c r="W107" t="str">
        <f t="shared" si="16"/>
        <v>Jan-24</v>
      </c>
      <c r="X107" s="3">
        <f t="shared" si="17"/>
        <v>8841.92</v>
      </c>
      <c r="Y107">
        <f t="shared" si="18"/>
        <v>8841.92</v>
      </c>
      <c r="Z107" t="str">
        <f t="shared" si="19"/>
        <v/>
      </c>
    </row>
    <row r="108" spans="1:26" x14ac:dyDescent="0.25">
      <c r="A108" s="1">
        <v>45320</v>
      </c>
      <c r="B108" t="s">
        <v>783</v>
      </c>
      <c r="C108" t="s">
        <v>17</v>
      </c>
      <c r="D108" t="s">
        <v>18</v>
      </c>
      <c r="E108">
        <v>225</v>
      </c>
      <c r="F108">
        <v>0</v>
      </c>
      <c r="G108">
        <v>0.4</v>
      </c>
      <c r="H108">
        <v>90</v>
      </c>
      <c r="I108" t="s">
        <v>784</v>
      </c>
      <c r="J108">
        <v>0.26</v>
      </c>
      <c r="K108">
        <v>0.05</v>
      </c>
      <c r="L108">
        <v>0</v>
      </c>
      <c r="M108">
        <v>0</v>
      </c>
      <c r="N108">
        <v>60</v>
      </c>
      <c r="O108">
        <v>10.8</v>
      </c>
      <c r="P108">
        <v>71.11</v>
      </c>
      <c r="Q108">
        <f t="shared" si="10"/>
        <v>2024</v>
      </c>
      <c r="R108">
        <f t="shared" si="11"/>
        <v>1</v>
      </c>
      <c r="S108">
        <f t="shared" si="12"/>
        <v>2023</v>
      </c>
      <c r="T108">
        <f t="shared" si="13"/>
        <v>10</v>
      </c>
      <c r="U108">
        <f t="shared" si="14"/>
        <v>10</v>
      </c>
      <c r="V108" t="str">
        <f t="shared" si="15"/>
        <v>202310</v>
      </c>
      <c r="W108" t="str">
        <f t="shared" si="16"/>
        <v>Jan-24</v>
      </c>
      <c r="X108" s="3">
        <f t="shared" si="17"/>
        <v>18.89</v>
      </c>
      <c r="Y108">
        <f t="shared" si="18"/>
        <v>18.89</v>
      </c>
      <c r="Z108" t="str">
        <f t="shared" si="19"/>
        <v/>
      </c>
    </row>
    <row r="109" spans="1:26" x14ac:dyDescent="0.25">
      <c r="A109" s="1">
        <v>45320</v>
      </c>
      <c r="B109" t="s">
        <v>783</v>
      </c>
      <c r="C109" t="s">
        <v>17</v>
      </c>
      <c r="D109" t="s">
        <v>22</v>
      </c>
      <c r="E109">
        <v>150</v>
      </c>
      <c r="F109">
        <v>0</v>
      </c>
      <c r="G109">
        <v>2.2000000000000002</v>
      </c>
      <c r="H109">
        <v>330</v>
      </c>
      <c r="I109" t="s">
        <v>785</v>
      </c>
      <c r="J109">
        <v>0</v>
      </c>
      <c r="K109">
        <v>0.17</v>
      </c>
      <c r="L109">
        <v>0.02</v>
      </c>
      <c r="M109">
        <v>0</v>
      </c>
      <c r="N109">
        <v>40</v>
      </c>
      <c r="O109">
        <v>7.24</v>
      </c>
      <c r="P109">
        <v>47.43</v>
      </c>
      <c r="Q109">
        <f t="shared" si="10"/>
        <v>2024</v>
      </c>
      <c r="R109">
        <f t="shared" si="11"/>
        <v>1</v>
      </c>
      <c r="S109">
        <f t="shared" si="12"/>
        <v>2023</v>
      </c>
      <c r="T109">
        <f t="shared" si="13"/>
        <v>10</v>
      </c>
      <c r="U109">
        <f t="shared" si="14"/>
        <v>10</v>
      </c>
      <c r="V109" t="str">
        <f t="shared" si="15"/>
        <v>202310</v>
      </c>
      <c r="W109" t="str">
        <f t="shared" si="16"/>
        <v>Jan-24</v>
      </c>
      <c r="X109" s="3">
        <f t="shared" si="17"/>
        <v>-377.43</v>
      </c>
      <c r="Y109" t="str">
        <f t="shared" si="18"/>
        <v/>
      </c>
      <c r="Z109">
        <f t="shared" si="19"/>
        <v>-377.43</v>
      </c>
    </row>
    <row r="110" spans="1:26" x14ac:dyDescent="0.25">
      <c r="A110" s="1">
        <v>45320</v>
      </c>
      <c r="B110" t="s">
        <v>779</v>
      </c>
      <c r="C110" t="s">
        <v>17</v>
      </c>
      <c r="D110" t="s">
        <v>22</v>
      </c>
      <c r="E110">
        <v>50</v>
      </c>
      <c r="F110">
        <v>0</v>
      </c>
      <c r="G110">
        <v>105.45</v>
      </c>
      <c r="H110">
        <v>5272.5</v>
      </c>
      <c r="I110" t="s">
        <v>786</v>
      </c>
      <c r="J110">
        <v>0</v>
      </c>
      <c r="K110">
        <v>2.66</v>
      </c>
      <c r="L110">
        <v>0</v>
      </c>
      <c r="M110">
        <v>0.01</v>
      </c>
      <c r="N110">
        <v>20</v>
      </c>
      <c r="O110">
        <v>4.08</v>
      </c>
      <c r="P110">
        <v>26.75</v>
      </c>
      <c r="Q110">
        <f t="shared" si="10"/>
        <v>2024</v>
      </c>
      <c r="R110">
        <f t="shared" si="11"/>
        <v>1</v>
      </c>
      <c r="S110">
        <f t="shared" si="12"/>
        <v>2023</v>
      </c>
      <c r="T110">
        <f t="shared" si="13"/>
        <v>10</v>
      </c>
      <c r="U110">
        <f t="shared" si="14"/>
        <v>10</v>
      </c>
      <c r="V110" t="str">
        <f t="shared" si="15"/>
        <v>202310</v>
      </c>
      <c r="W110" t="str">
        <f t="shared" si="16"/>
        <v>Jan-24</v>
      </c>
      <c r="X110" s="3">
        <f t="shared" si="17"/>
        <v>-5299.25</v>
      </c>
      <c r="Y110" t="str">
        <f t="shared" si="18"/>
        <v/>
      </c>
      <c r="Z110">
        <f t="shared" si="19"/>
        <v>-5299.25</v>
      </c>
    </row>
    <row r="111" spans="1:26" x14ac:dyDescent="0.25">
      <c r="A111" s="1">
        <v>45320</v>
      </c>
      <c r="B111" t="s">
        <v>783</v>
      </c>
      <c r="C111" t="s">
        <v>17</v>
      </c>
      <c r="D111" t="s">
        <v>22</v>
      </c>
      <c r="E111">
        <v>75</v>
      </c>
      <c r="F111">
        <v>0</v>
      </c>
      <c r="G111">
        <v>3.55</v>
      </c>
      <c r="H111">
        <v>266.25</v>
      </c>
      <c r="I111" t="s">
        <v>787</v>
      </c>
      <c r="J111">
        <v>0</v>
      </c>
      <c r="K111">
        <v>0.13</v>
      </c>
      <c r="L111">
        <v>0</v>
      </c>
      <c r="M111">
        <v>0</v>
      </c>
      <c r="N111">
        <v>20</v>
      </c>
      <c r="O111">
        <v>3.62</v>
      </c>
      <c r="P111">
        <v>23.75</v>
      </c>
      <c r="Q111">
        <f t="shared" si="10"/>
        <v>2024</v>
      </c>
      <c r="R111">
        <f t="shared" si="11"/>
        <v>1</v>
      </c>
      <c r="S111">
        <f t="shared" si="12"/>
        <v>2023</v>
      </c>
      <c r="T111">
        <f t="shared" si="13"/>
        <v>10</v>
      </c>
      <c r="U111">
        <f t="shared" si="14"/>
        <v>10</v>
      </c>
      <c r="V111" t="str">
        <f t="shared" si="15"/>
        <v>202310</v>
      </c>
      <c r="W111" t="str">
        <f t="shared" si="16"/>
        <v>Jan-24</v>
      </c>
      <c r="X111" s="3">
        <f t="shared" si="17"/>
        <v>-290</v>
      </c>
      <c r="Y111" t="str">
        <f t="shared" si="18"/>
        <v/>
      </c>
      <c r="Z111">
        <f t="shared" si="19"/>
        <v>-290</v>
      </c>
    </row>
    <row r="112" spans="1:26" x14ac:dyDescent="0.25">
      <c r="A112" s="1">
        <v>45320</v>
      </c>
      <c r="B112" t="s">
        <v>779</v>
      </c>
      <c r="C112" t="s">
        <v>17</v>
      </c>
      <c r="D112" t="s">
        <v>22</v>
      </c>
      <c r="E112">
        <v>50</v>
      </c>
      <c r="F112">
        <v>0</v>
      </c>
      <c r="G112">
        <v>120</v>
      </c>
      <c r="H112">
        <v>6000</v>
      </c>
      <c r="I112" t="s">
        <v>788</v>
      </c>
      <c r="J112">
        <v>0</v>
      </c>
      <c r="K112">
        <v>3.03</v>
      </c>
      <c r="L112">
        <v>0</v>
      </c>
      <c r="M112">
        <v>0.01</v>
      </c>
      <c r="N112">
        <v>20</v>
      </c>
      <c r="O112">
        <v>4.1399999999999997</v>
      </c>
      <c r="P112">
        <v>27.18</v>
      </c>
      <c r="Q112">
        <f t="shared" si="10"/>
        <v>2024</v>
      </c>
      <c r="R112">
        <f t="shared" si="11"/>
        <v>1</v>
      </c>
      <c r="S112">
        <f t="shared" si="12"/>
        <v>2023</v>
      </c>
      <c r="T112">
        <f t="shared" si="13"/>
        <v>10</v>
      </c>
      <c r="U112">
        <f t="shared" si="14"/>
        <v>10</v>
      </c>
      <c r="V112" t="str">
        <f t="shared" si="15"/>
        <v>202310</v>
      </c>
      <c r="W112" t="str">
        <f t="shared" si="16"/>
        <v>Jan-24</v>
      </c>
      <c r="X112" s="3">
        <f t="shared" si="17"/>
        <v>-6027.18</v>
      </c>
      <c r="Y112" t="str">
        <f t="shared" si="18"/>
        <v/>
      </c>
      <c r="Z112">
        <f t="shared" si="19"/>
        <v>-6027.18</v>
      </c>
    </row>
    <row r="113" spans="1:26" x14ac:dyDescent="0.25">
      <c r="A113" s="1">
        <v>45320</v>
      </c>
      <c r="B113" t="s">
        <v>779</v>
      </c>
      <c r="C113" t="s">
        <v>17</v>
      </c>
      <c r="D113" t="s">
        <v>18</v>
      </c>
      <c r="E113">
        <v>50</v>
      </c>
      <c r="F113">
        <v>0</v>
      </c>
      <c r="G113">
        <v>117.75</v>
      </c>
      <c r="H113">
        <v>5887.5</v>
      </c>
      <c r="I113" t="s">
        <v>789</v>
      </c>
      <c r="J113">
        <v>3.68</v>
      </c>
      <c r="K113">
        <v>2.97</v>
      </c>
      <c r="L113">
        <v>0</v>
      </c>
      <c r="M113">
        <v>0.01</v>
      </c>
      <c r="N113">
        <v>20</v>
      </c>
      <c r="O113">
        <v>4.1399999999999997</v>
      </c>
      <c r="P113">
        <v>30.8</v>
      </c>
      <c r="Q113">
        <f t="shared" si="10"/>
        <v>2024</v>
      </c>
      <c r="R113">
        <f t="shared" si="11"/>
        <v>1</v>
      </c>
      <c r="S113">
        <f t="shared" si="12"/>
        <v>2023</v>
      </c>
      <c r="T113">
        <f t="shared" si="13"/>
        <v>10</v>
      </c>
      <c r="U113">
        <f t="shared" si="14"/>
        <v>10</v>
      </c>
      <c r="V113" t="str">
        <f t="shared" si="15"/>
        <v>202310</v>
      </c>
      <c r="W113" t="str">
        <f t="shared" si="16"/>
        <v>Jan-24</v>
      </c>
      <c r="X113" s="3">
        <f t="shared" si="17"/>
        <v>5856.7</v>
      </c>
      <c r="Y113">
        <f t="shared" si="18"/>
        <v>5856.7</v>
      </c>
      <c r="Z113" t="str">
        <f t="shared" si="19"/>
        <v/>
      </c>
    </row>
    <row r="114" spans="1:26" x14ac:dyDescent="0.25">
      <c r="A114" s="1">
        <v>45320</v>
      </c>
      <c r="B114" t="s">
        <v>779</v>
      </c>
      <c r="C114" t="s">
        <v>17</v>
      </c>
      <c r="D114" t="s">
        <v>22</v>
      </c>
      <c r="E114">
        <v>50</v>
      </c>
      <c r="F114">
        <v>0</v>
      </c>
      <c r="G114">
        <v>114.2</v>
      </c>
      <c r="H114">
        <v>5710</v>
      </c>
      <c r="I114" t="s">
        <v>790</v>
      </c>
      <c r="J114">
        <v>0</v>
      </c>
      <c r="K114">
        <v>2.88</v>
      </c>
      <c r="L114">
        <v>0.96</v>
      </c>
      <c r="M114">
        <v>0.01</v>
      </c>
      <c r="N114">
        <v>20</v>
      </c>
      <c r="O114">
        <v>4.12</v>
      </c>
      <c r="P114">
        <v>27.97</v>
      </c>
      <c r="Q114">
        <f t="shared" si="10"/>
        <v>2024</v>
      </c>
      <c r="R114">
        <f t="shared" si="11"/>
        <v>1</v>
      </c>
      <c r="S114">
        <f t="shared" si="12"/>
        <v>2023</v>
      </c>
      <c r="T114">
        <f t="shared" si="13"/>
        <v>10</v>
      </c>
      <c r="U114">
        <f t="shared" si="14"/>
        <v>10</v>
      </c>
      <c r="V114" t="str">
        <f t="shared" si="15"/>
        <v>202310</v>
      </c>
      <c r="W114" t="str">
        <f t="shared" si="16"/>
        <v>Jan-24</v>
      </c>
      <c r="X114" s="3">
        <f t="shared" si="17"/>
        <v>-5737.97</v>
      </c>
      <c r="Y114" t="str">
        <f t="shared" si="18"/>
        <v/>
      </c>
      <c r="Z114">
        <f t="shared" si="19"/>
        <v>-5737.97</v>
      </c>
    </row>
    <row r="115" spans="1:26" x14ac:dyDescent="0.25">
      <c r="A115" s="1">
        <v>45320</v>
      </c>
      <c r="B115" t="s">
        <v>791</v>
      </c>
      <c r="C115" t="s">
        <v>17</v>
      </c>
      <c r="D115" t="s">
        <v>18</v>
      </c>
      <c r="E115">
        <v>75</v>
      </c>
      <c r="F115">
        <v>0</v>
      </c>
      <c r="G115">
        <v>18.55</v>
      </c>
      <c r="H115">
        <v>1391.25</v>
      </c>
      <c r="I115" t="s">
        <v>792</v>
      </c>
      <c r="J115">
        <v>0.87</v>
      </c>
      <c r="K115">
        <v>0.7</v>
      </c>
      <c r="L115">
        <v>0</v>
      </c>
      <c r="M115">
        <v>0</v>
      </c>
      <c r="N115">
        <v>20</v>
      </c>
      <c r="O115">
        <v>3.72</v>
      </c>
      <c r="P115">
        <v>25.29</v>
      </c>
      <c r="Q115">
        <f t="shared" si="10"/>
        <v>2024</v>
      </c>
      <c r="R115">
        <f t="shared" si="11"/>
        <v>1</v>
      </c>
      <c r="S115">
        <f t="shared" si="12"/>
        <v>2023</v>
      </c>
      <c r="T115">
        <f t="shared" si="13"/>
        <v>10</v>
      </c>
      <c r="U115">
        <f t="shared" si="14"/>
        <v>10</v>
      </c>
      <c r="V115" t="str">
        <f t="shared" si="15"/>
        <v>202310</v>
      </c>
      <c r="W115" t="str">
        <f t="shared" si="16"/>
        <v>Jan-24</v>
      </c>
      <c r="X115" s="3">
        <f t="shared" si="17"/>
        <v>1365.96</v>
      </c>
      <c r="Y115">
        <f t="shared" si="18"/>
        <v>1365.96</v>
      </c>
      <c r="Z115" t="str">
        <f t="shared" si="19"/>
        <v/>
      </c>
    </row>
    <row r="116" spans="1:26" x14ac:dyDescent="0.25">
      <c r="A116" s="1">
        <v>45320</v>
      </c>
      <c r="B116" t="s">
        <v>791</v>
      </c>
      <c r="C116" t="s">
        <v>17</v>
      </c>
      <c r="D116" t="s">
        <v>18</v>
      </c>
      <c r="E116">
        <v>75</v>
      </c>
      <c r="F116">
        <v>0</v>
      </c>
      <c r="G116">
        <v>18.55</v>
      </c>
      <c r="H116">
        <v>1391.25</v>
      </c>
      <c r="I116" t="s">
        <v>793</v>
      </c>
      <c r="J116">
        <v>0.87</v>
      </c>
      <c r="K116">
        <v>0.7</v>
      </c>
      <c r="L116">
        <v>0</v>
      </c>
      <c r="M116">
        <v>0</v>
      </c>
      <c r="N116">
        <v>20</v>
      </c>
      <c r="O116">
        <v>3.72</v>
      </c>
      <c r="P116">
        <v>25.29</v>
      </c>
      <c r="Q116">
        <f t="shared" si="10"/>
        <v>2024</v>
      </c>
      <c r="R116">
        <f t="shared" si="11"/>
        <v>1</v>
      </c>
      <c r="S116">
        <f t="shared" si="12"/>
        <v>2023</v>
      </c>
      <c r="T116">
        <f t="shared" si="13"/>
        <v>10</v>
      </c>
      <c r="U116">
        <f t="shared" si="14"/>
        <v>10</v>
      </c>
      <c r="V116" t="str">
        <f t="shared" si="15"/>
        <v>202310</v>
      </c>
      <c r="W116" t="str">
        <f t="shared" si="16"/>
        <v>Jan-24</v>
      </c>
      <c r="X116" s="3">
        <f t="shared" si="17"/>
        <v>1365.96</v>
      </c>
      <c r="Y116">
        <f t="shared" si="18"/>
        <v>1365.96</v>
      </c>
      <c r="Z116" t="str">
        <f t="shared" si="19"/>
        <v/>
      </c>
    </row>
    <row r="117" spans="1:26" x14ac:dyDescent="0.25">
      <c r="A117" s="1">
        <v>45320</v>
      </c>
      <c r="B117" t="s">
        <v>791</v>
      </c>
      <c r="C117" t="s">
        <v>17</v>
      </c>
      <c r="D117" t="s">
        <v>22</v>
      </c>
      <c r="E117">
        <v>75</v>
      </c>
      <c r="F117">
        <v>0</v>
      </c>
      <c r="G117">
        <v>3.45</v>
      </c>
      <c r="H117">
        <v>258.75</v>
      </c>
      <c r="I117" t="s">
        <v>794</v>
      </c>
      <c r="J117">
        <v>0</v>
      </c>
      <c r="K117">
        <v>0.13</v>
      </c>
      <c r="L117">
        <v>0</v>
      </c>
      <c r="M117">
        <v>0</v>
      </c>
      <c r="N117">
        <v>20</v>
      </c>
      <c r="O117">
        <v>3.62</v>
      </c>
      <c r="P117">
        <v>23.75</v>
      </c>
      <c r="Q117">
        <f t="shared" si="10"/>
        <v>2024</v>
      </c>
      <c r="R117">
        <f t="shared" si="11"/>
        <v>1</v>
      </c>
      <c r="S117">
        <f t="shared" si="12"/>
        <v>2023</v>
      </c>
      <c r="T117">
        <f t="shared" si="13"/>
        <v>10</v>
      </c>
      <c r="U117">
        <f t="shared" si="14"/>
        <v>10</v>
      </c>
      <c r="V117" t="str">
        <f t="shared" si="15"/>
        <v>202310</v>
      </c>
      <c r="W117" t="str">
        <f t="shared" si="16"/>
        <v>Jan-24</v>
      </c>
      <c r="X117" s="3">
        <f t="shared" si="17"/>
        <v>-282.5</v>
      </c>
      <c r="Y117" t="str">
        <f t="shared" si="18"/>
        <v/>
      </c>
      <c r="Z117">
        <f t="shared" si="19"/>
        <v>-282.5</v>
      </c>
    </row>
    <row r="118" spans="1:26" x14ac:dyDescent="0.25">
      <c r="A118" s="1">
        <v>45320</v>
      </c>
      <c r="B118" t="s">
        <v>791</v>
      </c>
      <c r="C118" t="s">
        <v>17</v>
      </c>
      <c r="D118" t="s">
        <v>22</v>
      </c>
      <c r="E118">
        <v>75</v>
      </c>
      <c r="F118">
        <v>0</v>
      </c>
      <c r="G118">
        <v>3.55</v>
      </c>
      <c r="H118">
        <v>266.25</v>
      </c>
      <c r="I118" t="s">
        <v>795</v>
      </c>
      <c r="J118">
        <v>0</v>
      </c>
      <c r="K118">
        <v>0.13</v>
      </c>
      <c r="L118">
        <v>0.02</v>
      </c>
      <c r="M118">
        <v>0</v>
      </c>
      <c r="N118">
        <v>20</v>
      </c>
      <c r="O118">
        <v>3.62</v>
      </c>
      <c r="P118">
        <v>23.77</v>
      </c>
      <c r="Q118">
        <f t="shared" si="10"/>
        <v>2024</v>
      </c>
      <c r="R118">
        <f t="shared" si="11"/>
        <v>1</v>
      </c>
      <c r="S118">
        <f t="shared" si="12"/>
        <v>2023</v>
      </c>
      <c r="T118">
        <f t="shared" si="13"/>
        <v>10</v>
      </c>
      <c r="U118">
        <f t="shared" si="14"/>
        <v>10</v>
      </c>
      <c r="V118" t="str">
        <f t="shared" si="15"/>
        <v>202310</v>
      </c>
      <c r="W118" t="str">
        <f t="shared" si="16"/>
        <v>Jan-24</v>
      </c>
      <c r="X118" s="3">
        <f t="shared" si="17"/>
        <v>-290.02</v>
      </c>
      <c r="Y118" t="str">
        <f t="shared" si="18"/>
        <v/>
      </c>
      <c r="Z118">
        <f t="shared" si="19"/>
        <v>-290.02</v>
      </c>
    </row>
    <row r="119" spans="1:26" x14ac:dyDescent="0.25">
      <c r="A119" s="1">
        <v>45321</v>
      </c>
      <c r="B119" t="s">
        <v>763</v>
      </c>
      <c r="C119" t="s">
        <v>17</v>
      </c>
      <c r="D119" t="s">
        <v>18</v>
      </c>
      <c r="E119">
        <v>50</v>
      </c>
      <c r="F119">
        <v>0</v>
      </c>
      <c r="G119">
        <v>161.15</v>
      </c>
      <c r="H119">
        <v>8057.5</v>
      </c>
      <c r="I119" t="s">
        <v>764</v>
      </c>
      <c r="J119">
        <v>5.04</v>
      </c>
      <c r="K119">
        <v>4.07</v>
      </c>
      <c r="L119">
        <v>0</v>
      </c>
      <c r="M119">
        <v>0.01</v>
      </c>
      <c r="N119">
        <v>20</v>
      </c>
      <c r="O119">
        <v>4.34</v>
      </c>
      <c r="P119">
        <v>33.46</v>
      </c>
      <c r="Q119">
        <f t="shared" si="10"/>
        <v>2024</v>
      </c>
      <c r="R119">
        <f t="shared" si="11"/>
        <v>1</v>
      </c>
      <c r="S119">
        <f t="shared" si="12"/>
        <v>2023</v>
      </c>
      <c r="T119">
        <f t="shared" si="13"/>
        <v>10</v>
      </c>
      <c r="U119">
        <f t="shared" si="14"/>
        <v>10</v>
      </c>
      <c r="V119" t="str">
        <f t="shared" si="15"/>
        <v>202310</v>
      </c>
      <c r="W119" t="str">
        <f t="shared" si="16"/>
        <v>Jan-24</v>
      </c>
      <c r="X119" s="3">
        <f t="shared" si="17"/>
        <v>8024.04</v>
      </c>
      <c r="Y119">
        <f t="shared" si="18"/>
        <v>8024.04</v>
      </c>
      <c r="Z119" t="str">
        <f t="shared" si="19"/>
        <v/>
      </c>
    </row>
    <row r="120" spans="1:26" x14ac:dyDescent="0.25">
      <c r="A120" s="1">
        <v>45321</v>
      </c>
      <c r="B120" t="s">
        <v>763</v>
      </c>
      <c r="C120" t="s">
        <v>17</v>
      </c>
      <c r="D120" t="s">
        <v>22</v>
      </c>
      <c r="E120">
        <v>50</v>
      </c>
      <c r="F120">
        <v>0</v>
      </c>
      <c r="G120">
        <v>137.94999999999999</v>
      </c>
      <c r="H120">
        <v>6897.5</v>
      </c>
      <c r="I120" t="s">
        <v>765</v>
      </c>
      <c r="J120">
        <v>0</v>
      </c>
      <c r="K120">
        <v>3.48</v>
      </c>
      <c r="L120">
        <v>0.21</v>
      </c>
      <c r="M120">
        <v>0.01</v>
      </c>
      <c r="N120">
        <v>20</v>
      </c>
      <c r="O120">
        <v>4.22</v>
      </c>
      <c r="P120">
        <v>27.92</v>
      </c>
      <c r="Q120">
        <f t="shared" si="10"/>
        <v>2024</v>
      </c>
      <c r="R120">
        <f t="shared" si="11"/>
        <v>1</v>
      </c>
      <c r="S120">
        <f t="shared" si="12"/>
        <v>2023</v>
      </c>
      <c r="T120">
        <f t="shared" si="13"/>
        <v>10</v>
      </c>
      <c r="U120">
        <f t="shared" si="14"/>
        <v>10</v>
      </c>
      <c r="V120" t="str">
        <f t="shared" si="15"/>
        <v>202310</v>
      </c>
      <c r="W120" t="str">
        <f t="shared" si="16"/>
        <v>Jan-24</v>
      </c>
      <c r="X120" s="3">
        <f t="shared" si="17"/>
        <v>-6925.42</v>
      </c>
      <c r="Y120" t="str">
        <f t="shared" si="18"/>
        <v/>
      </c>
      <c r="Z120">
        <f t="shared" si="19"/>
        <v>-6925.42</v>
      </c>
    </row>
    <row r="121" spans="1:26" x14ac:dyDescent="0.25">
      <c r="A121" s="1">
        <v>45321</v>
      </c>
      <c r="B121" t="s">
        <v>766</v>
      </c>
      <c r="C121" t="s">
        <v>17</v>
      </c>
      <c r="D121" t="s">
        <v>18</v>
      </c>
      <c r="E121">
        <v>40</v>
      </c>
      <c r="F121">
        <v>0</v>
      </c>
      <c r="G121">
        <v>33.299999999999997</v>
      </c>
      <c r="H121">
        <v>1332</v>
      </c>
      <c r="I121" t="s">
        <v>767</v>
      </c>
      <c r="J121">
        <v>0.47</v>
      </c>
      <c r="K121">
        <v>0.67</v>
      </c>
      <c r="L121">
        <v>0</v>
      </c>
      <c r="M121">
        <v>0</v>
      </c>
      <c r="N121">
        <v>20</v>
      </c>
      <c r="O121">
        <v>3.72</v>
      </c>
      <c r="P121">
        <v>24.86</v>
      </c>
      <c r="Q121">
        <f t="shared" si="10"/>
        <v>2024</v>
      </c>
      <c r="R121">
        <f t="shared" si="11"/>
        <v>1</v>
      </c>
      <c r="S121">
        <f t="shared" si="12"/>
        <v>2023</v>
      </c>
      <c r="T121">
        <f t="shared" si="13"/>
        <v>10</v>
      </c>
      <c r="U121">
        <f t="shared" si="14"/>
        <v>10</v>
      </c>
      <c r="V121" t="str">
        <f t="shared" si="15"/>
        <v>202310</v>
      </c>
      <c r="W121" t="str">
        <f t="shared" si="16"/>
        <v>Jan-24</v>
      </c>
      <c r="X121" s="3">
        <f t="shared" si="17"/>
        <v>1307.1400000000001</v>
      </c>
      <c r="Y121">
        <f t="shared" si="18"/>
        <v>1307.1400000000001</v>
      </c>
      <c r="Z121" t="str">
        <f t="shared" si="19"/>
        <v/>
      </c>
    </row>
    <row r="122" spans="1:26" x14ac:dyDescent="0.25">
      <c r="A122" s="1">
        <v>45321</v>
      </c>
      <c r="B122" t="s">
        <v>766</v>
      </c>
      <c r="C122" t="s">
        <v>17</v>
      </c>
      <c r="D122" t="s">
        <v>18</v>
      </c>
      <c r="E122">
        <v>40</v>
      </c>
      <c r="F122">
        <v>0</v>
      </c>
      <c r="G122">
        <v>33.5</v>
      </c>
      <c r="H122">
        <v>1340</v>
      </c>
      <c r="I122" t="s">
        <v>768</v>
      </c>
      <c r="J122">
        <v>0.84</v>
      </c>
      <c r="K122">
        <v>0.68</v>
      </c>
      <c r="L122">
        <v>0</v>
      </c>
      <c r="M122">
        <v>0</v>
      </c>
      <c r="N122">
        <v>20</v>
      </c>
      <c r="O122">
        <v>3.72</v>
      </c>
      <c r="P122">
        <v>25.24</v>
      </c>
      <c r="Q122">
        <f t="shared" si="10"/>
        <v>2024</v>
      </c>
      <c r="R122">
        <f t="shared" si="11"/>
        <v>1</v>
      </c>
      <c r="S122">
        <f t="shared" si="12"/>
        <v>2023</v>
      </c>
      <c r="T122">
        <f t="shared" si="13"/>
        <v>10</v>
      </c>
      <c r="U122">
        <f t="shared" si="14"/>
        <v>10</v>
      </c>
      <c r="V122" t="str">
        <f t="shared" si="15"/>
        <v>202310</v>
      </c>
      <c r="W122" t="str">
        <f t="shared" si="16"/>
        <v>Jan-24</v>
      </c>
      <c r="X122" s="3">
        <f t="shared" si="17"/>
        <v>1314.76</v>
      </c>
      <c r="Y122">
        <f t="shared" si="18"/>
        <v>1314.76</v>
      </c>
      <c r="Z122" t="str">
        <f t="shared" si="19"/>
        <v/>
      </c>
    </row>
    <row r="123" spans="1:26" x14ac:dyDescent="0.25">
      <c r="A123" s="1">
        <v>45321</v>
      </c>
      <c r="B123" t="s">
        <v>766</v>
      </c>
      <c r="C123" t="s">
        <v>17</v>
      </c>
      <c r="D123" t="s">
        <v>18</v>
      </c>
      <c r="E123">
        <v>40</v>
      </c>
      <c r="F123">
        <v>0</v>
      </c>
      <c r="G123">
        <v>41.25</v>
      </c>
      <c r="H123">
        <v>1650</v>
      </c>
      <c r="I123" t="s">
        <v>769</v>
      </c>
      <c r="J123">
        <v>1.03</v>
      </c>
      <c r="K123">
        <v>0.83</v>
      </c>
      <c r="L123">
        <v>0</v>
      </c>
      <c r="M123">
        <v>0</v>
      </c>
      <c r="N123">
        <v>20</v>
      </c>
      <c r="O123">
        <v>3.74</v>
      </c>
      <c r="P123">
        <v>25.6</v>
      </c>
      <c r="Q123">
        <f t="shared" si="10"/>
        <v>2024</v>
      </c>
      <c r="R123">
        <f t="shared" si="11"/>
        <v>1</v>
      </c>
      <c r="S123">
        <f t="shared" si="12"/>
        <v>2023</v>
      </c>
      <c r="T123">
        <f t="shared" si="13"/>
        <v>10</v>
      </c>
      <c r="U123">
        <f t="shared" si="14"/>
        <v>10</v>
      </c>
      <c r="V123" t="str">
        <f t="shared" si="15"/>
        <v>202310</v>
      </c>
      <c r="W123" t="str">
        <f t="shared" si="16"/>
        <v>Jan-24</v>
      </c>
      <c r="X123" s="3">
        <f t="shared" si="17"/>
        <v>1624.4</v>
      </c>
      <c r="Y123">
        <f t="shared" si="18"/>
        <v>1624.4</v>
      </c>
      <c r="Z123" t="str">
        <f t="shared" si="19"/>
        <v/>
      </c>
    </row>
    <row r="124" spans="1:26" x14ac:dyDescent="0.25">
      <c r="A124" s="1">
        <v>45321</v>
      </c>
      <c r="B124" t="s">
        <v>766</v>
      </c>
      <c r="C124" t="s">
        <v>17</v>
      </c>
      <c r="D124" t="s">
        <v>18</v>
      </c>
      <c r="E124">
        <v>40</v>
      </c>
      <c r="F124">
        <v>0</v>
      </c>
      <c r="G124">
        <v>35.700000000000003</v>
      </c>
      <c r="H124">
        <v>1428</v>
      </c>
      <c r="I124" t="s">
        <v>770</v>
      </c>
      <c r="J124">
        <v>0.89</v>
      </c>
      <c r="K124">
        <v>0.72</v>
      </c>
      <c r="L124">
        <v>0</v>
      </c>
      <c r="M124">
        <v>0</v>
      </c>
      <c r="N124">
        <v>20</v>
      </c>
      <c r="O124">
        <v>3.72</v>
      </c>
      <c r="P124">
        <v>25.33</v>
      </c>
      <c r="Q124">
        <f t="shared" si="10"/>
        <v>2024</v>
      </c>
      <c r="R124">
        <f t="shared" si="11"/>
        <v>1</v>
      </c>
      <c r="S124">
        <f t="shared" si="12"/>
        <v>2023</v>
      </c>
      <c r="T124">
        <f t="shared" si="13"/>
        <v>10</v>
      </c>
      <c r="U124">
        <f t="shared" si="14"/>
        <v>10</v>
      </c>
      <c r="V124" t="str">
        <f t="shared" si="15"/>
        <v>202310</v>
      </c>
      <c r="W124" t="str">
        <f t="shared" si="16"/>
        <v>Jan-24</v>
      </c>
      <c r="X124" s="3">
        <f t="shared" si="17"/>
        <v>1402.67</v>
      </c>
      <c r="Y124">
        <f t="shared" si="18"/>
        <v>1402.67</v>
      </c>
      <c r="Z124" t="str">
        <f t="shared" si="19"/>
        <v/>
      </c>
    </row>
    <row r="125" spans="1:26" x14ac:dyDescent="0.25">
      <c r="A125" s="1">
        <v>45321</v>
      </c>
      <c r="B125" t="s">
        <v>766</v>
      </c>
      <c r="C125" t="s">
        <v>17</v>
      </c>
      <c r="D125" t="s">
        <v>18</v>
      </c>
      <c r="E125">
        <v>40</v>
      </c>
      <c r="F125">
        <v>0</v>
      </c>
      <c r="G125">
        <v>34.9</v>
      </c>
      <c r="H125">
        <v>1396</v>
      </c>
      <c r="I125" t="s">
        <v>771</v>
      </c>
      <c r="J125">
        <v>0.87</v>
      </c>
      <c r="K125">
        <v>0.7</v>
      </c>
      <c r="L125">
        <v>0</v>
      </c>
      <c r="M125">
        <v>0</v>
      </c>
      <c r="N125">
        <v>20</v>
      </c>
      <c r="O125">
        <v>3.72</v>
      </c>
      <c r="P125">
        <v>25.29</v>
      </c>
      <c r="Q125">
        <f t="shared" si="10"/>
        <v>2024</v>
      </c>
      <c r="R125">
        <f t="shared" si="11"/>
        <v>1</v>
      </c>
      <c r="S125">
        <f t="shared" si="12"/>
        <v>2023</v>
      </c>
      <c r="T125">
        <f t="shared" si="13"/>
        <v>10</v>
      </c>
      <c r="U125">
        <f t="shared" si="14"/>
        <v>10</v>
      </c>
      <c r="V125" t="str">
        <f t="shared" si="15"/>
        <v>202310</v>
      </c>
      <c r="W125" t="str">
        <f t="shared" si="16"/>
        <v>Jan-24</v>
      </c>
      <c r="X125" s="3">
        <f t="shared" si="17"/>
        <v>1370.71</v>
      </c>
      <c r="Y125">
        <f t="shared" si="18"/>
        <v>1370.71</v>
      </c>
      <c r="Z125" t="str">
        <f t="shared" si="19"/>
        <v/>
      </c>
    </row>
    <row r="126" spans="1:26" x14ac:dyDescent="0.25">
      <c r="A126" s="1">
        <v>45321</v>
      </c>
      <c r="B126" t="s">
        <v>766</v>
      </c>
      <c r="C126" t="s">
        <v>17</v>
      </c>
      <c r="D126" t="s">
        <v>18</v>
      </c>
      <c r="E126">
        <v>40</v>
      </c>
      <c r="F126">
        <v>0</v>
      </c>
      <c r="G126">
        <v>34.549999999999997</v>
      </c>
      <c r="H126">
        <v>1382</v>
      </c>
      <c r="I126" t="s">
        <v>772</v>
      </c>
      <c r="J126">
        <v>0.86</v>
      </c>
      <c r="K126">
        <v>0.7</v>
      </c>
      <c r="L126">
        <v>0</v>
      </c>
      <c r="M126">
        <v>0</v>
      </c>
      <c r="N126">
        <v>20</v>
      </c>
      <c r="O126">
        <v>3.72</v>
      </c>
      <c r="P126">
        <v>25.28</v>
      </c>
      <c r="Q126">
        <f t="shared" si="10"/>
        <v>2024</v>
      </c>
      <c r="R126">
        <f t="shared" si="11"/>
        <v>1</v>
      </c>
      <c r="S126">
        <f t="shared" si="12"/>
        <v>2023</v>
      </c>
      <c r="T126">
        <f t="shared" si="13"/>
        <v>10</v>
      </c>
      <c r="U126">
        <f t="shared" si="14"/>
        <v>10</v>
      </c>
      <c r="V126" t="str">
        <f t="shared" si="15"/>
        <v>202310</v>
      </c>
      <c r="W126" t="str">
        <f t="shared" si="16"/>
        <v>Jan-24</v>
      </c>
      <c r="X126" s="3">
        <f t="shared" si="17"/>
        <v>1356.72</v>
      </c>
      <c r="Y126">
        <f t="shared" si="18"/>
        <v>1356.72</v>
      </c>
      <c r="Z126" t="str">
        <f t="shared" si="19"/>
        <v/>
      </c>
    </row>
    <row r="127" spans="1:26" x14ac:dyDescent="0.25">
      <c r="A127" s="1">
        <v>45321</v>
      </c>
      <c r="B127" t="s">
        <v>766</v>
      </c>
      <c r="C127" t="s">
        <v>17</v>
      </c>
      <c r="D127" t="s">
        <v>22</v>
      </c>
      <c r="E127">
        <v>40</v>
      </c>
      <c r="F127">
        <v>0</v>
      </c>
      <c r="G127">
        <v>44.25</v>
      </c>
      <c r="H127">
        <v>1770</v>
      </c>
      <c r="I127" t="s">
        <v>773</v>
      </c>
      <c r="J127">
        <v>0</v>
      </c>
      <c r="K127">
        <v>0.89</v>
      </c>
      <c r="L127">
        <v>0</v>
      </c>
      <c r="M127">
        <v>0</v>
      </c>
      <c r="N127">
        <v>20</v>
      </c>
      <c r="O127">
        <v>3.76</v>
      </c>
      <c r="P127">
        <v>24.65</v>
      </c>
      <c r="Q127">
        <f t="shared" si="10"/>
        <v>2024</v>
      </c>
      <c r="R127">
        <f t="shared" si="11"/>
        <v>1</v>
      </c>
      <c r="S127">
        <f t="shared" si="12"/>
        <v>2023</v>
      </c>
      <c r="T127">
        <f t="shared" si="13"/>
        <v>10</v>
      </c>
      <c r="U127">
        <f t="shared" si="14"/>
        <v>10</v>
      </c>
      <c r="V127" t="str">
        <f t="shared" si="15"/>
        <v>202310</v>
      </c>
      <c r="W127" t="str">
        <f t="shared" si="16"/>
        <v>Jan-24</v>
      </c>
      <c r="X127" s="3">
        <f t="shared" si="17"/>
        <v>-1794.65</v>
      </c>
      <c r="Y127" t="str">
        <f t="shared" si="18"/>
        <v/>
      </c>
      <c r="Z127">
        <f t="shared" si="19"/>
        <v>-1794.65</v>
      </c>
    </row>
    <row r="128" spans="1:26" x14ac:dyDescent="0.25">
      <c r="A128" s="1">
        <v>45321</v>
      </c>
      <c r="B128" t="s">
        <v>766</v>
      </c>
      <c r="C128" t="s">
        <v>17</v>
      </c>
      <c r="D128" t="s">
        <v>22</v>
      </c>
      <c r="E128">
        <v>40</v>
      </c>
      <c r="F128">
        <v>0</v>
      </c>
      <c r="G128">
        <v>48.5</v>
      </c>
      <c r="H128">
        <v>1940</v>
      </c>
      <c r="I128" t="s">
        <v>774</v>
      </c>
      <c r="J128">
        <v>0</v>
      </c>
      <c r="K128">
        <v>0.98</v>
      </c>
      <c r="L128">
        <v>0</v>
      </c>
      <c r="M128">
        <v>0</v>
      </c>
      <c r="N128">
        <v>20</v>
      </c>
      <c r="O128">
        <v>3.78</v>
      </c>
      <c r="P128">
        <v>24.76</v>
      </c>
      <c r="Q128">
        <f t="shared" si="10"/>
        <v>2024</v>
      </c>
      <c r="R128">
        <f t="shared" si="11"/>
        <v>1</v>
      </c>
      <c r="S128">
        <f t="shared" si="12"/>
        <v>2023</v>
      </c>
      <c r="T128">
        <f t="shared" si="13"/>
        <v>10</v>
      </c>
      <c r="U128">
        <f t="shared" si="14"/>
        <v>10</v>
      </c>
      <c r="V128" t="str">
        <f t="shared" si="15"/>
        <v>202310</v>
      </c>
      <c r="W128" t="str">
        <f t="shared" si="16"/>
        <v>Jan-24</v>
      </c>
      <c r="X128" s="3">
        <f t="shared" si="17"/>
        <v>-1964.76</v>
      </c>
      <c r="Y128" t="str">
        <f t="shared" si="18"/>
        <v/>
      </c>
      <c r="Z128">
        <f t="shared" si="19"/>
        <v>-1964.76</v>
      </c>
    </row>
    <row r="129" spans="1:26" x14ac:dyDescent="0.25">
      <c r="A129" s="1">
        <v>45321</v>
      </c>
      <c r="B129" t="s">
        <v>766</v>
      </c>
      <c r="C129" t="s">
        <v>17</v>
      </c>
      <c r="D129" t="s">
        <v>22</v>
      </c>
      <c r="E129">
        <v>40</v>
      </c>
      <c r="F129">
        <v>0</v>
      </c>
      <c r="G129">
        <v>45.85</v>
      </c>
      <c r="H129">
        <v>1834</v>
      </c>
      <c r="I129" t="s">
        <v>775</v>
      </c>
      <c r="J129">
        <v>0</v>
      </c>
      <c r="K129">
        <v>0.93</v>
      </c>
      <c r="L129">
        <v>0.79</v>
      </c>
      <c r="M129">
        <v>0</v>
      </c>
      <c r="N129">
        <v>20</v>
      </c>
      <c r="O129">
        <v>3.76</v>
      </c>
      <c r="P129">
        <v>25.48</v>
      </c>
      <c r="Q129">
        <f t="shared" si="10"/>
        <v>2024</v>
      </c>
      <c r="R129">
        <f t="shared" si="11"/>
        <v>1</v>
      </c>
      <c r="S129">
        <f t="shared" si="12"/>
        <v>2023</v>
      </c>
      <c r="T129">
        <f t="shared" si="13"/>
        <v>10</v>
      </c>
      <c r="U129">
        <f t="shared" si="14"/>
        <v>10</v>
      </c>
      <c r="V129" t="str">
        <f t="shared" si="15"/>
        <v>202310</v>
      </c>
      <c r="W129" t="str">
        <f t="shared" si="16"/>
        <v>Jan-24</v>
      </c>
      <c r="X129" s="3">
        <f t="shared" si="17"/>
        <v>-1859.48</v>
      </c>
      <c r="Y129" t="str">
        <f t="shared" si="18"/>
        <v/>
      </c>
      <c r="Z129">
        <f t="shared" si="19"/>
        <v>-1859.48</v>
      </c>
    </row>
    <row r="130" spans="1:26" x14ac:dyDescent="0.25">
      <c r="A130" s="1">
        <v>45321</v>
      </c>
      <c r="B130" t="s">
        <v>766</v>
      </c>
      <c r="C130" t="s">
        <v>17</v>
      </c>
      <c r="D130" t="s">
        <v>22</v>
      </c>
      <c r="E130">
        <v>40</v>
      </c>
      <c r="F130">
        <v>0</v>
      </c>
      <c r="G130">
        <v>48.35</v>
      </c>
      <c r="H130">
        <v>1934</v>
      </c>
      <c r="I130" t="s">
        <v>776</v>
      </c>
      <c r="J130">
        <v>0</v>
      </c>
      <c r="K130">
        <v>0.98</v>
      </c>
      <c r="L130">
        <v>0</v>
      </c>
      <c r="M130">
        <v>0</v>
      </c>
      <c r="N130">
        <v>20</v>
      </c>
      <c r="O130">
        <v>3.78</v>
      </c>
      <c r="P130">
        <v>24.76</v>
      </c>
      <c r="Q130">
        <f t="shared" ref="Q130:Q193" si="20">YEAR(A130)</f>
        <v>2024</v>
      </c>
      <c r="R130">
        <f t="shared" ref="R130:R193" si="21">MONTH(A130)</f>
        <v>1</v>
      </c>
      <c r="S130">
        <f t="shared" ref="S130:S193" si="22">IF(R130&lt;4,Q130-1,Q130)</f>
        <v>2023</v>
      </c>
      <c r="T130">
        <f t="shared" ref="T130:T193" si="23">IF(R130&lt;4,R130+9,R130-3)</f>
        <v>10</v>
      </c>
      <c r="U130">
        <f t="shared" ref="U130:U193" si="24">IF(LEN(T130)=1,_xlfn.CONCAT(0,T130),T130)</f>
        <v>10</v>
      </c>
      <c r="V130" t="str">
        <f t="shared" ref="V130:V193" si="25">_xlfn.CONCAT(S130,U130)</f>
        <v>202310</v>
      </c>
      <c r="W130" t="str">
        <f t="shared" ref="W130:W193" si="26">_xlfn.CONCAT(TEXT(A130,"MMM"),"-",MID(Q130,3,2))</f>
        <v>Jan-24</v>
      </c>
      <c r="X130" s="3">
        <f t="shared" ref="X130:X193" si="27">IFERROR(IF(D130="Sell",(H130-P130),-(H130+P130)),0)</f>
        <v>-1958.76</v>
      </c>
      <c r="Y130" t="str">
        <f t="shared" si="18"/>
        <v/>
      </c>
      <c r="Z130">
        <f t="shared" si="19"/>
        <v>-1958.76</v>
      </c>
    </row>
    <row r="131" spans="1:26" x14ac:dyDescent="0.25">
      <c r="A131" s="1">
        <v>45321</v>
      </c>
      <c r="B131" t="s">
        <v>766</v>
      </c>
      <c r="C131" t="s">
        <v>17</v>
      </c>
      <c r="D131" t="s">
        <v>22</v>
      </c>
      <c r="E131">
        <v>40</v>
      </c>
      <c r="F131">
        <v>0</v>
      </c>
      <c r="G131">
        <v>51.4</v>
      </c>
      <c r="H131">
        <v>2056</v>
      </c>
      <c r="I131" t="s">
        <v>777</v>
      </c>
      <c r="J131">
        <v>0</v>
      </c>
      <c r="K131">
        <v>1.04</v>
      </c>
      <c r="L131">
        <v>0</v>
      </c>
      <c r="M131">
        <v>0</v>
      </c>
      <c r="N131">
        <v>20</v>
      </c>
      <c r="O131">
        <v>3.78</v>
      </c>
      <c r="P131">
        <v>24.82</v>
      </c>
      <c r="Q131">
        <f t="shared" si="20"/>
        <v>2024</v>
      </c>
      <c r="R131">
        <f t="shared" si="21"/>
        <v>1</v>
      </c>
      <c r="S131">
        <f t="shared" si="22"/>
        <v>2023</v>
      </c>
      <c r="T131">
        <f t="shared" si="23"/>
        <v>10</v>
      </c>
      <c r="U131">
        <f t="shared" si="24"/>
        <v>10</v>
      </c>
      <c r="V131" t="str">
        <f t="shared" si="25"/>
        <v>202310</v>
      </c>
      <c r="W131" t="str">
        <f t="shared" si="26"/>
        <v>Jan-24</v>
      </c>
      <c r="X131" s="3">
        <f t="shared" si="27"/>
        <v>-2080.8200000000002</v>
      </c>
      <c r="Y131" t="str">
        <f t="shared" ref="Y131:Y194" si="28">IF(X131&gt;0,X131,"")</f>
        <v/>
      </c>
      <c r="Z131">
        <f t="shared" ref="Z131:Z194" si="29">IF(X131&lt;0,X131,"")</f>
        <v>-2080.8200000000002</v>
      </c>
    </row>
    <row r="132" spans="1:26" x14ac:dyDescent="0.25">
      <c r="A132" s="1">
        <v>45321</v>
      </c>
      <c r="B132" t="s">
        <v>766</v>
      </c>
      <c r="C132" t="s">
        <v>17</v>
      </c>
      <c r="D132" t="s">
        <v>22</v>
      </c>
      <c r="E132">
        <v>40</v>
      </c>
      <c r="F132">
        <v>0</v>
      </c>
      <c r="G132">
        <v>52.5</v>
      </c>
      <c r="H132">
        <v>2100</v>
      </c>
      <c r="I132" t="s">
        <v>778</v>
      </c>
      <c r="J132">
        <v>0</v>
      </c>
      <c r="K132">
        <v>1.06</v>
      </c>
      <c r="L132">
        <v>0</v>
      </c>
      <c r="M132">
        <v>0</v>
      </c>
      <c r="N132">
        <v>20</v>
      </c>
      <c r="O132">
        <v>3.8</v>
      </c>
      <c r="P132">
        <v>24.86</v>
      </c>
      <c r="Q132">
        <f t="shared" si="20"/>
        <v>2024</v>
      </c>
      <c r="R132">
        <f t="shared" si="21"/>
        <v>1</v>
      </c>
      <c r="S132">
        <f t="shared" si="22"/>
        <v>2023</v>
      </c>
      <c r="T132">
        <f t="shared" si="23"/>
        <v>10</v>
      </c>
      <c r="U132">
        <f t="shared" si="24"/>
        <v>10</v>
      </c>
      <c r="V132" t="str">
        <f t="shared" si="25"/>
        <v>202310</v>
      </c>
      <c r="W132" t="str">
        <f t="shared" si="26"/>
        <v>Jan-24</v>
      </c>
      <c r="X132" s="3">
        <f t="shared" si="27"/>
        <v>-2124.86</v>
      </c>
      <c r="Y132" t="str">
        <f t="shared" si="28"/>
        <v/>
      </c>
      <c r="Z132">
        <f t="shared" si="29"/>
        <v>-2124.86</v>
      </c>
    </row>
    <row r="133" spans="1:26" x14ac:dyDescent="0.25">
      <c r="A133" s="1">
        <v>45322</v>
      </c>
      <c r="B133" t="s">
        <v>755</v>
      </c>
      <c r="C133" t="s">
        <v>17</v>
      </c>
      <c r="D133" t="s">
        <v>18</v>
      </c>
      <c r="E133">
        <v>540</v>
      </c>
      <c r="F133">
        <v>0</v>
      </c>
      <c r="G133">
        <v>192.8</v>
      </c>
      <c r="H133">
        <v>104112</v>
      </c>
      <c r="I133" t="s">
        <v>756</v>
      </c>
      <c r="J133">
        <v>65.010000000000005</v>
      </c>
      <c r="K133">
        <v>52.57</v>
      </c>
      <c r="L133">
        <v>0</v>
      </c>
      <c r="M133">
        <v>0.11</v>
      </c>
      <c r="N133">
        <v>720</v>
      </c>
      <c r="O133">
        <v>139.08000000000001</v>
      </c>
      <c r="P133">
        <v>976.77</v>
      </c>
      <c r="Q133">
        <f t="shared" si="20"/>
        <v>2024</v>
      </c>
      <c r="R133">
        <f t="shared" si="21"/>
        <v>1</v>
      </c>
      <c r="S133">
        <f t="shared" si="22"/>
        <v>2023</v>
      </c>
      <c r="T133">
        <f t="shared" si="23"/>
        <v>10</v>
      </c>
      <c r="U133">
        <f t="shared" si="24"/>
        <v>10</v>
      </c>
      <c r="V133" t="str">
        <f t="shared" si="25"/>
        <v>202310</v>
      </c>
      <c r="W133" t="str">
        <f t="shared" si="26"/>
        <v>Jan-24</v>
      </c>
      <c r="X133" s="3">
        <f t="shared" si="27"/>
        <v>103135.23</v>
      </c>
      <c r="Y133">
        <f t="shared" si="28"/>
        <v>103135.23</v>
      </c>
      <c r="Z133" t="str">
        <f t="shared" si="29"/>
        <v/>
      </c>
    </row>
    <row r="134" spans="1:26" x14ac:dyDescent="0.25">
      <c r="A134" s="1">
        <v>45322</v>
      </c>
      <c r="B134" t="s">
        <v>755</v>
      </c>
      <c r="C134" t="s">
        <v>17</v>
      </c>
      <c r="D134" t="s">
        <v>22</v>
      </c>
      <c r="E134">
        <v>75</v>
      </c>
      <c r="F134">
        <v>0</v>
      </c>
      <c r="G134">
        <v>92</v>
      </c>
      <c r="H134">
        <v>6900</v>
      </c>
      <c r="I134" t="s">
        <v>757</v>
      </c>
      <c r="J134">
        <v>0</v>
      </c>
      <c r="K134">
        <v>3.49</v>
      </c>
      <c r="L134">
        <v>0</v>
      </c>
      <c r="M134">
        <v>0.01</v>
      </c>
      <c r="N134">
        <v>100</v>
      </c>
      <c r="O134">
        <v>18.62</v>
      </c>
      <c r="P134">
        <v>122.12</v>
      </c>
      <c r="Q134">
        <f t="shared" si="20"/>
        <v>2024</v>
      </c>
      <c r="R134">
        <f t="shared" si="21"/>
        <v>1</v>
      </c>
      <c r="S134">
        <f t="shared" si="22"/>
        <v>2023</v>
      </c>
      <c r="T134">
        <f t="shared" si="23"/>
        <v>10</v>
      </c>
      <c r="U134">
        <f t="shared" si="24"/>
        <v>10</v>
      </c>
      <c r="V134" t="str">
        <f t="shared" si="25"/>
        <v>202310</v>
      </c>
      <c r="W134" t="str">
        <f t="shared" si="26"/>
        <v>Jan-24</v>
      </c>
      <c r="X134" s="3">
        <f t="shared" si="27"/>
        <v>-7022.12</v>
      </c>
      <c r="Y134" t="str">
        <f t="shared" si="28"/>
        <v/>
      </c>
      <c r="Z134">
        <f t="shared" si="29"/>
        <v>-7022.12</v>
      </c>
    </row>
    <row r="135" spans="1:26" x14ac:dyDescent="0.25">
      <c r="A135" s="1">
        <v>45322</v>
      </c>
      <c r="B135" t="s">
        <v>755</v>
      </c>
      <c r="C135" t="s">
        <v>17</v>
      </c>
      <c r="D135" t="s">
        <v>22</v>
      </c>
      <c r="E135">
        <v>75</v>
      </c>
      <c r="F135">
        <v>0</v>
      </c>
      <c r="G135">
        <v>90.55</v>
      </c>
      <c r="H135">
        <v>6791.25</v>
      </c>
      <c r="I135" t="s">
        <v>758</v>
      </c>
      <c r="J135">
        <v>0</v>
      </c>
      <c r="K135">
        <v>3.45</v>
      </c>
      <c r="L135">
        <v>0</v>
      </c>
      <c r="M135">
        <v>0</v>
      </c>
      <c r="N135">
        <v>100</v>
      </c>
      <c r="O135">
        <v>18.600000000000001</v>
      </c>
      <c r="P135">
        <v>122.05</v>
      </c>
      <c r="Q135">
        <f t="shared" si="20"/>
        <v>2024</v>
      </c>
      <c r="R135">
        <f t="shared" si="21"/>
        <v>1</v>
      </c>
      <c r="S135">
        <f t="shared" si="22"/>
        <v>2023</v>
      </c>
      <c r="T135">
        <f t="shared" si="23"/>
        <v>10</v>
      </c>
      <c r="U135">
        <f t="shared" si="24"/>
        <v>10</v>
      </c>
      <c r="V135" t="str">
        <f t="shared" si="25"/>
        <v>202310</v>
      </c>
      <c r="W135" t="str">
        <f t="shared" si="26"/>
        <v>Jan-24</v>
      </c>
      <c r="X135" s="3">
        <f t="shared" si="27"/>
        <v>-6913.3</v>
      </c>
      <c r="Y135" t="str">
        <f t="shared" si="28"/>
        <v/>
      </c>
      <c r="Z135">
        <f t="shared" si="29"/>
        <v>-6913.3</v>
      </c>
    </row>
    <row r="136" spans="1:26" x14ac:dyDescent="0.25">
      <c r="A136" s="1">
        <v>45322</v>
      </c>
      <c r="B136" t="s">
        <v>755</v>
      </c>
      <c r="C136" t="s">
        <v>17</v>
      </c>
      <c r="D136" t="s">
        <v>22</v>
      </c>
      <c r="E136">
        <v>90</v>
      </c>
      <c r="F136">
        <v>0</v>
      </c>
      <c r="G136">
        <v>94.11</v>
      </c>
      <c r="H136">
        <v>8469.75</v>
      </c>
      <c r="I136" t="s">
        <v>759</v>
      </c>
      <c r="J136">
        <v>0</v>
      </c>
      <c r="K136">
        <v>4.2699999999999996</v>
      </c>
      <c r="L136">
        <v>0</v>
      </c>
      <c r="M136">
        <v>0.01</v>
      </c>
      <c r="N136">
        <v>120</v>
      </c>
      <c r="O136">
        <v>22.36</v>
      </c>
      <c r="P136">
        <v>146.63999999999999</v>
      </c>
      <c r="Q136">
        <f t="shared" si="20"/>
        <v>2024</v>
      </c>
      <c r="R136">
        <f t="shared" si="21"/>
        <v>1</v>
      </c>
      <c r="S136">
        <f t="shared" si="22"/>
        <v>2023</v>
      </c>
      <c r="T136">
        <f t="shared" si="23"/>
        <v>10</v>
      </c>
      <c r="U136">
        <f t="shared" si="24"/>
        <v>10</v>
      </c>
      <c r="V136" t="str">
        <f t="shared" si="25"/>
        <v>202310</v>
      </c>
      <c r="W136" t="str">
        <f t="shared" si="26"/>
        <v>Jan-24</v>
      </c>
      <c r="X136" s="3">
        <f t="shared" si="27"/>
        <v>-8616.39</v>
      </c>
      <c r="Y136" t="str">
        <f t="shared" si="28"/>
        <v/>
      </c>
      <c r="Z136">
        <f t="shared" si="29"/>
        <v>-8616.39</v>
      </c>
    </row>
    <row r="137" spans="1:26" x14ac:dyDescent="0.25">
      <c r="A137" s="1">
        <v>45322</v>
      </c>
      <c r="B137" t="s">
        <v>755</v>
      </c>
      <c r="C137" t="s">
        <v>17</v>
      </c>
      <c r="D137" t="s">
        <v>22</v>
      </c>
      <c r="E137">
        <v>75</v>
      </c>
      <c r="F137">
        <v>0</v>
      </c>
      <c r="G137">
        <v>103.8</v>
      </c>
      <c r="H137">
        <v>7785</v>
      </c>
      <c r="I137" t="s">
        <v>760</v>
      </c>
      <c r="J137">
        <v>0</v>
      </c>
      <c r="K137">
        <v>3.94</v>
      </c>
      <c r="L137">
        <v>0</v>
      </c>
      <c r="M137">
        <v>0.01</v>
      </c>
      <c r="N137">
        <v>100</v>
      </c>
      <c r="O137">
        <v>18.7</v>
      </c>
      <c r="P137">
        <v>122.65</v>
      </c>
      <c r="Q137">
        <f t="shared" si="20"/>
        <v>2024</v>
      </c>
      <c r="R137">
        <f t="shared" si="21"/>
        <v>1</v>
      </c>
      <c r="S137">
        <f t="shared" si="22"/>
        <v>2023</v>
      </c>
      <c r="T137">
        <f t="shared" si="23"/>
        <v>10</v>
      </c>
      <c r="U137">
        <f t="shared" si="24"/>
        <v>10</v>
      </c>
      <c r="V137" t="str">
        <f t="shared" si="25"/>
        <v>202310</v>
      </c>
      <c r="W137" t="str">
        <f t="shared" si="26"/>
        <v>Jan-24</v>
      </c>
      <c r="X137" s="3">
        <f t="shared" si="27"/>
        <v>-7907.65</v>
      </c>
      <c r="Y137" t="str">
        <f t="shared" si="28"/>
        <v/>
      </c>
      <c r="Z137">
        <f t="shared" si="29"/>
        <v>-7907.65</v>
      </c>
    </row>
    <row r="138" spans="1:26" x14ac:dyDescent="0.25">
      <c r="A138" s="1">
        <v>45322</v>
      </c>
      <c r="B138" t="s">
        <v>755</v>
      </c>
      <c r="C138" t="s">
        <v>17</v>
      </c>
      <c r="D138" t="s">
        <v>22</v>
      </c>
      <c r="E138">
        <v>210</v>
      </c>
      <c r="F138">
        <v>0</v>
      </c>
      <c r="G138">
        <v>103.1</v>
      </c>
      <c r="H138">
        <v>21651</v>
      </c>
      <c r="I138" t="s">
        <v>761</v>
      </c>
      <c r="J138">
        <v>0</v>
      </c>
      <c r="K138">
        <v>10.93</v>
      </c>
      <c r="L138">
        <v>2</v>
      </c>
      <c r="M138">
        <v>0.02</v>
      </c>
      <c r="N138">
        <v>280</v>
      </c>
      <c r="O138">
        <v>52.38</v>
      </c>
      <c r="P138">
        <v>345.33</v>
      </c>
      <c r="Q138">
        <f t="shared" si="20"/>
        <v>2024</v>
      </c>
      <c r="R138">
        <f t="shared" si="21"/>
        <v>1</v>
      </c>
      <c r="S138">
        <f t="shared" si="22"/>
        <v>2023</v>
      </c>
      <c r="T138">
        <f t="shared" si="23"/>
        <v>10</v>
      </c>
      <c r="U138">
        <f t="shared" si="24"/>
        <v>10</v>
      </c>
      <c r="V138" t="str">
        <f t="shared" si="25"/>
        <v>202310</v>
      </c>
      <c r="W138" t="str">
        <f t="shared" si="26"/>
        <v>Jan-24</v>
      </c>
      <c r="X138" s="3">
        <f t="shared" si="27"/>
        <v>-21996.33</v>
      </c>
      <c r="Y138" t="str">
        <f t="shared" si="28"/>
        <v/>
      </c>
      <c r="Z138">
        <f t="shared" si="29"/>
        <v>-21996.33</v>
      </c>
    </row>
    <row r="139" spans="1:26" x14ac:dyDescent="0.25">
      <c r="A139" s="1">
        <v>45322</v>
      </c>
      <c r="B139" t="s">
        <v>755</v>
      </c>
      <c r="C139" t="s">
        <v>17</v>
      </c>
      <c r="D139" t="s">
        <v>22</v>
      </c>
      <c r="E139">
        <v>15</v>
      </c>
      <c r="F139">
        <v>0</v>
      </c>
      <c r="G139">
        <v>103.2</v>
      </c>
      <c r="H139">
        <v>1548</v>
      </c>
      <c r="I139" t="s">
        <v>762</v>
      </c>
      <c r="J139">
        <v>0</v>
      </c>
      <c r="K139">
        <v>0.78</v>
      </c>
      <c r="L139">
        <v>0</v>
      </c>
      <c r="M139">
        <v>0</v>
      </c>
      <c r="N139">
        <v>20</v>
      </c>
      <c r="O139">
        <v>3.74</v>
      </c>
      <c r="P139">
        <v>24.52</v>
      </c>
      <c r="Q139">
        <f t="shared" si="20"/>
        <v>2024</v>
      </c>
      <c r="R139">
        <f t="shared" si="21"/>
        <v>1</v>
      </c>
      <c r="S139">
        <f t="shared" si="22"/>
        <v>2023</v>
      </c>
      <c r="T139">
        <f t="shared" si="23"/>
        <v>10</v>
      </c>
      <c r="U139">
        <f t="shared" si="24"/>
        <v>10</v>
      </c>
      <c r="V139" t="str">
        <f t="shared" si="25"/>
        <v>202310</v>
      </c>
      <c r="W139" t="str">
        <f t="shared" si="26"/>
        <v>Jan-24</v>
      </c>
      <c r="X139" s="3">
        <f t="shared" si="27"/>
        <v>-1572.52</v>
      </c>
      <c r="Y139" t="str">
        <f t="shared" si="28"/>
        <v/>
      </c>
      <c r="Z139">
        <f t="shared" si="29"/>
        <v>-1572.52</v>
      </c>
    </row>
    <row r="140" spans="1:26" x14ac:dyDescent="0.25">
      <c r="A140" s="1">
        <v>45323</v>
      </c>
      <c r="B140" t="s">
        <v>731</v>
      </c>
      <c r="C140" t="s">
        <v>17</v>
      </c>
      <c r="D140" t="s">
        <v>18</v>
      </c>
      <c r="E140">
        <v>330</v>
      </c>
      <c r="F140">
        <v>0</v>
      </c>
      <c r="G140">
        <v>432.88</v>
      </c>
      <c r="H140">
        <v>142851.75</v>
      </c>
      <c r="I140" t="s">
        <v>732</v>
      </c>
      <c r="J140">
        <v>89.29</v>
      </c>
      <c r="K140">
        <v>72.14</v>
      </c>
      <c r="L140">
        <v>0</v>
      </c>
      <c r="M140">
        <v>0.14000000000000001</v>
      </c>
      <c r="N140">
        <v>440</v>
      </c>
      <c r="O140">
        <v>92.2</v>
      </c>
      <c r="P140">
        <v>693.77</v>
      </c>
      <c r="Q140">
        <f t="shared" si="20"/>
        <v>2024</v>
      </c>
      <c r="R140">
        <f t="shared" si="21"/>
        <v>2</v>
      </c>
      <c r="S140">
        <f t="shared" si="22"/>
        <v>2023</v>
      </c>
      <c r="T140">
        <f t="shared" si="23"/>
        <v>11</v>
      </c>
      <c r="U140">
        <f t="shared" si="24"/>
        <v>11</v>
      </c>
      <c r="V140" t="str">
        <f t="shared" si="25"/>
        <v>202311</v>
      </c>
      <c r="W140" t="str">
        <f t="shared" si="26"/>
        <v>Feb-24</v>
      </c>
      <c r="X140" s="3">
        <f t="shared" si="27"/>
        <v>142157.98000000001</v>
      </c>
      <c r="Y140">
        <f t="shared" si="28"/>
        <v>142157.98000000001</v>
      </c>
      <c r="Z140" t="str">
        <f t="shared" si="29"/>
        <v/>
      </c>
    </row>
    <row r="141" spans="1:26" x14ac:dyDescent="0.25">
      <c r="A141" s="1">
        <v>45323</v>
      </c>
      <c r="B141" t="s">
        <v>731</v>
      </c>
      <c r="C141" t="s">
        <v>17</v>
      </c>
      <c r="D141" t="s">
        <v>22</v>
      </c>
      <c r="E141">
        <v>45</v>
      </c>
      <c r="F141">
        <v>0</v>
      </c>
      <c r="G141">
        <v>327.75</v>
      </c>
      <c r="H141">
        <v>14748.75</v>
      </c>
      <c r="I141" t="s">
        <v>733</v>
      </c>
      <c r="J141">
        <v>0</v>
      </c>
      <c r="K141">
        <v>7.45</v>
      </c>
      <c r="L141">
        <v>0</v>
      </c>
      <c r="M141">
        <v>0.01</v>
      </c>
      <c r="N141">
        <v>60</v>
      </c>
      <c r="O141">
        <v>12.14</v>
      </c>
      <c r="P141">
        <v>79.599999999999994</v>
      </c>
      <c r="Q141">
        <f t="shared" si="20"/>
        <v>2024</v>
      </c>
      <c r="R141">
        <f t="shared" si="21"/>
        <v>2</v>
      </c>
      <c r="S141">
        <f t="shared" si="22"/>
        <v>2023</v>
      </c>
      <c r="T141">
        <f t="shared" si="23"/>
        <v>11</v>
      </c>
      <c r="U141">
        <f t="shared" si="24"/>
        <v>11</v>
      </c>
      <c r="V141" t="str">
        <f t="shared" si="25"/>
        <v>202311</v>
      </c>
      <c r="W141" t="str">
        <f t="shared" si="26"/>
        <v>Feb-24</v>
      </c>
      <c r="X141" s="3">
        <f t="shared" si="27"/>
        <v>-14828.35</v>
      </c>
      <c r="Y141" t="str">
        <f t="shared" si="28"/>
        <v/>
      </c>
      <c r="Z141">
        <f t="shared" si="29"/>
        <v>-14828.35</v>
      </c>
    </row>
    <row r="142" spans="1:26" x14ac:dyDescent="0.25">
      <c r="A142" s="1">
        <v>45323</v>
      </c>
      <c r="B142" t="s">
        <v>731</v>
      </c>
      <c r="C142" t="s">
        <v>17</v>
      </c>
      <c r="D142" t="s">
        <v>22</v>
      </c>
      <c r="E142">
        <v>30</v>
      </c>
      <c r="F142">
        <v>0</v>
      </c>
      <c r="G142">
        <v>355.3</v>
      </c>
      <c r="H142">
        <v>10659</v>
      </c>
      <c r="I142" t="s">
        <v>734</v>
      </c>
      <c r="J142">
        <v>0</v>
      </c>
      <c r="K142">
        <v>5.38</v>
      </c>
      <c r="L142">
        <v>0</v>
      </c>
      <c r="M142">
        <v>0.01</v>
      </c>
      <c r="N142">
        <v>40</v>
      </c>
      <c r="O142">
        <v>8.18</v>
      </c>
      <c r="P142">
        <v>53.57</v>
      </c>
      <c r="Q142">
        <f t="shared" si="20"/>
        <v>2024</v>
      </c>
      <c r="R142">
        <f t="shared" si="21"/>
        <v>2</v>
      </c>
      <c r="S142">
        <f t="shared" si="22"/>
        <v>2023</v>
      </c>
      <c r="T142">
        <f t="shared" si="23"/>
        <v>11</v>
      </c>
      <c r="U142">
        <f t="shared" si="24"/>
        <v>11</v>
      </c>
      <c r="V142" t="str">
        <f t="shared" si="25"/>
        <v>202311</v>
      </c>
      <c r="W142" t="str">
        <f t="shared" si="26"/>
        <v>Feb-24</v>
      </c>
      <c r="X142" s="3">
        <f t="shared" si="27"/>
        <v>-10712.57</v>
      </c>
      <c r="Y142" t="str">
        <f t="shared" si="28"/>
        <v/>
      </c>
      <c r="Z142">
        <f t="shared" si="29"/>
        <v>-10712.57</v>
      </c>
    </row>
    <row r="143" spans="1:26" x14ac:dyDescent="0.25">
      <c r="A143" s="1">
        <v>45323</v>
      </c>
      <c r="B143" t="s">
        <v>731</v>
      </c>
      <c r="C143" t="s">
        <v>17</v>
      </c>
      <c r="D143" t="s">
        <v>22</v>
      </c>
      <c r="E143">
        <v>30</v>
      </c>
      <c r="F143">
        <v>0</v>
      </c>
      <c r="G143">
        <v>401.85</v>
      </c>
      <c r="H143">
        <v>12055.5</v>
      </c>
      <c r="I143" t="s">
        <v>735</v>
      </c>
      <c r="J143">
        <v>0</v>
      </c>
      <c r="K143">
        <v>6.09</v>
      </c>
      <c r="L143">
        <v>0</v>
      </c>
      <c r="M143">
        <v>0.01</v>
      </c>
      <c r="N143">
        <v>40</v>
      </c>
      <c r="O143">
        <v>8.3000000000000007</v>
      </c>
      <c r="P143">
        <v>54.4</v>
      </c>
      <c r="Q143">
        <f t="shared" si="20"/>
        <v>2024</v>
      </c>
      <c r="R143">
        <f t="shared" si="21"/>
        <v>2</v>
      </c>
      <c r="S143">
        <f t="shared" si="22"/>
        <v>2023</v>
      </c>
      <c r="T143">
        <f t="shared" si="23"/>
        <v>11</v>
      </c>
      <c r="U143">
        <f t="shared" si="24"/>
        <v>11</v>
      </c>
      <c r="V143" t="str">
        <f t="shared" si="25"/>
        <v>202311</v>
      </c>
      <c r="W143" t="str">
        <f t="shared" si="26"/>
        <v>Feb-24</v>
      </c>
      <c r="X143" s="3">
        <f t="shared" si="27"/>
        <v>-12109.9</v>
      </c>
      <c r="Y143" t="str">
        <f t="shared" si="28"/>
        <v/>
      </c>
      <c r="Z143">
        <f t="shared" si="29"/>
        <v>-12109.9</v>
      </c>
    </row>
    <row r="144" spans="1:26" x14ac:dyDescent="0.25">
      <c r="A144" s="1">
        <v>45323</v>
      </c>
      <c r="B144" t="s">
        <v>731</v>
      </c>
      <c r="C144" t="s">
        <v>17</v>
      </c>
      <c r="D144" t="s">
        <v>22</v>
      </c>
      <c r="E144">
        <v>75</v>
      </c>
      <c r="F144">
        <v>0</v>
      </c>
      <c r="G144">
        <v>409.95</v>
      </c>
      <c r="H144">
        <v>30746.25</v>
      </c>
      <c r="I144" t="s">
        <v>736</v>
      </c>
      <c r="J144">
        <v>0</v>
      </c>
      <c r="K144">
        <v>15.53</v>
      </c>
      <c r="L144">
        <v>0</v>
      </c>
      <c r="M144">
        <v>0.03</v>
      </c>
      <c r="N144">
        <v>100</v>
      </c>
      <c r="O144">
        <v>20.8</v>
      </c>
      <c r="P144">
        <v>136.36000000000001</v>
      </c>
      <c r="Q144">
        <f t="shared" si="20"/>
        <v>2024</v>
      </c>
      <c r="R144">
        <f t="shared" si="21"/>
        <v>2</v>
      </c>
      <c r="S144">
        <f t="shared" si="22"/>
        <v>2023</v>
      </c>
      <c r="T144">
        <f t="shared" si="23"/>
        <v>11</v>
      </c>
      <c r="U144">
        <f t="shared" si="24"/>
        <v>11</v>
      </c>
      <c r="V144" t="str">
        <f t="shared" si="25"/>
        <v>202311</v>
      </c>
      <c r="W144" t="str">
        <f t="shared" si="26"/>
        <v>Feb-24</v>
      </c>
      <c r="X144" s="3">
        <f t="shared" si="27"/>
        <v>-30882.61</v>
      </c>
      <c r="Y144" t="str">
        <f t="shared" si="28"/>
        <v/>
      </c>
      <c r="Z144">
        <f t="shared" si="29"/>
        <v>-30882.61</v>
      </c>
    </row>
    <row r="145" spans="1:26" x14ac:dyDescent="0.25">
      <c r="A145" s="1">
        <v>45323</v>
      </c>
      <c r="B145" t="s">
        <v>731</v>
      </c>
      <c r="C145" t="s">
        <v>17</v>
      </c>
      <c r="D145" t="s">
        <v>22</v>
      </c>
      <c r="E145">
        <v>75</v>
      </c>
      <c r="F145">
        <v>0</v>
      </c>
      <c r="G145">
        <v>418.81</v>
      </c>
      <c r="H145">
        <v>31410.75</v>
      </c>
      <c r="I145" t="s">
        <v>737</v>
      </c>
      <c r="J145">
        <v>0</v>
      </c>
      <c r="K145">
        <v>15.86</v>
      </c>
      <c r="L145">
        <v>3.75</v>
      </c>
      <c r="M145">
        <v>0.04</v>
      </c>
      <c r="N145">
        <v>100</v>
      </c>
      <c r="O145">
        <v>20.86</v>
      </c>
      <c r="P145">
        <v>140.51</v>
      </c>
      <c r="Q145">
        <f t="shared" si="20"/>
        <v>2024</v>
      </c>
      <c r="R145">
        <f t="shared" si="21"/>
        <v>2</v>
      </c>
      <c r="S145">
        <f t="shared" si="22"/>
        <v>2023</v>
      </c>
      <c r="T145">
        <f t="shared" si="23"/>
        <v>11</v>
      </c>
      <c r="U145">
        <f t="shared" si="24"/>
        <v>11</v>
      </c>
      <c r="V145" t="str">
        <f t="shared" si="25"/>
        <v>202311</v>
      </c>
      <c r="W145" t="str">
        <f t="shared" si="26"/>
        <v>Feb-24</v>
      </c>
      <c r="X145" s="3">
        <f t="shared" si="27"/>
        <v>-31551.26</v>
      </c>
      <c r="Y145" t="str">
        <f t="shared" si="28"/>
        <v/>
      </c>
      <c r="Z145">
        <f t="shared" si="29"/>
        <v>-31551.26</v>
      </c>
    </row>
    <row r="146" spans="1:26" x14ac:dyDescent="0.25">
      <c r="A146" s="1">
        <v>45323</v>
      </c>
      <c r="B146" t="s">
        <v>731</v>
      </c>
      <c r="C146" t="s">
        <v>17</v>
      </c>
      <c r="D146" t="s">
        <v>22</v>
      </c>
      <c r="E146">
        <v>60</v>
      </c>
      <c r="F146">
        <v>0</v>
      </c>
      <c r="G146">
        <v>431.9</v>
      </c>
      <c r="H146">
        <v>25914</v>
      </c>
      <c r="I146" t="s">
        <v>738</v>
      </c>
      <c r="J146">
        <v>0</v>
      </c>
      <c r="K146">
        <v>13.08</v>
      </c>
      <c r="L146">
        <v>0</v>
      </c>
      <c r="M146">
        <v>0.02</v>
      </c>
      <c r="N146">
        <v>80</v>
      </c>
      <c r="O146">
        <v>16.760000000000002</v>
      </c>
      <c r="P146">
        <v>109.86</v>
      </c>
      <c r="Q146">
        <f t="shared" si="20"/>
        <v>2024</v>
      </c>
      <c r="R146">
        <f t="shared" si="21"/>
        <v>2</v>
      </c>
      <c r="S146">
        <f t="shared" si="22"/>
        <v>2023</v>
      </c>
      <c r="T146">
        <f t="shared" si="23"/>
        <v>11</v>
      </c>
      <c r="U146">
        <f t="shared" si="24"/>
        <v>11</v>
      </c>
      <c r="V146" t="str">
        <f t="shared" si="25"/>
        <v>202311</v>
      </c>
      <c r="W146" t="str">
        <f t="shared" si="26"/>
        <v>Feb-24</v>
      </c>
      <c r="X146" s="3">
        <f t="shared" si="27"/>
        <v>-26023.86</v>
      </c>
      <c r="Y146" t="str">
        <f t="shared" si="28"/>
        <v/>
      </c>
      <c r="Z146">
        <f t="shared" si="29"/>
        <v>-26023.86</v>
      </c>
    </row>
    <row r="147" spans="1:26" x14ac:dyDescent="0.25">
      <c r="A147" s="1">
        <v>45323</v>
      </c>
      <c r="B147" t="s">
        <v>731</v>
      </c>
      <c r="C147" t="s">
        <v>17</v>
      </c>
      <c r="D147" t="s">
        <v>22</v>
      </c>
      <c r="E147">
        <v>15</v>
      </c>
      <c r="F147">
        <v>0</v>
      </c>
      <c r="G147">
        <v>427.35</v>
      </c>
      <c r="H147">
        <v>6410.25</v>
      </c>
      <c r="I147" t="s">
        <v>739</v>
      </c>
      <c r="J147">
        <v>0</v>
      </c>
      <c r="K147">
        <v>3.24</v>
      </c>
      <c r="L147">
        <v>0</v>
      </c>
      <c r="M147">
        <v>0.01</v>
      </c>
      <c r="N147">
        <v>20</v>
      </c>
      <c r="O147">
        <v>4.18</v>
      </c>
      <c r="P147">
        <v>27.43</v>
      </c>
      <c r="Q147">
        <f t="shared" si="20"/>
        <v>2024</v>
      </c>
      <c r="R147">
        <f t="shared" si="21"/>
        <v>2</v>
      </c>
      <c r="S147">
        <f t="shared" si="22"/>
        <v>2023</v>
      </c>
      <c r="T147">
        <f t="shared" si="23"/>
        <v>11</v>
      </c>
      <c r="U147">
        <f t="shared" si="24"/>
        <v>11</v>
      </c>
      <c r="V147" t="str">
        <f t="shared" si="25"/>
        <v>202311</v>
      </c>
      <c r="W147" t="str">
        <f t="shared" si="26"/>
        <v>Feb-24</v>
      </c>
      <c r="X147" s="3">
        <f t="shared" si="27"/>
        <v>-6437.68</v>
      </c>
      <c r="Y147" t="str">
        <f t="shared" si="28"/>
        <v/>
      </c>
      <c r="Z147">
        <f t="shared" si="29"/>
        <v>-6437.68</v>
      </c>
    </row>
    <row r="148" spans="1:26" x14ac:dyDescent="0.25">
      <c r="A148" s="1">
        <v>45323</v>
      </c>
      <c r="B148" t="s">
        <v>740</v>
      </c>
      <c r="C148" t="s">
        <v>17</v>
      </c>
      <c r="D148" t="s">
        <v>18</v>
      </c>
      <c r="E148">
        <v>50</v>
      </c>
      <c r="F148">
        <v>0</v>
      </c>
      <c r="G148">
        <v>5.4</v>
      </c>
      <c r="H148">
        <v>270</v>
      </c>
      <c r="I148" t="s">
        <v>741</v>
      </c>
      <c r="J148">
        <v>0.33</v>
      </c>
      <c r="K148">
        <v>0.14000000000000001</v>
      </c>
      <c r="L148">
        <v>0</v>
      </c>
      <c r="M148">
        <v>0</v>
      </c>
      <c r="N148">
        <v>20</v>
      </c>
      <c r="O148">
        <v>3.62</v>
      </c>
      <c r="P148">
        <v>24.09</v>
      </c>
      <c r="Q148">
        <f t="shared" si="20"/>
        <v>2024</v>
      </c>
      <c r="R148">
        <f t="shared" si="21"/>
        <v>2</v>
      </c>
      <c r="S148">
        <f t="shared" si="22"/>
        <v>2023</v>
      </c>
      <c r="T148">
        <f t="shared" si="23"/>
        <v>11</v>
      </c>
      <c r="U148">
        <f t="shared" si="24"/>
        <v>11</v>
      </c>
      <c r="V148" t="str">
        <f t="shared" si="25"/>
        <v>202311</v>
      </c>
      <c r="W148" t="str">
        <f t="shared" si="26"/>
        <v>Feb-24</v>
      </c>
      <c r="X148" s="3">
        <f t="shared" si="27"/>
        <v>245.91</v>
      </c>
      <c r="Y148">
        <f t="shared" si="28"/>
        <v>245.91</v>
      </c>
      <c r="Z148" t="str">
        <f t="shared" si="29"/>
        <v/>
      </c>
    </row>
    <row r="149" spans="1:26" x14ac:dyDescent="0.25">
      <c r="A149" s="1">
        <v>45323</v>
      </c>
      <c r="B149" t="s">
        <v>740</v>
      </c>
      <c r="C149" t="s">
        <v>17</v>
      </c>
      <c r="D149" t="s">
        <v>18</v>
      </c>
      <c r="E149">
        <v>50</v>
      </c>
      <c r="F149">
        <v>0</v>
      </c>
      <c r="G149">
        <v>5.4</v>
      </c>
      <c r="H149">
        <v>270</v>
      </c>
      <c r="I149" t="s">
        <v>742</v>
      </c>
      <c r="J149">
        <v>0.17</v>
      </c>
      <c r="K149">
        <v>0.14000000000000001</v>
      </c>
      <c r="L149">
        <v>0</v>
      </c>
      <c r="M149">
        <v>0</v>
      </c>
      <c r="N149">
        <v>20</v>
      </c>
      <c r="O149">
        <v>3.62</v>
      </c>
      <c r="P149">
        <v>23.93</v>
      </c>
      <c r="Q149">
        <f t="shared" si="20"/>
        <v>2024</v>
      </c>
      <c r="R149">
        <f t="shared" si="21"/>
        <v>2</v>
      </c>
      <c r="S149">
        <f t="shared" si="22"/>
        <v>2023</v>
      </c>
      <c r="T149">
        <f t="shared" si="23"/>
        <v>11</v>
      </c>
      <c r="U149">
        <f t="shared" si="24"/>
        <v>11</v>
      </c>
      <c r="V149" t="str">
        <f t="shared" si="25"/>
        <v>202311</v>
      </c>
      <c r="W149" t="str">
        <f t="shared" si="26"/>
        <v>Feb-24</v>
      </c>
      <c r="X149" s="3">
        <f t="shared" si="27"/>
        <v>246.07</v>
      </c>
      <c r="Y149">
        <f t="shared" si="28"/>
        <v>246.07</v>
      </c>
      <c r="Z149" t="str">
        <f t="shared" si="29"/>
        <v/>
      </c>
    </row>
    <row r="150" spans="1:26" x14ac:dyDescent="0.25">
      <c r="A150" s="1">
        <v>45323</v>
      </c>
      <c r="B150" t="s">
        <v>740</v>
      </c>
      <c r="C150" t="s">
        <v>17</v>
      </c>
      <c r="D150" t="s">
        <v>22</v>
      </c>
      <c r="E150">
        <v>50</v>
      </c>
      <c r="F150">
        <v>0</v>
      </c>
      <c r="G150">
        <v>5.3</v>
      </c>
      <c r="H150">
        <v>265</v>
      </c>
      <c r="I150" t="s">
        <v>743</v>
      </c>
      <c r="J150">
        <v>0</v>
      </c>
      <c r="K150">
        <v>0.13</v>
      </c>
      <c r="L150">
        <v>0</v>
      </c>
      <c r="M150">
        <v>0</v>
      </c>
      <c r="N150">
        <v>20</v>
      </c>
      <c r="O150">
        <v>3.62</v>
      </c>
      <c r="P150">
        <v>23.75</v>
      </c>
      <c r="Q150">
        <f t="shared" si="20"/>
        <v>2024</v>
      </c>
      <c r="R150">
        <f t="shared" si="21"/>
        <v>2</v>
      </c>
      <c r="S150">
        <f t="shared" si="22"/>
        <v>2023</v>
      </c>
      <c r="T150">
        <f t="shared" si="23"/>
        <v>11</v>
      </c>
      <c r="U150">
        <f t="shared" si="24"/>
        <v>11</v>
      </c>
      <c r="V150" t="str">
        <f t="shared" si="25"/>
        <v>202311</v>
      </c>
      <c r="W150" t="str">
        <f t="shared" si="26"/>
        <v>Feb-24</v>
      </c>
      <c r="X150" s="3">
        <f t="shared" si="27"/>
        <v>-288.75</v>
      </c>
      <c r="Y150" t="str">
        <f t="shared" si="28"/>
        <v/>
      </c>
      <c r="Z150">
        <f t="shared" si="29"/>
        <v>-288.75</v>
      </c>
    </row>
    <row r="151" spans="1:26" x14ac:dyDescent="0.25">
      <c r="A151" s="1">
        <v>45323</v>
      </c>
      <c r="B151" t="s">
        <v>740</v>
      </c>
      <c r="C151" t="s">
        <v>17</v>
      </c>
      <c r="D151" t="s">
        <v>22</v>
      </c>
      <c r="E151">
        <v>50</v>
      </c>
      <c r="F151">
        <v>0</v>
      </c>
      <c r="G151">
        <v>5.0999999999999996</v>
      </c>
      <c r="H151">
        <v>255</v>
      </c>
      <c r="I151" t="s">
        <v>744</v>
      </c>
      <c r="J151">
        <v>0</v>
      </c>
      <c r="K151">
        <v>0.13</v>
      </c>
      <c r="L151">
        <v>0.02</v>
      </c>
      <c r="M151">
        <v>0</v>
      </c>
      <c r="N151">
        <v>20</v>
      </c>
      <c r="O151">
        <v>3.62</v>
      </c>
      <c r="P151">
        <v>23.77</v>
      </c>
      <c r="Q151">
        <f t="shared" si="20"/>
        <v>2024</v>
      </c>
      <c r="R151">
        <f t="shared" si="21"/>
        <v>2</v>
      </c>
      <c r="S151">
        <f t="shared" si="22"/>
        <v>2023</v>
      </c>
      <c r="T151">
        <f t="shared" si="23"/>
        <v>11</v>
      </c>
      <c r="U151">
        <f t="shared" si="24"/>
        <v>11</v>
      </c>
      <c r="V151" t="str">
        <f t="shared" si="25"/>
        <v>202311</v>
      </c>
      <c r="W151" t="str">
        <f t="shared" si="26"/>
        <v>Feb-24</v>
      </c>
      <c r="X151" s="3">
        <f t="shared" si="27"/>
        <v>-278.77</v>
      </c>
      <c r="Y151" t="str">
        <f t="shared" si="28"/>
        <v/>
      </c>
      <c r="Z151">
        <f t="shared" si="29"/>
        <v>-278.77</v>
      </c>
    </row>
    <row r="152" spans="1:26" x14ac:dyDescent="0.25">
      <c r="A152" s="1">
        <v>45323</v>
      </c>
      <c r="B152" t="s">
        <v>745</v>
      </c>
      <c r="C152" t="s">
        <v>17</v>
      </c>
      <c r="D152" t="s">
        <v>18</v>
      </c>
      <c r="E152">
        <v>150</v>
      </c>
      <c r="F152">
        <v>0</v>
      </c>
      <c r="G152">
        <v>97.9</v>
      </c>
      <c r="H152">
        <v>14685</v>
      </c>
      <c r="I152" t="s">
        <v>746</v>
      </c>
      <c r="J152">
        <v>9.18</v>
      </c>
      <c r="K152">
        <v>7.42</v>
      </c>
      <c r="L152">
        <v>0</v>
      </c>
      <c r="M152">
        <v>0.01</v>
      </c>
      <c r="N152">
        <v>60</v>
      </c>
      <c r="O152">
        <v>12.14</v>
      </c>
      <c r="P152">
        <v>88.75</v>
      </c>
      <c r="Q152">
        <f t="shared" si="20"/>
        <v>2024</v>
      </c>
      <c r="R152">
        <f t="shared" si="21"/>
        <v>2</v>
      </c>
      <c r="S152">
        <f t="shared" si="22"/>
        <v>2023</v>
      </c>
      <c r="T152">
        <f t="shared" si="23"/>
        <v>11</v>
      </c>
      <c r="U152">
        <f t="shared" si="24"/>
        <v>11</v>
      </c>
      <c r="V152" t="str">
        <f t="shared" si="25"/>
        <v>202311</v>
      </c>
      <c r="W152" t="str">
        <f t="shared" si="26"/>
        <v>Feb-24</v>
      </c>
      <c r="X152" s="3">
        <f t="shared" si="27"/>
        <v>14596.25</v>
      </c>
      <c r="Y152">
        <f t="shared" si="28"/>
        <v>14596.25</v>
      </c>
      <c r="Z152" t="str">
        <f t="shared" si="29"/>
        <v/>
      </c>
    </row>
    <row r="153" spans="1:26" x14ac:dyDescent="0.25">
      <c r="A153" s="1">
        <v>45323</v>
      </c>
      <c r="B153" t="s">
        <v>745</v>
      </c>
      <c r="C153" t="s">
        <v>17</v>
      </c>
      <c r="D153" t="s">
        <v>22</v>
      </c>
      <c r="E153">
        <v>150</v>
      </c>
      <c r="F153">
        <v>0</v>
      </c>
      <c r="G153">
        <v>76.05</v>
      </c>
      <c r="H153">
        <v>11407.5</v>
      </c>
      <c r="I153" t="s">
        <v>747</v>
      </c>
      <c r="J153">
        <v>0</v>
      </c>
      <c r="K153">
        <v>5.76</v>
      </c>
      <c r="L153">
        <v>0</v>
      </c>
      <c r="M153">
        <v>0.01</v>
      </c>
      <c r="N153">
        <v>60</v>
      </c>
      <c r="O153">
        <v>11.84</v>
      </c>
      <c r="P153">
        <v>77.61</v>
      </c>
      <c r="Q153">
        <f t="shared" si="20"/>
        <v>2024</v>
      </c>
      <c r="R153">
        <f t="shared" si="21"/>
        <v>2</v>
      </c>
      <c r="S153">
        <f t="shared" si="22"/>
        <v>2023</v>
      </c>
      <c r="T153">
        <f t="shared" si="23"/>
        <v>11</v>
      </c>
      <c r="U153">
        <f t="shared" si="24"/>
        <v>11</v>
      </c>
      <c r="V153" t="str">
        <f t="shared" si="25"/>
        <v>202311</v>
      </c>
      <c r="W153" t="str">
        <f t="shared" si="26"/>
        <v>Feb-24</v>
      </c>
      <c r="X153" s="3">
        <f t="shared" si="27"/>
        <v>-11485.11</v>
      </c>
      <c r="Y153" t="str">
        <f t="shared" si="28"/>
        <v/>
      </c>
      <c r="Z153">
        <f t="shared" si="29"/>
        <v>-11485.11</v>
      </c>
    </row>
    <row r="154" spans="1:26" x14ac:dyDescent="0.25">
      <c r="A154" s="1">
        <v>45323</v>
      </c>
      <c r="B154" t="s">
        <v>745</v>
      </c>
      <c r="C154" t="s">
        <v>17</v>
      </c>
      <c r="D154" t="s">
        <v>18</v>
      </c>
      <c r="E154">
        <v>350</v>
      </c>
      <c r="F154">
        <v>0</v>
      </c>
      <c r="G154">
        <v>72</v>
      </c>
      <c r="H154">
        <v>25200</v>
      </c>
      <c r="I154" t="s">
        <v>748</v>
      </c>
      <c r="J154">
        <v>15.75</v>
      </c>
      <c r="K154">
        <v>12.73</v>
      </c>
      <c r="L154">
        <v>0</v>
      </c>
      <c r="M154">
        <v>0.03</v>
      </c>
      <c r="N154">
        <v>140</v>
      </c>
      <c r="O154">
        <v>27.5</v>
      </c>
      <c r="P154">
        <v>196.01</v>
      </c>
      <c r="Q154">
        <f t="shared" si="20"/>
        <v>2024</v>
      </c>
      <c r="R154">
        <f t="shared" si="21"/>
        <v>2</v>
      </c>
      <c r="S154">
        <f t="shared" si="22"/>
        <v>2023</v>
      </c>
      <c r="T154">
        <f t="shared" si="23"/>
        <v>11</v>
      </c>
      <c r="U154">
        <f t="shared" si="24"/>
        <v>11</v>
      </c>
      <c r="V154" t="str">
        <f t="shared" si="25"/>
        <v>202311</v>
      </c>
      <c r="W154" t="str">
        <f t="shared" si="26"/>
        <v>Feb-24</v>
      </c>
      <c r="X154" s="3">
        <f t="shared" si="27"/>
        <v>25003.99</v>
      </c>
      <c r="Y154">
        <f t="shared" si="28"/>
        <v>25003.99</v>
      </c>
      <c r="Z154" t="str">
        <f t="shared" si="29"/>
        <v/>
      </c>
    </row>
    <row r="155" spans="1:26" x14ac:dyDescent="0.25">
      <c r="A155" s="1">
        <v>45323</v>
      </c>
      <c r="B155" t="s">
        <v>749</v>
      </c>
      <c r="C155" t="s">
        <v>17</v>
      </c>
      <c r="D155" t="s">
        <v>18</v>
      </c>
      <c r="E155">
        <v>15</v>
      </c>
      <c r="F155">
        <v>0</v>
      </c>
      <c r="G155">
        <v>564.65</v>
      </c>
      <c r="H155">
        <v>8469.75</v>
      </c>
      <c r="I155" t="s">
        <v>750</v>
      </c>
      <c r="J155">
        <v>5.29</v>
      </c>
      <c r="K155">
        <v>4.28</v>
      </c>
      <c r="L155">
        <v>0</v>
      </c>
      <c r="M155">
        <v>0.01</v>
      </c>
      <c r="N155">
        <v>20</v>
      </c>
      <c r="O155">
        <v>4.38</v>
      </c>
      <c r="P155">
        <v>33.96</v>
      </c>
      <c r="Q155">
        <f t="shared" si="20"/>
        <v>2024</v>
      </c>
      <c r="R155">
        <f t="shared" si="21"/>
        <v>2</v>
      </c>
      <c r="S155">
        <f t="shared" si="22"/>
        <v>2023</v>
      </c>
      <c r="T155">
        <f t="shared" si="23"/>
        <v>11</v>
      </c>
      <c r="U155">
        <f t="shared" si="24"/>
        <v>11</v>
      </c>
      <c r="V155" t="str">
        <f t="shared" si="25"/>
        <v>202311</v>
      </c>
      <c r="W155" t="str">
        <f t="shared" si="26"/>
        <v>Feb-24</v>
      </c>
      <c r="X155" s="3">
        <f t="shared" si="27"/>
        <v>8435.7900000000009</v>
      </c>
      <c r="Y155">
        <f t="shared" si="28"/>
        <v>8435.7900000000009</v>
      </c>
      <c r="Z155" t="str">
        <f t="shared" si="29"/>
        <v/>
      </c>
    </row>
    <row r="156" spans="1:26" x14ac:dyDescent="0.25">
      <c r="A156" s="1">
        <v>45323</v>
      </c>
      <c r="B156" t="s">
        <v>745</v>
      </c>
      <c r="C156" t="s">
        <v>17</v>
      </c>
      <c r="D156" t="s">
        <v>22</v>
      </c>
      <c r="E156">
        <v>150</v>
      </c>
      <c r="F156">
        <v>0</v>
      </c>
      <c r="G156">
        <v>59</v>
      </c>
      <c r="H156">
        <v>8850</v>
      </c>
      <c r="I156" t="s">
        <v>751</v>
      </c>
      <c r="J156">
        <v>0</v>
      </c>
      <c r="K156">
        <v>4.47</v>
      </c>
      <c r="L156">
        <v>0</v>
      </c>
      <c r="M156">
        <v>0.01</v>
      </c>
      <c r="N156">
        <v>60</v>
      </c>
      <c r="O156">
        <v>11.6</v>
      </c>
      <c r="P156">
        <v>76.08</v>
      </c>
      <c r="Q156">
        <f t="shared" si="20"/>
        <v>2024</v>
      </c>
      <c r="R156">
        <f t="shared" si="21"/>
        <v>2</v>
      </c>
      <c r="S156">
        <f t="shared" si="22"/>
        <v>2023</v>
      </c>
      <c r="T156">
        <f t="shared" si="23"/>
        <v>11</v>
      </c>
      <c r="U156">
        <f t="shared" si="24"/>
        <v>11</v>
      </c>
      <c r="V156" t="str">
        <f t="shared" si="25"/>
        <v>202311</v>
      </c>
      <c r="W156" t="str">
        <f t="shared" si="26"/>
        <v>Feb-24</v>
      </c>
      <c r="X156" s="3">
        <f t="shared" si="27"/>
        <v>-8926.08</v>
      </c>
      <c r="Y156" t="str">
        <f t="shared" si="28"/>
        <v/>
      </c>
      <c r="Z156">
        <f t="shared" si="29"/>
        <v>-8926.08</v>
      </c>
    </row>
    <row r="157" spans="1:26" x14ac:dyDescent="0.25">
      <c r="A157" s="1">
        <v>45323</v>
      </c>
      <c r="B157" t="s">
        <v>749</v>
      </c>
      <c r="C157" t="s">
        <v>17</v>
      </c>
      <c r="D157" t="s">
        <v>22</v>
      </c>
      <c r="E157">
        <v>15</v>
      </c>
      <c r="F157">
        <v>0</v>
      </c>
      <c r="G157">
        <v>527.9</v>
      </c>
      <c r="H157">
        <v>7918.5</v>
      </c>
      <c r="I157" t="s">
        <v>752</v>
      </c>
      <c r="J157">
        <v>0</v>
      </c>
      <c r="K157">
        <v>4</v>
      </c>
      <c r="L157">
        <v>0.24</v>
      </c>
      <c r="M157">
        <v>0.01</v>
      </c>
      <c r="N157">
        <v>20</v>
      </c>
      <c r="O157">
        <v>4.32</v>
      </c>
      <c r="P157">
        <v>28.57</v>
      </c>
      <c r="Q157">
        <f t="shared" si="20"/>
        <v>2024</v>
      </c>
      <c r="R157">
        <f t="shared" si="21"/>
        <v>2</v>
      </c>
      <c r="S157">
        <f t="shared" si="22"/>
        <v>2023</v>
      </c>
      <c r="T157">
        <f t="shared" si="23"/>
        <v>11</v>
      </c>
      <c r="U157">
        <f t="shared" si="24"/>
        <v>11</v>
      </c>
      <c r="V157" t="str">
        <f t="shared" si="25"/>
        <v>202311</v>
      </c>
      <c r="W157" t="str">
        <f t="shared" si="26"/>
        <v>Feb-24</v>
      </c>
      <c r="X157" s="3">
        <f t="shared" si="27"/>
        <v>-7947.07</v>
      </c>
      <c r="Y157" t="str">
        <f t="shared" si="28"/>
        <v/>
      </c>
      <c r="Z157">
        <f t="shared" si="29"/>
        <v>-7947.07</v>
      </c>
    </row>
    <row r="158" spans="1:26" x14ac:dyDescent="0.25">
      <c r="A158" s="1">
        <v>45323</v>
      </c>
      <c r="B158" t="s">
        <v>745</v>
      </c>
      <c r="C158" t="s">
        <v>17</v>
      </c>
      <c r="D158" t="s">
        <v>22</v>
      </c>
      <c r="E158">
        <v>150</v>
      </c>
      <c r="F158">
        <v>0</v>
      </c>
      <c r="G158">
        <v>63.67</v>
      </c>
      <c r="H158">
        <v>9550</v>
      </c>
      <c r="I158" t="s">
        <v>753</v>
      </c>
      <c r="J158">
        <v>0</v>
      </c>
      <c r="K158">
        <v>4.82</v>
      </c>
      <c r="L158">
        <v>0.99</v>
      </c>
      <c r="M158">
        <v>0.01</v>
      </c>
      <c r="N158">
        <v>60</v>
      </c>
      <c r="O158">
        <v>11.66</v>
      </c>
      <c r="P158">
        <v>77.48</v>
      </c>
      <c r="Q158">
        <f t="shared" si="20"/>
        <v>2024</v>
      </c>
      <c r="R158">
        <f t="shared" si="21"/>
        <v>2</v>
      </c>
      <c r="S158">
        <f t="shared" si="22"/>
        <v>2023</v>
      </c>
      <c r="T158">
        <f t="shared" si="23"/>
        <v>11</v>
      </c>
      <c r="U158">
        <f t="shared" si="24"/>
        <v>11</v>
      </c>
      <c r="V158" t="str">
        <f t="shared" si="25"/>
        <v>202311</v>
      </c>
      <c r="W158" t="str">
        <f t="shared" si="26"/>
        <v>Feb-24</v>
      </c>
      <c r="X158" s="3">
        <f t="shared" si="27"/>
        <v>-9627.48</v>
      </c>
      <c r="Y158" t="str">
        <f t="shared" si="28"/>
        <v/>
      </c>
      <c r="Z158">
        <f t="shared" si="29"/>
        <v>-9627.48</v>
      </c>
    </row>
    <row r="159" spans="1:26" x14ac:dyDescent="0.25">
      <c r="A159" s="1">
        <v>45323</v>
      </c>
      <c r="B159" t="s">
        <v>745</v>
      </c>
      <c r="C159" t="s">
        <v>17</v>
      </c>
      <c r="D159" t="s">
        <v>22</v>
      </c>
      <c r="E159">
        <v>50</v>
      </c>
      <c r="F159">
        <v>0</v>
      </c>
      <c r="G159">
        <v>65.400000000000006</v>
      </c>
      <c r="H159">
        <v>3270</v>
      </c>
      <c r="I159" t="s">
        <v>754</v>
      </c>
      <c r="J159">
        <v>0</v>
      </c>
      <c r="K159">
        <v>1.65</v>
      </c>
      <c r="L159">
        <v>0</v>
      </c>
      <c r="M159">
        <v>0</v>
      </c>
      <c r="N159">
        <v>20</v>
      </c>
      <c r="O159">
        <v>3.9</v>
      </c>
      <c r="P159">
        <v>25.55</v>
      </c>
      <c r="Q159">
        <f t="shared" si="20"/>
        <v>2024</v>
      </c>
      <c r="R159">
        <f t="shared" si="21"/>
        <v>2</v>
      </c>
      <c r="S159">
        <f t="shared" si="22"/>
        <v>2023</v>
      </c>
      <c r="T159">
        <f t="shared" si="23"/>
        <v>11</v>
      </c>
      <c r="U159">
        <f t="shared" si="24"/>
        <v>11</v>
      </c>
      <c r="V159" t="str">
        <f t="shared" si="25"/>
        <v>202311</v>
      </c>
      <c r="W159" t="str">
        <f t="shared" si="26"/>
        <v>Feb-24</v>
      </c>
      <c r="X159" s="3">
        <f t="shared" si="27"/>
        <v>-3295.55</v>
      </c>
      <c r="Y159" t="str">
        <f t="shared" si="28"/>
        <v/>
      </c>
      <c r="Z159">
        <f t="shared" si="29"/>
        <v>-3295.55</v>
      </c>
    </row>
    <row r="160" spans="1:26" x14ac:dyDescent="0.25">
      <c r="A160" s="1">
        <v>45324</v>
      </c>
      <c r="B160" t="s">
        <v>714</v>
      </c>
      <c r="C160" t="s">
        <v>17</v>
      </c>
      <c r="D160" t="s">
        <v>22</v>
      </c>
      <c r="E160">
        <v>700</v>
      </c>
      <c r="F160">
        <v>0</v>
      </c>
      <c r="G160">
        <v>45.25</v>
      </c>
      <c r="H160">
        <v>31675</v>
      </c>
      <c r="I160" t="s">
        <v>727</v>
      </c>
      <c r="J160">
        <v>0</v>
      </c>
      <c r="K160">
        <v>16</v>
      </c>
      <c r="L160">
        <v>0.86</v>
      </c>
      <c r="M160">
        <v>0.03</v>
      </c>
      <c r="N160">
        <v>20</v>
      </c>
      <c r="O160">
        <v>6.48</v>
      </c>
      <c r="P160">
        <v>43.37</v>
      </c>
      <c r="Q160">
        <f t="shared" si="20"/>
        <v>2024</v>
      </c>
      <c r="R160">
        <f t="shared" si="21"/>
        <v>2</v>
      </c>
      <c r="S160">
        <f t="shared" si="22"/>
        <v>2023</v>
      </c>
      <c r="T160">
        <f t="shared" si="23"/>
        <v>11</v>
      </c>
      <c r="U160">
        <f t="shared" si="24"/>
        <v>11</v>
      </c>
      <c r="V160" t="str">
        <f t="shared" si="25"/>
        <v>202311</v>
      </c>
      <c r="W160" t="str">
        <f t="shared" si="26"/>
        <v>Feb-24</v>
      </c>
      <c r="X160" s="3">
        <f t="shared" si="27"/>
        <v>-31718.37</v>
      </c>
      <c r="Y160" t="str">
        <f t="shared" si="28"/>
        <v/>
      </c>
      <c r="Z160">
        <f t="shared" si="29"/>
        <v>-31718.37</v>
      </c>
    </row>
    <row r="161" spans="1:26" x14ac:dyDescent="0.25">
      <c r="A161" s="1">
        <v>45324</v>
      </c>
      <c r="B161" t="s">
        <v>728</v>
      </c>
      <c r="C161" t="s">
        <v>17</v>
      </c>
      <c r="D161" t="s">
        <v>18</v>
      </c>
      <c r="E161">
        <v>50</v>
      </c>
      <c r="F161">
        <v>0</v>
      </c>
      <c r="G161">
        <v>83.3</v>
      </c>
      <c r="H161">
        <v>4165</v>
      </c>
      <c r="I161" t="s">
        <v>729</v>
      </c>
      <c r="J161">
        <v>3</v>
      </c>
      <c r="K161">
        <v>2.1</v>
      </c>
      <c r="L161">
        <v>0</v>
      </c>
      <c r="M161">
        <v>0</v>
      </c>
      <c r="N161">
        <v>20</v>
      </c>
      <c r="O161">
        <v>3.98</v>
      </c>
      <c r="P161">
        <v>29.08</v>
      </c>
      <c r="Q161">
        <f t="shared" si="20"/>
        <v>2024</v>
      </c>
      <c r="R161">
        <f t="shared" si="21"/>
        <v>2</v>
      </c>
      <c r="S161">
        <f t="shared" si="22"/>
        <v>2023</v>
      </c>
      <c r="T161">
        <f t="shared" si="23"/>
        <v>11</v>
      </c>
      <c r="U161">
        <f t="shared" si="24"/>
        <v>11</v>
      </c>
      <c r="V161" t="str">
        <f t="shared" si="25"/>
        <v>202311</v>
      </c>
      <c r="W161" t="str">
        <f t="shared" si="26"/>
        <v>Feb-24</v>
      </c>
      <c r="X161" s="3">
        <f t="shared" si="27"/>
        <v>4135.92</v>
      </c>
      <c r="Y161">
        <f t="shared" si="28"/>
        <v>4135.92</v>
      </c>
      <c r="Z161" t="str">
        <f t="shared" si="29"/>
        <v/>
      </c>
    </row>
    <row r="162" spans="1:26" x14ac:dyDescent="0.25">
      <c r="A162" s="1">
        <v>45324</v>
      </c>
      <c r="B162" t="s">
        <v>728</v>
      </c>
      <c r="C162" t="s">
        <v>17</v>
      </c>
      <c r="D162" t="s">
        <v>22</v>
      </c>
      <c r="E162">
        <v>50</v>
      </c>
      <c r="F162">
        <v>0</v>
      </c>
      <c r="G162">
        <v>90.95</v>
      </c>
      <c r="H162">
        <v>4547.5</v>
      </c>
      <c r="I162" t="s">
        <v>730</v>
      </c>
      <c r="J162">
        <v>0</v>
      </c>
      <c r="K162">
        <v>2.2999999999999998</v>
      </c>
      <c r="L162">
        <v>0.14000000000000001</v>
      </c>
      <c r="M162">
        <v>0</v>
      </c>
      <c r="N162">
        <v>20</v>
      </c>
      <c r="O162">
        <v>4.0199999999999996</v>
      </c>
      <c r="P162">
        <v>26.46</v>
      </c>
      <c r="Q162">
        <f t="shared" si="20"/>
        <v>2024</v>
      </c>
      <c r="R162">
        <f t="shared" si="21"/>
        <v>2</v>
      </c>
      <c r="S162">
        <f t="shared" si="22"/>
        <v>2023</v>
      </c>
      <c r="T162">
        <f t="shared" si="23"/>
        <v>11</v>
      </c>
      <c r="U162">
        <f t="shared" si="24"/>
        <v>11</v>
      </c>
      <c r="V162" t="str">
        <f t="shared" si="25"/>
        <v>202311</v>
      </c>
      <c r="W162" t="str">
        <f t="shared" si="26"/>
        <v>Feb-24</v>
      </c>
      <c r="X162" s="3">
        <f t="shared" si="27"/>
        <v>-4573.96</v>
      </c>
      <c r="Y162" t="str">
        <f t="shared" si="28"/>
        <v/>
      </c>
      <c r="Z162">
        <f t="shared" si="29"/>
        <v>-4573.96</v>
      </c>
    </row>
    <row r="163" spans="1:26" x14ac:dyDescent="0.25">
      <c r="A163" s="1">
        <v>45327</v>
      </c>
      <c r="B163" t="s">
        <v>716</v>
      </c>
      <c r="C163" t="s">
        <v>17</v>
      </c>
      <c r="D163" t="s">
        <v>18</v>
      </c>
      <c r="E163">
        <v>400</v>
      </c>
      <c r="F163">
        <v>0</v>
      </c>
      <c r="G163">
        <v>122.7</v>
      </c>
      <c r="H163">
        <v>49080</v>
      </c>
      <c r="I163" t="s">
        <v>717</v>
      </c>
      <c r="J163">
        <v>30.68</v>
      </c>
      <c r="K163">
        <v>24.78</v>
      </c>
      <c r="L163">
        <v>0</v>
      </c>
      <c r="M163">
        <v>0.05</v>
      </c>
      <c r="N163">
        <v>200</v>
      </c>
      <c r="O163">
        <v>40.46</v>
      </c>
      <c r="P163">
        <v>295.97000000000003</v>
      </c>
      <c r="Q163">
        <f t="shared" si="20"/>
        <v>2024</v>
      </c>
      <c r="R163">
        <f t="shared" si="21"/>
        <v>2</v>
      </c>
      <c r="S163">
        <f t="shared" si="22"/>
        <v>2023</v>
      </c>
      <c r="T163">
        <f t="shared" si="23"/>
        <v>11</v>
      </c>
      <c r="U163">
        <f t="shared" si="24"/>
        <v>11</v>
      </c>
      <c r="V163" t="str">
        <f t="shared" si="25"/>
        <v>202311</v>
      </c>
      <c r="W163" t="str">
        <f t="shared" si="26"/>
        <v>Feb-24</v>
      </c>
      <c r="X163" s="3">
        <f t="shared" si="27"/>
        <v>48784.03</v>
      </c>
      <c r="Y163">
        <f t="shared" si="28"/>
        <v>48784.03</v>
      </c>
      <c r="Z163" t="str">
        <f t="shared" si="29"/>
        <v/>
      </c>
    </row>
    <row r="164" spans="1:26" x14ac:dyDescent="0.25">
      <c r="A164" s="1">
        <v>45327</v>
      </c>
      <c r="B164" t="s">
        <v>716</v>
      </c>
      <c r="C164" t="s">
        <v>17</v>
      </c>
      <c r="D164" t="s">
        <v>22</v>
      </c>
      <c r="E164">
        <v>400</v>
      </c>
      <c r="F164">
        <v>0</v>
      </c>
      <c r="G164">
        <v>90.03</v>
      </c>
      <c r="H164">
        <v>36012</v>
      </c>
      <c r="I164" t="s">
        <v>718</v>
      </c>
      <c r="J164">
        <v>0</v>
      </c>
      <c r="K164">
        <v>18.190000000000001</v>
      </c>
      <c r="L164">
        <v>2</v>
      </c>
      <c r="M164">
        <v>0.03</v>
      </c>
      <c r="N164">
        <v>200</v>
      </c>
      <c r="O164">
        <v>39.28</v>
      </c>
      <c r="P164">
        <v>259.5</v>
      </c>
      <c r="Q164">
        <f t="shared" si="20"/>
        <v>2024</v>
      </c>
      <c r="R164">
        <f t="shared" si="21"/>
        <v>2</v>
      </c>
      <c r="S164">
        <f t="shared" si="22"/>
        <v>2023</v>
      </c>
      <c r="T164">
        <f t="shared" si="23"/>
        <v>11</v>
      </c>
      <c r="U164">
        <f t="shared" si="24"/>
        <v>11</v>
      </c>
      <c r="V164" t="str">
        <f t="shared" si="25"/>
        <v>202311</v>
      </c>
      <c r="W164" t="str">
        <f t="shared" si="26"/>
        <v>Feb-24</v>
      </c>
      <c r="X164" s="3">
        <f t="shared" si="27"/>
        <v>-36271.5</v>
      </c>
      <c r="Y164" t="str">
        <f t="shared" si="28"/>
        <v/>
      </c>
      <c r="Z164">
        <f t="shared" si="29"/>
        <v>-36271.5</v>
      </c>
    </row>
    <row r="165" spans="1:26" x14ac:dyDescent="0.25">
      <c r="A165" s="1">
        <v>45327</v>
      </c>
      <c r="B165" t="s">
        <v>716</v>
      </c>
      <c r="C165" t="s">
        <v>17</v>
      </c>
      <c r="D165" t="s">
        <v>18</v>
      </c>
      <c r="E165">
        <v>320</v>
      </c>
      <c r="F165">
        <v>0</v>
      </c>
      <c r="G165">
        <v>80</v>
      </c>
      <c r="H165">
        <v>25600</v>
      </c>
      <c r="I165" t="s">
        <v>719</v>
      </c>
      <c r="J165">
        <v>16</v>
      </c>
      <c r="K165">
        <v>12.93</v>
      </c>
      <c r="L165">
        <v>0</v>
      </c>
      <c r="M165">
        <v>0.03</v>
      </c>
      <c r="N165">
        <v>160</v>
      </c>
      <c r="O165">
        <v>31.14</v>
      </c>
      <c r="P165">
        <v>220.1</v>
      </c>
      <c r="Q165">
        <f t="shared" si="20"/>
        <v>2024</v>
      </c>
      <c r="R165">
        <f t="shared" si="21"/>
        <v>2</v>
      </c>
      <c r="S165">
        <f t="shared" si="22"/>
        <v>2023</v>
      </c>
      <c r="T165">
        <f t="shared" si="23"/>
        <v>11</v>
      </c>
      <c r="U165">
        <f t="shared" si="24"/>
        <v>11</v>
      </c>
      <c r="V165" t="str">
        <f t="shared" si="25"/>
        <v>202311</v>
      </c>
      <c r="W165" t="str">
        <f t="shared" si="26"/>
        <v>Feb-24</v>
      </c>
      <c r="X165" s="3">
        <f t="shared" si="27"/>
        <v>25379.9</v>
      </c>
      <c r="Y165">
        <f t="shared" si="28"/>
        <v>25379.9</v>
      </c>
      <c r="Z165" t="str">
        <f t="shared" si="29"/>
        <v/>
      </c>
    </row>
    <row r="166" spans="1:26" x14ac:dyDescent="0.25">
      <c r="A166" s="1">
        <v>45327</v>
      </c>
      <c r="B166" t="s">
        <v>716</v>
      </c>
      <c r="C166" t="s">
        <v>17</v>
      </c>
      <c r="D166" t="s">
        <v>22</v>
      </c>
      <c r="E166">
        <v>40</v>
      </c>
      <c r="F166">
        <v>0</v>
      </c>
      <c r="G166">
        <v>106.25</v>
      </c>
      <c r="H166">
        <v>4250</v>
      </c>
      <c r="I166" t="s">
        <v>720</v>
      </c>
      <c r="J166">
        <v>0</v>
      </c>
      <c r="K166">
        <v>2.15</v>
      </c>
      <c r="L166">
        <v>0</v>
      </c>
      <c r="M166">
        <v>0</v>
      </c>
      <c r="N166">
        <v>20</v>
      </c>
      <c r="O166">
        <v>3.98</v>
      </c>
      <c r="P166">
        <v>26.13</v>
      </c>
      <c r="Q166">
        <f t="shared" si="20"/>
        <v>2024</v>
      </c>
      <c r="R166">
        <f t="shared" si="21"/>
        <v>2</v>
      </c>
      <c r="S166">
        <f t="shared" si="22"/>
        <v>2023</v>
      </c>
      <c r="T166">
        <f t="shared" si="23"/>
        <v>11</v>
      </c>
      <c r="U166">
        <f t="shared" si="24"/>
        <v>11</v>
      </c>
      <c r="V166" t="str">
        <f t="shared" si="25"/>
        <v>202311</v>
      </c>
      <c r="W166" t="str">
        <f t="shared" si="26"/>
        <v>Feb-24</v>
      </c>
      <c r="X166" s="3">
        <f t="shared" si="27"/>
        <v>-4276.13</v>
      </c>
      <c r="Y166" t="str">
        <f t="shared" si="28"/>
        <v/>
      </c>
      <c r="Z166">
        <f t="shared" si="29"/>
        <v>-4276.13</v>
      </c>
    </row>
    <row r="167" spans="1:26" x14ac:dyDescent="0.25">
      <c r="A167" s="1">
        <v>45327</v>
      </c>
      <c r="B167" t="s">
        <v>716</v>
      </c>
      <c r="C167" t="s">
        <v>17</v>
      </c>
      <c r="D167" t="s">
        <v>22</v>
      </c>
      <c r="E167">
        <v>40</v>
      </c>
      <c r="F167">
        <v>0</v>
      </c>
      <c r="G167">
        <v>104.75</v>
      </c>
      <c r="H167">
        <v>4190</v>
      </c>
      <c r="I167" t="s">
        <v>721</v>
      </c>
      <c r="J167">
        <v>0</v>
      </c>
      <c r="K167">
        <v>2.12</v>
      </c>
      <c r="L167">
        <v>0</v>
      </c>
      <c r="M167">
        <v>0</v>
      </c>
      <c r="N167">
        <v>20</v>
      </c>
      <c r="O167">
        <v>3.98</v>
      </c>
      <c r="P167">
        <v>26.1</v>
      </c>
      <c r="Q167">
        <f t="shared" si="20"/>
        <v>2024</v>
      </c>
      <c r="R167">
        <f t="shared" si="21"/>
        <v>2</v>
      </c>
      <c r="S167">
        <f t="shared" si="22"/>
        <v>2023</v>
      </c>
      <c r="T167">
        <f t="shared" si="23"/>
        <v>11</v>
      </c>
      <c r="U167">
        <f t="shared" si="24"/>
        <v>11</v>
      </c>
      <c r="V167" t="str">
        <f t="shared" si="25"/>
        <v>202311</v>
      </c>
      <c r="W167" t="str">
        <f t="shared" si="26"/>
        <v>Feb-24</v>
      </c>
      <c r="X167" s="3">
        <f t="shared" si="27"/>
        <v>-4216.1000000000004</v>
      </c>
      <c r="Y167" t="str">
        <f t="shared" si="28"/>
        <v/>
      </c>
      <c r="Z167">
        <f t="shared" si="29"/>
        <v>-4216.1000000000004</v>
      </c>
    </row>
    <row r="168" spans="1:26" x14ac:dyDescent="0.25">
      <c r="A168" s="1">
        <v>45327</v>
      </c>
      <c r="B168" t="s">
        <v>716</v>
      </c>
      <c r="C168" t="s">
        <v>17</v>
      </c>
      <c r="D168" t="s">
        <v>22</v>
      </c>
      <c r="E168">
        <v>80</v>
      </c>
      <c r="F168">
        <v>0</v>
      </c>
      <c r="G168">
        <v>106.25</v>
      </c>
      <c r="H168">
        <v>8500</v>
      </c>
      <c r="I168" t="s">
        <v>722</v>
      </c>
      <c r="J168">
        <v>0</v>
      </c>
      <c r="K168">
        <v>4.29</v>
      </c>
      <c r="L168">
        <v>0</v>
      </c>
      <c r="M168">
        <v>0.01</v>
      </c>
      <c r="N168">
        <v>40</v>
      </c>
      <c r="O168">
        <v>7.98</v>
      </c>
      <c r="P168">
        <v>52.28</v>
      </c>
      <c r="Q168">
        <f t="shared" si="20"/>
        <v>2024</v>
      </c>
      <c r="R168">
        <f t="shared" si="21"/>
        <v>2</v>
      </c>
      <c r="S168">
        <f t="shared" si="22"/>
        <v>2023</v>
      </c>
      <c r="T168">
        <f t="shared" si="23"/>
        <v>11</v>
      </c>
      <c r="U168">
        <f t="shared" si="24"/>
        <v>11</v>
      </c>
      <c r="V168" t="str">
        <f t="shared" si="25"/>
        <v>202311</v>
      </c>
      <c r="W168" t="str">
        <f t="shared" si="26"/>
        <v>Feb-24</v>
      </c>
      <c r="X168" s="3">
        <f t="shared" si="27"/>
        <v>-8552.2800000000007</v>
      </c>
      <c r="Y168" t="str">
        <f t="shared" si="28"/>
        <v/>
      </c>
      <c r="Z168">
        <f t="shared" si="29"/>
        <v>-8552.2800000000007</v>
      </c>
    </row>
    <row r="169" spans="1:26" x14ac:dyDescent="0.25">
      <c r="A169" s="1">
        <v>45327</v>
      </c>
      <c r="B169" t="s">
        <v>716</v>
      </c>
      <c r="C169" t="s">
        <v>17</v>
      </c>
      <c r="D169" t="s">
        <v>22</v>
      </c>
      <c r="E169">
        <v>160</v>
      </c>
      <c r="F169">
        <v>0</v>
      </c>
      <c r="G169">
        <v>122.2</v>
      </c>
      <c r="H169">
        <v>19552</v>
      </c>
      <c r="I169" t="s">
        <v>723</v>
      </c>
      <c r="J169">
        <v>0</v>
      </c>
      <c r="K169">
        <v>9.8800000000000008</v>
      </c>
      <c r="L169">
        <v>0</v>
      </c>
      <c r="M169">
        <v>0.01</v>
      </c>
      <c r="N169">
        <v>80</v>
      </c>
      <c r="O169">
        <v>16.18</v>
      </c>
      <c r="P169">
        <v>106.07</v>
      </c>
      <c r="Q169">
        <f t="shared" si="20"/>
        <v>2024</v>
      </c>
      <c r="R169">
        <f t="shared" si="21"/>
        <v>2</v>
      </c>
      <c r="S169">
        <f t="shared" si="22"/>
        <v>2023</v>
      </c>
      <c r="T169">
        <f t="shared" si="23"/>
        <v>11</v>
      </c>
      <c r="U169">
        <f t="shared" si="24"/>
        <v>11</v>
      </c>
      <c r="V169" t="str">
        <f t="shared" si="25"/>
        <v>202311</v>
      </c>
      <c r="W169" t="str">
        <f t="shared" si="26"/>
        <v>Feb-24</v>
      </c>
      <c r="X169" s="3">
        <f t="shared" si="27"/>
        <v>-19658.07</v>
      </c>
      <c r="Y169" t="str">
        <f t="shared" si="28"/>
        <v/>
      </c>
      <c r="Z169">
        <f t="shared" si="29"/>
        <v>-19658.07</v>
      </c>
    </row>
    <row r="170" spans="1:26" x14ac:dyDescent="0.25">
      <c r="A170" s="1">
        <v>45327</v>
      </c>
      <c r="B170" t="s">
        <v>716</v>
      </c>
      <c r="C170" t="s">
        <v>17</v>
      </c>
      <c r="D170" t="s">
        <v>18</v>
      </c>
      <c r="E170">
        <v>80</v>
      </c>
      <c r="F170">
        <v>0</v>
      </c>
      <c r="G170">
        <v>88</v>
      </c>
      <c r="H170">
        <v>7040</v>
      </c>
      <c r="I170" t="s">
        <v>724</v>
      </c>
      <c r="J170">
        <v>4.33</v>
      </c>
      <c r="K170">
        <v>3.56</v>
      </c>
      <c r="L170">
        <v>0</v>
      </c>
      <c r="M170">
        <v>0.01</v>
      </c>
      <c r="N170">
        <v>40</v>
      </c>
      <c r="O170">
        <v>7.84</v>
      </c>
      <c r="P170">
        <v>55.74</v>
      </c>
      <c r="Q170">
        <f t="shared" si="20"/>
        <v>2024</v>
      </c>
      <c r="R170">
        <f t="shared" si="21"/>
        <v>2</v>
      </c>
      <c r="S170">
        <f t="shared" si="22"/>
        <v>2023</v>
      </c>
      <c r="T170">
        <f t="shared" si="23"/>
        <v>11</v>
      </c>
      <c r="U170">
        <f t="shared" si="24"/>
        <v>11</v>
      </c>
      <c r="V170" t="str">
        <f t="shared" si="25"/>
        <v>202311</v>
      </c>
      <c r="W170" t="str">
        <f t="shared" si="26"/>
        <v>Feb-24</v>
      </c>
      <c r="X170" s="3">
        <f t="shared" si="27"/>
        <v>6984.26</v>
      </c>
      <c r="Y170">
        <f t="shared" si="28"/>
        <v>6984.26</v>
      </c>
      <c r="Z170" t="str">
        <f t="shared" si="29"/>
        <v/>
      </c>
    </row>
    <row r="171" spans="1:26" x14ac:dyDescent="0.25">
      <c r="A171" s="1">
        <v>45327</v>
      </c>
      <c r="B171" t="s">
        <v>716</v>
      </c>
      <c r="C171" t="s">
        <v>17</v>
      </c>
      <c r="D171" t="s">
        <v>22</v>
      </c>
      <c r="E171">
        <v>40</v>
      </c>
      <c r="F171">
        <v>0</v>
      </c>
      <c r="G171">
        <v>76.5</v>
      </c>
      <c r="H171">
        <v>3060</v>
      </c>
      <c r="I171" t="s">
        <v>725</v>
      </c>
      <c r="J171">
        <v>0</v>
      </c>
      <c r="K171">
        <v>1.55</v>
      </c>
      <c r="L171">
        <v>0</v>
      </c>
      <c r="M171">
        <v>0</v>
      </c>
      <c r="N171">
        <v>20</v>
      </c>
      <c r="O171">
        <v>3.88</v>
      </c>
      <c r="P171">
        <v>25.43</v>
      </c>
      <c r="Q171">
        <f t="shared" si="20"/>
        <v>2024</v>
      </c>
      <c r="R171">
        <f t="shared" si="21"/>
        <v>2</v>
      </c>
      <c r="S171">
        <f t="shared" si="22"/>
        <v>2023</v>
      </c>
      <c r="T171">
        <f t="shared" si="23"/>
        <v>11</v>
      </c>
      <c r="U171">
        <f t="shared" si="24"/>
        <v>11</v>
      </c>
      <c r="V171" t="str">
        <f t="shared" si="25"/>
        <v>202311</v>
      </c>
      <c r="W171" t="str">
        <f t="shared" si="26"/>
        <v>Feb-24</v>
      </c>
      <c r="X171" s="3">
        <f t="shared" si="27"/>
        <v>-3085.43</v>
      </c>
      <c r="Y171" t="str">
        <f t="shared" si="28"/>
        <v/>
      </c>
      <c r="Z171">
        <f t="shared" si="29"/>
        <v>-3085.43</v>
      </c>
    </row>
    <row r="172" spans="1:26" x14ac:dyDescent="0.25">
      <c r="A172" s="1">
        <v>45327</v>
      </c>
      <c r="B172" t="s">
        <v>716</v>
      </c>
      <c r="C172" t="s">
        <v>17</v>
      </c>
      <c r="D172" t="s">
        <v>22</v>
      </c>
      <c r="E172">
        <v>40</v>
      </c>
      <c r="F172">
        <v>0</v>
      </c>
      <c r="G172">
        <v>93.1</v>
      </c>
      <c r="H172">
        <v>3724</v>
      </c>
      <c r="I172" t="s">
        <v>726</v>
      </c>
      <c r="J172">
        <v>0</v>
      </c>
      <c r="K172">
        <v>1.88</v>
      </c>
      <c r="L172">
        <v>0</v>
      </c>
      <c r="M172">
        <v>0</v>
      </c>
      <c r="N172">
        <v>20</v>
      </c>
      <c r="O172">
        <v>3.94</v>
      </c>
      <c r="P172">
        <v>25.82</v>
      </c>
      <c r="Q172">
        <f t="shared" si="20"/>
        <v>2024</v>
      </c>
      <c r="R172">
        <f t="shared" si="21"/>
        <v>2</v>
      </c>
      <c r="S172">
        <f t="shared" si="22"/>
        <v>2023</v>
      </c>
      <c r="T172">
        <f t="shared" si="23"/>
        <v>11</v>
      </c>
      <c r="U172">
        <f t="shared" si="24"/>
        <v>11</v>
      </c>
      <c r="V172" t="str">
        <f t="shared" si="25"/>
        <v>202311</v>
      </c>
      <c r="W172" t="str">
        <f t="shared" si="26"/>
        <v>Feb-24</v>
      </c>
      <c r="X172" s="3">
        <f t="shared" si="27"/>
        <v>-3749.82</v>
      </c>
      <c r="Y172" t="str">
        <f t="shared" si="28"/>
        <v/>
      </c>
      <c r="Z172">
        <f t="shared" si="29"/>
        <v>-3749.82</v>
      </c>
    </row>
    <row r="173" spans="1:26" x14ac:dyDescent="0.25">
      <c r="A173" s="1">
        <v>45328</v>
      </c>
      <c r="B173" t="s">
        <v>714</v>
      </c>
      <c r="C173" t="s">
        <v>17</v>
      </c>
      <c r="D173" t="s">
        <v>18</v>
      </c>
      <c r="E173">
        <v>700</v>
      </c>
      <c r="F173">
        <v>0</v>
      </c>
      <c r="G173">
        <v>50.05</v>
      </c>
      <c r="H173">
        <v>35035</v>
      </c>
      <c r="I173" t="s">
        <v>715</v>
      </c>
      <c r="J173">
        <v>22</v>
      </c>
      <c r="K173">
        <v>17.690000000000001</v>
      </c>
      <c r="L173">
        <v>0</v>
      </c>
      <c r="M173">
        <v>0.04</v>
      </c>
      <c r="N173">
        <v>20</v>
      </c>
      <c r="O173">
        <v>6.8</v>
      </c>
      <c r="P173">
        <v>66.53</v>
      </c>
      <c r="Q173">
        <f t="shared" si="20"/>
        <v>2024</v>
      </c>
      <c r="R173">
        <f t="shared" si="21"/>
        <v>2</v>
      </c>
      <c r="S173">
        <f t="shared" si="22"/>
        <v>2023</v>
      </c>
      <c r="T173">
        <f t="shared" si="23"/>
        <v>11</v>
      </c>
      <c r="U173">
        <f t="shared" si="24"/>
        <v>11</v>
      </c>
      <c r="V173" t="str">
        <f t="shared" si="25"/>
        <v>202311</v>
      </c>
      <c r="W173" t="str">
        <f t="shared" si="26"/>
        <v>Feb-24</v>
      </c>
      <c r="X173" s="3">
        <f t="shared" si="27"/>
        <v>34968.47</v>
      </c>
      <c r="Y173">
        <f t="shared" si="28"/>
        <v>34968.47</v>
      </c>
      <c r="Z173" t="str">
        <f t="shared" si="29"/>
        <v/>
      </c>
    </row>
    <row r="174" spans="1:26" x14ac:dyDescent="0.25">
      <c r="A174" s="1">
        <v>45329</v>
      </c>
      <c r="B174" t="s">
        <v>700</v>
      </c>
      <c r="C174" t="s">
        <v>17</v>
      </c>
      <c r="D174" t="s">
        <v>18</v>
      </c>
      <c r="E174">
        <v>225</v>
      </c>
      <c r="F174">
        <v>0</v>
      </c>
      <c r="G174">
        <v>29.25</v>
      </c>
      <c r="H174">
        <v>6581.25</v>
      </c>
      <c r="I174" t="s">
        <v>701</v>
      </c>
      <c r="J174">
        <v>3.95</v>
      </c>
      <c r="K174">
        <v>3.3</v>
      </c>
      <c r="L174">
        <v>0</v>
      </c>
      <c r="M174">
        <v>0</v>
      </c>
      <c r="N174">
        <v>300</v>
      </c>
      <c r="O174">
        <v>54.6</v>
      </c>
      <c r="P174">
        <v>361.85</v>
      </c>
      <c r="Q174">
        <f t="shared" si="20"/>
        <v>2024</v>
      </c>
      <c r="R174">
        <f t="shared" si="21"/>
        <v>2</v>
      </c>
      <c r="S174">
        <f t="shared" si="22"/>
        <v>2023</v>
      </c>
      <c r="T174">
        <f t="shared" si="23"/>
        <v>11</v>
      </c>
      <c r="U174">
        <f t="shared" si="24"/>
        <v>11</v>
      </c>
      <c r="V174" t="str">
        <f t="shared" si="25"/>
        <v>202311</v>
      </c>
      <c r="W174" t="str">
        <f t="shared" si="26"/>
        <v>Feb-24</v>
      </c>
      <c r="X174" s="3">
        <f t="shared" si="27"/>
        <v>6219.4</v>
      </c>
      <c r="Y174">
        <f t="shared" si="28"/>
        <v>6219.4</v>
      </c>
      <c r="Z174" t="str">
        <f t="shared" si="29"/>
        <v/>
      </c>
    </row>
    <row r="175" spans="1:26" x14ac:dyDescent="0.25">
      <c r="A175" s="1">
        <v>45329</v>
      </c>
      <c r="B175" t="s">
        <v>700</v>
      </c>
      <c r="C175" t="s">
        <v>17</v>
      </c>
      <c r="D175" t="s">
        <v>22</v>
      </c>
      <c r="E175">
        <v>225</v>
      </c>
      <c r="F175">
        <v>0</v>
      </c>
      <c r="G175">
        <v>38</v>
      </c>
      <c r="H175">
        <v>8550</v>
      </c>
      <c r="I175" t="s">
        <v>702</v>
      </c>
      <c r="J175">
        <v>0</v>
      </c>
      <c r="K175">
        <v>4.32</v>
      </c>
      <c r="L175">
        <v>0.26</v>
      </c>
      <c r="M175">
        <v>0.01</v>
      </c>
      <c r="N175">
        <v>300</v>
      </c>
      <c r="O175">
        <v>54.78</v>
      </c>
      <c r="P175">
        <v>359.37</v>
      </c>
      <c r="Q175">
        <f t="shared" si="20"/>
        <v>2024</v>
      </c>
      <c r="R175">
        <f t="shared" si="21"/>
        <v>2</v>
      </c>
      <c r="S175">
        <f t="shared" si="22"/>
        <v>2023</v>
      </c>
      <c r="T175">
        <f t="shared" si="23"/>
        <v>11</v>
      </c>
      <c r="U175">
        <f t="shared" si="24"/>
        <v>11</v>
      </c>
      <c r="V175" t="str">
        <f t="shared" si="25"/>
        <v>202311</v>
      </c>
      <c r="W175" t="str">
        <f t="shared" si="26"/>
        <v>Feb-24</v>
      </c>
      <c r="X175" s="3">
        <f t="shared" si="27"/>
        <v>-8909.3700000000008</v>
      </c>
      <c r="Y175" t="str">
        <f t="shared" si="28"/>
        <v/>
      </c>
      <c r="Z175">
        <f t="shared" si="29"/>
        <v>-8909.3700000000008</v>
      </c>
    </row>
    <row r="176" spans="1:26" x14ac:dyDescent="0.25">
      <c r="A176" s="1">
        <v>45329</v>
      </c>
      <c r="B176" t="s">
        <v>703</v>
      </c>
      <c r="C176" t="s">
        <v>17</v>
      </c>
      <c r="D176" t="s">
        <v>18</v>
      </c>
      <c r="E176">
        <v>135</v>
      </c>
      <c r="F176">
        <v>0</v>
      </c>
      <c r="G176">
        <v>14.3</v>
      </c>
      <c r="H176">
        <v>1930.5</v>
      </c>
      <c r="I176" t="s">
        <v>704</v>
      </c>
      <c r="J176">
        <v>1.2</v>
      </c>
      <c r="K176">
        <v>0.98</v>
      </c>
      <c r="L176">
        <v>0</v>
      </c>
      <c r="M176">
        <v>0</v>
      </c>
      <c r="N176">
        <v>180</v>
      </c>
      <c r="O176">
        <v>32.58</v>
      </c>
      <c r="P176">
        <v>214.76</v>
      </c>
      <c r="Q176">
        <f t="shared" si="20"/>
        <v>2024</v>
      </c>
      <c r="R176">
        <f t="shared" si="21"/>
        <v>2</v>
      </c>
      <c r="S176">
        <f t="shared" si="22"/>
        <v>2023</v>
      </c>
      <c r="T176">
        <f t="shared" si="23"/>
        <v>11</v>
      </c>
      <c r="U176">
        <f t="shared" si="24"/>
        <v>11</v>
      </c>
      <c r="V176" t="str">
        <f t="shared" si="25"/>
        <v>202311</v>
      </c>
      <c r="W176" t="str">
        <f t="shared" si="26"/>
        <v>Feb-24</v>
      </c>
      <c r="X176" s="3">
        <f t="shared" si="27"/>
        <v>1715.74</v>
      </c>
      <c r="Y176">
        <f t="shared" si="28"/>
        <v>1715.74</v>
      </c>
      <c r="Z176" t="str">
        <f t="shared" si="29"/>
        <v/>
      </c>
    </row>
    <row r="177" spans="1:26" x14ac:dyDescent="0.25">
      <c r="A177" s="1">
        <v>45329</v>
      </c>
      <c r="B177" t="s">
        <v>703</v>
      </c>
      <c r="C177" t="s">
        <v>17</v>
      </c>
      <c r="D177" t="s">
        <v>18</v>
      </c>
      <c r="E177">
        <v>900</v>
      </c>
      <c r="F177">
        <v>0</v>
      </c>
      <c r="G177">
        <v>15.15</v>
      </c>
      <c r="H177">
        <v>13635</v>
      </c>
      <c r="I177" t="s">
        <v>705</v>
      </c>
      <c r="J177">
        <v>8.52</v>
      </c>
      <c r="K177">
        <v>6.89</v>
      </c>
      <c r="L177">
        <v>0</v>
      </c>
      <c r="M177">
        <v>0.02</v>
      </c>
      <c r="N177">
        <v>1200</v>
      </c>
      <c r="O177">
        <v>217.24</v>
      </c>
      <c r="P177">
        <v>1432.67</v>
      </c>
      <c r="Q177">
        <f t="shared" si="20"/>
        <v>2024</v>
      </c>
      <c r="R177">
        <f t="shared" si="21"/>
        <v>2</v>
      </c>
      <c r="S177">
        <f t="shared" si="22"/>
        <v>2023</v>
      </c>
      <c r="T177">
        <f t="shared" si="23"/>
        <v>11</v>
      </c>
      <c r="U177">
        <f t="shared" si="24"/>
        <v>11</v>
      </c>
      <c r="V177" t="str">
        <f t="shared" si="25"/>
        <v>202311</v>
      </c>
      <c r="W177" t="str">
        <f t="shared" si="26"/>
        <v>Feb-24</v>
      </c>
      <c r="X177" s="3">
        <f t="shared" si="27"/>
        <v>12202.33</v>
      </c>
      <c r="Y177">
        <f t="shared" si="28"/>
        <v>12202.33</v>
      </c>
      <c r="Z177" t="str">
        <f t="shared" si="29"/>
        <v/>
      </c>
    </row>
    <row r="178" spans="1:26" x14ac:dyDescent="0.25">
      <c r="A178" s="1">
        <v>45329</v>
      </c>
      <c r="B178" t="s">
        <v>703</v>
      </c>
      <c r="C178" t="s">
        <v>17</v>
      </c>
      <c r="D178" t="s">
        <v>22</v>
      </c>
      <c r="E178">
        <v>345</v>
      </c>
      <c r="F178">
        <v>0</v>
      </c>
      <c r="G178">
        <v>16.899999999999999</v>
      </c>
      <c r="H178">
        <v>5830.5</v>
      </c>
      <c r="I178" t="s">
        <v>706</v>
      </c>
      <c r="J178">
        <v>0</v>
      </c>
      <c r="K178">
        <v>2.95</v>
      </c>
      <c r="L178">
        <v>0</v>
      </c>
      <c r="M178">
        <v>0</v>
      </c>
      <c r="N178">
        <v>460</v>
      </c>
      <c r="O178">
        <v>83.34</v>
      </c>
      <c r="P178">
        <v>546.29</v>
      </c>
      <c r="Q178">
        <f t="shared" si="20"/>
        <v>2024</v>
      </c>
      <c r="R178">
        <f t="shared" si="21"/>
        <v>2</v>
      </c>
      <c r="S178">
        <f t="shared" si="22"/>
        <v>2023</v>
      </c>
      <c r="T178">
        <f t="shared" si="23"/>
        <v>11</v>
      </c>
      <c r="U178">
        <f t="shared" si="24"/>
        <v>11</v>
      </c>
      <c r="V178" t="str">
        <f t="shared" si="25"/>
        <v>202311</v>
      </c>
      <c r="W178" t="str">
        <f t="shared" si="26"/>
        <v>Feb-24</v>
      </c>
      <c r="X178" s="3">
        <f t="shared" si="27"/>
        <v>-6376.79</v>
      </c>
      <c r="Y178" t="str">
        <f t="shared" si="28"/>
        <v/>
      </c>
      <c r="Z178">
        <f t="shared" si="29"/>
        <v>-6376.79</v>
      </c>
    </row>
    <row r="179" spans="1:26" x14ac:dyDescent="0.25">
      <c r="A179" s="1">
        <v>45329</v>
      </c>
      <c r="B179" t="s">
        <v>703</v>
      </c>
      <c r="C179" t="s">
        <v>17</v>
      </c>
      <c r="D179" t="s">
        <v>22</v>
      </c>
      <c r="E179">
        <v>345</v>
      </c>
      <c r="F179">
        <v>0</v>
      </c>
      <c r="G179">
        <v>23.35</v>
      </c>
      <c r="H179">
        <v>8055.75</v>
      </c>
      <c r="I179" t="s">
        <v>707</v>
      </c>
      <c r="J179">
        <v>0</v>
      </c>
      <c r="K179">
        <v>4.07</v>
      </c>
      <c r="L179">
        <v>0.99</v>
      </c>
      <c r="M179">
        <v>0.01</v>
      </c>
      <c r="N179">
        <v>460</v>
      </c>
      <c r="O179">
        <v>83.54</v>
      </c>
      <c r="P179">
        <v>548.61</v>
      </c>
      <c r="Q179">
        <f t="shared" si="20"/>
        <v>2024</v>
      </c>
      <c r="R179">
        <f t="shared" si="21"/>
        <v>2</v>
      </c>
      <c r="S179">
        <f t="shared" si="22"/>
        <v>2023</v>
      </c>
      <c r="T179">
        <f t="shared" si="23"/>
        <v>11</v>
      </c>
      <c r="U179">
        <f t="shared" si="24"/>
        <v>11</v>
      </c>
      <c r="V179" t="str">
        <f t="shared" si="25"/>
        <v>202311</v>
      </c>
      <c r="W179" t="str">
        <f t="shared" si="26"/>
        <v>Feb-24</v>
      </c>
      <c r="X179" s="3">
        <f t="shared" si="27"/>
        <v>-8604.36</v>
      </c>
      <c r="Y179" t="str">
        <f t="shared" si="28"/>
        <v/>
      </c>
      <c r="Z179">
        <f t="shared" si="29"/>
        <v>-8604.36</v>
      </c>
    </row>
    <row r="180" spans="1:26" x14ac:dyDescent="0.25">
      <c r="A180" s="1">
        <v>45329</v>
      </c>
      <c r="B180" t="s">
        <v>703</v>
      </c>
      <c r="C180" t="s">
        <v>17</v>
      </c>
      <c r="D180" t="s">
        <v>22</v>
      </c>
      <c r="E180">
        <v>60</v>
      </c>
      <c r="F180">
        <v>0</v>
      </c>
      <c r="G180">
        <v>41.6</v>
      </c>
      <c r="H180">
        <v>2496</v>
      </c>
      <c r="I180" t="s">
        <v>708</v>
      </c>
      <c r="J180">
        <v>0</v>
      </c>
      <c r="K180">
        <v>1.26</v>
      </c>
      <c r="L180">
        <v>0</v>
      </c>
      <c r="M180">
        <v>0</v>
      </c>
      <c r="N180">
        <v>80</v>
      </c>
      <c r="O180">
        <v>14.62</v>
      </c>
      <c r="P180">
        <v>95.88</v>
      </c>
      <c r="Q180">
        <f t="shared" si="20"/>
        <v>2024</v>
      </c>
      <c r="R180">
        <f t="shared" si="21"/>
        <v>2</v>
      </c>
      <c r="S180">
        <f t="shared" si="22"/>
        <v>2023</v>
      </c>
      <c r="T180">
        <f t="shared" si="23"/>
        <v>11</v>
      </c>
      <c r="U180">
        <f t="shared" si="24"/>
        <v>11</v>
      </c>
      <c r="V180" t="str">
        <f t="shared" si="25"/>
        <v>202311</v>
      </c>
      <c r="W180" t="str">
        <f t="shared" si="26"/>
        <v>Feb-24</v>
      </c>
      <c r="X180" s="3">
        <f t="shared" si="27"/>
        <v>-2591.88</v>
      </c>
      <c r="Y180" t="str">
        <f t="shared" si="28"/>
        <v/>
      </c>
      <c r="Z180">
        <f t="shared" si="29"/>
        <v>-2591.88</v>
      </c>
    </row>
    <row r="181" spans="1:26" x14ac:dyDescent="0.25">
      <c r="A181" s="1">
        <v>45329</v>
      </c>
      <c r="B181" t="s">
        <v>703</v>
      </c>
      <c r="C181" t="s">
        <v>17</v>
      </c>
      <c r="D181" t="s">
        <v>22</v>
      </c>
      <c r="E181">
        <v>45</v>
      </c>
      <c r="F181">
        <v>0</v>
      </c>
      <c r="G181">
        <v>42.65</v>
      </c>
      <c r="H181">
        <v>1919.25</v>
      </c>
      <c r="I181" t="s">
        <v>709</v>
      </c>
      <c r="J181">
        <v>0</v>
      </c>
      <c r="K181">
        <v>0.97</v>
      </c>
      <c r="L181">
        <v>0</v>
      </c>
      <c r="M181">
        <v>0</v>
      </c>
      <c r="N181">
        <v>60</v>
      </c>
      <c r="O181">
        <v>10.98</v>
      </c>
      <c r="P181">
        <v>71.95</v>
      </c>
      <c r="Q181">
        <f t="shared" si="20"/>
        <v>2024</v>
      </c>
      <c r="R181">
        <f t="shared" si="21"/>
        <v>2</v>
      </c>
      <c r="S181">
        <f t="shared" si="22"/>
        <v>2023</v>
      </c>
      <c r="T181">
        <f t="shared" si="23"/>
        <v>11</v>
      </c>
      <c r="U181">
        <f t="shared" si="24"/>
        <v>11</v>
      </c>
      <c r="V181" t="str">
        <f t="shared" si="25"/>
        <v>202311</v>
      </c>
      <c r="W181" t="str">
        <f t="shared" si="26"/>
        <v>Feb-24</v>
      </c>
      <c r="X181" s="3">
        <f t="shared" si="27"/>
        <v>-1991.2</v>
      </c>
      <c r="Y181" t="str">
        <f t="shared" si="28"/>
        <v/>
      </c>
      <c r="Z181">
        <f t="shared" si="29"/>
        <v>-1991.2</v>
      </c>
    </row>
    <row r="182" spans="1:26" x14ac:dyDescent="0.25">
      <c r="A182" s="1">
        <v>45329</v>
      </c>
      <c r="B182" t="s">
        <v>703</v>
      </c>
      <c r="C182" t="s">
        <v>17</v>
      </c>
      <c r="D182" t="s">
        <v>22</v>
      </c>
      <c r="E182">
        <v>240</v>
      </c>
      <c r="F182">
        <v>0</v>
      </c>
      <c r="G182">
        <v>47.09</v>
      </c>
      <c r="H182">
        <v>11301</v>
      </c>
      <c r="I182" t="s">
        <v>710</v>
      </c>
      <c r="J182">
        <v>0</v>
      </c>
      <c r="K182">
        <v>5.71</v>
      </c>
      <c r="L182">
        <v>0</v>
      </c>
      <c r="M182">
        <v>0</v>
      </c>
      <c r="N182">
        <v>320</v>
      </c>
      <c r="O182">
        <v>58.64</v>
      </c>
      <c r="P182">
        <v>384.35</v>
      </c>
      <c r="Q182">
        <f t="shared" si="20"/>
        <v>2024</v>
      </c>
      <c r="R182">
        <f t="shared" si="21"/>
        <v>2</v>
      </c>
      <c r="S182">
        <f t="shared" si="22"/>
        <v>2023</v>
      </c>
      <c r="T182">
        <f t="shared" si="23"/>
        <v>11</v>
      </c>
      <c r="U182">
        <f t="shared" si="24"/>
        <v>11</v>
      </c>
      <c r="V182" t="str">
        <f t="shared" si="25"/>
        <v>202311</v>
      </c>
      <c r="W182" t="str">
        <f t="shared" si="26"/>
        <v>Feb-24</v>
      </c>
      <c r="X182" s="3">
        <f t="shared" si="27"/>
        <v>-11685.35</v>
      </c>
      <c r="Y182" t="str">
        <f t="shared" si="28"/>
        <v/>
      </c>
      <c r="Z182">
        <f t="shared" si="29"/>
        <v>-11685.35</v>
      </c>
    </row>
    <row r="183" spans="1:26" x14ac:dyDescent="0.25">
      <c r="A183" s="1">
        <v>45329</v>
      </c>
      <c r="B183" t="s">
        <v>686</v>
      </c>
      <c r="C183" t="s">
        <v>17</v>
      </c>
      <c r="D183" t="s">
        <v>18</v>
      </c>
      <c r="E183">
        <v>250</v>
      </c>
      <c r="F183">
        <v>0</v>
      </c>
      <c r="G183">
        <v>85.05</v>
      </c>
      <c r="H183">
        <v>21262.5</v>
      </c>
      <c r="I183" t="s">
        <v>711</v>
      </c>
      <c r="J183">
        <v>13.29</v>
      </c>
      <c r="K183">
        <v>10.74</v>
      </c>
      <c r="L183">
        <v>0</v>
      </c>
      <c r="M183">
        <v>0.02</v>
      </c>
      <c r="N183">
        <v>100</v>
      </c>
      <c r="O183">
        <v>19.940000000000001</v>
      </c>
      <c r="P183">
        <v>143.99</v>
      </c>
      <c r="Q183">
        <f t="shared" si="20"/>
        <v>2024</v>
      </c>
      <c r="R183">
        <f t="shared" si="21"/>
        <v>2</v>
      </c>
      <c r="S183">
        <f t="shared" si="22"/>
        <v>2023</v>
      </c>
      <c r="T183">
        <f t="shared" si="23"/>
        <v>11</v>
      </c>
      <c r="U183">
        <f t="shared" si="24"/>
        <v>11</v>
      </c>
      <c r="V183" t="str">
        <f t="shared" si="25"/>
        <v>202311</v>
      </c>
      <c r="W183" t="str">
        <f t="shared" si="26"/>
        <v>Feb-24</v>
      </c>
      <c r="X183" s="3">
        <f t="shared" si="27"/>
        <v>21118.51</v>
      </c>
      <c r="Y183">
        <f t="shared" si="28"/>
        <v>21118.51</v>
      </c>
      <c r="Z183" t="str">
        <f t="shared" si="29"/>
        <v/>
      </c>
    </row>
    <row r="184" spans="1:26" x14ac:dyDescent="0.25">
      <c r="A184" s="1">
        <v>45329</v>
      </c>
      <c r="B184" t="s">
        <v>686</v>
      </c>
      <c r="C184" t="s">
        <v>17</v>
      </c>
      <c r="D184" t="s">
        <v>22</v>
      </c>
      <c r="E184">
        <v>200</v>
      </c>
      <c r="F184">
        <v>0</v>
      </c>
      <c r="G184">
        <v>98.45</v>
      </c>
      <c r="H184">
        <v>19690</v>
      </c>
      <c r="I184" t="s">
        <v>712</v>
      </c>
      <c r="J184">
        <v>0</v>
      </c>
      <c r="K184">
        <v>9.94</v>
      </c>
      <c r="L184">
        <v>0.75</v>
      </c>
      <c r="M184">
        <v>0.02</v>
      </c>
      <c r="N184">
        <v>80</v>
      </c>
      <c r="O184">
        <v>16.2</v>
      </c>
      <c r="P184">
        <v>106.91</v>
      </c>
      <c r="Q184">
        <f t="shared" si="20"/>
        <v>2024</v>
      </c>
      <c r="R184">
        <f t="shared" si="21"/>
        <v>2</v>
      </c>
      <c r="S184">
        <f t="shared" si="22"/>
        <v>2023</v>
      </c>
      <c r="T184">
        <f t="shared" si="23"/>
        <v>11</v>
      </c>
      <c r="U184">
        <f t="shared" si="24"/>
        <v>11</v>
      </c>
      <c r="V184" t="str">
        <f t="shared" si="25"/>
        <v>202311</v>
      </c>
      <c r="W184" t="str">
        <f t="shared" si="26"/>
        <v>Feb-24</v>
      </c>
      <c r="X184" s="3">
        <f t="shared" si="27"/>
        <v>-19796.91</v>
      </c>
      <c r="Y184" t="str">
        <f t="shared" si="28"/>
        <v/>
      </c>
      <c r="Z184">
        <f t="shared" si="29"/>
        <v>-19796.91</v>
      </c>
    </row>
    <row r="185" spans="1:26" x14ac:dyDescent="0.25">
      <c r="A185" s="1">
        <v>45329</v>
      </c>
      <c r="B185" t="s">
        <v>686</v>
      </c>
      <c r="C185" t="s">
        <v>17</v>
      </c>
      <c r="D185" t="s">
        <v>22</v>
      </c>
      <c r="E185">
        <v>50</v>
      </c>
      <c r="F185">
        <v>0</v>
      </c>
      <c r="G185">
        <v>103.8</v>
      </c>
      <c r="H185">
        <v>5190</v>
      </c>
      <c r="I185" t="s">
        <v>713</v>
      </c>
      <c r="J185">
        <v>0</v>
      </c>
      <c r="K185">
        <v>2.62</v>
      </c>
      <c r="L185">
        <v>0</v>
      </c>
      <c r="M185">
        <v>0.01</v>
      </c>
      <c r="N185">
        <v>20</v>
      </c>
      <c r="O185">
        <v>4.08</v>
      </c>
      <c r="P185">
        <v>26.71</v>
      </c>
      <c r="Q185">
        <f t="shared" si="20"/>
        <v>2024</v>
      </c>
      <c r="R185">
        <f t="shared" si="21"/>
        <v>2</v>
      </c>
      <c r="S185">
        <f t="shared" si="22"/>
        <v>2023</v>
      </c>
      <c r="T185">
        <f t="shared" si="23"/>
        <v>11</v>
      </c>
      <c r="U185">
        <f t="shared" si="24"/>
        <v>11</v>
      </c>
      <c r="V185" t="str">
        <f t="shared" si="25"/>
        <v>202311</v>
      </c>
      <c r="W185" t="str">
        <f t="shared" si="26"/>
        <v>Feb-24</v>
      </c>
      <c r="X185" s="3">
        <f t="shared" si="27"/>
        <v>-5216.71</v>
      </c>
      <c r="Y185" t="str">
        <f t="shared" si="28"/>
        <v/>
      </c>
      <c r="Z185">
        <f t="shared" si="29"/>
        <v>-5216.71</v>
      </c>
    </row>
    <row r="186" spans="1:26" x14ac:dyDescent="0.25">
      <c r="A186" s="1">
        <v>45330</v>
      </c>
      <c r="B186" t="s">
        <v>683</v>
      </c>
      <c r="C186" t="s">
        <v>17</v>
      </c>
      <c r="D186" t="s">
        <v>18</v>
      </c>
      <c r="E186">
        <v>50</v>
      </c>
      <c r="F186">
        <v>0</v>
      </c>
      <c r="G186">
        <v>17.95</v>
      </c>
      <c r="H186">
        <v>897.5</v>
      </c>
      <c r="I186" t="s">
        <v>684</v>
      </c>
      <c r="J186">
        <v>0.75</v>
      </c>
      <c r="K186">
        <v>0.45</v>
      </c>
      <c r="L186">
        <v>0</v>
      </c>
      <c r="M186">
        <v>0</v>
      </c>
      <c r="N186">
        <v>20</v>
      </c>
      <c r="O186">
        <v>3.68</v>
      </c>
      <c r="P186">
        <v>24.88</v>
      </c>
      <c r="Q186">
        <f t="shared" si="20"/>
        <v>2024</v>
      </c>
      <c r="R186">
        <f t="shared" si="21"/>
        <v>2</v>
      </c>
      <c r="S186">
        <f t="shared" si="22"/>
        <v>2023</v>
      </c>
      <c r="T186">
        <f t="shared" si="23"/>
        <v>11</v>
      </c>
      <c r="U186">
        <f t="shared" si="24"/>
        <v>11</v>
      </c>
      <c r="V186" t="str">
        <f t="shared" si="25"/>
        <v>202311</v>
      </c>
      <c r="W186" t="str">
        <f t="shared" si="26"/>
        <v>Feb-24</v>
      </c>
      <c r="X186" s="3">
        <f t="shared" si="27"/>
        <v>872.62</v>
      </c>
      <c r="Y186">
        <f t="shared" si="28"/>
        <v>872.62</v>
      </c>
      <c r="Z186" t="str">
        <f t="shared" si="29"/>
        <v/>
      </c>
    </row>
    <row r="187" spans="1:26" x14ac:dyDescent="0.25">
      <c r="A187" s="1">
        <v>45330</v>
      </c>
      <c r="B187" t="s">
        <v>683</v>
      </c>
      <c r="C187" t="s">
        <v>17</v>
      </c>
      <c r="D187" t="s">
        <v>22</v>
      </c>
      <c r="E187">
        <v>50</v>
      </c>
      <c r="F187">
        <v>0</v>
      </c>
      <c r="G187">
        <v>25.2</v>
      </c>
      <c r="H187">
        <v>1260</v>
      </c>
      <c r="I187" t="s">
        <v>685</v>
      </c>
      <c r="J187">
        <v>0</v>
      </c>
      <c r="K187">
        <v>0.64</v>
      </c>
      <c r="L187">
        <v>0</v>
      </c>
      <c r="M187">
        <v>0</v>
      </c>
      <c r="N187">
        <v>20</v>
      </c>
      <c r="O187">
        <v>3.72</v>
      </c>
      <c r="P187">
        <v>24.36</v>
      </c>
      <c r="Q187">
        <f t="shared" si="20"/>
        <v>2024</v>
      </c>
      <c r="R187">
        <f t="shared" si="21"/>
        <v>2</v>
      </c>
      <c r="S187">
        <f t="shared" si="22"/>
        <v>2023</v>
      </c>
      <c r="T187">
        <f t="shared" si="23"/>
        <v>11</v>
      </c>
      <c r="U187">
        <f t="shared" si="24"/>
        <v>11</v>
      </c>
      <c r="V187" t="str">
        <f t="shared" si="25"/>
        <v>202311</v>
      </c>
      <c r="W187" t="str">
        <f t="shared" si="26"/>
        <v>Feb-24</v>
      </c>
      <c r="X187" s="3">
        <f t="shared" si="27"/>
        <v>-1284.3599999999999</v>
      </c>
      <c r="Y187" t="str">
        <f t="shared" si="28"/>
        <v/>
      </c>
      <c r="Z187">
        <f t="shared" si="29"/>
        <v>-1284.3599999999999</v>
      </c>
    </row>
    <row r="188" spans="1:26" x14ac:dyDescent="0.25">
      <c r="A188" s="1">
        <v>45330</v>
      </c>
      <c r="B188" t="s">
        <v>686</v>
      </c>
      <c r="C188" t="s">
        <v>17</v>
      </c>
      <c r="D188" t="s">
        <v>18</v>
      </c>
      <c r="E188">
        <v>250</v>
      </c>
      <c r="F188">
        <v>0</v>
      </c>
      <c r="G188">
        <v>2.1</v>
      </c>
      <c r="H188">
        <v>525</v>
      </c>
      <c r="I188" t="s">
        <v>687</v>
      </c>
      <c r="J188">
        <v>0.33</v>
      </c>
      <c r="K188">
        <v>0.27</v>
      </c>
      <c r="L188">
        <v>0</v>
      </c>
      <c r="M188">
        <v>0</v>
      </c>
      <c r="N188">
        <v>100</v>
      </c>
      <c r="O188">
        <v>18.04</v>
      </c>
      <c r="P188">
        <v>118.64</v>
      </c>
      <c r="Q188">
        <f t="shared" si="20"/>
        <v>2024</v>
      </c>
      <c r="R188">
        <f t="shared" si="21"/>
        <v>2</v>
      </c>
      <c r="S188">
        <f t="shared" si="22"/>
        <v>2023</v>
      </c>
      <c r="T188">
        <f t="shared" si="23"/>
        <v>11</v>
      </c>
      <c r="U188">
        <f t="shared" si="24"/>
        <v>11</v>
      </c>
      <c r="V188" t="str">
        <f t="shared" si="25"/>
        <v>202311</v>
      </c>
      <c r="W188" t="str">
        <f t="shared" si="26"/>
        <v>Feb-24</v>
      </c>
      <c r="X188" s="3">
        <f t="shared" si="27"/>
        <v>406.36</v>
      </c>
      <c r="Y188">
        <f t="shared" si="28"/>
        <v>406.36</v>
      </c>
      <c r="Z188" t="str">
        <f t="shared" si="29"/>
        <v/>
      </c>
    </row>
    <row r="189" spans="1:26" x14ac:dyDescent="0.25">
      <c r="A189" s="1">
        <v>45330</v>
      </c>
      <c r="B189" t="s">
        <v>686</v>
      </c>
      <c r="C189" t="s">
        <v>17</v>
      </c>
      <c r="D189" t="s">
        <v>18</v>
      </c>
      <c r="E189">
        <v>50</v>
      </c>
      <c r="F189">
        <v>0</v>
      </c>
      <c r="G189">
        <v>2.65</v>
      </c>
      <c r="H189">
        <v>132.5</v>
      </c>
      <c r="I189" t="s">
        <v>688</v>
      </c>
      <c r="J189">
        <v>0.08</v>
      </c>
      <c r="K189">
        <v>7.0000000000000007E-2</v>
      </c>
      <c r="L189">
        <v>0</v>
      </c>
      <c r="M189">
        <v>0</v>
      </c>
      <c r="N189">
        <v>20</v>
      </c>
      <c r="O189">
        <v>3.62</v>
      </c>
      <c r="P189">
        <v>23.77</v>
      </c>
      <c r="Q189">
        <f t="shared" si="20"/>
        <v>2024</v>
      </c>
      <c r="R189">
        <f t="shared" si="21"/>
        <v>2</v>
      </c>
      <c r="S189">
        <f t="shared" si="22"/>
        <v>2023</v>
      </c>
      <c r="T189">
        <f t="shared" si="23"/>
        <v>11</v>
      </c>
      <c r="U189">
        <f t="shared" si="24"/>
        <v>11</v>
      </c>
      <c r="V189" t="str">
        <f t="shared" si="25"/>
        <v>202311</v>
      </c>
      <c r="W189" t="str">
        <f t="shared" si="26"/>
        <v>Feb-24</v>
      </c>
      <c r="X189" s="3">
        <f t="shared" si="27"/>
        <v>108.73</v>
      </c>
      <c r="Y189">
        <f t="shared" si="28"/>
        <v>108.73</v>
      </c>
      <c r="Z189" t="str">
        <f t="shared" si="29"/>
        <v/>
      </c>
    </row>
    <row r="190" spans="1:26" x14ac:dyDescent="0.25">
      <c r="A190" s="1">
        <v>45330</v>
      </c>
      <c r="B190" t="s">
        <v>686</v>
      </c>
      <c r="C190" t="s">
        <v>17</v>
      </c>
      <c r="D190" t="s">
        <v>18</v>
      </c>
      <c r="E190">
        <v>50</v>
      </c>
      <c r="F190">
        <v>0</v>
      </c>
      <c r="G190">
        <v>2.65</v>
      </c>
      <c r="H190">
        <v>132.5</v>
      </c>
      <c r="I190" t="s">
        <v>689</v>
      </c>
      <c r="J190">
        <v>0.08</v>
      </c>
      <c r="K190">
        <v>7.0000000000000007E-2</v>
      </c>
      <c r="L190">
        <v>0</v>
      </c>
      <c r="M190">
        <v>0</v>
      </c>
      <c r="N190">
        <v>20</v>
      </c>
      <c r="O190">
        <v>3.62</v>
      </c>
      <c r="P190">
        <v>23.77</v>
      </c>
      <c r="Q190">
        <f t="shared" si="20"/>
        <v>2024</v>
      </c>
      <c r="R190">
        <f t="shared" si="21"/>
        <v>2</v>
      </c>
      <c r="S190">
        <f t="shared" si="22"/>
        <v>2023</v>
      </c>
      <c r="T190">
        <f t="shared" si="23"/>
        <v>11</v>
      </c>
      <c r="U190">
        <f t="shared" si="24"/>
        <v>11</v>
      </c>
      <c r="V190" t="str">
        <f t="shared" si="25"/>
        <v>202311</v>
      </c>
      <c r="W190" t="str">
        <f t="shared" si="26"/>
        <v>Feb-24</v>
      </c>
      <c r="X190" s="3">
        <f t="shared" si="27"/>
        <v>108.73</v>
      </c>
      <c r="Y190">
        <f t="shared" si="28"/>
        <v>108.73</v>
      </c>
      <c r="Z190" t="str">
        <f t="shared" si="29"/>
        <v/>
      </c>
    </row>
    <row r="191" spans="1:26" x14ac:dyDescent="0.25">
      <c r="A191" s="1">
        <v>45330</v>
      </c>
      <c r="B191" t="s">
        <v>686</v>
      </c>
      <c r="C191" t="s">
        <v>17</v>
      </c>
      <c r="D191" t="s">
        <v>22</v>
      </c>
      <c r="E191">
        <v>50</v>
      </c>
      <c r="F191">
        <v>0</v>
      </c>
      <c r="G191">
        <v>3.15</v>
      </c>
      <c r="H191">
        <v>157.5</v>
      </c>
      <c r="I191" t="s">
        <v>690</v>
      </c>
      <c r="J191">
        <v>0</v>
      </c>
      <c r="K191">
        <v>0.08</v>
      </c>
      <c r="L191">
        <v>0</v>
      </c>
      <c r="M191">
        <v>0</v>
      </c>
      <c r="N191">
        <v>20</v>
      </c>
      <c r="O191">
        <v>3.62</v>
      </c>
      <c r="P191">
        <v>23.7</v>
      </c>
      <c r="Q191">
        <f t="shared" si="20"/>
        <v>2024</v>
      </c>
      <c r="R191">
        <f t="shared" si="21"/>
        <v>2</v>
      </c>
      <c r="S191">
        <f t="shared" si="22"/>
        <v>2023</v>
      </c>
      <c r="T191">
        <f t="shared" si="23"/>
        <v>11</v>
      </c>
      <c r="U191">
        <f t="shared" si="24"/>
        <v>11</v>
      </c>
      <c r="V191" t="str">
        <f t="shared" si="25"/>
        <v>202311</v>
      </c>
      <c r="W191" t="str">
        <f t="shared" si="26"/>
        <v>Feb-24</v>
      </c>
      <c r="X191" s="3">
        <f t="shared" si="27"/>
        <v>-181.2</v>
      </c>
      <c r="Y191" t="str">
        <f t="shared" si="28"/>
        <v/>
      </c>
      <c r="Z191">
        <f t="shared" si="29"/>
        <v>-181.2</v>
      </c>
    </row>
    <row r="192" spans="1:26" x14ac:dyDescent="0.25">
      <c r="A192" s="1">
        <v>45330</v>
      </c>
      <c r="B192" t="s">
        <v>686</v>
      </c>
      <c r="C192" t="s">
        <v>17</v>
      </c>
      <c r="D192" t="s">
        <v>22</v>
      </c>
      <c r="E192">
        <v>50</v>
      </c>
      <c r="F192">
        <v>0</v>
      </c>
      <c r="G192">
        <v>3.15</v>
      </c>
      <c r="H192">
        <v>157.5</v>
      </c>
      <c r="I192" t="s">
        <v>691</v>
      </c>
      <c r="J192">
        <v>0</v>
      </c>
      <c r="K192">
        <v>0.08</v>
      </c>
      <c r="L192">
        <v>0</v>
      </c>
      <c r="M192">
        <v>0</v>
      </c>
      <c r="N192">
        <v>20</v>
      </c>
      <c r="O192">
        <v>3.62</v>
      </c>
      <c r="P192">
        <v>23.7</v>
      </c>
      <c r="Q192">
        <f t="shared" si="20"/>
        <v>2024</v>
      </c>
      <c r="R192">
        <f t="shared" si="21"/>
        <v>2</v>
      </c>
      <c r="S192">
        <f t="shared" si="22"/>
        <v>2023</v>
      </c>
      <c r="T192">
        <f t="shared" si="23"/>
        <v>11</v>
      </c>
      <c r="U192">
        <f t="shared" si="24"/>
        <v>11</v>
      </c>
      <c r="V192" t="str">
        <f t="shared" si="25"/>
        <v>202311</v>
      </c>
      <c r="W192" t="str">
        <f t="shared" si="26"/>
        <v>Feb-24</v>
      </c>
      <c r="X192" s="3">
        <f t="shared" si="27"/>
        <v>-181.2</v>
      </c>
      <c r="Y192" t="str">
        <f t="shared" si="28"/>
        <v/>
      </c>
      <c r="Z192">
        <f t="shared" si="29"/>
        <v>-181.2</v>
      </c>
    </row>
    <row r="193" spans="1:26" x14ac:dyDescent="0.25">
      <c r="A193" s="1">
        <v>45330</v>
      </c>
      <c r="B193" t="s">
        <v>686</v>
      </c>
      <c r="C193" t="s">
        <v>17</v>
      </c>
      <c r="D193" t="s">
        <v>22</v>
      </c>
      <c r="E193">
        <v>50</v>
      </c>
      <c r="F193">
        <v>0</v>
      </c>
      <c r="G193">
        <v>2.95</v>
      </c>
      <c r="H193">
        <v>147.5</v>
      </c>
      <c r="I193" t="s">
        <v>692</v>
      </c>
      <c r="J193">
        <v>0</v>
      </c>
      <c r="K193">
        <v>7.0000000000000007E-2</v>
      </c>
      <c r="L193">
        <v>0</v>
      </c>
      <c r="M193">
        <v>0</v>
      </c>
      <c r="N193">
        <v>20</v>
      </c>
      <c r="O193">
        <v>3.62</v>
      </c>
      <c r="P193">
        <v>23.69</v>
      </c>
      <c r="Q193">
        <f t="shared" si="20"/>
        <v>2024</v>
      </c>
      <c r="R193">
        <f t="shared" si="21"/>
        <v>2</v>
      </c>
      <c r="S193">
        <f t="shared" si="22"/>
        <v>2023</v>
      </c>
      <c r="T193">
        <f t="shared" si="23"/>
        <v>11</v>
      </c>
      <c r="U193">
        <f t="shared" si="24"/>
        <v>11</v>
      </c>
      <c r="V193" t="str">
        <f t="shared" si="25"/>
        <v>202311</v>
      </c>
      <c r="W193" t="str">
        <f t="shared" si="26"/>
        <v>Feb-24</v>
      </c>
      <c r="X193" s="3">
        <f t="shared" si="27"/>
        <v>-171.19</v>
      </c>
      <c r="Y193" t="str">
        <f t="shared" si="28"/>
        <v/>
      </c>
      <c r="Z193">
        <f t="shared" si="29"/>
        <v>-171.19</v>
      </c>
    </row>
    <row r="194" spans="1:26" x14ac:dyDescent="0.25">
      <c r="A194" s="1">
        <v>45330</v>
      </c>
      <c r="B194" t="s">
        <v>686</v>
      </c>
      <c r="C194" t="s">
        <v>17</v>
      </c>
      <c r="D194" t="s">
        <v>22</v>
      </c>
      <c r="E194">
        <v>50</v>
      </c>
      <c r="F194">
        <v>0</v>
      </c>
      <c r="G194">
        <v>3.15</v>
      </c>
      <c r="H194">
        <v>157.5</v>
      </c>
      <c r="I194" t="s">
        <v>693</v>
      </c>
      <c r="J194">
        <v>0</v>
      </c>
      <c r="K194">
        <v>0.08</v>
      </c>
      <c r="L194">
        <v>0</v>
      </c>
      <c r="M194">
        <v>0</v>
      </c>
      <c r="N194">
        <v>20</v>
      </c>
      <c r="O194">
        <v>3.62</v>
      </c>
      <c r="P194">
        <v>23.7</v>
      </c>
      <c r="Q194">
        <f t="shared" ref="Q194:Q257" si="30">YEAR(A194)</f>
        <v>2024</v>
      </c>
      <c r="R194">
        <f t="shared" ref="R194:R257" si="31">MONTH(A194)</f>
        <v>2</v>
      </c>
      <c r="S194">
        <f t="shared" ref="S194:S257" si="32">IF(R194&lt;4,Q194-1,Q194)</f>
        <v>2023</v>
      </c>
      <c r="T194">
        <f t="shared" ref="T194:T257" si="33">IF(R194&lt;4,R194+9,R194-3)</f>
        <v>11</v>
      </c>
      <c r="U194">
        <f t="shared" ref="U194:U257" si="34">IF(LEN(T194)=1,_xlfn.CONCAT(0,T194),T194)</f>
        <v>11</v>
      </c>
      <c r="V194" t="str">
        <f t="shared" ref="V194:V257" si="35">_xlfn.CONCAT(S194,U194)</f>
        <v>202311</v>
      </c>
      <c r="W194" t="str">
        <f t="shared" ref="W194:W257" si="36">_xlfn.CONCAT(TEXT(A194,"MMM"),"-",MID(Q194,3,2))</f>
        <v>Feb-24</v>
      </c>
      <c r="X194" s="3">
        <f t="shared" ref="X194:X257" si="37">IFERROR(IF(D194="Sell",(H194-P194),-(H194+P194)),0)</f>
        <v>-181.2</v>
      </c>
      <c r="Y194" t="str">
        <f t="shared" si="28"/>
        <v/>
      </c>
      <c r="Z194">
        <f t="shared" si="29"/>
        <v>-181.2</v>
      </c>
    </row>
    <row r="195" spans="1:26" x14ac:dyDescent="0.25">
      <c r="A195" s="1">
        <v>45330</v>
      </c>
      <c r="B195" t="s">
        <v>686</v>
      </c>
      <c r="C195" t="s">
        <v>17</v>
      </c>
      <c r="D195" t="s">
        <v>22</v>
      </c>
      <c r="E195">
        <v>50</v>
      </c>
      <c r="F195">
        <v>0</v>
      </c>
      <c r="G195">
        <v>3.25</v>
      </c>
      <c r="H195">
        <v>162.5</v>
      </c>
      <c r="I195" t="s">
        <v>694</v>
      </c>
      <c r="J195">
        <v>0</v>
      </c>
      <c r="K195">
        <v>0.08</v>
      </c>
      <c r="L195">
        <v>0</v>
      </c>
      <c r="M195">
        <v>0</v>
      </c>
      <c r="N195">
        <v>20</v>
      </c>
      <c r="O195">
        <v>3.62</v>
      </c>
      <c r="P195">
        <v>23.7</v>
      </c>
      <c r="Q195">
        <f t="shared" si="30"/>
        <v>2024</v>
      </c>
      <c r="R195">
        <f t="shared" si="31"/>
        <v>2</v>
      </c>
      <c r="S195">
        <f t="shared" si="32"/>
        <v>2023</v>
      </c>
      <c r="T195">
        <f t="shared" si="33"/>
        <v>11</v>
      </c>
      <c r="U195">
        <f t="shared" si="34"/>
        <v>11</v>
      </c>
      <c r="V195" t="str">
        <f t="shared" si="35"/>
        <v>202311</v>
      </c>
      <c r="W195" t="str">
        <f t="shared" si="36"/>
        <v>Feb-24</v>
      </c>
      <c r="X195" s="3">
        <f t="shared" si="37"/>
        <v>-186.2</v>
      </c>
      <c r="Y195" t="str">
        <f t="shared" ref="Y195:Y258" si="38">IF(X195&gt;0,X195,"")</f>
        <v/>
      </c>
      <c r="Z195">
        <f t="shared" ref="Z195:Z258" si="39">IF(X195&lt;0,X195,"")</f>
        <v>-186.2</v>
      </c>
    </row>
    <row r="196" spans="1:26" x14ac:dyDescent="0.25">
      <c r="A196" s="1">
        <v>45330</v>
      </c>
      <c r="B196" t="s">
        <v>686</v>
      </c>
      <c r="C196" t="s">
        <v>17</v>
      </c>
      <c r="D196" t="s">
        <v>22</v>
      </c>
      <c r="E196">
        <v>50</v>
      </c>
      <c r="F196">
        <v>0</v>
      </c>
      <c r="G196">
        <v>5.9</v>
      </c>
      <c r="H196">
        <v>295</v>
      </c>
      <c r="I196" t="s">
        <v>695</v>
      </c>
      <c r="J196">
        <v>0</v>
      </c>
      <c r="K196">
        <v>0.15</v>
      </c>
      <c r="L196">
        <v>0</v>
      </c>
      <c r="M196">
        <v>0</v>
      </c>
      <c r="N196">
        <v>20</v>
      </c>
      <c r="O196">
        <v>3.62</v>
      </c>
      <c r="P196">
        <v>23.77</v>
      </c>
      <c r="Q196">
        <f t="shared" si="30"/>
        <v>2024</v>
      </c>
      <c r="R196">
        <f t="shared" si="31"/>
        <v>2</v>
      </c>
      <c r="S196">
        <f t="shared" si="32"/>
        <v>2023</v>
      </c>
      <c r="T196">
        <f t="shared" si="33"/>
        <v>11</v>
      </c>
      <c r="U196">
        <f t="shared" si="34"/>
        <v>11</v>
      </c>
      <c r="V196" t="str">
        <f t="shared" si="35"/>
        <v>202311</v>
      </c>
      <c r="W196" t="str">
        <f t="shared" si="36"/>
        <v>Feb-24</v>
      </c>
      <c r="X196" s="3">
        <f t="shared" si="37"/>
        <v>-318.77</v>
      </c>
      <c r="Y196" t="str">
        <f t="shared" si="38"/>
        <v/>
      </c>
      <c r="Z196">
        <f t="shared" si="39"/>
        <v>-318.77</v>
      </c>
    </row>
    <row r="197" spans="1:26" x14ac:dyDescent="0.25">
      <c r="A197" s="1">
        <v>45330</v>
      </c>
      <c r="B197" t="s">
        <v>686</v>
      </c>
      <c r="C197" t="s">
        <v>17</v>
      </c>
      <c r="D197" t="s">
        <v>22</v>
      </c>
      <c r="E197">
        <v>50</v>
      </c>
      <c r="F197">
        <v>0</v>
      </c>
      <c r="G197">
        <v>8.8000000000000007</v>
      </c>
      <c r="H197">
        <v>440</v>
      </c>
      <c r="I197" t="s">
        <v>696</v>
      </c>
      <c r="J197">
        <v>0</v>
      </c>
      <c r="K197">
        <v>0.22</v>
      </c>
      <c r="L197">
        <v>0</v>
      </c>
      <c r="M197">
        <v>0</v>
      </c>
      <c r="N197">
        <v>20</v>
      </c>
      <c r="O197">
        <v>3.64</v>
      </c>
      <c r="P197">
        <v>23.86</v>
      </c>
      <c r="Q197">
        <f t="shared" si="30"/>
        <v>2024</v>
      </c>
      <c r="R197">
        <f t="shared" si="31"/>
        <v>2</v>
      </c>
      <c r="S197">
        <f t="shared" si="32"/>
        <v>2023</v>
      </c>
      <c r="T197">
        <f t="shared" si="33"/>
        <v>11</v>
      </c>
      <c r="U197">
        <f t="shared" si="34"/>
        <v>11</v>
      </c>
      <c r="V197" t="str">
        <f t="shared" si="35"/>
        <v>202311</v>
      </c>
      <c r="W197" t="str">
        <f t="shared" si="36"/>
        <v>Feb-24</v>
      </c>
      <c r="X197" s="3">
        <f t="shared" si="37"/>
        <v>-463.86</v>
      </c>
      <c r="Y197" t="str">
        <f t="shared" si="38"/>
        <v/>
      </c>
      <c r="Z197">
        <f t="shared" si="39"/>
        <v>-463.86</v>
      </c>
    </row>
    <row r="198" spans="1:26" x14ac:dyDescent="0.25">
      <c r="A198" s="1">
        <v>45330</v>
      </c>
      <c r="B198" t="s">
        <v>697</v>
      </c>
      <c r="C198" t="s">
        <v>17</v>
      </c>
      <c r="D198" t="s">
        <v>18</v>
      </c>
      <c r="E198">
        <v>50</v>
      </c>
      <c r="F198">
        <v>0</v>
      </c>
      <c r="G198">
        <v>88.3</v>
      </c>
      <c r="H198">
        <v>4415</v>
      </c>
      <c r="I198" t="s">
        <v>698</v>
      </c>
      <c r="J198">
        <v>2.76</v>
      </c>
      <c r="K198">
        <v>2.23</v>
      </c>
      <c r="L198">
        <v>0</v>
      </c>
      <c r="M198">
        <v>0</v>
      </c>
      <c r="N198">
        <v>20</v>
      </c>
      <c r="O198">
        <v>4</v>
      </c>
      <c r="P198">
        <v>28.99</v>
      </c>
      <c r="Q198">
        <f t="shared" si="30"/>
        <v>2024</v>
      </c>
      <c r="R198">
        <f t="shared" si="31"/>
        <v>2</v>
      </c>
      <c r="S198">
        <f t="shared" si="32"/>
        <v>2023</v>
      </c>
      <c r="T198">
        <f t="shared" si="33"/>
        <v>11</v>
      </c>
      <c r="U198">
        <f t="shared" si="34"/>
        <v>11</v>
      </c>
      <c r="V198" t="str">
        <f t="shared" si="35"/>
        <v>202311</v>
      </c>
      <c r="W198" t="str">
        <f t="shared" si="36"/>
        <v>Feb-24</v>
      </c>
      <c r="X198" s="3">
        <f t="shared" si="37"/>
        <v>4386.01</v>
      </c>
      <c r="Y198">
        <f t="shared" si="38"/>
        <v>4386.01</v>
      </c>
      <c r="Z198" t="str">
        <f t="shared" si="39"/>
        <v/>
      </c>
    </row>
    <row r="199" spans="1:26" x14ac:dyDescent="0.25">
      <c r="A199" s="1">
        <v>45330</v>
      </c>
      <c r="B199" t="s">
        <v>697</v>
      </c>
      <c r="C199" t="s">
        <v>17</v>
      </c>
      <c r="D199" t="s">
        <v>22</v>
      </c>
      <c r="E199">
        <v>50</v>
      </c>
      <c r="F199">
        <v>0</v>
      </c>
      <c r="G199">
        <v>61.85</v>
      </c>
      <c r="H199">
        <v>3092.5</v>
      </c>
      <c r="I199" t="s">
        <v>699</v>
      </c>
      <c r="J199">
        <v>0</v>
      </c>
      <c r="K199">
        <v>1.56</v>
      </c>
      <c r="L199">
        <v>0</v>
      </c>
      <c r="M199">
        <v>0</v>
      </c>
      <c r="N199">
        <v>20</v>
      </c>
      <c r="O199">
        <v>3.88</v>
      </c>
      <c r="P199">
        <v>25.44</v>
      </c>
      <c r="Q199">
        <f t="shared" si="30"/>
        <v>2024</v>
      </c>
      <c r="R199">
        <f t="shared" si="31"/>
        <v>2</v>
      </c>
      <c r="S199">
        <f t="shared" si="32"/>
        <v>2023</v>
      </c>
      <c r="T199">
        <f t="shared" si="33"/>
        <v>11</v>
      </c>
      <c r="U199">
        <f t="shared" si="34"/>
        <v>11</v>
      </c>
      <c r="V199" t="str">
        <f t="shared" si="35"/>
        <v>202311</v>
      </c>
      <c r="W199" t="str">
        <f t="shared" si="36"/>
        <v>Feb-24</v>
      </c>
      <c r="X199" s="3">
        <f t="shared" si="37"/>
        <v>-3117.94</v>
      </c>
      <c r="Y199" t="str">
        <f t="shared" si="38"/>
        <v/>
      </c>
      <c r="Z199">
        <f t="shared" si="39"/>
        <v>-3117.94</v>
      </c>
    </row>
    <row r="200" spans="1:26" x14ac:dyDescent="0.25">
      <c r="A200" s="1">
        <v>45331</v>
      </c>
      <c r="B200" t="s">
        <v>678</v>
      </c>
      <c r="C200" t="s">
        <v>17</v>
      </c>
      <c r="D200" t="s">
        <v>22</v>
      </c>
      <c r="E200">
        <v>50</v>
      </c>
      <c r="F200">
        <v>0</v>
      </c>
      <c r="G200">
        <v>151.85</v>
      </c>
      <c r="H200">
        <v>7592.5</v>
      </c>
      <c r="I200" t="s">
        <v>680</v>
      </c>
      <c r="J200">
        <v>0</v>
      </c>
      <c r="K200">
        <v>3.83</v>
      </c>
      <c r="L200">
        <v>0</v>
      </c>
      <c r="M200">
        <v>0.01</v>
      </c>
      <c r="N200">
        <v>20</v>
      </c>
      <c r="O200">
        <v>4.3</v>
      </c>
      <c r="P200">
        <v>28.14</v>
      </c>
      <c r="Q200">
        <f t="shared" si="30"/>
        <v>2024</v>
      </c>
      <c r="R200">
        <f t="shared" si="31"/>
        <v>2</v>
      </c>
      <c r="S200">
        <f t="shared" si="32"/>
        <v>2023</v>
      </c>
      <c r="T200">
        <f t="shared" si="33"/>
        <v>11</v>
      </c>
      <c r="U200">
        <f t="shared" si="34"/>
        <v>11</v>
      </c>
      <c r="V200" t="str">
        <f t="shared" si="35"/>
        <v>202311</v>
      </c>
      <c r="W200" t="str">
        <f t="shared" si="36"/>
        <v>Feb-24</v>
      </c>
      <c r="X200" s="3">
        <f t="shared" si="37"/>
        <v>-7620.64</v>
      </c>
      <c r="Y200" t="str">
        <f t="shared" si="38"/>
        <v/>
      </c>
      <c r="Z200">
        <f t="shared" si="39"/>
        <v>-7620.64</v>
      </c>
    </row>
    <row r="201" spans="1:26" x14ac:dyDescent="0.25">
      <c r="A201" s="1">
        <v>45331</v>
      </c>
      <c r="B201" t="s">
        <v>678</v>
      </c>
      <c r="C201" t="s">
        <v>17</v>
      </c>
      <c r="D201" t="s">
        <v>18</v>
      </c>
      <c r="E201">
        <v>50</v>
      </c>
      <c r="F201">
        <v>0</v>
      </c>
      <c r="G201">
        <v>182.25</v>
      </c>
      <c r="H201">
        <v>9112.5</v>
      </c>
      <c r="I201" t="s">
        <v>681</v>
      </c>
      <c r="J201">
        <v>6</v>
      </c>
      <c r="K201">
        <v>4.5999999999999996</v>
      </c>
      <c r="L201">
        <v>0</v>
      </c>
      <c r="M201">
        <v>0.01</v>
      </c>
      <c r="N201">
        <v>20</v>
      </c>
      <c r="O201">
        <v>4.42</v>
      </c>
      <c r="P201">
        <v>35.03</v>
      </c>
      <c r="Q201">
        <f t="shared" si="30"/>
        <v>2024</v>
      </c>
      <c r="R201">
        <f t="shared" si="31"/>
        <v>2</v>
      </c>
      <c r="S201">
        <f t="shared" si="32"/>
        <v>2023</v>
      </c>
      <c r="T201">
        <f t="shared" si="33"/>
        <v>11</v>
      </c>
      <c r="U201">
        <f t="shared" si="34"/>
        <v>11</v>
      </c>
      <c r="V201" t="str">
        <f t="shared" si="35"/>
        <v>202311</v>
      </c>
      <c r="W201" t="str">
        <f t="shared" si="36"/>
        <v>Feb-24</v>
      </c>
      <c r="X201" s="3">
        <f t="shared" si="37"/>
        <v>9077.4699999999993</v>
      </c>
      <c r="Y201">
        <f t="shared" si="38"/>
        <v>9077.4699999999993</v>
      </c>
      <c r="Z201" t="str">
        <f t="shared" si="39"/>
        <v/>
      </c>
    </row>
    <row r="202" spans="1:26" x14ac:dyDescent="0.25">
      <c r="A202" s="1">
        <v>45331</v>
      </c>
      <c r="B202" t="s">
        <v>678</v>
      </c>
      <c r="C202" t="s">
        <v>17</v>
      </c>
      <c r="D202" t="s">
        <v>22</v>
      </c>
      <c r="E202">
        <v>50</v>
      </c>
      <c r="F202">
        <v>0</v>
      </c>
      <c r="G202">
        <v>180.55</v>
      </c>
      <c r="H202">
        <v>9027.5</v>
      </c>
      <c r="I202" t="s">
        <v>682</v>
      </c>
      <c r="J202">
        <v>0</v>
      </c>
      <c r="K202">
        <v>4.5599999999999996</v>
      </c>
      <c r="L202">
        <v>1</v>
      </c>
      <c r="M202">
        <v>0.01</v>
      </c>
      <c r="N202">
        <v>20</v>
      </c>
      <c r="O202">
        <v>4.42</v>
      </c>
      <c r="P202">
        <v>29.99</v>
      </c>
      <c r="Q202">
        <f t="shared" si="30"/>
        <v>2024</v>
      </c>
      <c r="R202">
        <f t="shared" si="31"/>
        <v>2</v>
      </c>
      <c r="S202">
        <f t="shared" si="32"/>
        <v>2023</v>
      </c>
      <c r="T202">
        <f t="shared" si="33"/>
        <v>11</v>
      </c>
      <c r="U202">
        <f t="shared" si="34"/>
        <v>11</v>
      </c>
      <c r="V202" t="str">
        <f t="shared" si="35"/>
        <v>202311</v>
      </c>
      <c r="W202" t="str">
        <f t="shared" si="36"/>
        <v>Feb-24</v>
      </c>
      <c r="X202" s="3">
        <f t="shared" si="37"/>
        <v>-9057.49</v>
      </c>
      <c r="Y202" t="str">
        <f t="shared" si="38"/>
        <v/>
      </c>
      <c r="Z202">
        <f t="shared" si="39"/>
        <v>-9057.49</v>
      </c>
    </row>
    <row r="203" spans="1:26" x14ac:dyDescent="0.25">
      <c r="A203" s="1">
        <v>45334</v>
      </c>
      <c r="B203" t="s">
        <v>678</v>
      </c>
      <c r="C203" t="s">
        <v>17</v>
      </c>
      <c r="D203" t="s">
        <v>18</v>
      </c>
      <c r="E203">
        <v>50</v>
      </c>
      <c r="F203">
        <v>0</v>
      </c>
      <c r="G203">
        <v>182</v>
      </c>
      <c r="H203">
        <v>9100</v>
      </c>
      <c r="I203" t="s">
        <v>679</v>
      </c>
      <c r="J203">
        <v>6</v>
      </c>
      <c r="K203">
        <v>4.5999999999999996</v>
      </c>
      <c r="L203">
        <v>0</v>
      </c>
      <c r="M203">
        <v>0.01</v>
      </c>
      <c r="N203">
        <v>20</v>
      </c>
      <c r="O203">
        <v>4.42</v>
      </c>
      <c r="P203">
        <v>35.03</v>
      </c>
      <c r="Q203">
        <f t="shared" si="30"/>
        <v>2024</v>
      </c>
      <c r="R203">
        <f t="shared" si="31"/>
        <v>2</v>
      </c>
      <c r="S203">
        <f t="shared" si="32"/>
        <v>2023</v>
      </c>
      <c r="T203">
        <f t="shared" si="33"/>
        <v>11</v>
      </c>
      <c r="U203">
        <f t="shared" si="34"/>
        <v>11</v>
      </c>
      <c r="V203" t="str">
        <f t="shared" si="35"/>
        <v>202311</v>
      </c>
      <c r="W203" t="str">
        <f t="shared" si="36"/>
        <v>Feb-24</v>
      </c>
      <c r="X203" s="3">
        <f t="shared" si="37"/>
        <v>9064.9699999999993</v>
      </c>
      <c r="Y203">
        <f t="shared" si="38"/>
        <v>9064.9699999999993</v>
      </c>
      <c r="Z203" t="str">
        <f t="shared" si="39"/>
        <v/>
      </c>
    </row>
    <row r="204" spans="1:26" x14ac:dyDescent="0.25">
      <c r="A204" s="1">
        <v>45335</v>
      </c>
      <c r="B204" t="s">
        <v>631</v>
      </c>
      <c r="C204" t="s">
        <v>17</v>
      </c>
      <c r="D204" t="s">
        <v>18</v>
      </c>
      <c r="E204">
        <v>200</v>
      </c>
      <c r="F204">
        <v>0</v>
      </c>
      <c r="G204">
        <v>73.25</v>
      </c>
      <c r="H204">
        <v>14650</v>
      </c>
      <c r="I204" t="s">
        <v>632</v>
      </c>
      <c r="J204">
        <v>9.16</v>
      </c>
      <c r="K204">
        <v>7.4</v>
      </c>
      <c r="L204">
        <v>0</v>
      </c>
      <c r="M204">
        <v>0.01</v>
      </c>
      <c r="N204">
        <v>100</v>
      </c>
      <c r="O204">
        <v>19.34</v>
      </c>
      <c r="P204">
        <v>135.91</v>
      </c>
      <c r="Q204">
        <f t="shared" si="30"/>
        <v>2024</v>
      </c>
      <c r="R204">
        <f t="shared" si="31"/>
        <v>2</v>
      </c>
      <c r="S204">
        <f t="shared" si="32"/>
        <v>2023</v>
      </c>
      <c r="T204">
        <f t="shared" si="33"/>
        <v>11</v>
      </c>
      <c r="U204">
        <f t="shared" si="34"/>
        <v>11</v>
      </c>
      <c r="V204" t="str">
        <f t="shared" si="35"/>
        <v>202311</v>
      </c>
      <c r="W204" t="str">
        <f t="shared" si="36"/>
        <v>Feb-24</v>
      </c>
      <c r="X204" s="3">
        <f t="shared" si="37"/>
        <v>14514.09</v>
      </c>
      <c r="Y204">
        <f t="shared" si="38"/>
        <v>14514.09</v>
      </c>
      <c r="Z204" t="str">
        <f t="shared" si="39"/>
        <v/>
      </c>
    </row>
    <row r="205" spans="1:26" x14ac:dyDescent="0.25">
      <c r="A205" s="1">
        <v>45335</v>
      </c>
      <c r="B205" t="s">
        <v>631</v>
      </c>
      <c r="C205" t="s">
        <v>17</v>
      </c>
      <c r="D205" t="s">
        <v>18</v>
      </c>
      <c r="E205">
        <v>200</v>
      </c>
      <c r="F205">
        <v>0</v>
      </c>
      <c r="G205">
        <v>72</v>
      </c>
      <c r="H205">
        <v>14400</v>
      </c>
      <c r="I205" t="s">
        <v>633</v>
      </c>
      <c r="J205">
        <v>9</v>
      </c>
      <c r="K205">
        <v>7.27</v>
      </c>
      <c r="L205">
        <v>0</v>
      </c>
      <c r="M205">
        <v>0.01</v>
      </c>
      <c r="N205">
        <v>100</v>
      </c>
      <c r="O205">
        <v>19.32</v>
      </c>
      <c r="P205">
        <v>135.6</v>
      </c>
      <c r="Q205">
        <f t="shared" si="30"/>
        <v>2024</v>
      </c>
      <c r="R205">
        <f t="shared" si="31"/>
        <v>2</v>
      </c>
      <c r="S205">
        <f t="shared" si="32"/>
        <v>2023</v>
      </c>
      <c r="T205">
        <f t="shared" si="33"/>
        <v>11</v>
      </c>
      <c r="U205">
        <f t="shared" si="34"/>
        <v>11</v>
      </c>
      <c r="V205" t="str">
        <f t="shared" si="35"/>
        <v>202311</v>
      </c>
      <c r="W205" t="str">
        <f t="shared" si="36"/>
        <v>Feb-24</v>
      </c>
      <c r="X205" s="3">
        <f t="shared" si="37"/>
        <v>14264.4</v>
      </c>
      <c r="Y205">
        <f t="shared" si="38"/>
        <v>14264.4</v>
      </c>
      <c r="Z205" t="str">
        <f t="shared" si="39"/>
        <v/>
      </c>
    </row>
    <row r="206" spans="1:26" x14ac:dyDescent="0.25">
      <c r="A206" s="1">
        <v>45335</v>
      </c>
      <c r="B206" t="s">
        <v>631</v>
      </c>
      <c r="C206" t="s">
        <v>17</v>
      </c>
      <c r="D206" t="s">
        <v>22</v>
      </c>
      <c r="E206">
        <v>400</v>
      </c>
      <c r="F206">
        <v>0</v>
      </c>
      <c r="G206">
        <v>42.09</v>
      </c>
      <c r="H206">
        <v>16836</v>
      </c>
      <c r="I206" t="s">
        <v>634</v>
      </c>
      <c r="J206">
        <v>0</v>
      </c>
      <c r="K206">
        <v>8.5</v>
      </c>
      <c r="L206">
        <v>0</v>
      </c>
      <c r="M206">
        <v>0.02</v>
      </c>
      <c r="N206">
        <v>200</v>
      </c>
      <c r="O206">
        <v>37.54</v>
      </c>
      <c r="P206">
        <v>246.06</v>
      </c>
      <c r="Q206">
        <f t="shared" si="30"/>
        <v>2024</v>
      </c>
      <c r="R206">
        <f t="shared" si="31"/>
        <v>2</v>
      </c>
      <c r="S206">
        <f t="shared" si="32"/>
        <v>2023</v>
      </c>
      <c r="T206">
        <f t="shared" si="33"/>
        <v>11</v>
      </c>
      <c r="U206">
        <f t="shared" si="34"/>
        <v>11</v>
      </c>
      <c r="V206" t="str">
        <f t="shared" si="35"/>
        <v>202311</v>
      </c>
      <c r="W206" t="str">
        <f t="shared" si="36"/>
        <v>Feb-24</v>
      </c>
      <c r="X206" s="3">
        <f t="shared" si="37"/>
        <v>-17082.060000000001</v>
      </c>
      <c r="Y206" t="str">
        <f t="shared" si="38"/>
        <v/>
      </c>
      <c r="Z206">
        <f t="shared" si="39"/>
        <v>-17082.060000000001</v>
      </c>
    </row>
    <row r="207" spans="1:26" x14ac:dyDescent="0.25">
      <c r="A207" s="1">
        <v>45335</v>
      </c>
      <c r="B207" t="s">
        <v>631</v>
      </c>
      <c r="C207" t="s">
        <v>17</v>
      </c>
      <c r="D207" t="s">
        <v>18</v>
      </c>
      <c r="E207">
        <v>280</v>
      </c>
      <c r="F207">
        <v>0</v>
      </c>
      <c r="G207">
        <v>44.54</v>
      </c>
      <c r="H207">
        <v>12470</v>
      </c>
      <c r="I207" t="s">
        <v>635</v>
      </c>
      <c r="J207">
        <v>7.8</v>
      </c>
      <c r="K207">
        <v>6.3</v>
      </c>
      <c r="L207">
        <v>0</v>
      </c>
      <c r="M207">
        <v>0</v>
      </c>
      <c r="N207">
        <v>140</v>
      </c>
      <c r="O207">
        <v>26.32</v>
      </c>
      <c r="P207">
        <v>180.42</v>
      </c>
      <c r="Q207">
        <f t="shared" si="30"/>
        <v>2024</v>
      </c>
      <c r="R207">
        <f t="shared" si="31"/>
        <v>2</v>
      </c>
      <c r="S207">
        <f t="shared" si="32"/>
        <v>2023</v>
      </c>
      <c r="T207">
        <f t="shared" si="33"/>
        <v>11</v>
      </c>
      <c r="U207">
        <f t="shared" si="34"/>
        <v>11</v>
      </c>
      <c r="V207" t="str">
        <f t="shared" si="35"/>
        <v>202311</v>
      </c>
      <c r="W207" t="str">
        <f t="shared" si="36"/>
        <v>Feb-24</v>
      </c>
      <c r="X207" s="3">
        <f t="shared" si="37"/>
        <v>12289.58</v>
      </c>
      <c r="Y207">
        <f t="shared" si="38"/>
        <v>12289.58</v>
      </c>
      <c r="Z207" t="str">
        <f t="shared" si="39"/>
        <v/>
      </c>
    </row>
    <row r="208" spans="1:26" x14ac:dyDescent="0.25">
      <c r="A208" s="1">
        <v>45335</v>
      </c>
      <c r="B208" t="s">
        <v>631</v>
      </c>
      <c r="C208" t="s">
        <v>17</v>
      </c>
      <c r="D208" t="s">
        <v>22</v>
      </c>
      <c r="E208">
        <v>240</v>
      </c>
      <c r="F208">
        <v>0</v>
      </c>
      <c r="G208">
        <v>35.5</v>
      </c>
      <c r="H208">
        <v>8520</v>
      </c>
      <c r="I208" t="s">
        <v>636</v>
      </c>
      <c r="J208">
        <v>0</v>
      </c>
      <c r="K208">
        <v>4.3</v>
      </c>
      <c r="L208">
        <v>0.73</v>
      </c>
      <c r="M208">
        <v>0.01</v>
      </c>
      <c r="N208">
        <v>120</v>
      </c>
      <c r="O208">
        <v>22.38</v>
      </c>
      <c r="P208">
        <v>147.41999999999999</v>
      </c>
      <c r="Q208">
        <f t="shared" si="30"/>
        <v>2024</v>
      </c>
      <c r="R208">
        <f t="shared" si="31"/>
        <v>2</v>
      </c>
      <c r="S208">
        <f t="shared" si="32"/>
        <v>2023</v>
      </c>
      <c r="T208">
        <f t="shared" si="33"/>
        <v>11</v>
      </c>
      <c r="U208">
        <f t="shared" si="34"/>
        <v>11</v>
      </c>
      <c r="V208" t="str">
        <f t="shared" si="35"/>
        <v>202311</v>
      </c>
      <c r="W208" t="str">
        <f t="shared" si="36"/>
        <v>Feb-24</v>
      </c>
      <c r="X208" s="3">
        <f t="shared" si="37"/>
        <v>-8667.42</v>
      </c>
      <c r="Y208" t="str">
        <f t="shared" si="38"/>
        <v/>
      </c>
      <c r="Z208">
        <f t="shared" si="39"/>
        <v>-8667.42</v>
      </c>
    </row>
    <row r="209" spans="1:26" x14ac:dyDescent="0.25">
      <c r="A209" s="1">
        <v>45335</v>
      </c>
      <c r="B209" t="s">
        <v>631</v>
      </c>
      <c r="C209" t="s">
        <v>17</v>
      </c>
      <c r="D209" t="s">
        <v>22</v>
      </c>
      <c r="E209">
        <v>40</v>
      </c>
      <c r="F209">
        <v>0</v>
      </c>
      <c r="G209">
        <v>35.4</v>
      </c>
      <c r="H209">
        <v>1416</v>
      </c>
      <c r="I209" t="s">
        <v>637</v>
      </c>
      <c r="J209">
        <v>0</v>
      </c>
      <c r="K209">
        <v>0.72</v>
      </c>
      <c r="L209">
        <v>0</v>
      </c>
      <c r="M209">
        <v>0</v>
      </c>
      <c r="N209">
        <v>20</v>
      </c>
      <c r="O209">
        <v>3.72</v>
      </c>
      <c r="P209">
        <v>24.44</v>
      </c>
      <c r="Q209">
        <f t="shared" si="30"/>
        <v>2024</v>
      </c>
      <c r="R209">
        <f t="shared" si="31"/>
        <v>2</v>
      </c>
      <c r="S209">
        <f t="shared" si="32"/>
        <v>2023</v>
      </c>
      <c r="T209">
        <f t="shared" si="33"/>
        <v>11</v>
      </c>
      <c r="U209">
        <f t="shared" si="34"/>
        <v>11</v>
      </c>
      <c r="V209" t="str">
        <f t="shared" si="35"/>
        <v>202311</v>
      </c>
      <c r="W209" t="str">
        <f t="shared" si="36"/>
        <v>Feb-24</v>
      </c>
      <c r="X209" s="3">
        <f t="shared" si="37"/>
        <v>-1440.44</v>
      </c>
      <c r="Y209" t="str">
        <f t="shared" si="38"/>
        <v/>
      </c>
      <c r="Z209">
        <f t="shared" si="39"/>
        <v>-1440.44</v>
      </c>
    </row>
    <row r="210" spans="1:26" x14ac:dyDescent="0.25">
      <c r="A210" s="1">
        <v>45335</v>
      </c>
      <c r="B210" t="s">
        <v>638</v>
      </c>
      <c r="C210" t="s">
        <v>17</v>
      </c>
      <c r="D210" t="s">
        <v>18</v>
      </c>
      <c r="E210">
        <v>1520</v>
      </c>
      <c r="F210">
        <v>0</v>
      </c>
      <c r="G210">
        <v>1.1000000000000001</v>
      </c>
      <c r="H210">
        <v>1672</v>
      </c>
      <c r="I210" t="s">
        <v>639</v>
      </c>
      <c r="J210">
        <v>1.05</v>
      </c>
      <c r="K210">
        <v>0.84</v>
      </c>
      <c r="L210">
        <v>0</v>
      </c>
      <c r="M210">
        <v>0</v>
      </c>
      <c r="N210">
        <v>760</v>
      </c>
      <c r="O210">
        <v>136.94</v>
      </c>
      <c r="P210">
        <v>898.83</v>
      </c>
      <c r="Q210">
        <f t="shared" si="30"/>
        <v>2024</v>
      </c>
      <c r="R210">
        <f t="shared" si="31"/>
        <v>2</v>
      </c>
      <c r="S210">
        <f t="shared" si="32"/>
        <v>2023</v>
      </c>
      <c r="T210">
        <f t="shared" si="33"/>
        <v>11</v>
      </c>
      <c r="U210">
        <f t="shared" si="34"/>
        <v>11</v>
      </c>
      <c r="V210" t="str">
        <f t="shared" si="35"/>
        <v>202311</v>
      </c>
      <c r="W210" t="str">
        <f t="shared" si="36"/>
        <v>Feb-24</v>
      </c>
      <c r="X210" s="3">
        <f t="shared" si="37"/>
        <v>773.17</v>
      </c>
      <c r="Y210">
        <f t="shared" si="38"/>
        <v>773.17</v>
      </c>
      <c r="Z210" t="str">
        <f t="shared" si="39"/>
        <v/>
      </c>
    </row>
    <row r="211" spans="1:26" x14ac:dyDescent="0.25">
      <c r="A211" s="1">
        <v>45335</v>
      </c>
      <c r="B211" t="s">
        <v>638</v>
      </c>
      <c r="C211" t="s">
        <v>17</v>
      </c>
      <c r="D211" t="s">
        <v>22</v>
      </c>
      <c r="E211">
        <v>40</v>
      </c>
      <c r="F211">
        <v>0</v>
      </c>
      <c r="G211">
        <v>4.45</v>
      </c>
      <c r="H211">
        <v>178</v>
      </c>
      <c r="I211" t="s">
        <v>640</v>
      </c>
      <c r="J211">
        <v>0</v>
      </c>
      <c r="K211">
        <v>0.09</v>
      </c>
      <c r="L211">
        <v>0</v>
      </c>
      <c r="M211">
        <v>0</v>
      </c>
      <c r="N211">
        <v>20</v>
      </c>
      <c r="O211">
        <v>3.62</v>
      </c>
      <c r="P211">
        <v>23.71</v>
      </c>
      <c r="Q211">
        <f t="shared" si="30"/>
        <v>2024</v>
      </c>
      <c r="R211">
        <f t="shared" si="31"/>
        <v>2</v>
      </c>
      <c r="S211">
        <f t="shared" si="32"/>
        <v>2023</v>
      </c>
      <c r="T211">
        <f t="shared" si="33"/>
        <v>11</v>
      </c>
      <c r="U211">
        <f t="shared" si="34"/>
        <v>11</v>
      </c>
      <c r="V211" t="str">
        <f t="shared" si="35"/>
        <v>202311</v>
      </c>
      <c r="W211" t="str">
        <f t="shared" si="36"/>
        <v>Feb-24</v>
      </c>
      <c r="X211" s="3">
        <f t="shared" si="37"/>
        <v>-201.71</v>
      </c>
      <c r="Y211" t="str">
        <f t="shared" si="38"/>
        <v/>
      </c>
      <c r="Z211">
        <f t="shared" si="39"/>
        <v>-201.71</v>
      </c>
    </row>
    <row r="212" spans="1:26" x14ac:dyDescent="0.25">
      <c r="A212" s="1">
        <v>45335</v>
      </c>
      <c r="B212" t="s">
        <v>638</v>
      </c>
      <c r="C212" t="s">
        <v>17</v>
      </c>
      <c r="D212" t="s">
        <v>22</v>
      </c>
      <c r="E212">
        <v>40</v>
      </c>
      <c r="F212">
        <v>0</v>
      </c>
      <c r="G212">
        <v>4.5999999999999996</v>
      </c>
      <c r="H212">
        <v>184</v>
      </c>
      <c r="I212" t="s">
        <v>641</v>
      </c>
      <c r="J212">
        <v>0</v>
      </c>
      <c r="K212">
        <v>0.09</v>
      </c>
      <c r="L212">
        <v>0</v>
      </c>
      <c r="M212">
        <v>0</v>
      </c>
      <c r="N212">
        <v>20</v>
      </c>
      <c r="O212">
        <v>3.62</v>
      </c>
      <c r="P212">
        <v>23.71</v>
      </c>
      <c r="Q212">
        <f t="shared" si="30"/>
        <v>2024</v>
      </c>
      <c r="R212">
        <f t="shared" si="31"/>
        <v>2</v>
      </c>
      <c r="S212">
        <f t="shared" si="32"/>
        <v>2023</v>
      </c>
      <c r="T212">
        <f t="shared" si="33"/>
        <v>11</v>
      </c>
      <c r="U212">
        <f t="shared" si="34"/>
        <v>11</v>
      </c>
      <c r="V212" t="str">
        <f t="shared" si="35"/>
        <v>202311</v>
      </c>
      <c r="W212" t="str">
        <f t="shared" si="36"/>
        <v>Feb-24</v>
      </c>
      <c r="X212" s="3">
        <f t="shared" si="37"/>
        <v>-207.71</v>
      </c>
      <c r="Y212" t="str">
        <f t="shared" si="38"/>
        <v/>
      </c>
      <c r="Z212">
        <f t="shared" si="39"/>
        <v>-207.71</v>
      </c>
    </row>
    <row r="213" spans="1:26" x14ac:dyDescent="0.25">
      <c r="A213" s="1">
        <v>45335</v>
      </c>
      <c r="B213" t="s">
        <v>638</v>
      </c>
      <c r="C213" t="s">
        <v>17</v>
      </c>
      <c r="D213" t="s">
        <v>22</v>
      </c>
      <c r="E213">
        <v>40</v>
      </c>
      <c r="F213">
        <v>0</v>
      </c>
      <c r="G213">
        <v>4.6500000000000004</v>
      </c>
      <c r="H213">
        <v>186</v>
      </c>
      <c r="I213" t="s">
        <v>642</v>
      </c>
      <c r="J213">
        <v>0</v>
      </c>
      <c r="K213">
        <v>0.09</v>
      </c>
      <c r="L213">
        <v>0</v>
      </c>
      <c r="M213">
        <v>0</v>
      </c>
      <c r="N213">
        <v>20</v>
      </c>
      <c r="O213">
        <v>3.62</v>
      </c>
      <c r="P213">
        <v>23.71</v>
      </c>
      <c r="Q213">
        <f t="shared" si="30"/>
        <v>2024</v>
      </c>
      <c r="R213">
        <f t="shared" si="31"/>
        <v>2</v>
      </c>
      <c r="S213">
        <f t="shared" si="32"/>
        <v>2023</v>
      </c>
      <c r="T213">
        <f t="shared" si="33"/>
        <v>11</v>
      </c>
      <c r="U213">
        <f t="shared" si="34"/>
        <v>11</v>
      </c>
      <c r="V213" t="str">
        <f t="shared" si="35"/>
        <v>202311</v>
      </c>
      <c r="W213" t="str">
        <f t="shared" si="36"/>
        <v>Feb-24</v>
      </c>
      <c r="X213" s="3">
        <f t="shared" si="37"/>
        <v>-209.71</v>
      </c>
      <c r="Y213" t="str">
        <f t="shared" si="38"/>
        <v/>
      </c>
      <c r="Z213">
        <f t="shared" si="39"/>
        <v>-209.71</v>
      </c>
    </row>
    <row r="214" spans="1:26" x14ac:dyDescent="0.25">
      <c r="A214" s="1">
        <v>45335</v>
      </c>
      <c r="B214" t="s">
        <v>638</v>
      </c>
      <c r="C214" t="s">
        <v>17</v>
      </c>
      <c r="D214" t="s">
        <v>22</v>
      </c>
      <c r="E214">
        <v>40</v>
      </c>
      <c r="F214">
        <v>0</v>
      </c>
      <c r="G214">
        <v>4.4000000000000004</v>
      </c>
      <c r="H214">
        <v>176</v>
      </c>
      <c r="I214" t="s">
        <v>643</v>
      </c>
      <c r="J214">
        <v>0</v>
      </c>
      <c r="K214">
        <v>0.09</v>
      </c>
      <c r="L214">
        <v>0</v>
      </c>
      <c r="M214">
        <v>0</v>
      </c>
      <c r="N214">
        <v>20</v>
      </c>
      <c r="O214">
        <v>3.62</v>
      </c>
      <c r="P214">
        <v>23.71</v>
      </c>
      <c r="Q214">
        <f t="shared" si="30"/>
        <v>2024</v>
      </c>
      <c r="R214">
        <f t="shared" si="31"/>
        <v>2</v>
      </c>
      <c r="S214">
        <f t="shared" si="32"/>
        <v>2023</v>
      </c>
      <c r="T214">
        <f t="shared" si="33"/>
        <v>11</v>
      </c>
      <c r="U214">
        <f t="shared" si="34"/>
        <v>11</v>
      </c>
      <c r="V214" t="str">
        <f t="shared" si="35"/>
        <v>202311</v>
      </c>
      <c r="W214" t="str">
        <f t="shared" si="36"/>
        <v>Feb-24</v>
      </c>
      <c r="X214" s="3">
        <f t="shared" si="37"/>
        <v>-199.71</v>
      </c>
      <c r="Y214" t="str">
        <f t="shared" si="38"/>
        <v/>
      </c>
      <c r="Z214">
        <f t="shared" si="39"/>
        <v>-199.71</v>
      </c>
    </row>
    <row r="215" spans="1:26" x14ac:dyDescent="0.25">
      <c r="A215" s="1">
        <v>45335</v>
      </c>
      <c r="B215" t="s">
        <v>638</v>
      </c>
      <c r="C215" t="s">
        <v>17</v>
      </c>
      <c r="D215" t="s">
        <v>22</v>
      </c>
      <c r="E215">
        <v>40</v>
      </c>
      <c r="F215">
        <v>0</v>
      </c>
      <c r="G215">
        <v>4.4000000000000004</v>
      </c>
      <c r="H215">
        <v>176</v>
      </c>
      <c r="I215" t="s">
        <v>644</v>
      </c>
      <c r="J215">
        <v>0</v>
      </c>
      <c r="K215">
        <v>0.09</v>
      </c>
      <c r="L215">
        <v>0</v>
      </c>
      <c r="M215">
        <v>0</v>
      </c>
      <c r="N215">
        <v>20</v>
      </c>
      <c r="O215">
        <v>3.62</v>
      </c>
      <c r="P215">
        <v>23.71</v>
      </c>
      <c r="Q215">
        <f t="shared" si="30"/>
        <v>2024</v>
      </c>
      <c r="R215">
        <f t="shared" si="31"/>
        <v>2</v>
      </c>
      <c r="S215">
        <f t="shared" si="32"/>
        <v>2023</v>
      </c>
      <c r="T215">
        <f t="shared" si="33"/>
        <v>11</v>
      </c>
      <c r="U215">
        <f t="shared" si="34"/>
        <v>11</v>
      </c>
      <c r="V215" t="str">
        <f t="shared" si="35"/>
        <v>202311</v>
      </c>
      <c r="W215" t="str">
        <f t="shared" si="36"/>
        <v>Feb-24</v>
      </c>
      <c r="X215" s="3">
        <f t="shared" si="37"/>
        <v>-199.71</v>
      </c>
      <c r="Y215" t="str">
        <f t="shared" si="38"/>
        <v/>
      </c>
      <c r="Z215">
        <f t="shared" si="39"/>
        <v>-199.71</v>
      </c>
    </row>
    <row r="216" spans="1:26" x14ac:dyDescent="0.25">
      <c r="A216" s="1">
        <v>45335</v>
      </c>
      <c r="B216" t="s">
        <v>638</v>
      </c>
      <c r="C216" t="s">
        <v>17</v>
      </c>
      <c r="D216" t="s">
        <v>22</v>
      </c>
      <c r="E216">
        <v>40</v>
      </c>
      <c r="F216">
        <v>0</v>
      </c>
      <c r="G216">
        <v>4.25</v>
      </c>
      <c r="H216">
        <v>170</v>
      </c>
      <c r="I216" t="s">
        <v>645</v>
      </c>
      <c r="J216">
        <v>0</v>
      </c>
      <c r="K216">
        <v>0.09</v>
      </c>
      <c r="L216">
        <v>0</v>
      </c>
      <c r="M216">
        <v>0</v>
      </c>
      <c r="N216">
        <v>20</v>
      </c>
      <c r="O216">
        <v>3.62</v>
      </c>
      <c r="P216">
        <v>23.71</v>
      </c>
      <c r="Q216">
        <f t="shared" si="30"/>
        <v>2024</v>
      </c>
      <c r="R216">
        <f t="shared" si="31"/>
        <v>2</v>
      </c>
      <c r="S216">
        <f t="shared" si="32"/>
        <v>2023</v>
      </c>
      <c r="T216">
        <f t="shared" si="33"/>
        <v>11</v>
      </c>
      <c r="U216">
        <f t="shared" si="34"/>
        <v>11</v>
      </c>
      <c r="V216" t="str">
        <f t="shared" si="35"/>
        <v>202311</v>
      </c>
      <c r="W216" t="str">
        <f t="shared" si="36"/>
        <v>Feb-24</v>
      </c>
      <c r="X216" s="3">
        <f t="shared" si="37"/>
        <v>-193.71</v>
      </c>
      <c r="Y216" t="str">
        <f t="shared" si="38"/>
        <v/>
      </c>
      <c r="Z216">
        <f t="shared" si="39"/>
        <v>-193.71</v>
      </c>
    </row>
    <row r="217" spans="1:26" x14ac:dyDescent="0.25">
      <c r="A217" s="1">
        <v>45335</v>
      </c>
      <c r="B217" t="s">
        <v>638</v>
      </c>
      <c r="C217" t="s">
        <v>17</v>
      </c>
      <c r="D217" t="s">
        <v>22</v>
      </c>
      <c r="E217">
        <v>40</v>
      </c>
      <c r="F217">
        <v>0</v>
      </c>
      <c r="G217">
        <v>4.1500000000000004</v>
      </c>
      <c r="H217">
        <v>166</v>
      </c>
      <c r="I217" t="s">
        <v>646</v>
      </c>
      <c r="J217">
        <v>0</v>
      </c>
      <c r="K217">
        <v>0.08</v>
      </c>
      <c r="L217">
        <v>0</v>
      </c>
      <c r="M217">
        <v>0</v>
      </c>
      <c r="N217">
        <v>20</v>
      </c>
      <c r="O217">
        <v>3.62</v>
      </c>
      <c r="P217">
        <v>23.7</v>
      </c>
      <c r="Q217">
        <f t="shared" si="30"/>
        <v>2024</v>
      </c>
      <c r="R217">
        <f t="shared" si="31"/>
        <v>2</v>
      </c>
      <c r="S217">
        <f t="shared" si="32"/>
        <v>2023</v>
      </c>
      <c r="T217">
        <f t="shared" si="33"/>
        <v>11</v>
      </c>
      <c r="U217">
        <f t="shared" si="34"/>
        <v>11</v>
      </c>
      <c r="V217" t="str">
        <f t="shared" si="35"/>
        <v>202311</v>
      </c>
      <c r="W217" t="str">
        <f t="shared" si="36"/>
        <v>Feb-24</v>
      </c>
      <c r="X217" s="3">
        <f t="shared" si="37"/>
        <v>-189.7</v>
      </c>
      <c r="Y217" t="str">
        <f t="shared" si="38"/>
        <v/>
      </c>
      <c r="Z217">
        <f t="shared" si="39"/>
        <v>-189.7</v>
      </c>
    </row>
    <row r="218" spans="1:26" x14ac:dyDescent="0.25">
      <c r="A218" s="1">
        <v>45335</v>
      </c>
      <c r="B218" t="s">
        <v>638</v>
      </c>
      <c r="C218" t="s">
        <v>17</v>
      </c>
      <c r="D218" t="s">
        <v>22</v>
      </c>
      <c r="E218">
        <v>40</v>
      </c>
      <c r="F218">
        <v>0</v>
      </c>
      <c r="G218">
        <v>4.2</v>
      </c>
      <c r="H218">
        <v>168</v>
      </c>
      <c r="I218" t="s">
        <v>647</v>
      </c>
      <c r="J218">
        <v>0</v>
      </c>
      <c r="K218">
        <v>0.08</v>
      </c>
      <c r="L218">
        <v>0</v>
      </c>
      <c r="M218">
        <v>0</v>
      </c>
      <c r="N218">
        <v>20</v>
      </c>
      <c r="O218">
        <v>3.62</v>
      </c>
      <c r="P218">
        <v>23.7</v>
      </c>
      <c r="Q218">
        <f t="shared" si="30"/>
        <v>2024</v>
      </c>
      <c r="R218">
        <f t="shared" si="31"/>
        <v>2</v>
      </c>
      <c r="S218">
        <f t="shared" si="32"/>
        <v>2023</v>
      </c>
      <c r="T218">
        <f t="shared" si="33"/>
        <v>11</v>
      </c>
      <c r="U218">
        <f t="shared" si="34"/>
        <v>11</v>
      </c>
      <c r="V218" t="str">
        <f t="shared" si="35"/>
        <v>202311</v>
      </c>
      <c r="W218" t="str">
        <f t="shared" si="36"/>
        <v>Feb-24</v>
      </c>
      <c r="X218" s="3">
        <f t="shared" si="37"/>
        <v>-191.7</v>
      </c>
      <c r="Y218" t="str">
        <f t="shared" si="38"/>
        <v/>
      </c>
      <c r="Z218">
        <f t="shared" si="39"/>
        <v>-191.7</v>
      </c>
    </row>
    <row r="219" spans="1:26" x14ac:dyDescent="0.25">
      <c r="A219" s="1">
        <v>45335</v>
      </c>
      <c r="B219" t="s">
        <v>638</v>
      </c>
      <c r="C219" t="s">
        <v>17</v>
      </c>
      <c r="D219" t="s">
        <v>22</v>
      </c>
      <c r="E219">
        <v>40</v>
      </c>
      <c r="F219">
        <v>0</v>
      </c>
      <c r="G219">
        <v>4.2</v>
      </c>
      <c r="H219">
        <v>168</v>
      </c>
      <c r="I219" t="s">
        <v>648</v>
      </c>
      <c r="J219">
        <v>0</v>
      </c>
      <c r="K219">
        <v>0.08</v>
      </c>
      <c r="L219">
        <v>0</v>
      </c>
      <c r="M219">
        <v>0</v>
      </c>
      <c r="N219">
        <v>20</v>
      </c>
      <c r="O219">
        <v>3.62</v>
      </c>
      <c r="P219">
        <v>23.7</v>
      </c>
      <c r="Q219">
        <f t="shared" si="30"/>
        <v>2024</v>
      </c>
      <c r="R219">
        <f t="shared" si="31"/>
        <v>2</v>
      </c>
      <c r="S219">
        <f t="shared" si="32"/>
        <v>2023</v>
      </c>
      <c r="T219">
        <f t="shared" si="33"/>
        <v>11</v>
      </c>
      <c r="U219">
        <f t="shared" si="34"/>
        <v>11</v>
      </c>
      <c r="V219" t="str">
        <f t="shared" si="35"/>
        <v>202311</v>
      </c>
      <c r="W219" t="str">
        <f t="shared" si="36"/>
        <v>Feb-24</v>
      </c>
      <c r="X219" s="3">
        <f t="shared" si="37"/>
        <v>-191.7</v>
      </c>
      <c r="Y219" t="str">
        <f t="shared" si="38"/>
        <v/>
      </c>
      <c r="Z219">
        <f t="shared" si="39"/>
        <v>-191.7</v>
      </c>
    </row>
    <row r="220" spans="1:26" x14ac:dyDescent="0.25">
      <c r="A220" s="1">
        <v>45335</v>
      </c>
      <c r="B220" t="s">
        <v>638</v>
      </c>
      <c r="C220" t="s">
        <v>17</v>
      </c>
      <c r="D220" t="s">
        <v>22</v>
      </c>
      <c r="E220">
        <v>40</v>
      </c>
      <c r="F220">
        <v>0</v>
      </c>
      <c r="G220">
        <v>4.25</v>
      </c>
      <c r="H220">
        <v>170</v>
      </c>
      <c r="I220" t="s">
        <v>649</v>
      </c>
      <c r="J220">
        <v>0</v>
      </c>
      <c r="K220">
        <v>0.09</v>
      </c>
      <c r="L220">
        <v>0</v>
      </c>
      <c r="M220">
        <v>0</v>
      </c>
      <c r="N220">
        <v>20</v>
      </c>
      <c r="O220">
        <v>3.62</v>
      </c>
      <c r="P220">
        <v>23.71</v>
      </c>
      <c r="Q220">
        <f t="shared" si="30"/>
        <v>2024</v>
      </c>
      <c r="R220">
        <f t="shared" si="31"/>
        <v>2</v>
      </c>
      <c r="S220">
        <f t="shared" si="32"/>
        <v>2023</v>
      </c>
      <c r="T220">
        <f t="shared" si="33"/>
        <v>11</v>
      </c>
      <c r="U220">
        <f t="shared" si="34"/>
        <v>11</v>
      </c>
      <c r="V220" t="str">
        <f t="shared" si="35"/>
        <v>202311</v>
      </c>
      <c r="W220" t="str">
        <f t="shared" si="36"/>
        <v>Feb-24</v>
      </c>
      <c r="X220" s="3">
        <f t="shared" si="37"/>
        <v>-193.71</v>
      </c>
      <c r="Y220" t="str">
        <f t="shared" si="38"/>
        <v/>
      </c>
      <c r="Z220">
        <f t="shared" si="39"/>
        <v>-193.71</v>
      </c>
    </row>
    <row r="221" spans="1:26" x14ac:dyDescent="0.25">
      <c r="A221" s="1">
        <v>45335</v>
      </c>
      <c r="B221" t="s">
        <v>638</v>
      </c>
      <c r="C221" t="s">
        <v>17</v>
      </c>
      <c r="D221" t="s">
        <v>22</v>
      </c>
      <c r="E221">
        <v>40</v>
      </c>
      <c r="F221">
        <v>0</v>
      </c>
      <c r="G221">
        <v>4.1500000000000004</v>
      </c>
      <c r="H221">
        <v>166</v>
      </c>
      <c r="I221" t="s">
        <v>650</v>
      </c>
      <c r="J221">
        <v>0</v>
      </c>
      <c r="K221">
        <v>0.08</v>
      </c>
      <c r="L221">
        <v>0</v>
      </c>
      <c r="M221">
        <v>0</v>
      </c>
      <c r="N221">
        <v>20</v>
      </c>
      <c r="O221">
        <v>3.62</v>
      </c>
      <c r="P221">
        <v>23.7</v>
      </c>
      <c r="Q221">
        <f t="shared" si="30"/>
        <v>2024</v>
      </c>
      <c r="R221">
        <f t="shared" si="31"/>
        <v>2</v>
      </c>
      <c r="S221">
        <f t="shared" si="32"/>
        <v>2023</v>
      </c>
      <c r="T221">
        <f t="shared" si="33"/>
        <v>11</v>
      </c>
      <c r="U221">
        <f t="shared" si="34"/>
        <v>11</v>
      </c>
      <c r="V221" t="str">
        <f t="shared" si="35"/>
        <v>202311</v>
      </c>
      <c r="W221" t="str">
        <f t="shared" si="36"/>
        <v>Feb-24</v>
      </c>
      <c r="X221" s="3">
        <f t="shared" si="37"/>
        <v>-189.7</v>
      </c>
      <c r="Y221" t="str">
        <f t="shared" si="38"/>
        <v/>
      </c>
      <c r="Z221">
        <f t="shared" si="39"/>
        <v>-189.7</v>
      </c>
    </row>
    <row r="222" spans="1:26" x14ac:dyDescent="0.25">
      <c r="A222" s="1">
        <v>45335</v>
      </c>
      <c r="B222" t="s">
        <v>638</v>
      </c>
      <c r="C222" t="s">
        <v>17</v>
      </c>
      <c r="D222" t="s">
        <v>22</v>
      </c>
      <c r="E222">
        <v>40</v>
      </c>
      <c r="F222">
        <v>0</v>
      </c>
      <c r="G222">
        <v>4.25</v>
      </c>
      <c r="H222">
        <v>170</v>
      </c>
      <c r="I222" t="s">
        <v>651</v>
      </c>
      <c r="J222">
        <v>0</v>
      </c>
      <c r="K222">
        <v>0.09</v>
      </c>
      <c r="L222">
        <v>0</v>
      </c>
      <c r="M222">
        <v>0</v>
      </c>
      <c r="N222">
        <v>20</v>
      </c>
      <c r="O222">
        <v>3.62</v>
      </c>
      <c r="P222">
        <v>23.71</v>
      </c>
      <c r="Q222">
        <f t="shared" si="30"/>
        <v>2024</v>
      </c>
      <c r="R222">
        <f t="shared" si="31"/>
        <v>2</v>
      </c>
      <c r="S222">
        <f t="shared" si="32"/>
        <v>2023</v>
      </c>
      <c r="T222">
        <f t="shared" si="33"/>
        <v>11</v>
      </c>
      <c r="U222">
        <f t="shared" si="34"/>
        <v>11</v>
      </c>
      <c r="V222" t="str">
        <f t="shared" si="35"/>
        <v>202311</v>
      </c>
      <c r="W222" t="str">
        <f t="shared" si="36"/>
        <v>Feb-24</v>
      </c>
      <c r="X222" s="3">
        <f t="shared" si="37"/>
        <v>-193.71</v>
      </c>
      <c r="Y222" t="str">
        <f t="shared" si="38"/>
        <v/>
      </c>
      <c r="Z222">
        <f t="shared" si="39"/>
        <v>-193.71</v>
      </c>
    </row>
    <row r="223" spans="1:26" x14ac:dyDescent="0.25">
      <c r="A223" s="1">
        <v>45335</v>
      </c>
      <c r="B223" t="s">
        <v>638</v>
      </c>
      <c r="C223" t="s">
        <v>17</v>
      </c>
      <c r="D223" t="s">
        <v>22</v>
      </c>
      <c r="E223">
        <v>40</v>
      </c>
      <c r="F223">
        <v>0</v>
      </c>
      <c r="G223">
        <v>4.2</v>
      </c>
      <c r="H223">
        <v>168</v>
      </c>
      <c r="I223" t="s">
        <v>652</v>
      </c>
      <c r="J223">
        <v>0</v>
      </c>
      <c r="K223">
        <v>0.08</v>
      </c>
      <c r="L223">
        <v>0</v>
      </c>
      <c r="M223">
        <v>0</v>
      </c>
      <c r="N223">
        <v>20</v>
      </c>
      <c r="O223">
        <v>3.62</v>
      </c>
      <c r="P223">
        <v>23.7</v>
      </c>
      <c r="Q223">
        <f t="shared" si="30"/>
        <v>2024</v>
      </c>
      <c r="R223">
        <f t="shared" si="31"/>
        <v>2</v>
      </c>
      <c r="S223">
        <f t="shared" si="32"/>
        <v>2023</v>
      </c>
      <c r="T223">
        <f t="shared" si="33"/>
        <v>11</v>
      </c>
      <c r="U223">
        <f t="shared" si="34"/>
        <v>11</v>
      </c>
      <c r="V223" t="str">
        <f t="shared" si="35"/>
        <v>202311</v>
      </c>
      <c r="W223" t="str">
        <f t="shared" si="36"/>
        <v>Feb-24</v>
      </c>
      <c r="X223" s="3">
        <f t="shared" si="37"/>
        <v>-191.7</v>
      </c>
      <c r="Y223" t="str">
        <f t="shared" si="38"/>
        <v/>
      </c>
      <c r="Z223">
        <f t="shared" si="39"/>
        <v>-191.7</v>
      </c>
    </row>
    <row r="224" spans="1:26" x14ac:dyDescent="0.25">
      <c r="A224" s="1">
        <v>45335</v>
      </c>
      <c r="B224" t="s">
        <v>638</v>
      </c>
      <c r="C224" t="s">
        <v>17</v>
      </c>
      <c r="D224" t="s">
        <v>22</v>
      </c>
      <c r="E224">
        <v>40</v>
      </c>
      <c r="F224">
        <v>0</v>
      </c>
      <c r="G224">
        <v>4.2</v>
      </c>
      <c r="H224">
        <v>168</v>
      </c>
      <c r="I224" t="s">
        <v>653</v>
      </c>
      <c r="J224">
        <v>0</v>
      </c>
      <c r="K224">
        <v>0.08</v>
      </c>
      <c r="L224">
        <v>0</v>
      </c>
      <c r="M224">
        <v>0</v>
      </c>
      <c r="N224">
        <v>20</v>
      </c>
      <c r="O224">
        <v>3.62</v>
      </c>
      <c r="P224">
        <v>23.7</v>
      </c>
      <c r="Q224">
        <f t="shared" si="30"/>
        <v>2024</v>
      </c>
      <c r="R224">
        <f t="shared" si="31"/>
        <v>2</v>
      </c>
      <c r="S224">
        <f t="shared" si="32"/>
        <v>2023</v>
      </c>
      <c r="T224">
        <f t="shared" si="33"/>
        <v>11</v>
      </c>
      <c r="U224">
        <f t="shared" si="34"/>
        <v>11</v>
      </c>
      <c r="V224" t="str">
        <f t="shared" si="35"/>
        <v>202311</v>
      </c>
      <c r="W224" t="str">
        <f t="shared" si="36"/>
        <v>Feb-24</v>
      </c>
      <c r="X224" s="3">
        <f t="shared" si="37"/>
        <v>-191.7</v>
      </c>
      <c r="Y224" t="str">
        <f t="shared" si="38"/>
        <v/>
      </c>
      <c r="Z224">
        <f t="shared" si="39"/>
        <v>-191.7</v>
      </c>
    </row>
    <row r="225" spans="1:26" x14ac:dyDescent="0.25">
      <c r="A225" s="1">
        <v>45335</v>
      </c>
      <c r="B225" t="s">
        <v>638</v>
      </c>
      <c r="C225" t="s">
        <v>17</v>
      </c>
      <c r="D225" t="s">
        <v>22</v>
      </c>
      <c r="E225">
        <v>40</v>
      </c>
      <c r="F225">
        <v>0</v>
      </c>
      <c r="G225">
        <v>5.25</v>
      </c>
      <c r="H225">
        <v>210</v>
      </c>
      <c r="I225" t="s">
        <v>654</v>
      </c>
      <c r="J225">
        <v>0</v>
      </c>
      <c r="K225">
        <v>0.11</v>
      </c>
      <c r="L225">
        <v>0</v>
      </c>
      <c r="M225">
        <v>0</v>
      </c>
      <c r="N225">
        <v>20</v>
      </c>
      <c r="O225">
        <v>3.62</v>
      </c>
      <c r="P225">
        <v>23.73</v>
      </c>
      <c r="Q225">
        <f t="shared" si="30"/>
        <v>2024</v>
      </c>
      <c r="R225">
        <f t="shared" si="31"/>
        <v>2</v>
      </c>
      <c r="S225">
        <f t="shared" si="32"/>
        <v>2023</v>
      </c>
      <c r="T225">
        <f t="shared" si="33"/>
        <v>11</v>
      </c>
      <c r="U225">
        <f t="shared" si="34"/>
        <v>11</v>
      </c>
      <c r="V225" t="str">
        <f t="shared" si="35"/>
        <v>202311</v>
      </c>
      <c r="W225" t="str">
        <f t="shared" si="36"/>
        <v>Feb-24</v>
      </c>
      <c r="X225" s="3">
        <f t="shared" si="37"/>
        <v>-233.73</v>
      </c>
      <c r="Y225" t="str">
        <f t="shared" si="38"/>
        <v/>
      </c>
      <c r="Z225">
        <f t="shared" si="39"/>
        <v>-233.73</v>
      </c>
    </row>
    <row r="226" spans="1:26" x14ac:dyDescent="0.25">
      <c r="A226" s="1">
        <v>45335</v>
      </c>
      <c r="B226" t="s">
        <v>638</v>
      </c>
      <c r="C226" t="s">
        <v>17</v>
      </c>
      <c r="D226" t="s">
        <v>22</v>
      </c>
      <c r="E226">
        <v>40</v>
      </c>
      <c r="F226">
        <v>0</v>
      </c>
      <c r="G226">
        <v>5.2</v>
      </c>
      <c r="H226">
        <v>208</v>
      </c>
      <c r="I226" t="s">
        <v>655</v>
      </c>
      <c r="J226">
        <v>0</v>
      </c>
      <c r="K226">
        <v>0.11</v>
      </c>
      <c r="L226">
        <v>0</v>
      </c>
      <c r="M226">
        <v>0</v>
      </c>
      <c r="N226">
        <v>20</v>
      </c>
      <c r="O226">
        <v>3.62</v>
      </c>
      <c r="P226">
        <v>23.73</v>
      </c>
      <c r="Q226">
        <f t="shared" si="30"/>
        <v>2024</v>
      </c>
      <c r="R226">
        <f t="shared" si="31"/>
        <v>2</v>
      </c>
      <c r="S226">
        <f t="shared" si="32"/>
        <v>2023</v>
      </c>
      <c r="T226">
        <f t="shared" si="33"/>
        <v>11</v>
      </c>
      <c r="U226">
        <f t="shared" si="34"/>
        <v>11</v>
      </c>
      <c r="V226" t="str">
        <f t="shared" si="35"/>
        <v>202311</v>
      </c>
      <c r="W226" t="str">
        <f t="shared" si="36"/>
        <v>Feb-24</v>
      </c>
      <c r="X226" s="3">
        <f t="shared" si="37"/>
        <v>-231.73</v>
      </c>
      <c r="Y226" t="str">
        <f t="shared" si="38"/>
        <v/>
      </c>
      <c r="Z226">
        <f t="shared" si="39"/>
        <v>-231.73</v>
      </c>
    </row>
    <row r="227" spans="1:26" x14ac:dyDescent="0.25">
      <c r="A227" s="1">
        <v>45335</v>
      </c>
      <c r="B227" t="s">
        <v>638</v>
      </c>
      <c r="C227" t="s">
        <v>17</v>
      </c>
      <c r="D227" t="s">
        <v>22</v>
      </c>
      <c r="E227">
        <v>40</v>
      </c>
      <c r="F227">
        <v>0</v>
      </c>
      <c r="G227">
        <v>5.3</v>
      </c>
      <c r="H227">
        <v>212</v>
      </c>
      <c r="I227" t="s">
        <v>656</v>
      </c>
      <c r="J227">
        <v>0</v>
      </c>
      <c r="K227">
        <v>0.11</v>
      </c>
      <c r="L227">
        <v>0</v>
      </c>
      <c r="M227">
        <v>0</v>
      </c>
      <c r="N227">
        <v>20</v>
      </c>
      <c r="O227">
        <v>3.62</v>
      </c>
      <c r="P227">
        <v>23.73</v>
      </c>
      <c r="Q227">
        <f t="shared" si="30"/>
        <v>2024</v>
      </c>
      <c r="R227">
        <f t="shared" si="31"/>
        <v>2</v>
      </c>
      <c r="S227">
        <f t="shared" si="32"/>
        <v>2023</v>
      </c>
      <c r="T227">
        <f t="shared" si="33"/>
        <v>11</v>
      </c>
      <c r="U227">
        <f t="shared" si="34"/>
        <v>11</v>
      </c>
      <c r="V227" t="str">
        <f t="shared" si="35"/>
        <v>202311</v>
      </c>
      <c r="W227" t="str">
        <f t="shared" si="36"/>
        <v>Feb-24</v>
      </c>
      <c r="X227" s="3">
        <f t="shared" si="37"/>
        <v>-235.73</v>
      </c>
      <c r="Y227" t="str">
        <f t="shared" si="38"/>
        <v/>
      </c>
      <c r="Z227">
        <f t="shared" si="39"/>
        <v>-235.73</v>
      </c>
    </row>
    <row r="228" spans="1:26" x14ac:dyDescent="0.25">
      <c r="A228" s="1">
        <v>45335</v>
      </c>
      <c r="B228" t="s">
        <v>638</v>
      </c>
      <c r="C228" t="s">
        <v>17</v>
      </c>
      <c r="D228" t="s">
        <v>22</v>
      </c>
      <c r="E228">
        <v>40</v>
      </c>
      <c r="F228">
        <v>0</v>
      </c>
      <c r="G228">
        <v>5.15</v>
      </c>
      <c r="H228">
        <v>206</v>
      </c>
      <c r="I228" t="s">
        <v>657</v>
      </c>
      <c r="J228">
        <v>0</v>
      </c>
      <c r="K228">
        <v>0.1</v>
      </c>
      <c r="L228">
        <v>0</v>
      </c>
      <c r="M228">
        <v>0</v>
      </c>
      <c r="N228">
        <v>20</v>
      </c>
      <c r="O228">
        <v>3.62</v>
      </c>
      <c r="P228">
        <v>23.72</v>
      </c>
      <c r="Q228">
        <f t="shared" si="30"/>
        <v>2024</v>
      </c>
      <c r="R228">
        <f t="shared" si="31"/>
        <v>2</v>
      </c>
      <c r="S228">
        <f t="shared" si="32"/>
        <v>2023</v>
      </c>
      <c r="T228">
        <f t="shared" si="33"/>
        <v>11</v>
      </c>
      <c r="U228">
        <f t="shared" si="34"/>
        <v>11</v>
      </c>
      <c r="V228" t="str">
        <f t="shared" si="35"/>
        <v>202311</v>
      </c>
      <c r="W228" t="str">
        <f t="shared" si="36"/>
        <v>Feb-24</v>
      </c>
      <c r="X228" s="3">
        <f t="shared" si="37"/>
        <v>-229.72</v>
      </c>
      <c r="Y228" t="str">
        <f t="shared" si="38"/>
        <v/>
      </c>
      <c r="Z228">
        <f t="shared" si="39"/>
        <v>-229.72</v>
      </c>
    </row>
    <row r="229" spans="1:26" x14ac:dyDescent="0.25">
      <c r="A229" s="1">
        <v>45335</v>
      </c>
      <c r="B229" t="s">
        <v>638</v>
      </c>
      <c r="C229" t="s">
        <v>17</v>
      </c>
      <c r="D229" t="s">
        <v>22</v>
      </c>
      <c r="E229">
        <v>40</v>
      </c>
      <c r="F229">
        <v>0</v>
      </c>
      <c r="G229">
        <v>5.4</v>
      </c>
      <c r="H229">
        <v>216</v>
      </c>
      <c r="I229" t="s">
        <v>658</v>
      </c>
      <c r="J229">
        <v>0</v>
      </c>
      <c r="K229">
        <v>0.11</v>
      </c>
      <c r="L229">
        <v>0</v>
      </c>
      <c r="M229">
        <v>0</v>
      </c>
      <c r="N229">
        <v>20</v>
      </c>
      <c r="O229">
        <v>3.62</v>
      </c>
      <c r="P229">
        <v>23.73</v>
      </c>
      <c r="Q229">
        <f t="shared" si="30"/>
        <v>2024</v>
      </c>
      <c r="R229">
        <f t="shared" si="31"/>
        <v>2</v>
      </c>
      <c r="S229">
        <f t="shared" si="32"/>
        <v>2023</v>
      </c>
      <c r="T229">
        <f t="shared" si="33"/>
        <v>11</v>
      </c>
      <c r="U229">
        <f t="shared" si="34"/>
        <v>11</v>
      </c>
      <c r="V229" t="str">
        <f t="shared" si="35"/>
        <v>202311</v>
      </c>
      <c r="W229" t="str">
        <f t="shared" si="36"/>
        <v>Feb-24</v>
      </c>
      <c r="X229" s="3">
        <f t="shared" si="37"/>
        <v>-239.73</v>
      </c>
      <c r="Y229" t="str">
        <f t="shared" si="38"/>
        <v/>
      </c>
      <c r="Z229">
        <f t="shared" si="39"/>
        <v>-239.73</v>
      </c>
    </row>
    <row r="230" spans="1:26" x14ac:dyDescent="0.25">
      <c r="A230" s="1">
        <v>45335</v>
      </c>
      <c r="B230" t="s">
        <v>638</v>
      </c>
      <c r="C230" t="s">
        <v>17</v>
      </c>
      <c r="D230" t="s">
        <v>22</v>
      </c>
      <c r="E230">
        <v>40</v>
      </c>
      <c r="F230">
        <v>0</v>
      </c>
      <c r="G230">
        <v>5.45</v>
      </c>
      <c r="H230">
        <v>218</v>
      </c>
      <c r="I230" t="s">
        <v>659</v>
      </c>
      <c r="J230">
        <v>0</v>
      </c>
      <c r="K230">
        <v>0.11</v>
      </c>
      <c r="L230">
        <v>0</v>
      </c>
      <c r="M230">
        <v>0</v>
      </c>
      <c r="N230">
        <v>20</v>
      </c>
      <c r="O230">
        <v>3.62</v>
      </c>
      <c r="P230">
        <v>23.73</v>
      </c>
      <c r="Q230">
        <f t="shared" si="30"/>
        <v>2024</v>
      </c>
      <c r="R230">
        <f t="shared" si="31"/>
        <v>2</v>
      </c>
      <c r="S230">
        <f t="shared" si="32"/>
        <v>2023</v>
      </c>
      <c r="T230">
        <f t="shared" si="33"/>
        <v>11</v>
      </c>
      <c r="U230">
        <f t="shared" si="34"/>
        <v>11</v>
      </c>
      <c r="V230" t="str">
        <f t="shared" si="35"/>
        <v>202311</v>
      </c>
      <c r="W230" t="str">
        <f t="shared" si="36"/>
        <v>Feb-24</v>
      </c>
      <c r="X230" s="3">
        <f t="shared" si="37"/>
        <v>-241.73</v>
      </c>
      <c r="Y230" t="str">
        <f t="shared" si="38"/>
        <v/>
      </c>
      <c r="Z230">
        <f t="shared" si="39"/>
        <v>-241.73</v>
      </c>
    </row>
    <row r="231" spans="1:26" x14ac:dyDescent="0.25">
      <c r="A231" s="1">
        <v>45335</v>
      </c>
      <c r="B231" t="s">
        <v>638</v>
      </c>
      <c r="C231" t="s">
        <v>17</v>
      </c>
      <c r="D231" t="s">
        <v>22</v>
      </c>
      <c r="E231">
        <v>40</v>
      </c>
      <c r="F231">
        <v>0</v>
      </c>
      <c r="G231">
        <v>6.05</v>
      </c>
      <c r="H231">
        <v>242</v>
      </c>
      <c r="I231" t="s">
        <v>660</v>
      </c>
      <c r="J231">
        <v>0</v>
      </c>
      <c r="K231">
        <v>0.12</v>
      </c>
      <c r="L231">
        <v>0</v>
      </c>
      <c r="M231">
        <v>0</v>
      </c>
      <c r="N231">
        <v>20</v>
      </c>
      <c r="O231">
        <v>3.62</v>
      </c>
      <c r="P231">
        <v>23.74</v>
      </c>
      <c r="Q231">
        <f t="shared" si="30"/>
        <v>2024</v>
      </c>
      <c r="R231">
        <f t="shared" si="31"/>
        <v>2</v>
      </c>
      <c r="S231">
        <f t="shared" si="32"/>
        <v>2023</v>
      </c>
      <c r="T231">
        <f t="shared" si="33"/>
        <v>11</v>
      </c>
      <c r="U231">
        <f t="shared" si="34"/>
        <v>11</v>
      </c>
      <c r="V231" t="str">
        <f t="shared" si="35"/>
        <v>202311</v>
      </c>
      <c r="W231" t="str">
        <f t="shared" si="36"/>
        <v>Feb-24</v>
      </c>
      <c r="X231" s="3">
        <f t="shared" si="37"/>
        <v>-265.74</v>
      </c>
      <c r="Y231" t="str">
        <f t="shared" si="38"/>
        <v/>
      </c>
      <c r="Z231">
        <f t="shared" si="39"/>
        <v>-265.74</v>
      </c>
    </row>
    <row r="232" spans="1:26" x14ac:dyDescent="0.25">
      <c r="A232" s="1">
        <v>45335</v>
      </c>
      <c r="B232" t="s">
        <v>638</v>
      </c>
      <c r="C232" t="s">
        <v>17</v>
      </c>
      <c r="D232" t="s">
        <v>22</v>
      </c>
      <c r="E232">
        <v>40</v>
      </c>
      <c r="F232">
        <v>0</v>
      </c>
      <c r="G232">
        <v>6.2</v>
      </c>
      <c r="H232">
        <v>248</v>
      </c>
      <c r="I232" t="s">
        <v>661</v>
      </c>
      <c r="J232">
        <v>0</v>
      </c>
      <c r="K232">
        <v>0.13</v>
      </c>
      <c r="L232">
        <v>0</v>
      </c>
      <c r="M232">
        <v>0</v>
      </c>
      <c r="N232">
        <v>20</v>
      </c>
      <c r="O232">
        <v>3.62</v>
      </c>
      <c r="P232">
        <v>23.75</v>
      </c>
      <c r="Q232">
        <f t="shared" si="30"/>
        <v>2024</v>
      </c>
      <c r="R232">
        <f t="shared" si="31"/>
        <v>2</v>
      </c>
      <c r="S232">
        <f t="shared" si="32"/>
        <v>2023</v>
      </c>
      <c r="T232">
        <f t="shared" si="33"/>
        <v>11</v>
      </c>
      <c r="U232">
        <f t="shared" si="34"/>
        <v>11</v>
      </c>
      <c r="V232" t="str">
        <f t="shared" si="35"/>
        <v>202311</v>
      </c>
      <c r="W232" t="str">
        <f t="shared" si="36"/>
        <v>Feb-24</v>
      </c>
      <c r="X232" s="3">
        <f t="shared" si="37"/>
        <v>-271.75</v>
      </c>
      <c r="Y232" t="str">
        <f t="shared" si="38"/>
        <v/>
      </c>
      <c r="Z232">
        <f t="shared" si="39"/>
        <v>-271.75</v>
      </c>
    </row>
    <row r="233" spans="1:26" x14ac:dyDescent="0.25">
      <c r="A233" s="1">
        <v>45335</v>
      </c>
      <c r="B233" t="s">
        <v>638</v>
      </c>
      <c r="C233" t="s">
        <v>17</v>
      </c>
      <c r="D233" t="s">
        <v>22</v>
      </c>
      <c r="E233">
        <v>40</v>
      </c>
      <c r="F233">
        <v>0</v>
      </c>
      <c r="G233">
        <v>6.7</v>
      </c>
      <c r="H233">
        <v>268</v>
      </c>
      <c r="I233" t="s">
        <v>662</v>
      </c>
      <c r="J233">
        <v>0</v>
      </c>
      <c r="K233">
        <v>0.14000000000000001</v>
      </c>
      <c r="L233">
        <v>0</v>
      </c>
      <c r="M233">
        <v>0</v>
      </c>
      <c r="N233">
        <v>20</v>
      </c>
      <c r="O233">
        <v>3.62</v>
      </c>
      <c r="P233">
        <v>23.76</v>
      </c>
      <c r="Q233">
        <f t="shared" si="30"/>
        <v>2024</v>
      </c>
      <c r="R233">
        <f t="shared" si="31"/>
        <v>2</v>
      </c>
      <c r="S233">
        <f t="shared" si="32"/>
        <v>2023</v>
      </c>
      <c r="T233">
        <f t="shared" si="33"/>
        <v>11</v>
      </c>
      <c r="U233">
        <f t="shared" si="34"/>
        <v>11</v>
      </c>
      <c r="V233" t="str">
        <f t="shared" si="35"/>
        <v>202311</v>
      </c>
      <c r="W233" t="str">
        <f t="shared" si="36"/>
        <v>Feb-24</v>
      </c>
      <c r="X233" s="3">
        <f t="shared" si="37"/>
        <v>-291.76</v>
      </c>
      <c r="Y233" t="str">
        <f t="shared" si="38"/>
        <v/>
      </c>
      <c r="Z233">
        <f t="shared" si="39"/>
        <v>-291.76</v>
      </c>
    </row>
    <row r="234" spans="1:26" x14ac:dyDescent="0.25">
      <c r="A234" s="1">
        <v>45335</v>
      </c>
      <c r="B234" t="s">
        <v>638</v>
      </c>
      <c r="C234" t="s">
        <v>17</v>
      </c>
      <c r="D234" t="s">
        <v>22</v>
      </c>
      <c r="E234">
        <v>40</v>
      </c>
      <c r="F234">
        <v>0</v>
      </c>
      <c r="G234">
        <v>7.6</v>
      </c>
      <c r="H234">
        <v>304</v>
      </c>
      <c r="I234" t="s">
        <v>663</v>
      </c>
      <c r="J234">
        <v>0</v>
      </c>
      <c r="K234">
        <v>0.15</v>
      </c>
      <c r="L234">
        <v>0</v>
      </c>
      <c r="M234">
        <v>0</v>
      </c>
      <c r="N234">
        <v>20</v>
      </c>
      <c r="O234">
        <v>3.62</v>
      </c>
      <c r="P234">
        <v>23.77</v>
      </c>
      <c r="Q234">
        <f t="shared" si="30"/>
        <v>2024</v>
      </c>
      <c r="R234">
        <f t="shared" si="31"/>
        <v>2</v>
      </c>
      <c r="S234">
        <f t="shared" si="32"/>
        <v>2023</v>
      </c>
      <c r="T234">
        <f t="shared" si="33"/>
        <v>11</v>
      </c>
      <c r="U234">
        <f t="shared" si="34"/>
        <v>11</v>
      </c>
      <c r="V234" t="str">
        <f t="shared" si="35"/>
        <v>202311</v>
      </c>
      <c r="W234" t="str">
        <f t="shared" si="36"/>
        <v>Feb-24</v>
      </c>
      <c r="X234" s="3">
        <f t="shared" si="37"/>
        <v>-327.77</v>
      </c>
      <c r="Y234" t="str">
        <f t="shared" si="38"/>
        <v/>
      </c>
      <c r="Z234">
        <f t="shared" si="39"/>
        <v>-327.77</v>
      </c>
    </row>
    <row r="235" spans="1:26" x14ac:dyDescent="0.25">
      <c r="A235" s="1">
        <v>45335</v>
      </c>
      <c r="B235" t="s">
        <v>638</v>
      </c>
      <c r="C235" t="s">
        <v>17</v>
      </c>
      <c r="D235" t="s">
        <v>22</v>
      </c>
      <c r="E235">
        <v>40</v>
      </c>
      <c r="F235">
        <v>0</v>
      </c>
      <c r="G235">
        <v>7.15</v>
      </c>
      <c r="H235">
        <v>286</v>
      </c>
      <c r="I235" t="s">
        <v>664</v>
      </c>
      <c r="J235">
        <v>0</v>
      </c>
      <c r="K235">
        <v>0.14000000000000001</v>
      </c>
      <c r="L235">
        <v>0</v>
      </c>
      <c r="M235">
        <v>0</v>
      </c>
      <c r="N235">
        <v>20</v>
      </c>
      <c r="O235">
        <v>3.62</v>
      </c>
      <c r="P235">
        <v>23.76</v>
      </c>
      <c r="Q235">
        <f t="shared" si="30"/>
        <v>2024</v>
      </c>
      <c r="R235">
        <f t="shared" si="31"/>
        <v>2</v>
      </c>
      <c r="S235">
        <f t="shared" si="32"/>
        <v>2023</v>
      </c>
      <c r="T235">
        <f t="shared" si="33"/>
        <v>11</v>
      </c>
      <c r="U235">
        <f t="shared" si="34"/>
        <v>11</v>
      </c>
      <c r="V235" t="str">
        <f t="shared" si="35"/>
        <v>202311</v>
      </c>
      <c r="W235" t="str">
        <f t="shared" si="36"/>
        <v>Feb-24</v>
      </c>
      <c r="X235" s="3">
        <f t="shared" si="37"/>
        <v>-309.76</v>
      </c>
      <c r="Y235" t="str">
        <f t="shared" si="38"/>
        <v/>
      </c>
      <c r="Z235">
        <f t="shared" si="39"/>
        <v>-309.76</v>
      </c>
    </row>
    <row r="236" spans="1:26" x14ac:dyDescent="0.25">
      <c r="A236" s="1">
        <v>45335</v>
      </c>
      <c r="B236" t="s">
        <v>638</v>
      </c>
      <c r="C236" t="s">
        <v>17</v>
      </c>
      <c r="D236" t="s">
        <v>22</v>
      </c>
      <c r="E236">
        <v>40</v>
      </c>
      <c r="F236">
        <v>0</v>
      </c>
      <c r="G236">
        <v>7.75</v>
      </c>
      <c r="H236">
        <v>310</v>
      </c>
      <c r="I236" t="s">
        <v>665</v>
      </c>
      <c r="J236">
        <v>0</v>
      </c>
      <c r="K236">
        <v>0.16</v>
      </c>
      <c r="L236">
        <v>0.27</v>
      </c>
      <c r="M236">
        <v>0</v>
      </c>
      <c r="N236">
        <v>20</v>
      </c>
      <c r="O236">
        <v>3.62</v>
      </c>
      <c r="P236">
        <v>24.05</v>
      </c>
      <c r="Q236">
        <f t="shared" si="30"/>
        <v>2024</v>
      </c>
      <c r="R236">
        <f t="shared" si="31"/>
        <v>2</v>
      </c>
      <c r="S236">
        <f t="shared" si="32"/>
        <v>2023</v>
      </c>
      <c r="T236">
        <f t="shared" si="33"/>
        <v>11</v>
      </c>
      <c r="U236">
        <f t="shared" si="34"/>
        <v>11</v>
      </c>
      <c r="V236" t="str">
        <f t="shared" si="35"/>
        <v>202311</v>
      </c>
      <c r="W236" t="str">
        <f t="shared" si="36"/>
        <v>Feb-24</v>
      </c>
      <c r="X236" s="3">
        <f t="shared" si="37"/>
        <v>-334.05</v>
      </c>
      <c r="Y236" t="str">
        <f t="shared" si="38"/>
        <v/>
      </c>
      <c r="Z236">
        <f t="shared" si="39"/>
        <v>-334.05</v>
      </c>
    </row>
    <row r="237" spans="1:26" x14ac:dyDescent="0.25">
      <c r="A237" s="1">
        <v>45335</v>
      </c>
      <c r="B237" t="s">
        <v>638</v>
      </c>
      <c r="C237" t="s">
        <v>17</v>
      </c>
      <c r="D237" t="s">
        <v>22</v>
      </c>
      <c r="E237">
        <v>40</v>
      </c>
      <c r="F237">
        <v>0</v>
      </c>
      <c r="G237">
        <v>7.65</v>
      </c>
      <c r="H237">
        <v>306</v>
      </c>
      <c r="I237" t="s">
        <v>666</v>
      </c>
      <c r="J237">
        <v>0</v>
      </c>
      <c r="K237">
        <v>0.15</v>
      </c>
      <c r="L237">
        <v>0</v>
      </c>
      <c r="M237">
        <v>0</v>
      </c>
      <c r="N237">
        <v>20</v>
      </c>
      <c r="O237">
        <v>3.62</v>
      </c>
      <c r="P237">
        <v>23.77</v>
      </c>
      <c r="Q237">
        <f t="shared" si="30"/>
        <v>2024</v>
      </c>
      <c r="R237">
        <f t="shared" si="31"/>
        <v>2</v>
      </c>
      <c r="S237">
        <f t="shared" si="32"/>
        <v>2023</v>
      </c>
      <c r="T237">
        <f t="shared" si="33"/>
        <v>11</v>
      </c>
      <c r="U237">
        <f t="shared" si="34"/>
        <v>11</v>
      </c>
      <c r="V237" t="str">
        <f t="shared" si="35"/>
        <v>202311</v>
      </c>
      <c r="W237" t="str">
        <f t="shared" si="36"/>
        <v>Feb-24</v>
      </c>
      <c r="X237" s="3">
        <f t="shared" si="37"/>
        <v>-329.77</v>
      </c>
      <c r="Y237" t="str">
        <f t="shared" si="38"/>
        <v/>
      </c>
      <c r="Z237">
        <f t="shared" si="39"/>
        <v>-329.77</v>
      </c>
    </row>
    <row r="238" spans="1:26" x14ac:dyDescent="0.25">
      <c r="A238" s="1">
        <v>45335</v>
      </c>
      <c r="B238" t="s">
        <v>638</v>
      </c>
      <c r="C238" t="s">
        <v>17</v>
      </c>
      <c r="D238" t="s">
        <v>22</v>
      </c>
      <c r="E238">
        <v>40</v>
      </c>
      <c r="F238">
        <v>0</v>
      </c>
      <c r="G238">
        <v>7.45</v>
      </c>
      <c r="H238">
        <v>298</v>
      </c>
      <c r="I238" t="s">
        <v>667</v>
      </c>
      <c r="J238">
        <v>0</v>
      </c>
      <c r="K238">
        <v>0.15</v>
      </c>
      <c r="L238">
        <v>0</v>
      </c>
      <c r="M238">
        <v>0</v>
      </c>
      <c r="N238">
        <v>20</v>
      </c>
      <c r="O238">
        <v>3.62</v>
      </c>
      <c r="P238">
        <v>23.77</v>
      </c>
      <c r="Q238">
        <f t="shared" si="30"/>
        <v>2024</v>
      </c>
      <c r="R238">
        <f t="shared" si="31"/>
        <v>2</v>
      </c>
      <c r="S238">
        <f t="shared" si="32"/>
        <v>2023</v>
      </c>
      <c r="T238">
        <f t="shared" si="33"/>
        <v>11</v>
      </c>
      <c r="U238">
        <f t="shared" si="34"/>
        <v>11</v>
      </c>
      <c r="V238" t="str">
        <f t="shared" si="35"/>
        <v>202311</v>
      </c>
      <c r="W238" t="str">
        <f t="shared" si="36"/>
        <v>Feb-24</v>
      </c>
      <c r="X238" s="3">
        <f t="shared" si="37"/>
        <v>-321.77</v>
      </c>
      <c r="Y238" t="str">
        <f t="shared" si="38"/>
        <v/>
      </c>
      <c r="Z238">
        <f t="shared" si="39"/>
        <v>-321.77</v>
      </c>
    </row>
    <row r="239" spans="1:26" x14ac:dyDescent="0.25">
      <c r="A239" s="1">
        <v>45335</v>
      </c>
      <c r="B239" t="s">
        <v>638</v>
      </c>
      <c r="C239" t="s">
        <v>17</v>
      </c>
      <c r="D239" t="s">
        <v>22</v>
      </c>
      <c r="E239">
        <v>40</v>
      </c>
      <c r="F239">
        <v>0</v>
      </c>
      <c r="G239">
        <v>7.55</v>
      </c>
      <c r="H239">
        <v>302</v>
      </c>
      <c r="I239" t="s">
        <v>668</v>
      </c>
      <c r="J239">
        <v>0</v>
      </c>
      <c r="K239">
        <v>0.15</v>
      </c>
      <c r="L239">
        <v>0</v>
      </c>
      <c r="M239">
        <v>0</v>
      </c>
      <c r="N239">
        <v>20</v>
      </c>
      <c r="O239">
        <v>3.62</v>
      </c>
      <c r="P239">
        <v>23.77</v>
      </c>
      <c r="Q239">
        <f t="shared" si="30"/>
        <v>2024</v>
      </c>
      <c r="R239">
        <f t="shared" si="31"/>
        <v>2</v>
      </c>
      <c r="S239">
        <f t="shared" si="32"/>
        <v>2023</v>
      </c>
      <c r="T239">
        <f t="shared" si="33"/>
        <v>11</v>
      </c>
      <c r="U239">
        <f t="shared" si="34"/>
        <v>11</v>
      </c>
      <c r="V239" t="str">
        <f t="shared" si="35"/>
        <v>202311</v>
      </c>
      <c r="W239" t="str">
        <f t="shared" si="36"/>
        <v>Feb-24</v>
      </c>
      <c r="X239" s="3">
        <f t="shared" si="37"/>
        <v>-325.77</v>
      </c>
      <c r="Y239" t="str">
        <f t="shared" si="38"/>
        <v/>
      </c>
      <c r="Z239">
        <f t="shared" si="39"/>
        <v>-325.77</v>
      </c>
    </row>
    <row r="240" spans="1:26" x14ac:dyDescent="0.25">
      <c r="A240" s="1">
        <v>45335</v>
      </c>
      <c r="B240" t="s">
        <v>638</v>
      </c>
      <c r="C240" t="s">
        <v>17</v>
      </c>
      <c r="D240" t="s">
        <v>22</v>
      </c>
      <c r="E240">
        <v>40</v>
      </c>
      <c r="F240">
        <v>0</v>
      </c>
      <c r="G240">
        <v>7.55</v>
      </c>
      <c r="H240">
        <v>302</v>
      </c>
      <c r="I240" t="s">
        <v>669</v>
      </c>
      <c r="J240">
        <v>0</v>
      </c>
      <c r="K240">
        <v>0.15</v>
      </c>
      <c r="L240">
        <v>0</v>
      </c>
      <c r="M240">
        <v>0</v>
      </c>
      <c r="N240">
        <v>20</v>
      </c>
      <c r="O240">
        <v>3.62</v>
      </c>
      <c r="P240">
        <v>23.77</v>
      </c>
      <c r="Q240">
        <f t="shared" si="30"/>
        <v>2024</v>
      </c>
      <c r="R240">
        <f t="shared" si="31"/>
        <v>2</v>
      </c>
      <c r="S240">
        <f t="shared" si="32"/>
        <v>2023</v>
      </c>
      <c r="T240">
        <f t="shared" si="33"/>
        <v>11</v>
      </c>
      <c r="U240">
        <f t="shared" si="34"/>
        <v>11</v>
      </c>
      <c r="V240" t="str">
        <f t="shared" si="35"/>
        <v>202311</v>
      </c>
      <c r="W240" t="str">
        <f t="shared" si="36"/>
        <v>Feb-24</v>
      </c>
      <c r="X240" s="3">
        <f t="shared" si="37"/>
        <v>-325.77</v>
      </c>
      <c r="Y240" t="str">
        <f t="shared" si="38"/>
        <v/>
      </c>
      <c r="Z240">
        <f t="shared" si="39"/>
        <v>-325.77</v>
      </c>
    </row>
    <row r="241" spans="1:26" x14ac:dyDescent="0.25">
      <c r="A241" s="1">
        <v>45335</v>
      </c>
      <c r="B241" t="s">
        <v>638</v>
      </c>
      <c r="C241" t="s">
        <v>17</v>
      </c>
      <c r="D241" t="s">
        <v>22</v>
      </c>
      <c r="E241">
        <v>40</v>
      </c>
      <c r="F241">
        <v>0</v>
      </c>
      <c r="G241">
        <v>6.85</v>
      </c>
      <c r="H241">
        <v>274</v>
      </c>
      <c r="I241" t="s">
        <v>670</v>
      </c>
      <c r="J241">
        <v>0</v>
      </c>
      <c r="K241">
        <v>0.14000000000000001</v>
      </c>
      <c r="L241">
        <v>0</v>
      </c>
      <c r="M241">
        <v>0</v>
      </c>
      <c r="N241">
        <v>20</v>
      </c>
      <c r="O241">
        <v>3.62</v>
      </c>
      <c r="P241">
        <v>23.76</v>
      </c>
      <c r="Q241">
        <f t="shared" si="30"/>
        <v>2024</v>
      </c>
      <c r="R241">
        <f t="shared" si="31"/>
        <v>2</v>
      </c>
      <c r="S241">
        <f t="shared" si="32"/>
        <v>2023</v>
      </c>
      <c r="T241">
        <f t="shared" si="33"/>
        <v>11</v>
      </c>
      <c r="U241">
        <f t="shared" si="34"/>
        <v>11</v>
      </c>
      <c r="V241" t="str">
        <f t="shared" si="35"/>
        <v>202311</v>
      </c>
      <c r="W241" t="str">
        <f t="shared" si="36"/>
        <v>Feb-24</v>
      </c>
      <c r="X241" s="3">
        <f t="shared" si="37"/>
        <v>-297.76</v>
      </c>
      <c r="Y241" t="str">
        <f t="shared" si="38"/>
        <v/>
      </c>
      <c r="Z241">
        <f t="shared" si="39"/>
        <v>-297.76</v>
      </c>
    </row>
    <row r="242" spans="1:26" x14ac:dyDescent="0.25">
      <c r="A242" s="1">
        <v>45335</v>
      </c>
      <c r="B242" t="s">
        <v>638</v>
      </c>
      <c r="C242" t="s">
        <v>17</v>
      </c>
      <c r="D242" t="s">
        <v>22</v>
      </c>
      <c r="E242">
        <v>40</v>
      </c>
      <c r="F242">
        <v>0</v>
      </c>
      <c r="G242">
        <v>6.35</v>
      </c>
      <c r="H242">
        <v>254</v>
      </c>
      <c r="I242" t="s">
        <v>671</v>
      </c>
      <c r="J242">
        <v>0</v>
      </c>
      <c r="K242">
        <v>0.13</v>
      </c>
      <c r="L242">
        <v>0</v>
      </c>
      <c r="M242">
        <v>0</v>
      </c>
      <c r="N242">
        <v>20</v>
      </c>
      <c r="O242">
        <v>3.62</v>
      </c>
      <c r="P242">
        <v>23.75</v>
      </c>
      <c r="Q242">
        <f t="shared" si="30"/>
        <v>2024</v>
      </c>
      <c r="R242">
        <f t="shared" si="31"/>
        <v>2</v>
      </c>
      <c r="S242">
        <f t="shared" si="32"/>
        <v>2023</v>
      </c>
      <c r="T242">
        <f t="shared" si="33"/>
        <v>11</v>
      </c>
      <c r="U242">
        <f t="shared" si="34"/>
        <v>11</v>
      </c>
      <c r="V242" t="str">
        <f t="shared" si="35"/>
        <v>202311</v>
      </c>
      <c r="W242" t="str">
        <f t="shared" si="36"/>
        <v>Feb-24</v>
      </c>
      <c r="X242" s="3">
        <f t="shared" si="37"/>
        <v>-277.75</v>
      </c>
      <c r="Y242" t="str">
        <f t="shared" si="38"/>
        <v/>
      </c>
      <c r="Z242">
        <f t="shared" si="39"/>
        <v>-277.75</v>
      </c>
    </row>
    <row r="243" spans="1:26" x14ac:dyDescent="0.25">
      <c r="A243" s="1">
        <v>45335</v>
      </c>
      <c r="B243" t="s">
        <v>638</v>
      </c>
      <c r="C243" t="s">
        <v>17</v>
      </c>
      <c r="D243" t="s">
        <v>22</v>
      </c>
      <c r="E243">
        <v>40</v>
      </c>
      <c r="F243">
        <v>0</v>
      </c>
      <c r="G243">
        <v>6.65</v>
      </c>
      <c r="H243">
        <v>266</v>
      </c>
      <c r="I243" t="s">
        <v>672</v>
      </c>
      <c r="J243">
        <v>0</v>
      </c>
      <c r="K243">
        <v>0.13</v>
      </c>
      <c r="L243">
        <v>0</v>
      </c>
      <c r="M243">
        <v>0</v>
      </c>
      <c r="N243">
        <v>20</v>
      </c>
      <c r="O243">
        <v>3.62</v>
      </c>
      <c r="P243">
        <v>23.75</v>
      </c>
      <c r="Q243">
        <f t="shared" si="30"/>
        <v>2024</v>
      </c>
      <c r="R243">
        <f t="shared" si="31"/>
        <v>2</v>
      </c>
      <c r="S243">
        <f t="shared" si="32"/>
        <v>2023</v>
      </c>
      <c r="T243">
        <f t="shared" si="33"/>
        <v>11</v>
      </c>
      <c r="U243">
        <f t="shared" si="34"/>
        <v>11</v>
      </c>
      <c r="V243" t="str">
        <f t="shared" si="35"/>
        <v>202311</v>
      </c>
      <c r="W243" t="str">
        <f t="shared" si="36"/>
        <v>Feb-24</v>
      </c>
      <c r="X243" s="3">
        <f t="shared" si="37"/>
        <v>-289.75</v>
      </c>
      <c r="Y243" t="str">
        <f t="shared" si="38"/>
        <v/>
      </c>
      <c r="Z243">
        <f t="shared" si="39"/>
        <v>-289.75</v>
      </c>
    </row>
    <row r="244" spans="1:26" x14ac:dyDescent="0.25">
      <c r="A244" s="1">
        <v>45335</v>
      </c>
      <c r="B244" t="s">
        <v>638</v>
      </c>
      <c r="C244" t="s">
        <v>17</v>
      </c>
      <c r="D244" t="s">
        <v>22</v>
      </c>
      <c r="E244">
        <v>40</v>
      </c>
      <c r="F244">
        <v>0</v>
      </c>
      <c r="G244">
        <v>6.9</v>
      </c>
      <c r="H244">
        <v>276</v>
      </c>
      <c r="I244" t="s">
        <v>673</v>
      </c>
      <c r="J244">
        <v>0</v>
      </c>
      <c r="K244">
        <v>0.14000000000000001</v>
      </c>
      <c r="L244">
        <v>0</v>
      </c>
      <c r="M244">
        <v>0</v>
      </c>
      <c r="N244">
        <v>20</v>
      </c>
      <c r="O244">
        <v>3.62</v>
      </c>
      <c r="P244">
        <v>23.76</v>
      </c>
      <c r="Q244">
        <f t="shared" si="30"/>
        <v>2024</v>
      </c>
      <c r="R244">
        <f t="shared" si="31"/>
        <v>2</v>
      </c>
      <c r="S244">
        <f t="shared" si="32"/>
        <v>2023</v>
      </c>
      <c r="T244">
        <f t="shared" si="33"/>
        <v>11</v>
      </c>
      <c r="U244">
        <f t="shared" si="34"/>
        <v>11</v>
      </c>
      <c r="V244" t="str">
        <f t="shared" si="35"/>
        <v>202311</v>
      </c>
      <c r="W244" t="str">
        <f t="shared" si="36"/>
        <v>Feb-24</v>
      </c>
      <c r="X244" s="3">
        <f t="shared" si="37"/>
        <v>-299.76</v>
      </c>
      <c r="Y244" t="str">
        <f t="shared" si="38"/>
        <v/>
      </c>
      <c r="Z244">
        <f t="shared" si="39"/>
        <v>-299.76</v>
      </c>
    </row>
    <row r="245" spans="1:26" x14ac:dyDescent="0.25">
      <c r="A245" s="1">
        <v>45335</v>
      </c>
      <c r="B245" t="s">
        <v>638</v>
      </c>
      <c r="C245" t="s">
        <v>17</v>
      </c>
      <c r="D245" t="s">
        <v>22</v>
      </c>
      <c r="E245">
        <v>40</v>
      </c>
      <c r="F245">
        <v>0</v>
      </c>
      <c r="G245">
        <v>7.7</v>
      </c>
      <c r="H245">
        <v>308</v>
      </c>
      <c r="I245" t="s">
        <v>674</v>
      </c>
      <c r="J245">
        <v>0</v>
      </c>
      <c r="K245">
        <v>0.16</v>
      </c>
      <c r="L245">
        <v>0</v>
      </c>
      <c r="M245">
        <v>0</v>
      </c>
      <c r="N245">
        <v>20</v>
      </c>
      <c r="O245">
        <v>3.62</v>
      </c>
      <c r="P245">
        <v>23.78</v>
      </c>
      <c r="Q245">
        <f t="shared" si="30"/>
        <v>2024</v>
      </c>
      <c r="R245">
        <f t="shared" si="31"/>
        <v>2</v>
      </c>
      <c r="S245">
        <f t="shared" si="32"/>
        <v>2023</v>
      </c>
      <c r="T245">
        <f t="shared" si="33"/>
        <v>11</v>
      </c>
      <c r="U245">
        <f t="shared" si="34"/>
        <v>11</v>
      </c>
      <c r="V245" t="str">
        <f t="shared" si="35"/>
        <v>202311</v>
      </c>
      <c r="W245" t="str">
        <f t="shared" si="36"/>
        <v>Feb-24</v>
      </c>
      <c r="X245" s="3">
        <f t="shared" si="37"/>
        <v>-331.78</v>
      </c>
      <c r="Y245" t="str">
        <f t="shared" si="38"/>
        <v/>
      </c>
      <c r="Z245">
        <f t="shared" si="39"/>
        <v>-331.78</v>
      </c>
    </row>
    <row r="246" spans="1:26" x14ac:dyDescent="0.25">
      <c r="A246" s="1">
        <v>45335</v>
      </c>
      <c r="B246" t="s">
        <v>638</v>
      </c>
      <c r="C246" t="s">
        <v>17</v>
      </c>
      <c r="D246" t="s">
        <v>22</v>
      </c>
      <c r="E246">
        <v>40</v>
      </c>
      <c r="F246">
        <v>0</v>
      </c>
      <c r="G246">
        <v>9</v>
      </c>
      <c r="H246">
        <v>360</v>
      </c>
      <c r="I246" t="s">
        <v>675</v>
      </c>
      <c r="J246">
        <v>0</v>
      </c>
      <c r="K246">
        <v>0.18</v>
      </c>
      <c r="L246">
        <v>0</v>
      </c>
      <c r="M246">
        <v>0</v>
      </c>
      <c r="N246">
        <v>20</v>
      </c>
      <c r="O246">
        <v>3.64</v>
      </c>
      <c r="P246">
        <v>23.82</v>
      </c>
      <c r="Q246">
        <f t="shared" si="30"/>
        <v>2024</v>
      </c>
      <c r="R246">
        <f t="shared" si="31"/>
        <v>2</v>
      </c>
      <c r="S246">
        <f t="shared" si="32"/>
        <v>2023</v>
      </c>
      <c r="T246">
        <f t="shared" si="33"/>
        <v>11</v>
      </c>
      <c r="U246">
        <f t="shared" si="34"/>
        <v>11</v>
      </c>
      <c r="V246" t="str">
        <f t="shared" si="35"/>
        <v>202311</v>
      </c>
      <c r="W246" t="str">
        <f t="shared" si="36"/>
        <v>Feb-24</v>
      </c>
      <c r="X246" s="3">
        <f t="shared" si="37"/>
        <v>-383.82</v>
      </c>
      <c r="Y246" t="str">
        <f t="shared" si="38"/>
        <v/>
      </c>
      <c r="Z246">
        <f t="shared" si="39"/>
        <v>-383.82</v>
      </c>
    </row>
    <row r="247" spans="1:26" x14ac:dyDescent="0.25">
      <c r="A247" s="1">
        <v>45335</v>
      </c>
      <c r="B247" t="s">
        <v>638</v>
      </c>
      <c r="C247" t="s">
        <v>17</v>
      </c>
      <c r="D247" t="s">
        <v>22</v>
      </c>
      <c r="E247">
        <v>40</v>
      </c>
      <c r="F247">
        <v>0</v>
      </c>
      <c r="G247">
        <v>10.3</v>
      </c>
      <c r="H247">
        <v>412</v>
      </c>
      <c r="I247" t="s">
        <v>676</v>
      </c>
      <c r="J247">
        <v>0</v>
      </c>
      <c r="K247">
        <v>0.21</v>
      </c>
      <c r="L247">
        <v>0</v>
      </c>
      <c r="M247">
        <v>0</v>
      </c>
      <c r="N247">
        <v>20</v>
      </c>
      <c r="O247">
        <v>3.64</v>
      </c>
      <c r="P247">
        <v>23.85</v>
      </c>
      <c r="Q247">
        <f t="shared" si="30"/>
        <v>2024</v>
      </c>
      <c r="R247">
        <f t="shared" si="31"/>
        <v>2</v>
      </c>
      <c r="S247">
        <f t="shared" si="32"/>
        <v>2023</v>
      </c>
      <c r="T247">
        <f t="shared" si="33"/>
        <v>11</v>
      </c>
      <c r="U247">
        <f t="shared" si="34"/>
        <v>11</v>
      </c>
      <c r="V247" t="str">
        <f t="shared" si="35"/>
        <v>202311</v>
      </c>
      <c r="W247" t="str">
        <f t="shared" si="36"/>
        <v>Feb-24</v>
      </c>
      <c r="X247" s="3">
        <f t="shared" si="37"/>
        <v>-435.85</v>
      </c>
      <c r="Y247" t="str">
        <f t="shared" si="38"/>
        <v/>
      </c>
      <c r="Z247">
        <f t="shared" si="39"/>
        <v>-435.85</v>
      </c>
    </row>
    <row r="248" spans="1:26" x14ac:dyDescent="0.25">
      <c r="A248" s="1">
        <v>45335</v>
      </c>
      <c r="B248" t="s">
        <v>638</v>
      </c>
      <c r="C248" t="s">
        <v>17</v>
      </c>
      <c r="D248" t="s">
        <v>22</v>
      </c>
      <c r="E248">
        <v>40</v>
      </c>
      <c r="F248">
        <v>0</v>
      </c>
      <c r="G248">
        <v>9.8000000000000007</v>
      </c>
      <c r="H248">
        <v>392</v>
      </c>
      <c r="I248" t="s">
        <v>677</v>
      </c>
      <c r="J248">
        <v>0</v>
      </c>
      <c r="K248">
        <v>0.2</v>
      </c>
      <c r="L248">
        <v>0</v>
      </c>
      <c r="M248">
        <v>0</v>
      </c>
      <c r="N248">
        <v>20</v>
      </c>
      <c r="O248">
        <v>3.64</v>
      </c>
      <c r="P248">
        <v>23.84</v>
      </c>
      <c r="Q248">
        <f t="shared" si="30"/>
        <v>2024</v>
      </c>
      <c r="R248">
        <f t="shared" si="31"/>
        <v>2</v>
      </c>
      <c r="S248">
        <f t="shared" si="32"/>
        <v>2023</v>
      </c>
      <c r="T248">
        <f t="shared" si="33"/>
        <v>11</v>
      </c>
      <c r="U248">
        <f t="shared" si="34"/>
        <v>11</v>
      </c>
      <c r="V248" t="str">
        <f t="shared" si="35"/>
        <v>202311</v>
      </c>
      <c r="W248" t="str">
        <f t="shared" si="36"/>
        <v>Feb-24</v>
      </c>
      <c r="X248" s="3">
        <f t="shared" si="37"/>
        <v>-415.84</v>
      </c>
      <c r="Y248" t="str">
        <f t="shared" si="38"/>
        <v/>
      </c>
      <c r="Z248">
        <f t="shared" si="39"/>
        <v>-415.84</v>
      </c>
    </row>
    <row r="249" spans="1:26" x14ac:dyDescent="0.25">
      <c r="A249" s="1">
        <v>45336</v>
      </c>
      <c r="B249" t="s">
        <v>606</v>
      </c>
      <c r="C249" t="s">
        <v>17</v>
      </c>
      <c r="D249" t="s">
        <v>18</v>
      </c>
      <c r="E249">
        <v>800</v>
      </c>
      <c r="F249">
        <v>0</v>
      </c>
      <c r="G249">
        <v>39.700000000000003</v>
      </c>
      <c r="H249">
        <v>31760</v>
      </c>
      <c r="I249" t="s">
        <v>607</v>
      </c>
      <c r="J249">
        <v>19.84</v>
      </c>
      <c r="K249">
        <v>16.03</v>
      </c>
      <c r="L249">
        <v>0</v>
      </c>
      <c r="M249">
        <v>0.03</v>
      </c>
      <c r="N249">
        <v>320</v>
      </c>
      <c r="O249">
        <v>60.48</v>
      </c>
      <c r="P249">
        <v>416.38</v>
      </c>
      <c r="Q249">
        <f t="shared" si="30"/>
        <v>2024</v>
      </c>
      <c r="R249">
        <f t="shared" si="31"/>
        <v>2</v>
      </c>
      <c r="S249">
        <f t="shared" si="32"/>
        <v>2023</v>
      </c>
      <c r="T249">
        <f t="shared" si="33"/>
        <v>11</v>
      </c>
      <c r="U249">
        <f t="shared" si="34"/>
        <v>11</v>
      </c>
      <c r="V249" t="str">
        <f t="shared" si="35"/>
        <v>202311</v>
      </c>
      <c r="W249" t="str">
        <f t="shared" si="36"/>
        <v>Feb-24</v>
      </c>
      <c r="X249" s="3">
        <f t="shared" si="37"/>
        <v>31343.62</v>
      </c>
      <c r="Y249">
        <f t="shared" si="38"/>
        <v>31343.62</v>
      </c>
      <c r="Z249" t="str">
        <f t="shared" si="39"/>
        <v/>
      </c>
    </row>
    <row r="250" spans="1:26" x14ac:dyDescent="0.25">
      <c r="A250" s="1">
        <v>45336</v>
      </c>
      <c r="B250" t="s">
        <v>606</v>
      </c>
      <c r="C250" t="s">
        <v>17</v>
      </c>
      <c r="D250" t="s">
        <v>22</v>
      </c>
      <c r="E250">
        <v>400</v>
      </c>
      <c r="F250">
        <v>0</v>
      </c>
      <c r="G250">
        <v>53.53</v>
      </c>
      <c r="H250">
        <v>21412.5</v>
      </c>
      <c r="I250" t="s">
        <v>608</v>
      </c>
      <c r="J250">
        <v>0</v>
      </c>
      <c r="K250">
        <v>10.81</v>
      </c>
      <c r="L250">
        <v>1.42</v>
      </c>
      <c r="M250">
        <v>0.01</v>
      </c>
      <c r="N250">
        <v>160</v>
      </c>
      <c r="O250">
        <v>30.74</v>
      </c>
      <c r="P250">
        <v>202.98</v>
      </c>
      <c r="Q250">
        <f t="shared" si="30"/>
        <v>2024</v>
      </c>
      <c r="R250">
        <f t="shared" si="31"/>
        <v>2</v>
      </c>
      <c r="S250">
        <f t="shared" si="32"/>
        <v>2023</v>
      </c>
      <c r="T250">
        <f t="shared" si="33"/>
        <v>11</v>
      </c>
      <c r="U250">
        <f t="shared" si="34"/>
        <v>11</v>
      </c>
      <c r="V250" t="str">
        <f t="shared" si="35"/>
        <v>202311</v>
      </c>
      <c r="W250" t="str">
        <f t="shared" si="36"/>
        <v>Feb-24</v>
      </c>
      <c r="X250" s="3">
        <f t="shared" si="37"/>
        <v>-21615.48</v>
      </c>
      <c r="Y250" t="str">
        <f t="shared" si="38"/>
        <v/>
      </c>
      <c r="Z250">
        <f t="shared" si="39"/>
        <v>-21615.48</v>
      </c>
    </row>
    <row r="251" spans="1:26" x14ac:dyDescent="0.25">
      <c r="A251" s="1">
        <v>45336</v>
      </c>
      <c r="B251" t="s">
        <v>606</v>
      </c>
      <c r="C251" t="s">
        <v>17</v>
      </c>
      <c r="D251" t="s">
        <v>22</v>
      </c>
      <c r="E251">
        <v>400</v>
      </c>
      <c r="F251">
        <v>0</v>
      </c>
      <c r="G251">
        <v>64.8</v>
      </c>
      <c r="H251">
        <v>25920</v>
      </c>
      <c r="I251" t="s">
        <v>609</v>
      </c>
      <c r="J251">
        <v>0</v>
      </c>
      <c r="K251">
        <v>13.09</v>
      </c>
      <c r="L251">
        <v>0</v>
      </c>
      <c r="M251">
        <v>0.03</v>
      </c>
      <c r="N251">
        <v>160</v>
      </c>
      <c r="O251">
        <v>31.16</v>
      </c>
      <c r="P251">
        <v>204.28</v>
      </c>
      <c r="Q251">
        <f t="shared" si="30"/>
        <v>2024</v>
      </c>
      <c r="R251">
        <f t="shared" si="31"/>
        <v>2</v>
      </c>
      <c r="S251">
        <f t="shared" si="32"/>
        <v>2023</v>
      </c>
      <c r="T251">
        <f t="shared" si="33"/>
        <v>11</v>
      </c>
      <c r="U251">
        <f t="shared" si="34"/>
        <v>11</v>
      </c>
      <c r="V251" t="str">
        <f t="shared" si="35"/>
        <v>202311</v>
      </c>
      <c r="W251" t="str">
        <f t="shared" si="36"/>
        <v>Feb-24</v>
      </c>
      <c r="X251" s="3">
        <f t="shared" si="37"/>
        <v>-26124.28</v>
      </c>
      <c r="Y251" t="str">
        <f t="shared" si="38"/>
        <v/>
      </c>
      <c r="Z251">
        <f t="shared" si="39"/>
        <v>-26124.28</v>
      </c>
    </row>
    <row r="252" spans="1:26" x14ac:dyDescent="0.25">
      <c r="A252" s="1">
        <v>45336</v>
      </c>
      <c r="B252" t="s">
        <v>610</v>
      </c>
      <c r="C252" t="s">
        <v>17</v>
      </c>
      <c r="D252" t="s">
        <v>18</v>
      </c>
      <c r="E252">
        <v>350</v>
      </c>
      <c r="F252">
        <v>0</v>
      </c>
      <c r="G252">
        <v>59.11</v>
      </c>
      <c r="H252">
        <v>20690</v>
      </c>
      <c r="I252" t="s">
        <v>611</v>
      </c>
      <c r="J252">
        <v>12.94</v>
      </c>
      <c r="K252">
        <v>10.45</v>
      </c>
      <c r="L252">
        <v>0</v>
      </c>
      <c r="M252">
        <v>0.02</v>
      </c>
      <c r="N252">
        <v>140</v>
      </c>
      <c r="O252">
        <v>27.06</v>
      </c>
      <c r="P252">
        <v>190.47</v>
      </c>
      <c r="Q252">
        <f t="shared" si="30"/>
        <v>2024</v>
      </c>
      <c r="R252">
        <f t="shared" si="31"/>
        <v>2</v>
      </c>
      <c r="S252">
        <f t="shared" si="32"/>
        <v>2023</v>
      </c>
      <c r="T252">
        <f t="shared" si="33"/>
        <v>11</v>
      </c>
      <c r="U252">
        <f t="shared" si="34"/>
        <v>11</v>
      </c>
      <c r="V252" t="str">
        <f t="shared" si="35"/>
        <v>202311</v>
      </c>
      <c r="W252" t="str">
        <f t="shared" si="36"/>
        <v>Feb-24</v>
      </c>
      <c r="X252" s="3">
        <f t="shared" si="37"/>
        <v>20499.53</v>
      </c>
      <c r="Y252">
        <f t="shared" si="38"/>
        <v>20499.53</v>
      </c>
      <c r="Z252" t="str">
        <f t="shared" si="39"/>
        <v/>
      </c>
    </row>
    <row r="253" spans="1:26" x14ac:dyDescent="0.25">
      <c r="A253" s="1">
        <v>45336</v>
      </c>
      <c r="B253" t="s">
        <v>610</v>
      </c>
      <c r="C253" t="s">
        <v>17</v>
      </c>
      <c r="D253" t="s">
        <v>22</v>
      </c>
      <c r="E253">
        <v>300</v>
      </c>
      <c r="F253">
        <v>0</v>
      </c>
      <c r="G253">
        <v>69.17</v>
      </c>
      <c r="H253">
        <v>20750</v>
      </c>
      <c r="I253" t="s">
        <v>612</v>
      </c>
      <c r="J253">
        <v>0</v>
      </c>
      <c r="K253">
        <v>10.48</v>
      </c>
      <c r="L253">
        <v>0</v>
      </c>
      <c r="M253">
        <v>0.02</v>
      </c>
      <c r="N253">
        <v>120</v>
      </c>
      <c r="O253">
        <v>23.52</v>
      </c>
      <c r="P253">
        <v>154.02000000000001</v>
      </c>
      <c r="Q253">
        <f t="shared" si="30"/>
        <v>2024</v>
      </c>
      <c r="R253">
        <f t="shared" si="31"/>
        <v>2</v>
      </c>
      <c r="S253">
        <f t="shared" si="32"/>
        <v>2023</v>
      </c>
      <c r="T253">
        <f t="shared" si="33"/>
        <v>11</v>
      </c>
      <c r="U253">
        <f t="shared" si="34"/>
        <v>11</v>
      </c>
      <c r="V253" t="str">
        <f t="shared" si="35"/>
        <v>202311</v>
      </c>
      <c r="W253" t="str">
        <f t="shared" si="36"/>
        <v>Feb-24</v>
      </c>
      <c r="X253" s="3">
        <f t="shared" si="37"/>
        <v>-20904.02</v>
      </c>
      <c r="Y253" t="str">
        <f t="shared" si="38"/>
        <v/>
      </c>
      <c r="Z253">
        <f t="shared" si="39"/>
        <v>-20904.02</v>
      </c>
    </row>
    <row r="254" spans="1:26" x14ac:dyDescent="0.25">
      <c r="A254" s="1">
        <v>45336</v>
      </c>
      <c r="B254" t="s">
        <v>610</v>
      </c>
      <c r="C254" t="s">
        <v>17</v>
      </c>
      <c r="D254" t="s">
        <v>22</v>
      </c>
      <c r="E254">
        <v>50</v>
      </c>
      <c r="F254">
        <v>0</v>
      </c>
      <c r="G254">
        <v>71.7</v>
      </c>
      <c r="H254">
        <v>3585</v>
      </c>
      <c r="I254" t="s">
        <v>613</v>
      </c>
      <c r="J254">
        <v>0</v>
      </c>
      <c r="K254">
        <v>1.81</v>
      </c>
      <c r="L254">
        <v>0</v>
      </c>
      <c r="M254">
        <v>0</v>
      </c>
      <c r="N254">
        <v>20</v>
      </c>
      <c r="O254">
        <v>3.92</v>
      </c>
      <c r="P254">
        <v>25.73</v>
      </c>
      <c r="Q254">
        <f t="shared" si="30"/>
        <v>2024</v>
      </c>
      <c r="R254">
        <f t="shared" si="31"/>
        <v>2</v>
      </c>
      <c r="S254">
        <f t="shared" si="32"/>
        <v>2023</v>
      </c>
      <c r="T254">
        <f t="shared" si="33"/>
        <v>11</v>
      </c>
      <c r="U254">
        <f t="shared" si="34"/>
        <v>11</v>
      </c>
      <c r="V254" t="str">
        <f t="shared" si="35"/>
        <v>202311</v>
      </c>
      <c r="W254" t="str">
        <f t="shared" si="36"/>
        <v>Feb-24</v>
      </c>
      <c r="X254" s="3">
        <f t="shared" si="37"/>
        <v>-3610.73</v>
      </c>
      <c r="Y254" t="str">
        <f t="shared" si="38"/>
        <v/>
      </c>
      <c r="Z254">
        <f t="shared" si="39"/>
        <v>-3610.73</v>
      </c>
    </row>
    <row r="255" spans="1:26" x14ac:dyDescent="0.25">
      <c r="A255" s="1">
        <v>45336</v>
      </c>
      <c r="B255" t="s">
        <v>614</v>
      </c>
      <c r="C255" t="s">
        <v>17</v>
      </c>
      <c r="D255" t="s">
        <v>18</v>
      </c>
      <c r="E255">
        <v>195</v>
      </c>
      <c r="F255">
        <v>0</v>
      </c>
      <c r="G255">
        <v>57.95</v>
      </c>
      <c r="H255">
        <v>11300.25</v>
      </c>
      <c r="I255" t="s">
        <v>615</v>
      </c>
      <c r="J255">
        <v>7.07</v>
      </c>
      <c r="K255">
        <v>5.71</v>
      </c>
      <c r="L255">
        <v>0</v>
      </c>
      <c r="M255">
        <v>0</v>
      </c>
      <c r="N255">
        <v>260</v>
      </c>
      <c r="O255">
        <v>47.84</v>
      </c>
      <c r="P255">
        <v>320.62</v>
      </c>
      <c r="Q255">
        <f t="shared" si="30"/>
        <v>2024</v>
      </c>
      <c r="R255">
        <f t="shared" si="31"/>
        <v>2</v>
      </c>
      <c r="S255">
        <f t="shared" si="32"/>
        <v>2023</v>
      </c>
      <c r="T255">
        <f t="shared" si="33"/>
        <v>11</v>
      </c>
      <c r="U255">
        <f t="shared" si="34"/>
        <v>11</v>
      </c>
      <c r="V255" t="str">
        <f t="shared" si="35"/>
        <v>202311</v>
      </c>
      <c r="W255" t="str">
        <f t="shared" si="36"/>
        <v>Feb-24</v>
      </c>
      <c r="X255" s="3">
        <f t="shared" si="37"/>
        <v>10979.63</v>
      </c>
      <c r="Y255">
        <f t="shared" si="38"/>
        <v>10979.63</v>
      </c>
      <c r="Z255" t="str">
        <f t="shared" si="39"/>
        <v/>
      </c>
    </row>
    <row r="256" spans="1:26" x14ac:dyDescent="0.25">
      <c r="A256" s="1">
        <v>45336</v>
      </c>
      <c r="B256" t="s">
        <v>614</v>
      </c>
      <c r="C256" t="s">
        <v>17</v>
      </c>
      <c r="D256" t="s">
        <v>22</v>
      </c>
      <c r="E256">
        <v>90</v>
      </c>
      <c r="F256">
        <v>0</v>
      </c>
      <c r="G256">
        <v>66.7</v>
      </c>
      <c r="H256">
        <v>6003</v>
      </c>
      <c r="I256" t="s">
        <v>616</v>
      </c>
      <c r="J256">
        <v>0</v>
      </c>
      <c r="K256">
        <v>3.03</v>
      </c>
      <c r="L256">
        <v>0.41</v>
      </c>
      <c r="M256">
        <v>0.01</v>
      </c>
      <c r="N256">
        <v>120</v>
      </c>
      <c r="O256">
        <v>22.14</v>
      </c>
      <c r="P256">
        <v>145.59</v>
      </c>
      <c r="Q256">
        <f t="shared" si="30"/>
        <v>2024</v>
      </c>
      <c r="R256">
        <f t="shared" si="31"/>
        <v>2</v>
      </c>
      <c r="S256">
        <f t="shared" si="32"/>
        <v>2023</v>
      </c>
      <c r="T256">
        <f t="shared" si="33"/>
        <v>11</v>
      </c>
      <c r="U256">
        <f t="shared" si="34"/>
        <v>11</v>
      </c>
      <c r="V256" t="str">
        <f t="shared" si="35"/>
        <v>202311</v>
      </c>
      <c r="W256" t="str">
        <f t="shared" si="36"/>
        <v>Feb-24</v>
      </c>
      <c r="X256" s="3">
        <f t="shared" si="37"/>
        <v>-6148.59</v>
      </c>
      <c r="Y256" t="str">
        <f t="shared" si="38"/>
        <v/>
      </c>
      <c r="Z256">
        <f t="shared" si="39"/>
        <v>-6148.59</v>
      </c>
    </row>
    <row r="257" spans="1:26" x14ac:dyDescent="0.25">
      <c r="A257" s="1">
        <v>45336</v>
      </c>
      <c r="B257" t="s">
        <v>614</v>
      </c>
      <c r="C257" t="s">
        <v>17</v>
      </c>
      <c r="D257" t="s">
        <v>22</v>
      </c>
      <c r="E257">
        <v>90</v>
      </c>
      <c r="F257">
        <v>0</v>
      </c>
      <c r="G257">
        <v>67.3</v>
      </c>
      <c r="H257">
        <v>6057</v>
      </c>
      <c r="I257" t="s">
        <v>617</v>
      </c>
      <c r="J257">
        <v>0</v>
      </c>
      <c r="K257">
        <v>3.06</v>
      </c>
      <c r="L257">
        <v>0</v>
      </c>
      <c r="M257">
        <v>0.01</v>
      </c>
      <c r="N257">
        <v>120</v>
      </c>
      <c r="O257">
        <v>22.16</v>
      </c>
      <c r="P257">
        <v>145.22999999999999</v>
      </c>
      <c r="Q257">
        <f t="shared" si="30"/>
        <v>2024</v>
      </c>
      <c r="R257">
        <f t="shared" si="31"/>
        <v>2</v>
      </c>
      <c r="S257">
        <f t="shared" si="32"/>
        <v>2023</v>
      </c>
      <c r="T257">
        <f t="shared" si="33"/>
        <v>11</v>
      </c>
      <c r="U257">
        <f t="shared" si="34"/>
        <v>11</v>
      </c>
      <c r="V257" t="str">
        <f t="shared" si="35"/>
        <v>202311</v>
      </c>
      <c r="W257" t="str">
        <f t="shared" si="36"/>
        <v>Feb-24</v>
      </c>
      <c r="X257" s="3">
        <f t="shared" si="37"/>
        <v>-6202.23</v>
      </c>
      <c r="Y257" t="str">
        <f t="shared" si="38"/>
        <v/>
      </c>
      <c r="Z257">
        <f t="shared" si="39"/>
        <v>-6202.23</v>
      </c>
    </row>
    <row r="258" spans="1:26" x14ac:dyDescent="0.25">
      <c r="A258" s="1">
        <v>45336</v>
      </c>
      <c r="B258" t="s">
        <v>614</v>
      </c>
      <c r="C258" t="s">
        <v>17</v>
      </c>
      <c r="D258" t="s">
        <v>22</v>
      </c>
      <c r="E258">
        <v>15</v>
      </c>
      <c r="F258">
        <v>0</v>
      </c>
      <c r="G258">
        <v>108.2</v>
      </c>
      <c r="H258">
        <v>1623</v>
      </c>
      <c r="I258" t="s">
        <v>618</v>
      </c>
      <c r="J258">
        <v>0</v>
      </c>
      <c r="K258">
        <v>0.82</v>
      </c>
      <c r="L258">
        <v>0</v>
      </c>
      <c r="M258">
        <v>0</v>
      </c>
      <c r="N258">
        <v>20</v>
      </c>
      <c r="O258">
        <v>3.74</v>
      </c>
      <c r="P258">
        <v>24.56</v>
      </c>
      <c r="Q258">
        <f t="shared" ref="Q258:Q321" si="40">YEAR(A258)</f>
        <v>2024</v>
      </c>
      <c r="R258">
        <f t="shared" ref="R258:R321" si="41">MONTH(A258)</f>
        <v>2</v>
      </c>
      <c r="S258">
        <f t="shared" ref="S258:S321" si="42">IF(R258&lt;4,Q258-1,Q258)</f>
        <v>2023</v>
      </c>
      <c r="T258">
        <f t="shared" ref="T258:T321" si="43">IF(R258&lt;4,R258+9,R258-3)</f>
        <v>11</v>
      </c>
      <c r="U258">
        <f t="shared" ref="U258:U321" si="44">IF(LEN(T258)=1,_xlfn.CONCAT(0,T258),T258)</f>
        <v>11</v>
      </c>
      <c r="V258" t="str">
        <f t="shared" ref="V258:V321" si="45">_xlfn.CONCAT(S258,U258)</f>
        <v>202311</v>
      </c>
      <c r="W258" t="str">
        <f t="shared" ref="W258:W321" si="46">_xlfn.CONCAT(TEXT(A258,"MMM"),"-",MID(Q258,3,2))</f>
        <v>Feb-24</v>
      </c>
      <c r="X258" s="3">
        <f t="shared" ref="X258:X321" si="47">IFERROR(IF(D258="Sell",(H258-P258),-(H258+P258)),0)</f>
        <v>-1647.56</v>
      </c>
      <c r="Y258" t="str">
        <f t="shared" si="38"/>
        <v/>
      </c>
      <c r="Z258">
        <f t="shared" si="39"/>
        <v>-1647.56</v>
      </c>
    </row>
    <row r="259" spans="1:26" x14ac:dyDescent="0.25">
      <c r="A259" s="1">
        <v>45336</v>
      </c>
      <c r="B259" t="s">
        <v>619</v>
      </c>
      <c r="C259" t="s">
        <v>17</v>
      </c>
      <c r="D259" t="s">
        <v>18</v>
      </c>
      <c r="E259">
        <v>105</v>
      </c>
      <c r="F259">
        <v>0</v>
      </c>
      <c r="G259">
        <v>5.75</v>
      </c>
      <c r="H259">
        <v>603.75</v>
      </c>
      <c r="I259" t="s">
        <v>620</v>
      </c>
      <c r="J259">
        <v>0.38</v>
      </c>
      <c r="K259">
        <v>0.3</v>
      </c>
      <c r="L259">
        <v>0</v>
      </c>
      <c r="M259">
        <v>0</v>
      </c>
      <c r="N259">
        <v>140</v>
      </c>
      <c r="O259">
        <v>25.26</v>
      </c>
      <c r="P259">
        <v>165.94</v>
      </c>
      <c r="Q259">
        <f t="shared" si="40"/>
        <v>2024</v>
      </c>
      <c r="R259">
        <f t="shared" si="41"/>
        <v>2</v>
      </c>
      <c r="S259">
        <f t="shared" si="42"/>
        <v>2023</v>
      </c>
      <c r="T259">
        <f t="shared" si="43"/>
        <v>11</v>
      </c>
      <c r="U259">
        <f t="shared" si="44"/>
        <v>11</v>
      </c>
      <c r="V259" t="str">
        <f t="shared" si="45"/>
        <v>202311</v>
      </c>
      <c r="W259" t="str">
        <f t="shared" si="46"/>
        <v>Feb-24</v>
      </c>
      <c r="X259" s="3">
        <f t="shared" si="47"/>
        <v>437.81</v>
      </c>
      <c r="Y259">
        <f t="shared" ref="Y259:Y322" si="48">IF(X259&gt;0,X259,"")</f>
        <v>437.81</v>
      </c>
      <c r="Z259" t="str">
        <f t="shared" ref="Z259:Z322" si="49">IF(X259&lt;0,X259,"")</f>
        <v/>
      </c>
    </row>
    <row r="260" spans="1:26" x14ac:dyDescent="0.25">
      <c r="A260" s="1">
        <v>45336</v>
      </c>
      <c r="B260" t="s">
        <v>610</v>
      </c>
      <c r="C260" t="s">
        <v>17</v>
      </c>
      <c r="D260" t="s">
        <v>18</v>
      </c>
      <c r="E260">
        <v>450</v>
      </c>
      <c r="F260">
        <v>0</v>
      </c>
      <c r="G260">
        <v>63</v>
      </c>
      <c r="H260">
        <v>28350</v>
      </c>
      <c r="I260" t="s">
        <v>621</v>
      </c>
      <c r="J260">
        <v>17.78</v>
      </c>
      <c r="K260">
        <v>14.32</v>
      </c>
      <c r="L260">
        <v>0</v>
      </c>
      <c r="M260">
        <v>0.03</v>
      </c>
      <c r="N260">
        <v>180</v>
      </c>
      <c r="O260">
        <v>34.979999999999997</v>
      </c>
      <c r="P260">
        <v>247.11</v>
      </c>
      <c r="Q260">
        <f t="shared" si="40"/>
        <v>2024</v>
      </c>
      <c r="R260">
        <f t="shared" si="41"/>
        <v>2</v>
      </c>
      <c r="S260">
        <f t="shared" si="42"/>
        <v>2023</v>
      </c>
      <c r="T260">
        <f t="shared" si="43"/>
        <v>11</v>
      </c>
      <c r="U260">
        <f t="shared" si="44"/>
        <v>11</v>
      </c>
      <c r="V260" t="str">
        <f t="shared" si="45"/>
        <v>202311</v>
      </c>
      <c r="W260" t="str">
        <f t="shared" si="46"/>
        <v>Feb-24</v>
      </c>
      <c r="X260" s="3">
        <f t="shared" si="47"/>
        <v>28102.89</v>
      </c>
      <c r="Y260">
        <f t="shared" si="48"/>
        <v>28102.89</v>
      </c>
      <c r="Z260" t="str">
        <f t="shared" si="49"/>
        <v/>
      </c>
    </row>
    <row r="261" spans="1:26" x14ac:dyDescent="0.25">
      <c r="A261" s="1">
        <v>45336</v>
      </c>
      <c r="B261" t="s">
        <v>610</v>
      </c>
      <c r="C261" t="s">
        <v>17</v>
      </c>
      <c r="D261" t="s">
        <v>22</v>
      </c>
      <c r="E261">
        <v>400</v>
      </c>
      <c r="F261">
        <v>0</v>
      </c>
      <c r="G261">
        <v>53.8</v>
      </c>
      <c r="H261">
        <v>21520</v>
      </c>
      <c r="I261" t="s">
        <v>622</v>
      </c>
      <c r="J261">
        <v>0</v>
      </c>
      <c r="K261">
        <v>10.87</v>
      </c>
      <c r="L261">
        <v>1.1399999999999999</v>
      </c>
      <c r="M261">
        <v>0.02</v>
      </c>
      <c r="N261">
        <v>160</v>
      </c>
      <c r="O261">
        <v>30.76</v>
      </c>
      <c r="P261">
        <v>202.79</v>
      </c>
      <c r="Q261">
        <f t="shared" si="40"/>
        <v>2024</v>
      </c>
      <c r="R261">
        <f t="shared" si="41"/>
        <v>2</v>
      </c>
      <c r="S261">
        <f t="shared" si="42"/>
        <v>2023</v>
      </c>
      <c r="T261">
        <f t="shared" si="43"/>
        <v>11</v>
      </c>
      <c r="U261">
        <f t="shared" si="44"/>
        <v>11</v>
      </c>
      <c r="V261" t="str">
        <f t="shared" si="45"/>
        <v>202311</v>
      </c>
      <c r="W261" t="str">
        <f t="shared" si="46"/>
        <v>Feb-24</v>
      </c>
      <c r="X261" s="3">
        <f t="shared" si="47"/>
        <v>-21722.79</v>
      </c>
      <c r="Y261" t="str">
        <f t="shared" si="48"/>
        <v/>
      </c>
      <c r="Z261">
        <f t="shared" si="49"/>
        <v>-21722.79</v>
      </c>
    </row>
    <row r="262" spans="1:26" x14ac:dyDescent="0.25">
      <c r="A262" s="1">
        <v>45336</v>
      </c>
      <c r="B262" t="s">
        <v>610</v>
      </c>
      <c r="C262" t="s">
        <v>17</v>
      </c>
      <c r="D262" t="s">
        <v>22</v>
      </c>
      <c r="E262">
        <v>50</v>
      </c>
      <c r="F262">
        <v>0</v>
      </c>
      <c r="G262">
        <v>51.75</v>
      </c>
      <c r="H262">
        <v>2587.5</v>
      </c>
      <c r="I262" t="s">
        <v>623</v>
      </c>
      <c r="J262">
        <v>0</v>
      </c>
      <c r="K262">
        <v>1.31</v>
      </c>
      <c r="L262">
        <v>0</v>
      </c>
      <c r="M262">
        <v>0</v>
      </c>
      <c r="N262">
        <v>20</v>
      </c>
      <c r="O262">
        <v>3.84</v>
      </c>
      <c r="P262">
        <v>25.15</v>
      </c>
      <c r="Q262">
        <f t="shared" si="40"/>
        <v>2024</v>
      </c>
      <c r="R262">
        <f t="shared" si="41"/>
        <v>2</v>
      </c>
      <c r="S262">
        <f t="shared" si="42"/>
        <v>2023</v>
      </c>
      <c r="T262">
        <f t="shared" si="43"/>
        <v>11</v>
      </c>
      <c r="U262">
        <f t="shared" si="44"/>
        <v>11</v>
      </c>
      <c r="V262" t="str">
        <f t="shared" si="45"/>
        <v>202311</v>
      </c>
      <c r="W262" t="str">
        <f t="shared" si="46"/>
        <v>Feb-24</v>
      </c>
      <c r="X262" s="3">
        <f t="shared" si="47"/>
        <v>-2612.65</v>
      </c>
      <c r="Y262" t="str">
        <f t="shared" si="48"/>
        <v/>
      </c>
      <c r="Z262">
        <f t="shared" si="49"/>
        <v>-2612.65</v>
      </c>
    </row>
    <row r="263" spans="1:26" x14ac:dyDescent="0.25">
      <c r="A263" s="1">
        <v>45336</v>
      </c>
      <c r="B263" t="s">
        <v>619</v>
      </c>
      <c r="C263" t="s">
        <v>17</v>
      </c>
      <c r="D263" t="s">
        <v>22</v>
      </c>
      <c r="E263">
        <v>15</v>
      </c>
      <c r="F263">
        <v>0</v>
      </c>
      <c r="G263">
        <v>9.5</v>
      </c>
      <c r="H263">
        <v>142.5</v>
      </c>
      <c r="I263" t="s">
        <v>624</v>
      </c>
      <c r="J263">
        <v>0</v>
      </c>
      <c r="K263">
        <v>7.0000000000000007E-2</v>
      </c>
      <c r="L263">
        <v>0.03</v>
      </c>
      <c r="M263">
        <v>0</v>
      </c>
      <c r="N263">
        <v>20</v>
      </c>
      <c r="O263">
        <v>3.62</v>
      </c>
      <c r="P263">
        <v>23.72</v>
      </c>
      <c r="Q263">
        <f t="shared" si="40"/>
        <v>2024</v>
      </c>
      <c r="R263">
        <f t="shared" si="41"/>
        <v>2</v>
      </c>
      <c r="S263">
        <f t="shared" si="42"/>
        <v>2023</v>
      </c>
      <c r="T263">
        <f t="shared" si="43"/>
        <v>11</v>
      </c>
      <c r="U263">
        <f t="shared" si="44"/>
        <v>11</v>
      </c>
      <c r="V263" t="str">
        <f t="shared" si="45"/>
        <v>202311</v>
      </c>
      <c r="W263" t="str">
        <f t="shared" si="46"/>
        <v>Feb-24</v>
      </c>
      <c r="X263" s="3">
        <f t="shared" si="47"/>
        <v>-166.22</v>
      </c>
      <c r="Y263" t="str">
        <f t="shared" si="48"/>
        <v/>
      </c>
      <c r="Z263">
        <f t="shared" si="49"/>
        <v>-166.22</v>
      </c>
    </row>
    <row r="264" spans="1:26" x14ac:dyDescent="0.25">
      <c r="A264" s="1">
        <v>45336</v>
      </c>
      <c r="B264" t="s">
        <v>619</v>
      </c>
      <c r="C264" t="s">
        <v>17</v>
      </c>
      <c r="D264" t="s">
        <v>22</v>
      </c>
      <c r="E264">
        <v>15</v>
      </c>
      <c r="F264">
        <v>0</v>
      </c>
      <c r="G264">
        <v>9.5</v>
      </c>
      <c r="H264">
        <v>142.5</v>
      </c>
      <c r="I264" t="s">
        <v>625</v>
      </c>
      <c r="J264">
        <v>0</v>
      </c>
      <c r="K264">
        <v>7.0000000000000007E-2</v>
      </c>
      <c r="L264">
        <v>0</v>
      </c>
      <c r="M264">
        <v>0</v>
      </c>
      <c r="N264">
        <v>20</v>
      </c>
      <c r="O264">
        <v>3.62</v>
      </c>
      <c r="P264">
        <v>23.69</v>
      </c>
      <c r="Q264">
        <f t="shared" si="40"/>
        <v>2024</v>
      </c>
      <c r="R264">
        <f t="shared" si="41"/>
        <v>2</v>
      </c>
      <c r="S264">
        <f t="shared" si="42"/>
        <v>2023</v>
      </c>
      <c r="T264">
        <f t="shared" si="43"/>
        <v>11</v>
      </c>
      <c r="U264">
        <f t="shared" si="44"/>
        <v>11</v>
      </c>
      <c r="V264" t="str">
        <f t="shared" si="45"/>
        <v>202311</v>
      </c>
      <c r="W264" t="str">
        <f t="shared" si="46"/>
        <v>Feb-24</v>
      </c>
      <c r="X264" s="3">
        <f t="shared" si="47"/>
        <v>-166.19</v>
      </c>
      <c r="Y264" t="str">
        <f t="shared" si="48"/>
        <v/>
      </c>
      <c r="Z264">
        <f t="shared" si="49"/>
        <v>-166.19</v>
      </c>
    </row>
    <row r="265" spans="1:26" x14ac:dyDescent="0.25">
      <c r="A265" s="1">
        <v>45336</v>
      </c>
      <c r="B265" t="s">
        <v>619</v>
      </c>
      <c r="C265" t="s">
        <v>17</v>
      </c>
      <c r="D265" t="s">
        <v>22</v>
      </c>
      <c r="E265">
        <v>15</v>
      </c>
      <c r="F265">
        <v>0</v>
      </c>
      <c r="G265">
        <v>9.1</v>
      </c>
      <c r="H265">
        <v>136.5</v>
      </c>
      <c r="I265" t="s">
        <v>626</v>
      </c>
      <c r="J265">
        <v>0</v>
      </c>
      <c r="K265">
        <v>7.0000000000000007E-2</v>
      </c>
      <c r="L265">
        <v>0</v>
      </c>
      <c r="M265">
        <v>0</v>
      </c>
      <c r="N265">
        <v>20</v>
      </c>
      <c r="O265">
        <v>3.62</v>
      </c>
      <c r="P265">
        <v>23.69</v>
      </c>
      <c r="Q265">
        <f t="shared" si="40"/>
        <v>2024</v>
      </c>
      <c r="R265">
        <f t="shared" si="41"/>
        <v>2</v>
      </c>
      <c r="S265">
        <f t="shared" si="42"/>
        <v>2023</v>
      </c>
      <c r="T265">
        <f t="shared" si="43"/>
        <v>11</v>
      </c>
      <c r="U265">
        <f t="shared" si="44"/>
        <v>11</v>
      </c>
      <c r="V265" t="str">
        <f t="shared" si="45"/>
        <v>202311</v>
      </c>
      <c r="W265" t="str">
        <f t="shared" si="46"/>
        <v>Feb-24</v>
      </c>
      <c r="X265" s="3">
        <f t="shared" si="47"/>
        <v>-160.19</v>
      </c>
      <c r="Y265" t="str">
        <f t="shared" si="48"/>
        <v/>
      </c>
      <c r="Z265">
        <f t="shared" si="49"/>
        <v>-160.19</v>
      </c>
    </row>
    <row r="266" spans="1:26" x14ac:dyDescent="0.25">
      <c r="A266" s="1">
        <v>45336</v>
      </c>
      <c r="B266" t="s">
        <v>619</v>
      </c>
      <c r="C266" t="s">
        <v>17</v>
      </c>
      <c r="D266" t="s">
        <v>22</v>
      </c>
      <c r="E266">
        <v>15</v>
      </c>
      <c r="F266">
        <v>0</v>
      </c>
      <c r="G266">
        <v>9.15</v>
      </c>
      <c r="H266">
        <v>137.25</v>
      </c>
      <c r="I266" t="s">
        <v>627</v>
      </c>
      <c r="J266">
        <v>0</v>
      </c>
      <c r="K266">
        <v>7.0000000000000007E-2</v>
      </c>
      <c r="L266">
        <v>0</v>
      </c>
      <c r="M266">
        <v>0</v>
      </c>
      <c r="N266">
        <v>20</v>
      </c>
      <c r="O266">
        <v>3.62</v>
      </c>
      <c r="P266">
        <v>23.69</v>
      </c>
      <c r="Q266">
        <f t="shared" si="40"/>
        <v>2024</v>
      </c>
      <c r="R266">
        <f t="shared" si="41"/>
        <v>2</v>
      </c>
      <c r="S266">
        <f t="shared" si="42"/>
        <v>2023</v>
      </c>
      <c r="T266">
        <f t="shared" si="43"/>
        <v>11</v>
      </c>
      <c r="U266">
        <f t="shared" si="44"/>
        <v>11</v>
      </c>
      <c r="V266" t="str">
        <f t="shared" si="45"/>
        <v>202311</v>
      </c>
      <c r="W266" t="str">
        <f t="shared" si="46"/>
        <v>Feb-24</v>
      </c>
      <c r="X266" s="3">
        <f t="shared" si="47"/>
        <v>-160.94</v>
      </c>
      <c r="Y266" t="str">
        <f t="shared" si="48"/>
        <v/>
      </c>
      <c r="Z266">
        <f t="shared" si="49"/>
        <v>-160.94</v>
      </c>
    </row>
    <row r="267" spans="1:26" x14ac:dyDescent="0.25">
      <c r="A267" s="1">
        <v>45336</v>
      </c>
      <c r="B267" t="s">
        <v>619</v>
      </c>
      <c r="C267" t="s">
        <v>17</v>
      </c>
      <c r="D267" t="s">
        <v>22</v>
      </c>
      <c r="E267">
        <v>15</v>
      </c>
      <c r="F267">
        <v>0</v>
      </c>
      <c r="G267">
        <v>8.9499999999999993</v>
      </c>
      <c r="H267">
        <v>134.25</v>
      </c>
      <c r="I267" t="s">
        <v>628</v>
      </c>
      <c r="J267">
        <v>0</v>
      </c>
      <c r="K267">
        <v>7.0000000000000007E-2</v>
      </c>
      <c r="L267">
        <v>0</v>
      </c>
      <c r="M267">
        <v>0</v>
      </c>
      <c r="N267">
        <v>20</v>
      </c>
      <c r="O267">
        <v>3.62</v>
      </c>
      <c r="P267">
        <v>23.69</v>
      </c>
      <c r="Q267">
        <f t="shared" si="40"/>
        <v>2024</v>
      </c>
      <c r="R267">
        <f t="shared" si="41"/>
        <v>2</v>
      </c>
      <c r="S267">
        <f t="shared" si="42"/>
        <v>2023</v>
      </c>
      <c r="T267">
        <f t="shared" si="43"/>
        <v>11</v>
      </c>
      <c r="U267">
        <f t="shared" si="44"/>
        <v>11</v>
      </c>
      <c r="V267" t="str">
        <f t="shared" si="45"/>
        <v>202311</v>
      </c>
      <c r="W267" t="str">
        <f t="shared" si="46"/>
        <v>Feb-24</v>
      </c>
      <c r="X267" s="3">
        <f t="shared" si="47"/>
        <v>-157.94</v>
      </c>
      <c r="Y267" t="str">
        <f t="shared" si="48"/>
        <v/>
      </c>
      <c r="Z267">
        <f t="shared" si="49"/>
        <v>-157.94</v>
      </c>
    </row>
    <row r="268" spans="1:26" x14ac:dyDescent="0.25">
      <c r="A268" s="1">
        <v>45336</v>
      </c>
      <c r="B268" t="s">
        <v>619</v>
      </c>
      <c r="C268" t="s">
        <v>17</v>
      </c>
      <c r="D268" t="s">
        <v>22</v>
      </c>
      <c r="E268">
        <v>15</v>
      </c>
      <c r="F268">
        <v>0</v>
      </c>
      <c r="G268">
        <v>8.75</v>
      </c>
      <c r="H268">
        <v>131.25</v>
      </c>
      <c r="I268" t="s">
        <v>629</v>
      </c>
      <c r="J268">
        <v>0</v>
      </c>
      <c r="K268">
        <v>7.0000000000000007E-2</v>
      </c>
      <c r="L268">
        <v>0</v>
      </c>
      <c r="M268">
        <v>0</v>
      </c>
      <c r="N268">
        <v>20</v>
      </c>
      <c r="O268">
        <v>3.62</v>
      </c>
      <c r="P268">
        <v>23.69</v>
      </c>
      <c r="Q268">
        <f t="shared" si="40"/>
        <v>2024</v>
      </c>
      <c r="R268">
        <f t="shared" si="41"/>
        <v>2</v>
      </c>
      <c r="S268">
        <f t="shared" si="42"/>
        <v>2023</v>
      </c>
      <c r="T268">
        <f t="shared" si="43"/>
        <v>11</v>
      </c>
      <c r="U268">
        <f t="shared" si="44"/>
        <v>11</v>
      </c>
      <c r="V268" t="str">
        <f t="shared" si="45"/>
        <v>202311</v>
      </c>
      <c r="W268" t="str">
        <f t="shared" si="46"/>
        <v>Feb-24</v>
      </c>
      <c r="X268" s="3">
        <f t="shared" si="47"/>
        <v>-154.94</v>
      </c>
      <c r="Y268" t="str">
        <f t="shared" si="48"/>
        <v/>
      </c>
      <c r="Z268">
        <f t="shared" si="49"/>
        <v>-154.94</v>
      </c>
    </row>
    <row r="269" spans="1:26" x14ac:dyDescent="0.25">
      <c r="A269" s="1">
        <v>45336</v>
      </c>
      <c r="B269" t="s">
        <v>619</v>
      </c>
      <c r="C269" t="s">
        <v>17</v>
      </c>
      <c r="D269" t="s">
        <v>22</v>
      </c>
      <c r="E269">
        <v>15</v>
      </c>
      <c r="F269">
        <v>0</v>
      </c>
      <c r="G269">
        <v>8.6</v>
      </c>
      <c r="H269">
        <v>129</v>
      </c>
      <c r="I269" t="s">
        <v>630</v>
      </c>
      <c r="J269">
        <v>0</v>
      </c>
      <c r="K269">
        <v>7.0000000000000007E-2</v>
      </c>
      <c r="L269">
        <v>0</v>
      </c>
      <c r="M269">
        <v>0</v>
      </c>
      <c r="N269">
        <v>20</v>
      </c>
      <c r="O269">
        <v>3.62</v>
      </c>
      <c r="P269">
        <v>23.69</v>
      </c>
      <c r="Q269">
        <f t="shared" si="40"/>
        <v>2024</v>
      </c>
      <c r="R269">
        <f t="shared" si="41"/>
        <v>2</v>
      </c>
      <c r="S269">
        <f t="shared" si="42"/>
        <v>2023</v>
      </c>
      <c r="T269">
        <f t="shared" si="43"/>
        <v>11</v>
      </c>
      <c r="U269">
        <f t="shared" si="44"/>
        <v>11</v>
      </c>
      <c r="V269" t="str">
        <f t="shared" si="45"/>
        <v>202311</v>
      </c>
      <c r="W269" t="str">
        <f t="shared" si="46"/>
        <v>Feb-24</v>
      </c>
      <c r="X269" s="3">
        <f t="shared" si="47"/>
        <v>-152.69</v>
      </c>
      <c r="Y269" t="str">
        <f t="shared" si="48"/>
        <v/>
      </c>
      <c r="Z269">
        <f t="shared" si="49"/>
        <v>-152.69</v>
      </c>
    </row>
    <row r="270" spans="1:26" x14ac:dyDescent="0.25">
      <c r="A270" s="1">
        <v>45337</v>
      </c>
      <c r="B270" t="s">
        <v>603</v>
      </c>
      <c r="C270" t="s">
        <v>17</v>
      </c>
      <c r="D270" t="s">
        <v>18</v>
      </c>
      <c r="E270">
        <v>500</v>
      </c>
      <c r="F270">
        <v>0</v>
      </c>
      <c r="G270">
        <v>24</v>
      </c>
      <c r="H270">
        <v>12000</v>
      </c>
      <c r="I270" t="s">
        <v>604</v>
      </c>
      <c r="J270">
        <v>8</v>
      </c>
      <c r="K270">
        <v>6.06</v>
      </c>
      <c r="L270">
        <v>0</v>
      </c>
      <c r="M270">
        <v>0.01</v>
      </c>
      <c r="N270">
        <v>200</v>
      </c>
      <c r="O270">
        <v>37.08</v>
      </c>
      <c r="P270">
        <v>251.15</v>
      </c>
      <c r="Q270">
        <f t="shared" si="40"/>
        <v>2024</v>
      </c>
      <c r="R270">
        <f t="shared" si="41"/>
        <v>2</v>
      </c>
      <c r="S270">
        <f t="shared" si="42"/>
        <v>2023</v>
      </c>
      <c r="T270">
        <f t="shared" si="43"/>
        <v>11</v>
      </c>
      <c r="U270">
        <f t="shared" si="44"/>
        <v>11</v>
      </c>
      <c r="V270" t="str">
        <f t="shared" si="45"/>
        <v>202311</v>
      </c>
      <c r="W270" t="str">
        <f t="shared" si="46"/>
        <v>Feb-24</v>
      </c>
      <c r="X270" s="3">
        <f t="shared" si="47"/>
        <v>11748.85</v>
      </c>
      <c r="Y270">
        <f t="shared" si="48"/>
        <v>11748.85</v>
      </c>
      <c r="Z270" t="str">
        <f t="shared" si="49"/>
        <v/>
      </c>
    </row>
    <row r="271" spans="1:26" x14ac:dyDescent="0.25">
      <c r="A271" s="1">
        <v>45337</v>
      </c>
      <c r="B271" t="s">
        <v>603</v>
      </c>
      <c r="C271" t="s">
        <v>17</v>
      </c>
      <c r="D271" t="s">
        <v>22</v>
      </c>
      <c r="E271">
        <v>500</v>
      </c>
      <c r="F271">
        <v>0</v>
      </c>
      <c r="G271">
        <v>14.95</v>
      </c>
      <c r="H271">
        <v>7475</v>
      </c>
      <c r="I271" t="s">
        <v>605</v>
      </c>
      <c r="J271">
        <v>0</v>
      </c>
      <c r="K271">
        <v>3.77</v>
      </c>
      <c r="L271">
        <v>0</v>
      </c>
      <c r="M271">
        <v>0.01</v>
      </c>
      <c r="N271">
        <v>200</v>
      </c>
      <c r="O271">
        <v>36.68</v>
      </c>
      <c r="P271">
        <v>240.46</v>
      </c>
      <c r="Q271">
        <f t="shared" si="40"/>
        <v>2024</v>
      </c>
      <c r="R271">
        <f t="shared" si="41"/>
        <v>2</v>
      </c>
      <c r="S271">
        <f t="shared" si="42"/>
        <v>2023</v>
      </c>
      <c r="T271">
        <f t="shared" si="43"/>
        <v>11</v>
      </c>
      <c r="U271">
        <f t="shared" si="44"/>
        <v>11</v>
      </c>
      <c r="V271" t="str">
        <f t="shared" si="45"/>
        <v>202311</v>
      </c>
      <c r="W271" t="str">
        <f t="shared" si="46"/>
        <v>Feb-24</v>
      </c>
      <c r="X271" s="3">
        <f t="shared" si="47"/>
        <v>-7715.46</v>
      </c>
      <c r="Y271" t="str">
        <f t="shared" si="48"/>
        <v/>
      </c>
      <c r="Z271">
        <f t="shared" si="49"/>
        <v>-7715.46</v>
      </c>
    </row>
    <row r="272" spans="1:26" x14ac:dyDescent="0.25">
      <c r="A272" s="1">
        <v>45341</v>
      </c>
      <c r="B272" t="s">
        <v>600</v>
      </c>
      <c r="C272" t="s">
        <v>17</v>
      </c>
      <c r="D272" t="s">
        <v>18</v>
      </c>
      <c r="E272">
        <v>240</v>
      </c>
      <c r="F272">
        <v>0</v>
      </c>
      <c r="G272">
        <v>125.05</v>
      </c>
      <c r="H272">
        <v>30012</v>
      </c>
      <c r="I272" t="s">
        <v>601</v>
      </c>
      <c r="J272">
        <v>19.010000000000002</v>
      </c>
      <c r="K272">
        <v>15.17</v>
      </c>
      <c r="L272">
        <v>0</v>
      </c>
      <c r="M272">
        <v>0.05</v>
      </c>
      <c r="N272">
        <v>120</v>
      </c>
      <c r="O272">
        <v>24.34</v>
      </c>
      <c r="P272">
        <v>178.57</v>
      </c>
      <c r="Q272">
        <f t="shared" si="40"/>
        <v>2024</v>
      </c>
      <c r="R272">
        <f t="shared" si="41"/>
        <v>2</v>
      </c>
      <c r="S272">
        <f t="shared" si="42"/>
        <v>2023</v>
      </c>
      <c r="T272">
        <f t="shared" si="43"/>
        <v>11</v>
      </c>
      <c r="U272">
        <f t="shared" si="44"/>
        <v>11</v>
      </c>
      <c r="V272" t="str">
        <f t="shared" si="45"/>
        <v>202311</v>
      </c>
      <c r="W272" t="str">
        <f t="shared" si="46"/>
        <v>Feb-24</v>
      </c>
      <c r="X272" s="3">
        <f t="shared" si="47"/>
        <v>29833.43</v>
      </c>
      <c r="Y272">
        <f t="shared" si="48"/>
        <v>29833.43</v>
      </c>
      <c r="Z272" t="str">
        <f t="shared" si="49"/>
        <v/>
      </c>
    </row>
    <row r="273" spans="1:26" x14ac:dyDescent="0.25">
      <c r="A273" s="1">
        <v>45341</v>
      </c>
      <c r="B273" t="s">
        <v>600</v>
      </c>
      <c r="C273" t="s">
        <v>17</v>
      </c>
      <c r="D273" t="s">
        <v>22</v>
      </c>
      <c r="E273">
        <v>240</v>
      </c>
      <c r="F273">
        <v>0</v>
      </c>
      <c r="G273">
        <v>99.95</v>
      </c>
      <c r="H273">
        <v>23988</v>
      </c>
      <c r="I273" t="s">
        <v>602</v>
      </c>
      <c r="J273">
        <v>0</v>
      </c>
      <c r="K273">
        <v>12.11</v>
      </c>
      <c r="L273">
        <v>1</v>
      </c>
      <c r="M273">
        <v>0.02</v>
      </c>
      <c r="N273">
        <v>120</v>
      </c>
      <c r="O273">
        <v>23.78</v>
      </c>
      <c r="P273">
        <v>156.91</v>
      </c>
      <c r="Q273">
        <f t="shared" si="40"/>
        <v>2024</v>
      </c>
      <c r="R273">
        <f t="shared" si="41"/>
        <v>2</v>
      </c>
      <c r="S273">
        <f t="shared" si="42"/>
        <v>2023</v>
      </c>
      <c r="T273">
        <f t="shared" si="43"/>
        <v>11</v>
      </c>
      <c r="U273">
        <f t="shared" si="44"/>
        <v>11</v>
      </c>
      <c r="V273" t="str">
        <f t="shared" si="45"/>
        <v>202311</v>
      </c>
      <c r="W273" t="str">
        <f t="shared" si="46"/>
        <v>Feb-24</v>
      </c>
      <c r="X273" s="3">
        <f t="shared" si="47"/>
        <v>-24144.91</v>
      </c>
      <c r="Y273" t="str">
        <f t="shared" si="48"/>
        <v/>
      </c>
      <c r="Z273">
        <f t="shared" si="49"/>
        <v>-24144.91</v>
      </c>
    </row>
    <row r="274" spans="1:26" x14ac:dyDescent="0.25">
      <c r="A274" s="1">
        <v>45342</v>
      </c>
      <c r="B274" t="s">
        <v>577</v>
      </c>
      <c r="C274" t="s">
        <v>17</v>
      </c>
      <c r="D274" t="s">
        <v>18</v>
      </c>
      <c r="E274">
        <v>1800</v>
      </c>
      <c r="F274">
        <v>0</v>
      </c>
      <c r="G274">
        <v>2.95</v>
      </c>
      <c r="H274">
        <v>5310</v>
      </c>
      <c r="I274" t="s">
        <v>578</v>
      </c>
      <c r="J274">
        <v>3.44</v>
      </c>
      <c r="K274">
        <v>2.68</v>
      </c>
      <c r="L274">
        <v>0</v>
      </c>
      <c r="M274">
        <v>0</v>
      </c>
      <c r="N274">
        <v>900</v>
      </c>
      <c r="O274">
        <v>162.52000000000001</v>
      </c>
      <c r="P274">
        <v>1068.6400000000001</v>
      </c>
      <c r="Q274">
        <f t="shared" si="40"/>
        <v>2024</v>
      </c>
      <c r="R274">
        <f t="shared" si="41"/>
        <v>2</v>
      </c>
      <c r="S274">
        <f t="shared" si="42"/>
        <v>2023</v>
      </c>
      <c r="T274">
        <f t="shared" si="43"/>
        <v>11</v>
      </c>
      <c r="U274">
        <f t="shared" si="44"/>
        <v>11</v>
      </c>
      <c r="V274" t="str">
        <f t="shared" si="45"/>
        <v>202311</v>
      </c>
      <c r="W274" t="str">
        <f t="shared" si="46"/>
        <v>Feb-24</v>
      </c>
      <c r="X274" s="3">
        <f t="shared" si="47"/>
        <v>4241.3599999999997</v>
      </c>
      <c r="Y274">
        <f t="shared" si="48"/>
        <v>4241.3599999999997</v>
      </c>
      <c r="Z274" t="str">
        <f t="shared" si="49"/>
        <v/>
      </c>
    </row>
    <row r="275" spans="1:26" x14ac:dyDescent="0.25">
      <c r="A275" s="1">
        <v>45342</v>
      </c>
      <c r="B275" t="s">
        <v>577</v>
      </c>
      <c r="C275" t="s">
        <v>17</v>
      </c>
      <c r="D275" t="s">
        <v>18</v>
      </c>
      <c r="E275">
        <v>1800</v>
      </c>
      <c r="F275">
        <v>0</v>
      </c>
      <c r="G275">
        <v>2.95</v>
      </c>
      <c r="H275">
        <v>5310</v>
      </c>
      <c r="I275" t="s">
        <v>579</v>
      </c>
      <c r="J275">
        <v>3.32</v>
      </c>
      <c r="K275">
        <v>2.69</v>
      </c>
      <c r="L275">
        <v>0</v>
      </c>
      <c r="M275">
        <v>0</v>
      </c>
      <c r="N275">
        <v>900</v>
      </c>
      <c r="O275">
        <v>162.47999999999999</v>
      </c>
      <c r="P275">
        <v>1068.49</v>
      </c>
      <c r="Q275">
        <f t="shared" si="40"/>
        <v>2024</v>
      </c>
      <c r="R275">
        <f t="shared" si="41"/>
        <v>2</v>
      </c>
      <c r="S275">
        <f t="shared" si="42"/>
        <v>2023</v>
      </c>
      <c r="T275">
        <f t="shared" si="43"/>
        <v>11</v>
      </c>
      <c r="U275">
        <f t="shared" si="44"/>
        <v>11</v>
      </c>
      <c r="V275" t="str">
        <f t="shared" si="45"/>
        <v>202311</v>
      </c>
      <c r="W275" t="str">
        <f t="shared" si="46"/>
        <v>Feb-24</v>
      </c>
      <c r="X275" s="3">
        <f t="shared" si="47"/>
        <v>4241.51</v>
      </c>
      <c r="Y275">
        <f t="shared" si="48"/>
        <v>4241.51</v>
      </c>
      <c r="Z275" t="str">
        <f t="shared" si="49"/>
        <v/>
      </c>
    </row>
    <row r="276" spans="1:26" x14ac:dyDescent="0.25">
      <c r="A276" s="1">
        <v>45342</v>
      </c>
      <c r="B276" t="s">
        <v>577</v>
      </c>
      <c r="C276" t="s">
        <v>17</v>
      </c>
      <c r="D276" t="s">
        <v>22</v>
      </c>
      <c r="E276">
        <v>1800</v>
      </c>
      <c r="F276">
        <v>0</v>
      </c>
      <c r="G276">
        <v>5.0999999999999996</v>
      </c>
      <c r="H276">
        <v>9180</v>
      </c>
      <c r="I276" t="s">
        <v>580</v>
      </c>
      <c r="J276">
        <v>0</v>
      </c>
      <c r="K276">
        <v>4.63</v>
      </c>
      <c r="L276">
        <v>1.3</v>
      </c>
      <c r="M276">
        <v>0</v>
      </c>
      <c r="N276">
        <v>900</v>
      </c>
      <c r="O276">
        <v>162.82</v>
      </c>
      <c r="P276">
        <v>1068.75</v>
      </c>
      <c r="Q276">
        <f t="shared" si="40"/>
        <v>2024</v>
      </c>
      <c r="R276">
        <f t="shared" si="41"/>
        <v>2</v>
      </c>
      <c r="S276">
        <f t="shared" si="42"/>
        <v>2023</v>
      </c>
      <c r="T276">
        <f t="shared" si="43"/>
        <v>11</v>
      </c>
      <c r="U276">
        <f t="shared" si="44"/>
        <v>11</v>
      </c>
      <c r="V276" t="str">
        <f t="shared" si="45"/>
        <v>202311</v>
      </c>
      <c r="W276" t="str">
        <f t="shared" si="46"/>
        <v>Feb-24</v>
      </c>
      <c r="X276" s="3">
        <f t="shared" si="47"/>
        <v>-10248.75</v>
      </c>
      <c r="Y276" t="str">
        <f t="shared" si="48"/>
        <v/>
      </c>
      <c r="Z276">
        <f t="shared" si="49"/>
        <v>-10248.75</v>
      </c>
    </row>
    <row r="277" spans="1:26" x14ac:dyDescent="0.25">
      <c r="A277" s="1">
        <v>45342</v>
      </c>
      <c r="B277" t="s">
        <v>577</v>
      </c>
      <c r="C277" t="s">
        <v>17</v>
      </c>
      <c r="D277" t="s">
        <v>22</v>
      </c>
      <c r="E277">
        <v>1800</v>
      </c>
      <c r="F277">
        <v>0</v>
      </c>
      <c r="G277">
        <v>6.1</v>
      </c>
      <c r="H277">
        <v>10980</v>
      </c>
      <c r="I277" t="s">
        <v>581</v>
      </c>
      <c r="J277">
        <v>0</v>
      </c>
      <c r="K277">
        <v>5.54</v>
      </c>
      <c r="L277">
        <v>0</v>
      </c>
      <c r="M277">
        <v>0.01</v>
      </c>
      <c r="N277">
        <v>900</v>
      </c>
      <c r="O277">
        <v>162.97999999999999</v>
      </c>
      <c r="P277">
        <v>1068.53</v>
      </c>
      <c r="Q277">
        <f t="shared" si="40"/>
        <v>2024</v>
      </c>
      <c r="R277">
        <f t="shared" si="41"/>
        <v>2</v>
      </c>
      <c r="S277">
        <f t="shared" si="42"/>
        <v>2023</v>
      </c>
      <c r="T277">
        <f t="shared" si="43"/>
        <v>11</v>
      </c>
      <c r="U277">
        <f t="shared" si="44"/>
        <v>11</v>
      </c>
      <c r="V277" t="str">
        <f t="shared" si="45"/>
        <v>202311</v>
      </c>
      <c r="W277" t="str">
        <f t="shared" si="46"/>
        <v>Feb-24</v>
      </c>
      <c r="X277" s="3">
        <f t="shared" si="47"/>
        <v>-12048.53</v>
      </c>
      <c r="Y277" t="str">
        <f t="shared" si="48"/>
        <v/>
      </c>
      <c r="Z277">
        <f t="shared" si="49"/>
        <v>-12048.53</v>
      </c>
    </row>
    <row r="278" spans="1:26" x14ac:dyDescent="0.25">
      <c r="A278" s="1">
        <v>45342</v>
      </c>
      <c r="B278" t="s">
        <v>582</v>
      </c>
      <c r="C278" t="s">
        <v>17</v>
      </c>
      <c r="D278" t="s">
        <v>18</v>
      </c>
      <c r="E278">
        <v>2500</v>
      </c>
      <c r="F278">
        <v>0</v>
      </c>
      <c r="G278">
        <v>9.3000000000000007</v>
      </c>
      <c r="H278">
        <v>23250</v>
      </c>
      <c r="I278" t="s">
        <v>583</v>
      </c>
      <c r="J278">
        <v>14.53</v>
      </c>
      <c r="K278">
        <v>11.74</v>
      </c>
      <c r="L278">
        <v>0</v>
      </c>
      <c r="M278">
        <v>0.02</v>
      </c>
      <c r="N278">
        <v>20</v>
      </c>
      <c r="O278">
        <v>5.72</v>
      </c>
      <c r="P278">
        <v>52.01</v>
      </c>
      <c r="Q278">
        <f t="shared" si="40"/>
        <v>2024</v>
      </c>
      <c r="R278">
        <f t="shared" si="41"/>
        <v>2</v>
      </c>
      <c r="S278">
        <f t="shared" si="42"/>
        <v>2023</v>
      </c>
      <c r="T278">
        <f t="shared" si="43"/>
        <v>11</v>
      </c>
      <c r="U278">
        <f t="shared" si="44"/>
        <v>11</v>
      </c>
      <c r="V278" t="str">
        <f t="shared" si="45"/>
        <v>202311</v>
      </c>
      <c r="W278" t="str">
        <f t="shared" si="46"/>
        <v>Feb-24</v>
      </c>
      <c r="X278" s="3">
        <f t="shared" si="47"/>
        <v>23197.99</v>
      </c>
      <c r="Y278">
        <f t="shared" si="48"/>
        <v>23197.99</v>
      </c>
      <c r="Z278" t="str">
        <f t="shared" si="49"/>
        <v/>
      </c>
    </row>
    <row r="279" spans="1:26" x14ac:dyDescent="0.25">
      <c r="A279" s="1">
        <v>45342</v>
      </c>
      <c r="B279" t="s">
        <v>582</v>
      </c>
      <c r="C279" t="s">
        <v>17</v>
      </c>
      <c r="D279" t="s">
        <v>22</v>
      </c>
      <c r="E279">
        <v>2500</v>
      </c>
      <c r="F279">
        <v>0</v>
      </c>
      <c r="G279">
        <v>9.35</v>
      </c>
      <c r="H279">
        <v>23375</v>
      </c>
      <c r="I279" t="s">
        <v>584</v>
      </c>
      <c r="J279">
        <v>0</v>
      </c>
      <c r="K279">
        <v>11.8</v>
      </c>
      <c r="L279">
        <v>0.7</v>
      </c>
      <c r="M279">
        <v>0.02</v>
      </c>
      <c r="N279">
        <v>20</v>
      </c>
      <c r="O279">
        <v>5.72</v>
      </c>
      <c r="P279">
        <v>38.24</v>
      </c>
      <c r="Q279">
        <f t="shared" si="40"/>
        <v>2024</v>
      </c>
      <c r="R279">
        <f t="shared" si="41"/>
        <v>2</v>
      </c>
      <c r="S279">
        <f t="shared" si="42"/>
        <v>2023</v>
      </c>
      <c r="T279">
        <f t="shared" si="43"/>
        <v>11</v>
      </c>
      <c r="U279">
        <f t="shared" si="44"/>
        <v>11</v>
      </c>
      <c r="V279" t="str">
        <f t="shared" si="45"/>
        <v>202311</v>
      </c>
      <c r="W279" t="str">
        <f t="shared" si="46"/>
        <v>Feb-24</v>
      </c>
      <c r="X279" s="3">
        <f t="shared" si="47"/>
        <v>-23413.24</v>
      </c>
      <c r="Y279" t="str">
        <f t="shared" si="48"/>
        <v/>
      </c>
      <c r="Z279">
        <f t="shared" si="49"/>
        <v>-23413.24</v>
      </c>
    </row>
    <row r="280" spans="1:26" x14ac:dyDescent="0.25">
      <c r="A280" s="1">
        <v>45342</v>
      </c>
      <c r="B280" t="s">
        <v>577</v>
      </c>
      <c r="C280" t="s">
        <v>17</v>
      </c>
      <c r="D280" t="s">
        <v>18</v>
      </c>
      <c r="E280">
        <v>1040</v>
      </c>
      <c r="F280">
        <v>0</v>
      </c>
      <c r="G280">
        <v>4.1500000000000004</v>
      </c>
      <c r="H280">
        <v>4316</v>
      </c>
      <c r="I280" t="s">
        <v>585</v>
      </c>
      <c r="J280">
        <v>2.7</v>
      </c>
      <c r="K280">
        <v>2.1800000000000002</v>
      </c>
      <c r="L280">
        <v>0</v>
      </c>
      <c r="M280">
        <v>0</v>
      </c>
      <c r="N280">
        <v>520</v>
      </c>
      <c r="O280">
        <v>93.98</v>
      </c>
      <c r="P280">
        <v>618.86</v>
      </c>
      <c r="Q280">
        <f t="shared" si="40"/>
        <v>2024</v>
      </c>
      <c r="R280">
        <f t="shared" si="41"/>
        <v>2</v>
      </c>
      <c r="S280">
        <f t="shared" si="42"/>
        <v>2023</v>
      </c>
      <c r="T280">
        <f t="shared" si="43"/>
        <v>11</v>
      </c>
      <c r="U280">
        <f t="shared" si="44"/>
        <v>11</v>
      </c>
      <c r="V280" t="str">
        <f t="shared" si="45"/>
        <v>202311</v>
      </c>
      <c r="W280" t="str">
        <f t="shared" si="46"/>
        <v>Feb-24</v>
      </c>
      <c r="X280" s="3">
        <f t="shared" si="47"/>
        <v>3697.14</v>
      </c>
      <c r="Y280">
        <f t="shared" si="48"/>
        <v>3697.14</v>
      </c>
      <c r="Z280" t="str">
        <f t="shared" si="49"/>
        <v/>
      </c>
    </row>
    <row r="281" spans="1:26" x14ac:dyDescent="0.25">
      <c r="A281" s="1">
        <v>45342</v>
      </c>
      <c r="B281" t="s">
        <v>577</v>
      </c>
      <c r="C281" t="s">
        <v>17</v>
      </c>
      <c r="D281" t="s">
        <v>22</v>
      </c>
      <c r="E281">
        <v>520</v>
      </c>
      <c r="F281">
        <v>0</v>
      </c>
      <c r="G281">
        <v>7.5</v>
      </c>
      <c r="H281">
        <v>3900</v>
      </c>
      <c r="I281" t="s">
        <v>586</v>
      </c>
      <c r="J281">
        <v>0</v>
      </c>
      <c r="K281">
        <v>1.97</v>
      </c>
      <c r="L281">
        <v>0</v>
      </c>
      <c r="M281">
        <v>0</v>
      </c>
      <c r="N281">
        <v>260</v>
      </c>
      <c r="O281">
        <v>47.14</v>
      </c>
      <c r="P281">
        <v>309.11</v>
      </c>
      <c r="Q281">
        <f t="shared" si="40"/>
        <v>2024</v>
      </c>
      <c r="R281">
        <f t="shared" si="41"/>
        <v>2</v>
      </c>
      <c r="S281">
        <f t="shared" si="42"/>
        <v>2023</v>
      </c>
      <c r="T281">
        <f t="shared" si="43"/>
        <v>11</v>
      </c>
      <c r="U281">
        <f t="shared" si="44"/>
        <v>11</v>
      </c>
      <c r="V281" t="str">
        <f t="shared" si="45"/>
        <v>202311</v>
      </c>
      <c r="W281" t="str">
        <f t="shared" si="46"/>
        <v>Feb-24</v>
      </c>
      <c r="X281" s="3">
        <f t="shared" si="47"/>
        <v>-4209.1099999999997</v>
      </c>
      <c r="Y281" t="str">
        <f t="shared" si="48"/>
        <v/>
      </c>
      <c r="Z281">
        <f t="shared" si="49"/>
        <v>-4209.1099999999997</v>
      </c>
    </row>
    <row r="282" spans="1:26" x14ac:dyDescent="0.25">
      <c r="A282" s="1">
        <v>45342</v>
      </c>
      <c r="B282" t="s">
        <v>577</v>
      </c>
      <c r="C282" t="s">
        <v>17</v>
      </c>
      <c r="D282" t="s">
        <v>22</v>
      </c>
      <c r="E282">
        <v>40</v>
      </c>
      <c r="F282">
        <v>0</v>
      </c>
      <c r="G282">
        <v>9.5500000000000007</v>
      </c>
      <c r="H282">
        <v>382</v>
      </c>
      <c r="I282" t="s">
        <v>587</v>
      </c>
      <c r="J282">
        <v>0</v>
      </c>
      <c r="K282">
        <v>0.19</v>
      </c>
      <c r="L282">
        <v>0</v>
      </c>
      <c r="M282">
        <v>0</v>
      </c>
      <c r="N282">
        <v>20</v>
      </c>
      <c r="O282">
        <v>3.64</v>
      </c>
      <c r="P282">
        <v>23.83</v>
      </c>
      <c r="Q282">
        <f t="shared" si="40"/>
        <v>2024</v>
      </c>
      <c r="R282">
        <f t="shared" si="41"/>
        <v>2</v>
      </c>
      <c r="S282">
        <f t="shared" si="42"/>
        <v>2023</v>
      </c>
      <c r="T282">
        <f t="shared" si="43"/>
        <v>11</v>
      </c>
      <c r="U282">
        <f t="shared" si="44"/>
        <v>11</v>
      </c>
      <c r="V282" t="str">
        <f t="shared" si="45"/>
        <v>202311</v>
      </c>
      <c r="W282" t="str">
        <f t="shared" si="46"/>
        <v>Feb-24</v>
      </c>
      <c r="X282" s="3">
        <f t="shared" si="47"/>
        <v>-405.83</v>
      </c>
      <c r="Y282" t="str">
        <f t="shared" si="48"/>
        <v/>
      </c>
      <c r="Z282">
        <f t="shared" si="49"/>
        <v>-405.83</v>
      </c>
    </row>
    <row r="283" spans="1:26" x14ac:dyDescent="0.25">
      <c r="A283" s="1">
        <v>45342</v>
      </c>
      <c r="B283" t="s">
        <v>577</v>
      </c>
      <c r="C283" t="s">
        <v>17</v>
      </c>
      <c r="D283" t="s">
        <v>22</v>
      </c>
      <c r="E283">
        <v>40</v>
      </c>
      <c r="F283">
        <v>0</v>
      </c>
      <c r="G283">
        <v>9.65</v>
      </c>
      <c r="H283">
        <v>386</v>
      </c>
      <c r="I283" t="s">
        <v>588</v>
      </c>
      <c r="J283">
        <v>0</v>
      </c>
      <c r="K283">
        <v>0.19</v>
      </c>
      <c r="L283">
        <v>0</v>
      </c>
      <c r="M283">
        <v>0</v>
      </c>
      <c r="N283">
        <v>20</v>
      </c>
      <c r="O283">
        <v>3.64</v>
      </c>
      <c r="P283">
        <v>23.83</v>
      </c>
      <c r="Q283">
        <f t="shared" si="40"/>
        <v>2024</v>
      </c>
      <c r="R283">
        <f t="shared" si="41"/>
        <v>2</v>
      </c>
      <c r="S283">
        <f t="shared" si="42"/>
        <v>2023</v>
      </c>
      <c r="T283">
        <f t="shared" si="43"/>
        <v>11</v>
      </c>
      <c r="U283">
        <f t="shared" si="44"/>
        <v>11</v>
      </c>
      <c r="V283" t="str">
        <f t="shared" si="45"/>
        <v>202311</v>
      </c>
      <c r="W283" t="str">
        <f t="shared" si="46"/>
        <v>Feb-24</v>
      </c>
      <c r="X283" s="3">
        <f t="shared" si="47"/>
        <v>-409.83</v>
      </c>
      <c r="Y283" t="str">
        <f t="shared" si="48"/>
        <v/>
      </c>
      <c r="Z283">
        <f t="shared" si="49"/>
        <v>-409.83</v>
      </c>
    </row>
    <row r="284" spans="1:26" x14ac:dyDescent="0.25">
      <c r="A284" s="1">
        <v>45342</v>
      </c>
      <c r="B284" t="s">
        <v>577</v>
      </c>
      <c r="C284" t="s">
        <v>17</v>
      </c>
      <c r="D284" t="s">
        <v>22</v>
      </c>
      <c r="E284">
        <v>40</v>
      </c>
      <c r="F284">
        <v>0</v>
      </c>
      <c r="G284">
        <v>9.65</v>
      </c>
      <c r="H284">
        <v>386</v>
      </c>
      <c r="I284" t="s">
        <v>589</v>
      </c>
      <c r="J284">
        <v>0</v>
      </c>
      <c r="K284">
        <v>0.19</v>
      </c>
      <c r="L284">
        <v>0</v>
      </c>
      <c r="M284">
        <v>0</v>
      </c>
      <c r="N284">
        <v>20</v>
      </c>
      <c r="O284">
        <v>3.64</v>
      </c>
      <c r="P284">
        <v>23.83</v>
      </c>
      <c r="Q284">
        <f t="shared" si="40"/>
        <v>2024</v>
      </c>
      <c r="R284">
        <f t="shared" si="41"/>
        <v>2</v>
      </c>
      <c r="S284">
        <f t="shared" si="42"/>
        <v>2023</v>
      </c>
      <c r="T284">
        <f t="shared" si="43"/>
        <v>11</v>
      </c>
      <c r="U284">
        <f t="shared" si="44"/>
        <v>11</v>
      </c>
      <c r="V284" t="str">
        <f t="shared" si="45"/>
        <v>202311</v>
      </c>
      <c r="W284" t="str">
        <f t="shared" si="46"/>
        <v>Feb-24</v>
      </c>
      <c r="X284" s="3">
        <f t="shared" si="47"/>
        <v>-409.83</v>
      </c>
      <c r="Y284" t="str">
        <f t="shared" si="48"/>
        <v/>
      </c>
      <c r="Z284">
        <f t="shared" si="49"/>
        <v>-409.83</v>
      </c>
    </row>
    <row r="285" spans="1:26" x14ac:dyDescent="0.25">
      <c r="A285" s="1">
        <v>45342</v>
      </c>
      <c r="B285" t="s">
        <v>577</v>
      </c>
      <c r="C285" t="s">
        <v>17</v>
      </c>
      <c r="D285" t="s">
        <v>22</v>
      </c>
      <c r="E285">
        <v>40</v>
      </c>
      <c r="F285">
        <v>0</v>
      </c>
      <c r="G285">
        <v>9.75</v>
      </c>
      <c r="H285">
        <v>390</v>
      </c>
      <c r="I285" t="s">
        <v>590</v>
      </c>
      <c r="J285">
        <v>0</v>
      </c>
      <c r="K285">
        <v>0.2</v>
      </c>
      <c r="L285">
        <v>0</v>
      </c>
      <c r="M285">
        <v>0</v>
      </c>
      <c r="N285">
        <v>20</v>
      </c>
      <c r="O285">
        <v>3.64</v>
      </c>
      <c r="P285">
        <v>23.84</v>
      </c>
      <c r="Q285">
        <f t="shared" si="40"/>
        <v>2024</v>
      </c>
      <c r="R285">
        <f t="shared" si="41"/>
        <v>2</v>
      </c>
      <c r="S285">
        <f t="shared" si="42"/>
        <v>2023</v>
      </c>
      <c r="T285">
        <f t="shared" si="43"/>
        <v>11</v>
      </c>
      <c r="U285">
        <f t="shared" si="44"/>
        <v>11</v>
      </c>
      <c r="V285" t="str">
        <f t="shared" si="45"/>
        <v>202311</v>
      </c>
      <c r="W285" t="str">
        <f t="shared" si="46"/>
        <v>Feb-24</v>
      </c>
      <c r="X285" s="3">
        <f t="shared" si="47"/>
        <v>-413.84</v>
      </c>
      <c r="Y285" t="str">
        <f t="shared" si="48"/>
        <v/>
      </c>
      <c r="Z285">
        <f t="shared" si="49"/>
        <v>-413.84</v>
      </c>
    </row>
    <row r="286" spans="1:26" x14ac:dyDescent="0.25">
      <c r="A286" s="1">
        <v>45342</v>
      </c>
      <c r="B286" t="s">
        <v>577</v>
      </c>
      <c r="C286" t="s">
        <v>17</v>
      </c>
      <c r="D286" t="s">
        <v>22</v>
      </c>
      <c r="E286">
        <v>40</v>
      </c>
      <c r="F286">
        <v>0</v>
      </c>
      <c r="G286">
        <v>9.9</v>
      </c>
      <c r="H286">
        <v>396</v>
      </c>
      <c r="I286" t="s">
        <v>591</v>
      </c>
      <c r="J286">
        <v>0</v>
      </c>
      <c r="K286">
        <v>0.2</v>
      </c>
      <c r="L286">
        <v>0</v>
      </c>
      <c r="M286">
        <v>0</v>
      </c>
      <c r="N286">
        <v>20</v>
      </c>
      <c r="O286">
        <v>3.64</v>
      </c>
      <c r="P286">
        <v>23.84</v>
      </c>
      <c r="Q286">
        <f t="shared" si="40"/>
        <v>2024</v>
      </c>
      <c r="R286">
        <f t="shared" si="41"/>
        <v>2</v>
      </c>
      <c r="S286">
        <f t="shared" si="42"/>
        <v>2023</v>
      </c>
      <c r="T286">
        <f t="shared" si="43"/>
        <v>11</v>
      </c>
      <c r="U286">
        <f t="shared" si="44"/>
        <v>11</v>
      </c>
      <c r="V286" t="str">
        <f t="shared" si="45"/>
        <v>202311</v>
      </c>
      <c r="W286" t="str">
        <f t="shared" si="46"/>
        <v>Feb-24</v>
      </c>
      <c r="X286" s="3">
        <f t="shared" si="47"/>
        <v>-419.84</v>
      </c>
      <c r="Y286" t="str">
        <f t="shared" si="48"/>
        <v/>
      </c>
      <c r="Z286">
        <f t="shared" si="49"/>
        <v>-419.84</v>
      </c>
    </row>
    <row r="287" spans="1:26" x14ac:dyDescent="0.25">
      <c r="A287" s="1">
        <v>45342</v>
      </c>
      <c r="B287" t="s">
        <v>577</v>
      </c>
      <c r="C287" t="s">
        <v>17</v>
      </c>
      <c r="D287" t="s">
        <v>22</v>
      </c>
      <c r="E287">
        <v>40</v>
      </c>
      <c r="F287">
        <v>0</v>
      </c>
      <c r="G287">
        <v>9.9</v>
      </c>
      <c r="H287">
        <v>396</v>
      </c>
      <c r="I287" t="s">
        <v>592</v>
      </c>
      <c r="J287">
        <v>0</v>
      </c>
      <c r="K287">
        <v>0.2</v>
      </c>
      <c r="L287">
        <v>0</v>
      </c>
      <c r="M287">
        <v>0</v>
      </c>
      <c r="N287">
        <v>20</v>
      </c>
      <c r="O287">
        <v>3.64</v>
      </c>
      <c r="P287">
        <v>23.84</v>
      </c>
      <c r="Q287">
        <f t="shared" si="40"/>
        <v>2024</v>
      </c>
      <c r="R287">
        <f t="shared" si="41"/>
        <v>2</v>
      </c>
      <c r="S287">
        <f t="shared" si="42"/>
        <v>2023</v>
      </c>
      <c r="T287">
        <f t="shared" si="43"/>
        <v>11</v>
      </c>
      <c r="U287">
        <f t="shared" si="44"/>
        <v>11</v>
      </c>
      <c r="V287" t="str">
        <f t="shared" si="45"/>
        <v>202311</v>
      </c>
      <c r="W287" t="str">
        <f t="shared" si="46"/>
        <v>Feb-24</v>
      </c>
      <c r="X287" s="3">
        <f t="shared" si="47"/>
        <v>-419.84</v>
      </c>
      <c r="Y287" t="str">
        <f t="shared" si="48"/>
        <v/>
      </c>
      <c r="Z287">
        <f t="shared" si="49"/>
        <v>-419.84</v>
      </c>
    </row>
    <row r="288" spans="1:26" x14ac:dyDescent="0.25">
      <c r="A288" s="1">
        <v>45342</v>
      </c>
      <c r="B288" t="s">
        <v>577</v>
      </c>
      <c r="C288" t="s">
        <v>17</v>
      </c>
      <c r="D288" t="s">
        <v>22</v>
      </c>
      <c r="E288">
        <v>40</v>
      </c>
      <c r="F288">
        <v>0</v>
      </c>
      <c r="G288">
        <v>10</v>
      </c>
      <c r="H288">
        <v>400</v>
      </c>
      <c r="I288" t="s">
        <v>593</v>
      </c>
      <c r="J288">
        <v>0</v>
      </c>
      <c r="K288">
        <v>0.2</v>
      </c>
      <c r="L288">
        <v>0</v>
      </c>
      <c r="M288">
        <v>0</v>
      </c>
      <c r="N288">
        <v>20</v>
      </c>
      <c r="O288">
        <v>3.64</v>
      </c>
      <c r="P288">
        <v>23.84</v>
      </c>
      <c r="Q288">
        <f t="shared" si="40"/>
        <v>2024</v>
      </c>
      <c r="R288">
        <f t="shared" si="41"/>
        <v>2</v>
      </c>
      <c r="S288">
        <f t="shared" si="42"/>
        <v>2023</v>
      </c>
      <c r="T288">
        <f t="shared" si="43"/>
        <v>11</v>
      </c>
      <c r="U288">
        <f t="shared" si="44"/>
        <v>11</v>
      </c>
      <c r="V288" t="str">
        <f t="shared" si="45"/>
        <v>202311</v>
      </c>
      <c r="W288" t="str">
        <f t="shared" si="46"/>
        <v>Feb-24</v>
      </c>
      <c r="X288" s="3">
        <f t="shared" si="47"/>
        <v>-423.84</v>
      </c>
      <c r="Y288" t="str">
        <f t="shared" si="48"/>
        <v/>
      </c>
      <c r="Z288">
        <f t="shared" si="49"/>
        <v>-423.84</v>
      </c>
    </row>
    <row r="289" spans="1:26" x14ac:dyDescent="0.25">
      <c r="A289" s="1">
        <v>45342</v>
      </c>
      <c r="B289" t="s">
        <v>577</v>
      </c>
      <c r="C289" t="s">
        <v>17</v>
      </c>
      <c r="D289" t="s">
        <v>22</v>
      </c>
      <c r="E289">
        <v>40</v>
      </c>
      <c r="F289">
        <v>0</v>
      </c>
      <c r="G289">
        <v>9.15</v>
      </c>
      <c r="H289">
        <v>366</v>
      </c>
      <c r="I289" t="s">
        <v>594</v>
      </c>
      <c r="J289">
        <v>0</v>
      </c>
      <c r="K289">
        <v>0.18</v>
      </c>
      <c r="L289">
        <v>0</v>
      </c>
      <c r="M289">
        <v>0</v>
      </c>
      <c r="N289">
        <v>20</v>
      </c>
      <c r="O289">
        <v>3.64</v>
      </c>
      <c r="P289">
        <v>23.82</v>
      </c>
      <c r="Q289">
        <f t="shared" si="40"/>
        <v>2024</v>
      </c>
      <c r="R289">
        <f t="shared" si="41"/>
        <v>2</v>
      </c>
      <c r="S289">
        <f t="shared" si="42"/>
        <v>2023</v>
      </c>
      <c r="T289">
        <f t="shared" si="43"/>
        <v>11</v>
      </c>
      <c r="U289">
        <f t="shared" si="44"/>
        <v>11</v>
      </c>
      <c r="V289" t="str">
        <f t="shared" si="45"/>
        <v>202311</v>
      </c>
      <c r="W289" t="str">
        <f t="shared" si="46"/>
        <v>Feb-24</v>
      </c>
      <c r="X289" s="3">
        <f t="shared" si="47"/>
        <v>-389.82</v>
      </c>
      <c r="Y289" t="str">
        <f t="shared" si="48"/>
        <v/>
      </c>
      <c r="Z289">
        <f t="shared" si="49"/>
        <v>-389.82</v>
      </c>
    </row>
    <row r="290" spans="1:26" x14ac:dyDescent="0.25">
      <c r="A290" s="1">
        <v>45342</v>
      </c>
      <c r="B290" t="s">
        <v>577</v>
      </c>
      <c r="C290" t="s">
        <v>17</v>
      </c>
      <c r="D290" t="s">
        <v>22</v>
      </c>
      <c r="E290">
        <v>40</v>
      </c>
      <c r="F290">
        <v>0</v>
      </c>
      <c r="G290">
        <v>9.0500000000000007</v>
      </c>
      <c r="H290">
        <v>362</v>
      </c>
      <c r="I290" t="s">
        <v>595</v>
      </c>
      <c r="J290">
        <v>0</v>
      </c>
      <c r="K290">
        <v>0.18</v>
      </c>
      <c r="L290">
        <v>0</v>
      </c>
      <c r="M290">
        <v>0</v>
      </c>
      <c r="N290">
        <v>20</v>
      </c>
      <c r="O290">
        <v>3.64</v>
      </c>
      <c r="P290">
        <v>23.82</v>
      </c>
      <c r="Q290">
        <f t="shared" si="40"/>
        <v>2024</v>
      </c>
      <c r="R290">
        <f t="shared" si="41"/>
        <v>2</v>
      </c>
      <c r="S290">
        <f t="shared" si="42"/>
        <v>2023</v>
      </c>
      <c r="T290">
        <f t="shared" si="43"/>
        <v>11</v>
      </c>
      <c r="U290">
        <f t="shared" si="44"/>
        <v>11</v>
      </c>
      <c r="V290" t="str">
        <f t="shared" si="45"/>
        <v>202311</v>
      </c>
      <c r="W290" t="str">
        <f t="shared" si="46"/>
        <v>Feb-24</v>
      </c>
      <c r="X290" s="3">
        <f t="shared" si="47"/>
        <v>-385.82</v>
      </c>
      <c r="Y290" t="str">
        <f t="shared" si="48"/>
        <v/>
      </c>
      <c r="Z290">
        <f t="shared" si="49"/>
        <v>-385.82</v>
      </c>
    </row>
    <row r="291" spans="1:26" x14ac:dyDescent="0.25">
      <c r="A291" s="1">
        <v>45342</v>
      </c>
      <c r="B291" t="s">
        <v>577</v>
      </c>
      <c r="C291" t="s">
        <v>17</v>
      </c>
      <c r="D291" t="s">
        <v>22</v>
      </c>
      <c r="E291">
        <v>40</v>
      </c>
      <c r="F291">
        <v>0</v>
      </c>
      <c r="G291">
        <v>12.6</v>
      </c>
      <c r="H291">
        <v>504</v>
      </c>
      <c r="I291" t="s">
        <v>596</v>
      </c>
      <c r="J291">
        <v>0</v>
      </c>
      <c r="K291">
        <v>0.25</v>
      </c>
      <c r="L291">
        <v>0</v>
      </c>
      <c r="M291">
        <v>0</v>
      </c>
      <c r="N291">
        <v>20</v>
      </c>
      <c r="O291">
        <v>3.64</v>
      </c>
      <c r="P291">
        <v>23.89</v>
      </c>
      <c r="Q291">
        <f t="shared" si="40"/>
        <v>2024</v>
      </c>
      <c r="R291">
        <f t="shared" si="41"/>
        <v>2</v>
      </c>
      <c r="S291">
        <f t="shared" si="42"/>
        <v>2023</v>
      </c>
      <c r="T291">
        <f t="shared" si="43"/>
        <v>11</v>
      </c>
      <c r="U291">
        <f t="shared" si="44"/>
        <v>11</v>
      </c>
      <c r="V291" t="str">
        <f t="shared" si="45"/>
        <v>202311</v>
      </c>
      <c r="W291" t="str">
        <f t="shared" si="46"/>
        <v>Feb-24</v>
      </c>
      <c r="X291" s="3">
        <f t="shared" si="47"/>
        <v>-527.89</v>
      </c>
      <c r="Y291" t="str">
        <f t="shared" si="48"/>
        <v/>
      </c>
      <c r="Z291">
        <f t="shared" si="49"/>
        <v>-527.89</v>
      </c>
    </row>
    <row r="292" spans="1:26" x14ac:dyDescent="0.25">
      <c r="A292" s="1">
        <v>45342</v>
      </c>
      <c r="B292" t="s">
        <v>577</v>
      </c>
      <c r="C292" t="s">
        <v>17</v>
      </c>
      <c r="D292" t="s">
        <v>22</v>
      </c>
      <c r="E292">
        <v>40</v>
      </c>
      <c r="F292">
        <v>0</v>
      </c>
      <c r="G292">
        <v>12.55</v>
      </c>
      <c r="H292">
        <v>502</v>
      </c>
      <c r="I292" t="s">
        <v>597</v>
      </c>
      <c r="J292">
        <v>0</v>
      </c>
      <c r="K292">
        <v>0.25</v>
      </c>
      <c r="L292">
        <v>0</v>
      </c>
      <c r="M292">
        <v>0</v>
      </c>
      <c r="N292">
        <v>20</v>
      </c>
      <c r="O292">
        <v>3.64</v>
      </c>
      <c r="P292">
        <v>23.89</v>
      </c>
      <c r="Q292">
        <f t="shared" si="40"/>
        <v>2024</v>
      </c>
      <c r="R292">
        <f t="shared" si="41"/>
        <v>2</v>
      </c>
      <c r="S292">
        <f t="shared" si="42"/>
        <v>2023</v>
      </c>
      <c r="T292">
        <f t="shared" si="43"/>
        <v>11</v>
      </c>
      <c r="U292">
        <f t="shared" si="44"/>
        <v>11</v>
      </c>
      <c r="V292" t="str">
        <f t="shared" si="45"/>
        <v>202311</v>
      </c>
      <c r="W292" t="str">
        <f t="shared" si="46"/>
        <v>Feb-24</v>
      </c>
      <c r="X292" s="3">
        <f t="shared" si="47"/>
        <v>-525.89</v>
      </c>
      <c r="Y292" t="str">
        <f t="shared" si="48"/>
        <v/>
      </c>
      <c r="Z292">
        <f t="shared" si="49"/>
        <v>-525.89</v>
      </c>
    </row>
    <row r="293" spans="1:26" x14ac:dyDescent="0.25">
      <c r="A293" s="1">
        <v>45342</v>
      </c>
      <c r="B293" t="s">
        <v>577</v>
      </c>
      <c r="C293" t="s">
        <v>17</v>
      </c>
      <c r="D293" t="s">
        <v>22</v>
      </c>
      <c r="E293">
        <v>40</v>
      </c>
      <c r="F293">
        <v>0</v>
      </c>
      <c r="G293">
        <v>14.4</v>
      </c>
      <c r="H293">
        <v>576</v>
      </c>
      <c r="I293" t="s">
        <v>598</v>
      </c>
      <c r="J293">
        <v>0</v>
      </c>
      <c r="K293">
        <v>0.28999999999999998</v>
      </c>
      <c r="L293">
        <v>0</v>
      </c>
      <c r="M293">
        <v>0</v>
      </c>
      <c r="N293">
        <v>20</v>
      </c>
      <c r="O293">
        <v>3.66</v>
      </c>
      <c r="P293">
        <v>23.95</v>
      </c>
      <c r="Q293">
        <f t="shared" si="40"/>
        <v>2024</v>
      </c>
      <c r="R293">
        <f t="shared" si="41"/>
        <v>2</v>
      </c>
      <c r="S293">
        <f t="shared" si="42"/>
        <v>2023</v>
      </c>
      <c r="T293">
        <f t="shared" si="43"/>
        <v>11</v>
      </c>
      <c r="U293">
        <f t="shared" si="44"/>
        <v>11</v>
      </c>
      <c r="V293" t="str">
        <f t="shared" si="45"/>
        <v>202311</v>
      </c>
      <c r="W293" t="str">
        <f t="shared" si="46"/>
        <v>Feb-24</v>
      </c>
      <c r="X293" s="3">
        <f t="shared" si="47"/>
        <v>-599.95000000000005</v>
      </c>
      <c r="Y293" t="str">
        <f t="shared" si="48"/>
        <v/>
      </c>
      <c r="Z293">
        <f t="shared" si="49"/>
        <v>-599.95000000000005</v>
      </c>
    </row>
    <row r="294" spans="1:26" x14ac:dyDescent="0.25">
      <c r="A294" s="1">
        <v>45342</v>
      </c>
      <c r="B294" t="s">
        <v>577</v>
      </c>
      <c r="C294" t="s">
        <v>17</v>
      </c>
      <c r="D294" t="s">
        <v>22</v>
      </c>
      <c r="E294">
        <v>40</v>
      </c>
      <c r="F294">
        <v>0</v>
      </c>
      <c r="G294">
        <v>30</v>
      </c>
      <c r="H294">
        <v>1200</v>
      </c>
      <c r="I294" t="s">
        <v>599</v>
      </c>
      <c r="J294">
        <v>0</v>
      </c>
      <c r="K294">
        <v>0.61</v>
      </c>
      <c r="L294">
        <v>0</v>
      </c>
      <c r="M294">
        <v>0</v>
      </c>
      <c r="N294">
        <v>20</v>
      </c>
      <c r="O294">
        <v>3.7</v>
      </c>
      <c r="P294">
        <v>24.31</v>
      </c>
      <c r="Q294">
        <f t="shared" si="40"/>
        <v>2024</v>
      </c>
      <c r="R294">
        <f t="shared" si="41"/>
        <v>2</v>
      </c>
      <c r="S294">
        <f t="shared" si="42"/>
        <v>2023</v>
      </c>
      <c r="T294">
        <f t="shared" si="43"/>
        <v>11</v>
      </c>
      <c r="U294">
        <f t="shared" si="44"/>
        <v>11</v>
      </c>
      <c r="V294" t="str">
        <f t="shared" si="45"/>
        <v>202311</v>
      </c>
      <c r="W294" t="str">
        <f t="shared" si="46"/>
        <v>Feb-24</v>
      </c>
      <c r="X294" s="3">
        <f t="shared" si="47"/>
        <v>-1224.31</v>
      </c>
      <c r="Y294" t="str">
        <f t="shared" si="48"/>
        <v/>
      </c>
      <c r="Z294">
        <f t="shared" si="49"/>
        <v>-1224.31</v>
      </c>
    </row>
    <row r="295" spans="1:26" x14ac:dyDescent="0.25">
      <c r="A295" s="1">
        <v>45343</v>
      </c>
      <c r="B295" t="s">
        <v>567</v>
      </c>
      <c r="C295" t="s">
        <v>17</v>
      </c>
      <c r="D295" t="s">
        <v>18</v>
      </c>
      <c r="E295">
        <v>120</v>
      </c>
      <c r="F295">
        <v>0</v>
      </c>
      <c r="G295">
        <v>78.55</v>
      </c>
      <c r="H295">
        <v>9426</v>
      </c>
      <c r="I295" t="s">
        <v>568</v>
      </c>
      <c r="J295">
        <v>5.9</v>
      </c>
      <c r="K295">
        <v>4.7699999999999996</v>
      </c>
      <c r="L295">
        <v>0</v>
      </c>
      <c r="M295">
        <v>0</v>
      </c>
      <c r="N295">
        <v>160</v>
      </c>
      <c r="O295">
        <v>29.64</v>
      </c>
      <c r="P295">
        <v>200.31</v>
      </c>
      <c r="Q295">
        <f t="shared" si="40"/>
        <v>2024</v>
      </c>
      <c r="R295">
        <f t="shared" si="41"/>
        <v>2</v>
      </c>
      <c r="S295">
        <f t="shared" si="42"/>
        <v>2023</v>
      </c>
      <c r="T295">
        <f t="shared" si="43"/>
        <v>11</v>
      </c>
      <c r="U295">
        <f t="shared" si="44"/>
        <v>11</v>
      </c>
      <c r="V295" t="str">
        <f t="shared" si="45"/>
        <v>202311</v>
      </c>
      <c r="W295" t="str">
        <f t="shared" si="46"/>
        <v>Feb-24</v>
      </c>
      <c r="X295" s="3">
        <f t="shared" si="47"/>
        <v>9225.69</v>
      </c>
      <c r="Y295">
        <f t="shared" si="48"/>
        <v>9225.69</v>
      </c>
      <c r="Z295" t="str">
        <f t="shared" si="49"/>
        <v/>
      </c>
    </row>
    <row r="296" spans="1:26" x14ac:dyDescent="0.25">
      <c r="A296" s="1">
        <v>45343</v>
      </c>
      <c r="B296" t="s">
        <v>567</v>
      </c>
      <c r="C296" t="s">
        <v>17</v>
      </c>
      <c r="D296" t="s">
        <v>22</v>
      </c>
      <c r="E296">
        <v>120</v>
      </c>
      <c r="F296">
        <v>0</v>
      </c>
      <c r="G296">
        <v>68.3</v>
      </c>
      <c r="H296">
        <v>8196</v>
      </c>
      <c r="I296" t="s">
        <v>569</v>
      </c>
      <c r="J296">
        <v>0</v>
      </c>
      <c r="K296">
        <v>4.1399999999999997</v>
      </c>
      <c r="L296">
        <v>0.25</v>
      </c>
      <c r="M296">
        <v>0.01</v>
      </c>
      <c r="N296">
        <v>160</v>
      </c>
      <c r="O296">
        <v>29.54</v>
      </c>
      <c r="P296">
        <v>193.94</v>
      </c>
      <c r="Q296">
        <f t="shared" si="40"/>
        <v>2024</v>
      </c>
      <c r="R296">
        <f t="shared" si="41"/>
        <v>2</v>
      </c>
      <c r="S296">
        <f t="shared" si="42"/>
        <v>2023</v>
      </c>
      <c r="T296">
        <f t="shared" si="43"/>
        <v>11</v>
      </c>
      <c r="U296">
        <f t="shared" si="44"/>
        <v>11</v>
      </c>
      <c r="V296" t="str">
        <f t="shared" si="45"/>
        <v>202311</v>
      </c>
      <c r="W296" t="str">
        <f t="shared" si="46"/>
        <v>Feb-24</v>
      </c>
      <c r="X296" s="3">
        <f t="shared" si="47"/>
        <v>-8389.94</v>
      </c>
      <c r="Y296" t="str">
        <f t="shared" si="48"/>
        <v/>
      </c>
      <c r="Z296">
        <f t="shared" si="49"/>
        <v>-8389.94</v>
      </c>
    </row>
    <row r="297" spans="1:26" x14ac:dyDescent="0.25">
      <c r="A297" s="1">
        <v>45343</v>
      </c>
      <c r="B297" t="s">
        <v>570</v>
      </c>
      <c r="C297" t="s">
        <v>17</v>
      </c>
      <c r="D297" t="s">
        <v>18</v>
      </c>
      <c r="E297">
        <v>105</v>
      </c>
      <c r="F297">
        <v>0</v>
      </c>
      <c r="G297">
        <v>35.9</v>
      </c>
      <c r="H297">
        <v>3769.5</v>
      </c>
      <c r="I297" t="s">
        <v>571</v>
      </c>
      <c r="J297">
        <v>2.36</v>
      </c>
      <c r="K297">
        <v>1.9</v>
      </c>
      <c r="L297">
        <v>0</v>
      </c>
      <c r="M297">
        <v>0</v>
      </c>
      <c r="N297">
        <v>140</v>
      </c>
      <c r="O297">
        <v>25.54</v>
      </c>
      <c r="P297">
        <v>169.8</v>
      </c>
      <c r="Q297">
        <f t="shared" si="40"/>
        <v>2024</v>
      </c>
      <c r="R297">
        <f t="shared" si="41"/>
        <v>2</v>
      </c>
      <c r="S297">
        <f t="shared" si="42"/>
        <v>2023</v>
      </c>
      <c r="T297">
        <f t="shared" si="43"/>
        <v>11</v>
      </c>
      <c r="U297">
        <f t="shared" si="44"/>
        <v>11</v>
      </c>
      <c r="V297" t="str">
        <f t="shared" si="45"/>
        <v>202311</v>
      </c>
      <c r="W297" t="str">
        <f t="shared" si="46"/>
        <v>Feb-24</v>
      </c>
      <c r="X297" s="3">
        <f t="shared" si="47"/>
        <v>3599.7</v>
      </c>
      <c r="Y297">
        <f t="shared" si="48"/>
        <v>3599.7</v>
      </c>
      <c r="Z297" t="str">
        <f t="shared" si="49"/>
        <v/>
      </c>
    </row>
    <row r="298" spans="1:26" x14ac:dyDescent="0.25">
      <c r="A298" s="1">
        <v>45343</v>
      </c>
      <c r="B298" t="s">
        <v>570</v>
      </c>
      <c r="C298" t="s">
        <v>17</v>
      </c>
      <c r="D298" t="s">
        <v>22</v>
      </c>
      <c r="E298">
        <v>105</v>
      </c>
      <c r="F298">
        <v>0</v>
      </c>
      <c r="G298">
        <v>135.15</v>
      </c>
      <c r="H298">
        <v>14190.75</v>
      </c>
      <c r="I298" t="s">
        <v>572</v>
      </c>
      <c r="J298">
        <v>0</v>
      </c>
      <c r="K298">
        <v>7.17</v>
      </c>
      <c r="L298">
        <v>0.75</v>
      </c>
      <c r="M298">
        <v>0.01</v>
      </c>
      <c r="N298">
        <v>140</v>
      </c>
      <c r="O298">
        <v>26.48</v>
      </c>
      <c r="P298">
        <v>174.41</v>
      </c>
      <c r="Q298">
        <f t="shared" si="40"/>
        <v>2024</v>
      </c>
      <c r="R298">
        <f t="shared" si="41"/>
        <v>2</v>
      </c>
      <c r="S298">
        <f t="shared" si="42"/>
        <v>2023</v>
      </c>
      <c r="T298">
        <f t="shared" si="43"/>
        <v>11</v>
      </c>
      <c r="U298">
        <f t="shared" si="44"/>
        <v>11</v>
      </c>
      <c r="V298" t="str">
        <f t="shared" si="45"/>
        <v>202311</v>
      </c>
      <c r="W298" t="str">
        <f t="shared" si="46"/>
        <v>Feb-24</v>
      </c>
      <c r="X298" s="3">
        <f t="shared" si="47"/>
        <v>-14365.16</v>
      </c>
      <c r="Y298" t="str">
        <f t="shared" si="48"/>
        <v/>
      </c>
      <c r="Z298">
        <f t="shared" si="49"/>
        <v>-14365.16</v>
      </c>
    </row>
    <row r="299" spans="1:26" x14ac:dyDescent="0.25">
      <c r="A299" s="1">
        <v>45343</v>
      </c>
      <c r="B299" t="s">
        <v>570</v>
      </c>
      <c r="C299" t="s">
        <v>17</v>
      </c>
      <c r="D299" t="s">
        <v>18</v>
      </c>
      <c r="E299">
        <v>105</v>
      </c>
      <c r="F299">
        <v>0</v>
      </c>
      <c r="G299">
        <v>130</v>
      </c>
      <c r="H299">
        <v>13650</v>
      </c>
      <c r="I299" t="s">
        <v>573</v>
      </c>
      <c r="J299">
        <v>8.75</v>
      </c>
      <c r="K299">
        <v>6.89</v>
      </c>
      <c r="L299">
        <v>0</v>
      </c>
      <c r="M299">
        <v>0.01</v>
      </c>
      <c r="N299">
        <v>140</v>
      </c>
      <c r="O299">
        <v>26.44</v>
      </c>
      <c r="P299">
        <v>182.09</v>
      </c>
      <c r="Q299">
        <f t="shared" si="40"/>
        <v>2024</v>
      </c>
      <c r="R299">
        <f t="shared" si="41"/>
        <v>2</v>
      </c>
      <c r="S299">
        <f t="shared" si="42"/>
        <v>2023</v>
      </c>
      <c r="T299">
        <f t="shared" si="43"/>
        <v>11</v>
      </c>
      <c r="U299">
        <f t="shared" si="44"/>
        <v>11</v>
      </c>
      <c r="V299" t="str">
        <f t="shared" si="45"/>
        <v>202311</v>
      </c>
      <c r="W299" t="str">
        <f t="shared" si="46"/>
        <v>Feb-24</v>
      </c>
      <c r="X299" s="3">
        <f t="shared" si="47"/>
        <v>13467.91</v>
      </c>
      <c r="Y299">
        <f t="shared" si="48"/>
        <v>13467.91</v>
      </c>
      <c r="Z299" t="str">
        <f t="shared" si="49"/>
        <v/>
      </c>
    </row>
    <row r="300" spans="1:26" x14ac:dyDescent="0.25">
      <c r="A300" s="1">
        <v>45343</v>
      </c>
      <c r="B300" t="s">
        <v>570</v>
      </c>
      <c r="C300" t="s">
        <v>17</v>
      </c>
      <c r="D300" t="s">
        <v>22</v>
      </c>
      <c r="E300">
        <v>45</v>
      </c>
      <c r="F300">
        <v>0</v>
      </c>
      <c r="G300">
        <v>51.45</v>
      </c>
      <c r="H300">
        <v>2315.25</v>
      </c>
      <c r="I300" t="s">
        <v>574</v>
      </c>
      <c r="J300">
        <v>0</v>
      </c>
      <c r="K300">
        <v>1.17</v>
      </c>
      <c r="L300">
        <v>0</v>
      </c>
      <c r="M300">
        <v>0</v>
      </c>
      <c r="N300">
        <v>60</v>
      </c>
      <c r="O300">
        <v>11.02</v>
      </c>
      <c r="P300">
        <v>72.19</v>
      </c>
      <c r="Q300">
        <f t="shared" si="40"/>
        <v>2024</v>
      </c>
      <c r="R300">
        <f t="shared" si="41"/>
        <v>2</v>
      </c>
      <c r="S300">
        <f t="shared" si="42"/>
        <v>2023</v>
      </c>
      <c r="T300">
        <f t="shared" si="43"/>
        <v>11</v>
      </c>
      <c r="U300">
        <f t="shared" si="44"/>
        <v>11</v>
      </c>
      <c r="V300" t="str">
        <f t="shared" si="45"/>
        <v>202311</v>
      </c>
      <c r="W300" t="str">
        <f t="shared" si="46"/>
        <v>Feb-24</v>
      </c>
      <c r="X300" s="3">
        <f t="shared" si="47"/>
        <v>-2387.44</v>
      </c>
      <c r="Y300" t="str">
        <f t="shared" si="48"/>
        <v/>
      </c>
      <c r="Z300">
        <f t="shared" si="49"/>
        <v>-2387.44</v>
      </c>
    </row>
    <row r="301" spans="1:26" x14ac:dyDescent="0.25">
      <c r="A301" s="1">
        <v>45343</v>
      </c>
      <c r="B301" t="s">
        <v>570</v>
      </c>
      <c r="C301" t="s">
        <v>17</v>
      </c>
      <c r="D301" t="s">
        <v>22</v>
      </c>
      <c r="E301">
        <v>45</v>
      </c>
      <c r="F301">
        <v>0</v>
      </c>
      <c r="G301">
        <v>69.849999999999994</v>
      </c>
      <c r="H301">
        <v>3143.25</v>
      </c>
      <c r="I301" t="s">
        <v>575</v>
      </c>
      <c r="J301">
        <v>0</v>
      </c>
      <c r="K301">
        <v>1.59</v>
      </c>
      <c r="L301">
        <v>0</v>
      </c>
      <c r="M301">
        <v>0</v>
      </c>
      <c r="N301">
        <v>60</v>
      </c>
      <c r="O301">
        <v>11.1</v>
      </c>
      <c r="P301">
        <v>72.69</v>
      </c>
      <c r="Q301">
        <f t="shared" si="40"/>
        <v>2024</v>
      </c>
      <c r="R301">
        <f t="shared" si="41"/>
        <v>2</v>
      </c>
      <c r="S301">
        <f t="shared" si="42"/>
        <v>2023</v>
      </c>
      <c r="T301">
        <f t="shared" si="43"/>
        <v>11</v>
      </c>
      <c r="U301">
        <f t="shared" si="44"/>
        <v>11</v>
      </c>
      <c r="V301" t="str">
        <f t="shared" si="45"/>
        <v>202311</v>
      </c>
      <c r="W301" t="str">
        <f t="shared" si="46"/>
        <v>Feb-24</v>
      </c>
      <c r="X301" s="3">
        <f t="shared" si="47"/>
        <v>-3215.94</v>
      </c>
      <c r="Y301" t="str">
        <f t="shared" si="48"/>
        <v/>
      </c>
      <c r="Z301">
        <f t="shared" si="49"/>
        <v>-3215.94</v>
      </c>
    </row>
    <row r="302" spans="1:26" x14ac:dyDescent="0.25">
      <c r="A302" s="1">
        <v>45343</v>
      </c>
      <c r="B302" t="s">
        <v>570</v>
      </c>
      <c r="C302" t="s">
        <v>17</v>
      </c>
      <c r="D302" t="s">
        <v>22</v>
      </c>
      <c r="E302">
        <v>15</v>
      </c>
      <c r="F302">
        <v>0</v>
      </c>
      <c r="G302">
        <v>122.3</v>
      </c>
      <c r="H302">
        <v>1834.5</v>
      </c>
      <c r="I302" t="s">
        <v>576</v>
      </c>
      <c r="J302">
        <v>0</v>
      </c>
      <c r="K302">
        <v>0.93</v>
      </c>
      <c r="L302">
        <v>0</v>
      </c>
      <c r="M302">
        <v>0</v>
      </c>
      <c r="N302">
        <v>20</v>
      </c>
      <c r="O302">
        <v>3.76</v>
      </c>
      <c r="P302">
        <v>24.69</v>
      </c>
      <c r="Q302">
        <f t="shared" si="40"/>
        <v>2024</v>
      </c>
      <c r="R302">
        <f t="shared" si="41"/>
        <v>2</v>
      </c>
      <c r="S302">
        <f t="shared" si="42"/>
        <v>2023</v>
      </c>
      <c r="T302">
        <f t="shared" si="43"/>
        <v>11</v>
      </c>
      <c r="U302">
        <f t="shared" si="44"/>
        <v>11</v>
      </c>
      <c r="V302" t="str">
        <f t="shared" si="45"/>
        <v>202311</v>
      </c>
      <c r="W302" t="str">
        <f t="shared" si="46"/>
        <v>Feb-24</v>
      </c>
      <c r="X302" s="3">
        <f t="shared" si="47"/>
        <v>-1859.19</v>
      </c>
      <c r="Y302" t="str">
        <f t="shared" si="48"/>
        <v/>
      </c>
      <c r="Z302">
        <f t="shared" si="49"/>
        <v>-1859.19</v>
      </c>
    </row>
    <row r="303" spans="1:26" x14ac:dyDescent="0.25">
      <c r="A303" s="1">
        <v>45344</v>
      </c>
      <c r="B303" t="s">
        <v>557</v>
      </c>
      <c r="C303" t="s">
        <v>17</v>
      </c>
      <c r="D303" t="s">
        <v>18</v>
      </c>
      <c r="E303">
        <v>250</v>
      </c>
      <c r="F303">
        <v>0</v>
      </c>
      <c r="G303">
        <v>10</v>
      </c>
      <c r="H303">
        <v>2500</v>
      </c>
      <c r="I303" t="s">
        <v>558</v>
      </c>
      <c r="J303">
        <v>1.56</v>
      </c>
      <c r="K303">
        <v>1.26</v>
      </c>
      <c r="L303">
        <v>0</v>
      </c>
      <c r="M303">
        <v>0</v>
      </c>
      <c r="N303">
        <v>100</v>
      </c>
      <c r="O303">
        <v>18.22</v>
      </c>
      <c r="P303">
        <v>121.04</v>
      </c>
      <c r="Q303">
        <f t="shared" si="40"/>
        <v>2024</v>
      </c>
      <c r="R303">
        <f t="shared" si="41"/>
        <v>2</v>
      </c>
      <c r="S303">
        <f t="shared" si="42"/>
        <v>2023</v>
      </c>
      <c r="T303">
        <f t="shared" si="43"/>
        <v>11</v>
      </c>
      <c r="U303">
        <f t="shared" si="44"/>
        <v>11</v>
      </c>
      <c r="V303" t="str">
        <f t="shared" si="45"/>
        <v>202311</v>
      </c>
      <c r="W303" t="str">
        <f t="shared" si="46"/>
        <v>Feb-24</v>
      </c>
      <c r="X303" s="3">
        <f t="shared" si="47"/>
        <v>2378.96</v>
      </c>
      <c r="Y303">
        <f t="shared" si="48"/>
        <v>2378.96</v>
      </c>
      <c r="Z303" t="str">
        <f t="shared" si="49"/>
        <v/>
      </c>
    </row>
    <row r="304" spans="1:26" x14ac:dyDescent="0.25">
      <c r="A304" s="1">
        <v>45344</v>
      </c>
      <c r="B304" t="s">
        <v>557</v>
      </c>
      <c r="C304" t="s">
        <v>17</v>
      </c>
      <c r="D304" t="s">
        <v>22</v>
      </c>
      <c r="E304">
        <v>50</v>
      </c>
      <c r="F304">
        <v>0</v>
      </c>
      <c r="G304">
        <v>21.65</v>
      </c>
      <c r="H304">
        <v>1082.5</v>
      </c>
      <c r="I304" t="s">
        <v>559</v>
      </c>
      <c r="J304">
        <v>0</v>
      </c>
      <c r="K304">
        <v>0.55000000000000004</v>
      </c>
      <c r="L304">
        <v>0</v>
      </c>
      <c r="M304">
        <v>0</v>
      </c>
      <c r="N304">
        <v>20</v>
      </c>
      <c r="O304">
        <v>3.7</v>
      </c>
      <c r="P304">
        <v>24.25</v>
      </c>
      <c r="Q304">
        <f t="shared" si="40"/>
        <v>2024</v>
      </c>
      <c r="R304">
        <f t="shared" si="41"/>
        <v>2</v>
      </c>
      <c r="S304">
        <f t="shared" si="42"/>
        <v>2023</v>
      </c>
      <c r="T304">
        <f t="shared" si="43"/>
        <v>11</v>
      </c>
      <c r="U304">
        <f t="shared" si="44"/>
        <v>11</v>
      </c>
      <c r="V304" t="str">
        <f t="shared" si="45"/>
        <v>202311</v>
      </c>
      <c r="W304" t="str">
        <f t="shared" si="46"/>
        <v>Feb-24</v>
      </c>
      <c r="X304" s="3">
        <f t="shared" si="47"/>
        <v>-1106.75</v>
      </c>
      <c r="Y304" t="str">
        <f t="shared" si="48"/>
        <v/>
      </c>
      <c r="Z304">
        <f t="shared" si="49"/>
        <v>-1106.75</v>
      </c>
    </row>
    <row r="305" spans="1:26" x14ac:dyDescent="0.25">
      <c r="A305" s="1">
        <v>45344</v>
      </c>
      <c r="B305" t="s">
        <v>557</v>
      </c>
      <c r="C305" t="s">
        <v>17</v>
      </c>
      <c r="D305" t="s">
        <v>22</v>
      </c>
      <c r="E305">
        <v>50</v>
      </c>
      <c r="F305">
        <v>0</v>
      </c>
      <c r="G305">
        <v>30</v>
      </c>
      <c r="H305">
        <v>1500</v>
      </c>
      <c r="I305" t="s">
        <v>560</v>
      </c>
      <c r="J305">
        <v>0</v>
      </c>
      <c r="K305">
        <v>0.76</v>
      </c>
      <c r="L305">
        <v>0</v>
      </c>
      <c r="M305">
        <v>0</v>
      </c>
      <c r="N305">
        <v>20</v>
      </c>
      <c r="O305">
        <v>3.74</v>
      </c>
      <c r="P305">
        <v>24.5</v>
      </c>
      <c r="Q305">
        <f t="shared" si="40"/>
        <v>2024</v>
      </c>
      <c r="R305">
        <f t="shared" si="41"/>
        <v>2</v>
      </c>
      <c r="S305">
        <f t="shared" si="42"/>
        <v>2023</v>
      </c>
      <c r="T305">
        <f t="shared" si="43"/>
        <v>11</v>
      </c>
      <c r="U305">
        <f t="shared" si="44"/>
        <v>11</v>
      </c>
      <c r="V305" t="str">
        <f t="shared" si="45"/>
        <v>202311</v>
      </c>
      <c r="W305" t="str">
        <f t="shared" si="46"/>
        <v>Feb-24</v>
      </c>
      <c r="X305" s="3">
        <f t="shared" si="47"/>
        <v>-1524.5</v>
      </c>
      <c r="Y305" t="str">
        <f t="shared" si="48"/>
        <v/>
      </c>
      <c r="Z305">
        <f t="shared" si="49"/>
        <v>-1524.5</v>
      </c>
    </row>
    <row r="306" spans="1:26" x14ac:dyDescent="0.25">
      <c r="A306" s="1">
        <v>45344</v>
      </c>
      <c r="B306" t="s">
        <v>557</v>
      </c>
      <c r="C306" t="s">
        <v>17</v>
      </c>
      <c r="D306" t="s">
        <v>22</v>
      </c>
      <c r="E306">
        <v>50</v>
      </c>
      <c r="F306">
        <v>0</v>
      </c>
      <c r="G306">
        <v>26.4</v>
      </c>
      <c r="H306">
        <v>1320</v>
      </c>
      <c r="I306" t="s">
        <v>561</v>
      </c>
      <c r="J306">
        <v>0</v>
      </c>
      <c r="K306">
        <v>0.67</v>
      </c>
      <c r="L306">
        <v>0</v>
      </c>
      <c r="M306">
        <v>0</v>
      </c>
      <c r="N306">
        <v>20</v>
      </c>
      <c r="O306">
        <v>3.72</v>
      </c>
      <c r="P306">
        <v>24.39</v>
      </c>
      <c r="Q306">
        <f t="shared" si="40"/>
        <v>2024</v>
      </c>
      <c r="R306">
        <f t="shared" si="41"/>
        <v>2</v>
      </c>
      <c r="S306">
        <f t="shared" si="42"/>
        <v>2023</v>
      </c>
      <c r="T306">
        <f t="shared" si="43"/>
        <v>11</v>
      </c>
      <c r="U306">
        <f t="shared" si="44"/>
        <v>11</v>
      </c>
      <c r="V306" t="str">
        <f t="shared" si="45"/>
        <v>202311</v>
      </c>
      <c r="W306" t="str">
        <f t="shared" si="46"/>
        <v>Feb-24</v>
      </c>
      <c r="X306" s="3">
        <f t="shared" si="47"/>
        <v>-1344.39</v>
      </c>
      <c r="Y306" t="str">
        <f t="shared" si="48"/>
        <v/>
      </c>
      <c r="Z306">
        <f t="shared" si="49"/>
        <v>-1344.39</v>
      </c>
    </row>
    <row r="307" spans="1:26" x14ac:dyDescent="0.25">
      <c r="A307" s="1">
        <v>45344</v>
      </c>
      <c r="B307" t="s">
        <v>557</v>
      </c>
      <c r="C307" t="s">
        <v>17</v>
      </c>
      <c r="D307" t="s">
        <v>22</v>
      </c>
      <c r="E307">
        <v>50</v>
      </c>
      <c r="F307">
        <v>0</v>
      </c>
      <c r="G307">
        <v>40</v>
      </c>
      <c r="H307">
        <v>2000</v>
      </c>
      <c r="I307" t="s">
        <v>562</v>
      </c>
      <c r="J307">
        <v>0</v>
      </c>
      <c r="K307">
        <v>1.01</v>
      </c>
      <c r="L307">
        <v>0</v>
      </c>
      <c r="M307">
        <v>0</v>
      </c>
      <c r="N307">
        <v>20</v>
      </c>
      <c r="O307">
        <v>3.78</v>
      </c>
      <c r="P307">
        <v>24.79</v>
      </c>
      <c r="Q307">
        <f t="shared" si="40"/>
        <v>2024</v>
      </c>
      <c r="R307">
        <f t="shared" si="41"/>
        <v>2</v>
      </c>
      <c r="S307">
        <f t="shared" si="42"/>
        <v>2023</v>
      </c>
      <c r="T307">
        <f t="shared" si="43"/>
        <v>11</v>
      </c>
      <c r="U307">
        <f t="shared" si="44"/>
        <v>11</v>
      </c>
      <c r="V307" t="str">
        <f t="shared" si="45"/>
        <v>202311</v>
      </c>
      <c r="W307" t="str">
        <f t="shared" si="46"/>
        <v>Feb-24</v>
      </c>
      <c r="X307" s="3">
        <f t="shared" si="47"/>
        <v>-2024.79</v>
      </c>
      <c r="Y307" t="str">
        <f t="shared" si="48"/>
        <v/>
      </c>
      <c r="Z307">
        <f t="shared" si="49"/>
        <v>-2024.79</v>
      </c>
    </row>
    <row r="308" spans="1:26" x14ac:dyDescent="0.25">
      <c r="A308" s="1">
        <v>45344</v>
      </c>
      <c r="B308" t="s">
        <v>557</v>
      </c>
      <c r="C308" t="s">
        <v>17</v>
      </c>
      <c r="D308" t="s">
        <v>22</v>
      </c>
      <c r="E308">
        <v>50</v>
      </c>
      <c r="F308">
        <v>0</v>
      </c>
      <c r="G308">
        <v>49.5</v>
      </c>
      <c r="H308">
        <v>2475</v>
      </c>
      <c r="I308" t="s">
        <v>563</v>
      </c>
      <c r="J308">
        <v>0</v>
      </c>
      <c r="K308">
        <v>1.25</v>
      </c>
      <c r="L308">
        <v>0</v>
      </c>
      <c r="M308">
        <v>0</v>
      </c>
      <c r="N308">
        <v>20</v>
      </c>
      <c r="O308">
        <v>3.82</v>
      </c>
      <c r="P308">
        <v>25.07</v>
      </c>
      <c r="Q308">
        <f t="shared" si="40"/>
        <v>2024</v>
      </c>
      <c r="R308">
        <f t="shared" si="41"/>
        <v>2</v>
      </c>
      <c r="S308">
        <f t="shared" si="42"/>
        <v>2023</v>
      </c>
      <c r="T308">
        <f t="shared" si="43"/>
        <v>11</v>
      </c>
      <c r="U308">
        <f t="shared" si="44"/>
        <v>11</v>
      </c>
      <c r="V308" t="str">
        <f t="shared" si="45"/>
        <v>202311</v>
      </c>
      <c r="W308" t="str">
        <f t="shared" si="46"/>
        <v>Feb-24</v>
      </c>
      <c r="X308" s="3">
        <f t="shared" si="47"/>
        <v>-2500.0700000000002</v>
      </c>
      <c r="Y308" t="str">
        <f t="shared" si="48"/>
        <v/>
      </c>
      <c r="Z308">
        <f t="shared" si="49"/>
        <v>-2500.0700000000002</v>
      </c>
    </row>
    <row r="309" spans="1:26" x14ac:dyDescent="0.25">
      <c r="A309" s="1">
        <v>45344</v>
      </c>
      <c r="B309" t="s">
        <v>564</v>
      </c>
      <c r="C309" t="s">
        <v>17</v>
      </c>
      <c r="D309" t="s">
        <v>18</v>
      </c>
      <c r="E309">
        <v>50</v>
      </c>
      <c r="F309">
        <v>0</v>
      </c>
      <c r="G309">
        <v>160.05000000000001</v>
      </c>
      <c r="H309">
        <v>8002.5</v>
      </c>
      <c r="I309" t="s">
        <v>565</v>
      </c>
      <c r="J309">
        <v>5.44</v>
      </c>
      <c r="K309">
        <v>4.04</v>
      </c>
      <c r="L309">
        <v>0</v>
      </c>
      <c r="M309">
        <v>0.01</v>
      </c>
      <c r="N309">
        <v>20</v>
      </c>
      <c r="O309">
        <v>4.32</v>
      </c>
      <c r="P309">
        <v>33.81</v>
      </c>
      <c r="Q309">
        <f t="shared" si="40"/>
        <v>2024</v>
      </c>
      <c r="R309">
        <f t="shared" si="41"/>
        <v>2</v>
      </c>
      <c r="S309">
        <f t="shared" si="42"/>
        <v>2023</v>
      </c>
      <c r="T309">
        <f t="shared" si="43"/>
        <v>11</v>
      </c>
      <c r="U309">
        <f t="shared" si="44"/>
        <v>11</v>
      </c>
      <c r="V309" t="str">
        <f t="shared" si="45"/>
        <v>202311</v>
      </c>
      <c r="W309" t="str">
        <f t="shared" si="46"/>
        <v>Feb-24</v>
      </c>
      <c r="X309" s="3">
        <f t="shared" si="47"/>
        <v>7968.69</v>
      </c>
      <c r="Y309">
        <f t="shared" si="48"/>
        <v>7968.69</v>
      </c>
      <c r="Z309" t="str">
        <f t="shared" si="49"/>
        <v/>
      </c>
    </row>
    <row r="310" spans="1:26" x14ac:dyDescent="0.25">
      <c r="A310" s="1">
        <v>45344</v>
      </c>
      <c r="B310" t="s">
        <v>564</v>
      </c>
      <c r="C310" t="s">
        <v>17</v>
      </c>
      <c r="D310" t="s">
        <v>22</v>
      </c>
      <c r="E310">
        <v>50</v>
      </c>
      <c r="F310">
        <v>0</v>
      </c>
      <c r="G310">
        <v>136.05000000000001</v>
      </c>
      <c r="H310">
        <v>6802.5</v>
      </c>
      <c r="I310" t="s">
        <v>566</v>
      </c>
      <c r="J310">
        <v>0</v>
      </c>
      <c r="K310">
        <v>3.44</v>
      </c>
      <c r="L310">
        <v>0</v>
      </c>
      <c r="M310">
        <v>0.01</v>
      </c>
      <c r="N310">
        <v>20</v>
      </c>
      <c r="O310">
        <v>4.22</v>
      </c>
      <c r="P310">
        <v>27.67</v>
      </c>
      <c r="Q310">
        <f t="shared" si="40"/>
        <v>2024</v>
      </c>
      <c r="R310">
        <f t="shared" si="41"/>
        <v>2</v>
      </c>
      <c r="S310">
        <f t="shared" si="42"/>
        <v>2023</v>
      </c>
      <c r="T310">
        <f t="shared" si="43"/>
        <v>11</v>
      </c>
      <c r="U310">
        <f t="shared" si="44"/>
        <v>11</v>
      </c>
      <c r="V310" t="str">
        <f t="shared" si="45"/>
        <v>202311</v>
      </c>
      <c r="W310" t="str">
        <f t="shared" si="46"/>
        <v>Feb-24</v>
      </c>
      <c r="X310" s="3">
        <f t="shared" si="47"/>
        <v>-6830.17</v>
      </c>
      <c r="Y310" t="str">
        <f t="shared" si="48"/>
        <v/>
      </c>
      <c r="Z310">
        <f t="shared" si="49"/>
        <v>-6830.17</v>
      </c>
    </row>
    <row r="311" spans="1:26" x14ac:dyDescent="0.25">
      <c r="A311" s="1">
        <v>45345</v>
      </c>
      <c r="B311" t="s">
        <v>546</v>
      </c>
      <c r="C311" t="s">
        <v>17</v>
      </c>
      <c r="D311" t="s">
        <v>18</v>
      </c>
      <c r="E311">
        <v>120</v>
      </c>
      <c r="F311">
        <v>0</v>
      </c>
      <c r="G311">
        <v>99</v>
      </c>
      <c r="H311">
        <v>11880</v>
      </c>
      <c r="I311" t="s">
        <v>547</v>
      </c>
      <c r="J311">
        <v>6.96</v>
      </c>
      <c r="K311">
        <v>6</v>
      </c>
      <c r="L311">
        <v>0</v>
      </c>
      <c r="M311">
        <v>0.01</v>
      </c>
      <c r="N311">
        <v>60</v>
      </c>
      <c r="O311">
        <v>11.88</v>
      </c>
      <c r="P311">
        <v>84.85</v>
      </c>
      <c r="Q311">
        <f t="shared" si="40"/>
        <v>2024</v>
      </c>
      <c r="R311">
        <f t="shared" si="41"/>
        <v>2</v>
      </c>
      <c r="S311">
        <f t="shared" si="42"/>
        <v>2023</v>
      </c>
      <c r="T311">
        <f t="shared" si="43"/>
        <v>11</v>
      </c>
      <c r="U311">
        <f t="shared" si="44"/>
        <v>11</v>
      </c>
      <c r="V311" t="str">
        <f t="shared" si="45"/>
        <v>202311</v>
      </c>
      <c r="W311" t="str">
        <f t="shared" si="46"/>
        <v>Feb-24</v>
      </c>
      <c r="X311" s="3">
        <f t="shared" si="47"/>
        <v>11795.15</v>
      </c>
      <c r="Y311">
        <f t="shared" si="48"/>
        <v>11795.15</v>
      </c>
      <c r="Z311" t="str">
        <f t="shared" si="49"/>
        <v/>
      </c>
    </row>
    <row r="312" spans="1:26" x14ac:dyDescent="0.25">
      <c r="A312" s="1">
        <v>45345</v>
      </c>
      <c r="B312" t="s">
        <v>539</v>
      </c>
      <c r="C312" t="s">
        <v>17</v>
      </c>
      <c r="D312" t="s">
        <v>22</v>
      </c>
      <c r="E312">
        <v>100</v>
      </c>
      <c r="F312">
        <v>0</v>
      </c>
      <c r="G312">
        <v>147.75</v>
      </c>
      <c r="H312">
        <v>14775</v>
      </c>
      <c r="I312" t="s">
        <v>548</v>
      </c>
      <c r="J312">
        <v>0</v>
      </c>
      <c r="K312">
        <v>7.46</v>
      </c>
      <c r="L312">
        <v>0.67</v>
      </c>
      <c r="M312">
        <v>0.01</v>
      </c>
      <c r="N312">
        <v>40</v>
      </c>
      <c r="O312">
        <v>8.5399999999999991</v>
      </c>
      <c r="P312">
        <v>56.68</v>
      </c>
      <c r="Q312">
        <f t="shared" si="40"/>
        <v>2024</v>
      </c>
      <c r="R312">
        <f t="shared" si="41"/>
        <v>2</v>
      </c>
      <c r="S312">
        <f t="shared" si="42"/>
        <v>2023</v>
      </c>
      <c r="T312">
        <f t="shared" si="43"/>
        <v>11</v>
      </c>
      <c r="U312">
        <f t="shared" si="44"/>
        <v>11</v>
      </c>
      <c r="V312" t="str">
        <f t="shared" si="45"/>
        <v>202311</v>
      </c>
      <c r="W312" t="str">
        <f t="shared" si="46"/>
        <v>Feb-24</v>
      </c>
      <c r="X312" s="3">
        <f t="shared" si="47"/>
        <v>-14831.68</v>
      </c>
      <c r="Y312" t="str">
        <f t="shared" si="48"/>
        <v/>
      </c>
      <c r="Z312">
        <f t="shared" si="49"/>
        <v>-14831.68</v>
      </c>
    </row>
    <row r="313" spans="1:26" x14ac:dyDescent="0.25">
      <c r="A313" s="1">
        <v>45345</v>
      </c>
      <c r="B313" t="s">
        <v>539</v>
      </c>
      <c r="C313" t="s">
        <v>17</v>
      </c>
      <c r="D313" t="s">
        <v>22</v>
      </c>
      <c r="E313">
        <v>50</v>
      </c>
      <c r="F313">
        <v>0</v>
      </c>
      <c r="G313">
        <v>147.94999999999999</v>
      </c>
      <c r="H313">
        <v>7397.5</v>
      </c>
      <c r="I313" t="s">
        <v>549</v>
      </c>
      <c r="J313">
        <v>0</v>
      </c>
      <c r="K313">
        <v>3.74</v>
      </c>
      <c r="L313">
        <v>0</v>
      </c>
      <c r="M313">
        <v>0.01</v>
      </c>
      <c r="N313">
        <v>20</v>
      </c>
      <c r="O313">
        <v>4.28</v>
      </c>
      <c r="P313">
        <v>28.03</v>
      </c>
      <c r="Q313">
        <f t="shared" si="40"/>
        <v>2024</v>
      </c>
      <c r="R313">
        <f t="shared" si="41"/>
        <v>2</v>
      </c>
      <c r="S313">
        <f t="shared" si="42"/>
        <v>2023</v>
      </c>
      <c r="T313">
        <f t="shared" si="43"/>
        <v>11</v>
      </c>
      <c r="U313">
        <f t="shared" si="44"/>
        <v>11</v>
      </c>
      <c r="V313" t="str">
        <f t="shared" si="45"/>
        <v>202311</v>
      </c>
      <c r="W313" t="str">
        <f t="shared" si="46"/>
        <v>Feb-24</v>
      </c>
      <c r="X313" s="3">
        <f t="shared" si="47"/>
        <v>-7425.53</v>
      </c>
      <c r="Y313" t="str">
        <f t="shared" si="48"/>
        <v/>
      </c>
      <c r="Z313">
        <f t="shared" si="49"/>
        <v>-7425.53</v>
      </c>
    </row>
    <row r="314" spans="1:26" x14ac:dyDescent="0.25">
      <c r="A314" s="1">
        <v>45345</v>
      </c>
      <c r="B314" t="s">
        <v>546</v>
      </c>
      <c r="C314" t="s">
        <v>17</v>
      </c>
      <c r="D314" t="s">
        <v>22</v>
      </c>
      <c r="E314">
        <v>40</v>
      </c>
      <c r="F314">
        <v>0</v>
      </c>
      <c r="G314">
        <v>72.900000000000006</v>
      </c>
      <c r="H314">
        <v>2916</v>
      </c>
      <c r="I314" t="s">
        <v>550</v>
      </c>
      <c r="J314">
        <v>0</v>
      </c>
      <c r="K314">
        <v>1.47</v>
      </c>
      <c r="L314">
        <v>0</v>
      </c>
      <c r="M314">
        <v>0</v>
      </c>
      <c r="N314">
        <v>20</v>
      </c>
      <c r="O314">
        <v>3.86</v>
      </c>
      <c r="P314">
        <v>25.33</v>
      </c>
      <c r="Q314">
        <f t="shared" si="40"/>
        <v>2024</v>
      </c>
      <c r="R314">
        <f t="shared" si="41"/>
        <v>2</v>
      </c>
      <c r="S314">
        <f t="shared" si="42"/>
        <v>2023</v>
      </c>
      <c r="T314">
        <f t="shared" si="43"/>
        <v>11</v>
      </c>
      <c r="U314">
        <f t="shared" si="44"/>
        <v>11</v>
      </c>
      <c r="V314" t="str">
        <f t="shared" si="45"/>
        <v>202311</v>
      </c>
      <c r="W314" t="str">
        <f t="shared" si="46"/>
        <v>Feb-24</v>
      </c>
      <c r="X314" s="3">
        <f t="shared" si="47"/>
        <v>-2941.33</v>
      </c>
      <c r="Y314" t="str">
        <f t="shared" si="48"/>
        <v/>
      </c>
      <c r="Z314">
        <f t="shared" si="49"/>
        <v>-2941.33</v>
      </c>
    </row>
    <row r="315" spans="1:26" x14ac:dyDescent="0.25">
      <c r="A315" s="1">
        <v>45345</v>
      </c>
      <c r="B315" t="s">
        <v>546</v>
      </c>
      <c r="C315" t="s">
        <v>17</v>
      </c>
      <c r="D315" t="s">
        <v>22</v>
      </c>
      <c r="E315">
        <v>40</v>
      </c>
      <c r="F315">
        <v>0</v>
      </c>
      <c r="G315">
        <v>92.1</v>
      </c>
      <c r="H315">
        <v>3684</v>
      </c>
      <c r="I315" t="s">
        <v>551</v>
      </c>
      <c r="J315">
        <v>0</v>
      </c>
      <c r="K315">
        <v>1.86</v>
      </c>
      <c r="L315">
        <v>0</v>
      </c>
      <c r="M315">
        <v>0</v>
      </c>
      <c r="N315">
        <v>20</v>
      </c>
      <c r="O315">
        <v>3.94</v>
      </c>
      <c r="P315">
        <v>25.8</v>
      </c>
      <c r="Q315">
        <f t="shared" si="40"/>
        <v>2024</v>
      </c>
      <c r="R315">
        <f t="shared" si="41"/>
        <v>2</v>
      </c>
      <c r="S315">
        <f t="shared" si="42"/>
        <v>2023</v>
      </c>
      <c r="T315">
        <f t="shared" si="43"/>
        <v>11</v>
      </c>
      <c r="U315">
        <f t="shared" si="44"/>
        <v>11</v>
      </c>
      <c r="V315" t="str">
        <f t="shared" si="45"/>
        <v>202311</v>
      </c>
      <c r="W315" t="str">
        <f t="shared" si="46"/>
        <v>Feb-24</v>
      </c>
      <c r="X315" s="3">
        <f t="shared" si="47"/>
        <v>-3709.8</v>
      </c>
      <c r="Y315" t="str">
        <f t="shared" si="48"/>
        <v/>
      </c>
      <c r="Z315">
        <f t="shared" si="49"/>
        <v>-3709.8</v>
      </c>
    </row>
    <row r="316" spans="1:26" x14ac:dyDescent="0.25">
      <c r="A316" s="1">
        <v>45345</v>
      </c>
      <c r="B316" t="s">
        <v>546</v>
      </c>
      <c r="C316" t="s">
        <v>17</v>
      </c>
      <c r="D316" t="s">
        <v>22</v>
      </c>
      <c r="E316">
        <v>40</v>
      </c>
      <c r="F316">
        <v>0</v>
      </c>
      <c r="G316">
        <v>98.75</v>
      </c>
      <c r="H316">
        <v>3950</v>
      </c>
      <c r="I316" t="s">
        <v>552</v>
      </c>
      <c r="J316">
        <v>0</v>
      </c>
      <c r="K316">
        <v>1.99</v>
      </c>
      <c r="L316">
        <v>0.32</v>
      </c>
      <c r="M316">
        <v>0</v>
      </c>
      <c r="N316">
        <v>20</v>
      </c>
      <c r="O316">
        <v>3.96</v>
      </c>
      <c r="P316">
        <v>26.27</v>
      </c>
      <c r="Q316">
        <f t="shared" si="40"/>
        <v>2024</v>
      </c>
      <c r="R316">
        <f t="shared" si="41"/>
        <v>2</v>
      </c>
      <c r="S316">
        <f t="shared" si="42"/>
        <v>2023</v>
      </c>
      <c r="T316">
        <f t="shared" si="43"/>
        <v>11</v>
      </c>
      <c r="U316">
        <f t="shared" si="44"/>
        <v>11</v>
      </c>
      <c r="V316" t="str">
        <f t="shared" si="45"/>
        <v>202311</v>
      </c>
      <c r="W316" t="str">
        <f t="shared" si="46"/>
        <v>Feb-24</v>
      </c>
      <c r="X316" s="3">
        <f t="shared" si="47"/>
        <v>-3976.27</v>
      </c>
      <c r="Y316" t="str">
        <f t="shared" si="48"/>
        <v/>
      </c>
      <c r="Z316">
        <f t="shared" si="49"/>
        <v>-3976.27</v>
      </c>
    </row>
    <row r="317" spans="1:26" x14ac:dyDescent="0.25">
      <c r="A317" s="1">
        <v>45345</v>
      </c>
      <c r="B317" t="s">
        <v>553</v>
      </c>
      <c r="C317" t="s">
        <v>17</v>
      </c>
      <c r="D317" t="s">
        <v>18</v>
      </c>
      <c r="E317">
        <v>250</v>
      </c>
      <c r="F317">
        <v>0</v>
      </c>
      <c r="G317">
        <v>134.65</v>
      </c>
      <c r="H317">
        <v>33662.5</v>
      </c>
      <c r="I317" t="s">
        <v>554</v>
      </c>
      <c r="J317">
        <v>21.04</v>
      </c>
      <c r="K317">
        <v>17</v>
      </c>
      <c r="L317">
        <v>0</v>
      </c>
      <c r="M317">
        <v>0.03</v>
      </c>
      <c r="N317">
        <v>100</v>
      </c>
      <c r="O317">
        <v>21.06</v>
      </c>
      <c r="P317">
        <v>159.13</v>
      </c>
      <c r="Q317">
        <f t="shared" si="40"/>
        <v>2024</v>
      </c>
      <c r="R317">
        <f t="shared" si="41"/>
        <v>2</v>
      </c>
      <c r="S317">
        <f t="shared" si="42"/>
        <v>2023</v>
      </c>
      <c r="T317">
        <f t="shared" si="43"/>
        <v>11</v>
      </c>
      <c r="U317">
        <f t="shared" si="44"/>
        <v>11</v>
      </c>
      <c r="V317" t="str">
        <f t="shared" si="45"/>
        <v>202311</v>
      </c>
      <c r="W317" t="str">
        <f t="shared" si="46"/>
        <v>Feb-24</v>
      </c>
      <c r="X317" s="3">
        <f t="shared" si="47"/>
        <v>33503.370000000003</v>
      </c>
      <c r="Y317">
        <f t="shared" si="48"/>
        <v>33503.370000000003</v>
      </c>
      <c r="Z317" t="str">
        <f t="shared" si="49"/>
        <v/>
      </c>
    </row>
    <row r="318" spans="1:26" x14ac:dyDescent="0.25">
      <c r="A318" s="1">
        <v>45345</v>
      </c>
      <c r="B318" t="s">
        <v>553</v>
      </c>
      <c r="C318" t="s">
        <v>17</v>
      </c>
      <c r="D318" t="s">
        <v>22</v>
      </c>
      <c r="E318">
        <v>200</v>
      </c>
      <c r="F318">
        <v>0</v>
      </c>
      <c r="G318">
        <v>129.25</v>
      </c>
      <c r="H318">
        <v>25850</v>
      </c>
      <c r="I318" t="s">
        <v>555</v>
      </c>
      <c r="J318">
        <v>0</v>
      </c>
      <c r="K318">
        <v>13.05</v>
      </c>
      <c r="L318">
        <v>1.01</v>
      </c>
      <c r="M318">
        <v>0.03</v>
      </c>
      <c r="N318">
        <v>80</v>
      </c>
      <c r="O318">
        <v>16.760000000000002</v>
      </c>
      <c r="P318">
        <v>110.85</v>
      </c>
      <c r="Q318">
        <f t="shared" si="40"/>
        <v>2024</v>
      </c>
      <c r="R318">
        <f t="shared" si="41"/>
        <v>2</v>
      </c>
      <c r="S318">
        <f t="shared" si="42"/>
        <v>2023</v>
      </c>
      <c r="T318">
        <f t="shared" si="43"/>
        <v>11</v>
      </c>
      <c r="U318">
        <f t="shared" si="44"/>
        <v>11</v>
      </c>
      <c r="V318" t="str">
        <f t="shared" si="45"/>
        <v>202311</v>
      </c>
      <c r="W318" t="str">
        <f t="shared" si="46"/>
        <v>Feb-24</v>
      </c>
      <c r="X318" s="3">
        <f t="shared" si="47"/>
        <v>-25960.85</v>
      </c>
      <c r="Y318" t="str">
        <f t="shared" si="48"/>
        <v/>
      </c>
      <c r="Z318">
        <f t="shared" si="49"/>
        <v>-25960.85</v>
      </c>
    </row>
    <row r="319" spans="1:26" x14ac:dyDescent="0.25">
      <c r="A319" s="1">
        <v>45345</v>
      </c>
      <c r="B319" t="s">
        <v>553</v>
      </c>
      <c r="C319" t="s">
        <v>17</v>
      </c>
      <c r="D319" t="s">
        <v>22</v>
      </c>
      <c r="E319">
        <v>50</v>
      </c>
      <c r="F319">
        <v>0</v>
      </c>
      <c r="G319">
        <v>130.85</v>
      </c>
      <c r="H319">
        <v>6542.5</v>
      </c>
      <c r="I319" t="s">
        <v>556</v>
      </c>
      <c r="J319">
        <v>0</v>
      </c>
      <c r="K319">
        <v>3.3</v>
      </c>
      <c r="L319">
        <v>0</v>
      </c>
      <c r="M319">
        <v>0.01</v>
      </c>
      <c r="N319">
        <v>20</v>
      </c>
      <c r="O319">
        <v>4.2</v>
      </c>
      <c r="P319">
        <v>27.51</v>
      </c>
      <c r="Q319">
        <f t="shared" si="40"/>
        <v>2024</v>
      </c>
      <c r="R319">
        <f t="shared" si="41"/>
        <v>2</v>
      </c>
      <c r="S319">
        <f t="shared" si="42"/>
        <v>2023</v>
      </c>
      <c r="T319">
        <f t="shared" si="43"/>
        <v>11</v>
      </c>
      <c r="U319">
        <f t="shared" si="44"/>
        <v>11</v>
      </c>
      <c r="V319" t="str">
        <f t="shared" si="45"/>
        <v>202311</v>
      </c>
      <c r="W319" t="str">
        <f t="shared" si="46"/>
        <v>Feb-24</v>
      </c>
      <c r="X319" s="3">
        <f t="shared" si="47"/>
        <v>-6570.01</v>
      </c>
      <c r="Y319" t="str">
        <f t="shared" si="48"/>
        <v/>
      </c>
      <c r="Z319">
        <f t="shared" si="49"/>
        <v>-6570.01</v>
      </c>
    </row>
    <row r="320" spans="1:26" x14ac:dyDescent="0.25">
      <c r="A320" s="1">
        <v>45348</v>
      </c>
      <c r="B320" t="s">
        <v>539</v>
      </c>
      <c r="C320" t="s">
        <v>17</v>
      </c>
      <c r="D320" t="s">
        <v>18</v>
      </c>
      <c r="E320">
        <v>150</v>
      </c>
      <c r="F320">
        <v>0</v>
      </c>
      <c r="G320">
        <v>74.099999999999994</v>
      </c>
      <c r="H320">
        <v>11115</v>
      </c>
      <c r="I320" t="s">
        <v>540</v>
      </c>
      <c r="J320">
        <v>6.95</v>
      </c>
      <c r="K320">
        <v>5.61</v>
      </c>
      <c r="L320">
        <v>0</v>
      </c>
      <c r="M320">
        <v>0.01</v>
      </c>
      <c r="N320">
        <v>60</v>
      </c>
      <c r="O320">
        <v>11.82</v>
      </c>
      <c r="P320">
        <v>84.39</v>
      </c>
      <c r="Q320">
        <f t="shared" si="40"/>
        <v>2024</v>
      </c>
      <c r="R320">
        <f t="shared" si="41"/>
        <v>2</v>
      </c>
      <c r="S320">
        <f t="shared" si="42"/>
        <v>2023</v>
      </c>
      <c r="T320">
        <f t="shared" si="43"/>
        <v>11</v>
      </c>
      <c r="U320">
        <f t="shared" si="44"/>
        <v>11</v>
      </c>
      <c r="V320" t="str">
        <f t="shared" si="45"/>
        <v>202311</v>
      </c>
      <c r="W320" t="str">
        <f t="shared" si="46"/>
        <v>Feb-24</v>
      </c>
      <c r="X320" s="3">
        <f t="shared" si="47"/>
        <v>11030.61</v>
      </c>
      <c r="Y320">
        <f t="shared" si="48"/>
        <v>11030.61</v>
      </c>
      <c r="Z320" t="str">
        <f t="shared" si="49"/>
        <v/>
      </c>
    </row>
    <row r="321" spans="1:26" x14ac:dyDescent="0.25">
      <c r="A321" s="1">
        <v>45348</v>
      </c>
      <c r="B321" t="s">
        <v>541</v>
      </c>
      <c r="C321" t="s">
        <v>17</v>
      </c>
      <c r="D321" t="s">
        <v>18</v>
      </c>
      <c r="E321">
        <v>450</v>
      </c>
      <c r="F321">
        <v>0</v>
      </c>
      <c r="G321">
        <v>5.05</v>
      </c>
      <c r="H321">
        <v>2272.5</v>
      </c>
      <c r="I321" t="s">
        <v>542</v>
      </c>
      <c r="J321">
        <v>1.06</v>
      </c>
      <c r="K321">
        <v>1.1499999999999999</v>
      </c>
      <c r="L321">
        <v>0</v>
      </c>
      <c r="M321">
        <v>0</v>
      </c>
      <c r="N321">
        <v>120</v>
      </c>
      <c r="O321">
        <v>21.82</v>
      </c>
      <c r="P321">
        <v>144.03</v>
      </c>
      <c r="Q321">
        <f t="shared" si="40"/>
        <v>2024</v>
      </c>
      <c r="R321">
        <f t="shared" si="41"/>
        <v>2</v>
      </c>
      <c r="S321">
        <f t="shared" si="42"/>
        <v>2023</v>
      </c>
      <c r="T321">
        <f t="shared" si="43"/>
        <v>11</v>
      </c>
      <c r="U321">
        <f t="shared" si="44"/>
        <v>11</v>
      </c>
      <c r="V321" t="str">
        <f t="shared" si="45"/>
        <v>202311</v>
      </c>
      <c r="W321" t="str">
        <f t="shared" si="46"/>
        <v>Feb-24</v>
      </c>
      <c r="X321" s="3">
        <f t="shared" si="47"/>
        <v>2128.4699999999998</v>
      </c>
      <c r="Y321">
        <f t="shared" si="48"/>
        <v>2128.4699999999998</v>
      </c>
      <c r="Z321" t="str">
        <f t="shared" si="49"/>
        <v/>
      </c>
    </row>
    <row r="322" spans="1:26" x14ac:dyDescent="0.25">
      <c r="A322" s="1">
        <v>45348</v>
      </c>
      <c r="B322" t="s">
        <v>541</v>
      </c>
      <c r="C322" t="s">
        <v>17</v>
      </c>
      <c r="D322" t="s">
        <v>22</v>
      </c>
      <c r="E322">
        <v>150</v>
      </c>
      <c r="F322">
        <v>0</v>
      </c>
      <c r="G322">
        <v>6.45</v>
      </c>
      <c r="H322">
        <v>967.5</v>
      </c>
      <c r="I322" t="s">
        <v>543</v>
      </c>
      <c r="J322">
        <v>0</v>
      </c>
      <c r="K322">
        <v>0.48</v>
      </c>
      <c r="L322">
        <v>0</v>
      </c>
      <c r="M322">
        <v>0</v>
      </c>
      <c r="N322">
        <v>40</v>
      </c>
      <c r="O322">
        <v>7.28</v>
      </c>
      <c r="P322">
        <v>47.76</v>
      </c>
      <c r="Q322">
        <f t="shared" ref="Q322:Q385" si="50">YEAR(A322)</f>
        <v>2024</v>
      </c>
      <c r="R322">
        <f t="shared" ref="R322:R385" si="51">MONTH(A322)</f>
        <v>2</v>
      </c>
      <c r="S322">
        <f t="shared" ref="S322:S385" si="52">IF(R322&lt;4,Q322-1,Q322)</f>
        <v>2023</v>
      </c>
      <c r="T322">
        <f t="shared" ref="T322:T385" si="53">IF(R322&lt;4,R322+9,R322-3)</f>
        <v>11</v>
      </c>
      <c r="U322">
        <f t="shared" ref="U322:U385" si="54">IF(LEN(T322)=1,_xlfn.CONCAT(0,T322),T322)</f>
        <v>11</v>
      </c>
      <c r="V322" t="str">
        <f t="shared" ref="V322:V385" si="55">_xlfn.CONCAT(S322,U322)</f>
        <v>202311</v>
      </c>
      <c r="W322" t="str">
        <f t="shared" ref="W322:W385" si="56">_xlfn.CONCAT(TEXT(A322,"MMM"),"-",MID(Q322,3,2))</f>
        <v>Feb-24</v>
      </c>
      <c r="X322" s="3">
        <f t="shared" ref="X322:X385" si="57">IFERROR(IF(D322="Sell",(H322-P322),-(H322+P322)),0)</f>
        <v>-1015.26</v>
      </c>
      <c r="Y322" t="str">
        <f t="shared" si="48"/>
        <v/>
      </c>
      <c r="Z322">
        <f t="shared" si="49"/>
        <v>-1015.26</v>
      </c>
    </row>
    <row r="323" spans="1:26" x14ac:dyDescent="0.25">
      <c r="A323" s="1">
        <v>45348</v>
      </c>
      <c r="B323" t="s">
        <v>541</v>
      </c>
      <c r="C323" t="s">
        <v>17</v>
      </c>
      <c r="D323" t="s">
        <v>22</v>
      </c>
      <c r="E323">
        <v>150</v>
      </c>
      <c r="F323">
        <v>0</v>
      </c>
      <c r="G323">
        <v>12.65</v>
      </c>
      <c r="H323">
        <v>1897.5</v>
      </c>
      <c r="I323" t="s">
        <v>544</v>
      </c>
      <c r="J323">
        <v>0</v>
      </c>
      <c r="K323">
        <v>0.96</v>
      </c>
      <c r="L323">
        <v>0</v>
      </c>
      <c r="M323">
        <v>0</v>
      </c>
      <c r="N323">
        <v>40</v>
      </c>
      <c r="O323">
        <v>7.38</v>
      </c>
      <c r="P323">
        <v>48.34</v>
      </c>
      <c r="Q323">
        <f t="shared" si="50"/>
        <v>2024</v>
      </c>
      <c r="R323">
        <f t="shared" si="51"/>
        <v>2</v>
      </c>
      <c r="S323">
        <f t="shared" si="52"/>
        <v>2023</v>
      </c>
      <c r="T323">
        <f t="shared" si="53"/>
        <v>11</v>
      </c>
      <c r="U323">
        <f t="shared" si="54"/>
        <v>11</v>
      </c>
      <c r="V323" t="str">
        <f t="shared" si="55"/>
        <v>202311</v>
      </c>
      <c r="W323" t="str">
        <f t="shared" si="56"/>
        <v>Feb-24</v>
      </c>
      <c r="X323" s="3">
        <f t="shared" si="57"/>
        <v>-1945.84</v>
      </c>
      <c r="Y323" t="str">
        <f t="shared" ref="Y323:Y386" si="58">IF(X323&gt;0,X323,"")</f>
        <v/>
      </c>
      <c r="Z323">
        <f t="shared" ref="Z323:Z386" si="59">IF(X323&lt;0,X323,"")</f>
        <v>-1945.84</v>
      </c>
    </row>
    <row r="324" spans="1:26" x14ac:dyDescent="0.25">
      <c r="A324" s="1">
        <v>45348</v>
      </c>
      <c r="B324" t="s">
        <v>541</v>
      </c>
      <c r="C324" t="s">
        <v>17</v>
      </c>
      <c r="D324" t="s">
        <v>22</v>
      </c>
      <c r="E324">
        <v>150</v>
      </c>
      <c r="F324">
        <v>0</v>
      </c>
      <c r="G324">
        <v>32.65</v>
      </c>
      <c r="H324">
        <v>4897.5</v>
      </c>
      <c r="I324" t="s">
        <v>545</v>
      </c>
      <c r="J324">
        <v>0</v>
      </c>
      <c r="K324">
        <v>2.4700000000000002</v>
      </c>
      <c r="L324">
        <v>0</v>
      </c>
      <c r="M324">
        <v>0</v>
      </c>
      <c r="N324">
        <v>40</v>
      </c>
      <c r="O324">
        <v>7.64</v>
      </c>
      <c r="P324">
        <v>50.11</v>
      </c>
      <c r="Q324">
        <f t="shared" si="50"/>
        <v>2024</v>
      </c>
      <c r="R324">
        <f t="shared" si="51"/>
        <v>2</v>
      </c>
      <c r="S324">
        <f t="shared" si="52"/>
        <v>2023</v>
      </c>
      <c r="T324">
        <f t="shared" si="53"/>
        <v>11</v>
      </c>
      <c r="U324">
        <f t="shared" si="54"/>
        <v>11</v>
      </c>
      <c r="V324" t="str">
        <f t="shared" si="55"/>
        <v>202311</v>
      </c>
      <c r="W324" t="str">
        <f t="shared" si="56"/>
        <v>Feb-24</v>
      </c>
      <c r="X324" s="3">
        <f t="shared" si="57"/>
        <v>-4947.6099999999997</v>
      </c>
      <c r="Y324" t="str">
        <f t="shared" si="58"/>
        <v/>
      </c>
      <c r="Z324">
        <f t="shared" si="59"/>
        <v>-4947.6099999999997</v>
      </c>
    </row>
    <row r="325" spans="1:26" x14ac:dyDescent="0.25">
      <c r="A325" s="1">
        <v>45349</v>
      </c>
      <c r="B325" t="s">
        <v>530</v>
      </c>
      <c r="C325" t="s">
        <v>17</v>
      </c>
      <c r="D325" t="s">
        <v>18</v>
      </c>
      <c r="E325">
        <v>250</v>
      </c>
      <c r="F325">
        <v>0</v>
      </c>
      <c r="G325">
        <v>89.15</v>
      </c>
      <c r="H325">
        <v>22287.5</v>
      </c>
      <c r="I325" t="s">
        <v>531</v>
      </c>
      <c r="J325">
        <v>13.93</v>
      </c>
      <c r="K325">
        <v>11.26</v>
      </c>
      <c r="L325">
        <v>0</v>
      </c>
      <c r="M325">
        <v>0.02</v>
      </c>
      <c r="N325">
        <v>100</v>
      </c>
      <c r="O325">
        <v>20.04</v>
      </c>
      <c r="P325">
        <v>145.25</v>
      </c>
      <c r="Q325">
        <f t="shared" si="50"/>
        <v>2024</v>
      </c>
      <c r="R325">
        <f t="shared" si="51"/>
        <v>2</v>
      </c>
      <c r="S325">
        <f t="shared" si="52"/>
        <v>2023</v>
      </c>
      <c r="T325">
        <f t="shared" si="53"/>
        <v>11</v>
      </c>
      <c r="U325">
        <f t="shared" si="54"/>
        <v>11</v>
      </c>
      <c r="V325" t="str">
        <f t="shared" si="55"/>
        <v>202311</v>
      </c>
      <c r="W325" t="str">
        <f t="shared" si="56"/>
        <v>Feb-24</v>
      </c>
      <c r="X325" s="3">
        <f t="shared" si="57"/>
        <v>22142.25</v>
      </c>
      <c r="Y325">
        <f t="shared" si="58"/>
        <v>22142.25</v>
      </c>
      <c r="Z325" t="str">
        <f t="shared" si="59"/>
        <v/>
      </c>
    </row>
    <row r="326" spans="1:26" x14ac:dyDescent="0.25">
      <c r="A326" s="1">
        <v>45349</v>
      </c>
      <c r="B326" t="s">
        <v>530</v>
      </c>
      <c r="C326" t="s">
        <v>17</v>
      </c>
      <c r="D326" t="s">
        <v>22</v>
      </c>
      <c r="E326">
        <v>250</v>
      </c>
      <c r="F326">
        <v>0</v>
      </c>
      <c r="G326">
        <v>80.95</v>
      </c>
      <c r="H326">
        <v>20237.5</v>
      </c>
      <c r="I326" t="s">
        <v>532</v>
      </c>
      <c r="J326">
        <v>0</v>
      </c>
      <c r="K326">
        <v>10.210000000000001</v>
      </c>
      <c r="L326">
        <v>0.79</v>
      </c>
      <c r="M326">
        <v>0.01</v>
      </c>
      <c r="N326">
        <v>100</v>
      </c>
      <c r="O326">
        <v>19.82</v>
      </c>
      <c r="P326">
        <v>130.83000000000001</v>
      </c>
      <c r="Q326">
        <f t="shared" si="50"/>
        <v>2024</v>
      </c>
      <c r="R326">
        <f t="shared" si="51"/>
        <v>2</v>
      </c>
      <c r="S326">
        <f t="shared" si="52"/>
        <v>2023</v>
      </c>
      <c r="T326">
        <f t="shared" si="53"/>
        <v>11</v>
      </c>
      <c r="U326">
        <f t="shared" si="54"/>
        <v>11</v>
      </c>
      <c r="V326" t="str">
        <f t="shared" si="55"/>
        <v>202311</v>
      </c>
      <c r="W326" t="str">
        <f t="shared" si="56"/>
        <v>Feb-24</v>
      </c>
      <c r="X326" s="3">
        <f t="shared" si="57"/>
        <v>-20368.330000000002</v>
      </c>
      <c r="Y326" t="str">
        <f t="shared" si="58"/>
        <v/>
      </c>
      <c r="Z326">
        <f t="shared" si="59"/>
        <v>-20368.330000000002</v>
      </c>
    </row>
    <row r="327" spans="1:26" x14ac:dyDescent="0.25">
      <c r="A327" s="1">
        <v>45349</v>
      </c>
      <c r="B327" t="s">
        <v>533</v>
      </c>
      <c r="C327" t="s">
        <v>17</v>
      </c>
      <c r="D327" t="s">
        <v>18</v>
      </c>
      <c r="E327">
        <v>50</v>
      </c>
      <c r="F327">
        <v>0</v>
      </c>
      <c r="G327">
        <v>139.65</v>
      </c>
      <c r="H327">
        <v>6982.5</v>
      </c>
      <c r="I327" t="s">
        <v>534</v>
      </c>
      <c r="J327">
        <v>4.3600000000000003</v>
      </c>
      <c r="K327">
        <v>3.53</v>
      </c>
      <c r="L327">
        <v>0</v>
      </c>
      <c r="M327">
        <v>0.01</v>
      </c>
      <c r="N327">
        <v>20</v>
      </c>
      <c r="O327">
        <v>4.24</v>
      </c>
      <c r="P327">
        <v>32.14</v>
      </c>
      <c r="Q327">
        <f t="shared" si="50"/>
        <v>2024</v>
      </c>
      <c r="R327">
        <f t="shared" si="51"/>
        <v>2</v>
      </c>
      <c r="S327">
        <f t="shared" si="52"/>
        <v>2023</v>
      </c>
      <c r="T327">
        <f t="shared" si="53"/>
        <v>11</v>
      </c>
      <c r="U327">
        <f t="shared" si="54"/>
        <v>11</v>
      </c>
      <c r="V327" t="str">
        <f t="shared" si="55"/>
        <v>202311</v>
      </c>
      <c r="W327" t="str">
        <f t="shared" si="56"/>
        <v>Feb-24</v>
      </c>
      <c r="X327" s="3">
        <f t="shared" si="57"/>
        <v>6950.36</v>
      </c>
      <c r="Y327">
        <f t="shared" si="58"/>
        <v>6950.36</v>
      </c>
      <c r="Z327" t="str">
        <f t="shared" si="59"/>
        <v/>
      </c>
    </row>
    <row r="328" spans="1:26" x14ac:dyDescent="0.25">
      <c r="A328" s="1">
        <v>45349</v>
      </c>
      <c r="B328" t="s">
        <v>535</v>
      </c>
      <c r="C328" t="s">
        <v>17</v>
      </c>
      <c r="D328" t="s">
        <v>18</v>
      </c>
      <c r="E328">
        <v>40</v>
      </c>
      <c r="F328">
        <v>0</v>
      </c>
      <c r="G328">
        <v>29</v>
      </c>
      <c r="H328">
        <v>1160</v>
      </c>
      <c r="I328" t="s">
        <v>536</v>
      </c>
      <c r="J328">
        <v>0.71</v>
      </c>
      <c r="K328">
        <v>0.59</v>
      </c>
      <c r="L328">
        <v>0</v>
      </c>
      <c r="M328">
        <v>0</v>
      </c>
      <c r="N328">
        <v>20</v>
      </c>
      <c r="O328">
        <v>3.7</v>
      </c>
      <c r="P328">
        <v>25</v>
      </c>
      <c r="Q328">
        <f t="shared" si="50"/>
        <v>2024</v>
      </c>
      <c r="R328">
        <f t="shared" si="51"/>
        <v>2</v>
      </c>
      <c r="S328">
        <f t="shared" si="52"/>
        <v>2023</v>
      </c>
      <c r="T328">
        <f t="shared" si="53"/>
        <v>11</v>
      </c>
      <c r="U328">
        <f t="shared" si="54"/>
        <v>11</v>
      </c>
      <c r="V328" t="str">
        <f t="shared" si="55"/>
        <v>202311</v>
      </c>
      <c r="W328" t="str">
        <f t="shared" si="56"/>
        <v>Feb-24</v>
      </c>
      <c r="X328" s="3">
        <f t="shared" si="57"/>
        <v>1135</v>
      </c>
      <c r="Y328">
        <f t="shared" si="58"/>
        <v>1135</v>
      </c>
      <c r="Z328" t="str">
        <f t="shared" si="59"/>
        <v/>
      </c>
    </row>
    <row r="329" spans="1:26" x14ac:dyDescent="0.25">
      <c r="A329" s="1">
        <v>45349</v>
      </c>
      <c r="B329" t="s">
        <v>535</v>
      </c>
      <c r="C329" t="s">
        <v>17</v>
      </c>
      <c r="D329" t="s">
        <v>22</v>
      </c>
      <c r="E329">
        <v>40</v>
      </c>
      <c r="F329">
        <v>0</v>
      </c>
      <c r="G329">
        <v>26.65</v>
      </c>
      <c r="H329">
        <v>1066</v>
      </c>
      <c r="I329" t="s">
        <v>537</v>
      </c>
      <c r="J329">
        <v>0</v>
      </c>
      <c r="K329">
        <v>0.54</v>
      </c>
      <c r="L329">
        <v>0.03</v>
      </c>
      <c r="M329">
        <v>0</v>
      </c>
      <c r="N329">
        <v>20</v>
      </c>
      <c r="O329">
        <v>3.7</v>
      </c>
      <c r="P329">
        <v>24.27</v>
      </c>
      <c r="Q329">
        <f t="shared" si="50"/>
        <v>2024</v>
      </c>
      <c r="R329">
        <f t="shared" si="51"/>
        <v>2</v>
      </c>
      <c r="S329">
        <f t="shared" si="52"/>
        <v>2023</v>
      </c>
      <c r="T329">
        <f t="shared" si="53"/>
        <v>11</v>
      </c>
      <c r="U329">
        <f t="shared" si="54"/>
        <v>11</v>
      </c>
      <c r="V329" t="str">
        <f t="shared" si="55"/>
        <v>202311</v>
      </c>
      <c r="W329" t="str">
        <f t="shared" si="56"/>
        <v>Feb-24</v>
      </c>
      <c r="X329" s="3">
        <f t="shared" si="57"/>
        <v>-1090.27</v>
      </c>
      <c r="Y329" t="str">
        <f t="shared" si="58"/>
        <v/>
      </c>
      <c r="Z329">
        <f t="shared" si="59"/>
        <v>-1090.27</v>
      </c>
    </row>
    <row r="330" spans="1:26" x14ac:dyDescent="0.25">
      <c r="A330" s="1">
        <v>45349</v>
      </c>
      <c r="B330" t="s">
        <v>533</v>
      </c>
      <c r="C330" t="s">
        <v>17</v>
      </c>
      <c r="D330" t="s">
        <v>22</v>
      </c>
      <c r="E330">
        <v>50</v>
      </c>
      <c r="F330">
        <v>0</v>
      </c>
      <c r="G330">
        <v>119.25</v>
      </c>
      <c r="H330">
        <v>5962.5</v>
      </c>
      <c r="I330" t="s">
        <v>538</v>
      </c>
      <c r="J330">
        <v>0</v>
      </c>
      <c r="K330">
        <v>3.01</v>
      </c>
      <c r="L330">
        <v>0.18</v>
      </c>
      <c r="M330">
        <v>0.01</v>
      </c>
      <c r="N330">
        <v>20</v>
      </c>
      <c r="O330">
        <v>4.1399999999999997</v>
      </c>
      <c r="P330">
        <v>27.34</v>
      </c>
      <c r="Q330">
        <f t="shared" si="50"/>
        <v>2024</v>
      </c>
      <c r="R330">
        <f t="shared" si="51"/>
        <v>2</v>
      </c>
      <c r="S330">
        <f t="shared" si="52"/>
        <v>2023</v>
      </c>
      <c r="T330">
        <f t="shared" si="53"/>
        <v>11</v>
      </c>
      <c r="U330">
        <f t="shared" si="54"/>
        <v>11</v>
      </c>
      <c r="V330" t="str">
        <f t="shared" si="55"/>
        <v>202311</v>
      </c>
      <c r="W330" t="str">
        <f t="shared" si="56"/>
        <v>Feb-24</v>
      </c>
      <c r="X330" s="3">
        <f t="shared" si="57"/>
        <v>-5989.84</v>
      </c>
      <c r="Y330" t="str">
        <f t="shared" si="58"/>
        <v/>
      </c>
      <c r="Z330">
        <f t="shared" si="59"/>
        <v>-5989.84</v>
      </c>
    </row>
    <row r="331" spans="1:26" x14ac:dyDescent="0.25">
      <c r="A331" s="1">
        <v>45350</v>
      </c>
      <c r="B331" t="s">
        <v>497</v>
      </c>
      <c r="C331" t="s">
        <v>17</v>
      </c>
      <c r="D331" t="s">
        <v>22</v>
      </c>
      <c r="E331">
        <v>600</v>
      </c>
      <c r="F331">
        <v>0</v>
      </c>
      <c r="G331">
        <v>55</v>
      </c>
      <c r="H331">
        <v>33000</v>
      </c>
      <c r="I331" t="s">
        <v>510</v>
      </c>
      <c r="J331">
        <v>0</v>
      </c>
      <c r="K331">
        <v>16.670000000000002</v>
      </c>
      <c r="L331">
        <v>0</v>
      </c>
      <c r="M331">
        <v>0.03</v>
      </c>
      <c r="N331">
        <v>800</v>
      </c>
      <c r="O331">
        <v>147.02000000000001</v>
      </c>
      <c r="P331">
        <v>963.72</v>
      </c>
      <c r="Q331">
        <f t="shared" si="50"/>
        <v>2024</v>
      </c>
      <c r="R331">
        <f t="shared" si="51"/>
        <v>2</v>
      </c>
      <c r="S331">
        <f t="shared" si="52"/>
        <v>2023</v>
      </c>
      <c r="T331">
        <f t="shared" si="53"/>
        <v>11</v>
      </c>
      <c r="U331">
        <f t="shared" si="54"/>
        <v>11</v>
      </c>
      <c r="V331" t="str">
        <f t="shared" si="55"/>
        <v>202311</v>
      </c>
      <c r="W331" t="str">
        <f t="shared" si="56"/>
        <v>Feb-24</v>
      </c>
      <c r="X331" s="3">
        <f t="shared" si="57"/>
        <v>-33963.72</v>
      </c>
      <c r="Y331" t="str">
        <f t="shared" si="58"/>
        <v/>
      </c>
      <c r="Z331">
        <f t="shared" si="59"/>
        <v>-33963.72</v>
      </c>
    </row>
    <row r="332" spans="1:26" x14ac:dyDescent="0.25">
      <c r="A332" s="1">
        <v>45350</v>
      </c>
      <c r="B332" t="s">
        <v>497</v>
      </c>
      <c r="C332" t="s">
        <v>17</v>
      </c>
      <c r="D332" t="s">
        <v>22</v>
      </c>
      <c r="E332">
        <v>600</v>
      </c>
      <c r="F332">
        <v>0</v>
      </c>
      <c r="G332">
        <v>115</v>
      </c>
      <c r="H332">
        <v>69000</v>
      </c>
      <c r="I332" t="s">
        <v>511</v>
      </c>
      <c r="J332">
        <v>0</v>
      </c>
      <c r="K332">
        <v>34.85</v>
      </c>
      <c r="L332">
        <v>5.14</v>
      </c>
      <c r="M332">
        <v>7.0000000000000007E-2</v>
      </c>
      <c r="N332">
        <v>800</v>
      </c>
      <c r="O332">
        <v>150.28</v>
      </c>
      <c r="P332">
        <v>990.34</v>
      </c>
      <c r="Q332">
        <f t="shared" si="50"/>
        <v>2024</v>
      </c>
      <c r="R332">
        <f t="shared" si="51"/>
        <v>2</v>
      </c>
      <c r="S332">
        <f t="shared" si="52"/>
        <v>2023</v>
      </c>
      <c r="T332">
        <f t="shared" si="53"/>
        <v>11</v>
      </c>
      <c r="U332">
        <f t="shared" si="54"/>
        <v>11</v>
      </c>
      <c r="V332" t="str">
        <f t="shared" si="55"/>
        <v>202311</v>
      </c>
      <c r="W332" t="str">
        <f t="shared" si="56"/>
        <v>Feb-24</v>
      </c>
      <c r="X332" s="3">
        <f t="shared" si="57"/>
        <v>-69990.34</v>
      </c>
      <c r="Y332" t="str">
        <f t="shared" si="58"/>
        <v/>
      </c>
      <c r="Z332">
        <f t="shared" si="59"/>
        <v>-69990.34</v>
      </c>
    </row>
    <row r="333" spans="1:26" x14ac:dyDescent="0.25">
      <c r="A333" s="1">
        <v>45350</v>
      </c>
      <c r="B333" t="s">
        <v>497</v>
      </c>
      <c r="C333" t="s">
        <v>17</v>
      </c>
      <c r="D333" t="s">
        <v>18</v>
      </c>
      <c r="E333">
        <v>315</v>
      </c>
      <c r="F333">
        <v>0</v>
      </c>
      <c r="G333">
        <v>106.9</v>
      </c>
      <c r="H333">
        <v>33673.5</v>
      </c>
      <c r="I333" t="s">
        <v>512</v>
      </c>
      <c r="J333">
        <v>21.29</v>
      </c>
      <c r="K333">
        <v>17.010000000000002</v>
      </c>
      <c r="L333">
        <v>0</v>
      </c>
      <c r="M333">
        <v>0.03</v>
      </c>
      <c r="N333">
        <v>420</v>
      </c>
      <c r="O333">
        <v>78.66</v>
      </c>
      <c r="P333">
        <v>536.99</v>
      </c>
      <c r="Q333">
        <f t="shared" si="50"/>
        <v>2024</v>
      </c>
      <c r="R333">
        <f t="shared" si="51"/>
        <v>2</v>
      </c>
      <c r="S333">
        <f t="shared" si="52"/>
        <v>2023</v>
      </c>
      <c r="T333">
        <f t="shared" si="53"/>
        <v>11</v>
      </c>
      <c r="U333">
        <f t="shared" si="54"/>
        <v>11</v>
      </c>
      <c r="V333" t="str">
        <f t="shared" si="55"/>
        <v>202311</v>
      </c>
      <c r="W333" t="str">
        <f t="shared" si="56"/>
        <v>Feb-24</v>
      </c>
      <c r="X333" s="3">
        <f t="shared" si="57"/>
        <v>33136.51</v>
      </c>
      <c r="Y333">
        <f t="shared" si="58"/>
        <v>33136.51</v>
      </c>
      <c r="Z333" t="str">
        <f t="shared" si="59"/>
        <v/>
      </c>
    </row>
    <row r="334" spans="1:26" x14ac:dyDescent="0.25">
      <c r="A334" s="1">
        <v>45350</v>
      </c>
      <c r="B334" t="s">
        <v>497</v>
      </c>
      <c r="C334" t="s">
        <v>17</v>
      </c>
      <c r="D334" t="s">
        <v>22</v>
      </c>
      <c r="E334">
        <v>60</v>
      </c>
      <c r="F334">
        <v>0</v>
      </c>
      <c r="G334">
        <v>117.5</v>
      </c>
      <c r="H334">
        <v>7050</v>
      </c>
      <c r="I334" t="s">
        <v>513</v>
      </c>
      <c r="J334">
        <v>0</v>
      </c>
      <c r="K334">
        <v>3.56</v>
      </c>
      <c r="L334">
        <v>0</v>
      </c>
      <c r="M334">
        <v>0.01</v>
      </c>
      <c r="N334">
        <v>80</v>
      </c>
      <c r="O334">
        <v>15.04</v>
      </c>
      <c r="P334">
        <v>98.61</v>
      </c>
      <c r="Q334">
        <f t="shared" si="50"/>
        <v>2024</v>
      </c>
      <c r="R334">
        <f t="shared" si="51"/>
        <v>2</v>
      </c>
      <c r="S334">
        <f t="shared" si="52"/>
        <v>2023</v>
      </c>
      <c r="T334">
        <f t="shared" si="53"/>
        <v>11</v>
      </c>
      <c r="U334">
        <f t="shared" si="54"/>
        <v>11</v>
      </c>
      <c r="V334" t="str">
        <f t="shared" si="55"/>
        <v>202311</v>
      </c>
      <c r="W334" t="str">
        <f t="shared" si="56"/>
        <v>Feb-24</v>
      </c>
      <c r="X334" s="3">
        <f t="shared" si="57"/>
        <v>-7148.61</v>
      </c>
      <c r="Y334" t="str">
        <f t="shared" si="58"/>
        <v/>
      </c>
      <c r="Z334">
        <f t="shared" si="59"/>
        <v>-7148.61</v>
      </c>
    </row>
    <row r="335" spans="1:26" x14ac:dyDescent="0.25">
      <c r="A335" s="1">
        <v>45350</v>
      </c>
      <c r="B335" t="s">
        <v>497</v>
      </c>
      <c r="C335" t="s">
        <v>17</v>
      </c>
      <c r="D335" t="s">
        <v>22</v>
      </c>
      <c r="E335">
        <v>60</v>
      </c>
      <c r="F335">
        <v>0</v>
      </c>
      <c r="G335">
        <v>179.6</v>
      </c>
      <c r="H335">
        <v>10776</v>
      </c>
      <c r="I335" t="s">
        <v>514</v>
      </c>
      <c r="J335">
        <v>0</v>
      </c>
      <c r="K335">
        <v>5.44</v>
      </c>
      <c r="L335">
        <v>0</v>
      </c>
      <c r="M335">
        <v>0.01</v>
      </c>
      <c r="N335">
        <v>80</v>
      </c>
      <c r="O335">
        <v>15.38</v>
      </c>
      <c r="P335">
        <v>100.83</v>
      </c>
      <c r="Q335">
        <f t="shared" si="50"/>
        <v>2024</v>
      </c>
      <c r="R335">
        <f t="shared" si="51"/>
        <v>2</v>
      </c>
      <c r="S335">
        <f t="shared" si="52"/>
        <v>2023</v>
      </c>
      <c r="T335">
        <f t="shared" si="53"/>
        <v>11</v>
      </c>
      <c r="U335">
        <f t="shared" si="54"/>
        <v>11</v>
      </c>
      <c r="V335" t="str">
        <f t="shared" si="55"/>
        <v>202311</v>
      </c>
      <c r="W335" t="str">
        <f t="shared" si="56"/>
        <v>Feb-24</v>
      </c>
      <c r="X335" s="3">
        <f t="shared" si="57"/>
        <v>-10876.83</v>
      </c>
      <c r="Y335" t="str">
        <f t="shared" si="58"/>
        <v/>
      </c>
      <c r="Z335">
        <f t="shared" si="59"/>
        <v>-10876.83</v>
      </c>
    </row>
    <row r="336" spans="1:26" x14ac:dyDescent="0.25">
      <c r="A336" s="1">
        <v>45350</v>
      </c>
      <c r="B336" t="s">
        <v>497</v>
      </c>
      <c r="C336" t="s">
        <v>17</v>
      </c>
      <c r="D336" t="s">
        <v>22</v>
      </c>
      <c r="E336">
        <v>60</v>
      </c>
      <c r="F336">
        <v>0</v>
      </c>
      <c r="G336">
        <v>196.9</v>
      </c>
      <c r="H336">
        <v>11814</v>
      </c>
      <c r="I336" t="s">
        <v>515</v>
      </c>
      <c r="J336">
        <v>0</v>
      </c>
      <c r="K336">
        <v>5.97</v>
      </c>
      <c r="L336">
        <v>0</v>
      </c>
      <c r="M336">
        <v>0.01</v>
      </c>
      <c r="N336">
        <v>80</v>
      </c>
      <c r="O336">
        <v>15.48</v>
      </c>
      <c r="P336">
        <v>101.46</v>
      </c>
      <c r="Q336">
        <f t="shared" si="50"/>
        <v>2024</v>
      </c>
      <c r="R336">
        <f t="shared" si="51"/>
        <v>2</v>
      </c>
      <c r="S336">
        <f t="shared" si="52"/>
        <v>2023</v>
      </c>
      <c r="T336">
        <f t="shared" si="53"/>
        <v>11</v>
      </c>
      <c r="U336">
        <f t="shared" si="54"/>
        <v>11</v>
      </c>
      <c r="V336" t="str">
        <f t="shared" si="55"/>
        <v>202311</v>
      </c>
      <c r="W336" t="str">
        <f t="shared" si="56"/>
        <v>Feb-24</v>
      </c>
      <c r="X336" s="3">
        <f t="shared" si="57"/>
        <v>-11915.46</v>
      </c>
      <c r="Y336" t="str">
        <f t="shared" si="58"/>
        <v/>
      </c>
      <c r="Z336">
        <f t="shared" si="59"/>
        <v>-11915.46</v>
      </c>
    </row>
    <row r="337" spans="1:26" x14ac:dyDescent="0.25">
      <c r="A337" s="1">
        <v>45350</v>
      </c>
      <c r="B337" t="s">
        <v>497</v>
      </c>
      <c r="C337" t="s">
        <v>17</v>
      </c>
      <c r="D337" t="s">
        <v>22</v>
      </c>
      <c r="E337">
        <v>60</v>
      </c>
      <c r="F337">
        <v>0</v>
      </c>
      <c r="G337">
        <v>238.3</v>
      </c>
      <c r="H337">
        <v>14298</v>
      </c>
      <c r="I337" t="s">
        <v>516</v>
      </c>
      <c r="J337">
        <v>0</v>
      </c>
      <c r="K337">
        <v>7.22</v>
      </c>
      <c r="L337">
        <v>0</v>
      </c>
      <c r="M337">
        <v>0.02</v>
      </c>
      <c r="N337">
        <v>80</v>
      </c>
      <c r="O337">
        <v>15.72</v>
      </c>
      <c r="P337">
        <v>102.96</v>
      </c>
      <c r="Q337">
        <f t="shared" si="50"/>
        <v>2024</v>
      </c>
      <c r="R337">
        <f t="shared" si="51"/>
        <v>2</v>
      </c>
      <c r="S337">
        <f t="shared" si="52"/>
        <v>2023</v>
      </c>
      <c r="T337">
        <f t="shared" si="53"/>
        <v>11</v>
      </c>
      <c r="U337">
        <f t="shared" si="54"/>
        <v>11</v>
      </c>
      <c r="V337" t="str">
        <f t="shared" si="55"/>
        <v>202311</v>
      </c>
      <c r="W337" t="str">
        <f t="shared" si="56"/>
        <v>Feb-24</v>
      </c>
      <c r="X337" s="3">
        <f t="shared" si="57"/>
        <v>-14400.96</v>
      </c>
      <c r="Y337" t="str">
        <f t="shared" si="58"/>
        <v/>
      </c>
      <c r="Z337">
        <f t="shared" si="59"/>
        <v>-14400.96</v>
      </c>
    </row>
    <row r="338" spans="1:26" x14ac:dyDescent="0.25">
      <c r="A338" s="1">
        <v>45350</v>
      </c>
      <c r="B338" t="s">
        <v>497</v>
      </c>
      <c r="C338" t="s">
        <v>17</v>
      </c>
      <c r="D338" t="s">
        <v>22</v>
      </c>
      <c r="E338">
        <v>15</v>
      </c>
      <c r="F338">
        <v>0</v>
      </c>
      <c r="G338">
        <v>277.7</v>
      </c>
      <c r="H338">
        <v>4165.5</v>
      </c>
      <c r="I338" t="s">
        <v>517</v>
      </c>
      <c r="J338">
        <v>0</v>
      </c>
      <c r="K338">
        <v>2.1</v>
      </c>
      <c r="L338">
        <v>0</v>
      </c>
      <c r="M338">
        <v>0</v>
      </c>
      <c r="N338">
        <v>20</v>
      </c>
      <c r="O338">
        <v>3.98</v>
      </c>
      <c r="P338">
        <v>26.08</v>
      </c>
      <c r="Q338">
        <f t="shared" si="50"/>
        <v>2024</v>
      </c>
      <c r="R338">
        <f t="shared" si="51"/>
        <v>2</v>
      </c>
      <c r="S338">
        <f t="shared" si="52"/>
        <v>2023</v>
      </c>
      <c r="T338">
        <f t="shared" si="53"/>
        <v>11</v>
      </c>
      <c r="U338">
        <f t="shared" si="54"/>
        <v>11</v>
      </c>
      <c r="V338" t="str">
        <f t="shared" si="55"/>
        <v>202311</v>
      </c>
      <c r="W338" t="str">
        <f t="shared" si="56"/>
        <v>Feb-24</v>
      </c>
      <c r="X338" s="3">
        <f t="shared" si="57"/>
        <v>-4191.58</v>
      </c>
      <c r="Y338" t="str">
        <f t="shared" si="58"/>
        <v/>
      </c>
      <c r="Z338">
        <f t="shared" si="59"/>
        <v>-4191.58</v>
      </c>
    </row>
    <row r="339" spans="1:26" x14ac:dyDescent="0.25">
      <c r="A339" s="1">
        <v>45350</v>
      </c>
      <c r="B339" t="s">
        <v>497</v>
      </c>
      <c r="C339" t="s">
        <v>17</v>
      </c>
      <c r="D339" t="s">
        <v>22</v>
      </c>
      <c r="E339">
        <v>60</v>
      </c>
      <c r="F339">
        <v>0</v>
      </c>
      <c r="G339">
        <v>293.95</v>
      </c>
      <c r="H339">
        <v>17637</v>
      </c>
      <c r="I339" t="s">
        <v>518</v>
      </c>
      <c r="J339">
        <v>0</v>
      </c>
      <c r="K339">
        <v>8.91</v>
      </c>
      <c r="L339">
        <v>0</v>
      </c>
      <c r="M339">
        <v>0.01</v>
      </c>
      <c r="N339">
        <v>80</v>
      </c>
      <c r="O339">
        <v>16</v>
      </c>
      <c r="P339">
        <v>104.92</v>
      </c>
      <c r="Q339">
        <f t="shared" si="50"/>
        <v>2024</v>
      </c>
      <c r="R339">
        <f t="shared" si="51"/>
        <v>2</v>
      </c>
      <c r="S339">
        <f t="shared" si="52"/>
        <v>2023</v>
      </c>
      <c r="T339">
        <f t="shared" si="53"/>
        <v>11</v>
      </c>
      <c r="U339">
        <f t="shared" si="54"/>
        <v>11</v>
      </c>
      <c r="V339" t="str">
        <f t="shared" si="55"/>
        <v>202311</v>
      </c>
      <c r="W339" t="str">
        <f t="shared" si="56"/>
        <v>Feb-24</v>
      </c>
      <c r="X339" s="3">
        <f t="shared" si="57"/>
        <v>-17741.919999999998</v>
      </c>
      <c r="Y339" t="str">
        <f t="shared" si="58"/>
        <v/>
      </c>
      <c r="Z339">
        <f t="shared" si="59"/>
        <v>-17741.919999999998</v>
      </c>
    </row>
    <row r="340" spans="1:26" x14ac:dyDescent="0.25">
      <c r="A340" s="1">
        <v>45350</v>
      </c>
      <c r="B340" t="s">
        <v>497</v>
      </c>
      <c r="C340" t="s">
        <v>17</v>
      </c>
      <c r="D340" t="s">
        <v>18</v>
      </c>
      <c r="E340">
        <v>15</v>
      </c>
      <c r="F340">
        <v>0</v>
      </c>
      <c r="G340">
        <v>270.8</v>
      </c>
      <c r="H340">
        <v>4062</v>
      </c>
      <c r="I340" t="s">
        <v>519</v>
      </c>
      <c r="J340">
        <v>2.54</v>
      </c>
      <c r="K340">
        <v>2.0499999999999998</v>
      </c>
      <c r="L340">
        <v>0</v>
      </c>
      <c r="M340">
        <v>0</v>
      </c>
      <c r="N340">
        <v>20</v>
      </c>
      <c r="O340">
        <v>3.96</v>
      </c>
      <c r="P340">
        <v>28.55</v>
      </c>
      <c r="Q340">
        <f t="shared" si="50"/>
        <v>2024</v>
      </c>
      <c r="R340">
        <f t="shared" si="51"/>
        <v>2</v>
      </c>
      <c r="S340">
        <f t="shared" si="52"/>
        <v>2023</v>
      </c>
      <c r="T340">
        <f t="shared" si="53"/>
        <v>11</v>
      </c>
      <c r="U340">
        <f t="shared" si="54"/>
        <v>11</v>
      </c>
      <c r="V340" t="str">
        <f t="shared" si="55"/>
        <v>202311</v>
      </c>
      <c r="W340" t="str">
        <f t="shared" si="56"/>
        <v>Feb-24</v>
      </c>
      <c r="X340" s="3">
        <f t="shared" si="57"/>
        <v>4033.45</v>
      </c>
      <c r="Y340">
        <f t="shared" si="58"/>
        <v>4033.45</v>
      </c>
      <c r="Z340" t="str">
        <f t="shared" si="59"/>
        <v/>
      </c>
    </row>
    <row r="341" spans="1:26" x14ac:dyDescent="0.25">
      <c r="A341" s="1">
        <v>45350</v>
      </c>
      <c r="B341" t="s">
        <v>497</v>
      </c>
      <c r="C341" t="s">
        <v>17</v>
      </c>
      <c r="D341" t="s">
        <v>22</v>
      </c>
      <c r="E341">
        <v>15</v>
      </c>
      <c r="F341">
        <v>0</v>
      </c>
      <c r="G341">
        <v>239.05</v>
      </c>
      <c r="H341">
        <v>3585.75</v>
      </c>
      <c r="I341" t="s">
        <v>520</v>
      </c>
      <c r="J341">
        <v>0</v>
      </c>
      <c r="K341">
        <v>1.81</v>
      </c>
      <c r="L341">
        <v>0</v>
      </c>
      <c r="M341">
        <v>0</v>
      </c>
      <c r="N341">
        <v>20</v>
      </c>
      <c r="O341">
        <v>3.92</v>
      </c>
      <c r="P341">
        <v>25.73</v>
      </c>
      <c r="Q341">
        <f t="shared" si="50"/>
        <v>2024</v>
      </c>
      <c r="R341">
        <f t="shared" si="51"/>
        <v>2</v>
      </c>
      <c r="S341">
        <f t="shared" si="52"/>
        <v>2023</v>
      </c>
      <c r="T341">
        <f t="shared" si="53"/>
        <v>11</v>
      </c>
      <c r="U341">
        <f t="shared" si="54"/>
        <v>11</v>
      </c>
      <c r="V341" t="str">
        <f t="shared" si="55"/>
        <v>202311</v>
      </c>
      <c r="W341" t="str">
        <f t="shared" si="56"/>
        <v>Feb-24</v>
      </c>
      <c r="X341" s="3">
        <f t="shared" si="57"/>
        <v>-3611.48</v>
      </c>
      <c r="Y341" t="str">
        <f t="shared" si="58"/>
        <v/>
      </c>
      <c r="Z341">
        <f t="shared" si="59"/>
        <v>-3611.48</v>
      </c>
    </row>
    <row r="342" spans="1:26" x14ac:dyDescent="0.25">
      <c r="A342" s="1">
        <v>45350</v>
      </c>
      <c r="B342" t="s">
        <v>521</v>
      </c>
      <c r="C342" t="s">
        <v>17</v>
      </c>
      <c r="D342" t="s">
        <v>18</v>
      </c>
      <c r="E342">
        <v>105</v>
      </c>
      <c r="F342">
        <v>0</v>
      </c>
      <c r="G342">
        <v>292.14999999999998</v>
      </c>
      <c r="H342">
        <v>30675.75</v>
      </c>
      <c r="I342" t="s">
        <v>522</v>
      </c>
      <c r="J342">
        <v>19.18</v>
      </c>
      <c r="K342">
        <v>15.49</v>
      </c>
      <c r="L342">
        <v>0</v>
      </c>
      <c r="M342">
        <v>0.02</v>
      </c>
      <c r="N342">
        <v>140</v>
      </c>
      <c r="O342">
        <v>28</v>
      </c>
      <c r="P342">
        <v>202.69</v>
      </c>
      <c r="Q342">
        <f t="shared" si="50"/>
        <v>2024</v>
      </c>
      <c r="R342">
        <f t="shared" si="51"/>
        <v>2</v>
      </c>
      <c r="S342">
        <f t="shared" si="52"/>
        <v>2023</v>
      </c>
      <c r="T342">
        <f t="shared" si="53"/>
        <v>11</v>
      </c>
      <c r="U342">
        <f t="shared" si="54"/>
        <v>11</v>
      </c>
      <c r="V342" t="str">
        <f t="shared" si="55"/>
        <v>202311</v>
      </c>
      <c r="W342" t="str">
        <f t="shared" si="56"/>
        <v>Feb-24</v>
      </c>
      <c r="X342" s="3">
        <f t="shared" si="57"/>
        <v>30473.06</v>
      </c>
      <c r="Y342">
        <f t="shared" si="58"/>
        <v>30473.06</v>
      </c>
      <c r="Z342" t="str">
        <f t="shared" si="59"/>
        <v/>
      </c>
    </row>
    <row r="343" spans="1:26" x14ac:dyDescent="0.25">
      <c r="A343" s="1">
        <v>45350</v>
      </c>
      <c r="B343" t="s">
        <v>521</v>
      </c>
      <c r="C343" t="s">
        <v>17</v>
      </c>
      <c r="D343" t="s">
        <v>22</v>
      </c>
      <c r="E343">
        <v>15</v>
      </c>
      <c r="F343">
        <v>0</v>
      </c>
      <c r="G343">
        <v>253.6</v>
      </c>
      <c r="H343">
        <v>3804</v>
      </c>
      <c r="I343" t="s">
        <v>523</v>
      </c>
      <c r="J343">
        <v>0</v>
      </c>
      <c r="K343">
        <v>1.92</v>
      </c>
      <c r="L343">
        <v>0</v>
      </c>
      <c r="M343">
        <v>0</v>
      </c>
      <c r="N343">
        <v>20</v>
      </c>
      <c r="O343">
        <v>3.94</v>
      </c>
      <c r="P343">
        <v>25.86</v>
      </c>
      <c r="Q343">
        <f t="shared" si="50"/>
        <v>2024</v>
      </c>
      <c r="R343">
        <f t="shared" si="51"/>
        <v>2</v>
      </c>
      <c r="S343">
        <f t="shared" si="52"/>
        <v>2023</v>
      </c>
      <c r="T343">
        <f t="shared" si="53"/>
        <v>11</v>
      </c>
      <c r="U343">
        <f t="shared" si="54"/>
        <v>11</v>
      </c>
      <c r="V343" t="str">
        <f t="shared" si="55"/>
        <v>202311</v>
      </c>
      <c r="W343" t="str">
        <f t="shared" si="56"/>
        <v>Feb-24</v>
      </c>
      <c r="X343" s="3">
        <f t="shared" si="57"/>
        <v>-3829.86</v>
      </c>
      <c r="Y343" t="str">
        <f t="shared" si="58"/>
        <v/>
      </c>
      <c r="Z343">
        <f t="shared" si="59"/>
        <v>-3829.86</v>
      </c>
    </row>
    <row r="344" spans="1:26" x14ac:dyDescent="0.25">
      <c r="A344" s="1">
        <v>45350</v>
      </c>
      <c r="B344" t="s">
        <v>521</v>
      </c>
      <c r="C344" t="s">
        <v>17</v>
      </c>
      <c r="D344" t="s">
        <v>22</v>
      </c>
      <c r="E344">
        <v>15</v>
      </c>
      <c r="F344">
        <v>0</v>
      </c>
      <c r="G344">
        <v>263.3</v>
      </c>
      <c r="H344">
        <v>3949.5</v>
      </c>
      <c r="I344" t="s">
        <v>524</v>
      </c>
      <c r="J344">
        <v>0</v>
      </c>
      <c r="K344">
        <v>1.99</v>
      </c>
      <c r="L344">
        <v>0</v>
      </c>
      <c r="M344">
        <v>0</v>
      </c>
      <c r="N344">
        <v>20</v>
      </c>
      <c r="O344">
        <v>3.96</v>
      </c>
      <c r="P344">
        <v>25.95</v>
      </c>
      <c r="Q344">
        <f t="shared" si="50"/>
        <v>2024</v>
      </c>
      <c r="R344">
        <f t="shared" si="51"/>
        <v>2</v>
      </c>
      <c r="S344">
        <f t="shared" si="52"/>
        <v>2023</v>
      </c>
      <c r="T344">
        <f t="shared" si="53"/>
        <v>11</v>
      </c>
      <c r="U344">
        <f t="shared" si="54"/>
        <v>11</v>
      </c>
      <c r="V344" t="str">
        <f t="shared" si="55"/>
        <v>202311</v>
      </c>
      <c r="W344" t="str">
        <f t="shared" si="56"/>
        <v>Feb-24</v>
      </c>
      <c r="X344" s="3">
        <f t="shared" si="57"/>
        <v>-3975.45</v>
      </c>
      <c r="Y344" t="str">
        <f t="shared" si="58"/>
        <v/>
      </c>
      <c r="Z344">
        <f t="shared" si="59"/>
        <v>-3975.45</v>
      </c>
    </row>
    <row r="345" spans="1:26" x14ac:dyDescent="0.25">
      <c r="A345" s="1">
        <v>45350</v>
      </c>
      <c r="B345" t="s">
        <v>521</v>
      </c>
      <c r="C345" t="s">
        <v>17</v>
      </c>
      <c r="D345" t="s">
        <v>22</v>
      </c>
      <c r="E345">
        <v>15</v>
      </c>
      <c r="F345">
        <v>0</v>
      </c>
      <c r="G345">
        <v>276.39999999999998</v>
      </c>
      <c r="H345">
        <v>4146</v>
      </c>
      <c r="I345" t="s">
        <v>525</v>
      </c>
      <c r="J345">
        <v>0</v>
      </c>
      <c r="K345">
        <v>2.09</v>
      </c>
      <c r="L345">
        <v>0</v>
      </c>
      <c r="M345">
        <v>0</v>
      </c>
      <c r="N345">
        <v>20</v>
      </c>
      <c r="O345">
        <v>3.98</v>
      </c>
      <c r="P345">
        <v>26.07</v>
      </c>
      <c r="Q345">
        <f t="shared" si="50"/>
        <v>2024</v>
      </c>
      <c r="R345">
        <f t="shared" si="51"/>
        <v>2</v>
      </c>
      <c r="S345">
        <f t="shared" si="52"/>
        <v>2023</v>
      </c>
      <c r="T345">
        <f t="shared" si="53"/>
        <v>11</v>
      </c>
      <c r="U345">
        <f t="shared" si="54"/>
        <v>11</v>
      </c>
      <c r="V345" t="str">
        <f t="shared" si="55"/>
        <v>202311</v>
      </c>
      <c r="W345" t="str">
        <f t="shared" si="56"/>
        <v>Feb-24</v>
      </c>
      <c r="X345" s="3">
        <f t="shared" si="57"/>
        <v>-4172.07</v>
      </c>
      <c r="Y345" t="str">
        <f t="shared" si="58"/>
        <v/>
      </c>
      <c r="Z345">
        <f t="shared" si="59"/>
        <v>-4172.07</v>
      </c>
    </row>
    <row r="346" spans="1:26" x14ac:dyDescent="0.25">
      <c r="A346" s="1">
        <v>45350</v>
      </c>
      <c r="B346" t="s">
        <v>521</v>
      </c>
      <c r="C346" t="s">
        <v>17</v>
      </c>
      <c r="D346" t="s">
        <v>22</v>
      </c>
      <c r="E346">
        <v>15</v>
      </c>
      <c r="F346">
        <v>0</v>
      </c>
      <c r="G346">
        <v>277.45</v>
      </c>
      <c r="H346">
        <v>4161.75</v>
      </c>
      <c r="I346" t="s">
        <v>526</v>
      </c>
      <c r="J346">
        <v>0</v>
      </c>
      <c r="K346">
        <v>2.1</v>
      </c>
      <c r="L346">
        <v>0.86</v>
      </c>
      <c r="M346">
        <v>0</v>
      </c>
      <c r="N346">
        <v>20</v>
      </c>
      <c r="O346">
        <v>3.98</v>
      </c>
      <c r="P346">
        <v>26.94</v>
      </c>
      <c r="Q346">
        <f t="shared" si="50"/>
        <v>2024</v>
      </c>
      <c r="R346">
        <f t="shared" si="51"/>
        <v>2</v>
      </c>
      <c r="S346">
        <f t="shared" si="52"/>
        <v>2023</v>
      </c>
      <c r="T346">
        <f t="shared" si="53"/>
        <v>11</v>
      </c>
      <c r="U346">
        <f t="shared" si="54"/>
        <v>11</v>
      </c>
      <c r="V346" t="str">
        <f t="shared" si="55"/>
        <v>202311</v>
      </c>
      <c r="W346" t="str">
        <f t="shared" si="56"/>
        <v>Feb-24</v>
      </c>
      <c r="X346" s="3">
        <f t="shared" si="57"/>
        <v>-4188.6899999999996</v>
      </c>
      <c r="Y346" t="str">
        <f t="shared" si="58"/>
        <v/>
      </c>
      <c r="Z346">
        <f t="shared" si="59"/>
        <v>-4188.6899999999996</v>
      </c>
    </row>
    <row r="347" spans="1:26" x14ac:dyDescent="0.25">
      <c r="A347" s="1">
        <v>45350</v>
      </c>
      <c r="B347" t="s">
        <v>521</v>
      </c>
      <c r="C347" t="s">
        <v>17</v>
      </c>
      <c r="D347" t="s">
        <v>22</v>
      </c>
      <c r="E347">
        <v>15</v>
      </c>
      <c r="F347">
        <v>0</v>
      </c>
      <c r="G347">
        <v>278.45</v>
      </c>
      <c r="H347">
        <v>4176.75</v>
      </c>
      <c r="I347" t="s">
        <v>527</v>
      </c>
      <c r="J347">
        <v>0</v>
      </c>
      <c r="K347">
        <v>2.11</v>
      </c>
      <c r="L347">
        <v>0</v>
      </c>
      <c r="M347">
        <v>0</v>
      </c>
      <c r="N347">
        <v>20</v>
      </c>
      <c r="O347">
        <v>3.98</v>
      </c>
      <c r="P347">
        <v>26.09</v>
      </c>
      <c r="Q347">
        <f t="shared" si="50"/>
        <v>2024</v>
      </c>
      <c r="R347">
        <f t="shared" si="51"/>
        <v>2</v>
      </c>
      <c r="S347">
        <f t="shared" si="52"/>
        <v>2023</v>
      </c>
      <c r="T347">
        <f t="shared" si="53"/>
        <v>11</v>
      </c>
      <c r="U347">
        <f t="shared" si="54"/>
        <v>11</v>
      </c>
      <c r="V347" t="str">
        <f t="shared" si="55"/>
        <v>202311</v>
      </c>
      <c r="W347" t="str">
        <f t="shared" si="56"/>
        <v>Feb-24</v>
      </c>
      <c r="X347" s="3">
        <f t="shared" si="57"/>
        <v>-4202.84</v>
      </c>
      <c r="Y347" t="str">
        <f t="shared" si="58"/>
        <v/>
      </c>
      <c r="Z347">
        <f t="shared" si="59"/>
        <v>-4202.84</v>
      </c>
    </row>
    <row r="348" spans="1:26" x14ac:dyDescent="0.25">
      <c r="A348" s="1">
        <v>45350</v>
      </c>
      <c r="B348" t="s">
        <v>521</v>
      </c>
      <c r="C348" t="s">
        <v>17</v>
      </c>
      <c r="D348" t="s">
        <v>22</v>
      </c>
      <c r="E348">
        <v>15</v>
      </c>
      <c r="F348">
        <v>0</v>
      </c>
      <c r="G348">
        <v>280.7</v>
      </c>
      <c r="H348">
        <v>4210.5</v>
      </c>
      <c r="I348" t="s">
        <v>528</v>
      </c>
      <c r="J348">
        <v>0</v>
      </c>
      <c r="K348">
        <v>2.13</v>
      </c>
      <c r="L348">
        <v>0</v>
      </c>
      <c r="M348">
        <v>0</v>
      </c>
      <c r="N348">
        <v>20</v>
      </c>
      <c r="O348">
        <v>3.98</v>
      </c>
      <c r="P348">
        <v>26.11</v>
      </c>
      <c r="Q348">
        <f t="shared" si="50"/>
        <v>2024</v>
      </c>
      <c r="R348">
        <f t="shared" si="51"/>
        <v>2</v>
      </c>
      <c r="S348">
        <f t="shared" si="52"/>
        <v>2023</v>
      </c>
      <c r="T348">
        <f t="shared" si="53"/>
        <v>11</v>
      </c>
      <c r="U348">
        <f t="shared" si="54"/>
        <v>11</v>
      </c>
      <c r="V348" t="str">
        <f t="shared" si="55"/>
        <v>202311</v>
      </c>
      <c r="W348" t="str">
        <f t="shared" si="56"/>
        <v>Feb-24</v>
      </c>
      <c r="X348" s="3">
        <f t="shared" si="57"/>
        <v>-4236.6099999999997</v>
      </c>
      <c r="Y348" t="str">
        <f t="shared" si="58"/>
        <v/>
      </c>
      <c r="Z348">
        <f t="shared" si="59"/>
        <v>-4236.6099999999997</v>
      </c>
    </row>
    <row r="349" spans="1:26" x14ac:dyDescent="0.25">
      <c r="A349" s="1">
        <v>45350</v>
      </c>
      <c r="B349" t="s">
        <v>521</v>
      </c>
      <c r="C349" t="s">
        <v>17</v>
      </c>
      <c r="D349" t="s">
        <v>22</v>
      </c>
      <c r="E349">
        <v>15</v>
      </c>
      <c r="F349">
        <v>0</v>
      </c>
      <c r="G349">
        <v>276.05</v>
      </c>
      <c r="H349">
        <v>4140.75</v>
      </c>
      <c r="I349" t="s">
        <v>529</v>
      </c>
      <c r="J349">
        <v>0</v>
      </c>
      <c r="K349">
        <v>2.09</v>
      </c>
      <c r="L349">
        <v>0</v>
      </c>
      <c r="M349">
        <v>0</v>
      </c>
      <c r="N349">
        <v>20</v>
      </c>
      <c r="O349">
        <v>3.98</v>
      </c>
      <c r="P349">
        <v>26.07</v>
      </c>
      <c r="Q349">
        <f t="shared" si="50"/>
        <v>2024</v>
      </c>
      <c r="R349">
        <f t="shared" si="51"/>
        <v>2</v>
      </c>
      <c r="S349">
        <f t="shared" si="52"/>
        <v>2023</v>
      </c>
      <c r="T349">
        <f t="shared" si="53"/>
        <v>11</v>
      </c>
      <c r="U349">
        <f t="shared" si="54"/>
        <v>11</v>
      </c>
      <c r="V349" t="str">
        <f t="shared" si="55"/>
        <v>202311</v>
      </c>
      <c r="W349" t="str">
        <f t="shared" si="56"/>
        <v>Feb-24</v>
      </c>
      <c r="X349" s="3">
        <f t="shared" si="57"/>
        <v>-4166.82</v>
      </c>
      <c r="Y349" t="str">
        <f t="shared" si="58"/>
        <v/>
      </c>
      <c r="Z349">
        <f t="shared" si="59"/>
        <v>-4166.82</v>
      </c>
    </row>
    <row r="350" spans="1:26" x14ac:dyDescent="0.25">
      <c r="A350" s="1">
        <v>45351</v>
      </c>
      <c r="B350" t="s">
        <v>497</v>
      </c>
      <c r="C350" t="s">
        <v>17</v>
      </c>
      <c r="D350" t="s">
        <v>18</v>
      </c>
      <c r="E350">
        <v>300</v>
      </c>
      <c r="F350">
        <v>0</v>
      </c>
      <c r="G350">
        <v>5.65</v>
      </c>
      <c r="H350">
        <v>1695</v>
      </c>
      <c r="I350" t="s">
        <v>498</v>
      </c>
      <c r="J350">
        <v>1.06</v>
      </c>
      <c r="K350">
        <v>0.86</v>
      </c>
      <c r="L350">
        <v>0</v>
      </c>
      <c r="M350">
        <v>0</v>
      </c>
      <c r="N350">
        <v>400</v>
      </c>
      <c r="O350">
        <v>72.16</v>
      </c>
      <c r="P350">
        <v>474.08</v>
      </c>
      <c r="Q350">
        <f t="shared" si="50"/>
        <v>2024</v>
      </c>
      <c r="R350">
        <f t="shared" si="51"/>
        <v>2</v>
      </c>
      <c r="S350">
        <f t="shared" si="52"/>
        <v>2023</v>
      </c>
      <c r="T350">
        <f t="shared" si="53"/>
        <v>11</v>
      </c>
      <c r="U350">
        <f t="shared" si="54"/>
        <v>11</v>
      </c>
      <c r="V350" t="str">
        <f t="shared" si="55"/>
        <v>202311</v>
      </c>
      <c r="W350" t="str">
        <f t="shared" si="56"/>
        <v>Feb-24</v>
      </c>
      <c r="X350" s="3">
        <f t="shared" si="57"/>
        <v>1220.92</v>
      </c>
      <c r="Y350">
        <f t="shared" si="58"/>
        <v>1220.92</v>
      </c>
      <c r="Z350" t="str">
        <f t="shared" si="59"/>
        <v/>
      </c>
    </row>
    <row r="351" spans="1:26" x14ac:dyDescent="0.25">
      <c r="A351" s="1">
        <v>45351</v>
      </c>
      <c r="B351" t="s">
        <v>497</v>
      </c>
      <c r="C351" t="s">
        <v>17</v>
      </c>
      <c r="D351" t="s">
        <v>18</v>
      </c>
      <c r="E351">
        <v>900</v>
      </c>
      <c r="F351">
        <v>0</v>
      </c>
      <c r="G351">
        <v>5.25</v>
      </c>
      <c r="H351">
        <v>4725</v>
      </c>
      <c r="I351" t="s">
        <v>499</v>
      </c>
      <c r="J351">
        <v>2.95</v>
      </c>
      <c r="K351">
        <v>2.38</v>
      </c>
      <c r="L351">
        <v>0</v>
      </c>
      <c r="M351">
        <v>0</v>
      </c>
      <c r="N351">
        <v>1200</v>
      </c>
      <c r="O351">
        <v>216.44</v>
      </c>
      <c r="P351">
        <v>1421.77</v>
      </c>
      <c r="Q351">
        <f t="shared" si="50"/>
        <v>2024</v>
      </c>
      <c r="R351">
        <f t="shared" si="51"/>
        <v>2</v>
      </c>
      <c r="S351">
        <f t="shared" si="52"/>
        <v>2023</v>
      </c>
      <c r="T351">
        <f t="shared" si="53"/>
        <v>11</v>
      </c>
      <c r="U351">
        <f t="shared" si="54"/>
        <v>11</v>
      </c>
      <c r="V351" t="str">
        <f t="shared" si="55"/>
        <v>202311</v>
      </c>
      <c r="W351" t="str">
        <f t="shared" si="56"/>
        <v>Feb-24</v>
      </c>
      <c r="X351" s="3">
        <f t="shared" si="57"/>
        <v>3303.23</v>
      </c>
      <c r="Y351">
        <f t="shared" si="58"/>
        <v>3303.23</v>
      </c>
      <c r="Z351" t="str">
        <f t="shared" si="59"/>
        <v/>
      </c>
    </row>
    <row r="352" spans="1:26" x14ac:dyDescent="0.25">
      <c r="A352" s="1">
        <v>45351</v>
      </c>
      <c r="B352" t="s">
        <v>497</v>
      </c>
      <c r="C352" t="s">
        <v>17</v>
      </c>
      <c r="D352" t="s">
        <v>18</v>
      </c>
      <c r="E352">
        <v>900</v>
      </c>
      <c r="F352">
        <v>0</v>
      </c>
      <c r="G352">
        <v>5.25</v>
      </c>
      <c r="H352">
        <v>4725</v>
      </c>
      <c r="I352" t="s">
        <v>500</v>
      </c>
      <c r="J352">
        <v>2.95</v>
      </c>
      <c r="K352">
        <v>2.39</v>
      </c>
      <c r="L352">
        <v>0</v>
      </c>
      <c r="M352">
        <v>0</v>
      </c>
      <c r="N352">
        <v>1200</v>
      </c>
      <c r="O352">
        <v>216.44</v>
      </c>
      <c r="P352">
        <v>1421.78</v>
      </c>
      <c r="Q352">
        <f t="shared" si="50"/>
        <v>2024</v>
      </c>
      <c r="R352">
        <f t="shared" si="51"/>
        <v>2</v>
      </c>
      <c r="S352">
        <f t="shared" si="52"/>
        <v>2023</v>
      </c>
      <c r="T352">
        <f t="shared" si="53"/>
        <v>11</v>
      </c>
      <c r="U352">
        <f t="shared" si="54"/>
        <v>11</v>
      </c>
      <c r="V352" t="str">
        <f t="shared" si="55"/>
        <v>202311</v>
      </c>
      <c r="W352" t="str">
        <f t="shared" si="56"/>
        <v>Feb-24</v>
      </c>
      <c r="X352" s="3">
        <f t="shared" si="57"/>
        <v>3303.2200000000003</v>
      </c>
      <c r="Y352">
        <f t="shared" si="58"/>
        <v>3303.2200000000003</v>
      </c>
      <c r="Z352" t="str">
        <f t="shared" si="59"/>
        <v/>
      </c>
    </row>
    <row r="353" spans="1:26" x14ac:dyDescent="0.25">
      <c r="A353" s="1">
        <v>45351</v>
      </c>
      <c r="B353" t="s">
        <v>497</v>
      </c>
      <c r="C353" t="s">
        <v>17</v>
      </c>
      <c r="D353" t="s">
        <v>18</v>
      </c>
      <c r="E353">
        <v>900</v>
      </c>
      <c r="F353">
        <v>0</v>
      </c>
      <c r="G353">
        <v>4.8499999999999996</v>
      </c>
      <c r="H353">
        <v>4363.5</v>
      </c>
      <c r="I353" t="s">
        <v>501</v>
      </c>
      <c r="J353">
        <v>2.73</v>
      </c>
      <c r="K353">
        <v>2.21</v>
      </c>
      <c r="L353">
        <v>0</v>
      </c>
      <c r="M353">
        <v>0</v>
      </c>
      <c r="N353">
        <v>1200</v>
      </c>
      <c r="O353">
        <v>216.4</v>
      </c>
      <c r="P353">
        <v>1421.34</v>
      </c>
      <c r="Q353">
        <f t="shared" si="50"/>
        <v>2024</v>
      </c>
      <c r="R353">
        <f t="shared" si="51"/>
        <v>2</v>
      </c>
      <c r="S353">
        <f t="shared" si="52"/>
        <v>2023</v>
      </c>
      <c r="T353">
        <f t="shared" si="53"/>
        <v>11</v>
      </c>
      <c r="U353">
        <f t="shared" si="54"/>
        <v>11</v>
      </c>
      <c r="V353" t="str">
        <f t="shared" si="55"/>
        <v>202311</v>
      </c>
      <c r="W353" t="str">
        <f t="shared" si="56"/>
        <v>Feb-24</v>
      </c>
      <c r="X353" s="3">
        <f t="shared" si="57"/>
        <v>2942.16</v>
      </c>
      <c r="Y353">
        <f t="shared" si="58"/>
        <v>2942.16</v>
      </c>
      <c r="Z353" t="str">
        <f t="shared" si="59"/>
        <v/>
      </c>
    </row>
    <row r="354" spans="1:26" x14ac:dyDescent="0.25">
      <c r="A354" s="1">
        <v>45351</v>
      </c>
      <c r="B354" t="s">
        <v>497</v>
      </c>
      <c r="C354" t="s">
        <v>17</v>
      </c>
      <c r="D354" t="s">
        <v>18</v>
      </c>
      <c r="E354">
        <v>900</v>
      </c>
      <c r="F354">
        <v>0</v>
      </c>
      <c r="G354">
        <v>4.9000000000000004</v>
      </c>
      <c r="H354">
        <v>4410</v>
      </c>
      <c r="I354" t="s">
        <v>502</v>
      </c>
      <c r="J354">
        <v>2.75</v>
      </c>
      <c r="K354">
        <v>2.23</v>
      </c>
      <c r="L354">
        <v>0</v>
      </c>
      <c r="M354">
        <v>0</v>
      </c>
      <c r="N354">
        <v>1200</v>
      </c>
      <c r="O354">
        <v>216.4</v>
      </c>
      <c r="P354">
        <v>1421.38</v>
      </c>
      <c r="Q354">
        <f t="shared" si="50"/>
        <v>2024</v>
      </c>
      <c r="R354">
        <f t="shared" si="51"/>
        <v>2</v>
      </c>
      <c r="S354">
        <f t="shared" si="52"/>
        <v>2023</v>
      </c>
      <c r="T354">
        <f t="shared" si="53"/>
        <v>11</v>
      </c>
      <c r="U354">
        <f t="shared" si="54"/>
        <v>11</v>
      </c>
      <c r="V354" t="str">
        <f t="shared" si="55"/>
        <v>202311</v>
      </c>
      <c r="W354" t="str">
        <f t="shared" si="56"/>
        <v>Feb-24</v>
      </c>
      <c r="X354" s="3">
        <f t="shared" si="57"/>
        <v>2988.62</v>
      </c>
      <c r="Y354">
        <f t="shared" si="58"/>
        <v>2988.62</v>
      </c>
      <c r="Z354" t="str">
        <f t="shared" si="59"/>
        <v/>
      </c>
    </row>
    <row r="355" spans="1:26" x14ac:dyDescent="0.25">
      <c r="A355" s="1">
        <v>45351</v>
      </c>
      <c r="B355" t="s">
        <v>497</v>
      </c>
      <c r="C355" t="s">
        <v>17</v>
      </c>
      <c r="D355" t="s">
        <v>18</v>
      </c>
      <c r="E355">
        <v>900</v>
      </c>
      <c r="F355">
        <v>0</v>
      </c>
      <c r="G355">
        <v>4.8499999999999996</v>
      </c>
      <c r="H355">
        <v>4365</v>
      </c>
      <c r="I355" t="s">
        <v>503</v>
      </c>
      <c r="J355">
        <v>2.74</v>
      </c>
      <c r="K355">
        <v>2.2000000000000002</v>
      </c>
      <c r="L355">
        <v>0</v>
      </c>
      <c r="M355">
        <v>0</v>
      </c>
      <c r="N355">
        <v>1200</v>
      </c>
      <c r="O355">
        <v>216.4</v>
      </c>
      <c r="P355">
        <v>1421.34</v>
      </c>
      <c r="Q355">
        <f t="shared" si="50"/>
        <v>2024</v>
      </c>
      <c r="R355">
        <f t="shared" si="51"/>
        <v>2</v>
      </c>
      <c r="S355">
        <f t="shared" si="52"/>
        <v>2023</v>
      </c>
      <c r="T355">
        <f t="shared" si="53"/>
        <v>11</v>
      </c>
      <c r="U355">
        <f t="shared" si="54"/>
        <v>11</v>
      </c>
      <c r="V355" t="str">
        <f t="shared" si="55"/>
        <v>202311</v>
      </c>
      <c r="W355" t="str">
        <f t="shared" si="56"/>
        <v>Feb-24</v>
      </c>
      <c r="X355" s="3">
        <f t="shared" si="57"/>
        <v>2943.66</v>
      </c>
      <c r="Y355">
        <f t="shared" si="58"/>
        <v>2943.66</v>
      </c>
      <c r="Z355" t="str">
        <f t="shared" si="59"/>
        <v/>
      </c>
    </row>
    <row r="356" spans="1:26" x14ac:dyDescent="0.25">
      <c r="A356" s="1">
        <v>45351</v>
      </c>
      <c r="B356" t="s">
        <v>497</v>
      </c>
      <c r="C356" t="s">
        <v>17</v>
      </c>
      <c r="D356" t="s">
        <v>18</v>
      </c>
      <c r="E356">
        <v>900</v>
      </c>
      <c r="F356">
        <v>0</v>
      </c>
      <c r="G356">
        <v>6.95</v>
      </c>
      <c r="H356">
        <v>6255</v>
      </c>
      <c r="I356" t="s">
        <v>504</v>
      </c>
      <c r="J356">
        <v>3.84</v>
      </c>
      <c r="K356">
        <v>3.17</v>
      </c>
      <c r="L356">
        <v>0</v>
      </c>
      <c r="M356">
        <v>0</v>
      </c>
      <c r="N356">
        <v>1200</v>
      </c>
      <c r="O356">
        <v>216.54</v>
      </c>
      <c r="P356">
        <v>1423.55</v>
      </c>
      <c r="Q356">
        <f t="shared" si="50"/>
        <v>2024</v>
      </c>
      <c r="R356">
        <f t="shared" si="51"/>
        <v>2</v>
      </c>
      <c r="S356">
        <f t="shared" si="52"/>
        <v>2023</v>
      </c>
      <c r="T356">
        <f t="shared" si="53"/>
        <v>11</v>
      </c>
      <c r="U356">
        <f t="shared" si="54"/>
        <v>11</v>
      </c>
      <c r="V356" t="str">
        <f t="shared" si="55"/>
        <v>202311</v>
      </c>
      <c r="W356" t="str">
        <f t="shared" si="56"/>
        <v>Feb-24</v>
      </c>
      <c r="X356" s="3">
        <f t="shared" si="57"/>
        <v>4831.45</v>
      </c>
      <c r="Y356">
        <f t="shared" si="58"/>
        <v>4831.45</v>
      </c>
      <c r="Z356" t="str">
        <f t="shared" si="59"/>
        <v/>
      </c>
    </row>
    <row r="357" spans="1:26" x14ac:dyDescent="0.25">
      <c r="A357" s="1">
        <v>45351</v>
      </c>
      <c r="B357" t="s">
        <v>497</v>
      </c>
      <c r="C357" t="s">
        <v>17</v>
      </c>
      <c r="D357" t="s">
        <v>22</v>
      </c>
      <c r="E357">
        <v>900</v>
      </c>
      <c r="F357">
        <v>0</v>
      </c>
      <c r="G357">
        <v>8.9499999999999993</v>
      </c>
      <c r="H357">
        <v>8055</v>
      </c>
      <c r="I357" t="s">
        <v>505</v>
      </c>
      <c r="J357">
        <v>0</v>
      </c>
      <c r="K357">
        <v>4.07</v>
      </c>
      <c r="L357">
        <v>0</v>
      </c>
      <c r="M357">
        <v>0</v>
      </c>
      <c r="N357">
        <v>1200</v>
      </c>
      <c r="O357">
        <v>216.74</v>
      </c>
      <c r="P357">
        <v>1420.81</v>
      </c>
      <c r="Q357">
        <f t="shared" si="50"/>
        <v>2024</v>
      </c>
      <c r="R357">
        <f t="shared" si="51"/>
        <v>2</v>
      </c>
      <c r="S357">
        <f t="shared" si="52"/>
        <v>2023</v>
      </c>
      <c r="T357">
        <f t="shared" si="53"/>
        <v>11</v>
      </c>
      <c r="U357">
        <f t="shared" si="54"/>
        <v>11</v>
      </c>
      <c r="V357" t="str">
        <f t="shared" si="55"/>
        <v>202311</v>
      </c>
      <c r="W357" t="str">
        <f t="shared" si="56"/>
        <v>Feb-24</v>
      </c>
      <c r="X357" s="3">
        <f t="shared" si="57"/>
        <v>-9475.81</v>
      </c>
      <c r="Y357" t="str">
        <f t="shared" si="58"/>
        <v/>
      </c>
      <c r="Z357">
        <f t="shared" si="59"/>
        <v>-9475.81</v>
      </c>
    </row>
    <row r="358" spans="1:26" x14ac:dyDescent="0.25">
      <c r="A358" s="1">
        <v>45351</v>
      </c>
      <c r="B358" t="s">
        <v>497</v>
      </c>
      <c r="C358" t="s">
        <v>17</v>
      </c>
      <c r="D358" t="s">
        <v>22</v>
      </c>
      <c r="E358">
        <v>900</v>
      </c>
      <c r="F358">
        <v>0</v>
      </c>
      <c r="G358">
        <v>9.6999999999999993</v>
      </c>
      <c r="H358">
        <v>8730</v>
      </c>
      <c r="I358" t="s">
        <v>506</v>
      </c>
      <c r="J358">
        <v>0</v>
      </c>
      <c r="K358">
        <v>4.41</v>
      </c>
      <c r="L358">
        <v>0</v>
      </c>
      <c r="M358">
        <v>0</v>
      </c>
      <c r="N358">
        <v>1200</v>
      </c>
      <c r="O358">
        <v>216.8</v>
      </c>
      <c r="P358">
        <v>1421.21</v>
      </c>
      <c r="Q358">
        <f t="shared" si="50"/>
        <v>2024</v>
      </c>
      <c r="R358">
        <f t="shared" si="51"/>
        <v>2</v>
      </c>
      <c r="S358">
        <f t="shared" si="52"/>
        <v>2023</v>
      </c>
      <c r="T358">
        <f t="shared" si="53"/>
        <v>11</v>
      </c>
      <c r="U358">
        <f t="shared" si="54"/>
        <v>11</v>
      </c>
      <c r="V358" t="str">
        <f t="shared" si="55"/>
        <v>202311</v>
      </c>
      <c r="W358" t="str">
        <f t="shared" si="56"/>
        <v>Feb-24</v>
      </c>
      <c r="X358" s="3">
        <f t="shared" si="57"/>
        <v>-10151.209999999999</v>
      </c>
      <c r="Y358" t="str">
        <f t="shared" si="58"/>
        <v/>
      </c>
      <c r="Z358">
        <f t="shared" si="59"/>
        <v>-10151.209999999999</v>
      </c>
    </row>
    <row r="359" spans="1:26" x14ac:dyDescent="0.25">
      <c r="A359" s="1">
        <v>45351</v>
      </c>
      <c r="B359" t="s">
        <v>497</v>
      </c>
      <c r="C359" t="s">
        <v>17</v>
      </c>
      <c r="D359" t="s">
        <v>22</v>
      </c>
      <c r="E359">
        <v>900</v>
      </c>
      <c r="F359">
        <v>0</v>
      </c>
      <c r="G359">
        <v>9.1</v>
      </c>
      <c r="H359">
        <v>8190</v>
      </c>
      <c r="I359" t="s">
        <v>507</v>
      </c>
      <c r="J359">
        <v>0</v>
      </c>
      <c r="K359">
        <v>4.13</v>
      </c>
      <c r="L359">
        <v>2</v>
      </c>
      <c r="M359">
        <v>0.01</v>
      </c>
      <c r="N359">
        <v>1200</v>
      </c>
      <c r="O359">
        <v>216.76</v>
      </c>
      <c r="P359">
        <v>1422.9</v>
      </c>
      <c r="Q359">
        <f t="shared" si="50"/>
        <v>2024</v>
      </c>
      <c r="R359">
        <f t="shared" si="51"/>
        <v>2</v>
      </c>
      <c r="S359">
        <f t="shared" si="52"/>
        <v>2023</v>
      </c>
      <c r="T359">
        <f t="shared" si="53"/>
        <v>11</v>
      </c>
      <c r="U359">
        <f t="shared" si="54"/>
        <v>11</v>
      </c>
      <c r="V359" t="str">
        <f t="shared" si="55"/>
        <v>202311</v>
      </c>
      <c r="W359" t="str">
        <f t="shared" si="56"/>
        <v>Feb-24</v>
      </c>
      <c r="X359" s="3">
        <f t="shared" si="57"/>
        <v>-9612.9</v>
      </c>
      <c r="Y359" t="str">
        <f t="shared" si="58"/>
        <v/>
      </c>
      <c r="Z359">
        <f t="shared" si="59"/>
        <v>-9612.9</v>
      </c>
    </row>
    <row r="360" spans="1:26" x14ac:dyDescent="0.25">
      <c r="A360" s="1">
        <v>45351</v>
      </c>
      <c r="B360" t="s">
        <v>497</v>
      </c>
      <c r="C360" t="s">
        <v>17</v>
      </c>
      <c r="D360" t="s">
        <v>22</v>
      </c>
      <c r="E360">
        <v>900</v>
      </c>
      <c r="F360">
        <v>0</v>
      </c>
      <c r="G360">
        <v>18.2</v>
      </c>
      <c r="H360">
        <v>16379.25</v>
      </c>
      <c r="I360" t="s">
        <v>508</v>
      </c>
      <c r="J360">
        <v>0</v>
      </c>
      <c r="K360">
        <v>8.2799999999999994</v>
      </c>
      <c r="L360">
        <v>0</v>
      </c>
      <c r="M360">
        <v>0.01</v>
      </c>
      <c r="N360">
        <v>1200</v>
      </c>
      <c r="O360">
        <v>217.5</v>
      </c>
      <c r="P360">
        <v>1425.79</v>
      </c>
      <c r="Q360">
        <f t="shared" si="50"/>
        <v>2024</v>
      </c>
      <c r="R360">
        <f t="shared" si="51"/>
        <v>2</v>
      </c>
      <c r="S360">
        <f t="shared" si="52"/>
        <v>2023</v>
      </c>
      <c r="T360">
        <f t="shared" si="53"/>
        <v>11</v>
      </c>
      <c r="U360">
        <f t="shared" si="54"/>
        <v>11</v>
      </c>
      <c r="V360" t="str">
        <f t="shared" si="55"/>
        <v>202311</v>
      </c>
      <c r="W360" t="str">
        <f t="shared" si="56"/>
        <v>Feb-24</v>
      </c>
      <c r="X360" s="3">
        <f t="shared" si="57"/>
        <v>-17805.04</v>
      </c>
      <c r="Y360" t="str">
        <f t="shared" si="58"/>
        <v/>
      </c>
      <c r="Z360">
        <f t="shared" si="59"/>
        <v>-17805.04</v>
      </c>
    </row>
    <row r="361" spans="1:26" x14ac:dyDescent="0.25">
      <c r="A361" s="1">
        <v>45351</v>
      </c>
      <c r="B361" t="s">
        <v>497</v>
      </c>
      <c r="C361" t="s">
        <v>17</v>
      </c>
      <c r="D361" t="s">
        <v>22</v>
      </c>
      <c r="E361">
        <v>900</v>
      </c>
      <c r="F361">
        <v>0</v>
      </c>
      <c r="G361">
        <v>25.7</v>
      </c>
      <c r="H361">
        <v>23130</v>
      </c>
      <c r="I361" t="s">
        <v>509</v>
      </c>
      <c r="J361">
        <v>0</v>
      </c>
      <c r="K361">
        <v>11.67</v>
      </c>
      <c r="L361">
        <v>0</v>
      </c>
      <c r="M361">
        <v>0.01</v>
      </c>
      <c r="N361">
        <v>1200</v>
      </c>
      <c r="O361">
        <v>218.12</v>
      </c>
      <c r="P361">
        <v>1429.8</v>
      </c>
      <c r="Q361">
        <f t="shared" si="50"/>
        <v>2024</v>
      </c>
      <c r="R361">
        <f t="shared" si="51"/>
        <v>2</v>
      </c>
      <c r="S361">
        <f t="shared" si="52"/>
        <v>2023</v>
      </c>
      <c r="T361">
        <f t="shared" si="53"/>
        <v>11</v>
      </c>
      <c r="U361">
        <f t="shared" si="54"/>
        <v>11</v>
      </c>
      <c r="V361" t="str">
        <f t="shared" si="55"/>
        <v>202311</v>
      </c>
      <c r="W361" t="str">
        <f t="shared" si="56"/>
        <v>Feb-24</v>
      </c>
      <c r="X361" s="3">
        <f t="shared" si="57"/>
        <v>-24559.8</v>
      </c>
      <c r="Y361" t="str">
        <f t="shared" si="58"/>
        <v/>
      </c>
      <c r="Z361">
        <f t="shared" si="59"/>
        <v>-24559.8</v>
      </c>
    </row>
    <row r="362" spans="1:26" x14ac:dyDescent="0.25">
      <c r="A362" s="1">
        <v>45352</v>
      </c>
      <c r="B362" t="s">
        <v>487</v>
      </c>
      <c r="C362" t="s">
        <v>17</v>
      </c>
      <c r="D362" t="s">
        <v>18</v>
      </c>
      <c r="E362">
        <v>160</v>
      </c>
      <c r="F362">
        <v>0</v>
      </c>
      <c r="G362">
        <v>95.4</v>
      </c>
      <c r="H362">
        <v>15264</v>
      </c>
      <c r="I362" t="s">
        <v>488</v>
      </c>
      <c r="J362">
        <v>9.4700000000000006</v>
      </c>
      <c r="K362">
        <v>7.71</v>
      </c>
      <c r="L362">
        <v>0</v>
      </c>
      <c r="M362">
        <v>0.02</v>
      </c>
      <c r="N362">
        <v>80</v>
      </c>
      <c r="O362">
        <v>15.8</v>
      </c>
      <c r="P362">
        <v>113</v>
      </c>
      <c r="Q362">
        <f t="shared" si="50"/>
        <v>2024</v>
      </c>
      <c r="R362">
        <f t="shared" si="51"/>
        <v>3</v>
      </c>
      <c r="S362">
        <f t="shared" si="52"/>
        <v>2023</v>
      </c>
      <c r="T362">
        <f t="shared" si="53"/>
        <v>12</v>
      </c>
      <c r="U362">
        <f t="shared" si="54"/>
        <v>12</v>
      </c>
      <c r="V362" t="str">
        <f t="shared" si="55"/>
        <v>202312</v>
      </c>
      <c r="W362" t="str">
        <f t="shared" si="56"/>
        <v>Mar-24</v>
      </c>
      <c r="X362" s="3">
        <f t="shared" si="57"/>
        <v>15151</v>
      </c>
      <c r="Y362">
        <f t="shared" si="58"/>
        <v>15151</v>
      </c>
      <c r="Z362" t="str">
        <f t="shared" si="59"/>
        <v/>
      </c>
    </row>
    <row r="363" spans="1:26" x14ac:dyDescent="0.25">
      <c r="A363" s="1">
        <v>45352</v>
      </c>
      <c r="B363" t="s">
        <v>487</v>
      </c>
      <c r="C363" t="s">
        <v>17</v>
      </c>
      <c r="D363" t="s">
        <v>22</v>
      </c>
      <c r="E363">
        <v>160</v>
      </c>
      <c r="F363">
        <v>0</v>
      </c>
      <c r="G363">
        <v>89.3</v>
      </c>
      <c r="H363">
        <v>14288</v>
      </c>
      <c r="I363" t="s">
        <v>489</v>
      </c>
      <c r="J363">
        <v>0</v>
      </c>
      <c r="K363">
        <v>7.21</v>
      </c>
      <c r="L363">
        <v>0.43</v>
      </c>
      <c r="M363">
        <v>0.01</v>
      </c>
      <c r="N363">
        <v>80</v>
      </c>
      <c r="O363">
        <v>15.7</v>
      </c>
      <c r="P363">
        <v>103.35</v>
      </c>
      <c r="Q363">
        <f t="shared" si="50"/>
        <v>2024</v>
      </c>
      <c r="R363">
        <f t="shared" si="51"/>
        <v>3</v>
      </c>
      <c r="S363">
        <f t="shared" si="52"/>
        <v>2023</v>
      </c>
      <c r="T363">
        <f t="shared" si="53"/>
        <v>12</v>
      </c>
      <c r="U363">
        <f t="shared" si="54"/>
        <v>12</v>
      </c>
      <c r="V363" t="str">
        <f t="shared" si="55"/>
        <v>202312</v>
      </c>
      <c r="W363" t="str">
        <f t="shared" si="56"/>
        <v>Mar-24</v>
      </c>
      <c r="X363" s="3">
        <f t="shared" si="57"/>
        <v>-14391.35</v>
      </c>
      <c r="Y363" t="str">
        <f t="shared" si="58"/>
        <v/>
      </c>
      <c r="Z363">
        <f t="shared" si="59"/>
        <v>-14391.35</v>
      </c>
    </row>
    <row r="364" spans="1:26" x14ac:dyDescent="0.25">
      <c r="A364" s="1">
        <v>45352</v>
      </c>
      <c r="B364" t="s">
        <v>490</v>
      </c>
      <c r="C364" t="s">
        <v>17</v>
      </c>
      <c r="D364" t="s">
        <v>18</v>
      </c>
      <c r="E364">
        <v>300</v>
      </c>
      <c r="F364">
        <v>0</v>
      </c>
      <c r="G364">
        <v>217.45</v>
      </c>
      <c r="H364">
        <v>65235</v>
      </c>
      <c r="I364" t="s">
        <v>491</v>
      </c>
      <c r="J364">
        <v>40.770000000000003</v>
      </c>
      <c r="K364">
        <v>32.94</v>
      </c>
      <c r="L364">
        <v>0</v>
      </c>
      <c r="M364">
        <v>0.06</v>
      </c>
      <c r="N364">
        <v>120</v>
      </c>
      <c r="O364">
        <v>27.54</v>
      </c>
      <c r="P364">
        <v>221.31</v>
      </c>
      <c r="Q364">
        <f t="shared" si="50"/>
        <v>2024</v>
      </c>
      <c r="R364">
        <f t="shared" si="51"/>
        <v>3</v>
      </c>
      <c r="S364">
        <f t="shared" si="52"/>
        <v>2023</v>
      </c>
      <c r="T364">
        <f t="shared" si="53"/>
        <v>12</v>
      </c>
      <c r="U364">
        <f t="shared" si="54"/>
        <v>12</v>
      </c>
      <c r="V364" t="str">
        <f t="shared" si="55"/>
        <v>202312</v>
      </c>
      <c r="W364" t="str">
        <f t="shared" si="56"/>
        <v>Mar-24</v>
      </c>
      <c r="X364" s="3">
        <f t="shared" si="57"/>
        <v>65013.69</v>
      </c>
      <c r="Y364">
        <f t="shared" si="58"/>
        <v>65013.69</v>
      </c>
      <c r="Z364" t="str">
        <f t="shared" si="59"/>
        <v/>
      </c>
    </row>
    <row r="365" spans="1:26" x14ac:dyDescent="0.25">
      <c r="A365" s="1">
        <v>45352</v>
      </c>
      <c r="B365" t="s">
        <v>490</v>
      </c>
      <c r="C365" t="s">
        <v>17</v>
      </c>
      <c r="D365" t="s">
        <v>22</v>
      </c>
      <c r="E365">
        <v>300</v>
      </c>
      <c r="F365">
        <v>0</v>
      </c>
      <c r="G365">
        <v>185.2</v>
      </c>
      <c r="H365">
        <v>55560</v>
      </c>
      <c r="I365" t="s">
        <v>492</v>
      </c>
      <c r="J365">
        <v>0</v>
      </c>
      <c r="K365">
        <v>28.06</v>
      </c>
      <c r="L365">
        <v>2.17</v>
      </c>
      <c r="M365">
        <v>0.06</v>
      </c>
      <c r="N365">
        <v>120</v>
      </c>
      <c r="O365">
        <v>26.66</v>
      </c>
      <c r="P365">
        <v>176.95</v>
      </c>
      <c r="Q365">
        <f t="shared" si="50"/>
        <v>2024</v>
      </c>
      <c r="R365">
        <f t="shared" si="51"/>
        <v>3</v>
      </c>
      <c r="S365">
        <f t="shared" si="52"/>
        <v>2023</v>
      </c>
      <c r="T365">
        <f t="shared" si="53"/>
        <v>12</v>
      </c>
      <c r="U365">
        <f t="shared" si="54"/>
        <v>12</v>
      </c>
      <c r="V365" t="str">
        <f t="shared" si="55"/>
        <v>202312</v>
      </c>
      <c r="W365" t="str">
        <f t="shared" si="56"/>
        <v>Mar-24</v>
      </c>
      <c r="X365" s="3">
        <f t="shared" si="57"/>
        <v>-55736.95</v>
      </c>
      <c r="Y365" t="str">
        <f t="shared" si="58"/>
        <v/>
      </c>
      <c r="Z365">
        <f t="shared" si="59"/>
        <v>-55736.95</v>
      </c>
    </row>
    <row r="366" spans="1:26" x14ac:dyDescent="0.25">
      <c r="A366" s="1">
        <v>45352</v>
      </c>
      <c r="B366" t="s">
        <v>493</v>
      </c>
      <c r="C366" t="s">
        <v>17</v>
      </c>
      <c r="D366" t="s">
        <v>18</v>
      </c>
      <c r="E366">
        <v>225</v>
      </c>
      <c r="F366">
        <v>0</v>
      </c>
      <c r="G366">
        <v>48.05</v>
      </c>
      <c r="H366">
        <v>10811.25</v>
      </c>
      <c r="I366" t="s">
        <v>494</v>
      </c>
      <c r="J366">
        <v>6.75</v>
      </c>
      <c r="K366">
        <v>5.46</v>
      </c>
      <c r="L366">
        <v>0</v>
      </c>
      <c r="M366">
        <v>0</v>
      </c>
      <c r="N366">
        <v>60</v>
      </c>
      <c r="O366">
        <v>11.76</v>
      </c>
      <c r="P366">
        <v>83.97</v>
      </c>
      <c r="Q366">
        <f t="shared" si="50"/>
        <v>2024</v>
      </c>
      <c r="R366">
        <f t="shared" si="51"/>
        <v>3</v>
      </c>
      <c r="S366">
        <f t="shared" si="52"/>
        <v>2023</v>
      </c>
      <c r="T366">
        <f t="shared" si="53"/>
        <v>12</v>
      </c>
      <c r="U366">
        <f t="shared" si="54"/>
        <v>12</v>
      </c>
      <c r="V366" t="str">
        <f t="shared" si="55"/>
        <v>202312</v>
      </c>
      <c r="W366" t="str">
        <f t="shared" si="56"/>
        <v>Mar-24</v>
      </c>
      <c r="X366" s="3">
        <f t="shared" si="57"/>
        <v>10727.28</v>
      </c>
      <c r="Y366">
        <f t="shared" si="58"/>
        <v>10727.28</v>
      </c>
      <c r="Z366" t="str">
        <f t="shared" si="59"/>
        <v/>
      </c>
    </row>
    <row r="367" spans="1:26" x14ac:dyDescent="0.25">
      <c r="A367" s="1">
        <v>45352</v>
      </c>
      <c r="B367" t="s">
        <v>493</v>
      </c>
      <c r="C367" t="s">
        <v>17</v>
      </c>
      <c r="D367" t="s">
        <v>22</v>
      </c>
      <c r="E367">
        <v>150</v>
      </c>
      <c r="F367">
        <v>0</v>
      </c>
      <c r="G367">
        <v>56.65</v>
      </c>
      <c r="H367">
        <v>8497.5</v>
      </c>
      <c r="I367" t="s">
        <v>495</v>
      </c>
      <c r="J367">
        <v>0</v>
      </c>
      <c r="K367">
        <v>4.29</v>
      </c>
      <c r="L367">
        <v>0.4</v>
      </c>
      <c r="M367">
        <v>0.01</v>
      </c>
      <c r="N367">
        <v>40</v>
      </c>
      <c r="O367">
        <v>7.98</v>
      </c>
      <c r="P367">
        <v>52.68</v>
      </c>
      <c r="Q367">
        <f t="shared" si="50"/>
        <v>2024</v>
      </c>
      <c r="R367">
        <f t="shared" si="51"/>
        <v>3</v>
      </c>
      <c r="S367">
        <f t="shared" si="52"/>
        <v>2023</v>
      </c>
      <c r="T367">
        <f t="shared" si="53"/>
        <v>12</v>
      </c>
      <c r="U367">
        <f t="shared" si="54"/>
        <v>12</v>
      </c>
      <c r="V367" t="str">
        <f t="shared" si="55"/>
        <v>202312</v>
      </c>
      <c r="W367" t="str">
        <f t="shared" si="56"/>
        <v>Mar-24</v>
      </c>
      <c r="X367" s="3">
        <f t="shared" si="57"/>
        <v>-8550.18</v>
      </c>
      <c r="Y367" t="str">
        <f t="shared" si="58"/>
        <v/>
      </c>
      <c r="Z367">
        <f t="shared" si="59"/>
        <v>-8550.18</v>
      </c>
    </row>
    <row r="368" spans="1:26" x14ac:dyDescent="0.25">
      <c r="A368" s="1">
        <v>45352</v>
      </c>
      <c r="B368" t="s">
        <v>493</v>
      </c>
      <c r="C368" t="s">
        <v>17</v>
      </c>
      <c r="D368" t="s">
        <v>22</v>
      </c>
      <c r="E368">
        <v>75</v>
      </c>
      <c r="F368">
        <v>0</v>
      </c>
      <c r="G368">
        <v>64.2</v>
      </c>
      <c r="H368">
        <v>4815</v>
      </c>
      <c r="I368" t="s">
        <v>496</v>
      </c>
      <c r="J368">
        <v>0</v>
      </c>
      <c r="K368">
        <v>2.4300000000000002</v>
      </c>
      <c r="L368">
        <v>0</v>
      </c>
      <c r="M368">
        <v>0</v>
      </c>
      <c r="N368">
        <v>20</v>
      </c>
      <c r="O368">
        <v>4.04</v>
      </c>
      <c r="P368">
        <v>26.47</v>
      </c>
      <c r="Q368">
        <f t="shared" si="50"/>
        <v>2024</v>
      </c>
      <c r="R368">
        <f t="shared" si="51"/>
        <v>3</v>
      </c>
      <c r="S368">
        <f t="shared" si="52"/>
        <v>2023</v>
      </c>
      <c r="T368">
        <f t="shared" si="53"/>
        <v>12</v>
      </c>
      <c r="U368">
        <f t="shared" si="54"/>
        <v>12</v>
      </c>
      <c r="V368" t="str">
        <f t="shared" si="55"/>
        <v>202312</v>
      </c>
      <c r="W368" t="str">
        <f t="shared" si="56"/>
        <v>Mar-24</v>
      </c>
      <c r="X368" s="3">
        <f t="shared" si="57"/>
        <v>-4841.47</v>
      </c>
      <c r="Y368" t="str">
        <f t="shared" si="58"/>
        <v/>
      </c>
      <c r="Z368">
        <f t="shared" si="59"/>
        <v>-4841.47</v>
      </c>
    </row>
    <row r="369" spans="1:26" x14ac:dyDescent="0.25">
      <c r="A369" s="1">
        <v>45355</v>
      </c>
      <c r="B369" t="s">
        <v>484</v>
      </c>
      <c r="C369" t="s">
        <v>17</v>
      </c>
      <c r="D369" t="s">
        <v>18</v>
      </c>
      <c r="E369">
        <v>105</v>
      </c>
      <c r="F369">
        <v>0</v>
      </c>
      <c r="G369">
        <v>327.05</v>
      </c>
      <c r="H369">
        <v>34340.25</v>
      </c>
      <c r="I369" t="s">
        <v>485</v>
      </c>
      <c r="J369">
        <v>21</v>
      </c>
      <c r="K369">
        <v>17.34</v>
      </c>
      <c r="L369">
        <v>0</v>
      </c>
      <c r="M369">
        <v>0.03</v>
      </c>
      <c r="N369">
        <v>140</v>
      </c>
      <c r="O369">
        <v>28.32</v>
      </c>
      <c r="P369">
        <v>206.69</v>
      </c>
      <c r="Q369">
        <f t="shared" si="50"/>
        <v>2024</v>
      </c>
      <c r="R369">
        <f t="shared" si="51"/>
        <v>3</v>
      </c>
      <c r="S369">
        <f t="shared" si="52"/>
        <v>2023</v>
      </c>
      <c r="T369">
        <f t="shared" si="53"/>
        <v>12</v>
      </c>
      <c r="U369">
        <f t="shared" si="54"/>
        <v>12</v>
      </c>
      <c r="V369" t="str">
        <f t="shared" si="55"/>
        <v>202312</v>
      </c>
      <c r="W369" t="str">
        <f t="shared" si="56"/>
        <v>Mar-24</v>
      </c>
      <c r="X369" s="3">
        <f t="shared" si="57"/>
        <v>34133.56</v>
      </c>
      <c r="Y369">
        <f t="shared" si="58"/>
        <v>34133.56</v>
      </c>
      <c r="Z369" t="str">
        <f t="shared" si="59"/>
        <v/>
      </c>
    </row>
    <row r="370" spans="1:26" x14ac:dyDescent="0.25">
      <c r="A370" s="1">
        <v>45355</v>
      </c>
      <c r="B370" t="s">
        <v>484</v>
      </c>
      <c r="C370" t="s">
        <v>17</v>
      </c>
      <c r="D370" t="s">
        <v>22</v>
      </c>
      <c r="E370">
        <v>105</v>
      </c>
      <c r="F370">
        <v>0</v>
      </c>
      <c r="G370">
        <v>302.51</v>
      </c>
      <c r="H370">
        <v>31763.25</v>
      </c>
      <c r="I370" t="s">
        <v>486</v>
      </c>
      <c r="J370">
        <v>0</v>
      </c>
      <c r="K370">
        <v>16.04</v>
      </c>
      <c r="L370">
        <v>1</v>
      </c>
      <c r="M370">
        <v>0.03</v>
      </c>
      <c r="N370">
        <v>140</v>
      </c>
      <c r="O370">
        <v>28.1</v>
      </c>
      <c r="P370">
        <v>185.17</v>
      </c>
      <c r="Q370">
        <f t="shared" si="50"/>
        <v>2024</v>
      </c>
      <c r="R370">
        <f t="shared" si="51"/>
        <v>3</v>
      </c>
      <c r="S370">
        <f t="shared" si="52"/>
        <v>2023</v>
      </c>
      <c r="T370">
        <f t="shared" si="53"/>
        <v>12</v>
      </c>
      <c r="U370">
        <f t="shared" si="54"/>
        <v>12</v>
      </c>
      <c r="V370" t="str">
        <f t="shared" si="55"/>
        <v>202312</v>
      </c>
      <c r="W370" t="str">
        <f t="shared" si="56"/>
        <v>Mar-24</v>
      </c>
      <c r="X370" s="3">
        <f t="shared" si="57"/>
        <v>-31948.42</v>
      </c>
      <c r="Y370" t="str">
        <f t="shared" si="58"/>
        <v/>
      </c>
      <c r="Z370">
        <f t="shared" si="59"/>
        <v>-31948.42</v>
      </c>
    </row>
    <row r="371" spans="1:26" x14ac:dyDescent="0.25">
      <c r="A371" s="1">
        <v>45356</v>
      </c>
      <c r="B371" t="s">
        <v>471</v>
      </c>
      <c r="C371" t="s">
        <v>17</v>
      </c>
      <c r="D371" t="s">
        <v>18</v>
      </c>
      <c r="E371">
        <v>105</v>
      </c>
      <c r="F371">
        <v>0</v>
      </c>
      <c r="G371">
        <v>95</v>
      </c>
      <c r="H371">
        <v>9975</v>
      </c>
      <c r="I371" t="s">
        <v>472</v>
      </c>
      <c r="J371">
        <v>6.23</v>
      </c>
      <c r="K371">
        <v>5.04</v>
      </c>
      <c r="L371">
        <v>0</v>
      </c>
      <c r="M371">
        <v>0.01</v>
      </c>
      <c r="N371">
        <v>140</v>
      </c>
      <c r="O371">
        <v>26.1</v>
      </c>
      <c r="P371">
        <v>177.38</v>
      </c>
      <c r="Q371">
        <f t="shared" si="50"/>
        <v>2024</v>
      </c>
      <c r="R371">
        <f t="shared" si="51"/>
        <v>3</v>
      </c>
      <c r="S371">
        <f t="shared" si="52"/>
        <v>2023</v>
      </c>
      <c r="T371">
        <f t="shared" si="53"/>
        <v>12</v>
      </c>
      <c r="U371">
        <f t="shared" si="54"/>
        <v>12</v>
      </c>
      <c r="V371" t="str">
        <f t="shared" si="55"/>
        <v>202312</v>
      </c>
      <c r="W371" t="str">
        <f t="shared" si="56"/>
        <v>Mar-24</v>
      </c>
      <c r="X371" s="3">
        <f t="shared" si="57"/>
        <v>9797.6200000000008</v>
      </c>
      <c r="Y371">
        <f t="shared" si="58"/>
        <v>9797.6200000000008</v>
      </c>
      <c r="Z371" t="str">
        <f t="shared" si="59"/>
        <v/>
      </c>
    </row>
    <row r="372" spans="1:26" x14ac:dyDescent="0.25">
      <c r="A372" s="1">
        <v>45356</v>
      </c>
      <c r="B372" t="s">
        <v>471</v>
      </c>
      <c r="C372" t="s">
        <v>17</v>
      </c>
      <c r="D372" t="s">
        <v>22</v>
      </c>
      <c r="E372">
        <v>105</v>
      </c>
      <c r="F372">
        <v>0</v>
      </c>
      <c r="G372">
        <v>83.85</v>
      </c>
      <c r="H372">
        <v>8804.25</v>
      </c>
      <c r="I372" t="s">
        <v>473</v>
      </c>
      <c r="J372">
        <v>0</v>
      </c>
      <c r="K372">
        <v>4.46</v>
      </c>
      <c r="L372">
        <v>0</v>
      </c>
      <c r="M372">
        <v>0.01</v>
      </c>
      <c r="N372">
        <v>140</v>
      </c>
      <c r="O372">
        <v>26.02</v>
      </c>
      <c r="P372">
        <v>170.49</v>
      </c>
      <c r="Q372">
        <f t="shared" si="50"/>
        <v>2024</v>
      </c>
      <c r="R372">
        <f t="shared" si="51"/>
        <v>3</v>
      </c>
      <c r="S372">
        <f t="shared" si="52"/>
        <v>2023</v>
      </c>
      <c r="T372">
        <f t="shared" si="53"/>
        <v>12</v>
      </c>
      <c r="U372">
        <f t="shared" si="54"/>
        <v>12</v>
      </c>
      <c r="V372" t="str">
        <f t="shared" si="55"/>
        <v>202312</v>
      </c>
      <c r="W372" t="str">
        <f t="shared" si="56"/>
        <v>Mar-24</v>
      </c>
      <c r="X372" s="3">
        <f t="shared" si="57"/>
        <v>-8974.74</v>
      </c>
      <c r="Y372" t="str">
        <f t="shared" si="58"/>
        <v/>
      </c>
      <c r="Z372">
        <f t="shared" si="59"/>
        <v>-8974.74</v>
      </c>
    </row>
    <row r="373" spans="1:26" x14ac:dyDescent="0.25">
      <c r="A373" s="1">
        <v>45356</v>
      </c>
      <c r="B373" t="s">
        <v>474</v>
      </c>
      <c r="C373" t="s">
        <v>17</v>
      </c>
      <c r="D373" t="s">
        <v>18</v>
      </c>
      <c r="E373">
        <v>105</v>
      </c>
      <c r="F373">
        <v>0</v>
      </c>
      <c r="G373">
        <v>252.3</v>
      </c>
      <c r="H373">
        <v>26491.5</v>
      </c>
      <c r="I373" t="s">
        <v>475</v>
      </c>
      <c r="J373">
        <v>16.559999999999999</v>
      </c>
      <c r="K373">
        <v>13.38</v>
      </c>
      <c r="L373">
        <v>0</v>
      </c>
      <c r="M373">
        <v>0.03</v>
      </c>
      <c r="N373">
        <v>140</v>
      </c>
      <c r="O373">
        <v>27.62</v>
      </c>
      <c r="P373">
        <v>197.59</v>
      </c>
      <c r="Q373">
        <f t="shared" si="50"/>
        <v>2024</v>
      </c>
      <c r="R373">
        <f t="shared" si="51"/>
        <v>3</v>
      </c>
      <c r="S373">
        <f t="shared" si="52"/>
        <v>2023</v>
      </c>
      <c r="T373">
        <f t="shared" si="53"/>
        <v>12</v>
      </c>
      <c r="U373">
        <f t="shared" si="54"/>
        <v>12</v>
      </c>
      <c r="V373" t="str">
        <f t="shared" si="55"/>
        <v>202312</v>
      </c>
      <c r="W373" t="str">
        <f t="shared" si="56"/>
        <v>Mar-24</v>
      </c>
      <c r="X373" s="3">
        <f t="shared" si="57"/>
        <v>26293.91</v>
      </c>
      <c r="Y373">
        <f t="shared" si="58"/>
        <v>26293.91</v>
      </c>
      <c r="Z373" t="str">
        <f t="shared" si="59"/>
        <v/>
      </c>
    </row>
    <row r="374" spans="1:26" x14ac:dyDescent="0.25">
      <c r="A374" s="1">
        <v>45356</v>
      </c>
      <c r="B374" t="s">
        <v>474</v>
      </c>
      <c r="C374" t="s">
        <v>17</v>
      </c>
      <c r="D374" t="s">
        <v>22</v>
      </c>
      <c r="E374">
        <v>105</v>
      </c>
      <c r="F374">
        <v>0</v>
      </c>
      <c r="G374">
        <v>239.85</v>
      </c>
      <c r="H374">
        <v>25184.25</v>
      </c>
      <c r="I374" t="s">
        <v>476</v>
      </c>
      <c r="J374">
        <v>0</v>
      </c>
      <c r="K374">
        <v>12.72</v>
      </c>
      <c r="L374">
        <v>0</v>
      </c>
      <c r="M374">
        <v>0.02</v>
      </c>
      <c r="N374">
        <v>140</v>
      </c>
      <c r="O374">
        <v>27.5</v>
      </c>
      <c r="P374">
        <v>180.24</v>
      </c>
      <c r="Q374">
        <f t="shared" si="50"/>
        <v>2024</v>
      </c>
      <c r="R374">
        <f t="shared" si="51"/>
        <v>3</v>
      </c>
      <c r="S374">
        <f t="shared" si="52"/>
        <v>2023</v>
      </c>
      <c r="T374">
        <f t="shared" si="53"/>
        <v>12</v>
      </c>
      <c r="U374">
        <f t="shared" si="54"/>
        <v>12</v>
      </c>
      <c r="V374" t="str">
        <f t="shared" si="55"/>
        <v>202312</v>
      </c>
      <c r="W374" t="str">
        <f t="shared" si="56"/>
        <v>Mar-24</v>
      </c>
      <c r="X374" s="3">
        <f t="shared" si="57"/>
        <v>-25364.49</v>
      </c>
      <c r="Y374" t="str">
        <f t="shared" si="58"/>
        <v/>
      </c>
      <c r="Z374">
        <f t="shared" si="59"/>
        <v>-25364.49</v>
      </c>
    </row>
    <row r="375" spans="1:26" x14ac:dyDescent="0.25">
      <c r="A375" s="1">
        <v>45356</v>
      </c>
      <c r="B375" t="s">
        <v>474</v>
      </c>
      <c r="C375" t="s">
        <v>17</v>
      </c>
      <c r="D375" t="s">
        <v>18</v>
      </c>
      <c r="E375">
        <v>105</v>
      </c>
      <c r="F375">
        <v>0</v>
      </c>
      <c r="G375">
        <v>211</v>
      </c>
      <c r="H375">
        <v>22155</v>
      </c>
      <c r="I375" t="s">
        <v>477</v>
      </c>
      <c r="J375">
        <v>13.85</v>
      </c>
      <c r="K375">
        <v>11.19</v>
      </c>
      <c r="L375">
        <v>0</v>
      </c>
      <c r="M375">
        <v>0.03</v>
      </c>
      <c r="N375">
        <v>140</v>
      </c>
      <c r="O375">
        <v>27.22</v>
      </c>
      <c r="P375">
        <v>192.29</v>
      </c>
      <c r="Q375">
        <f t="shared" si="50"/>
        <v>2024</v>
      </c>
      <c r="R375">
        <f t="shared" si="51"/>
        <v>3</v>
      </c>
      <c r="S375">
        <f t="shared" si="52"/>
        <v>2023</v>
      </c>
      <c r="T375">
        <f t="shared" si="53"/>
        <v>12</v>
      </c>
      <c r="U375">
        <f t="shared" si="54"/>
        <v>12</v>
      </c>
      <c r="V375" t="str">
        <f t="shared" si="55"/>
        <v>202312</v>
      </c>
      <c r="W375" t="str">
        <f t="shared" si="56"/>
        <v>Mar-24</v>
      </c>
      <c r="X375" s="3">
        <f t="shared" si="57"/>
        <v>21962.71</v>
      </c>
      <c r="Y375">
        <f t="shared" si="58"/>
        <v>21962.71</v>
      </c>
      <c r="Z375" t="str">
        <f t="shared" si="59"/>
        <v/>
      </c>
    </row>
    <row r="376" spans="1:26" x14ac:dyDescent="0.25">
      <c r="A376" s="1">
        <v>45356</v>
      </c>
      <c r="B376" t="s">
        <v>474</v>
      </c>
      <c r="C376" t="s">
        <v>17</v>
      </c>
      <c r="D376" t="s">
        <v>22</v>
      </c>
      <c r="E376">
        <v>105</v>
      </c>
      <c r="F376">
        <v>0</v>
      </c>
      <c r="G376">
        <v>201.35</v>
      </c>
      <c r="H376">
        <v>21141.75</v>
      </c>
      <c r="I376" t="s">
        <v>478</v>
      </c>
      <c r="J376">
        <v>0</v>
      </c>
      <c r="K376">
        <v>10.68</v>
      </c>
      <c r="L376">
        <v>1.98</v>
      </c>
      <c r="M376">
        <v>0.02</v>
      </c>
      <c r="N376">
        <v>140</v>
      </c>
      <c r="O376">
        <v>27.12</v>
      </c>
      <c r="P376">
        <v>179.8</v>
      </c>
      <c r="Q376">
        <f t="shared" si="50"/>
        <v>2024</v>
      </c>
      <c r="R376">
        <f t="shared" si="51"/>
        <v>3</v>
      </c>
      <c r="S376">
        <f t="shared" si="52"/>
        <v>2023</v>
      </c>
      <c r="T376">
        <f t="shared" si="53"/>
        <v>12</v>
      </c>
      <c r="U376">
        <f t="shared" si="54"/>
        <v>12</v>
      </c>
      <c r="V376" t="str">
        <f t="shared" si="55"/>
        <v>202312</v>
      </c>
      <c r="W376" t="str">
        <f t="shared" si="56"/>
        <v>Mar-24</v>
      </c>
      <c r="X376" s="3">
        <f t="shared" si="57"/>
        <v>-21321.55</v>
      </c>
      <c r="Y376" t="str">
        <f t="shared" si="58"/>
        <v/>
      </c>
      <c r="Z376">
        <f t="shared" si="59"/>
        <v>-21321.55</v>
      </c>
    </row>
    <row r="377" spans="1:26" x14ac:dyDescent="0.25">
      <c r="A377" s="1">
        <v>45356</v>
      </c>
      <c r="B377" t="s">
        <v>471</v>
      </c>
      <c r="C377" t="s">
        <v>17</v>
      </c>
      <c r="D377" t="s">
        <v>18</v>
      </c>
      <c r="E377">
        <v>60</v>
      </c>
      <c r="F377">
        <v>0</v>
      </c>
      <c r="G377">
        <v>275</v>
      </c>
      <c r="H377">
        <v>16500</v>
      </c>
      <c r="I377" t="s">
        <v>479</v>
      </c>
      <c r="J377">
        <v>10.31</v>
      </c>
      <c r="K377">
        <v>8.33</v>
      </c>
      <c r="L377">
        <v>0</v>
      </c>
      <c r="M377">
        <v>0.02</v>
      </c>
      <c r="N377">
        <v>80</v>
      </c>
      <c r="O377">
        <v>15.9</v>
      </c>
      <c r="P377">
        <v>114.56</v>
      </c>
      <c r="Q377">
        <f t="shared" si="50"/>
        <v>2024</v>
      </c>
      <c r="R377">
        <f t="shared" si="51"/>
        <v>3</v>
      </c>
      <c r="S377">
        <f t="shared" si="52"/>
        <v>2023</v>
      </c>
      <c r="T377">
        <f t="shared" si="53"/>
        <v>12</v>
      </c>
      <c r="U377">
        <f t="shared" si="54"/>
        <v>12</v>
      </c>
      <c r="V377" t="str">
        <f t="shared" si="55"/>
        <v>202312</v>
      </c>
      <c r="W377" t="str">
        <f t="shared" si="56"/>
        <v>Mar-24</v>
      </c>
      <c r="X377" s="3">
        <f t="shared" si="57"/>
        <v>16385.439999999999</v>
      </c>
      <c r="Y377">
        <f t="shared" si="58"/>
        <v>16385.439999999999</v>
      </c>
      <c r="Z377" t="str">
        <f t="shared" si="59"/>
        <v/>
      </c>
    </row>
    <row r="378" spans="1:26" x14ac:dyDescent="0.25">
      <c r="A378" s="1">
        <v>45356</v>
      </c>
      <c r="B378" t="s">
        <v>471</v>
      </c>
      <c r="C378" t="s">
        <v>17</v>
      </c>
      <c r="D378" t="s">
        <v>18</v>
      </c>
      <c r="E378">
        <v>45</v>
      </c>
      <c r="F378">
        <v>0</v>
      </c>
      <c r="G378">
        <v>255.75</v>
      </c>
      <c r="H378">
        <v>11508.75</v>
      </c>
      <c r="I378" t="s">
        <v>480</v>
      </c>
      <c r="J378">
        <v>7.19</v>
      </c>
      <c r="K378">
        <v>5.81</v>
      </c>
      <c r="L378">
        <v>0</v>
      </c>
      <c r="M378">
        <v>0.01</v>
      </c>
      <c r="N378">
        <v>60</v>
      </c>
      <c r="O378">
        <v>11.84</v>
      </c>
      <c r="P378">
        <v>84.85</v>
      </c>
      <c r="Q378">
        <f t="shared" si="50"/>
        <v>2024</v>
      </c>
      <c r="R378">
        <f t="shared" si="51"/>
        <v>3</v>
      </c>
      <c r="S378">
        <f t="shared" si="52"/>
        <v>2023</v>
      </c>
      <c r="T378">
        <f t="shared" si="53"/>
        <v>12</v>
      </c>
      <c r="U378">
        <f t="shared" si="54"/>
        <v>12</v>
      </c>
      <c r="V378" t="str">
        <f t="shared" si="55"/>
        <v>202312</v>
      </c>
      <c r="W378" t="str">
        <f t="shared" si="56"/>
        <v>Mar-24</v>
      </c>
      <c r="X378" s="3">
        <f t="shared" si="57"/>
        <v>11423.9</v>
      </c>
      <c r="Y378">
        <f t="shared" si="58"/>
        <v>11423.9</v>
      </c>
      <c r="Z378" t="str">
        <f t="shared" si="59"/>
        <v/>
      </c>
    </row>
    <row r="379" spans="1:26" x14ac:dyDescent="0.25">
      <c r="A379" s="1">
        <v>45356</v>
      </c>
      <c r="B379" t="s">
        <v>471</v>
      </c>
      <c r="C379" t="s">
        <v>17</v>
      </c>
      <c r="D379" t="s">
        <v>22</v>
      </c>
      <c r="E379">
        <v>105</v>
      </c>
      <c r="F379">
        <v>0</v>
      </c>
      <c r="G379">
        <v>239.8</v>
      </c>
      <c r="H379">
        <v>25179</v>
      </c>
      <c r="I379" t="s">
        <v>481</v>
      </c>
      <c r="J379">
        <v>0</v>
      </c>
      <c r="K379">
        <v>12.72</v>
      </c>
      <c r="L379">
        <v>1.02</v>
      </c>
      <c r="M379">
        <v>0.03</v>
      </c>
      <c r="N379">
        <v>140</v>
      </c>
      <c r="O379">
        <v>27.5</v>
      </c>
      <c r="P379">
        <v>181.27</v>
      </c>
      <c r="Q379">
        <f t="shared" si="50"/>
        <v>2024</v>
      </c>
      <c r="R379">
        <f t="shared" si="51"/>
        <v>3</v>
      </c>
      <c r="S379">
        <f t="shared" si="52"/>
        <v>2023</v>
      </c>
      <c r="T379">
        <f t="shared" si="53"/>
        <v>12</v>
      </c>
      <c r="U379">
        <f t="shared" si="54"/>
        <v>12</v>
      </c>
      <c r="V379" t="str">
        <f t="shared" si="55"/>
        <v>202312</v>
      </c>
      <c r="W379" t="str">
        <f t="shared" si="56"/>
        <v>Mar-24</v>
      </c>
      <c r="X379" s="3">
        <f t="shared" si="57"/>
        <v>-25360.27</v>
      </c>
      <c r="Y379" t="str">
        <f t="shared" si="58"/>
        <v/>
      </c>
      <c r="Z379">
        <f t="shared" si="59"/>
        <v>-25360.27</v>
      </c>
    </row>
    <row r="380" spans="1:26" x14ac:dyDescent="0.25">
      <c r="A380" s="1">
        <v>45356</v>
      </c>
      <c r="B380" t="s">
        <v>474</v>
      </c>
      <c r="C380" t="s">
        <v>17</v>
      </c>
      <c r="D380" t="s">
        <v>18</v>
      </c>
      <c r="E380">
        <v>105</v>
      </c>
      <c r="F380">
        <v>0</v>
      </c>
      <c r="G380">
        <v>215.17</v>
      </c>
      <c r="H380">
        <v>22593</v>
      </c>
      <c r="I380" t="s">
        <v>482</v>
      </c>
      <c r="J380">
        <v>13.86</v>
      </c>
      <c r="K380">
        <v>11.41</v>
      </c>
      <c r="L380">
        <v>0</v>
      </c>
      <c r="M380">
        <v>0.02</v>
      </c>
      <c r="N380">
        <v>140</v>
      </c>
      <c r="O380">
        <v>27.26</v>
      </c>
      <c r="P380">
        <v>192.55</v>
      </c>
      <c r="Q380">
        <f t="shared" si="50"/>
        <v>2024</v>
      </c>
      <c r="R380">
        <f t="shared" si="51"/>
        <v>3</v>
      </c>
      <c r="S380">
        <f t="shared" si="52"/>
        <v>2023</v>
      </c>
      <c r="T380">
        <f t="shared" si="53"/>
        <v>12</v>
      </c>
      <c r="U380">
        <f t="shared" si="54"/>
        <v>12</v>
      </c>
      <c r="V380" t="str">
        <f t="shared" si="55"/>
        <v>202312</v>
      </c>
      <c r="W380" t="str">
        <f t="shared" si="56"/>
        <v>Mar-24</v>
      </c>
      <c r="X380" s="3">
        <f t="shared" si="57"/>
        <v>22400.45</v>
      </c>
      <c r="Y380">
        <f t="shared" si="58"/>
        <v>22400.45</v>
      </c>
      <c r="Z380" t="str">
        <f t="shared" si="59"/>
        <v/>
      </c>
    </row>
    <row r="381" spans="1:26" x14ac:dyDescent="0.25">
      <c r="A381" s="1">
        <v>45356</v>
      </c>
      <c r="B381" t="s">
        <v>474</v>
      </c>
      <c r="C381" t="s">
        <v>17</v>
      </c>
      <c r="D381" t="s">
        <v>22</v>
      </c>
      <c r="E381">
        <v>105</v>
      </c>
      <c r="F381">
        <v>0</v>
      </c>
      <c r="G381">
        <v>252.3</v>
      </c>
      <c r="H381">
        <v>26491.5</v>
      </c>
      <c r="I381" t="s">
        <v>483</v>
      </c>
      <c r="J381">
        <v>0</v>
      </c>
      <c r="K381">
        <v>13.37</v>
      </c>
      <c r="L381">
        <v>0</v>
      </c>
      <c r="M381">
        <v>0.03</v>
      </c>
      <c r="N381">
        <v>140</v>
      </c>
      <c r="O381">
        <v>27.6</v>
      </c>
      <c r="P381">
        <v>181</v>
      </c>
      <c r="Q381">
        <f t="shared" si="50"/>
        <v>2024</v>
      </c>
      <c r="R381">
        <f t="shared" si="51"/>
        <v>3</v>
      </c>
      <c r="S381">
        <f t="shared" si="52"/>
        <v>2023</v>
      </c>
      <c r="T381">
        <f t="shared" si="53"/>
        <v>12</v>
      </c>
      <c r="U381">
        <f t="shared" si="54"/>
        <v>12</v>
      </c>
      <c r="V381" t="str">
        <f t="shared" si="55"/>
        <v>202312</v>
      </c>
      <c r="W381" t="str">
        <f t="shared" si="56"/>
        <v>Mar-24</v>
      </c>
      <c r="X381" s="3">
        <f t="shared" si="57"/>
        <v>-26672.5</v>
      </c>
      <c r="Y381" t="str">
        <f t="shared" si="58"/>
        <v/>
      </c>
      <c r="Z381">
        <f t="shared" si="59"/>
        <v>-26672.5</v>
      </c>
    </row>
    <row r="382" spans="1:26" x14ac:dyDescent="0.25">
      <c r="A382" s="1">
        <v>45357</v>
      </c>
      <c r="B382" t="s">
        <v>463</v>
      </c>
      <c r="C382" t="s">
        <v>17</v>
      </c>
      <c r="D382" t="s">
        <v>18</v>
      </c>
      <c r="E382">
        <v>525</v>
      </c>
      <c r="F382">
        <v>0</v>
      </c>
      <c r="G382">
        <v>23.65</v>
      </c>
      <c r="H382">
        <v>12416.25</v>
      </c>
      <c r="I382" t="s">
        <v>464</v>
      </c>
      <c r="J382">
        <v>7.76</v>
      </c>
      <c r="K382">
        <v>6.27</v>
      </c>
      <c r="L382">
        <v>0</v>
      </c>
      <c r="M382">
        <v>0.01</v>
      </c>
      <c r="N382">
        <v>700</v>
      </c>
      <c r="O382">
        <v>127.12</v>
      </c>
      <c r="P382">
        <v>841.16</v>
      </c>
      <c r="Q382">
        <f t="shared" si="50"/>
        <v>2024</v>
      </c>
      <c r="R382">
        <f t="shared" si="51"/>
        <v>3</v>
      </c>
      <c r="S382">
        <f t="shared" si="52"/>
        <v>2023</v>
      </c>
      <c r="T382">
        <f t="shared" si="53"/>
        <v>12</v>
      </c>
      <c r="U382">
        <f t="shared" si="54"/>
        <v>12</v>
      </c>
      <c r="V382" t="str">
        <f t="shared" si="55"/>
        <v>202312</v>
      </c>
      <c r="W382" t="str">
        <f t="shared" si="56"/>
        <v>Mar-24</v>
      </c>
      <c r="X382" s="3">
        <f t="shared" si="57"/>
        <v>11575.09</v>
      </c>
      <c r="Y382">
        <f t="shared" si="58"/>
        <v>11575.09</v>
      </c>
      <c r="Z382" t="str">
        <f t="shared" si="59"/>
        <v/>
      </c>
    </row>
    <row r="383" spans="1:26" x14ac:dyDescent="0.25">
      <c r="A383" s="1">
        <v>45357</v>
      </c>
      <c r="B383" t="s">
        <v>463</v>
      </c>
      <c r="C383" t="s">
        <v>17</v>
      </c>
      <c r="D383" t="s">
        <v>22</v>
      </c>
      <c r="E383">
        <v>525</v>
      </c>
      <c r="F383">
        <v>0</v>
      </c>
      <c r="G383">
        <v>52</v>
      </c>
      <c r="H383">
        <v>27300</v>
      </c>
      <c r="I383" t="s">
        <v>465</v>
      </c>
      <c r="J383">
        <v>0</v>
      </c>
      <c r="K383">
        <v>13.79</v>
      </c>
      <c r="L383">
        <v>0.82</v>
      </c>
      <c r="M383">
        <v>0.03</v>
      </c>
      <c r="N383">
        <v>700</v>
      </c>
      <c r="O383">
        <v>128.47999999999999</v>
      </c>
      <c r="P383">
        <v>843.12</v>
      </c>
      <c r="Q383">
        <f t="shared" si="50"/>
        <v>2024</v>
      </c>
      <c r="R383">
        <f t="shared" si="51"/>
        <v>3</v>
      </c>
      <c r="S383">
        <f t="shared" si="52"/>
        <v>2023</v>
      </c>
      <c r="T383">
        <f t="shared" si="53"/>
        <v>12</v>
      </c>
      <c r="U383">
        <f t="shared" si="54"/>
        <v>12</v>
      </c>
      <c r="V383" t="str">
        <f t="shared" si="55"/>
        <v>202312</v>
      </c>
      <c r="W383" t="str">
        <f t="shared" si="56"/>
        <v>Mar-24</v>
      </c>
      <c r="X383" s="3">
        <f t="shared" si="57"/>
        <v>-28143.119999999999</v>
      </c>
      <c r="Y383" t="str">
        <f t="shared" si="58"/>
        <v/>
      </c>
      <c r="Z383">
        <f t="shared" si="59"/>
        <v>-28143.119999999999</v>
      </c>
    </row>
    <row r="384" spans="1:26" x14ac:dyDescent="0.25">
      <c r="A384" s="1">
        <v>45357</v>
      </c>
      <c r="B384" t="s">
        <v>466</v>
      </c>
      <c r="C384" t="s">
        <v>17</v>
      </c>
      <c r="D384" t="s">
        <v>18</v>
      </c>
      <c r="E384">
        <v>510</v>
      </c>
      <c r="F384">
        <v>0</v>
      </c>
      <c r="G384">
        <v>24.66</v>
      </c>
      <c r="H384">
        <v>12576</v>
      </c>
      <c r="I384" t="s">
        <v>467</v>
      </c>
      <c r="J384">
        <v>7.79</v>
      </c>
      <c r="K384">
        <v>6.36</v>
      </c>
      <c r="L384">
        <v>0</v>
      </c>
      <c r="M384">
        <v>0</v>
      </c>
      <c r="N384">
        <v>680</v>
      </c>
      <c r="O384">
        <v>123.54</v>
      </c>
      <c r="P384">
        <v>817.69</v>
      </c>
      <c r="Q384">
        <f t="shared" si="50"/>
        <v>2024</v>
      </c>
      <c r="R384">
        <f t="shared" si="51"/>
        <v>3</v>
      </c>
      <c r="S384">
        <f t="shared" si="52"/>
        <v>2023</v>
      </c>
      <c r="T384">
        <f t="shared" si="53"/>
        <v>12</v>
      </c>
      <c r="U384">
        <f t="shared" si="54"/>
        <v>12</v>
      </c>
      <c r="V384" t="str">
        <f t="shared" si="55"/>
        <v>202312</v>
      </c>
      <c r="W384" t="str">
        <f t="shared" si="56"/>
        <v>Mar-24</v>
      </c>
      <c r="X384" s="3">
        <f t="shared" si="57"/>
        <v>11758.31</v>
      </c>
      <c r="Y384">
        <f t="shared" si="58"/>
        <v>11758.31</v>
      </c>
      <c r="Z384" t="str">
        <f t="shared" si="59"/>
        <v/>
      </c>
    </row>
    <row r="385" spans="1:26" x14ac:dyDescent="0.25">
      <c r="A385" s="1">
        <v>45357</v>
      </c>
      <c r="B385" t="s">
        <v>466</v>
      </c>
      <c r="C385" t="s">
        <v>17</v>
      </c>
      <c r="D385" t="s">
        <v>22</v>
      </c>
      <c r="E385">
        <v>510</v>
      </c>
      <c r="F385">
        <v>0</v>
      </c>
      <c r="G385">
        <v>41</v>
      </c>
      <c r="H385">
        <v>20910</v>
      </c>
      <c r="I385" t="s">
        <v>468</v>
      </c>
      <c r="J385">
        <v>0</v>
      </c>
      <c r="K385">
        <v>10.56</v>
      </c>
      <c r="L385">
        <v>1.18</v>
      </c>
      <c r="M385">
        <v>0.02</v>
      </c>
      <c r="N385">
        <v>680</v>
      </c>
      <c r="O385">
        <v>124.3</v>
      </c>
      <c r="P385">
        <v>816.06</v>
      </c>
      <c r="Q385">
        <f t="shared" si="50"/>
        <v>2024</v>
      </c>
      <c r="R385">
        <f t="shared" si="51"/>
        <v>3</v>
      </c>
      <c r="S385">
        <f t="shared" si="52"/>
        <v>2023</v>
      </c>
      <c r="T385">
        <f t="shared" si="53"/>
        <v>12</v>
      </c>
      <c r="U385">
        <f t="shared" si="54"/>
        <v>12</v>
      </c>
      <c r="V385" t="str">
        <f t="shared" si="55"/>
        <v>202312</v>
      </c>
      <c r="W385" t="str">
        <f t="shared" si="56"/>
        <v>Mar-24</v>
      </c>
      <c r="X385" s="3">
        <f t="shared" si="57"/>
        <v>-21726.06</v>
      </c>
      <c r="Y385" t="str">
        <f t="shared" si="58"/>
        <v/>
      </c>
      <c r="Z385">
        <f t="shared" si="59"/>
        <v>-21726.06</v>
      </c>
    </row>
    <row r="386" spans="1:26" x14ac:dyDescent="0.25">
      <c r="A386" s="1">
        <v>45357</v>
      </c>
      <c r="B386" t="s">
        <v>466</v>
      </c>
      <c r="C386" t="s">
        <v>17</v>
      </c>
      <c r="D386" t="s">
        <v>18</v>
      </c>
      <c r="E386">
        <v>105</v>
      </c>
      <c r="F386">
        <v>0</v>
      </c>
      <c r="G386">
        <v>37.4</v>
      </c>
      <c r="H386">
        <v>3927</v>
      </c>
      <c r="I386" t="s">
        <v>469</v>
      </c>
      <c r="J386">
        <v>2.4500000000000002</v>
      </c>
      <c r="K386">
        <v>1.98</v>
      </c>
      <c r="L386">
        <v>0</v>
      </c>
      <c r="M386">
        <v>0</v>
      </c>
      <c r="N386">
        <v>140</v>
      </c>
      <c r="O386">
        <v>25.56</v>
      </c>
      <c r="P386">
        <v>169.99</v>
      </c>
      <c r="Q386">
        <f t="shared" ref="Q386:Q449" si="60">YEAR(A386)</f>
        <v>2024</v>
      </c>
      <c r="R386">
        <f t="shared" ref="R386:R449" si="61">MONTH(A386)</f>
        <v>3</v>
      </c>
      <c r="S386">
        <f t="shared" ref="S386:S449" si="62">IF(R386&lt;4,Q386-1,Q386)</f>
        <v>2023</v>
      </c>
      <c r="T386">
        <f t="shared" ref="T386:T449" si="63">IF(R386&lt;4,R386+9,R386-3)</f>
        <v>12</v>
      </c>
      <c r="U386">
        <f t="shared" ref="U386:U449" si="64">IF(LEN(T386)=1,_xlfn.CONCAT(0,T386),T386)</f>
        <v>12</v>
      </c>
      <c r="V386" t="str">
        <f t="shared" ref="V386:V449" si="65">_xlfn.CONCAT(S386,U386)</f>
        <v>202312</v>
      </c>
      <c r="W386" t="str">
        <f t="shared" ref="W386:W449" si="66">_xlfn.CONCAT(TEXT(A386,"MMM"),"-",MID(Q386,3,2))</f>
        <v>Mar-24</v>
      </c>
      <c r="X386" s="3">
        <f t="shared" ref="X386:X449" si="67">IFERROR(IF(D386="Sell",(H386-P386),-(H386+P386)),0)</f>
        <v>3757.01</v>
      </c>
      <c r="Y386">
        <f t="shared" si="58"/>
        <v>3757.01</v>
      </c>
      <c r="Z386" t="str">
        <f t="shared" si="59"/>
        <v/>
      </c>
    </row>
    <row r="387" spans="1:26" x14ac:dyDescent="0.25">
      <c r="A387" s="1">
        <v>45357</v>
      </c>
      <c r="B387" t="s">
        <v>466</v>
      </c>
      <c r="C387" t="s">
        <v>17</v>
      </c>
      <c r="D387" t="s">
        <v>22</v>
      </c>
      <c r="E387">
        <v>105</v>
      </c>
      <c r="F387">
        <v>0</v>
      </c>
      <c r="G387">
        <v>134.69999999999999</v>
      </c>
      <c r="H387">
        <v>14143.5</v>
      </c>
      <c r="I387" t="s">
        <v>470</v>
      </c>
      <c r="J387">
        <v>0</v>
      </c>
      <c r="K387">
        <v>7.14</v>
      </c>
      <c r="L387">
        <v>0</v>
      </c>
      <c r="M387">
        <v>0.01</v>
      </c>
      <c r="N387">
        <v>140</v>
      </c>
      <c r="O387">
        <v>26.48</v>
      </c>
      <c r="P387">
        <v>173.63</v>
      </c>
      <c r="Q387">
        <f t="shared" si="60"/>
        <v>2024</v>
      </c>
      <c r="R387">
        <f t="shared" si="61"/>
        <v>3</v>
      </c>
      <c r="S387">
        <f t="shared" si="62"/>
        <v>2023</v>
      </c>
      <c r="T387">
        <f t="shared" si="63"/>
        <v>12</v>
      </c>
      <c r="U387">
        <f t="shared" si="64"/>
        <v>12</v>
      </c>
      <c r="V387" t="str">
        <f t="shared" si="65"/>
        <v>202312</v>
      </c>
      <c r="W387" t="str">
        <f t="shared" si="66"/>
        <v>Mar-24</v>
      </c>
      <c r="X387" s="3">
        <f t="shared" si="67"/>
        <v>-14317.13</v>
      </c>
      <c r="Y387" t="str">
        <f t="shared" ref="Y387:Y450" si="68">IF(X387&gt;0,X387,"")</f>
        <v/>
      </c>
      <c r="Z387">
        <f t="shared" ref="Z387:Z450" si="69">IF(X387&lt;0,X387,"")</f>
        <v>-14317.13</v>
      </c>
    </row>
    <row r="388" spans="1:26" x14ac:dyDescent="0.25">
      <c r="A388" s="1">
        <v>45358</v>
      </c>
      <c r="B388" t="s">
        <v>443</v>
      </c>
      <c r="C388" t="s">
        <v>17</v>
      </c>
      <c r="D388" t="s">
        <v>22</v>
      </c>
      <c r="E388">
        <v>75</v>
      </c>
      <c r="F388">
        <v>0</v>
      </c>
      <c r="G388">
        <v>346.55</v>
      </c>
      <c r="H388">
        <v>25991.25</v>
      </c>
      <c r="I388" t="s">
        <v>453</v>
      </c>
      <c r="J388">
        <v>0</v>
      </c>
      <c r="K388">
        <v>13.13</v>
      </c>
      <c r="L388">
        <v>0.78</v>
      </c>
      <c r="M388">
        <v>0.03</v>
      </c>
      <c r="N388">
        <v>100</v>
      </c>
      <c r="O388">
        <v>20.36</v>
      </c>
      <c r="P388">
        <v>134.30000000000001</v>
      </c>
      <c r="Q388">
        <f t="shared" si="60"/>
        <v>2024</v>
      </c>
      <c r="R388">
        <f t="shared" si="61"/>
        <v>3</v>
      </c>
      <c r="S388">
        <f t="shared" si="62"/>
        <v>2023</v>
      </c>
      <c r="T388">
        <f t="shared" si="63"/>
        <v>12</v>
      </c>
      <c r="U388">
        <f t="shared" si="64"/>
        <v>12</v>
      </c>
      <c r="V388" t="str">
        <f t="shared" si="65"/>
        <v>202312</v>
      </c>
      <c r="W388" t="str">
        <f t="shared" si="66"/>
        <v>Mar-24</v>
      </c>
      <c r="X388" s="3">
        <f t="shared" si="67"/>
        <v>-26125.55</v>
      </c>
      <c r="Y388" t="str">
        <f t="shared" si="68"/>
        <v/>
      </c>
      <c r="Z388">
        <f t="shared" si="69"/>
        <v>-26125.55</v>
      </c>
    </row>
    <row r="389" spans="1:26" x14ac:dyDescent="0.25">
      <c r="A389" s="1">
        <v>45358</v>
      </c>
      <c r="B389" t="s">
        <v>454</v>
      </c>
      <c r="C389" t="s">
        <v>17</v>
      </c>
      <c r="D389" t="s">
        <v>18</v>
      </c>
      <c r="E389">
        <v>105</v>
      </c>
      <c r="F389">
        <v>0</v>
      </c>
      <c r="G389">
        <v>365.95</v>
      </c>
      <c r="H389">
        <v>38424.75</v>
      </c>
      <c r="I389" t="s">
        <v>455</v>
      </c>
      <c r="J389">
        <v>24.02</v>
      </c>
      <c r="K389">
        <v>19.399999999999999</v>
      </c>
      <c r="L389">
        <v>0</v>
      </c>
      <c r="M389">
        <v>0.04</v>
      </c>
      <c r="N389">
        <v>140</v>
      </c>
      <c r="O389">
        <v>28.7</v>
      </c>
      <c r="P389">
        <v>212.16</v>
      </c>
      <c r="Q389">
        <f t="shared" si="60"/>
        <v>2024</v>
      </c>
      <c r="R389">
        <f t="shared" si="61"/>
        <v>3</v>
      </c>
      <c r="S389">
        <f t="shared" si="62"/>
        <v>2023</v>
      </c>
      <c r="T389">
        <f t="shared" si="63"/>
        <v>12</v>
      </c>
      <c r="U389">
        <f t="shared" si="64"/>
        <v>12</v>
      </c>
      <c r="V389" t="str">
        <f t="shared" si="65"/>
        <v>202312</v>
      </c>
      <c r="W389" t="str">
        <f t="shared" si="66"/>
        <v>Mar-24</v>
      </c>
      <c r="X389" s="3">
        <f t="shared" si="67"/>
        <v>38212.589999999997</v>
      </c>
      <c r="Y389">
        <f t="shared" si="68"/>
        <v>38212.589999999997</v>
      </c>
      <c r="Z389" t="str">
        <f t="shared" si="69"/>
        <v/>
      </c>
    </row>
    <row r="390" spans="1:26" x14ac:dyDescent="0.25">
      <c r="A390" s="1">
        <v>45358</v>
      </c>
      <c r="B390" t="s">
        <v>454</v>
      </c>
      <c r="C390" t="s">
        <v>17</v>
      </c>
      <c r="D390" t="s">
        <v>22</v>
      </c>
      <c r="E390">
        <v>105</v>
      </c>
      <c r="F390">
        <v>0</v>
      </c>
      <c r="G390">
        <v>350.4</v>
      </c>
      <c r="H390">
        <v>36792</v>
      </c>
      <c r="I390" t="s">
        <v>456</v>
      </c>
      <c r="J390">
        <v>0</v>
      </c>
      <c r="K390">
        <v>18.579999999999998</v>
      </c>
      <c r="L390">
        <v>1.1000000000000001</v>
      </c>
      <c r="M390">
        <v>0.04</v>
      </c>
      <c r="N390">
        <v>140</v>
      </c>
      <c r="O390">
        <v>28.56</v>
      </c>
      <c r="P390">
        <v>188.28</v>
      </c>
      <c r="Q390">
        <f t="shared" si="60"/>
        <v>2024</v>
      </c>
      <c r="R390">
        <f t="shared" si="61"/>
        <v>3</v>
      </c>
      <c r="S390">
        <f t="shared" si="62"/>
        <v>2023</v>
      </c>
      <c r="T390">
        <f t="shared" si="63"/>
        <v>12</v>
      </c>
      <c r="U390">
        <f t="shared" si="64"/>
        <v>12</v>
      </c>
      <c r="V390" t="str">
        <f t="shared" si="65"/>
        <v>202312</v>
      </c>
      <c r="W390" t="str">
        <f t="shared" si="66"/>
        <v>Mar-24</v>
      </c>
      <c r="X390" s="3">
        <f t="shared" si="67"/>
        <v>-36980.28</v>
      </c>
      <c r="Y390" t="str">
        <f t="shared" si="68"/>
        <v/>
      </c>
      <c r="Z390">
        <f t="shared" si="69"/>
        <v>-36980.28</v>
      </c>
    </row>
    <row r="391" spans="1:26" x14ac:dyDescent="0.25">
      <c r="A391" s="1">
        <v>45358</v>
      </c>
      <c r="B391" t="s">
        <v>457</v>
      </c>
      <c r="C391" t="s">
        <v>17</v>
      </c>
      <c r="D391" t="s">
        <v>18</v>
      </c>
      <c r="E391">
        <v>105</v>
      </c>
      <c r="F391">
        <v>0</v>
      </c>
      <c r="G391">
        <v>399.45</v>
      </c>
      <c r="H391">
        <v>41942.25</v>
      </c>
      <c r="I391" t="s">
        <v>458</v>
      </c>
      <c r="J391">
        <v>26.3</v>
      </c>
      <c r="K391">
        <v>21.18</v>
      </c>
      <c r="L391">
        <v>0</v>
      </c>
      <c r="M391">
        <v>0.04</v>
      </c>
      <c r="N391">
        <v>140</v>
      </c>
      <c r="O391">
        <v>29.02</v>
      </c>
      <c r="P391">
        <v>216.54</v>
      </c>
      <c r="Q391">
        <f t="shared" si="60"/>
        <v>2024</v>
      </c>
      <c r="R391">
        <f t="shared" si="61"/>
        <v>3</v>
      </c>
      <c r="S391">
        <f t="shared" si="62"/>
        <v>2023</v>
      </c>
      <c r="T391">
        <f t="shared" si="63"/>
        <v>12</v>
      </c>
      <c r="U391">
        <f t="shared" si="64"/>
        <v>12</v>
      </c>
      <c r="V391" t="str">
        <f t="shared" si="65"/>
        <v>202312</v>
      </c>
      <c r="W391" t="str">
        <f t="shared" si="66"/>
        <v>Mar-24</v>
      </c>
      <c r="X391" s="3">
        <f t="shared" si="67"/>
        <v>41725.71</v>
      </c>
      <c r="Y391">
        <f t="shared" si="68"/>
        <v>41725.71</v>
      </c>
      <c r="Z391" t="str">
        <f t="shared" si="69"/>
        <v/>
      </c>
    </row>
    <row r="392" spans="1:26" x14ac:dyDescent="0.25">
      <c r="A392" s="1">
        <v>45358</v>
      </c>
      <c r="B392" t="s">
        <v>457</v>
      </c>
      <c r="C392" t="s">
        <v>17</v>
      </c>
      <c r="D392" t="s">
        <v>22</v>
      </c>
      <c r="E392">
        <v>105</v>
      </c>
      <c r="F392">
        <v>0</v>
      </c>
      <c r="G392">
        <v>390.85</v>
      </c>
      <c r="H392">
        <v>41039.25</v>
      </c>
      <c r="I392" t="s">
        <v>459</v>
      </c>
      <c r="J392">
        <v>0</v>
      </c>
      <c r="K392">
        <v>20.72</v>
      </c>
      <c r="L392">
        <v>1.28</v>
      </c>
      <c r="M392">
        <v>0.04</v>
      </c>
      <c r="N392">
        <v>140</v>
      </c>
      <c r="O392">
        <v>28.94</v>
      </c>
      <c r="P392">
        <v>190.98</v>
      </c>
      <c r="Q392">
        <f t="shared" si="60"/>
        <v>2024</v>
      </c>
      <c r="R392">
        <f t="shared" si="61"/>
        <v>3</v>
      </c>
      <c r="S392">
        <f t="shared" si="62"/>
        <v>2023</v>
      </c>
      <c r="T392">
        <f t="shared" si="63"/>
        <v>12</v>
      </c>
      <c r="U392">
        <f t="shared" si="64"/>
        <v>12</v>
      </c>
      <c r="V392" t="str">
        <f t="shared" si="65"/>
        <v>202312</v>
      </c>
      <c r="W392" t="str">
        <f t="shared" si="66"/>
        <v>Mar-24</v>
      </c>
      <c r="X392" s="3">
        <f t="shared" si="67"/>
        <v>-41230.230000000003</v>
      </c>
      <c r="Y392" t="str">
        <f t="shared" si="68"/>
        <v/>
      </c>
      <c r="Z392">
        <f t="shared" si="69"/>
        <v>-41230.230000000003</v>
      </c>
    </row>
    <row r="393" spans="1:26" x14ac:dyDescent="0.25">
      <c r="A393" s="1">
        <v>45358</v>
      </c>
      <c r="B393" t="s">
        <v>460</v>
      </c>
      <c r="C393" t="s">
        <v>17</v>
      </c>
      <c r="D393" t="s">
        <v>18</v>
      </c>
      <c r="E393">
        <v>900</v>
      </c>
      <c r="F393">
        <v>0</v>
      </c>
      <c r="G393">
        <v>35</v>
      </c>
      <c r="H393">
        <v>31500</v>
      </c>
      <c r="I393" t="s">
        <v>461</v>
      </c>
      <c r="J393">
        <v>19.690000000000001</v>
      </c>
      <c r="K393">
        <v>15.91</v>
      </c>
      <c r="L393">
        <v>0</v>
      </c>
      <c r="M393">
        <v>0.03</v>
      </c>
      <c r="N393">
        <v>360</v>
      </c>
      <c r="O393">
        <v>67.66</v>
      </c>
      <c r="P393">
        <v>463.29</v>
      </c>
      <c r="Q393">
        <f t="shared" si="60"/>
        <v>2024</v>
      </c>
      <c r="R393">
        <f t="shared" si="61"/>
        <v>3</v>
      </c>
      <c r="S393">
        <f t="shared" si="62"/>
        <v>2023</v>
      </c>
      <c r="T393">
        <f t="shared" si="63"/>
        <v>12</v>
      </c>
      <c r="U393">
        <f t="shared" si="64"/>
        <v>12</v>
      </c>
      <c r="V393" t="str">
        <f t="shared" si="65"/>
        <v>202312</v>
      </c>
      <c r="W393" t="str">
        <f t="shared" si="66"/>
        <v>Mar-24</v>
      </c>
      <c r="X393" s="3">
        <f t="shared" si="67"/>
        <v>31036.71</v>
      </c>
      <c r="Y393">
        <f t="shared" si="68"/>
        <v>31036.71</v>
      </c>
      <c r="Z393" t="str">
        <f t="shared" si="69"/>
        <v/>
      </c>
    </row>
    <row r="394" spans="1:26" x14ac:dyDescent="0.25">
      <c r="A394" s="1">
        <v>45358</v>
      </c>
      <c r="B394" t="s">
        <v>460</v>
      </c>
      <c r="C394" t="s">
        <v>17</v>
      </c>
      <c r="D394" t="s">
        <v>22</v>
      </c>
      <c r="E394">
        <v>900</v>
      </c>
      <c r="F394">
        <v>0</v>
      </c>
      <c r="G394">
        <v>31</v>
      </c>
      <c r="H394">
        <v>27900</v>
      </c>
      <c r="I394" t="s">
        <v>462</v>
      </c>
      <c r="J394">
        <v>0</v>
      </c>
      <c r="K394">
        <v>14.09</v>
      </c>
      <c r="L394">
        <v>0.84</v>
      </c>
      <c r="M394">
        <v>0.03</v>
      </c>
      <c r="N394">
        <v>360</v>
      </c>
      <c r="O394">
        <v>67.34</v>
      </c>
      <c r="P394">
        <v>442.3</v>
      </c>
      <c r="Q394">
        <f t="shared" si="60"/>
        <v>2024</v>
      </c>
      <c r="R394">
        <f t="shared" si="61"/>
        <v>3</v>
      </c>
      <c r="S394">
        <f t="shared" si="62"/>
        <v>2023</v>
      </c>
      <c r="T394">
        <f t="shared" si="63"/>
        <v>12</v>
      </c>
      <c r="U394">
        <f t="shared" si="64"/>
        <v>12</v>
      </c>
      <c r="V394" t="str">
        <f t="shared" si="65"/>
        <v>202312</v>
      </c>
      <c r="W394" t="str">
        <f t="shared" si="66"/>
        <v>Mar-24</v>
      </c>
      <c r="X394" s="3">
        <f t="shared" si="67"/>
        <v>-28342.3</v>
      </c>
      <c r="Y394" t="str">
        <f t="shared" si="68"/>
        <v/>
      </c>
      <c r="Z394">
        <f t="shared" si="69"/>
        <v>-28342.3</v>
      </c>
    </row>
    <row r="395" spans="1:26" x14ac:dyDescent="0.25">
      <c r="A395" s="1">
        <v>45362</v>
      </c>
      <c r="B395" t="s">
        <v>449</v>
      </c>
      <c r="C395" t="s">
        <v>17</v>
      </c>
      <c r="D395" t="s">
        <v>18</v>
      </c>
      <c r="E395">
        <v>120</v>
      </c>
      <c r="F395">
        <v>0</v>
      </c>
      <c r="G395">
        <v>412</v>
      </c>
      <c r="H395">
        <v>49440</v>
      </c>
      <c r="I395" t="s">
        <v>450</v>
      </c>
      <c r="J395">
        <v>30.54</v>
      </c>
      <c r="K395">
        <v>24.96</v>
      </c>
      <c r="L395">
        <v>0</v>
      </c>
      <c r="M395">
        <v>0.05</v>
      </c>
      <c r="N395">
        <v>160</v>
      </c>
      <c r="O395">
        <v>33.299999999999997</v>
      </c>
      <c r="P395">
        <v>248.85</v>
      </c>
      <c r="Q395">
        <f t="shared" si="60"/>
        <v>2024</v>
      </c>
      <c r="R395">
        <f t="shared" si="61"/>
        <v>3</v>
      </c>
      <c r="S395">
        <f t="shared" si="62"/>
        <v>2023</v>
      </c>
      <c r="T395">
        <f t="shared" si="63"/>
        <v>12</v>
      </c>
      <c r="U395">
        <f t="shared" si="64"/>
        <v>12</v>
      </c>
      <c r="V395" t="str">
        <f t="shared" si="65"/>
        <v>202312</v>
      </c>
      <c r="W395" t="str">
        <f t="shared" si="66"/>
        <v>Mar-24</v>
      </c>
      <c r="X395" s="3">
        <f t="shared" si="67"/>
        <v>49191.15</v>
      </c>
      <c r="Y395">
        <f t="shared" si="68"/>
        <v>49191.15</v>
      </c>
      <c r="Z395" t="str">
        <f t="shared" si="69"/>
        <v/>
      </c>
    </row>
    <row r="396" spans="1:26" x14ac:dyDescent="0.25">
      <c r="A396" s="1">
        <v>45362</v>
      </c>
      <c r="B396" t="s">
        <v>449</v>
      </c>
      <c r="C396" t="s">
        <v>17</v>
      </c>
      <c r="D396" t="s">
        <v>22</v>
      </c>
      <c r="E396">
        <v>120</v>
      </c>
      <c r="F396">
        <v>0</v>
      </c>
      <c r="G396">
        <v>301.10000000000002</v>
      </c>
      <c r="H396">
        <v>36132</v>
      </c>
      <c r="I396" t="s">
        <v>451</v>
      </c>
      <c r="J396">
        <v>0</v>
      </c>
      <c r="K396">
        <v>18.239999999999998</v>
      </c>
      <c r="L396">
        <v>1</v>
      </c>
      <c r="M396">
        <v>0.04</v>
      </c>
      <c r="N396">
        <v>160</v>
      </c>
      <c r="O396">
        <v>32.08</v>
      </c>
      <c r="P396">
        <v>211.36</v>
      </c>
      <c r="Q396">
        <f t="shared" si="60"/>
        <v>2024</v>
      </c>
      <c r="R396">
        <f t="shared" si="61"/>
        <v>3</v>
      </c>
      <c r="S396">
        <f t="shared" si="62"/>
        <v>2023</v>
      </c>
      <c r="T396">
        <f t="shared" si="63"/>
        <v>12</v>
      </c>
      <c r="U396">
        <f t="shared" si="64"/>
        <v>12</v>
      </c>
      <c r="V396" t="str">
        <f t="shared" si="65"/>
        <v>202312</v>
      </c>
      <c r="W396" t="str">
        <f t="shared" si="66"/>
        <v>Mar-24</v>
      </c>
      <c r="X396" s="3">
        <f t="shared" si="67"/>
        <v>-36343.360000000001</v>
      </c>
      <c r="Y396" t="str">
        <f t="shared" si="68"/>
        <v/>
      </c>
      <c r="Z396">
        <f t="shared" si="69"/>
        <v>-36343.360000000001</v>
      </c>
    </row>
    <row r="397" spans="1:26" x14ac:dyDescent="0.25">
      <c r="A397" s="1">
        <v>45362</v>
      </c>
      <c r="B397" t="s">
        <v>443</v>
      </c>
      <c r="C397" t="s">
        <v>17</v>
      </c>
      <c r="D397" t="s">
        <v>18</v>
      </c>
      <c r="E397">
        <v>75</v>
      </c>
      <c r="F397">
        <v>0</v>
      </c>
      <c r="G397">
        <v>201.9</v>
      </c>
      <c r="H397">
        <v>15142.5</v>
      </c>
      <c r="I397" t="s">
        <v>452</v>
      </c>
      <c r="J397">
        <v>9.4600000000000009</v>
      </c>
      <c r="K397">
        <v>7.65</v>
      </c>
      <c r="L397">
        <v>0</v>
      </c>
      <c r="M397">
        <v>0.02</v>
      </c>
      <c r="N397">
        <v>100</v>
      </c>
      <c r="O397">
        <v>19.38</v>
      </c>
      <c r="P397">
        <v>136.51</v>
      </c>
      <c r="Q397">
        <f t="shared" si="60"/>
        <v>2024</v>
      </c>
      <c r="R397">
        <f t="shared" si="61"/>
        <v>3</v>
      </c>
      <c r="S397">
        <f t="shared" si="62"/>
        <v>2023</v>
      </c>
      <c r="T397">
        <f t="shared" si="63"/>
        <v>12</v>
      </c>
      <c r="U397">
        <f t="shared" si="64"/>
        <v>12</v>
      </c>
      <c r="V397" t="str">
        <f t="shared" si="65"/>
        <v>202312</v>
      </c>
      <c r="W397" t="str">
        <f t="shared" si="66"/>
        <v>Mar-24</v>
      </c>
      <c r="X397" s="3">
        <f t="shared" si="67"/>
        <v>15005.99</v>
      </c>
      <c r="Y397">
        <f t="shared" si="68"/>
        <v>15005.99</v>
      </c>
      <c r="Z397" t="str">
        <f t="shared" si="69"/>
        <v/>
      </c>
    </row>
    <row r="398" spans="1:26" x14ac:dyDescent="0.25">
      <c r="A398" s="1">
        <v>45363</v>
      </c>
      <c r="B398" t="s">
        <v>424</v>
      </c>
      <c r="C398" t="s">
        <v>17</v>
      </c>
      <c r="D398" t="s">
        <v>18</v>
      </c>
      <c r="E398">
        <v>120</v>
      </c>
      <c r="F398">
        <v>0</v>
      </c>
      <c r="G398">
        <v>212</v>
      </c>
      <c r="H398">
        <v>25440</v>
      </c>
      <c r="I398" t="s">
        <v>430</v>
      </c>
      <c r="J398">
        <v>15.9</v>
      </c>
      <c r="K398">
        <v>12.85</v>
      </c>
      <c r="L398">
        <v>0</v>
      </c>
      <c r="M398">
        <v>0.03</v>
      </c>
      <c r="N398">
        <v>160</v>
      </c>
      <c r="O398">
        <v>31.1</v>
      </c>
      <c r="P398">
        <v>219.88</v>
      </c>
      <c r="Q398">
        <f t="shared" si="60"/>
        <v>2024</v>
      </c>
      <c r="R398">
        <f t="shared" si="61"/>
        <v>3</v>
      </c>
      <c r="S398">
        <f t="shared" si="62"/>
        <v>2023</v>
      </c>
      <c r="T398">
        <f t="shared" si="63"/>
        <v>12</v>
      </c>
      <c r="U398">
        <f t="shared" si="64"/>
        <v>12</v>
      </c>
      <c r="V398" t="str">
        <f t="shared" si="65"/>
        <v>202312</v>
      </c>
      <c r="W398" t="str">
        <f t="shared" si="66"/>
        <v>Mar-24</v>
      </c>
      <c r="X398" s="3">
        <f t="shared" si="67"/>
        <v>25220.12</v>
      </c>
      <c r="Y398">
        <f t="shared" si="68"/>
        <v>25220.12</v>
      </c>
      <c r="Z398" t="str">
        <f t="shared" si="69"/>
        <v/>
      </c>
    </row>
    <row r="399" spans="1:26" x14ac:dyDescent="0.25">
      <c r="A399" s="1">
        <v>45363</v>
      </c>
      <c r="B399" t="s">
        <v>424</v>
      </c>
      <c r="C399" t="s">
        <v>17</v>
      </c>
      <c r="D399" t="s">
        <v>22</v>
      </c>
      <c r="E399">
        <v>60</v>
      </c>
      <c r="F399">
        <v>0</v>
      </c>
      <c r="G399">
        <v>232</v>
      </c>
      <c r="H399">
        <v>13920</v>
      </c>
      <c r="I399" t="s">
        <v>431</v>
      </c>
      <c r="J399">
        <v>0</v>
      </c>
      <c r="K399">
        <v>7.03</v>
      </c>
      <c r="L399">
        <v>0</v>
      </c>
      <c r="M399">
        <v>0.01</v>
      </c>
      <c r="N399">
        <v>80</v>
      </c>
      <c r="O399">
        <v>15.66</v>
      </c>
      <c r="P399">
        <v>102.7</v>
      </c>
      <c r="Q399">
        <f t="shared" si="60"/>
        <v>2024</v>
      </c>
      <c r="R399">
        <f t="shared" si="61"/>
        <v>3</v>
      </c>
      <c r="S399">
        <f t="shared" si="62"/>
        <v>2023</v>
      </c>
      <c r="T399">
        <f t="shared" si="63"/>
        <v>12</v>
      </c>
      <c r="U399">
        <f t="shared" si="64"/>
        <v>12</v>
      </c>
      <c r="V399" t="str">
        <f t="shared" si="65"/>
        <v>202312</v>
      </c>
      <c r="W399" t="str">
        <f t="shared" si="66"/>
        <v>Mar-24</v>
      </c>
      <c r="X399" s="3">
        <f t="shared" si="67"/>
        <v>-14022.7</v>
      </c>
      <c r="Y399" t="str">
        <f t="shared" si="68"/>
        <v/>
      </c>
      <c r="Z399">
        <f t="shared" si="69"/>
        <v>-14022.7</v>
      </c>
    </row>
    <row r="400" spans="1:26" x14ac:dyDescent="0.25">
      <c r="A400" s="1">
        <v>45363</v>
      </c>
      <c r="B400" t="s">
        <v>424</v>
      </c>
      <c r="C400" t="s">
        <v>17</v>
      </c>
      <c r="D400" t="s">
        <v>22</v>
      </c>
      <c r="E400">
        <v>60</v>
      </c>
      <c r="F400">
        <v>0</v>
      </c>
      <c r="G400">
        <v>237.4</v>
      </c>
      <c r="H400">
        <v>14244</v>
      </c>
      <c r="I400" t="s">
        <v>432</v>
      </c>
      <c r="J400">
        <v>0</v>
      </c>
      <c r="K400">
        <v>7.19</v>
      </c>
      <c r="L400">
        <v>0.84</v>
      </c>
      <c r="M400">
        <v>0.01</v>
      </c>
      <c r="N400">
        <v>80</v>
      </c>
      <c r="O400">
        <v>15.7</v>
      </c>
      <c r="P400">
        <v>103.74</v>
      </c>
      <c r="Q400">
        <f t="shared" si="60"/>
        <v>2024</v>
      </c>
      <c r="R400">
        <f t="shared" si="61"/>
        <v>3</v>
      </c>
      <c r="S400">
        <f t="shared" si="62"/>
        <v>2023</v>
      </c>
      <c r="T400">
        <f t="shared" si="63"/>
        <v>12</v>
      </c>
      <c r="U400">
        <f t="shared" si="64"/>
        <v>12</v>
      </c>
      <c r="V400" t="str">
        <f t="shared" si="65"/>
        <v>202312</v>
      </c>
      <c r="W400" t="str">
        <f t="shared" si="66"/>
        <v>Mar-24</v>
      </c>
      <c r="X400" s="3">
        <f t="shared" si="67"/>
        <v>-14347.74</v>
      </c>
      <c r="Y400" t="str">
        <f t="shared" si="68"/>
        <v/>
      </c>
      <c r="Z400">
        <f t="shared" si="69"/>
        <v>-14347.74</v>
      </c>
    </row>
    <row r="401" spans="1:26" x14ac:dyDescent="0.25">
      <c r="A401" s="1">
        <v>45363</v>
      </c>
      <c r="B401" t="s">
        <v>433</v>
      </c>
      <c r="C401" t="s">
        <v>17</v>
      </c>
      <c r="D401" t="s">
        <v>18</v>
      </c>
      <c r="E401">
        <v>135</v>
      </c>
      <c r="F401">
        <v>0</v>
      </c>
      <c r="G401">
        <v>281.10000000000002</v>
      </c>
      <c r="H401">
        <v>37948.5</v>
      </c>
      <c r="I401" t="s">
        <v>434</v>
      </c>
      <c r="J401">
        <v>24.12</v>
      </c>
      <c r="K401">
        <v>19.16</v>
      </c>
      <c r="L401">
        <v>0</v>
      </c>
      <c r="M401">
        <v>0.04</v>
      </c>
      <c r="N401">
        <v>180</v>
      </c>
      <c r="O401">
        <v>35.86</v>
      </c>
      <c r="P401">
        <v>259.18</v>
      </c>
      <c r="Q401">
        <f t="shared" si="60"/>
        <v>2024</v>
      </c>
      <c r="R401">
        <f t="shared" si="61"/>
        <v>3</v>
      </c>
      <c r="S401">
        <f t="shared" si="62"/>
        <v>2023</v>
      </c>
      <c r="T401">
        <f t="shared" si="63"/>
        <v>12</v>
      </c>
      <c r="U401">
        <f t="shared" si="64"/>
        <v>12</v>
      </c>
      <c r="V401" t="str">
        <f t="shared" si="65"/>
        <v>202312</v>
      </c>
      <c r="W401" t="str">
        <f t="shared" si="66"/>
        <v>Mar-24</v>
      </c>
      <c r="X401" s="3">
        <f t="shared" si="67"/>
        <v>37689.32</v>
      </c>
      <c r="Y401">
        <f t="shared" si="68"/>
        <v>37689.32</v>
      </c>
      <c r="Z401" t="str">
        <f t="shared" si="69"/>
        <v/>
      </c>
    </row>
    <row r="402" spans="1:26" x14ac:dyDescent="0.25">
      <c r="A402" s="1">
        <v>45363</v>
      </c>
      <c r="B402" t="s">
        <v>433</v>
      </c>
      <c r="C402" t="s">
        <v>17</v>
      </c>
      <c r="D402" t="s">
        <v>22</v>
      </c>
      <c r="E402">
        <v>45</v>
      </c>
      <c r="F402">
        <v>0</v>
      </c>
      <c r="G402">
        <v>237.95</v>
      </c>
      <c r="H402">
        <v>10707.75</v>
      </c>
      <c r="I402" t="s">
        <v>435</v>
      </c>
      <c r="J402">
        <v>0</v>
      </c>
      <c r="K402">
        <v>5.4</v>
      </c>
      <c r="L402">
        <v>0</v>
      </c>
      <c r="M402">
        <v>0.01</v>
      </c>
      <c r="N402">
        <v>60</v>
      </c>
      <c r="O402">
        <v>11.76</v>
      </c>
      <c r="P402">
        <v>77.17</v>
      </c>
      <c r="Q402">
        <f t="shared" si="60"/>
        <v>2024</v>
      </c>
      <c r="R402">
        <f t="shared" si="61"/>
        <v>3</v>
      </c>
      <c r="S402">
        <f t="shared" si="62"/>
        <v>2023</v>
      </c>
      <c r="T402">
        <f t="shared" si="63"/>
        <v>12</v>
      </c>
      <c r="U402">
        <f t="shared" si="64"/>
        <v>12</v>
      </c>
      <c r="V402" t="str">
        <f t="shared" si="65"/>
        <v>202312</v>
      </c>
      <c r="W402" t="str">
        <f t="shared" si="66"/>
        <v>Mar-24</v>
      </c>
      <c r="X402" s="3">
        <f t="shared" si="67"/>
        <v>-10784.92</v>
      </c>
      <c r="Y402" t="str">
        <f t="shared" si="68"/>
        <v/>
      </c>
      <c r="Z402">
        <f t="shared" si="69"/>
        <v>-10784.92</v>
      </c>
    </row>
    <row r="403" spans="1:26" x14ac:dyDescent="0.25">
      <c r="A403" s="1">
        <v>45363</v>
      </c>
      <c r="B403" t="s">
        <v>433</v>
      </c>
      <c r="C403" t="s">
        <v>17</v>
      </c>
      <c r="D403" t="s">
        <v>22</v>
      </c>
      <c r="E403">
        <v>45</v>
      </c>
      <c r="F403">
        <v>0</v>
      </c>
      <c r="G403">
        <v>238.55</v>
      </c>
      <c r="H403">
        <v>10734.75</v>
      </c>
      <c r="I403" t="s">
        <v>436</v>
      </c>
      <c r="J403">
        <v>0</v>
      </c>
      <c r="K403">
        <v>5.42</v>
      </c>
      <c r="L403">
        <v>1.0900000000000001</v>
      </c>
      <c r="M403">
        <v>0.01</v>
      </c>
      <c r="N403">
        <v>60</v>
      </c>
      <c r="O403">
        <v>11.78</v>
      </c>
      <c r="P403">
        <v>78.3</v>
      </c>
      <c r="Q403">
        <f t="shared" si="60"/>
        <v>2024</v>
      </c>
      <c r="R403">
        <f t="shared" si="61"/>
        <v>3</v>
      </c>
      <c r="S403">
        <f t="shared" si="62"/>
        <v>2023</v>
      </c>
      <c r="T403">
        <f t="shared" si="63"/>
        <v>12</v>
      </c>
      <c r="U403">
        <f t="shared" si="64"/>
        <v>12</v>
      </c>
      <c r="V403" t="str">
        <f t="shared" si="65"/>
        <v>202312</v>
      </c>
      <c r="W403" t="str">
        <f t="shared" si="66"/>
        <v>Mar-24</v>
      </c>
      <c r="X403" s="3">
        <f t="shared" si="67"/>
        <v>-10813.05</v>
      </c>
      <c r="Y403" t="str">
        <f t="shared" si="68"/>
        <v/>
      </c>
      <c r="Z403">
        <f t="shared" si="69"/>
        <v>-10813.05</v>
      </c>
    </row>
    <row r="404" spans="1:26" x14ac:dyDescent="0.25">
      <c r="A404" s="1">
        <v>45363</v>
      </c>
      <c r="B404" t="s">
        <v>433</v>
      </c>
      <c r="C404" t="s">
        <v>17</v>
      </c>
      <c r="D404" t="s">
        <v>22</v>
      </c>
      <c r="E404">
        <v>45</v>
      </c>
      <c r="F404">
        <v>0</v>
      </c>
      <c r="G404">
        <v>301.8</v>
      </c>
      <c r="H404">
        <v>13581</v>
      </c>
      <c r="I404" t="s">
        <v>437</v>
      </c>
      <c r="J404">
        <v>0</v>
      </c>
      <c r="K404">
        <v>6.86</v>
      </c>
      <c r="L404">
        <v>0</v>
      </c>
      <c r="M404">
        <v>0.01</v>
      </c>
      <c r="N404">
        <v>60</v>
      </c>
      <c r="O404">
        <v>12.04</v>
      </c>
      <c r="P404">
        <v>78.91</v>
      </c>
      <c r="Q404">
        <f t="shared" si="60"/>
        <v>2024</v>
      </c>
      <c r="R404">
        <f t="shared" si="61"/>
        <v>3</v>
      </c>
      <c r="S404">
        <f t="shared" si="62"/>
        <v>2023</v>
      </c>
      <c r="T404">
        <f t="shared" si="63"/>
        <v>12</v>
      </c>
      <c r="U404">
        <f t="shared" si="64"/>
        <v>12</v>
      </c>
      <c r="V404" t="str">
        <f t="shared" si="65"/>
        <v>202312</v>
      </c>
      <c r="W404" t="str">
        <f t="shared" si="66"/>
        <v>Mar-24</v>
      </c>
      <c r="X404" s="3">
        <f t="shared" si="67"/>
        <v>-13659.91</v>
      </c>
      <c r="Y404" t="str">
        <f t="shared" si="68"/>
        <v/>
      </c>
      <c r="Z404">
        <f t="shared" si="69"/>
        <v>-13659.91</v>
      </c>
    </row>
    <row r="405" spans="1:26" x14ac:dyDescent="0.25">
      <c r="A405" s="1">
        <v>45363</v>
      </c>
      <c r="B405" t="s">
        <v>438</v>
      </c>
      <c r="C405" t="s">
        <v>17</v>
      </c>
      <c r="D405" t="s">
        <v>18</v>
      </c>
      <c r="E405">
        <v>150</v>
      </c>
      <c r="F405">
        <v>0</v>
      </c>
      <c r="G405">
        <v>147.25</v>
      </c>
      <c r="H405">
        <v>22087.5</v>
      </c>
      <c r="I405" t="s">
        <v>439</v>
      </c>
      <c r="J405">
        <v>13.8</v>
      </c>
      <c r="K405">
        <v>11.15</v>
      </c>
      <c r="L405">
        <v>0</v>
      </c>
      <c r="M405">
        <v>0.02</v>
      </c>
      <c r="N405">
        <v>200</v>
      </c>
      <c r="O405">
        <v>38.020000000000003</v>
      </c>
      <c r="P405">
        <v>262.99</v>
      </c>
      <c r="Q405">
        <f t="shared" si="60"/>
        <v>2024</v>
      </c>
      <c r="R405">
        <f t="shared" si="61"/>
        <v>3</v>
      </c>
      <c r="S405">
        <f t="shared" si="62"/>
        <v>2023</v>
      </c>
      <c r="T405">
        <f t="shared" si="63"/>
        <v>12</v>
      </c>
      <c r="U405">
        <f t="shared" si="64"/>
        <v>12</v>
      </c>
      <c r="V405" t="str">
        <f t="shared" si="65"/>
        <v>202312</v>
      </c>
      <c r="W405" t="str">
        <f t="shared" si="66"/>
        <v>Mar-24</v>
      </c>
      <c r="X405" s="3">
        <f t="shared" si="67"/>
        <v>21824.51</v>
      </c>
      <c r="Y405">
        <f t="shared" si="68"/>
        <v>21824.51</v>
      </c>
      <c r="Z405" t="str">
        <f t="shared" si="69"/>
        <v/>
      </c>
    </row>
    <row r="406" spans="1:26" x14ac:dyDescent="0.25">
      <c r="A406" s="1">
        <v>45363</v>
      </c>
      <c r="B406" t="s">
        <v>438</v>
      </c>
      <c r="C406" t="s">
        <v>17</v>
      </c>
      <c r="D406" t="s">
        <v>22</v>
      </c>
      <c r="E406">
        <v>60</v>
      </c>
      <c r="F406">
        <v>0</v>
      </c>
      <c r="G406">
        <v>105.25</v>
      </c>
      <c r="H406">
        <v>6315</v>
      </c>
      <c r="I406" t="s">
        <v>440</v>
      </c>
      <c r="J406">
        <v>0</v>
      </c>
      <c r="K406">
        <v>3.19</v>
      </c>
      <c r="L406">
        <v>0.61</v>
      </c>
      <c r="M406">
        <v>0.01</v>
      </c>
      <c r="N406">
        <v>80</v>
      </c>
      <c r="O406">
        <v>14.98</v>
      </c>
      <c r="P406">
        <v>98.79</v>
      </c>
      <c r="Q406">
        <f t="shared" si="60"/>
        <v>2024</v>
      </c>
      <c r="R406">
        <f t="shared" si="61"/>
        <v>3</v>
      </c>
      <c r="S406">
        <f t="shared" si="62"/>
        <v>2023</v>
      </c>
      <c r="T406">
        <f t="shared" si="63"/>
        <v>12</v>
      </c>
      <c r="U406">
        <f t="shared" si="64"/>
        <v>12</v>
      </c>
      <c r="V406" t="str">
        <f t="shared" si="65"/>
        <v>202312</v>
      </c>
      <c r="W406" t="str">
        <f t="shared" si="66"/>
        <v>Mar-24</v>
      </c>
      <c r="X406" s="3">
        <f t="shared" si="67"/>
        <v>-6413.79</v>
      </c>
      <c r="Y406" t="str">
        <f t="shared" si="68"/>
        <v/>
      </c>
      <c r="Z406">
        <f t="shared" si="69"/>
        <v>-6413.79</v>
      </c>
    </row>
    <row r="407" spans="1:26" x14ac:dyDescent="0.25">
      <c r="A407" s="1">
        <v>45363</v>
      </c>
      <c r="B407" t="s">
        <v>438</v>
      </c>
      <c r="C407" t="s">
        <v>17</v>
      </c>
      <c r="D407" t="s">
        <v>22</v>
      </c>
      <c r="E407">
        <v>60</v>
      </c>
      <c r="F407">
        <v>0</v>
      </c>
      <c r="G407">
        <v>99.03</v>
      </c>
      <c r="H407">
        <v>5941.5</v>
      </c>
      <c r="I407" t="s">
        <v>441</v>
      </c>
      <c r="J407">
        <v>0</v>
      </c>
      <c r="K407">
        <v>3</v>
      </c>
      <c r="L407">
        <v>0</v>
      </c>
      <c r="M407">
        <v>0</v>
      </c>
      <c r="N407">
        <v>80</v>
      </c>
      <c r="O407">
        <v>14.94</v>
      </c>
      <c r="P407">
        <v>97.94</v>
      </c>
      <c r="Q407">
        <f t="shared" si="60"/>
        <v>2024</v>
      </c>
      <c r="R407">
        <f t="shared" si="61"/>
        <v>3</v>
      </c>
      <c r="S407">
        <f t="shared" si="62"/>
        <v>2023</v>
      </c>
      <c r="T407">
        <f t="shared" si="63"/>
        <v>12</v>
      </c>
      <c r="U407">
        <f t="shared" si="64"/>
        <v>12</v>
      </c>
      <c r="V407" t="str">
        <f t="shared" si="65"/>
        <v>202312</v>
      </c>
      <c r="W407" t="str">
        <f t="shared" si="66"/>
        <v>Mar-24</v>
      </c>
      <c r="X407" s="3">
        <f t="shared" si="67"/>
        <v>-6039.44</v>
      </c>
      <c r="Y407" t="str">
        <f t="shared" si="68"/>
        <v/>
      </c>
      <c r="Z407">
        <f t="shared" si="69"/>
        <v>-6039.44</v>
      </c>
    </row>
    <row r="408" spans="1:26" x14ac:dyDescent="0.25">
      <c r="A408" s="1">
        <v>45363</v>
      </c>
      <c r="B408" t="s">
        <v>438</v>
      </c>
      <c r="C408" t="s">
        <v>17</v>
      </c>
      <c r="D408" t="s">
        <v>22</v>
      </c>
      <c r="E408">
        <v>30</v>
      </c>
      <c r="F408">
        <v>0</v>
      </c>
      <c r="G408">
        <v>270.05</v>
      </c>
      <c r="H408">
        <v>8101.5</v>
      </c>
      <c r="I408" t="s">
        <v>442</v>
      </c>
      <c r="J408">
        <v>0</v>
      </c>
      <c r="K408">
        <v>4.09</v>
      </c>
      <c r="L408">
        <v>0</v>
      </c>
      <c r="M408">
        <v>0.01</v>
      </c>
      <c r="N408">
        <v>40</v>
      </c>
      <c r="O408">
        <v>7.94</v>
      </c>
      <c r="P408">
        <v>52.04</v>
      </c>
      <c r="Q408">
        <f t="shared" si="60"/>
        <v>2024</v>
      </c>
      <c r="R408">
        <f t="shared" si="61"/>
        <v>3</v>
      </c>
      <c r="S408">
        <f t="shared" si="62"/>
        <v>2023</v>
      </c>
      <c r="T408">
        <f t="shared" si="63"/>
        <v>12</v>
      </c>
      <c r="U408">
        <f t="shared" si="64"/>
        <v>12</v>
      </c>
      <c r="V408" t="str">
        <f t="shared" si="65"/>
        <v>202312</v>
      </c>
      <c r="W408" t="str">
        <f t="shared" si="66"/>
        <v>Mar-24</v>
      </c>
      <c r="X408" s="3">
        <f t="shared" si="67"/>
        <v>-8153.54</v>
      </c>
      <c r="Y408" t="str">
        <f t="shared" si="68"/>
        <v/>
      </c>
      <c r="Z408">
        <f t="shared" si="69"/>
        <v>-8153.54</v>
      </c>
    </row>
    <row r="409" spans="1:26" x14ac:dyDescent="0.25">
      <c r="A409" s="1">
        <v>45363</v>
      </c>
      <c r="B409" t="s">
        <v>443</v>
      </c>
      <c r="C409" t="s">
        <v>17</v>
      </c>
      <c r="D409" t="s">
        <v>18</v>
      </c>
      <c r="E409">
        <v>120</v>
      </c>
      <c r="F409">
        <v>0</v>
      </c>
      <c r="G409">
        <v>145.05000000000001</v>
      </c>
      <c r="H409">
        <v>17406</v>
      </c>
      <c r="I409" t="s">
        <v>444</v>
      </c>
      <c r="J409">
        <v>10.88</v>
      </c>
      <c r="K409">
        <v>8.7899999999999991</v>
      </c>
      <c r="L409">
        <v>0</v>
      </c>
      <c r="M409">
        <v>0.01</v>
      </c>
      <c r="N409">
        <v>160</v>
      </c>
      <c r="O409">
        <v>30.38</v>
      </c>
      <c r="P409">
        <v>210.06</v>
      </c>
      <c r="Q409">
        <f t="shared" si="60"/>
        <v>2024</v>
      </c>
      <c r="R409">
        <f t="shared" si="61"/>
        <v>3</v>
      </c>
      <c r="S409">
        <f t="shared" si="62"/>
        <v>2023</v>
      </c>
      <c r="T409">
        <f t="shared" si="63"/>
        <v>12</v>
      </c>
      <c r="U409">
        <f t="shared" si="64"/>
        <v>12</v>
      </c>
      <c r="V409" t="str">
        <f t="shared" si="65"/>
        <v>202312</v>
      </c>
      <c r="W409" t="str">
        <f t="shared" si="66"/>
        <v>Mar-24</v>
      </c>
      <c r="X409" s="3">
        <f t="shared" si="67"/>
        <v>17195.939999999999</v>
      </c>
      <c r="Y409">
        <f t="shared" si="68"/>
        <v>17195.939999999999</v>
      </c>
      <c r="Z409" t="str">
        <f t="shared" si="69"/>
        <v/>
      </c>
    </row>
    <row r="410" spans="1:26" x14ac:dyDescent="0.25">
      <c r="A410" s="1">
        <v>45363</v>
      </c>
      <c r="B410" t="s">
        <v>443</v>
      </c>
      <c r="C410" t="s">
        <v>17</v>
      </c>
      <c r="D410" t="s">
        <v>22</v>
      </c>
      <c r="E410">
        <v>120</v>
      </c>
      <c r="F410">
        <v>0</v>
      </c>
      <c r="G410">
        <v>127.18</v>
      </c>
      <c r="H410">
        <v>15261</v>
      </c>
      <c r="I410" t="s">
        <v>445</v>
      </c>
      <c r="J410">
        <v>0</v>
      </c>
      <c r="K410">
        <v>7.71</v>
      </c>
      <c r="L410">
        <v>0.46</v>
      </c>
      <c r="M410">
        <v>0.01</v>
      </c>
      <c r="N410">
        <v>160</v>
      </c>
      <c r="O410">
        <v>30.18</v>
      </c>
      <c r="P410">
        <v>198.36</v>
      </c>
      <c r="Q410">
        <f t="shared" si="60"/>
        <v>2024</v>
      </c>
      <c r="R410">
        <f t="shared" si="61"/>
        <v>3</v>
      </c>
      <c r="S410">
        <f t="shared" si="62"/>
        <v>2023</v>
      </c>
      <c r="T410">
        <f t="shared" si="63"/>
        <v>12</v>
      </c>
      <c r="U410">
        <f t="shared" si="64"/>
        <v>12</v>
      </c>
      <c r="V410" t="str">
        <f t="shared" si="65"/>
        <v>202312</v>
      </c>
      <c r="W410" t="str">
        <f t="shared" si="66"/>
        <v>Mar-24</v>
      </c>
      <c r="X410" s="3">
        <f t="shared" si="67"/>
        <v>-15459.36</v>
      </c>
      <c r="Y410" t="str">
        <f t="shared" si="68"/>
        <v/>
      </c>
      <c r="Z410">
        <f t="shared" si="69"/>
        <v>-15459.36</v>
      </c>
    </row>
    <row r="411" spans="1:26" x14ac:dyDescent="0.25">
      <c r="A411" s="1">
        <v>45363</v>
      </c>
      <c r="B411" t="s">
        <v>433</v>
      </c>
      <c r="C411" t="s">
        <v>17</v>
      </c>
      <c r="D411" t="s">
        <v>18</v>
      </c>
      <c r="E411">
        <v>30</v>
      </c>
      <c r="F411">
        <v>0</v>
      </c>
      <c r="G411">
        <v>282.7</v>
      </c>
      <c r="H411">
        <v>8481</v>
      </c>
      <c r="I411" t="s">
        <v>446</v>
      </c>
      <c r="J411">
        <v>5.3</v>
      </c>
      <c r="K411">
        <v>4.28</v>
      </c>
      <c r="L411">
        <v>0</v>
      </c>
      <c r="M411">
        <v>0</v>
      </c>
      <c r="N411">
        <v>40</v>
      </c>
      <c r="O411">
        <v>7.96</v>
      </c>
      <c r="P411">
        <v>57.54</v>
      </c>
      <c r="Q411">
        <f t="shared" si="60"/>
        <v>2024</v>
      </c>
      <c r="R411">
        <f t="shared" si="61"/>
        <v>3</v>
      </c>
      <c r="S411">
        <f t="shared" si="62"/>
        <v>2023</v>
      </c>
      <c r="T411">
        <f t="shared" si="63"/>
        <v>12</v>
      </c>
      <c r="U411">
        <f t="shared" si="64"/>
        <v>12</v>
      </c>
      <c r="V411" t="str">
        <f t="shared" si="65"/>
        <v>202312</v>
      </c>
      <c r="W411" t="str">
        <f t="shared" si="66"/>
        <v>Mar-24</v>
      </c>
      <c r="X411" s="3">
        <f t="shared" si="67"/>
        <v>8423.4599999999991</v>
      </c>
      <c r="Y411">
        <f t="shared" si="68"/>
        <v>8423.4599999999991</v>
      </c>
      <c r="Z411" t="str">
        <f t="shared" si="69"/>
        <v/>
      </c>
    </row>
    <row r="412" spans="1:26" x14ac:dyDescent="0.25">
      <c r="A412" s="1">
        <v>45363</v>
      </c>
      <c r="B412" t="s">
        <v>433</v>
      </c>
      <c r="C412" t="s">
        <v>17</v>
      </c>
      <c r="D412" t="s">
        <v>22</v>
      </c>
      <c r="E412">
        <v>15</v>
      </c>
      <c r="F412">
        <v>0</v>
      </c>
      <c r="G412">
        <v>232.9</v>
      </c>
      <c r="H412">
        <v>3493.5</v>
      </c>
      <c r="I412" t="s">
        <v>447</v>
      </c>
      <c r="J412">
        <v>0</v>
      </c>
      <c r="K412">
        <v>1.76</v>
      </c>
      <c r="L412">
        <v>0</v>
      </c>
      <c r="M412">
        <v>0</v>
      </c>
      <c r="N412">
        <v>20</v>
      </c>
      <c r="O412">
        <v>3.92</v>
      </c>
      <c r="P412">
        <v>25.68</v>
      </c>
      <c r="Q412">
        <f t="shared" si="60"/>
        <v>2024</v>
      </c>
      <c r="R412">
        <f t="shared" si="61"/>
        <v>3</v>
      </c>
      <c r="S412">
        <f t="shared" si="62"/>
        <v>2023</v>
      </c>
      <c r="T412">
        <f t="shared" si="63"/>
        <v>12</v>
      </c>
      <c r="U412">
        <f t="shared" si="64"/>
        <v>12</v>
      </c>
      <c r="V412" t="str">
        <f t="shared" si="65"/>
        <v>202312</v>
      </c>
      <c r="W412" t="str">
        <f t="shared" si="66"/>
        <v>Mar-24</v>
      </c>
      <c r="X412" s="3">
        <f t="shared" si="67"/>
        <v>-3519.18</v>
      </c>
      <c r="Y412" t="str">
        <f t="shared" si="68"/>
        <v/>
      </c>
      <c r="Z412">
        <f t="shared" si="69"/>
        <v>-3519.18</v>
      </c>
    </row>
    <row r="413" spans="1:26" x14ac:dyDescent="0.25">
      <c r="A413" s="1">
        <v>45363</v>
      </c>
      <c r="B413" t="s">
        <v>433</v>
      </c>
      <c r="C413" t="s">
        <v>17</v>
      </c>
      <c r="D413" t="s">
        <v>22</v>
      </c>
      <c r="E413">
        <v>15</v>
      </c>
      <c r="F413">
        <v>0</v>
      </c>
      <c r="G413">
        <v>242.5</v>
      </c>
      <c r="H413">
        <v>3637.5</v>
      </c>
      <c r="I413" t="s">
        <v>448</v>
      </c>
      <c r="J413">
        <v>0</v>
      </c>
      <c r="K413">
        <v>1.84</v>
      </c>
      <c r="L413">
        <v>0</v>
      </c>
      <c r="M413">
        <v>0</v>
      </c>
      <c r="N413">
        <v>20</v>
      </c>
      <c r="O413">
        <v>3.94</v>
      </c>
      <c r="P413">
        <v>25.78</v>
      </c>
      <c r="Q413">
        <f t="shared" si="60"/>
        <v>2024</v>
      </c>
      <c r="R413">
        <f t="shared" si="61"/>
        <v>3</v>
      </c>
      <c r="S413">
        <f t="shared" si="62"/>
        <v>2023</v>
      </c>
      <c r="T413">
        <f t="shared" si="63"/>
        <v>12</v>
      </c>
      <c r="U413">
        <f t="shared" si="64"/>
        <v>12</v>
      </c>
      <c r="V413" t="str">
        <f t="shared" si="65"/>
        <v>202312</v>
      </c>
      <c r="W413" t="str">
        <f t="shared" si="66"/>
        <v>Mar-24</v>
      </c>
      <c r="X413" s="3">
        <f t="shared" si="67"/>
        <v>-3663.28</v>
      </c>
      <c r="Y413" t="str">
        <f t="shared" si="68"/>
        <v/>
      </c>
      <c r="Z413">
        <f t="shared" si="69"/>
        <v>-3663.28</v>
      </c>
    </row>
    <row r="414" spans="1:26" x14ac:dyDescent="0.25">
      <c r="A414" s="1">
        <v>45364</v>
      </c>
      <c r="B414" t="s">
        <v>412</v>
      </c>
      <c r="C414" t="s">
        <v>17</v>
      </c>
      <c r="D414" t="s">
        <v>18</v>
      </c>
      <c r="E414">
        <v>900</v>
      </c>
      <c r="F414">
        <v>0</v>
      </c>
      <c r="G414">
        <v>30.1</v>
      </c>
      <c r="H414">
        <v>27090</v>
      </c>
      <c r="I414" t="s">
        <v>413</v>
      </c>
      <c r="J414">
        <v>16.93</v>
      </c>
      <c r="K414">
        <v>13.68</v>
      </c>
      <c r="L414">
        <v>0</v>
      </c>
      <c r="M414">
        <v>0.03</v>
      </c>
      <c r="N414">
        <v>1200</v>
      </c>
      <c r="O414">
        <v>218.46</v>
      </c>
      <c r="P414">
        <v>1449.1</v>
      </c>
      <c r="Q414">
        <f t="shared" si="60"/>
        <v>2024</v>
      </c>
      <c r="R414">
        <f t="shared" si="61"/>
        <v>3</v>
      </c>
      <c r="S414">
        <f t="shared" si="62"/>
        <v>2023</v>
      </c>
      <c r="T414">
        <f t="shared" si="63"/>
        <v>12</v>
      </c>
      <c r="U414">
        <f t="shared" si="64"/>
        <v>12</v>
      </c>
      <c r="V414" t="str">
        <f t="shared" si="65"/>
        <v>202312</v>
      </c>
      <c r="W414" t="str">
        <f t="shared" si="66"/>
        <v>Mar-24</v>
      </c>
      <c r="X414" s="3">
        <f t="shared" si="67"/>
        <v>25640.9</v>
      </c>
      <c r="Y414">
        <f t="shared" si="68"/>
        <v>25640.9</v>
      </c>
      <c r="Z414" t="str">
        <f t="shared" si="69"/>
        <v/>
      </c>
    </row>
    <row r="415" spans="1:26" x14ac:dyDescent="0.25">
      <c r="A415" s="1">
        <v>45364</v>
      </c>
      <c r="B415" t="s">
        <v>412</v>
      </c>
      <c r="C415" t="s">
        <v>17</v>
      </c>
      <c r="D415" t="s">
        <v>22</v>
      </c>
      <c r="E415">
        <v>900</v>
      </c>
      <c r="F415">
        <v>0</v>
      </c>
      <c r="G415">
        <v>49.1</v>
      </c>
      <c r="H415">
        <v>44190</v>
      </c>
      <c r="I415" t="s">
        <v>414</v>
      </c>
      <c r="J415">
        <v>0</v>
      </c>
      <c r="K415">
        <v>22.32</v>
      </c>
      <c r="L415">
        <v>1.33</v>
      </c>
      <c r="M415">
        <v>0.03</v>
      </c>
      <c r="N415">
        <v>1200</v>
      </c>
      <c r="O415">
        <v>220</v>
      </c>
      <c r="P415">
        <v>1443.68</v>
      </c>
      <c r="Q415">
        <f t="shared" si="60"/>
        <v>2024</v>
      </c>
      <c r="R415">
        <f t="shared" si="61"/>
        <v>3</v>
      </c>
      <c r="S415">
        <f t="shared" si="62"/>
        <v>2023</v>
      </c>
      <c r="T415">
        <f t="shared" si="63"/>
        <v>12</v>
      </c>
      <c r="U415">
        <f t="shared" si="64"/>
        <v>12</v>
      </c>
      <c r="V415" t="str">
        <f t="shared" si="65"/>
        <v>202312</v>
      </c>
      <c r="W415" t="str">
        <f t="shared" si="66"/>
        <v>Mar-24</v>
      </c>
      <c r="X415" s="3">
        <f t="shared" si="67"/>
        <v>-45633.68</v>
      </c>
      <c r="Y415" t="str">
        <f t="shared" si="68"/>
        <v/>
      </c>
      <c r="Z415">
        <f t="shared" si="69"/>
        <v>-45633.68</v>
      </c>
    </row>
    <row r="416" spans="1:26" x14ac:dyDescent="0.25">
      <c r="A416" s="1">
        <v>45364</v>
      </c>
      <c r="B416" t="s">
        <v>415</v>
      </c>
      <c r="C416" t="s">
        <v>17</v>
      </c>
      <c r="D416" t="s">
        <v>18</v>
      </c>
      <c r="E416">
        <v>300</v>
      </c>
      <c r="F416">
        <v>0</v>
      </c>
      <c r="G416">
        <v>78.31</v>
      </c>
      <c r="H416">
        <v>23491.5</v>
      </c>
      <c r="I416" t="s">
        <v>416</v>
      </c>
      <c r="J416">
        <v>14.68</v>
      </c>
      <c r="K416">
        <v>11.87</v>
      </c>
      <c r="L416">
        <v>0</v>
      </c>
      <c r="M416">
        <v>0.02</v>
      </c>
      <c r="N416">
        <v>400</v>
      </c>
      <c r="O416">
        <v>74.14</v>
      </c>
      <c r="P416">
        <v>500.71</v>
      </c>
      <c r="Q416">
        <f t="shared" si="60"/>
        <v>2024</v>
      </c>
      <c r="R416">
        <f t="shared" si="61"/>
        <v>3</v>
      </c>
      <c r="S416">
        <f t="shared" si="62"/>
        <v>2023</v>
      </c>
      <c r="T416">
        <f t="shared" si="63"/>
        <v>12</v>
      </c>
      <c r="U416">
        <f t="shared" si="64"/>
        <v>12</v>
      </c>
      <c r="V416" t="str">
        <f t="shared" si="65"/>
        <v>202312</v>
      </c>
      <c r="W416" t="str">
        <f t="shared" si="66"/>
        <v>Mar-24</v>
      </c>
      <c r="X416" s="3">
        <f t="shared" si="67"/>
        <v>22990.79</v>
      </c>
      <c r="Y416">
        <f t="shared" si="68"/>
        <v>22990.79</v>
      </c>
      <c r="Z416" t="str">
        <f t="shared" si="69"/>
        <v/>
      </c>
    </row>
    <row r="417" spans="1:26" x14ac:dyDescent="0.25">
      <c r="A417" s="1">
        <v>45364</v>
      </c>
      <c r="B417" t="s">
        <v>415</v>
      </c>
      <c r="C417" t="s">
        <v>17</v>
      </c>
      <c r="D417" t="s">
        <v>22</v>
      </c>
      <c r="E417">
        <v>300</v>
      </c>
      <c r="F417">
        <v>0</v>
      </c>
      <c r="G417">
        <v>105.45</v>
      </c>
      <c r="H417">
        <v>31635</v>
      </c>
      <c r="I417" t="s">
        <v>417</v>
      </c>
      <c r="J417">
        <v>0</v>
      </c>
      <c r="K417">
        <v>15.98</v>
      </c>
      <c r="L417">
        <v>0.95</v>
      </c>
      <c r="M417">
        <v>0.03</v>
      </c>
      <c r="N417">
        <v>400</v>
      </c>
      <c r="O417">
        <v>74.88</v>
      </c>
      <c r="P417">
        <v>491.84</v>
      </c>
      <c r="Q417">
        <f t="shared" si="60"/>
        <v>2024</v>
      </c>
      <c r="R417">
        <f t="shared" si="61"/>
        <v>3</v>
      </c>
      <c r="S417">
        <f t="shared" si="62"/>
        <v>2023</v>
      </c>
      <c r="T417">
        <f t="shared" si="63"/>
        <v>12</v>
      </c>
      <c r="U417">
        <f t="shared" si="64"/>
        <v>12</v>
      </c>
      <c r="V417" t="str">
        <f t="shared" si="65"/>
        <v>202312</v>
      </c>
      <c r="W417" t="str">
        <f t="shared" si="66"/>
        <v>Mar-24</v>
      </c>
      <c r="X417" s="3">
        <f t="shared" si="67"/>
        <v>-32126.84</v>
      </c>
      <c r="Y417" t="str">
        <f t="shared" si="68"/>
        <v/>
      </c>
      <c r="Z417">
        <f t="shared" si="69"/>
        <v>-32126.84</v>
      </c>
    </row>
    <row r="418" spans="1:26" x14ac:dyDescent="0.25">
      <c r="A418" s="1">
        <v>45364</v>
      </c>
      <c r="B418" t="s">
        <v>418</v>
      </c>
      <c r="C418" t="s">
        <v>17</v>
      </c>
      <c r="D418" t="s">
        <v>18</v>
      </c>
      <c r="E418">
        <v>600</v>
      </c>
      <c r="F418">
        <v>0</v>
      </c>
      <c r="G418">
        <v>40.39</v>
      </c>
      <c r="H418">
        <v>24234.75</v>
      </c>
      <c r="I418" t="s">
        <v>419</v>
      </c>
      <c r="J418">
        <v>15.18</v>
      </c>
      <c r="K418">
        <v>12.23</v>
      </c>
      <c r="L418">
        <v>0</v>
      </c>
      <c r="M418">
        <v>0</v>
      </c>
      <c r="N418">
        <v>800</v>
      </c>
      <c r="O418">
        <v>146.16</v>
      </c>
      <c r="P418">
        <v>973.57</v>
      </c>
      <c r="Q418">
        <f t="shared" si="60"/>
        <v>2024</v>
      </c>
      <c r="R418">
        <f t="shared" si="61"/>
        <v>3</v>
      </c>
      <c r="S418">
        <f t="shared" si="62"/>
        <v>2023</v>
      </c>
      <c r="T418">
        <f t="shared" si="63"/>
        <v>12</v>
      </c>
      <c r="U418">
        <f t="shared" si="64"/>
        <v>12</v>
      </c>
      <c r="V418" t="str">
        <f t="shared" si="65"/>
        <v>202312</v>
      </c>
      <c r="W418" t="str">
        <f t="shared" si="66"/>
        <v>Mar-24</v>
      </c>
      <c r="X418" s="3">
        <f t="shared" si="67"/>
        <v>23261.18</v>
      </c>
      <c r="Y418">
        <f t="shared" si="68"/>
        <v>23261.18</v>
      </c>
      <c r="Z418" t="str">
        <f t="shared" si="69"/>
        <v/>
      </c>
    </row>
    <row r="419" spans="1:26" x14ac:dyDescent="0.25">
      <c r="A419" s="1">
        <v>45364</v>
      </c>
      <c r="B419" t="s">
        <v>418</v>
      </c>
      <c r="C419" t="s">
        <v>17</v>
      </c>
      <c r="D419" t="s">
        <v>22</v>
      </c>
      <c r="E419">
        <v>600</v>
      </c>
      <c r="F419">
        <v>0</v>
      </c>
      <c r="G419">
        <v>47.95</v>
      </c>
      <c r="H419">
        <v>28771.5</v>
      </c>
      <c r="I419" t="s">
        <v>420</v>
      </c>
      <c r="J419">
        <v>0</v>
      </c>
      <c r="K419">
        <v>14.54</v>
      </c>
      <c r="L419">
        <v>2.84</v>
      </c>
      <c r="M419">
        <v>0.03</v>
      </c>
      <c r="N419">
        <v>800</v>
      </c>
      <c r="O419">
        <v>146.63999999999999</v>
      </c>
      <c r="P419">
        <v>964.05</v>
      </c>
      <c r="Q419">
        <f t="shared" si="60"/>
        <v>2024</v>
      </c>
      <c r="R419">
        <f t="shared" si="61"/>
        <v>3</v>
      </c>
      <c r="S419">
        <f t="shared" si="62"/>
        <v>2023</v>
      </c>
      <c r="T419">
        <f t="shared" si="63"/>
        <v>12</v>
      </c>
      <c r="U419">
        <f t="shared" si="64"/>
        <v>12</v>
      </c>
      <c r="V419" t="str">
        <f t="shared" si="65"/>
        <v>202312</v>
      </c>
      <c r="W419" t="str">
        <f t="shared" si="66"/>
        <v>Mar-24</v>
      </c>
      <c r="X419" s="3">
        <f t="shared" si="67"/>
        <v>-29735.55</v>
      </c>
      <c r="Y419" t="str">
        <f t="shared" si="68"/>
        <v/>
      </c>
      <c r="Z419">
        <f t="shared" si="69"/>
        <v>-29735.55</v>
      </c>
    </row>
    <row r="420" spans="1:26" x14ac:dyDescent="0.25">
      <c r="A420" s="1">
        <v>45364</v>
      </c>
      <c r="B420" t="s">
        <v>418</v>
      </c>
      <c r="C420" t="s">
        <v>17</v>
      </c>
      <c r="D420" t="s">
        <v>18</v>
      </c>
      <c r="E420">
        <v>210</v>
      </c>
      <c r="F420">
        <v>0</v>
      </c>
      <c r="G420">
        <v>61.5</v>
      </c>
      <c r="H420">
        <v>12915</v>
      </c>
      <c r="I420" t="s">
        <v>421</v>
      </c>
      <c r="J420">
        <v>8.07</v>
      </c>
      <c r="K420">
        <v>6.52</v>
      </c>
      <c r="L420">
        <v>0</v>
      </c>
      <c r="M420">
        <v>0.01</v>
      </c>
      <c r="N420">
        <v>280</v>
      </c>
      <c r="O420">
        <v>51.58</v>
      </c>
      <c r="P420">
        <v>346.18</v>
      </c>
      <c r="Q420">
        <f t="shared" si="60"/>
        <v>2024</v>
      </c>
      <c r="R420">
        <f t="shared" si="61"/>
        <v>3</v>
      </c>
      <c r="S420">
        <f t="shared" si="62"/>
        <v>2023</v>
      </c>
      <c r="T420">
        <f t="shared" si="63"/>
        <v>12</v>
      </c>
      <c r="U420">
        <f t="shared" si="64"/>
        <v>12</v>
      </c>
      <c r="V420" t="str">
        <f t="shared" si="65"/>
        <v>202312</v>
      </c>
      <c r="W420" t="str">
        <f t="shared" si="66"/>
        <v>Mar-24</v>
      </c>
      <c r="X420" s="3">
        <f t="shared" si="67"/>
        <v>12568.82</v>
      </c>
      <c r="Y420">
        <f t="shared" si="68"/>
        <v>12568.82</v>
      </c>
      <c r="Z420" t="str">
        <f t="shared" si="69"/>
        <v/>
      </c>
    </row>
    <row r="421" spans="1:26" x14ac:dyDescent="0.25">
      <c r="A421" s="1">
        <v>45364</v>
      </c>
      <c r="B421" t="s">
        <v>418</v>
      </c>
      <c r="C421" t="s">
        <v>17</v>
      </c>
      <c r="D421" t="s">
        <v>22</v>
      </c>
      <c r="E421">
        <v>105</v>
      </c>
      <c r="F421">
        <v>0</v>
      </c>
      <c r="G421">
        <v>72.349999999999994</v>
      </c>
      <c r="H421">
        <v>7596.75</v>
      </c>
      <c r="I421" t="s">
        <v>422</v>
      </c>
      <c r="J421">
        <v>0</v>
      </c>
      <c r="K421">
        <v>3.84</v>
      </c>
      <c r="L421">
        <v>0</v>
      </c>
      <c r="M421">
        <v>0.01</v>
      </c>
      <c r="N421">
        <v>140</v>
      </c>
      <c r="O421">
        <v>25.9</v>
      </c>
      <c r="P421">
        <v>169.75</v>
      </c>
      <c r="Q421">
        <f t="shared" si="60"/>
        <v>2024</v>
      </c>
      <c r="R421">
        <f t="shared" si="61"/>
        <v>3</v>
      </c>
      <c r="S421">
        <f t="shared" si="62"/>
        <v>2023</v>
      </c>
      <c r="T421">
        <f t="shared" si="63"/>
        <v>12</v>
      </c>
      <c r="U421">
        <f t="shared" si="64"/>
        <v>12</v>
      </c>
      <c r="V421" t="str">
        <f t="shared" si="65"/>
        <v>202312</v>
      </c>
      <c r="W421" t="str">
        <f t="shared" si="66"/>
        <v>Mar-24</v>
      </c>
      <c r="X421" s="3">
        <f t="shared" si="67"/>
        <v>-7766.5</v>
      </c>
      <c r="Y421" t="str">
        <f t="shared" si="68"/>
        <v/>
      </c>
      <c r="Z421">
        <f t="shared" si="69"/>
        <v>-7766.5</v>
      </c>
    </row>
    <row r="422" spans="1:26" x14ac:dyDescent="0.25">
      <c r="A422" s="1">
        <v>45364</v>
      </c>
      <c r="B422" t="s">
        <v>418</v>
      </c>
      <c r="C422" t="s">
        <v>17</v>
      </c>
      <c r="D422" t="s">
        <v>22</v>
      </c>
      <c r="E422">
        <v>105</v>
      </c>
      <c r="F422">
        <v>0</v>
      </c>
      <c r="G422">
        <v>107.45</v>
      </c>
      <c r="H422">
        <v>11282.25</v>
      </c>
      <c r="I422" t="s">
        <v>423</v>
      </c>
      <c r="J422">
        <v>0</v>
      </c>
      <c r="K422">
        <v>5.7</v>
      </c>
      <c r="L422">
        <v>0</v>
      </c>
      <c r="M422">
        <v>0.01</v>
      </c>
      <c r="N422">
        <v>140</v>
      </c>
      <c r="O422">
        <v>26.22</v>
      </c>
      <c r="P422">
        <v>171.93</v>
      </c>
      <c r="Q422">
        <f t="shared" si="60"/>
        <v>2024</v>
      </c>
      <c r="R422">
        <f t="shared" si="61"/>
        <v>3</v>
      </c>
      <c r="S422">
        <f t="shared" si="62"/>
        <v>2023</v>
      </c>
      <c r="T422">
        <f t="shared" si="63"/>
        <v>12</v>
      </c>
      <c r="U422">
        <f t="shared" si="64"/>
        <v>12</v>
      </c>
      <c r="V422" t="str">
        <f t="shared" si="65"/>
        <v>202312</v>
      </c>
      <c r="W422" t="str">
        <f t="shared" si="66"/>
        <v>Mar-24</v>
      </c>
      <c r="X422" s="3">
        <f t="shared" si="67"/>
        <v>-11454.18</v>
      </c>
      <c r="Y422" t="str">
        <f t="shared" si="68"/>
        <v/>
      </c>
      <c r="Z422">
        <f t="shared" si="69"/>
        <v>-11454.18</v>
      </c>
    </row>
    <row r="423" spans="1:26" x14ac:dyDescent="0.25">
      <c r="A423" s="1">
        <v>45364</v>
      </c>
      <c r="B423" t="s">
        <v>424</v>
      </c>
      <c r="C423" t="s">
        <v>17</v>
      </c>
      <c r="D423" t="s">
        <v>18</v>
      </c>
      <c r="E423">
        <v>240</v>
      </c>
      <c r="F423">
        <v>0</v>
      </c>
      <c r="G423">
        <v>143.75</v>
      </c>
      <c r="H423">
        <v>34500</v>
      </c>
      <c r="I423" t="s">
        <v>425</v>
      </c>
      <c r="J423">
        <v>21.56</v>
      </c>
      <c r="K423">
        <v>17.420000000000002</v>
      </c>
      <c r="L423">
        <v>0</v>
      </c>
      <c r="M423">
        <v>0.04</v>
      </c>
      <c r="N423">
        <v>320</v>
      </c>
      <c r="O423">
        <v>60.76</v>
      </c>
      <c r="P423">
        <v>419.78</v>
      </c>
      <c r="Q423">
        <f t="shared" si="60"/>
        <v>2024</v>
      </c>
      <c r="R423">
        <f t="shared" si="61"/>
        <v>3</v>
      </c>
      <c r="S423">
        <f t="shared" si="62"/>
        <v>2023</v>
      </c>
      <c r="T423">
        <f t="shared" si="63"/>
        <v>12</v>
      </c>
      <c r="U423">
        <f t="shared" si="64"/>
        <v>12</v>
      </c>
      <c r="V423" t="str">
        <f t="shared" si="65"/>
        <v>202312</v>
      </c>
      <c r="W423" t="str">
        <f t="shared" si="66"/>
        <v>Mar-24</v>
      </c>
      <c r="X423" s="3">
        <f t="shared" si="67"/>
        <v>34080.22</v>
      </c>
      <c r="Y423">
        <f t="shared" si="68"/>
        <v>34080.22</v>
      </c>
      <c r="Z423" t="str">
        <f t="shared" si="69"/>
        <v/>
      </c>
    </row>
    <row r="424" spans="1:26" x14ac:dyDescent="0.25">
      <c r="A424" s="1">
        <v>45364</v>
      </c>
      <c r="B424" t="s">
        <v>424</v>
      </c>
      <c r="C424" t="s">
        <v>17</v>
      </c>
      <c r="D424" t="s">
        <v>22</v>
      </c>
      <c r="E424">
        <v>240</v>
      </c>
      <c r="F424">
        <v>0</v>
      </c>
      <c r="G424">
        <v>122.9</v>
      </c>
      <c r="H424">
        <v>29496</v>
      </c>
      <c r="I424" t="s">
        <v>426</v>
      </c>
      <c r="J424">
        <v>0</v>
      </c>
      <c r="K424">
        <v>14.9</v>
      </c>
      <c r="L424">
        <v>0.88</v>
      </c>
      <c r="M424">
        <v>0.03</v>
      </c>
      <c r="N424">
        <v>320</v>
      </c>
      <c r="O424">
        <v>60.28</v>
      </c>
      <c r="P424">
        <v>396.09</v>
      </c>
      <c r="Q424">
        <f t="shared" si="60"/>
        <v>2024</v>
      </c>
      <c r="R424">
        <f t="shared" si="61"/>
        <v>3</v>
      </c>
      <c r="S424">
        <f t="shared" si="62"/>
        <v>2023</v>
      </c>
      <c r="T424">
        <f t="shared" si="63"/>
        <v>12</v>
      </c>
      <c r="U424">
        <f t="shared" si="64"/>
        <v>12</v>
      </c>
      <c r="V424" t="str">
        <f t="shared" si="65"/>
        <v>202312</v>
      </c>
      <c r="W424" t="str">
        <f t="shared" si="66"/>
        <v>Mar-24</v>
      </c>
      <c r="X424" s="3">
        <f t="shared" si="67"/>
        <v>-29892.09</v>
      </c>
      <c r="Y424" t="str">
        <f t="shared" si="68"/>
        <v/>
      </c>
      <c r="Z424">
        <f t="shared" si="69"/>
        <v>-29892.09</v>
      </c>
    </row>
    <row r="425" spans="1:26" x14ac:dyDescent="0.25">
      <c r="A425" s="1">
        <v>45364</v>
      </c>
      <c r="B425" t="s">
        <v>418</v>
      </c>
      <c r="C425" t="s">
        <v>17</v>
      </c>
      <c r="D425" t="s">
        <v>18</v>
      </c>
      <c r="E425">
        <v>240</v>
      </c>
      <c r="F425">
        <v>0</v>
      </c>
      <c r="G425">
        <v>110.61</v>
      </c>
      <c r="H425">
        <v>26547</v>
      </c>
      <c r="I425" t="s">
        <v>427</v>
      </c>
      <c r="J425">
        <v>16.59</v>
      </c>
      <c r="K425">
        <v>13.41</v>
      </c>
      <c r="L425">
        <v>0</v>
      </c>
      <c r="M425">
        <v>0.02</v>
      </c>
      <c r="N425">
        <v>320</v>
      </c>
      <c r="O425">
        <v>60.04</v>
      </c>
      <c r="P425">
        <v>410.06</v>
      </c>
      <c r="Q425">
        <f t="shared" si="60"/>
        <v>2024</v>
      </c>
      <c r="R425">
        <f t="shared" si="61"/>
        <v>3</v>
      </c>
      <c r="S425">
        <f t="shared" si="62"/>
        <v>2023</v>
      </c>
      <c r="T425">
        <f t="shared" si="63"/>
        <v>12</v>
      </c>
      <c r="U425">
        <f t="shared" si="64"/>
        <v>12</v>
      </c>
      <c r="V425" t="str">
        <f t="shared" si="65"/>
        <v>202312</v>
      </c>
      <c r="W425" t="str">
        <f t="shared" si="66"/>
        <v>Mar-24</v>
      </c>
      <c r="X425" s="3">
        <f t="shared" si="67"/>
        <v>26136.94</v>
      </c>
      <c r="Y425">
        <f t="shared" si="68"/>
        <v>26136.94</v>
      </c>
      <c r="Z425" t="str">
        <f t="shared" si="69"/>
        <v/>
      </c>
    </row>
    <row r="426" spans="1:26" x14ac:dyDescent="0.25">
      <c r="A426" s="1">
        <v>45364</v>
      </c>
      <c r="B426" t="s">
        <v>418</v>
      </c>
      <c r="C426" t="s">
        <v>17</v>
      </c>
      <c r="D426" t="s">
        <v>22</v>
      </c>
      <c r="E426">
        <v>120</v>
      </c>
      <c r="F426">
        <v>0</v>
      </c>
      <c r="G426">
        <v>126.05</v>
      </c>
      <c r="H426">
        <v>15126</v>
      </c>
      <c r="I426" t="s">
        <v>428</v>
      </c>
      <c r="J426">
        <v>0</v>
      </c>
      <c r="K426">
        <v>7.64</v>
      </c>
      <c r="L426">
        <v>0</v>
      </c>
      <c r="M426">
        <v>0.01</v>
      </c>
      <c r="N426">
        <v>160</v>
      </c>
      <c r="O426">
        <v>30.16</v>
      </c>
      <c r="P426">
        <v>197.81</v>
      </c>
      <c r="Q426">
        <f t="shared" si="60"/>
        <v>2024</v>
      </c>
      <c r="R426">
        <f t="shared" si="61"/>
        <v>3</v>
      </c>
      <c r="S426">
        <f t="shared" si="62"/>
        <v>2023</v>
      </c>
      <c r="T426">
        <f t="shared" si="63"/>
        <v>12</v>
      </c>
      <c r="U426">
        <f t="shared" si="64"/>
        <v>12</v>
      </c>
      <c r="V426" t="str">
        <f t="shared" si="65"/>
        <v>202312</v>
      </c>
      <c r="W426" t="str">
        <f t="shared" si="66"/>
        <v>Mar-24</v>
      </c>
      <c r="X426" s="3">
        <f t="shared" si="67"/>
        <v>-15323.81</v>
      </c>
      <c r="Y426" t="str">
        <f t="shared" si="68"/>
        <v/>
      </c>
      <c r="Z426">
        <f t="shared" si="69"/>
        <v>-15323.81</v>
      </c>
    </row>
    <row r="427" spans="1:26" x14ac:dyDescent="0.25">
      <c r="A427" s="1">
        <v>45364</v>
      </c>
      <c r="B427" t="s">
        <v>418</v>
      </c>
      <c r="C427" t="s">
        <v>17</v>
      </c>
      <c r="D427" t="s">
        <v>22</v>
      </c>
      <c r="E427">
        <v>120</v>
      </c>
      <c r="F427">
        <v>0</v>
      </c>
      <c r="G427">
        <v>140.22999999999999</v>
      </c>
      <c r="H427">
        <v>16827.75</v>
      </c>
      <c r="I427" t="s">
        <v>429</v>
      </c>
      <c r="J427">
        <v>0</v>
      </c>
      <c r="K427">
        <v>8.5</v>
      </c>
      <c r="L427">
        <v>0</v>
      </c>
      <c r="M427">
        <v>0.02</v>
      </c>
      <c r="N427">
        <v>160</v>
      </c>
      <c r="O427">
        <v>30.34</v>
      </c>
      <c r="P427">
        <v>198.86</v>
      </c>
      <c r="Q427">
        <f t="shared" si="60"/>
        <v>2024</v>
      </c>
      <c r="R427">
        <f t="shared" si="61"/>
        <v>3</v>
      </c>
      <c r="S427">
        <f t="shared" si="62"/>
        <v>2023</v>
      </c>
      <c r="T427">
        <f t="shared" si="63"/>
        <v>12</v>
      </c>
      <c r="U427">
        <f t="shared" si="64"/>
        <v>12</v>
      </c>
      <c r="V427" t="str">
        <f t="shared" si="65"/>
        <v>202312</v>
      </c>
      <c r="W427" t="str">
        <f t="shared" si="66"/>
        <v>Mar-24</v>
      </c>
      <c r="X427" s="3">
        <f t="shared" si="67"/>
        <v>-17026.61</v>
      </c>
      <c r="Y427" t="str">
        <f t="shared" si="68"/>
        <v/>
      </c>
      <c r="Z427">
        <f t="shared" si="69"/>
        <v>-17026.61</v>
      </c>
    </row>
    <row r="428" spans="1:26" x14ac:dyDescent="0.25">
      <c r="A428" s="1">
        <v>45365</v>
      </c>
      <c r="B428" t="s">
        <v>401</v>
      </c>
      <c r="C428" t="s">
        <v>17</v>
      </c>
      <c r="D428" t="s">
        <v>18</v>
      </c>
      <c r="E428">
        <v>45</v>
      </c>
      <c r="F428">
        <v>0</v>
      </c>
      <c r="G428">
        <v>283.2</v>
      </c>
      <c r="H428">
        <v>12744</v>
      </c>
      <c r="I428" t="s">
        <v>402</v>
      </c>
      <c r="J428">
        <v>7.97</v>
      </c>
      <c r="K428">
        <v>6.44</v>
      </c>
      <c r="L428">
        <v>0</v>
      </c>
      <c r="M428">
        <v>0.01</v>
      </c>
      <c r="N428">
        <v>60</v>
      </c>
      <c r="O428">
        <v>11.96</v>
      </c>
      <c r="P428">
        <v>86.38</v>
      </c>
      <c r="Q428">
        <f t="shared" si="60"/>
        <v>2024</v>
      </c>
      <c r="R428">
        <f t="shared" si="61"/>
        <v>3</v>
      </c>
      <c r="S428">
        <f t="shared" si="62"/>
        <v>2023</v>
      </c>
      <c r="T428">
        <f t="shared" si="63"/>
        <v>12</v>
      </c>
      <c r="U428">
        <f t="shared" si="64"/>
        <v>12</v>
      </c>
      <c r="V428" t="str">
        <f t="shared" si="65"/>
        <v>202312</v>
      </c>
      <c r="W428" t="str">
        <f t="shared" si="66"/>
        <v>Mar-24</v>
      </c>
      <c r="X428" s="3">
        <f t="shared" si="67"/>
        <v>12657.62</v>
      </c>
      <c r="Y428">
        <f t="shared" si="68"/>
        <v>12657.62</v>
      </c>
      <c r="Z428" t="str">
        <f t="shared" si="69"/>
        <v/>
      </c>
    </row>
    <row r="429" spans="1:26" x14ac:dyDescent="0.25">
      <c r="A429" s="1">
        <v>45365</v>
      </c>
      <c r="B429" t="s">
        <v>401</v>
      </c>
      <c r="C429" t="s">
        <v>17</v>
      </c>
      <c r="D429" t="s">
        <v>22</v>
      </c>
      <c r="E429">
        <v>30</v>
      </c>
      <c r="F429">
        <v>0</v>
      </c>
      <c r="G429">
        <v>488.45</v>
      </c>
      <c r="H429">
        <v>14653.5</v>
      </c>
      <c r="I429" t="s">
        <v>403</v>
      </c>
      <c r="J429">
        <v>0</v>
      </c>
      <c r="K429">
        <v>7.4</v>
      </c>
      <c r="L429">
        <v>0.3</v>
      </c>
      <c r="M429">
        <v>0.01</v>
      </c>
      <c r="N429">
        <v>40</v>
      </c>
      <c r="O429">
        <v>8.5399999999999991</v>
      </c>
      <c r="P429">
        <v>56.25</v>
      </c>
      <c r="Q429">
        <f t="shared" si="60"/>
        <v>2024</v>
      </c>
      <c r="R429">
        <f t="shared" si="61"/>
        <v>3</v>
      </c>
      <c r="S429">
        <f t="shared" si="62"/>
        <v>2023</v>
      </c>
      <c r="T429">
        <f t="shared" si="63"/>
        <v>12</v>
      </c>
      <c r="U429">
        <f t="shared" si="64"/>
        <v>12</v>
      </c>
      <c r="V429" t="str">
        <f t="shared" si="65"/>
        <v>202312</v>
      </c>
      <c r="W429" t="str">
        <f t="shared" si="66"/>
        <v>Mar-24</v>
      </c>
      <c r="X429" s="3">
        <f t="shared" si="67"/>
        <v>-14709.75</v>
      </c>
      <c r="Y429" t="str">
        <f t="shared" si="68"/>
        <v/>
      </c>
      <c r="Z429">
        <f t="shared" si="69"/>
        <v>-14709.75</v>
      </c>
    </row>
    <row r="430" spans="1:26" x14ac:dyDescent="0.25">
      <c r="A430" s="1">
        <v>45365</v>
      </c>
      <c r="B430" t="s">
        <v>401</v>
      </c>
      <c r="C430" t="s">
        <v>17</v>
      </c>
      <c r="D430" t="s">
        <v>22</v>
      </c>
      <c r="E430">
        <v>15</v>
      </c>
      <c r="F430">
        <v>0</v>
      </c>
      <c r="G430">
        <v>479.1</v>
      </c>
      <c r="H430">
        <v>7186.5</v>
      </c>
      <c r="I430" t="s">
        <v>404</v>
      </c>
      <c r="J430">
        <v>0</v>
      </c>
      <c r="K430">
        <v>3.63</v>
      </c>
      <c r="L430">
        <v>0</v>
      </c>
      <c r="M430">
        <v>0.01</v>
      </c>
      <c r="N430">
        <v>20</v>
      </c>
      <c r="O430">
        <v>4.26</v>
      </c>
      <c r="P430">
        <v>27.9</v>
      </c>
      <c r="Q430">
        <f t="shared" si="60"/>
        <v>2024</v>
      </c>
      <c r="R430">
        <f t="shared" si="61"/>
        <v>3</v>
      </c>
      <c r="S430">
        <f t="shared" si="62"/>
        <v>2023</v>
      </c>
      <c r="T430">
        <f t="shared" si="63"/>
        <v>12</v>
      </c>
      <c r="U430">
        <f t="shared" si="64"/>
        <v>12</v>
      </c>
      <c r="V430" t="str">
        <f t="shared" si="65"/>
        <v>202312</v>
      </c>
      <c r="W430" t="str">
        <f t="shared" si="66"/>
        <v>Mar-24</v>
      </c>
      <c r="X430" s="3">
        <f t="shared" si="67"/>
        <v>-7214.4</v>
      </c>
      <c r="Y430" t="str">
        <f t="shared" si="68"/>
        <v/>
      </c>
      <c r="Z430">
        <f t="shared" si="69"/>
        <v>-7214.4</v>
      </c>
    </row>
    <row r="431" spans="1:26" x14ac:dyDescent="0.25">
      <c r="A431" s="1">
        <v>45365</v>
      </c>
      <c r="B431" t="s">
        <v>405</v>
      </c>
      <c r="C431" t="s">
        <v>17</v>
      </c>
      <c r="D431" t="s">
        <v>18</v>
      </c>
      <c r="E431">
        <v>30</v>
      </c>
      <c r="F431">
        <v>0</v>
      </c>
      <c r="G431">
        <v>590.04999999999995</v>
      </c>
      <c r="H431">
        <v>17701.5</v>
      </c>
      <c r="I431" t="s">
        <v>406</v>
      </c>
      <c r="J431">
        <v>11.06</v>
      </c>
      <c r="K431">
        <v>8.94</v>
      </c>
      <c r="L431">
        <v>0</v>
      </c>
      <c r="M431">
        <v>0.02</v>
      </c>
      <c r="N431">
        <v>40</v>
      </c>
      <c r="O431">
        <v>8.8000000000000007</v>
      </c>
      <c r="P431">
        <v>68.819999999999993</v>
      </c>
      <c r="Q431">
        <f t="shared" si="60"/>
        <v>2024</v>
      </c>
      <c r="R431">
        <f t="shared" si="61"/>
        <v>3</v>
      </c>
      <c r="S431">
        <f t="shared" si="62"/>
        <v>2023</v>
      </c>
      <c r="T431">
        <f t="shared" si="63"/>
        <v>12</v>
      </c>
      <c r="U431">
        <f t="shared" si="64"/>
        <v>12</v>
      </c>
      <c r="V431" t="str">
        <f t="shared" si="65"/>
        <v>202312</v>
      </c>
      <c r="W431" t="str">
        <f t="shared" si="66"/>
        <v>Mar-24</v>
      </c>
      <c r="X431" s="3">
        <f t="shared" si="67"/>
        <v>17632.68</v>
      </c>
      <c r="Y431">
        <f t="shared" si="68"/>
        <v>17632.68</v>
      </c>
      <c r="Z431" t="str">
        <f t="shared" si="69"/>
        <v/>
      </c>
    </row>
    <row r="432" spans="1:26" x14ac:dyDescent="0.25">
      <c r="A432" s="1">
        <v>45365</v>
      </c>
      <c r="B432" t="s">
        <v>405</v>
      </c>
      <c r="C432" t="s">
        <v>17</v>
      </c>
      <c r="D432" t="s">
        <v>22</v>
      </c>
      <c r="E432">
        <v>15</v>
      </c>
      <c r="F432">
        <v>0</v>
      </c>
      <c r="G432">
        <v>486.45</v>
      </c>
      <c r="H432">
        <v>7296.75</v>
      </c>
      <c r="I432" t="s">
        <v>407</v>
      </c>
      <c r="J432">
        <v>0</v>
      </c>
      <c r="K432">
        <v>3.68</v>
      </c>
      <c r="L432">
        <v>0.46</v>
      </c>
      <c r="M432">
        <v>0.01</v>
      </c>
      <c r="N432">
        <v>20</v>
      </c>
      <c r="O432">
        <v>4.26</v>
      </c>
      <c r="P432">
        <v>28.41</v>
      </c>
      <c r="Q432">
        <f t="shared" si="60"/>
        <v>2024</v>
      </c>
      <c r="R432">
        <f t="shared" si="61"/>
        <v>3</v>
      </c>
      <c r="S432">
        <f t="shared" si="62"/>
        <v>2023</v>
      </c>
      <c r="T432">
        <f t="shared" si="63"/>
        <v>12</v>
      </c>
      <c r="U432">
        <f t="shared" si="64"/>
        <v>12</v>
      </c>
      <c r="V432" t="str">
        <f t="shared" si="65"/>
        <v>202312</v>
      </c>
      <c r="W432" t="str">
        <f t="shared" si="66"/>
        <v>Mar-24</v>
      </c>
      <c r="X432" s="3">
        <f t="shared" si="67"/>
        <v>-7325.16</v>
      </c>
      <c r="Y432" t="str">
        <f t="shared" si="68"/>
        <v/>
      </c>
      <c r="Z432">
        <f t="shared" si="69"/>
        <v>-7325.16</v>
      </c>
    </row>
    <row r="433" spans="1:26" x14ac:dyDescent="0.25">
      <c r="A433" s="1">
        <v>45365</v>
      </c>
      <c r="B433" t="s">
        <v>405</v>
      </c>
      <c r="C433" t="s">
        <v>17</v>
      </c>
      <c r="D433" t="s">
        <v>22</v>
      </c>
      <c r="E433">
        <v>15</v>
      </c>
      <c r="F433">
        <v>0</v>
      </c>
      <c r="G433">
        <v>529.70000000000005</v>
      </c>
      <c r="H433">
        <v>7945.5</v>
      </c>
      <c r="I433" t="s">
        <v>408</v>
      </c>
      <c r="J433">
        <v>0</v>
      </c>
      <c r="K433">
        <v>4.01</v>
      </c>
      <c r="L433">
        <v>0</v>
      </c>
      <c r="M433">
        <v>0.01</v>
      </c>
      <c r="N433">
        <v>20</v>
      </c>
      <c r="O433">
        <v>4.32</v>
      </c>
      <c r="P433">
        <v>28.34</v>
      </c>
      <c r="Q433">
        <f t="shared" si="60"/>
        <v>2024</v>
      </c>
      <c r="R433">
        <f t="shared" si="61"/>
        <v>3</v>
      </c>
      <c r="S433">
        <f t="shared" si="62"/>
        <v>2023</v>
      </c>
      <c r="T433">
        <f t="shared" si="63"/>
        <v>12</v>
      </c>
      <c r="U433">
        <f t="shared" si="64"/>
        <v>12</v>
      </c>
      <c r="V433" t="str">
        <f t="shared" si="65"/>
        <v>202312</v>
      </c>
      <c r="W433" t="str">
        <f t="shared" si="66"/>
        <v>Mar-24</v>
      </c>
      <c r="X433" s="3">
        <f t="shared" si="67"/>
        <v>-7973.84</v>
      </c>
      <c r="Y433" t="str">
        <f t="shared" si="68"/>
        <v/>
      </c>
      <c r="Z433">
        <f t="shared" si="69"/>
        <v>-7973.84</v>
      </c>
    </row>
    <row r="434" spans="1:26" x14ac:dyDescent="0.25">
      <c r="A434" s="1">
        <v>45365</v>
      </c>
      <c r="B434" t="s">
        <v>409</v>
      </c>
      <c r="C434" t="s">
        <v>17</v>
      </c>
      <c r="D434" t="s">
        <v>18</v>
      </c>
      <c r="E434">
        <v>15</v>
      </c>
      <c r="F434">
        <v>0</v>
      </c>
      <c r="G434">
        <v>553.04999999999995</v>
      </c>
      <c r="H434">
        <v>8295.75</v>
      </c>
      <c r="I434" t="s">
        <v>410</v>
      </c>
      <c r="J434">
        <v>4.97</v>
      </c>
      <c r="K434">
        <v>4.1900000000000004</v>
      </c>
      <c r="L434">
        <v>0</v>
      </c>
      <c r="M434">
        <v>0.01</v>
      </c>
      <c r="N434">
        <v>20</v>
      </c>
      <c r="O434">
        <v>4.3600000000000003</v>
      </c>
      <c r="P434">
        <v>33.53</v>
      </c>
      <c r="Q434">
        <f t="shared" si="60"/>
        <v>2024</v>
      </c>
      <c r="R434">
        <f t="shared" si="61"/>
        <v>3</v>
      </c>
      <c r="S434">
        <f t="shared" si="62"/>
        <v>2023</v>
      </c>
      <c r="T434">
        <f t="shared" si="63"/>
        <v>12</v>
      </c>
      <c r="U434">
        <f t="shared" si="64"/>
        <v>12</v>
      </c>
      <c r="V434" t="str">
        <f t="shared" si="65"/>
        <v>202312</v>
      </c>
      <c r="W434" t="str">
        <f t="shared" si="66"/>
        <v>Mar-24</v>
      </c>
      <c r="X434" s="3">
        <f t="shared" si="67"/>
        <v>8262.2199999999993</v>
      </c>
      <c r="Y434">
        <f t="shared" si="68"/>
        <v>8262.2199999999993</v>
      </c>
      <c r="Z434" t="str">
        <f t="shared" si="69"/>
        <v/>
      </c>
    </row>
    <row r="435" spans="1:26" x14ac:dyDescent="0.25">
      <c r="A435" s="1">
        <v>45365</v>
      </c>
      <c r="B435" t="s">
        <v>409</v>
      </c>
      <c r="C435" t="s">
        <v>17</v>
      </c>
      <c r="D435" t="s">
        <v>22</v>
      </c>
      <c r="E435">
        <v>15</v>
      </c>
      <c r="F435">
        <v>0</v>
      </c>
      <c r="G435">
        <v>527.9</v>
      </c>
      <c r="H435">
        <v>7918.5</v>
      </c>
      <c r="I435" t="s">
        <v>411</v>
      </c>
      <c r="J435">
        <v>0</v>
      </c>
      <c r="K435">
        <v>4</v>
      </c>
      <c r="L435">
        <v>0.24</v>
      </c>
      <c r="M435">
        <v>0.01</v>
      </c>
      <c r="N435">
        <v>20</v>
      </c>
      <c r="O435">
        <v>4.32</v>
      </c>
      <c r="P435">
        <v>28.57</v>
      </c>
      <c r="Q435">
        <f t="shared" si="60"/>
        <v>2024</v>
      </c>
      <c r="R435">
        <f t="shared" si="61"/>
        <v>3</v>
      </c>
      <c r="S435">
        <f t="shared" si="62"/>
        <v>2023</v>
      </c>
      <c r="T435">
        <f t="shared" si="63"/>
        <v>12</v>
      </c>
      <c r="U435">
        <f t="shared" si="64"/>
        <v>12</v>
      </c>
      <c r="V435" t="str">
        <f t="shared" si="65"/>
        <v>202312</v>
      </c>
      <c r="W435" t="str">
        <f t="shared" si="66"/>
        <v>Mar-24</v>
      </c>
      <c r="X435" s="3">
        <f t="shared" si="67"/>
        <v>-7947.07</v>
      </c>
      <c r="Y435" t="str">
        <f t="shared" si="68"/>
        <v/>
      </c>
      <c r="Z435">
        <f t="shared" si="69"/>
        <v>-7947.07</v>
      </c>
    </row>
    <row r="436" spans="1:26" x14ac:dyDescent="0.25">
      <c r="A436" s="1">
        <v>45366</v>
      </c>
      <c r="B436" t="s">
        <v>390</v>
      </c>
      <c r="C436" t="s">
        <v>17</v>
      </c>
      <c r="D436" t="s">
        <v>22</v>
      </c>
      <c r="E436">
        <v>30</v>
      </c>
      <c r="F436">
        <v>0</v>
      </c>
      <c r="G436">
        <v>35.700000000000003</v>
      </c>
      <c r="H436">
        <v>1071</v>
      </c>
      <c r="I436" t="s">
        <v>398</v>
      </c>
      <c r="J436">
        <v>0</v>
      </c>
      <c r="K436">
        <v>0.54</v>
      </c>
      <c r="L436">
        <v>0</v>
      </c>
      <c r="M436">
        <v>0</v>
      </c>
      <c r="N436">
        <v>40</v>
      </c>
      <c r="O436">
        <v>7.3</v>
      </c>
      <c r="P436">
        <v>47.84</v>
      </c>
      <c r="Q436">
        <f t="shared" si="60"/>
        <v>2024</v>
      </c>
      <c r="R436">
        <f t="shared" si="61"/>
        <v>3</v>
      </c>
      <c r="S436">
        <f t="shared" si="62"/>
        <v>2023</v>
      </c>
      <c r="T436">
        <f t="shared" si="63"/>
        <v>12</v>
      </c>
      <c r="U436">
        <f t="shared" si="64"/>
        <v>12</v>
      </c>
      <c r="V436" t="str">
        <f t="shared" si="65"/>
        <v>202312</v>
      </c>
      <c r="W436" t="str">
        <f t="shared" si="66"/>
        <v>Mar-24</v>
      </c>
      <c r="X436" s="3">
        <f t="shared" si="67"/>
        <v>-1118.8399999999999</v>
      </c>
      <c r="Y436" t="str">
        <f t="shared" si="68"/>
        <v/>
      </c>
      <c r="Z436">
        <f t="shared" si="69"/>
        <v>-1118.8399999999999</v>
      </c>
    </row>
    <row r="437" spans="1:26" x14ac:dyDescent="0.25">
      <c r="A437" s="1">
        <v>45366</v>
      </c>
      <c r="B437" t="s">
        <v>392</v>
      </c>
      <c r="C437" t="s">
        <v>17</v>
      </c>
      <c r="D437" t="s">
        <v>18</v>
      </c>
      <c r="E437">
        <v>15</v>
      </c>
      <c r="F437">
        <v>0</v>
      </c>
      <c r="G437">
        <v>363.4</v>
      </c>
      <c r="H437">
        <v>5451</v>
      </c>
      <c r="I437" t="s">
        <v>399</v>
      </c>
      <c r="J437">
        <v>3</v>
      </c>
      <c r="K437">
        <v>2.75</v>
      </c>
      <c r="L437">
        <v>0</v>
      </c>
      <c r="M437">
        <v>0.01</v>
      </c>
      <c r="N437">
        <v>20</v>
      </c>
      <c r="O437">
        <v>4.0999999999999996</v>
      </c>
      <c r="P437">
        <v>29.86</v>
      </c>
      <c r="Q437">
        <f t="shared" si="60"/>
        <v>2024</v>
      </c>
      <c r="R437">
        <f t="shared" si="61"/>
        <v>3</v>
      </c>
      <c r="S437">
        <f t="shared" si="62"/>
        <v>2023</v>
      </c>
      <c r="T437">
        <f t="shared" si="63"/>
        <v>12</v>
      </c>
      <c r="U437">
        <f t="shared" si="64"/>
        <v>12</v>
      </c>
      <c r="V437" t="str">
        <f t="shared" si="65"/>
        <v>202312</v>
      </c>
      <c r="W437" t="str">
        <f t="shared" si="66"/>
        <v>Mar-24</v>
      </c>
      <c r="X437" s="3">
        <f t="shared" si="67"/>
        <v>5421.14</v>
      </c>
      <c r="Y437">
        <f t="shared" si="68"/>
        <v>5421.14</v>
      </c>
      <c r="Z437" t="str">
        <f t="shared" si="69"/>
        <v/>
      </c>
    </row>
    <row r="438" spans="1:26" x14ac:dyDescent="0.25">
      <c r="A438" s="1">
        <v>45366</v>
      </c>
      <c r="B438" t="s">
        <v>392</v>
      </c>
      <c r="C438" t="s">
        <v>17</v>
      </c>
      <c r="D438" t="s">
        <v>22</v>
      </c>
      <c r="E438">
        <v>15</v>
      </c>
      <c r="F438">
        <v>0</v>
      </c>
      <c r="G438">
        <v>264.64999999999998</v>
      </c>
      <c r="H438">
        <v>3969.75</v>
      </c>
      <c r="I438" t="s">
        <v>400</v>
      </c>
      <c r="J438">
        <v>0</v>
      </c>
      <c r="K438">
        <v>2</v>
      </c>
      <c r="L438">
        <v>0</v>
      </c>
      <c r="M438">
        <v>0</v>
      </c>
      <c r="N438">
        <v>20</v>
      </c>
      <c r="O438">
        <v>3.96</v>
      </c>
      <c r="P438">
        <v>25.96</v>
      </c>
      <c r="Q438">
        <f t="shared" si="60"/>
        <v>2024</v>
      </c>
      <c r="R438">
        <f t="shared" si="61"/>
        <v>3</v>
      </c>
      <c r="S438">
        <f t="shared" si="62"/>
        <v>2023</v>
      </c>
      <c r="T438">
        <f t="shared" si="63"/>
        <v>12</v>
      </c>
      <c r="U438">
        <f t="shared" si="64"/>
        <v>12</v>
      </c>
      <c r="V438" t="str">
        <f t="shared" si="65"/>
        <v>202312</v>
      </c>
      <c r="W438" t="str">
        <f t="shared" si="66"/>
        <v>Mar-24</v>
      </c>
      <c r="X438" s="3">
        <f t="shared" si="67"/>
        <v>-3995.71</v>
      </c>
      <c r="Y438" t="str">
        <f t="shared" si="68"/>
        <v/>
      </c>
      <c r="Z438">
        <f t="shared" si="69"/>
        <v>-3995.71</v>
      </c>
    </row>
    <row r="439" spans="1:26" x14ac:dyDescent="0.25">
      <c r="A439" s="1">
        <v>45369</v>
      </c>
      <c r="B439" t="s">
        <v>386</v>
      </c>
      <c r="C439" t="s">
        <v>17</v>
      </c>
      <c r="D439" t="s">
        <v>18</v>
      </c>
      <c r="E439">
        <v>30</v>
      </c>
      <c r="F439">
        <v>0</v>
      </c>
      <c r="G439">
        <v>124.2</v>
      </c>
      <c r="H439">
        <v>3726</v>
      </c>
      <c r="I439" t="s">
        <v>387</v>
      </c>
      <c r="J439">
        <v>2.33</v>
      </c>
      <c r="K439">
        <v>1.88</v>
      </c>
      <c r="L439">
        <v>0</v>
      </c>
      <c r="M439">
        <v>0</v>
      </c>
      <c r="N439">
        <v>40</v>
      </c>
      <c r="O439">
        <v>7.54</v>
      </c>
      <c r="P439">
        <v>51.75</v>
      </c>
      <c r="Q439">
        <f t="shared" si="60"/>
        <v>2024</v>
      </c>
      <c r="R439">
        <f t="shared" si="61"/>
        <v>3</v>
      </c>
      <c r="S439">
        <f t="shared" si="62"/>
        <v>2023</v>
      </c>
      <c r="T439">
        <f t="shared" si="63"/>
        <v>12</v>
      </c>
      <c r="U439">
        <f t="shared" si="64"/>
        <v>12</v>
      </c>
      <c r="V439" t="str">
        <f t="shared" si="65"/>
        <v>202312</v>
      </c>
      <c r="W439" t="str">
        <f t="shared" si="66"/>
        <v>Mar-24</v>
      </c>
      <c r="X439" s="3">
        <f t="shared" si="67"/>
        <v>3674.25</v>
      </c>
      <c r="Y439">
        <f t="shared" si="68"/>
        <v>3674.25</v>
      </c>
      <c r="Z439" t="str">
        <f t="shared" si="69"/>
        <v/>
      </c>
    </row>
    <row r="440" spans="1:26" x14ac:dyDescent="0.25">
      <c r="A440" s="1">
        <v>45369</v>
      </c>
      <c r="B440" t="s">
        <v>386</v>
      </c>
      <c r="C440" t="s">
        <v>17</v>
      </c>
      <c r="D440" t="s">
        <v>22</v>
      </c>
      <c r="E440">
        <v>15</v>
      </c>
      <c r="F440">
        <v>0</v>
      </c>
      <c r="G440">
        <v>255.45</v>
      </c>
      <c r="H440">
        <v>3831.75</v>
      </c>
      <c r="I440" t="s">
        <v>388</v>
      </c>
      <c r="J440">
        <v>0</v>
      </c>
      <c r="K440">
        <v>1.94</v>
      </c>
      <c r="L440">
        <v>0.69</v>
      </c>
      <c r="M440">
        <v>0</v>
      </c>
      <c r="N440">
        <v>20</v>
      </c>
      <c r="O440">
        <v>3.94</v>
      </c>
      <c r="P440">
        <v>26.57</v>
      </c>
      <c r="Q440">
        <f t="shared" si="60"/>
        <v>2024</v>
      </c>
      <c r="R440">
        <f t="shared" si="61"/>
        <v>3</v>
      </c>
      <c r="S440">
        <f t="shared" si="62"/>
        <v>2023</v>
      </c>
      <c r="T440">
        <f t="shared" si="63"/>
        <v>12</v>
      </c>
      <c r="U440">
        <f t="shared" si="64"/>
        <v>12</v>
      </c>
      <c r="V440" t="str">
        <f t="shared" si="65"/>
        <v>202312</v>
      </c>
      <c r="W440" t="str">
        <f t="shared" si="66"/>
        <v>Mar-24</v>
      </c>
      <c r="X440" s="3">
        <f t="shared" si="67"/>
        <v>-3858.32</v>
      </c>
      <c r="Y440" t="str">
        <f t="shared" si="68"/>
        <v/>
      </c>
      <c r="Z440">
        <f t="shared" si="69"/>
        <v>-3858.32</v>
      </c>
    </row>
    <row r="441" spans="1:26" x14ac:dyDescent="0.25">
      <c r="A441" s="1">
        <v>45369</v>
      </c>
      <c r="B441" t="s">
        <v>386</v>
      </c>
      <c r="C441" t="s">
        <v>17</v>
      </c>
      <c r="D441" t="s">
        <v>22</v>
      </c>
      <c r="E441">
        <v>15</v>
      </c>
      <c r="F441">
        <v>0</v>
      </c>
      <c r="G441">
        <v>277.3</v>
      </c>
      <c r="H441">
        <v>4159.5</v>
      </c>
      <c r="I441" t="s">
        <v>389</v>
      </c>
      <c r="J441">
        <v>0</v>
      </c>
      <c r="K441">
        <v>2.1</v>
      </c>
      <c r="L441">
        <v>0</v>
      </c>
      <c r="M441">
        <v>0</v>
      </c>
      <c r="N441">
        <v>20</v>
      </c>
      <c r="O441">
        <v>3.98</v>
      </c>
      <c r="P441">
        <v>26.08</v>
      </c>
      <c r="Q441">
        <f t="shared" si="60"/>
        <v>2024</v>
      </c>
      <c r="R441">
        <f t="shared" si="61"/>
        <v>3</v>
      </c>
      <c r="S441">
        <f t="shared" si="62"/>
        <v>2023</v>
      </c>
      <c r="T441">
        <f t="shared" si="63"/>
        <v>12</v>
      </c>
      <c r="U441">
        <f t="shared" si="64"/>
        <v>12</v>
      </c>
      <c r="V441" t="str">
        <f t="shared" si="65"/>
        <v>202312</v>
      </c>
      <c r="W441" t="str">
        <f t="shared" si="66"/>
        <v>Mar-24</v>
      </c>
      <c r="X441" s="3">
        <f t="shared" si="67"/>
        <v>-4185.58</v>
      </c>
      <c r="Y441" t="str">
        <f t="shared" si="68"/>
        <v/>
      </c>
      <c r="Z441">
        <f t="shared" si="69"/>
        <v>-4185.58</v>
      </c>
    </row>
    <row r="442" spans="1:26" x14ac:dyDescent="0.25">
      <c r="A442" s="1">
        <v>45369</v>
      </c>
      <c r="B442" t="s">
        <v>390</v>
      </c>
      <c r="C442" t="s">
        <v>17</v>
      </c>
      <c r="D442" t="s">
        <v>18</v>
      </c>
      <c r="E442">
        <v>30</v>
      </c>
      <c r="F442">
        <v>0</v>
      </c>
      <c r="G442">
        <v>16.7</v>
      </c>
      <c r="H442">
        <v>501</v>
      </c>
      <c r="I442" t="s">
        <v>391</v>
      </c>
      <c r="J442">
        <v>0.31</v>
      </c>
      <c r="K442">
        <v>0.25</v>
      </c>
      <c r="L442">
        <v>0</v>
      </c>
      <c r="M442">
        <v>0</v>
      </c>
      <c r="N442">
        <v>40</v>
      </c>
      <c r="O442">
        <v>7.24</v>
      </c>
      <c r="P442">
        <v>47.8</v>
      </c>
      <c r="Q442">
        <f t="shared" si="60"/>
        <v>2024</v>
      </c>
      <c r="R442">
        <f t="shared" si="61"/>
        <v>3</v>
      </c>
      <c r="S442">
        <f t="shared" si="62"/>
        <v>2023</v>
      </c>
      <c r="T442">
        <f t="shared" si="63"/>
        <v>12</v>
      </c>
      <c r="U442">
        <f t="shared" si="64"/>
        <v>12</v>
      </c>
      <c r="V442" t="str">
        <f t="shared" si="65"/>
        <v>202312</v>
      </c>
      <c r="W442" t="str">
        <f t="shared" si="66"/>
        <v>Mar-24</v>
      </c>
      <c r="X442" s="3">
        <f t="shared" si="67"/>
        <v>453.2</v>
      </c>
      <c r="Y442">
        <f t="shared" si="68"/>
        <v>453.2</v>
      </c>
      <c r="Z442" t="str">
        <f t="shared" si="69"/>
        <v/>
      </c>
    </row>
    <row r="443" spans="1:26" x14ac:dyDescent="0.25">
      <c r="A443" s="1">
        <v>45369</v>
      </c>
      <c r="B443" t="s">
        <v>392</v>
      </c>
      <c r="C443" t="s">
        <v>17</v>
      </c>
      <c r="D443" t="s">
        <v>18</v>
      </c>
      <c r="E443">
        <v>15</v>
      </c>
      <c r="F443">
        <v>0</v>
      </c>
      <c r="G443">
        <v>418.25</v>
      </c>
      <c r="H443">
        <v>6273.75</v>
      </c>
      <c r="I443" t="s">
        <v>393</v>
      </c>
      <c r="J443">
        <v>3.92</v>
      </c>
      <c r="K443">
        <v>3.17</v>
      </c>
      <c r="L443">
        <v>0</v>
      </c>
      <c r="M443">
        <v>0.01</v>
      </c>
      <c r="N443">
        <v>20</v>
      </c>
      <c r="O443">
        <v>4.18</v>
      </c>
      <c r="P443">
        <v>31.28</v>
      </c>
      <c r="Q443">
        <f t="shared" si="60"/>
        <v>2024</v>
      </c>
      <c r="R443">
        <f t="shared" si="61"/>
        <v>3</v>
      </c>
      <c r="S443">
        <f t="shared" si="62"/>
        <v>2023</v>
      </c>
      <c r="T443">
        <f t="shared" si="63"/>
        <v>12</v>
      </c>
      <c r="U443">
        <f t="shared" si="64"/>
        <v>12</v>
      </c>
      <c r="V443" t="str">
        <f t="shared" si="65"/>
        <v>202312</v>
      </c>
      <c r="W443" t="str">
        <f t="shared" si="66"/>
        <v>Mar-24</v>
      </c>
      <c r="X443" s="3">
        <f t="shared" si="67"/>
        <v>6242.47</v>
      </c>
      <c r="Y443">
        <f t="shared" si="68"/>
        <v>6242.47</v>
      </c>
      <c r="Z443" t="str">
        <f t="shared" si="69"/>
        <v/>
      </c>
    </row>
    <row r="444" spans="1:26" x14ac:dyDescent="0.25">
      <c r="A444" s="1">
        <v>45369</v>
      </c>
      <c r="B444" t="s">
        <v>392</v>
      </c>
      <c r="C444" t="s">
        <v>17</v>
      </c>
      <c r="D444" t="s">
        <v>22</v>
      </c>
      <c r="E444">
        <v>15</v>
      </c>
      <c r="F444">
        <v>0</v>
      </c>
      <c r="G444">
        <v>331.5</v>
      </c>
      <c r="H444">
        <v>4972.5</v>
      </c>
      <c r="I444" t="s">
        <v>394</v>
      </c>
      <c r="J444">
        <v>0</v>
      </c>
      <c r="K444">
        <v>2.5099999999999998</v>
      </c>
      <c r="L444">
        <v>0.15</v>
      </c>
      <c r="M444">
        <v>0</v>
      </c>
      <c r="N444">
        <v>20</v>
      </c>
      <c r="O444">
        <v>4.0599999999999996</v>
      </c>
      <c r="P444">
        <v>26.72</v>
      </c>
      <c r="Q444">
        <f t="shared" si="60"/>
        <v>2024</v>
      </c>
      <c r="R444">
        <f t="shared" si="61"/>
        <v>3</v>
      </c>
      <c r="S444">
        <f t="shared" si="62"/>
        <v>2023</v>
      </c>
      <c r="T444">
        <f t="shared" si="63"/>
        <v>12</v>
      </c>
      <c r="U444">
        <f t="shared" si="64"/>
        <v>12</v>
      </c>
      <c r="V444" t="str">
        <f t="shared" si="65"/>
        <v>202312</v>
      </c>
      <c r="W444" t="str">
        <f t="shared" si="66"/>
        <v>Mar-24</v>
      </c>
      <c r="X444" s="3">
        <f t="shared" si="67"/>
        <v>-4999.22</v>
      </c>
      <c r="Y444" t="str">
        <f t="shared" si="68"/>
        <v/>
      </c>
      <c r="Z444">
        <f t="shared" si="69"/>
        <v>-4999.22</v>
      </c>
    </row>
    <row r="445" spans="1:26" x14ac:dyDescent="0.25">
      <c r="A445" s="1">
        <v>45369</v>
      </c>
      <c r="B445" t="s">
        <v>395</v>
      </c>
      <c r="C445" t="s">
        <v>17</v>
      </c>
      <c r="D445" t="s">
        <v>18</v>
      </c>
      <c r="E445">
        <v>15</v>
      </c>
      <c r="F445">
        <v>0</v>
      </c>
      <c r="G445">
        <v>425</v>
      </c>
      <c r="H445">
        <v>6375</v>
      </c>
      <c r="I445" t="s">
        <v>396</v>
      </c>
      <c r="J445">
        <v>4.4400000000000004</v>
      </c>
      <c r="K445">
        <v>3.22</v>
      </c>
      <c r="L445">
        <v>0</v>
      </c>
      <c r="M445">
        <v>0.01</v>
      </c>
      <c r="N445">
        <v>20</v>
      </c>
      <c r="O445">
        <v>4.18</v>
      </c>
      <c r="P445">
        <v>31.85</v>
      </c>
      <c r="Q445">
        <f t="shared" si="60"/>
        <v>2024</v>
      </c>
      <c r="R445">
        <f t="shared" si="61"/>
        <v>3</v>
      </c>
      <c r="S445">
        <f t="shared" si="62"/>
        <v>2023</v>
      </c>
      <c r="T445">
        <f t="shared" si="63"/>
        <v>12</v>
      </c>
      <c r="U445">
        <f t="shared" si="64"/>
        <v>12</v>
      </c>
      <c r="V445" t="str">
        <f t="shared" si="65"/>
        <v>202312</v>
      </c>
      <c r="W445" t="str">
        <f t="shared" si="66"/>
        <v>Mar-24</v>
      </c>
      <c r="X445" s="3">
        <f t="shared" si="67"/>
        <v>6343.15</v>
      </c>
      <c r="Y445">
        <f t="shared" si="68"/>
        <v>6343.15</v>
      </c>
      <c r="Z445" t="str">
        <f t="shared" si="69"/>
        <v/>
      </c>
    </row>
    <row r="446" spans="1:26" x14ac:dyDescent="0.25">
      <c r="A446" s="1">
        <v>45369</v>
      </c>
      <c r="B446" t="s">
        <v>395</v>
      </c>
      <c r="C446" t="s">
        <v>17</v>
      </c>
      <c r="D446" t="s">
        <v>22</v>
      </c>
      <c r="E446">
        <v>15</v>
      </c>
      <c r="F446">
        <v>0</v>
      </c>
      <c r="G446">
        <v>364.05</v>
      </c>
      <c r="H446">
        <v>5460.75</v>
      </c>
      <c r="I446" t="s">
        <v>397</v>
      </c>
      <c r="J446">
        <v>0</v>
      </c>
      <c r="K446">
        <v>2.76</v>
      </c>
      <c r="L446">
        <v>0.16</v>
      </c>
      <c r="M446">
        <v>0.01</v>
      </c>
      <c r="N446">
        <v>20</v>
      </c>
      <c r="O446">
        <v>4.0999999999999996</v>
      </c>
      <c r="P446">
        <v>27.03</v>
      </c>
      <c r="Q446">
        <f t="shared" si="60"/>
        <v>2024</v>
      </c>
      <c r="R446">
        <f t="shared" si="61"/>
        <v>3</v>
      </c>
      <c r="S446">
        <f t="shared" si="62"/>
        <v>2023</v>
      </c>
      <c r="T446">
        <f t="shared" si="63"/>
        <v>12</v>
      </c>
      <c r="U446">
        <f t="shared" si="64"/>
        <v>12</v>
      </c>
      <c r="V446" t="str">
        <f t="shared" si="65"/>
        <v>202312</v>
      </c>
      <c r="W446" t="str">
        <f t="shared" si="66"/>
        <v>Mar-24</v>
      </c>
      <c r="X446" s="3">
        <f t="shared" si="67"/>
        <v>-5487.78</v>
      </c>
      <c r="Y446" t="str">
        <f t="shared" si="68"/>
        <v/>
      </c>
      <c r="Z446">
        <f t="shared" si="69"/>
        <v>-5487.78</v>
      </c>
    </row>
    <row r="447" spans="1:26" x14ac:dyDescent="0.25">
      <c r="A447" s="1">
        <v>45370</v>
      </c>
      <c r="B447" t="s">
        <v>372</v>
      </c>
      <c r="C447" t="s">
        <v>17</v>
      </c>
      <c r="D447" t="s">
        <v>22</v>
      </c>
      <c r="E447">
        <v>50</v>
      </c>
      <c r="F447">
        <v>0</v>
      </c>
      <c r="G447">
        <v>45.65</v>
      </c>
      <c r="H447">
        <v>2282.5</v>
      </c>
      <c r="I447" t="s">
        <v>373</v>
      </c>
      <c r="J447">
        <v>0</v>
      </c>
      <c r="K447">
        <v>1.1499999999999999</v>
      </c>
      <c r="L447">
        <v>7.0000000000000007E-2</v>
      </c>
      <c r="M447">
        <v>0</v>
      </c>
      <c r="N447">
        <v>20</v>
      </c>
      <c r="O447">
        <v>3.8</v>
      </c>
      <c r="P447">
        <v>25.02</v>
      </c>
      <c r="Q447">
        <f t="shared" si="60"/>
        <v>2024</v>
      </c>
      <c r="R447">
        <f t="shared" si="61"/>
        <v>3</v>
      </c>
      <c r="S447">
        <f t="shared" si="62"/>
        <v>2023</v>
      </c>
      <c r="T447">
        <f t="shared" si="63"/>
        <v>12</v>
      </c>
      <c r="U447">
        <f t="shared" si="64"/>
        <v>12</v>
      </c>
      <c r="V447" t="str">
        <f t="shared" si="65"/>
        <v>202312</v>
      </c>
      <c r="W447" t="str">
        <f t="shared" si="66"/>
        <v>Mar-24</v>
      </c>
      <c r="X447" s="3">
        <f t="shared" si="67"/>
        <v>-2307.52</v>
      </c>
      <c r="Y447" t="str">
        <f t="shared" si="68"/>
        <v/>
      </c>
      <c r="Z447">
        <f t="shared" si="69"/>
        <v>-2307.52</v>
      </c>
    </row>
    <row r="448" spans="1:26" x14ac:dyDescent="0.25">
      <c r="A448" s="1">
        <v>45370</v>
      </c>
      <c r="B448" t="s">
        <v>374</v>
      </c>
      <c r="C448" t="s">
        <v>17</v>
      </c>
      <c r="D448" t="s">
        <v>18</v>
      </c>
      <c r="E448">
        <v>450</v>
      </c>
      <c r="F448">
        <v>0</v>
      </c>
      <c r="G448">
        <v>126.73</v>
      </c>
      <c r="H448">
        <v>57030</v>
      </c>
      <c r="I448" t="s">
        <v>375</v>
      </c>
      <c r="J448">
        <v>35.65</v>
      </c>
      <c r="K448">
        <v>28.8</v>
      </c>
      <c r="L448">
        <v>0</v>
      </c>
      <c r="M448">
        <v>0.04</v>
      </c>
      <c r="N448">
        <v>600</v>
      </c>
      <c r="O448">
        <v>113.2</v>
      </c>
      <c r="P448">
        <v>777.69</v>
      </c>
      <c r="Q448">
        <f t="shared" si="60"/>
        <v>2024</v>
      </c>
      <c r="R448">
        <f t="shared" si="61"/>
        <v>3</v>
      </c>
      <c r="S448">
        <f t="shared" si="62"/>
        <v>2023</v>
      </c>
      <c r="T448">
        <f t="shared" si="63"/>
        <v>12</v>
      </c>
      <c r="U448">
        <f t="shared" si="64"/>
        <v>12</v>
      </c>
      <c r="V448" t="str">
        <f t="shared" si="65"/>
        <v>202312</v>
      </c>
      <c r="W448" t="str">
        <f t="shared" si="66"/>
        <v>Mar-24</v>
      </c>
      <c r="X448" s="3">
        <f t="shared" si="67"/>
        <v>56252.31</v>
      </c>
      <c r="Y448">
        <f t="shared" si="68"/>
        <v>56252.31</v>
      </c>
      <c r="Z448" t="str">
        <f t="shared" si="69"/>
        <v/>
      </c>
    </row>
    <row r="449" spans="1:26" x14ac:dyDescent="0.25">
      <c r="A449" s="1">
        <v>45370</v>
      </c>
      <c r="B449" t="s">
        <v>374</v>
      </c>
      <c r="C449" t="s">
        <v>17</v>
      </c>
      <c r="D449" t="s">
        <v>22</v>
      </c>
      <c r="E449">
        <v>225</v>
      </c>
      <c r="F449">
        <v>0</v>
      </c>
      <c r="G449">
        <v>149.56</v>
      </c>
      <c r="H449">
        <v>33651</v>
      </c>
      <c r="I449" t="s">
        <v>376</v>
      </c>
      <c r="J449">
        <v>0</v>
      </c>
      <c r="K449">
        <v>16.989999999999998</v>
      </c>
      <c r="L449">
        <v>0</v>
      </c>
      <c r="M449">
        <v>0.04</v>
      </c>
      <c r="N449">
        <v>300</v>
      </c>
      <c r="O449">
        <v>57.08</v>
      </c>
      <c r="P449">
        <v>374.11</v>
      </c>
      <c r="Q449">
        <f t="shared" si="60"/>
        <v>2024</v>
      </c>
      <c r="R449">
        <f t="shared" si="61"/>
        <v>3</v>
      </c>
      <c r="S449">
        <f t="shared" si="62"/>
        <v>2023</v>
      </c>
      <c r="T449">
        <f t="shared" si="63"/>
        <v>12</v>
      </c>
      <c r="U449">
        <f t="shared" si="64"/>
        <v>12</v>
      </c>
      <c r="V449" t="str">
        <f t="shared" si="65"/>
        <v>202312</v>
      </c>
      <c r="W449" t="str">
        <f t="shared" si="66"/>
        <v>Mar-24</v>
      </c>
      <c r="X449" s="3">
        <f t="shared" si="67"/>
        <v>-34025.11</v>
      </c>
      <c r="Y449" t="str">
        <f t="shared" si="68"/>
        <v/>
      </c>
      <c r="Z449">
        <f t="shared" si="69"/>
        <v>-34025.11</v>
      </c>
    </row>
    <row r="450" spans="1:26" x14ac:dyDescent="0.25">
      <c r="A450" s="1">
        <v>45370</v>
      </c>
      <c r="B450" t="s">
        <v>374</v>
      </c>
      <c r="C450" t="s">
        <v>17</v>
      </c>
      <c r="D450" t="s">
        <v>22</v>
      </c>
      <c r="E450">
        <v>225</v>
      </c>
      <c r="F450">
        <v>0</v>
      </c>
      <c r="G450">
        <v>197.69</v>
      </c>
      <c r="H450">
        <v>44481</v>
      </c>
      <c r="I450" t="s">
        <v>377</v>
      </c>
      <c r="J450">
        <v>0</v>
      </c>
      <c r="K450">
        <v>22.46</v>
      </c>
      <c r="L450">
        <v>2.34</v>
      </c>
      <c r="M450">
        <v>0.05</v>
      </c>
      <c r="N450">
        <v>300</v>
      </c>
      <c r="O450">
        <v>58.06</v>
      </c>
      <c r="P450">
        <v>382.91</v>
      </c>
      <c r="Q450">
        <f t="shared" ref="Q450:Q513" si="70">YEAR(A450)</f>
        <v>2024</v>
      </c>
      <c r="R450">
        <f t="shared" ref="R450:R513" si="71">MONTH(A450)</f>
        <v>3</v>
      </c>
      <c r="S450">
        <f t="shared" ref="S450:S513" si="72">IF(R450&lt;4,Q450-1,Q450)</f>
        <v>2023</v>
      </c>
      <c r="T450">
        <f t="shared" ref="T450:T513" si="73">IF(R450&lt;4,R450+9,R450-3)</f>
        <v>12</v>
      </c>
      <c r="U450">
        <f t="shared" ref="U450:U513" si="74">IF(LEN(T450)=1,_xlfn.CONCAT(0,T450),T450)</f>
        <v>12</v>
      </c>
      <c r="V450" t="str">
        <f t="shared" ref="V450:V513" si="75">_xlfn.CONCAT(S450,U450)</f>
        <v>202312</v>
      </c>
      <c r="W450" t="str">
        <f t="shared" ref="W450:W513" si="76">_xlfn.CONCAT(TEXT(A450,"MMM"),"-",MID(Q450,3,2))</f>
        <v>Mar-24</v>
      </c>
      <c r="X450" s="3">
        <f t="shared" ref="X450:X513" si="77">IFERROR(IF(D450="Sell",(H450-P450),-(H450+P450)),0)</f>
        <v>-44863.91</v>
      </c>
      <c r="Y450" t="str">
        <f t="shared" si="68"/>
        <v/>
      </c>
      <c r="Z450">
        <f t="shared" si="69"/>
        <v>-44863.91</v>
      </c>
    </row>
    <row r="451" spans="1:26" x14ac:dyDescent="0.25">
      <c r="A451" s="1">
        <v>45370</v>
      </c>
      <c r="B451" t="s">
        <v>372</v>
      </c>
      <c r="C451" t="s">
        <v>17</v>
      </c>
      <c r="D451" t="s">
        <v>18</v>
      </c>
      <c r="E451">
        <v>50</v>
      </c>
      <c r="F451">
        <v>0</v>
      </c>
      <c r="G451">
        <v>45.75</v>
      </c>
      <c r="H451">
        <v>2287.5</v>
      </c>
      <c r="I451" t="s">
        <v>378</v>
      </c>
      <c r="J451">
        <v>1.43</v>
      </c>
      <c r="K451">
        <v>1.1599999999999999</v>
      </c>
      <c r="L451">
        <v>0</v>
      </c>
      <c r="M451">
        <v>0</v>
      </c>
      <c r="N451">
        <v>20</v>
      </c>
      <c r="O451">
        <v>3.8</v>
      </c>
      <c r="P451">
        <v>26.39</v>
      </c>
      <c r="Q451">
        <f t="shared" si="70"/>
        <v>2024</v>
      </c>
      <c r="R451">
        <f t="shared" si="71"/>
        <v>3</v>
      </c>
      <c r="S451">
        <f t="shared" si="72"/>
        <v>2023</v>
      </c>
      <c r="T451">
        <f t="shared" si="73"/>
        <v>12</v>
      </c>
      <c r="U451">
        <f t="shared" si="74"/>
        <v>12</v>
      </c>
      <c r="V451" t="str">
        <f t="shared" si="75"/>
        <v>202312</v>
      </c>
      <c r="W451" t="str">
        <f t="shared" si="76"/>
        <v>Mar-24</v>
      </c>
      <c r="X451" s="3">
        <f t="shared" si="77"/>
        <v>2261.11</v>
      </c>
      <c r="Y451">
        <f t="shared" ref="Y451:Y514" si="78">IF(X451&gt;0,X451,"")</f>
        <v>2261.11</v>
      </c>
      <c r="Z451" t="str">
        <f t="shared" ref="Z451:Z514" si="79">IF(X451&lt;0,X451,"")</f>
        <v/>
      </c>
    </row>
    <row r="452" spans="1:26" x14ac:dyDescent="0.25">
      <c r="A452" s="1">
        <v>45370</v>
      </c>
      <c r="B452" t="s">
        <v>379</v>
      </c>
      <c r="C452" t="s">
        <v>17</v>
      </c>
      <c r="D452" t="s">
        <v>18</v>
      </c>
      <c r="E452">
        <v>105</v>
      </c>
      <c r="F452">
        <v>0</v>
      </c>
      <c r="G452">
        <v>165.04</v>
      </c>
      <c r="H452">
        <v>17329.5</v>
      </c>
      <c r="I452" t="s">
        <v>380</v>
      </c>
      <c r="J452">
        <v>10.83</v>
      </c>
      <c r="K452">
        <v>8.75</v>
      </c>
      <c r="L452">
        <v>0</v>
      </c>
      <c r="M452">
        <v>0</v>
      </c>
      <c r="N452">
        <v>140</v>
      </c>
      <c r="O452">
        <v>26.8</v>
      </c>
      <c r="P452">
        <v>186.38</v>
      </c>
      <c r="Q452">
        <f t="shared" si="70"/>
        <v>2024</v>
      </c>
      <c r="R452">
        <f t="shared" si="71"/>
        <v>3</v>
      </c>
      <c r="S452">
        <f t="shared" si="72"/>
        <v>2023</v>
      </c>
      <c r="T452">
        <f t="shared" si="73"/>
        <v>12</v>
      </c>
      <c r="U452">
        <f t="shared" si="74"/>
        <v>12</v>
      </c>
      <c r="V452" t="str">
        <f t="shared" si="75"/>
        <v>202312</v>
      </c>
      <c r="W452" t="str">
        <f t="shared" si="76"/>
        <v>Mar-24</v>
      </c>
      <c r="X452" s="3">
        <f t="shared" si="77"/>
        <v>17143.12</v>
      </c>
      <c r="Y452">
        <f t="shared" si="78"/>
        <v>17143.12</v>
      </c>
      <c r="Z452" t="str">
        <f t="shared" si="79"/>
        <v/>
      </c>
    </row>
    <row r="453" spans="1:26" x14ac:dyDescent="0.25">
      <c r="A453" s="1">
        <v>45370</v>
      </c>
      <c r="B453" t="s">
        <v>365</v>
      </c>
      <c r="C453" t="s">
        <v>17</v>
      </c>
      <c r="D453" t="s">
        <v>18</v>
      </c>
      <c r="E453">
        <v>15</v>
      </c>
      <c r="F453">
        <v>0</v>
      </c>
      <c r="G453">
        <v>108.3</v>
      </c>
      <c r="H453">
        <v>1624.5</v>
      </c>
      <c r="I453" t="s">
        <v>381</v>
      </c>
      <c r="J453">
        <v>1.02</v>
      </c>
      <c r="K453">
        <v>0.82</v>
      </c>
      <c r="L453">
        <v>0</v>
      </c>
      <c r="M453">
        <v>0</v>
      </c>
      <c r="N453">
        <v>20</v>
      </c>
      <c r="O453">
        <v>3.74</v>
      </c>
      <c r="P453">
        <v>25.58</v>
      </c>
      <c r="Q453">
        <f t="shared" si="70"/>
        <v>2024</v>
      </c>
      <c r="R453">
        <f t="shared" si="71"/>
        <v>3</v>
      </c>
      <c r="S453">
        <f t="shared" si="72"/>
        <v>2023</v>
      </c>
      <c r="T453">
        <f t="shared" si="73"/>
        <v>12</v>
      </c>
      <c r="U453">
        <f t="shared" si="74"/>
        <v>12</v>
      </c>
      <c r="V453" t="str">
        <f t="shared" si="75"/>
        <v>202312</v>
      </c>
      <c r="W453" t="str">
        <f t="shared" si="76"/>
        <v>Mar-24</v>
      </c>
      <c r="X453" s="3">
        <f t="shared" si="77"/>
        <v>1598.92</v>
      </c>
      <c r="Y453">
        <f t="shared" si="78"/>
        <v>1598.92</v>
      </c>
      <c r="Z453" t="str">
        <f t="shared" si="79"/>
        <v/>
      </c>
    </row>
    <row r="454" spans="1:26" x14ac:dyDescent="0.25">
      <c r="A454" s="1">
        <v>45370</v>
      </c>
      <c r="B454" t="s">
        <v>379</v>
      </c>
      <c r="C454" t="s">
        <v>17</v>
      </c>
      <c r="D454" t="s">
        <v>22</v>
      </c>
      <c r="E454">
        <v>105</v>
      </c>
      <c r="F454">
        <v>0</v>
      </c>
      <c r="G454">
        <v>178.35</v>
      </c>
      <c r="H454">
        <v>18726.75</v>
      </c>
      <c r="I454" t="s">
        <v>382</v>
      </c>
      <c r="J454">
        <v>0</v>
      </c>
      <c r="K454">
        <v>9.4600000000000009</v>
      </c>
      <c r="L454">
        <v>0.56000000000000005</v>
      </c>
      <c r="M454">
        <v>0.02</v>
      </c>
      <c r="N454">
        <v>140</v>
      </c>
      <c r="O454">
        <v>26.9</v>
      </c>
      <c r="P454">
        <v>176.94</v>
      </c>
      <c r="Q454">
        <f t="shared" si="70"/>
        <v>2024</v>
      </c>
      <c r="R454">
        <f t="shared" si="71"/>
        <v>3</v>
      </c>
      <c r="S454">
        <f t="shared" si="72"/>
        <v>2023</v>
      </c>
      <c r="T454">
        <f t="shared" si="73"/>
        <v>12</v>
      </c>
      <c r="U454">
        <f t="shared" si="74"/>
        <v>12</v>
      </c>
      <c r="V454" t="str">
        <f t="shared" si="75"/>
        <v>202312</v>
      </c>
      <c r="W454" t="str">
        <f t="shared" si="76"/>
        <v>Mar-24</v>
      </c>
      <c r="X454" s="3">
        <f t="shared" si="77"/>
        <v>-18903.689999999999</v>
      </c>
      <c r="Y454" t="str">
        <f t="shared" si="78"/>
        <v/>
      </c>
      <c r="Z454">
        <f t="shared" si="79"/>
        <v>-18903.689999999999</v>
      </c>
    </row>
    <row r="455" spans="1:26" x14ac:dyDescent="0.25">
      <c r="A455" s="1">
        <v>45370</v>
      </c>
      <c r="B455" t="s">
        <v>365</v>
      </c>
      <c r="C455" t="s">
        <v>17</v>
      </c>
      <c r="D455" t="s">
        <v>18</v>
      </c>
      <c r="E455">
        <v>900</v>
      </c>
      <c r="F455">
        <v>0</v>
      </c>
      <c r="G455">
        <v>169</v>
      </c>
      <c r="H455">
        <v>152100</v>
      </c>
      <c r="I455" t="s">
        <v>383</v>
      </c>
      <c r="J455">
        <v>95.07</v>
      </c>
      <c r="K455">
        <v>76.8</v>
      </c>
      <c r="L455">
        <v>0</v>
      </c>
      <c r="M455">
        <v>0.14000000000000001</v>
      </c>
      <c r="N455">
        <v>1200</v>
      </c>
      <c r="O455">
        <v>229.86</v>
      </c>
      <c r="P455">
        <v>1601.87</v>
      </c>
      <c r="Q455">
        <f t="shared" si="70"/>
        <v>2024</v>
      </c>
      <c r="R455">
        <f t="shared" si="71"/>
        <v>3</v>
      </c>
      <c r="S455">
        <f t="shared" si="72"/>
        <v>2023</v>
      </c>
      <c r="T455">
        <f t="shared" si="73"/>
        <v>12</v>
      </c>
      <c r="U455">
        <f t="shared" si="74"/>
        <v>12</v>
      </c>
      <c r="V455" t="str">
        <f t="shared" si="75"/>
        <v>202312</v>
      </c>
      <c r="W455" t="str">
        <f t="shared" si="76"/>
        <v>Mar-24</v>
      </c>
      <c r="X455" s="3">
        <f t="shared" si="77"/>
        <v>150498.13</v>
      </c>
      <c r="Y455">
        <f t="shared" si="78"/>
        <v>150498.13</v>
      </c>
      <c r="Z455" t="str">
        <f t="shared" si="79"/>
        <v/>
      </c>
    </row>
    <row r="456" spans="1:26" x14ac:dyDescent="0.25">
      <c r="A456" s="1">
        <v>45370</v>
      </c>
      <c r="B456" t="s">
        <v>365</v>
      </c>
      <c r="C456" t="s">
        <v>17</v>
      </c>
      <c r="D456" t="s">
        <v>22</v>
      </c>
      <c r="E456">
        <v>900</v>
      </c>
      <c r="F456">
        <v>0</v>
      </c>
      <c r="G456">
        <v>164.95</v>
      </c>
      <c r="H456">
        <v>148455</v>
      </c>
      <c r="I456" t="s">
        <v>384</v>
      </c>
      <c r="J456">
        <v>0</v>
      </c>
      <c r="K456">
        <v>74.98</v>
      </c>
      <c r="L456">
        <v>5.03</v>
      </c>
      <c r="M456">
        <v>0.15</v>
      </c>
      <c r="N456">
        <v>1200</v>
      </c>
      <c r="O456">
        <v>229.52</v>
      </c>
      <c r="P456">
        <v>1509.68</v>
      </c>
      <c r="Q456">
        <f t="shared" si="70"/>
        <v>2024</v>
      </c>
      <c r="R456">
        <f t="shared" si="71"/>
        <v>3</v>
      </c>
      <c r="S456">
        <f t="shared" si="72"/>
        <v>2023</v>
      </c>
      <c r="T456">
        <f t="shared" si="73"/>
        <v>12</v>
      </c>
      <c r="U456">
        <f t="shared" si="74"/>
        <v>12</v>
      </c>
      <c r="V456" t="str">
        <f t="shared" si="75"/>
        <v>202312</v>
      </c>
      <c r="W456" t="str">
        <f t="shared" si="76"/>
        <v>Mar-24</v>
      </c>
      <c r="X456" s="3">
        <f t="shared" si="77"/>
        <v>-149964.68</v>
      </c>
      <c r="Y456" t="str">
        <f t="shared" si="78"/>
        <v/>
      </c>
      <c r="Z456">
        <f t="shared" si="79"/>
        <v>-149964.68</v>
      </c>
    </row>
    <row r="457" spans="1:26" x14ac:dyDescent="0.25">
      <c r="A457" s="1">
        <v>45370</v>
      </c>
      <c r="B457" t="s">
        <v>365</v>
      </c>
      <c r="C457" t="s">
        <v>17</v>
      </c>
      <c r="D457" t="s">
        <v>22</v>
      </c>
      <c r="E457">
        <v>15</v>
      </c>
      <c r="F457">
        <v>0</v>
      </c>
      <c r="G457">
        <v>171</v>
      </c>
      <c r="H457">
        <v>2565</v>
      </c>
      <c r="I457" t="s">
        <v>385</v>
      </c>
      <c r="J457">
        <v>0</v>
      </c>
      <c r="K457">
        <v>1.3</v>
      </c>
      <c r="L457">
        <v>0</v>
      </c>
      <c r="M457">
        <v>0</v>
      </c>
      <c r="N457">
        <v>20</v>
      </c>
      <c r="O457">
        <v>3.84</v>
      </c>
      <c r="P457">
        <v>25.14</v>
      </c>
      <c r="Q457">
        <f t="shared" si="70"/>
        <v>2024</v>
      </c>
      <c r="R457">
        <f t="shared" si="71"/>
        <v>3</v>
      </c>
      <c r="S457">
        <f t="shared" si="72"/>
        <v>2023</v>
      </c>
      <c r="T457">
        <f t="shared" si="73"/>
        <v>12</v>
      </c>
      <c r="U457">
        <f t="shared" si="74"/>
        <v>12</v>
      </c>
      <c r="V457" t="str">
        <f t="shared" si="75"/>
        <v>202312</v>
      </c>
      <c r="W457" t="str">
        <f t="shared" si="76"/>
        <v>Mar-24</v>
      </c>
      <c r="X457" s="3">
        <f t="shared" si="77"/>
        <v>-2590.14</v>
      </c>
      <c r="Y457" t="str">
        <f t="shared" si="78"/>
        <v/>
      </c>
      <c r="Z457">
        <f t="shared" si="79"/>
        <v>-2590.14</v>
      </c>
    </row>
    <row r="458" spans="1:26" x14ac:dyDescent="0.25">
      <c r="A458" s="1">
        <v>45371</v>
      </c>
      <c r="B458" t="s">
        <v>365</v>
      </c>
      <c r="C458" t="s">
        <v>17</v>
      </c>
      <c r="D458" t="s">
        <v>18</v>
      </c>
      <c r="E458">
        <v>450</v>
      </c>
      <c r="F458">
        <v>0</v>
      </c>
      <c r="G458">
        <v>59.22</v>
      </c>
      <c r="H458">
        <v>26650.5</v>
      </c>
      <c r="I458" t="s">
        <v>366</v>
      </c>
      <c r="J458">
        <v>16.670000000000002</v>
      </c>
      <c r="K458">
        <v>13.46</v>
      </c>
      <c r="L458">
        <v>0</v>
      </c>
      <c r="M458">
        <v>0.02</v>
      </c>
      <c r="N458">
        <v>600</v>
      </c>
      <c r="O458">
        <v>110.4</v>
      </c>
      <c r="P458">
        <v>740.55</v>
      </c>
      <c r="Q458">
        <f t="shared" si="70"/>
        <v>2024</v>
      </c>
      <c r="R458">
        <f t="shared" si="71"/>
        <v>3</v>
      </c>
      <c r="S458">
        <f t="shared" si="72"/>
        <v>2023</v>
      </c>
      <c r="T458">
        <f t="shared" si="73"/>
        <v>12</v>
      </c>
      <c r="U458">
        <f t="shared" si="74"/>
        <v>12</v>
      </c>
      <c r="V458" t="str">
        <f t="shared" si="75"/>
        <v>202312</v>
      </c>
      <c r="W458" t="str">
        <f t="shared" si="76"/>
        <v>Mar-24</v>
      </c>
      <c r="X458" s="3">
        <f t="shared" si="77"/>
        <v>25909.95</v>
      </c>
      <c r="Y458">
        <f t="shared" si="78"/>
        <v>25909.95</v>
      </c>
      <c r="Z458" t="str">
        <f t="shared" si="79"/>
        <v/>
      </c>
    </row>
    <row r="459" spans="1:26" x14ac:dyDescent="0.25">
      <c r="A459" s="1">
        <v>45371</v>
      </c>
      <c r="B459" t="s">
        <v>365</v>
      </c>
      <c r="C459" t="s">
        <v>17</v>
      </c>
      <c r="D459" t="s">
        <v>18</v>
      </c>
      <c r="E459">
        <v>900</v>
      </c>
      <c r="F459">
        <v>0</v>
      </c>
      <c r="G459">
        <v>59.48</v>
      </c>
      <c r="H459">
        <v>53532</v>
      </c>
      <c r="I459" t="s">
        <v>367</v>
      </c>
      <c r="J459">
        <v>33.479999999999997</v>
      </c>
      <c r="K459">
        <v>27.02</v>
      </c>
      <c r="L459">
        <v>0</v>
      </c>
      <c r="M459">
        <v>0.04</v>
      </c>
      <c r="N459">
        <v>1200</v>
      </c>
      <c r="O459">
        <v>220.82</v>
      </c>
      <c r="P459">
        <v>1481.36</v>
      </c>
      <c r="Q459">
        <f t="shared" si="70"/>
        <v>2024</v>
      </c>
      <c r="R459">
        <f t="shared" si="71"/>
        <v>3</v>
      </c>
      <c r="S459">
        <f t="shared" si="72"/>
        <v>2023</v>
      </c>
      <c r="T459">
        <f t="shared" si="73"/>
        <v>12</v>
      </c>
      <c r="U459">
        <f t="shared" si="74"/>
        <v>12</v>
      </c>
      <c r="V459" t="str">
        <f t="shared" si="75"/>
        <v>202312</v>
      </c>
      <c r="W459" t="str">
        <f t="shared" si="76"/>
        <v>Mar-24</v>
      </c>
      <c r="X459" s="3">
        <f t="shared" si="77"/>
        <v>52050.64</v>
      </c>
      <c r="Y459">
        <f t="shared" si="78"/>
        <v>52050.64</v>
      </c>
      <c r="Z459" t="str">
        <f t="shared" si="79"/>
        <v/>
      </c>
    </row>
    <row r="460" spans="1:26" x14ac:dyDescent="0.25">
      <c r="A460" s="1">
        <v>45371</v>
      </c>
      <c r="B460" t="s">
        <v>365</v>
      </c>
      <c r="C460" t="s">
        <v>17</v>
      </c>
      <c r="D460" t="s">
        <v>18</v>
      </c>
      <c r="E460">
        <v>900</v>
      </c>
      <c r="F460">
        <v>0</v>
      </c>
      <c r="G460">
        <v>57.62</v>
      </c>
      <c r="H460">
        <v>51858.75</v>
      </c>
      <c r="I460" t="s">
        <v>368</v>
      </c>
      <c r="J460">
        <v>32.880000000000003</v>
      </c>
      <c r="K460">
        <v>26.19</v>
      </c>
      <c r="L460">
        <v>0</v>
      </c>
      <c r="M460">
        <v>0.05</v>
      </c>
      <c r="N460">
        <v>1200</v>
      </c>
      <c r="O460">
        <v>220.76</v>
      </c>
      <c r="P460">
        <v>1479.88</v>
      </c>
      <c r="Q460">
        <f t="shared" si="70"/>
        <v>2024</v>
      </c>
      <c r="R460">
        <f t="shared" si="71"/>
        <v>3</v>
      </c>
      <c r="S460">
        <f t="shared" si="72"/>
        <v>2023</v>
      </c>
      <c r="T460">
        <f t="shared" si="73"/>
        <v>12</v>
      </c>
      <c r="U460">
        <f t="shared" si="74"/>
        <v>12</v>
      </c>
      <c r="V460" t="str">
        <f t="shared" si="75"/>
        <v>202312</v>
      </c>
      <c r="W460" t="str">
        <f t="shared" si="76"/>
        <v>Mar-24</v>
      </c>
      <c r="X460" s="3">
        <f t="shared" si="77"/>
        <v>50378.87</v>
      </c>
      <c r="Y460">
        <f t="shared" si="78"/>
        <v>50378.87</v>
      </c>
      <c r="Z460" t="str">
        <f t="shared" si="79"/>
        <v/>
      </c>
    </row>
    <row r="461" spans="1:26" x14ac:dyDescent="0.25">
      <c r="A461" s="1">
        <v>45371</v>
      </c>
      <c r="B461" t="s">
        <v>365</v>
      </c>
      <c r="C461" t="s">
        <v>17</v>
      </c>
      <c r="D461" t="s">
        <v>22</v>
      </c>
      <c r="E461">
        <v>900</v>
      </c>
      <c r="F461">
        <v>0</v>
      </c>
      <c r="G461">
        <v>14.4</v>
      </c>
      <c r="H461">
        <v>12960</v>
      </c>
      <c r="I461" t="s">
        <v>369</v>
      </c>
      <c r="J461">
        <v>0</v>
      </c>
      <c r="K461">
        <v>6.55</v>
      </c>
      <c r="L461">
        <v>0</v>
      </c>
      <c r="M461">
        <v>0.01</v>
      </c>
      <c r="N461">
        <v>1200</v>
      </c>
      <c r="O461">
        <v>217.2</v>
      </c>
      <c r="P461">
        <v>1423.76</v>
      </c>
      <c r="Q461">
        <f t="shared" si="70"/>
        <v>2024</v>
      </c>
      <c r="R461">
        <f t="shared" si="71"/>
        <v>3</v>
      </c>
      <c r="S461">
        <f t="shared" si="72"/>
        <v>2023</v>
      </c>
      <c r="T461">
        <f t="shared" si="73"/>
        <v>12</v>
      </c>
      <c r="U461">
        <f t="shared" si="74"/>
        <v>12</v>
      </c>
      <c r="V461" t="str">
        <f t="shared" si="75"/>
        <v>202312</v>
      </c>
      <c r="W461" t="str">
        <f t="shared" si="76"/>
        <v>Mar-24</v>
      </c>
      <c r="X461" s="3">
        <f t="shared" si="77"/>
        <v>-14383.76</v>
      </c>
      <c r="Y461" t="str">
        <f t="shared" si="78"/>
        <v/>
      </c>
      <c r="Z461">
        <f t="shared" si="79"/>
        <v>-14383.76</v>
      </c>
    </row>
    <row r="462" spans="1:26" x14ac:dyDescent="0.25">
      <c r="A462" s="1">
        <v>45371</v>
      </c>
      <c r="B462" t="s">
        <v>365</v>
      </c>
      <c r="C462" t="s">
        <v>17</v>
      </c>
      <c r="D462" t="s">
        <v>22</v>
      </c>
      <c r="E462">
        <v>450</v>
      </c>
      <c r="F462">
        <v>0</v>
      </c>
      <c r="G462">
        <v>30.05</v>
      </c>
      <c r="H462">
        <v>13520.25</v>
      </c>
      <c r="I462" t="s">
        <v>370</v>
      </c>
      <c r="J462">
        <v>0</v>
      </c>
      <c r="K462">
        <v>6.89</v>
      </c>
      <c r="L462">
        <v>0</v>
      </c>
      <c r="M462">
        <v>0</v>
      </c>
      <c r="N462">
        <v>600</v>
      </c>
      <c r="O462">
        <v>109.2</v>
      </c>
      <c r="P462">
        <v>716.09</v>
      </c>
      <c r="Q462">
        <f t="shared" si="70"/>
        <v>2024</v>
      </c>
      <c r="R462">
        <f t="shared" si="71"/>
        <v>3</v>
      </c>
      <c r="S462">
        <f t="shared" si="72"/>
        <v>2023</v>
      </c>
      <c r="T462">
        <f t="shared" si="73"/>
        <v>12</v>
      </c>
      <c r="U462">
        <f t="shared" si="74"/>
        <v>12</v>
      </c>
      <c r="V462" t="str">
        <f t="shared" si="75"/>
        <v>202312</v>
      </c>
      <c r="W462" t="str">
        <f t="shared" si="76"/>
        <v>Mar-24</v>
      </c>
      <c r="X462" s="3">
        <f t="shared" si="77"/>
        <v>-14236.34</v>
      </c>
      <c r="Y462" t="str">
        <f t="shared" si="78"/>
        <v/>
      </c>
      <c r="Z462">
        <f t="shared" si="79"/>
        <v>-14236.34</v>
      </c>
    </row>
    <row r="463" spans="1:26" x14ac:dyDescent="0.25">
      <c r="A463" s="1">
        <v>45371</v>
      </c>
      <c r="B463" t="s">
        <v>365</v>
      </c>
      <c r="C463" t="s">
        <v>17</v>
      </c>
      <c r="D463" t="s">
        <v>22</v>
      </c>
      <c r="E463">
        <v>900</v>
      </c>
      <c r="F463">
        <v>0</v>
      </c>
      <c r="G463">
        <v>94.52</v>
      </c>
      <c r="H463">
        <v>85069.5</v>
      </c>
      <c r="I463" t="s">
        <v>371</v>
      </c>
      <c r="J463">
        <v>0</v>
      </c>
      <c r="K463">
        <v>42.94</v>
      </c>
      <c r="L463">
        <v>3</v>
      </c>
      <c r="M463">
        <v>0.11</v>
      </c>
      <c r="N463">
        <v>1200</v>
      </c>
      <c r="O463">
        <v>223.76</v>
      </c>
      <c r="P463">
        <v>1469.81</v>
      </c>
      <c r="Q463">
        <f t="shared" si="70"/>
        <v>2024</v>
      </c>
      <c r="R463">
        <f t="shared" si="71"/>
        <v>3</v>
      </c>
      <c r="S463">
        <f t="shared" si="72"/>
        <v>2023</v>
      </c>
      <c r="T463">
        <f t="shared" si="73"/>
        <v>12</v>
      </c>
      <c r="U463">
        <f t="shared" si="74"/>
        <v>12</v>
      </c>
      <c r="V463" t="str">
        <f t="shared" si="75"/>
        <v>202312</v>
      </c>
      <c r="W463" t="str">
        <f t="shared" si="76"/>
        <v>Mar-24</v>
      </c>
      <c r="X463" s="3">
        <f t="shared" si="77"/>
        <v>-86539.31</v>
      </c>
      <c r="Y463" t="str">
        <f t="shared" si="78"/>
        <v/>
      </c>
      <c r="Z463">
        <f t="shared" si="79"/>
        <v>-86539.31</v>
      </c>
    </row>
    <row r="464" spans="1:26" x14ac:dyDescent="0.25">
      <c r="A464" s="1">
        <v>45372</v>
      </c>
      <c r="B464" t="s">
        <v>359</v>
      </c>
      <c r="C464" t="s">
        <v>17</v>
      </c>
      <c r="D464" t="s">
        <v>18</v>
      </c>
      <c r="E464">
        <v>15</v>
      </c>
      <c r="F464">
        <v>0</v>
      </c>
      <c r="G464">
        <v>351.2</v>
      </c>
      <c r="H464">
        <v>5268</v>
      </c>
      <c r="I464" t="s">
        <v>360</v>
      </c>
      <c r="J464">
        <v>3.29</v>
      </c>
      <c r="K464">
        <v>2.66</v>
      </c>
      <c r="L464">
        <v>0</v>
      </c>
      <c r="M464">
        <v>0.01</v>
      </c>
      <c r="N464">
        <v>20</v>
      </c>
      <c r="O464">
        <v>4.08</v>
      </c>
      <c r="P464">
        <v>30.04</v>
      </c>
      <c r="Q464">
        <f t="shared" si="70"/>
        <v>2024</v>
      </c>
      <c r="R464">
        <f t="shared" si="71"/>
        <v>3</v>
      </c>
      <c r="S464">
        <f t="shared" si="72"/>
        <v>2023</v>
      </c>
      <c r="T464">
        <f t="shared" si="73"/>
        <v>12</v>
      </c>
      <c r="U464">
        <f t="shared" si="74"/>
        <v>12</v>
      </c>
      <c r="V464" t="str">
        <f t="shared" si="75"/>
        <v>202312</v>
      </c>
      <c r="W464" t="str">
        <f t="shared" si="76"/>
        <v>Mar-24</v>
      </c>
      <c r="X464" s="3">
        <f t="shared" si="77"/>
        <v>5237.96</v>
      </c>
      <c r="Y464">
        <f t="shared" si="78"/>
        <v>5237.96</v>
      </c>
      <c r="Z464" t="str">
        <f t="shared" si="79"/>
        <v/>
      </c>
    </row>
    <row r="465" spans="1:26" x14ac:dyDescent="0.25">
      <c r="A465" s="1">
        <v>45372</v>
      </c>
      <c r="B465" t="s">
        <v>361</v>
      </c>
      <c r="C465" t="s">
        <v>17</v>
      </c>
      <c r="D465" t="s">
        <v>18</v>
      </c>
      <c r="E465">
        <v>50</v>
      </c>
      <c r="F465">
        <v>0</v>
      </c>
      <c r="G465">
        <v>12.4</v>
      </c>
      <c r="H465">
        <v>620</v>
      </c>
      <c r="I465" t="s">
        <v>362</v>
      </c>
      <c r="J465">
        <v>0.71</v>
      </c>
      <c r="K465">
        <v>0.31</v>
      </c>
      <c r="L465">
        <v>0</v>
      </c>
      <c r="M465">
        <v>0</v>
      </c>
      <c r="N465">
        <v>20</v>
      </c>
      <c r="O465">
        <v>3.66</v>
      </c>
      <c r="P465">
        <v>24.68</v>
      </c>
      <c r="Q465">
        <f t="shared" si="70"/>
        <v>2024</v>
      </c>
      <c r="R465">
        <f t="shared" si="71"/>
        <v>3</v>
      </c>
      <c r="S465">
        <f t="shared" si="72"/>
        <v>2023</v>
      </c>
      <c r="T465">
        <f t="shared" si="73"/>
        <v>12</v>
      </c>
      <c r="U465">
        <f t="shared" si="74"/>
        <v>12</v>
      </c>
      <c r="V465" t="str">
        <f t="shared" si="75"/>
        <v>202312</v>
      </c>
      <c r="W465" t="str">
        <f t="shared" si="76"/>
        <v>Mar-24</v>
      </c>
      <c r="X465" s="3">
        <f t="shared" si="77"/>
        <v>595.32000000000005</v>
      </c>
      <c r="Y465">
        <f t="shared" si="78"/>
        <v>595.32000000000005</v>
      </c>
      <c r="Z465" t="str">
        <f t="shared" si="79"/>
        <v/>
      </c>
    </row>
    <row r="466" spans="1:26" x14ac:dyDescent="0.25">
      <c r="A466" s="1">
        <v>45372</v>
      </c>
      <c r="B466" t="s">
        <v>361</v>
      </c>
      <c r="C466" t="s">
        <v>17</v>
      </c>
      <c r="D466" t="s">
        <v>22</v>
      </c>
      <c r="E466">
        <v>50</v>
      </c>
      <c r="F466">
        <v>0</v>
      </c>
      <c r="G466">
        <v>14.55</v>
      </c>
      <c r="H466">
        <v>727.5</v>
      </c>
      <c r="I466" t="s">
        <v>363</v>
      </c>
      <c r="J466">
        <v>0</v>
      </c>
      <c r="K466">
        <v>0.37</v>
      </c>
      <c r="L466">
        <v>0</v>
      </c>
      <c r="M466">
        <v>0</v>
      </c>
      <c r="N466">
        <v>20</v>
      </c>
      <c r="O466">
        <v>3.66</v>
      </c>
      <c r="P466">
        <v>24.03</v>
      </c>
      <c r="Q466">
        <f t="shared" si="70"/>
        <v>2024</v>
      </c>
      <c r="R466">
        <f t="shared" si="71"/>
        <v>3</v>
      </c>
      <c r="S466">
        <f t="shared" si="72"/>
        <v>2023</v>
      </c>
      <c r="T466">
        <f t="shared" si="73"/>
        <v>12</v>
      </c>
      <c r="U466">
        <f t="shared" si="74"/>
        <v>12</v>
      </c>
      <c r="V466" t="str">
        <f t="shared" si="75"/>
        <v>202312</v>
      </c>
      <c r="W466" t="str">
        <f t="shared" si="76"/>
        <v>Mar-24</v>
      </c>
      <c r="X466" s="3">
        <f t="shared" si="77"/>
        <v>-751.53</v>
      </c>
      <c r="Y466" t="str">
        <f t="shared" si="78"/>
        <v/>
      </c>
      <c r="Z466">
        <f t="shared" si="79"/>
        <v>-751.53</v>
      </c>
    </row>
    <row r="467" spans="1:26" x14ac:dyDescent="0.25">
      <c r="A467" s="1">
        <v>45372</v>
      </c>
      <c r="B467" t="s">
        <v>359</v>
      </c>
      <c r="C467" t="s">
        <v>17</v>
      </c>
      <c r="D467" t="s">
        <v>22</v>
      </c>
      <c r="E467">
        <v>15</v>
      </c>
      <c r="F467">
        <v>0</v>
      </c>
      <c r="G467">
        <v>392.1</v>
      </c>
      <c r="H467">
        <v>5881.5</v>
      </c>
      <c r="I467" t="s">
        <v>364</v>
      </c>
      <c r="J467">
        <v>0</v>
      </c>
      <c r="K467">
        <v>2.97</v>
      </c>
      <c r="L467">
        <v>0</v>
      </c>
      <c r="M467">
        <v>0.01</v>
      </c>
      <c r="N467">
        <v>20</v>
      </c>
      <c r="O467">
        <v>4.1399999999999997</v>
      </c>
      <c r="P467">
        <v>27.12</v>
      </c>
      <c r="Q467">
        <f t="shared" si="70"/>
        <v>2024</v>
      </c>
      <c r="R467">
        <f t="shared" si="71"/>
        <v>3</v>
      </c>
      <c r="S467">
        <f t="shared" si="72"/>
        <v>2023</v>
      </c>
      <c r="T467">
        <f t="shared" si="73"/>
        <v>12</v>
      </c>
      <c r="U467">
        <f t="shared" si="74"/>
        <v>12</v>
      </c>
      <c r="V467" t="str">
        <f t="shared" si="75"/>
        <v>202312</v>
      </c>
      <c r="W467" t="str">
        <f t="shared" si="76"/>
        <v>Mar-24</v>
      </c>
      <c r="X467" s="3">
        <f t="shared" si="77"/>
        <v>-5908.62</v>
      </c>
      <c r="Y467" t="str">
        <f t="shared" si="78"/>
        <v/>
      </c>
      <c r="Z467">
        <f t="shared" si="79"/>
        <v>-5908.62</v>
      </c>
    </row>
    <row r="468" spans="1:26" x14ac:dyDescent="0.25">
      <c r="A468" s="1">
        <v>45373</v>
      </c>
      <c r="B468" t="s">
        <v>350</v>
      </c>
      <c r="C468" t="s">
        <v>17</v>
      </c>
      <c r="D468" t="s">
        <v>18</v>
      </c>
      <c r="E468">
        <v>60</v>
      </c>
      <c r="F468">
        <v>0</v>
      </c>
      <c r="G468">
        <v>323.89999999999998</v>
      </c>
      <c r="H468">
        <v>19434</v>
      </c>
      <c r="I468" t="s">
        <v>351</v>
      </c>
      <c r="J468">
        <v>12.14</v>
      </c>
      <c r="K468">
        <v>9.82</v>
      </c>
      <c r="L468">
        <v>0</v>
      </c>
      <c r="M468">
        <v>0.02</v>
      </c>
      <c r="N468">
        <v>80</v>
      </c>
      <c r="O468">
        <v>16.16</v>
      </c>
      <c r="P468">
        <v>118.14</v>
      </c>
      <c r="Q468">
        <f t="shared" si="70"/>
        <v>2024</v>
      </c>
      <c r="R468">
        <f t="shared" si="71"/>
        <v>3</v>
      </c>
      <c r="S468">
        <f t="shared" si="72"/>
        <v>2023</v>
      </c>
      <c r="T468">
        <f t="shared" si="73"/>
        <v>12</v>
      </c>
      <c r="U468">
        <f t="shared" si="74"/>
        <v>12</v>
      </c>
      <c r="V468" t="str">
        <f t="shared" si="75"/>
        <v>202312</v>
      </c>
      <c r="W468" t="str">
        <f t="shared" si="76"/>
        <v>Mar-24</v>
      </c>
      <c r="X468" s="3">
        <f t="shared" si="77"/>
        <v>19315.86</v>
      </c>
      <c r="Y468">
        <f t="shared" si="78"/>
        <v>19315.86</v>
      </c>
      <c r="Z468" t="str">
        <f t="shared" si="79"/>
        <v/>
      </c>
    </row>
    <row r="469" spans="1:26" x14ac:dyDescent="0.25">
      <c r="A469" s="1">
        <v>45373</v>
      </c>
      <c r="B469" t="s">
        <v>350</v>
      </c>
      <c r="C469" t="s">
        <v>17</v>
      </c>
      <c r="D469" t="s">
        <v>22</v>
      </c>
      <c r="E469">
        <v>60</v>
      </c>
      <c r="F469">
        <v>0</v>
      </c>
      <c r="G469">
        <v>378.5</v>
      </c>
      <c r="H469">
        <v>22710</v>
      </c>
      <c r="I469" t="s">
        <v>352</v>
      </c>
      <c r="J469">
        <v>0</v>
      </c>
      <c r="K469">
        <v>11.47</v>
      </c>
      <c r="L469">
        <v>0.68</v>
      </c>
      <c r="M469">
        <v>0.03</v>
      </c>
      <c r="N469">
        <v>80</v>
      </c>
      <c r="O469">
        <v>16.48</v>
      </c>
      <c r="P469">
        <v>108.66</v>
      </c>
      <c r="Q469">
        <f t="shared" si="70"/>
        <v>2024</v>
      </c>
      <c r="R469">
        <f t="shared" si="71"/>
        <v>3</v>
      </c>
      <c r="S469">
        <f t="shared" si="72"/>
        <v>2023</v>
      </c>
      <c r="T469">
        <f t="shared" si="73"/>
        <v>12</v>
      </c>
      <c r="U469">
        <f t="shared" si="74"/>
        <v>12</v>
      </c>
      <c r="V469" t="str">
        <f t="shared" si="75"/>
        <v>202312</v>
      </c>
      <c r="W469" t="str">
        <f t="shared" si="76"/>
        <v>Mar-24</v>
      </c>
      <c r="X469" s="3">
        <f t="shared" si="77"/>
        <v>-22818.66</v>
      </c>
      <c r="Y469" t="str">
        <f t="shared" si="78"/>
        <v/>
      </c>
      <c r="Z469">
        <f t="shared" si="79"/>
        <v>-22818.66</v>
      </c>
    </row>
    <row r="470" spans="1:26" x14ac:dyDescent="0.25">
      <c r="A470" s="1">
        <v>45373</v>
      </c>
      <c r="B470" t="s">
        <v>353</v>
      </c>
      <c r="C470" t="s">
        <v>17</v>
      </c>
      <c r="D470" t="s">
        <v>18</v>
      </c>
      <c r="E470">
        <v>105</v>
      </c>
      <c r="F470">
        <v>0</v>
      </c>
      <c r="G470">
        <v>193.75</v>
      </c>
      <c r="H470">
        <v>20343.75</v>
      </c>
      <c r="I470" t="s">
        <v>354</v>
      </c>
      <c r="J470">
        <v>12.72</v>
      </c>
      <c r="K470">
        <v>10.28</v>
      </c>
      <c r="L470">
        <v>0</v>
      </c>
      <c r="M470">
        <v>0.02</v>
      </c>
      <c r="N470">
        <v>140</v>
      </c>
      <c r="O470">
        <v>27.06</v>
      </c>
      <c r="P470">
        <v>190.08</v>
      </c>
      <c r="Q470">
        <f t="shared" si="70"/>
        <v>2024</v>
      </c>
      <c r="R470">
        <f t="shared" si="71"/>
        <v>3</v>
      </c>
      <c r="S470">
        <f t="shared" si="72"/>
        <v>2023</v>
      </c>
      <c r="T470">
        <f t="shared" si="73"/>
        <v>12</v>
      </c>
      <c r="U470">
        <f t="shared" si="74"/>
        <v>12</v>
      </c>
      <c r="V470" t="str">
        <f t="shared" si="75"/>
        <v>202312</v>
      </c>
      <c r="W470" t="str">
        <f t="shared" si="76"/>
        <v>Mar-24</v>
      </c>
      <c r="X470" s="3">
        <f t="shared" si="77"/>
        <v>20153.669999999998</v>
      </c>
      <c r="Y470">
        <f t="shared" si="78"/>
        <v>20153.669999999998</v>
      </c>
      <c r="Z470" t="str">
        <f t="shared" si="79"/>
        <v/>
      </c>
    </row>
    <row r="471" spans="1:26" x14ac:dyDescent="0.25">
      <c r="A471" s="1">
        <v>45373</v>
      </c>
      <c r="B471" t="s">
        <v>353</v>
      </c>
      <c r="C471" t="s">
        <v>17</v>
      </c>
      <c r="D471" t="s">
        <v>22</v>
      </c>
      <c r="E471">
        <v>105</v>
      </c>
      <c r="F471">
        <v>0</v>
      </c>
      <c r="G471">
        <v>226.66</v>
      </c>
      <c r="H471">
        <v>23799</v>
      </c>
      <c r="I471" t="s">
        <v>355</v>
      </c>
      <c r="J471">
        <v>0</v>
      </c>
      <c r="K471">
        <v>12.02</v>
      </c>
      <c r="L471">
        <v>1.32</v>
      </c>
      <c r="M471">
        <v>0.02</v>
      </c>
      <c r="N471">
        <v>140</v>
      </c>
      <c r="O471">
        <v>27.36</v>
      </c>
      <c r="P471">
        <v>180.72</v>
      </c>
      <c r="Q471">
        <f t="shared" si="70"/>
        <v>2024</v>
      </c>
      <c r="R471">
        <f t="shared" si="71"/>
        <v>3</v>
      </c>
      <c r="S471">
        <f t="shared" si="72"/>
        <v>2023</v>
      </c>
      <c r="T471">
        <f t="shared" si="73"/>
        <v>12</v>
      </c>
      <c r="U471">
        <f t="shared" si="74"/>
        <v>12</v>
      </c>
      <c r="V471" t="str">
        <f t="shared" si="75"/>
        <v>202312</v>
      </c>
      <c r="W471" t="str">
        <f t="shared" si="76"/>
        <v>Mar-24</v>
      </c>
      <c r="X471" s="3">
        <f t="shared" si="77"/>
        <v>-23979.72</v>
      </c>
      <c r="Y471" t="str">
        <f t="shared" si="78"/>
        <v/>
      </c>
      <c r="Z471">
        <f t="shared" si="79"/>
        <v>-23979.72</v>
      </c>
    </row>
    <row r="472" spans="1:26" x14ac:dyDescent="0.25">
      <c r="A472" s="1">
        <v>45373</v>
      </c>
      <c r="B472" t="s">
        <v>353</v>
      </c>
      <c r="C472" t="s">
        <v>17</v>
      </c>
      <c r="D472" t="s">
        <v>18</v>
      </c>
      <c r="E472">
        <v>30</v>
      </c>
      <c r="F472">
        <v>0</v>
      </c>
      <c r="G472">
        <v>214.15</v>
      </c>
      <c r="H472">
        <v>6424.5</v>
      </c>
      <c r="I472" t="s">
        <v>356</v>
      </c>
      <c r="J472">
        <v>4.1399999999999997</v>
      </c>
      <c r="K472">
        <v>3.24</v>
      </c>
      <c r="L472">
        <v>0</v>
      </c>
      <c r="M472">
        <v>0.01</v>
      </c>
      <c r="N472">
        <v>40</v>
      </c>
      <c r="O472">
        <v>7.78</v>
      </c>
      <c r="P472">
        <v>55.17</v>
      </c>
      <c r="Q472">
        <f t="shared" si="70"/>
        <v>2024</v>
      </c>
      <c r="R472">
        <f t="shared" si="71"/>
        <v>3</v>
      </c>
      <c r="S472">
        <f t="shared" si="72"/>
        <v>2023</v>
      </c>
      <c r="T472">
        <f t="shared" si="73"/>
        <v>12</v>
      </c>
      <c r="U472">
        <f t="shared" si="74"/>
        <v>12</v>
      </c>
      <c r="V472" t="str">
        <f t="shared" si="75"/>
        <v>202312</v>
      </c>
      <c r="W472" t="str">
        <f t="shared" si="76"/>
        <v>Mar-24</v>
      </c>
      <c r="X472" s="3">
        <f t="shared" si="77"/>
        <v>6369.33</v>
      </c>
      <c r="Y472">
        <f t="shared" si="78"/>
        <v>6369.33</v>
      </c>
      <c r="Z472" t="str">
        <f t="shared" si="79"/>
        <v/>
      </c>
    </row>
    <row r="473" spans="1:26" x14ac:dyDescent="0.25">
      <c r="A473" s="1">
        <v>45373</v>
      </c>
      <c r="B473" t="s">
        <v>353</v>
      </c>
      <c r="C473" t="s">
        <v>17</v>
      </c>
      <c r="D473" t="s">
        <v>22</v>
      </c>
      <c r="E473">
        <v>15</v>
      </c>
      <c r="F473">
        <v>0</v>
      </c>
      <c r="G473">
        <v>214.65</v>
      </c>
      <c r="H473">
        <v>3219.75</v>
      </c>
      <c r="I473" t="s">
        <v>357</v>
      </c>
      <c r="J473">
        <v>0</v>
      </c>
      <c r="K473">
        <v>1.63</v>
      </c>
      <c r="L473">
        <v>0</v>
      </c>
      <c r="M473">
        <v>0</v>
      </c>
      <c r="N473">
        <v>20</v>
      </c>
      <c r="O473">
        <v>3.9</v>
      </c>
      <c r="P473">
        <v>25.53</v>
      </c>
      <c r="Q473">
        <f t="shared" si="70"/>
        <v>2024</v>
      </c>
      <c r="R473">
        <f t="shared" si="71"/>
        <v>3</v>
      </c>
      <c r="S473">
        <f t="shared" si="72"/>
        <v>2023</v>
      </c>
      <c r="T473">
        <f t="shared" si="73"/>
        <v>12</v>
      </c>
      <c r="U473">
        <f t="shared" si="74"/>
        <v>12</v>
      </c>
      <c r="V473" t="str">
        <f t="shared" si="75"/>
        <v>202312</v>
      </c>
      <c r="W473" t="str">
        <f t="shared" si="76"/>
        <v>Mar-24</v>
      </c>
      <c r="X473" s="3">
        <f t="shared" si="77"/>
        <v>-3245.28</v>
      </c>
      <c r="Y473" t="str">
        <f t="shared" si="78"/>
        <v/>
      </c>
      <c r="Z473">
        <f t="shared" si="79"/>
        <v>-3245.28</v>
      </c>
    </row>
    <row r="474" spans="1:26" x14ac:dyDescent="0.25">
      <c r="A474" s="1">
        <v>45373</v>
      </c>
      <c r="B474" t="s">
        <v>353</v>
      </c>
      <c r="C474" t="s">
        <v>17</v>
      </c>
      <c r="D474" t="s">
        <v>22</v>
      </c>
      <c r="E474">
        <v>15</v>
      </c>
      <c r="F474">
        <v>0</v>
      </c>
      <c r="G474">
        <v>266.45</v>
      </c>
      <c r="H474">
        <v>3996.75</v>
      </c>
      <c r="I474" t="s">
        <v>358</v>
      </c>
      <c r="J474">
        <v>0</v>
      </c>
      <c r="K474">
        <v>2.02</v>
      </c>
      <c r="L474">
        <v>0</v>
      </c>
      <c r="M474">
        <v>0</v>
      </c>
      <c r="N474">
        <v>20</v>
      </c>
      <c r="O474">
        <v>3.96</v>
      </c>
      <c r="P474">
        <v>25.98</v>
      </c>
      <c r="Q474">
        <f t="shared" si="70"/>
        <v>2024</v>
      </c>
      <c r="R474">
        <f t="shared" si="71"/>
        <v>3</v>
      </c>
      <c r="S474">
        <f t="shared" si="72"/>
        <v>2023</v>
      </c>
      <c r="T474">
        <f t="shared" si="73"/>
        <v>12</v>
      </c>
      <c r="U474">
        <f t="shared" si="74"/>
        <v>12</v>
      </c>
      <c r="V474" t="str">
        <f t="shared" si="75"/>
        <v>202312</v>
      </c>
      <c r="W474" t="str">
        <f t="shared" si="76"/>
        <v>Mar-24</v>
      </c>
      <c r="X474" s="3">
        <f t="shared" si="77"/>
        <v>-4022.73</v>
      </c>
      <c r="Y474" t="str">
        <f t="shared" si="78"/>
        <v/>
      </c>
      <c r="Z474">
        <f t="shared" si="79"/>
        <v>-4022.73</v>
      </c>
    </row>
    <row r="475" spans="1:26" x14ac:dyDescent="0.25">
      <c r="A475" s="1">
        <v>45378</v>
      </c>
      <c r="B475" t="s">
        <v>341</v>
      </c>
      <c r="C475" t="s">
        <v>17</v>
      </c>
      <c r="D475" t="s">
        <v>18</v>
      </c>
      <c r="E475">
        <v>840</v>
      </c>
      <c r="F475">
        <v>0</v>
      </c>
      <c r="G475">
        <v>2.85</v>
      </c>
      <c r="H475">
        <v>2394</v>
      </c>
      <c r="I475" t="s">
        <v>342</v>
      </c>
      <c r="J475">
        <v>2</v>
      </c>
      <c r="K475">
        <v>1.2</v>
      </c>
      <c r="L475">
        <v>0</v>
      </c>
      <c r="M475">
        <v>0</v>
      </c>
      <c r="N475">
        <v>1120</v>
      </c>
      <c r="O475">
        <v>201.82</v>
      </c>
      <c r="P475">
        <v>1325.02</v>
      </c>
      <c r="Q475">
        <f t="shared" si="70"/>
        <v>2024</v>
      </c>
      <c r="R475">
        <f t="shared" si="71"/>
        <v>3</v>
      </c>
      <c r="S475">
        <f t="shared" si="72"/>
        <v>2023</v>
      </c>
      <c r="T475">
        <f t="shared" si="73"/>
        <v>12</v>
      </c>
      <c r="U475">
        <f t="shared" si="74"/>
        <v>12</v>
      </c>
      <c r="V475" t="str">
        <f t="shared" si="75"/>
        <v>202312</v>
      </c>
      <c r="W475" t="str">
        <f t="shared" si="76"/>
        <v>Mar-24</v>
      </c>
      <c r="X475" s="3">
        <f t="shared" si="77"/>
        <v>1068.98</v>
      </c>
      <c r="Y475">
        <f t="shared" si="78"/>
        <v>1068.98</v>
      </c>
      <c r="Z475" t="str">
        <f t="shared" si="79"/>
        <v/>
      </c>
    </row>
    <row r="476" spans="1:26" x14ac:dyDescent="0.25">
      <c r="A476" s="1">
        <v>45378</v>
      </c>
      <c r="B476" t="s">
        <v>341</v>
      </c>
      <c r="C476" t="s">
        <v>17</v>
      </c>
      <c r="D476" t="s">
        <v>22</v>
      </c>
      <c r="E476">
        <v>120</v>
      </c>
      <c r="F476">
        <v>0</v>
      </c>
      <c r="G476">
        <v>3.95</v>
      </c>
      <c r="H476">
        <v>474</v>
      </c>
      <c r="I476" t="s">
        <v>343</v>
      </c>
      <c r="J476">
        <v>0</v>
      </c>
      <c r="K476">
        <v>0.24</v>
      </c>
      <c r="L476">
        <v>0</v>
      </c>
      <c r="M476">
        <v>0</v>
      </c>
      <c r="N476">
        <v>160</v>
      </c>
      <c r="O476">
        <v>28.84</v>
      </c>
      <c r="P476">
        <v>189.08</v>
      </c>
      <c r="Q476">
        <f t="shared" si="70"/>
        <v>2024</v>
      </c>
      <c r="R476">
        <f t="shared" si="71"/>
        <v>3</v>
      </c>
      <c r="S476">
        <f t="shared" si="72"/>
        <v>2023</v>
      </c>
      <c r="T476">
        <f t="shared" si="73"/>
        <v>12</v>
      </c>
      <c r="U476">
        <f t="shared" si="74"/>
        <v>12</v>
      </c>
      <c r="V476" t="str">
        <f t="shared" si="75"/>
        <v>202312</v>
      </c>
      <c r="W476" t="str">
        <f t="shared" si="76"/>
        <v>Mar-24</v>
      </c>
      <c r="X476" s="3">
        <f t="shared" si="77"/>
        <v>-663.08</v>
      </c>
      <c r="Y476" t="str">
        <f t="shared" si="78"/>
        <v/>
      </c>
      <c r="Z476">
        <f t="shared" si="79"/>
        <v>-663.08</v>
      </c>
    </row>
    <row r="477" spans="1:26" x14ac:dyDescent="0.25">
      <c r="A477" s="1">
        <v>45378</v>
      </c>
      <c r="B477" t="s">
        <v>341</v>
      </c>
      <c r="C477" t="s">
        <v>17</v>
      </c>
      <c r="D477" t="s">
        <v>22</v>
      </c>
      <c r="E477">
        <v>120</v>
      </c>
      <c r="F477">
        <v>0</v>
      </c>
      <c r="G477">
        <v>6.1</v>
      </c>
      <c r="H477">
        <v>732</v>
      </c>
      <c r="I477" t="s">
        <v>344</v>
      </c>
      <c r="J477">
        <v>0</v>
      </c>
      <c r="K477">
        <v>0.37</v>
      </c>
      <c r="L477">
        <v>0</v>
      </c>
      <c r="M477">
        <v>0</v>
      </c>
      <c r="N477">
        <v>160</v>
      </c>
      <c r="O477">
        <v>28.86</v>
      </c>
      <c r="P477">
        <v>189.23</v>
      </c>
      <c r="Q477">
        <f t="shared" si="70"/>
        <v>2024</v>
      </c>
      <c r="R477">
        <f t="shared" si="71"/>
        <v>3</v>
      </c>
      <c r="S477">
        <f t="shared" si="72"/>
        <v>2023</v>
      </c>
      <c r="T477">
        <f t="shared" si="73"/>
        <v>12</v>
      </c>
      <c r="U477">
        <f t="shared" si="74"/>
        <v>12</v>
      </c>
      <c r="V477" t="str">
        <f t="shared" si="75"/>
        <v>202312</v>
      </c>
      <c r="W477" t="str">
        <f t="shared" si="76"/>
        <v>Mar-24</v>
      </c>
      <c r="X477" s="3">
        <f t="shared" si="77"/>
        <v>-921.23</v>
      </c>
      <c r="Y477" t="str">
        <f t="shared" si="78"/>
        <v/>
      </c>
      <c r="Z477">
        <f t="shared" si="79"/>
        <v>-921.23</v>
      </c>
    </row>
    <row r="478" spans="1:26" x14ac:dyDescent="0.25">
      <c r="A478" s="1">
        <v>45378</v>
      </c>
      <c r="B478" t="s">
        <v>341</v>
      </c>
      <c r="C478" t="s">
        <v>17</v>
      </c>
      <c r="D478" t="s">
        <v>22</v>
      </c>
      <c r="E478">
        <v>120</v>
      </c>
      <c r="F478">
        <v>0</v>
      </c>
      <c r="G478">
        <v>6.9</v>
      </c>
      <c r="H478">
        <v>828</v>
      </c>
      <c r="I478" t="s">
        <v>345</v>
      </c>
      <c r="J478">
        <v>0</v>
      </c>
      <c r="K478">
        <v>0.42</v>
      </c>
      <c r="L478">
        <v>0</v>
      </c>
      <c r="M478">
        <v>0</v>
      </c>
      <c r="N478">
        <v>160</v>
      </c>
      <c r="O478">
        <v>28.88</v>
      </c>
      <c r="P478">
        <v>189.3</v>
      </c>
      <c r="Q478">
        <f t="shared" si="70"/>
        <v>2024</v>
      </c>
      <c r="R478">
        <f t="shared" si="71"/>
        <v>3</v>
      </c>
      <c r="S478">
        <f t="shared" si="72"/>
        <v>2023</v>
      </c>
      <c r="T478">
        <f t="shared" si="73"/>
        <v>12</v>
      </c>
      <c r="U478">
        <f t="shared" si="74"/>
        <v>12</v>
      </c>
      <c r="V478" t="str">
        <f t="shared" si="75"/>
        <v>202312</v>
      </c>
      <c r="W478" t="str">
        <f t="shared" si="76"/>
        <v>Mar-24</v>
      </c>
      <c r="X478" s="3">
        <f t="shared" si="77"/>
        <v>-1017.3</v>
      </c>
      <c r="Y478" t="str">
        <f t="shared" si="78"/>
        <v/>
      </c>
      <c r="Z478">
        <f t="shared" si="79"/>
        <v>-1017.3</v>
      </c>
    </row>
    <row r="479" spans="1:26" x14ac:dyDescent="0.25">
      <c r="A479" s="1">
        <v>45378</v>
      </c>
      <c r="B479" t="s">
        <v>341</v>
      </c>
      <c r="C479" t="s">
        <v>17</v>
      </c>
      <c r="D479" t="s">
        <v>22</v>
      </c>
      <c r="E479">
        <v>120</v>
      </c>
      <c r="F479">
        <v>0</v>
      </c>
      <c r="G479">
        <v>6.61</v>
      </c>
      <c r="H479">
        <v>792.75</v>
      </c>
      <c r="I479" t="s">
        <v>346</v>
      </c>
      <c r="J479">
        <v>0</v>
      </c>
      <c r="K479">
        <v>0.4</v>
      </c>
      <c r="L479">
        <v>0</v>
      </c>
      <c r="M479">
        <v>0</v>
      </c>
      <c r="N479">
        <v>160</v>
      </c>
      <c r="O479">
        <v>28.86</v>
      </c>
      <c r="P479">
        <v>189.26</v>
      </c>
      <c r="Q479">
        <f t="shared" si="70"/>
        <v>2024</v>
      </c>
      <c r="R479">
        <f t="shared" si="71"/>
        <v>3</v>
      </c>
      <c r="S479">
        <f t="shared" si="72"/>
        <v>2023</v>
      </c>
      <c r="T479">
        <f t="shared" si="73"/>
        <v>12</v>
      </c>
      <c r="U479">
        <f t="shared" si="74"/>
        <v>12</v>
      </c>
      <c r="V479" t="str">
        <f t="shared" si="75"/>
        <v>202312</v>
      </c>
      <c r="W479" t="str">
        <f t="shared" si="76"/>
        <v>Mar-24</v>
      </c>
      <c r="X479" s="3">
        <f t="shared" si="77"/>
        <v>-982.01</v>
      </c>
      <c r="Y479" t="str">
        <f t="shared" si="78"/>
        <v/>
      </c>
      <c r="Z479">
        <f t="shared" si="79"/>
        <v>-982.01</v>
      </c>
    </row>
    <row r="480" spans="1:26" x14ac:dyDescent="0.25">
      <c r="A480" s="1">
        <v>45378</v>
      </c>
      <c r="B480" t="s">
        <v>341</v>
      </c>
      <c r="C480" t="s">
        <v>17</v>
      </c>
      <c r="D480" t="s">
        <v>22</v>
      </c>
      <c r="E480">
        <v>120</v>
      </c>
      <c r="F480">
        <v>0</v>
      </c>
      <c r="G480">
        <v>11.35</v>
      </c>
      <c r="H480">
        <v>1362</v>
      </c>
      <c r="I480" t="s">
        <v>347</v>
      </c>
      <c r="J480">
        <v>0</v>
      </c>
      <c r="K480">
        <v>0.69</v>
      </c>
      <c r="L480">
        <v>0</v>
      </c>
      <c r="M480">
        <v>0</v>
      </c>
      <c r="N480">
        <v>160</v>
      </c>
      <c r="O480">
        <v>28.92</v>
      </c>
      <c r="P480">
        <v>189.61</v>
      </c>
      <c r="Q480">
        <f t="shared" si="70"/>
        <v>2024</v>
      </c>
      <c r="R480">
        <f t="shared" si="71"/>
        <v>3</v>
      </c>
      <c r="S480">
        <f t="shared" si="72"/>
        <v>2023</v>
      </c>
      <c r="T480">
        <f t="shared" si="73"/>
        <v>12</v>
      </c>
      <c r="U480">
        <f t="shared" si="74"/>
        <v>12</v>
      </c>
      <c r="V480" t="str">
        <f t="shared" si="75"/>
        <v>202312</v>
      </c>
      <c r="W480" t="str">
        <f t="shared" si="76"/>
        <v>Mar-24</v>
      </c>
      <c r="X480" s="3">
        <f t="shared" si="77"/>
        <v>-1551.6100000000001</v>
      </c>
      <c r="Y480" t="str">
        <f t="shared" si="78"/>
        <v/>
      </c>
      <c r="Z480">
        <f t="shared" si="79"/>
        <v>-1551.6100000000001</v>
      </c>
    </row>
    <row r="481" spans="1:26" x14ac:dyDescent="0.25">
      <c r="A481" s="1">
        <v>45378</v>
      </c>
      <c r="B481" t="s">
        <v>341</v>
      </c>
      <c r="C481" t="s">
        <v>17</v>
      </c>
      <c r="D481" t="s">
        <v>22</v>
      </c>
      <c r="E481">
        <v>120</v>
      </c>
      <c r="F481">
        <v>0</v>
      </c>
      <c r="G481">
        <v>12.75</v>
      </c>
      <c r="H481">
        <v>1530</v>
      </c>
      <c r="I481" t="s">
        <v>348</v>
      </c>
      <c r="J481">
        <v>0</v>
      </c>
      <c r="K481">
        <v>0.77</v>
      </c>
      <c r="L481">
        <v>0</v>
      </c>
      <c r="M481">
        <v>0</v>
      </c>
      <c r="N481">
        <v>160</v>
      </c>
      <c r="O481">
        <v>28.94</v>
      </c>
      <c r="P481">
        <v>189.71</v>
      </c>
      <c r="Q481">
        <f t="shared" si="70"/>
        <v>2024</v>
      </c>
      <c r="R481">
        <f t="shared" si="71"/>
        <v>3</v>
      </c>
      <c r="S481">
        <f t="shared" si="72"/>
        <v>2023</v>
      </c>
      <c r="T481">
        <f t="shared" si="73"/>
        <v>12</v>
      </c>
      <c r="U481">
        <f t="shared" si="74"/>
        <v>12</v>
      </c>
      <c r="V481" t="str">
        <f t="shared" si="75"/>
        <v>202312</v>
      </c>
      <c r="W481" t="str">
        <f t="shared" si="76"/>
        <v>Mar-24</v>
      </c>
      <c r="X481" s="3">
        <f t="shared" si="77"/>
        <v>-1719.71</v>
      </c>
      <c r="Y481" t="str">
        <f t="shared" si="78"/>
        <v/>
      </c>
      <c r="Z481">
        <f t="shared" si="79"/>
        <v>-1719.71</v>
      </c>
    </row>
    <row r="482" spans="1:26" x14ac:dyDescent="0.25">
      <c r="A482" s="1">
        <v>45378</v>
      </c>
      <c r="B482" t="s">
        <v>341</v>
      </c>
      <c r="C482" t="s">
        <v>17</v>
      </c>
      <c r="D482" t="s">
        <v>22</v>
      </c>
      <c r="E482">
        <v>120</v>
      </c>
      <c r="F482">
        <v>0</v>
      </c>
      <c r="G482">
        <v>26.24</v>
      </c>
      <c r="H482">
        <v>3148.5</v>
      </c>
      <c r="I482" t="s">
        <v>349</v>
      </c>
      <c r="J482">
        <v>0</v>
      </c>
      <c r="K482">
        <v>1.6</v>
      </c>
      <c r="L482">
        <v>0</v>
      </c>
      <c r="M482">
        <v>0</v>
      </c>
      <c r="N482">
        <v>160</v>
      </c>
      <c r="O482">
        <v>29.1</v>
      </c>
      <c r="P482">
        <v>190.7</v>
      </c>
      <c r="Q482">
        <f t="shared" si="70"/>
        <v>2024</v>
      </c>
      <c r="R482">
        <f t="shared" si="71"/>
        <v>3</v>
      </c>
      <c r="S482">
        <f t="shared" si="72"/>
        <v>2023</v>
      </c>
      <c r="T482">
        <f t="shared" si="73"/>
        <v>12</v>
      </c>
      <c r="U482">
        <f t="shared" si="74"/>
        <v>12</v>
      </c>
      <c r="V482" t="str">
        <f t="shared" si="75"/>
        <v>202312</v>
      </c>
      <c r="W482" t="str">
        <f t="shared" si="76"/>
        <v>Mar-24</v>
      </c>
      <c r="X482" s="3">
        <f t="shared" si="77"/>
        <v>-3339.2</v>
      </c>
      <c r="Y482" t="str">
        <f t="shared" si="78"/>
        <v/>
      </c>
      <c r="Z482">
        <f t="shared" si="79"/>
        <v>-3339.2</v>
      </c>
    </row>
    <row r="483" spans="1:26" x14ac:dyDescent="0.25">
      <c r="A483" s="1">
        <v>45383</v>
      </c>
      <c r="B483" t="s">
        <v>327</v>
      </c>
      <c r="C483" t="s">
        <v>17</v>
      </c>
      <c r="D483" t="s">
        <v>18</v>
      </c>
      <c r="E483">
        <v>105</v>
      </c>
      <c r="F483">
        <v>0</v>
      </c>
      <c r="G483">
        <v>218.1</v>
      </c>
      <c r="H483">
        <v>22900.5</v>
      </c>
      <c r="I483" t="s">
        <v>339</v>
      </c>
      <c r="J483">
        <v>14</v>
      </c>
      <c r="K483">
        <v>11.45</v>
      </c>
      <c r="L483">
        <v>0</v>
      </c>
      <c r="M483">
        <v>0.02</v>
      </c>
      <c r="N483">
        <v>140</v>
      </c>
      <c r="O483">
        <v>27.26</v>
      </c>
      <c r="P483">
        <v>192.73</v>
      </c>
      <c r="Q483">
        <f t="shared" si="70"/>
        <v>2024</v>
      </c>
      <c r="R483">
        <f t="shared" si="71"/>
        <v>4</v>
      </c>
      <c r="S483">
        <f t="shared" si="72"/>
        <v>2024</v>
      </c>
      <c r="T483">
        <f t="shared" si="73"/>
        <v>1</v>
      </c>
      <c r="U483" t="str">
        <f t="shared" si="74"/>
        <v>01</v>
      </c>
      <c r="V483" t="str">
        <f t="shared" si="75"/>
        <v>202401</v>
      </c>
      <c r="W483" t="str">
        <f t="shared" si="76"/>
        <v>Apr-24</v>
      </c>
      <c r="X483" s="3">
        <f t="shared" si="77"/>
        <v>22707.77</v>
      </c>
      <c r="Y483">
        <f t="shared" si="78"/>
        <v>22707.77</v>
      </c>
      <c r="Z483" t="str">
        <f t="shared" si="79"/>
        <v/>
      </c>
    </row>
    <row r="484" spans="1:26" x14ac:dyDescent="0.25">
      <c r="A484" s="1">
        <v>45383</v>
      </c>
      <c r="B484" t="s">
        <v>327</v>
      </c>
      <c r="C484" t="s">
        <v>17</v>
      </c>
      <c r="D484" t="s">
        <v>22</v>
      </c>
      <c r="E484">
        <v>105</v>
      </c>
      <c r="F484">
        <v>0</v>
      </c>
      <c r="G484">
        <v>267.04000000000002</v>
      </c>
      <c r="H484">
        <v>28038.75</v>
      </c>
      <c r="I484" t="s">
        <v>340</v>
      </c>
      <c r="J484">
        <v>0</v>
      </c>
      <c r="K484">
        <v>14.03</v>
      </c>
      <c r="L484">
        <v>1</v>
      </c>
      <c r="M484">
        <v>0.03</v>
      </c>
      <c r="N484">
        <v>140</v>
      </c>
      <c r="O484">
        <v>27.72</v>
      </c>
      <c r="P484">
        <v>182.78</v>
      </c>
      <c r="Q484">
        <f t="shared" si="70"/>
        <v>2024</v>
      </c>
      <c r="R484">
        <f t="shared" si="71"/>
        <v>4</v>
      </c>
      <c r="S484">
        <f t="shared" si="72"/>
        <v>2024</v>
      </c>
      <c r="T484">
        <f t="shared" si="73"/>
        <v>1</v>
      </c>
      <c r="U484" t="str">
        <f t="shared" si="74"/>
        <v>01</v>
      </c>
      <c r="V484" t="str">
        <f t="shared" si="75"/>
        <v>202401</v>
      </c>
      <c r="W484" t="str">
        <f t="shared" si="76"/>
        <v>Apr-24</v>
      </c>
      <c r="X484" s="3">
        <f t="shared" si="77"/>
        <v>-28221.53</v>
      </c>
      <c r="Y484" t="str">
        <f t="shared" si="78"/>
        <v/>
      </c>
      <c r="Z484">
        <f t="shared" si="79"/>
        <v>-28221.53</v>
      </c>
    </row>
    <row r="485" spans="1:26" x14ac:dyDescent="0.25">
      <c r="A485" s="1">
        <v>45384</v>
      </c>
      <c r="B485" t="s">
        <v>332</v>
      </c>
      <c r="C485" t="s">
        <v>17</v>
      </c>
      <c r="D485" t="s">
        <v>18</v>
      </c>
      <c r="E485">
        <v>105</v>
      </c>
      <c r="F485">
        <v>0</v>
      </c>
      <c r="G485">
        <v>109.97</v>
      </c>
      <c r="H485">
        <v>11547</v>
      </c>
      <c r="I485" t="s">
        <v>333</v>
      </c>
      <c r="J485">
        <v>7.21</v>
      </c>
      <c r="K485">
        <v>5.78</v>
      </c>
      <c r="L485">
        <v>0</v>
      </c>
      <c r="M485">
        <v>0.01</v>
      </c>
      <c r="N485">
        <v>140</v>
      </c>
      <c r="O485">
        <v>26.24</v>
      </c>
      <c r="P485">
        <v>179.24</v>
      </c>
      <c r="Q485">
        <f t="shared" si="70"/>
        <v>2024</v>
      </c>
      <c r="R485">
        <f t="shared" si="71"/>
        <v>4</v>
      </c>
      <c r="S485">
        <f t="shared" si="72"/>
        <v>2024</v>
      </c>
      <c r="T485">
        <f t="shared" si="73"/>
        <v>1</v>
      </c>
      <c r="U485" t="str">
        <f t="shared" si="74"/>
        <v>01</v>
      </c>
      <c r="V485" t="str">
        <f t="shared" si="75"/>
        <v>202401</v>
      </c>
      <c r="W485" t="str">
        <f t="shared" si="76"/>
        <v>Apr-24</v>
      </c>
      <c r="X485" s="3">
        <f t="shared" si="77"/>
        <v>11367.76</v>
      </c>
      <c r="Y485">
        <f t="shared" si="78"/>
        <v>11367.76</v>
      </c>
      <c r="Z485" t="str">
        <f t="shared" si="79"/>
        <v/>
      </c>
    </row>
    <row r="486" spans="1:26" x14ac:dyDescent="0.25">
      <c r="A486" s="1">
        <v>45384</v>
      </c>
      <c r="B486" t="s">
        <v>332</v>
      </c>
      <c r="C486" t="s">
        <v>17</v>
      </c>
      <c r="D486" t="s">
        <v>22</v>
      </c>
      <c r="E486">
        <v>105</v>
      </c>
      <c r="F486">
        <v>0</v>
      </c>
      <c r="G486">
        <v>129</v>
      </c>
      <c r="H486">
        <v>13545</v>
      </c>
      <c r="I486" t="s">
        <v>334</v>
      </c>
      <c r="J486">
        <v>0</v>
      </c>
      <c r="K486">
        <v>6.77</v>
      </c>
      <c r="L486">
        <v>0.93</v>
      </c>
      <c r="M486">
        <v>0.01</v>
      </c>
      <c r="N486">
        <v>140</v>
      </c>
      <c r="O486">
        <v>26.42</v>
      </c>
      <c r="P486">
        <v>174.13</v>
      </c>
      <c r="Q486">
        <f t="shared" si="70"/>
        <v>2024</v>
      </c>
      <c r="R486">
        <f t="shared" si="71"/>
        <v>4</v>
      </c>
      <c r="S486">
        <f t="shared" si="72"/>
        <v>2024</v>
      </c>
      <c r="T486">
        <f t="shared" si="73"/>
        <v>1</v>
      </c>
      <c r="U486" t="str">
        <f t="shared" si="74"/>
        <v>01</v>
      </c>
      <c r="V486" t="str">
        <f t="shared" si="75"/>
        <v>202401</v>
      </c>
      <c r="W486" t="str">
        <f t="shared" si="76"/>
        <v>Apr-24</v>
      </c>
      <c r="X486" s="3">
        <f t="shared" si="77"/>
        <v>-13719.13</v>
      </c>
      <c r="Y486" t="str">
        <f t="shared" si="78"/>
        <v/>
      </c>
      <c r="Z486">
        <f t="shared" si="79"/>
        <v>-13719.13</v>
      </c>
    </row>
    <row r="487" spans="1:26" x14ac:dyDescent="0.25">
      <c r="A487" s="1">
        <v>45384</v>
      </c>
      <c r="B487" t="s">
        <v>332</v>
      </c>
      <c r="C487" t="s">
        <v>17</v>
      </c>
      <c r="D487" t="s">
        <v>18</v>
      </c>
      <c r="E487">
        <v>105</v>
      </c>
      <c r="F487">
        <v>0</v>
      </c>
      <c r="G487">
        <v>130.24</v>
      </c>
      <c r="H487">
        <v>13674.75</v>
      </c>
      <c r="I487" t="s">
        <v>335</v>
      </c>
      <c r="J487">
        <v>8.14</v>
      </c>
      <c r="K487">
        <v>6.83</v>
      </c>
      <c r="L487">
        <v>0</v>
      </c>
      <c r="M487">
        <v>0.01</v>
      </c>
      <c r="N487">
        <v>140</v>
      </c>
      <c r="O487">
        <v>26.44</v>
      </c>
      <c r="P487">
        <v>181.42</v>
      </c>
      <c r="Q487">
        <f t="shared" si="70"/>
        <v>2024</v>
      </c>
      <c r="R487">
        <f t="shared" si="71"/>
        <v>4</v>
      </c>
      <c r="S487">
        <f t="shared" si="72"/>
        <v>2024</v>
      </c>
      <c r="T487">
        <f t="shared" si="73"/>
        <v>1</v>
      </c>
      <c r="U487" t="str">
        <f t="shared" si="74"/>
        <v>01</v>
      </c>
      <c r="V487" t="str">
        <f t="shared" si="75"/>
        <v>202401</v>
      </c>
      <c r="W487" t="str">
        <f t="shared" si="76"/>
        <v>Apr-24</v>
      </c>
      <c r="X487" s="3">
        <f t="shared" si="77"/>
        <v>13493.33</v>
      </c>
      <c r="Y487">
        <f t="shared" si="78"/>
        <v>13493.33</v>
      </c>
      <c r="Z487" t="str">
        <f t="shared" si="79"/>
        <v/>
      </c>
    </row>
    <row r="488" spans="1:26" x14ac:dyDescent="0.25">
      <c r="A488" s="1">
        <v>45384</v>
      </c>
      <c r="B488" t="s">
        <v>332</v>
      </c>
      <c r="C488" t="s">
        <v>17</v>
      </c>
      <c r="D488" t="s">
        <v>22</v>
      </c>
      <c r="E488">
        <v>105</v>
      </c>
      <c r="F488">
        <v>0</v>
      </c>
      <c r="G488">
        <v>153.99</v>
      </c>
      <c r="H488">
        <v>16168.5</v>
      </c>
      <c r="I488" t="s">
        <v>336</v>
      </c>
      <c r="J488">
        <v>0</v>
      </c>
      <c r="K488">
        <v>8.09</v>
      </c>
      <c r="L488">
        <v>0</v>
      </c>
      <c r="M488">
        <v>0.01</v>
      </c>
      <c r="N488">
        <v>140</v>
      </c>
      <c r="O488">
        <v>26.66</v>
      </c>
      <c r="P488">
        <v>174.76</v>
      </c>
      <c r="Q488">
        <f t="shared" si="70"/>
        <v>2024</v>
      </c>
      <c r="R488">
        <f t="shared" si="71"/>
        <v>4</v>
      </c>
      <c r="S488">
        <f t="shared" si="72"/>
        <v>2024</v>
      </c>
      <c r="T488">
        <f t="shared" si="73"/>
        <v>1</v>
      </c>
      <c r="U488" t="str">
        <f t="shared" si="74"/>
        <v>01</v>
      </c>
      <c r="V488" t="str">
        <f t="shared" si="75"/>
        <v>202401</v>
      </c>
      <c r="W488" t="str">
        <f t="shared" si="76"/>
        <v>Apr-24</v>
      </c>
      <c r="X488" s="3">
        <f t="shared" si="77"/>
        <v>-16343.26</v>
      </c>
      <c r="Y488" t="str">
        <f t="shared" si="78"/>
        <v/>
      </c>
      <c r="Z488">
        <f t="shared" si="79"/>
        <v>-16343.26</v>
      </c>
    </row>
    <row r="489" spans="1:26" x14ac:dyDescent="0.25">
      <c r="A489" s="1">
        <v>45384</v>
      </c>
      <c r="B489" t="s">
        <v>327</v>
      </c>
      <c r="C489" t="s">
        <v>17</v>
      </c>
      <c r="D489" t="s">
        <v>18</v>
      </c>
      <c r="E489">
        <v>15</v>
      </c>
      <c r="F489">
        <v>0</v>
      </c>
      <c r="G489">
        <v>175.4</v>
      </c>
      <c r="H489">
        <v>2631</v>
      </c>
      <c r="I489" t="s">
        <v>337</v>
      </c>
      <c r="J489">
        <v>1.64</v>
      </c>
      <c r="K489">
        <v>1.32</v>
      </c>
      <c r="L489">
        <v>0</v>
      </c>
      <c r="M489">
        <v>0</v>
      </c>
      <c r="N489">
        <v>20</v>
      </c>
      <c r="O489">
        <v>3.84</v>
      </c>
      <c r="P489">
        <v>26.8</v>
      </c>
      <c r="Q489">
        <f t="shared" si="70"/>
        <v>2024</v>
      </c>
      <c r="R489">
        <f t="shared" si="71"/>
        <v>4</v>
      </c>
      <c r="S489">
        <f t="shared" si="72"/>
        <v>2024</v>
      </c>
      <c r="T489">
        <f t="shared" si="73"/>
        <v>1</v>
      </c>
      <c r="U489" t="str">
        <f t="shared" si="74"/>
        <v>01</v>
      </c>
      <c r="V489" t="str">
        <f t="shared" si="75"/>
        <v>202401</v>
      </c>
      <c r="W489" t="str">
        <f t="shared" si="76"/>
        <v>Apr-24</v>
      </c>
      <c r="X489" s="3">
        <f t="shared" si="77"/>
        <v>2604.1999999999998</v>
      </c>
      <c r="Y489">
        <f t="shared" si="78"/>
        <v>2604.1999999999998</v>
      </c>
      <c r="Z489" t="str">
        <f t="shared" si="79"/>
        <v/>
      </c>
    </row>
    <row r="490" spans="1:26" x14ac:dyDescent="0.25">
      <c r="A490" s="1">
        <v>45384</v>
      </c>
      <c r="B490" t="s">
        <v>327</v>
      </c>
      <c r="C490" t="s">
        <v>17</v>
      </c>
      <c r="D490" t="s">
        <v>22</v>
      </c>
      <c r="E490">
        <v>15</v>
      </c>
      <c r="F490">
        <v>0</v>
      </c>
      <c r="G490">
        <v>151.19999999999999</v>
      </c>
      <c r="H490">
        <v>2268</v>
      </c>
      <c r="I490" t="s">
        <v>338</v>
      </c>
      <c r="J490">
        <v>0</v>
      </c>
      <c r="K490">
        <v>1.1299999999999999</v>
      </c>
      <c r="L490">
        <v>7.0000000000000007E-2</v>
      </c>
      <c r="M490">
        <v>0</v>
      </c>
      <c r="N490">
        <v>20</v>
      </c>
      <c r="O490">
        <v>3.8</v>
      </c>
      <c r="P490">
        <v>25</v>
      </c>
      <c r="Q490">
        <f t="shared" si="70"/>
        <v>2024</v>
      </c>
      <c r="R490">
        <f t="shared" si="71"/>
        <v>4</v>
      </c>
      <c r="S490">
        <f t="shared" si="72"/>
        <v>2024</v>
      </c>
      <c r="T490">
        <f t="shared" si="73"/>
        <v>1</v>
      </c>
      <c r="U490" t="str">
        <f t="shared" si="74"/>
        <v>01</v>
      </c>
      <c r="V490" t="str">
        <f t="shared" si="75"/>
        <v>202401</v>
      </c>
      <c r="W490" t="str">
        <f t="shared" si="76"/>
        <v>Apr-24</v>
      </c>
      <c r="X490" s="3">
        <f t="shared" si="77"/>
        <v>-2293</v>
      </c>
      <c r="Y490" t="str">
        <f t="shared" si="78"/>
        <v/>
      </c>
      <c r="Z490">
        <f t="shared" si="79"/>
        <v>-2293</v>
      </c>
    </row>
    <row r="491" spans="1:26" x14ac:dyDescent="0.25">
      <c r="A491" s="1">
        <v>45385</v>
      </c>
      <c r="B491" t="s">
        <v>327</v>
      </c>
      <c r="C491" t="s">
        <v>17</v>
      </c>
      <c r="D491" t="s">
        <v>18</v>
      </c>
      <c r="E491">
        <v>15</v>
      </c>
      <c r="F491">
        <v>0</v>
      </c>
      <c r="G491">
        <v>87.3</v>
      </c>
      <c r="H491">
        <v>1309.5</v>
      </c>
      <c r="I491" t="s">
        <v>328</v>
      </c>
      <c r="J491">
        <v>0.82</v>
      </c>
      <c r="K491">
        <v>0.65</v>
      </c>
      <c r="L491">
        <v>0</v>
      </c>
      <c r="M491">
        <v>0</v>
      </c>
      <c r="N491">
        <v>20</v>
      </c>
      <c r="O491">
        <v>3.72</v>
      </c>
      <c r="P491">
        <v>25.19</v>
      </c>
      <c r="Q491">
        <f t="shared" si="70"/>
        <v>2024</v>
      </c>
      <c r="R491">
        <f t="shared" si="71"/>
        <v>4</v>
      </c>
      <c r="S491">
        <f t="shared" si="72"/>
        <v>2024</v>
      </c>
      <c r="T491">
        <f t="shared" si="73"/>
        <v>1</v>
      </c>
      <c r="U491" t="str">
        <f t="shared" si="74"/>
        <v>01</v>
      </c>
      <c r="V491" t="str">
        <f t="shared" si="75"/>
        <v>202401</v>
      </c>
      <c r="W491" t="str">
        <f t="shared" si="76"/>
        <v>Apr-24</v>
      </c>
      <c r="X491" s="3">
        <f t="shared" si="77"/>
        <v>1284.31</v>
      </c>
      <c r="Y491">
        <f t="shared" si="78"/>
        <v>1284.31</v>
      </c>
      <c r="Z491" t="str">
        <f t="shared" si="79"/>
        <v/>
      </c>
    </row>
    <row r="492" spans="1:26" x14ac:dyDescent="0.25">
      <c r="A492" s="1">
        <v>45385</v>
      </c>
      <c r="B492" t="s">
        <v>327</v>
      </c>
      <c r="C492" t="s">
        <v>17</v>
      </c>
      <c r="D492" t="s">
        <v>22</v>
      </c>
      <c r="E492">
        <v>15</v>
      </c>
      <c r="F492">
        <v>0</v>
      </c>
      <c r="G492">
        <v>31.1</v>
      </c>
      <c r="H492">
        <v>466.5</v>
      </c>
      <c r="I492" t="s">
        <v>329</v>
      </c>
      <c r="J492">
        <v>0</v>
      </c>
      <c r="K492">
        <v>0.23</v>
      </c>
      <c r="L492">
        <v>0</v>
      </c>
      <c r="M492">
        <v>0</v>
      </c>
      <c r="N492">
        <v>20</v>
      </c>
      <c r="O492">
        <v>3.64</v>
      </c>
      <c r="P492">
        <v>23.87</v>
      </c>
      <c r="Q492">
        <f t="shared" si="70"/>
        <v>2024</v>
      </c>
      <c r="R492">
        <f t="shared" si="71"/>
        <v>4</v>
      </c>
      <c r="S492">
        <f t="shared" si="72"/>
        <v>2024</v>
      </c>
      <c r="T492">
        <f t="shared" si="73"/>
        <v>1</v>
      </c>
      <c r="U492" t="str">
        <f t="shared" si="74"/>
        <v>01</v>
      </c>
      <c r="V492" t="str">
        <f t="shared" si="75"/>
        <v>202401</v>
      </c>
      <c r="W492" t="str">
        <f t="shared" si="76"/>
        <v>Apr-24</v>
      </c>
      <c r="X492" s="3">
        <f t="shared" si="77"/>
        <v>-490.37</v>
      </c>
      <c r="Y492" t="str">
        <f t="shared" si="78"/>
        <v/>
      </c>
      <c r="Z492">
        <f t="shared" si="79"/>
        <v>-490.37</v>
      </c>
    </row>
    <row r="493" spans="1:26" x14ac:dyDescent="0.25">
      <c r="A493" s="1">
        <v>45385</v>
      </c>
      <c r="B493" t="s">
        <v>327</v>
      </c>
      <c r="C493" t="s">
        <v>17</v>
      </c>
      <c r="D493" t="s">
        <v>18</v>
      </c>
      <c r="E493">
        <v>600</v>
      </c>
      <c r="F493">
        <v>0</v>
      </c>
      <c r="G493">
        <v>67.25</v>
      </c>
      <c r="H493">
        <v>40350</v>
      </c>
      <c r="I493" t="s">
        <v>330</v>
      </c>
      <c r="J493">
        <v>25.18</v>
      </c>
      <c r="K493">
        <v>20.18</v>
      </c>
      <c r="L493">
        <v>0</v>
      </c>
      <c r="M493">
        <v>0.04</v>
      </c>
      <c r="N493">
        <v>800</v>
      </c>
      <c r="O493">
        <v>147.63999999999999</v>
      </c>
      <c r="P493">
        <v>993.04</v>
      </c>
      <c r="Q493">
        <f t="shared" si="70"/>
        <v>2024</v>
      </c>
      <c r="R493">
        <f t="shared" si="71"/>
        <v>4</v>
      </c>
      <c r="S493">
        <f t="shared" si="72"/>
        <v>2024</v>
      </c>
      <c r="T493">
        <f t="shared" si="73"/>
        <v>1</v>
      </c>
      <c r="U493" t="str">
        <f t="shared" si="74"/>
        <v>01</v>
      </c>
      <c r="V493" t="str">
        <f t="shared" si="75"/>
        <v>202401</v>
      </c>
      <c r="W493" t="str">
        <f t="shared" si="76"/>
        <v>Apr-24</v>
      </c>
      <c r="X493" s="3">
        <f t="shared" si="77"/>
        <v>39356.959999999999</v>
      </c>
      <c r="Y493">
        <f t="shared" si="78"/>
        <v>39356.959999999999</v>
      </c>
      <c r="Z493" t="str">
        <f t="shared" si="79"/>
        <v/>
      </c>
    </row>
    <row r="494" spans="1:26" x14ac:dyDescent="0.25">
      <c r="A494" s="1">
        <v>45385</v>
      </c>
      <c r="B494" t="s">
        <v>327</v>
      </c>
      <c r="C494" t="s">
        <v>17</v>
      </c>
      <c r="D494" t="s">
        <v>22</v>
      </c>
      <c r="E494">
        <v>600</v>
      </c>
      <c r="F494">
        <v>0</v>
      </c>
      <c r="G494">
        <v>34.1</v>
      </c>
      <c r="H494">
        <v>20460</v>
      </c>
      <c r="I494" t="s">
        <v>331</v>
      </c>
      <c r="J494">
        <v>0</v>
      </c>
      <c r="K494">
        <v>10.23</v>
      </c>
      <c r="L494">
        <v>1</v>
      </c>
      <c r="M494">
        <v>0.02</v>
      </c>
      <c r="N494">
        <v>800</v>
      </c>
      <c r="O494">
        <v>145.84</v>
      </c>
      <c r="P494">
        <v>957.09</v>
      </c>
      <c r="Q494">
        <f t="shared" si="70"/>
        <v>2024</v>
      </c>
      <c r="R494">
        <f t="shared" si="71"/>
        <v>4</v>
      </c>
      <c r="S494">
        <f t="shared" si="72"/>
        <v>2024</v>
      </c>
      <c r="T494">
        <f t="shared" si="73"/>
        <v>1</v>
      </c>
      <c r="U494" t="str">
        <f t="shared" si="74"/>
        <v>01</v>
      </c>
      <c r="V494" t="str">
        <f t="shared" si="75"/>
        <v>202401</v>
      </c>
      <c r="W494" t="str">
        <f t="shared" si="76"/>
        <v>Apr-24</v>
      </c>
      <c r="X494" s="3">
        <f t="shared" si="77"/>
        <v>-21417.09</v>
      </c>
      <c r="Y494" t="str">
        <f t="shared" si="78"/>
        <v/>
      </c>
      <c r="Z494">
        <f t="shared" si="79"/>
        <v>-21417.09</v>
      </c>
    </row>
    <row r="495" spans="1:26" x14ac:dyDescent="0.25">
      <c r="A495" s="1">
        <v>45386</v>
      </c>
      <c r="B495" t="s">
        <v>319</v>
      </c>
      <c r="C495" t="s">
        <v>17</v>
      </c>
      <c r="D495" t="s">
        <v>18</v>
      </c>
      <c r="E495">
        <v>900</v>
      </c>
      <c r="F495">
        <v>0</v>
      </c>
      <c r="G495">
        <v>52</v>
      </c>
      <c r="H495">
        <v>46800</v>
      </c>
      <c r="I495" t="s">
        <v>320</v>
      </c>
      <c r="J495">
        <v>29.25</v>
      </c>
      <c r="K495">
        <v>23.4</v>
      </c>
      <c r="L495">
        <v>0</v>
      </c>
      <c r="M495">
        <v>0.05</v>
      </c>
      <c r="N495">
        <v>360</v>
      </c>
      <c r="O495">
        <v>69.02</v>
      </c>
      <c r="P495">
        <v>481.72</v>
      </c>
      <c r="Q495">
        <f t="shared" si="70"/>
        <v>2024</v>
      </c>
      <c r="R495">
        <f t="shared" si="71"/>
        <v>4</v>
      </c>
      <c r="S495">
        <f t="shared" si="72"/>
        <v>2024</v>
      </c>
      <c r="T495">
        <f t="shared" si="73"/>
        <v>1</v>
      </c>
      <c r="U495" t="str">
        <f t="shared" si="74"/>
        <v>01</v>
      </c>
      <c r="V495" t="str">
        <f t="shared" si="75"/>
        <v>202401</v>
      </c>
      <c r="W495" t="str">
        <f t="shared" si="76"/>
        <v>Apr-24</v>
      </c>
      <c r="X495" s="3">
        <f t="shared" si="77"/>
        <v>46318.28</v>
      </c>
      <c r="Y495">
        <f t="shared" si="78"/>
        <v>46318.28</v>
      </c>
      <c r="Z495" t="str">
        <f t="shared" si="79"/>
        <v/>
      </c>
    </row>
    <row r="496" spans="1:26" x14ac:dyDescent="0.25">
      <c r="A496" s="1">
        <v>45386</v>
      </c>
      <c r="B496" t="s">
        <v>319</v>
      </c>
      <c r="C496" t="s">
        <v>17</v>
      </c>
      <c r="D496" t="s">
        <v>22</v>
      </c>
      <c r="E496">
        <v>300</v>
      </c>
      <c r="F496">
        <v>0</v>
      </c>
      <c r="G496">
        <v>25.05</v>
      </c>
      <c r="H496">
        <v>7515</v>
      </c>
      <c r="I496" t="s">
        <v>321</v>
      </c>
      <c r="J496">
        <v>0</v>
      </c>
      <c r="K496">
        <v>3.76</v>
      </c>
      <c r="L496">
        <v>0.51</v>
      </c>
      <c r="M496">
        <v>0.01</v>
      </c>
      <c r="N496">
        <v>120</v>
      </c>
      <c r="O496">
        <v>22.28</v>
      </c>
      <c r="P496">
        <v>146.56</v>
      </c>
      <c r="Q496">
        <f t="shared" si="70"/>
        <v>2024</v>
      </c>
      <c r="R496">
        <f t="shared" si="71"/>
        <v>4</v>
      </c>
      <c r="S496">
        <f t="shared" si="72"/>
        <v>2024</v>
      </c>
      <c r="T496">
        <f t="shared" si="73"/>
        <v>1</v>
      </c>
      <c r="U496" t="str">
        <f t="shared" si="74"/>
        <v>01</v>
      </c>
      <c r="V496" t="str">
        <f t="shared" si="75"/>
        <v>202401</v>
      </c>
      <c r="W496" t="str">
        <f t="shared" si="76"/>
        <v>Apr-24</v>
      </c>
      <c r="X496" s="3">
        <f t="shared" si="77"/>
        <v>-7661.56</v>
      </c>
      <c r="Y496" t="str">
        <f t="shared" si="78"/>
        <v/>
      </c>
      <c r="Z496">
        <f t="shared" si="79"/>
        <v>-7661.56</v>
      </c>
    </row>
    <row r="497" spans="1:26" x14ac:dyDescent="0.25">
      <c r="A497" s="1">
        <v>45386</v>
      </c>
      <c r="B497" t="s">
        <v>319</v>
      </c>
      <c r="C497" t="s">
        <v>17</v>
      </c>
      <c r="D497" t="s">
        <v>22</v>
      </c>
      <c r="E497">
        <v>300</v>
      </c>
      <c r="F497">
        <v>0</v>
      </c>
      <c r="G497">
        <v>21</v>
      </c>
      <c r="H497">
        <v>6300</v>
      </c>
      <c r="I497" t="s">
        <v>322</v>
      </c>
      <c r="J497">
        <v>0</v>
      </c>
      <c r="K497">
        <v>3.18</v>
      </c>
      <c r="L497">
        <v>0</v>
      </c>
      <c r="M497">
        <v>0</v>
      </c>
      <c r="N497">
        <v>120</v>
      </c>
      <c r="O497">
        <v>22.2</v>
      </c>
      <c r="P497">
        <v>145.38</v>
      </c>
      <c r="Q497">
        <f t="shared" si="70"/>
        <v>2024</v>
      </c>
      <c r="R497">
        <f t="shared" si="71"/>
        <v>4</v>
      </c>
      <c r="S497">
        <f t="shared" si="72"/>
        <v>2024</v>
      </c>
      <c r="T497">
        <f t="shared" si="73"/>
        <v>1</v>
      </c>
      <c r="U497" t="str">
        <f t="shared" si="74"/>
        <v>01</v>
      </c>
      <c r="V497" t="str">
        <f t="shared" si="75"/>
        <v>202401</v>
      </c>
      <c r="W497" t="str">
        <f t="shared" si="76"/>
        <v>Apr-24</v>
      </c>
      <c r="X497" s="3">
        <f t="shared" si="77"/>
        <v>-6445.38</v>
      </c>
      <c r="Y497" t="str">
        <f t="shared" si="78"/>
        <v/>
      </c>
      <c r="Z497">
        <f t="shared" si="79"/>
        <v>-6445.38</v>
      </c>
    </row>
    <row r="498" spans="1:26" x14ac:dyDescent="0.25">
      <c r="A498" s="1">
        <v>45386</v>
      </c>
      <c r="B498" t="s">
        <v>319</v>
      </c>
      <c r="C498" t="s">
        <v>17</v>
      </c>
      <c r="D498" t="s">
        <v>22</v>
      </c>
      <c r="E498">
        <v>300</v>
      </c>
      <c r="F498">
        <v>0</v>
      </c>
      <c r="G498">
        <v>41</v>
      </c>
      <c r="H498">
        <v>12300</v>
      </c>
      <c r="I498" t="s">
        <v>323</v>
      </c>
      <c r="J498">
        <v>0</v>
      </c>
      <c r="K498">
        <v>6.15</v>
      </c>
      <c r="L498">
        <v>0</v>
      </c>
      <c r="M498">
        <v>0.01</v>
      </c>
      <c r="N498">
        <v>120</v>
      </c>
      <c r="O498">
        <v>22.7</v>
      </c>
      <c r="P498">
        <v>148.86000000000001</v>
      </c>
      <c r="Q498">
        <f t="shared" si="70"/>
        <v>2024</v>
      </c>
      <c r="R498">
        <f t="shared" si="71"/>
        <v>4</v>
      </c>
      <c r="S498">
        <f t="shared" si="72"/>
        <v>2024</v>
      </c>
      <c r="T498">
        <f t="shared" si="73"/>
        <v>1</v>
      </c>
      <c r="U498" t="str">
        <f t="shared" si="74"/>
        <v>01</v>
      </c>
      <c r="V498" t="str">
        <f t="shared" si="75"/>
        <v>202401</v>
      </c>
      <c r="W498" t="str">
        <f t="shared" si="76"/>
        <v>Apr-24</v>
      </c>
      <c r="X498" s="3">
        <f t="shared" si="77"/>
        <v>-12448.86</v>
      </c>
      <c r="Y498" t="str">
        <f t="shared" si="78"/>
        <v/>
      </c>
      <c r="Z498">
        <f t="shared" si="79"/>
        <v>-12448.86</v>
      </c>
    </row>
    <row r="499" spans="1:26" x14ac:dyDescent="0.25">
      <c r="A499" s="1">
        <v>45386</v>
      </c>
      <c r="B499" t="s">
        <v>324</v>
      </c>
      <c r="C499" t="s">
        <v>17</v>
      </c>
      <c r="D499" t="s">
        <v>18</v>
      </c>
      <c r="E499">
        <v>60</v>
      </c>
      <c r="F499">
        <v>0</v>
      </c>
      <c r="G499">
        <v>289.39999999999998</v>
      </c>
      <c r="H499">
        <v>17364</v>
      </c>
      <c r="I499" t="s">
        <v>325</v>
      </c>
      <c r="J499">
        <v>10.75</v>
      </c>
      <c r="K499">
        <v>8.68</v>
      </c>
      <c r="L499">
        <v>0</v>
      </c>
      <c r="M499">
        <v>0.02</v>
      </c>
      <c r="N499">
        <v>80</v>
      </c>
      <c r="O499">
        <v>15.96</v>
      </c>
      <c r="P499">
        <v>115.41</v>
      </c>
      <c r="Q499">
        <f t="shared" si="70"/>
        <v>2024</v>
      </c>
      <c r="R499">
        <f t="shared" si="71"/>
        <v>4</v>
      </c>
      <c r="S499">
        <f t="shared" si="72"/>
        <v>2024</v>
      </c>
      <c r="T499">
        <f t="shared" si="73"/>
        <v>1</v>
      </c>
      <c r="U499" t="str">
        <f t="shared" si="74"/>
        <v>01</v>
      </c>
      <c r="V499" t="str">
        <f t="shared" si="75"/>
        <v>202401</v>
      </c>
      <c r="W499" t="str">
        <f t="shared" si="76"/>
        <v>Apr-24</v>
      </c>
      <c r="X499" s="3">
        <f t="shared" si="77"/>
        <v>17248.59</v>
      </c>
      <c r="Y499">
        <f t="shared" si="78"/>
        <v>17248.59</v>
      </c>
      <c r="Z499" t="str">
        <f t="shared" si="79"/>
        <v/>
      </c>
    </row>
    <row r="500" spans="1:26" x14ac:dyDescent="0.25">
      <c r="A500" s="1">
        <v>45386</v>
      </c>
      <c r="B500" t="s">
        <v>324</v>
      </c>
      <c r="C500" t="s">
        <v>17</v>
      </c>
      <c r="D500" t="s">
        <v>22</v>
      </c>
      <c r="E500">
        <v>60</v>
      </c>
      <c r="F500">
        <v>0</v>
      </c>
      <c r="G500">
        <v>272.08</v>
      </c>
      <c r="H500">
        <v>16324.5</v>
      </c>
      <c r="I500" t="s">
        <v>326</v>
      </c>
      <c r="J500">
        <v>0</v>
      </c>
      <c r="K500">
        <v>8.16</v>
      </c>
      <c r="L500">
        <v>0.49</v>
      </c>
      <c r="M500">
        <v>0.01</v>
      </c>
      <c r="N500">
        <v>80</v>
      </c>
      <c r="O500">
        <v>15.86</v>
      </c>
      <c r="P500">
        <v>104.52</v>
      </c>
      <c r="Q500">
        <f t="shared" si="70"/>
        <v>2024</v>
      </c>
      <c r="R500">
        <f t="shared" si="71"/>
        <v>4</v>
      </c>
      <c r="S500">
        <f t="shared" si="72"/>
        <v>2024</v>
      </c>
      <c r="T500">
        <f t="shared" si="73"/>
        <v>1</v>
      </c>
      <c r="U500" t="str">
        <f t="shared" si="74"/>
        <v>01</v>
      </c>
      <c r="V500" t="str">
        <f t="shared" si="75"/>
        <v>202401</v>
      </c>
      <c r="W500" t="str">
        <f t="shared" si="76"/>
        <v>Apr-24</v>
      </c>
      <c r="X500" s="3">
        <f t="shared" si="77"/>
        <v>-16429.02</v>
      </c>
      <c r="Y500" t="str">
        <f t="shared" si="78"/>
        <v/>
      </c>
      <c r="Z500">
        <f t="shared" si="79"/>
        <v>-16429.02</v>
      </c>
    </row>
    <row r="501" spans="1:26" x14ac:dyDescent="0.25">
      <c r="A501" s="1">
        <v>45390</v>
      </c>
      <c r="B501" t="s">
        <v>310</v>
      </c>
      <c r="C501" t="s">
        <v>17</v>
      </c>
      <c r="D501" t="s">
        <v>18</v>
      </c>
      <c r="E501">
        <v>105</v>
      </c>
      <c r="F501">
        <v>0</v>
      </c>
      <c r="G501">
        <v>297</v>
      </c>
      <c r="H501">
        <v>31185</v>
      </c>
      <c r="I501" t="s">
        <v>311</v>
      </c>
      <c r="J501">
        <v>19.489999999999998</v>
      </c>
      <c r="K501">
        <v>15.6</v>
      </c>
      <c r="L501">
        <v>0</v>
      </c>
      <c r="M501">
        <v>0.03</v>
      </c>
      <c r="N501">
        <v>140</v>
      </c>
      <c r="O501">
        <v>28.02</v>
      </c>
      <c r="P501">
        <v>203.14</v>
      </c>
      <c r="Q501">
        <f t="shared" si="70"/>
        <v>2024</v>
      </c>
      <c r="R501">
        <f t="shared" si="71"/>
        <v>4</v>
      </c>
      <c r="S501">
        <f t="shared" si="72"/>
        <v>2024</v>
      </c>
      <c r="T501">
        <f t="shared" si="73"/>
        <v>1</v>
      </c>
      <c r="U501" t="str">
        <f t="shared" si="74"/>
        <v>01</v>
      </c>
      <c r="V501" t="str">
        <f t="shared" si="75"/>
        <v>202401</v>
      </c>
      <c r="W501" t="str">
        <f t="shared" si="76"/>
        <v>Apr-24</v>
      </c>
      <c r="X501" s="3">
        <f t="shared" si="77"/>
        <v>30981.86</v>
      </c>
      <c r="Y501">
        <f t="shared" si="78"/>
        <v>30981.86</v>
      </c>
      <c r="Z501" t="str">
        <f t="shared" si="79"/>
        <v/>
      </c>
    </row>
    <row r="502" spans="1:26" x14ac:dyDescent="0.25">
      <c r="A502" s="1">
        <v>45390</v>
      </c>
      <c r="B502" t="s">
        <v>310</v>
      </c>
      <c r="C502" t="s">
        <v>17</v>
      </c>
      <c r="D502" t="s">
        <v>22</v>
      </c>
      <c r="E502">
        <v>105</v>
      </c>
      <c r="F502">
        <v>0</v>
      </c>
      <c r="G502">
        <v>289.08999999999997</v>
      </c>
      <c r="H502">
        <v>30354.75</v>
      </c>
      <c r="I502" t="s">
        <v>312</v>
      </c>
      <c r="J502">
        <v>0</v>
      </c>
      <c r="K502">
        <v>15.18</v>
      </c>
      <c r="L502">
        <v>2</v>
      </c>
      <c r="M502">
        <v>0.02</v>
      </c>
      <c r="N502">
        <v>140</v>
      </c>
      <c r="O502">
        <v>27.96</v>
      </c>
      <c r="P502">
        <v>185.16</v>
      </c>
      <c r="Q502">
        <f t="shared" si="70"/>
        <v>2024</v>
      </c>
      <c r="R502">
        <f t="shared" si="71"/>
        <v>4</v>
      </c>
      <c r="S502">
        <f t="shared" si="72"/>
        <v>2024</v>
      </c>
      <c r="T502">
        <f t="shared" si="73"/>
        <v>1</v>
      </c>
      <c r="U502" t="str">
        <f t="shared" si="74"/>
        <v>01</v>
      </c>
      <c r="V502" t="str">
        <f t="shared" si="75"/>
        <v>202401</v>
      </c>
      <c r="W502" t="str">
        <f t="shared" si="76"/>
        <v>Apr-24</v>
      </c>
      <c r="X502" s="3">
        <f t="shared" si="77"/>
        <v>-30539.91</v>
      </c>
      <c r="Y502" t="str">
        <f t="shared" si="78"/>
        <v/>
      </c>
      <c r="Z502">
        <f t="shared" si="79"/>
        <v>-30539.91</v>
      </c>
    </row>
    <row r="503" spans="1:26" x14ac:dyDescent="0.25">
      <c r="A503" s="1">
        <v>45390</v>
      </c>
      <c r="B503" t="s">
        <v>310</v>
      </c>
      <c r="C503" t="s">
        <v>17</v>
      </c>
      <c r="D503" t="s">
        <v>18</v>
      </c>
      <c r="E503">
        <v>75</v>
      </c>
      <c r="F503">
        <v>0</v>
      </c>
      <c r="G503">
        <v>299.14999999999998</v>
      </c>
      <c r="H503">
        <v>22436.25</v>
      </c>
      <c r="I503" t="s">
        <v>313</v>
      </c>
      <c r="J503">
        <v>14.51</v>
      </c>
      <c r="K503">
        <v>11.22</v>
      </c>
      <c r="L503">
        <v>0</v>
      </c>
      <c r="M503">
        <v>0.02</v>
      </c>
      <c r="N503">
        <v>100</v>
      </c>
      <c r="O503">
        <v>20.02</v>
      </c>
      <c r="P503">
        <v>145.77000000000001</v>
      </c>
      <c r="Q503">
        <f t="shared" si="70"/>
        <v>2024</v>
      </c>
      <c r="R503">
        <f t="shared" si="71"/>
        <v>4</v>
      </c>
      <c r="S503">
        <f t="shared" si="72"/>
        <v>2024</v>
      </c>
      <c r="T503">
        <f t="shared" si="73"/>
        <v>1</v>
      </c>
      <c r="U503" t="str">
        <f t="shared" si="74"/>
        <v>01</v>
      </c>
      <c r="V503" t="str">
        <f t="shared" si="75"/>
        <v>202401</v>
      </c>
      <c r="W503" t="str">
        <f t="shared" si="76"/>
        <v>Apr-24</v>
      </c>
      <c r="X503" s="3">
        <f t="shared" si="77"/>
        <v>22290.48</v>
      </c>
      <c r="Y503">
        <f t="shared" si="78"/>
        <v>22290.48</v>
      </c>
      <c r="Z503" t="str">
        <f t="shared" si="79"/>
        <v/>
      </c>
    </row>
    <row r="504" spans="1:26" x14ac:dyDescent="0.25">
      <c r="A504" s="1">
        <v>45390</v>
      </c>
      <c r="B504" t="s">
        <v>310</v>
      </c>
      <c r="C504" t="s">
        <v>17</v>
      </c>
      <c r="D504" t="s">
        <v>22</v>
      </c>
      <c r="E504">
        <v>15</v>
      </c>
      <c r="F504">
        <v>0</v>
      </c>
      <c r="G504">
        <v>271.25</v>
      </c>
      <c r="H504">
        <v>4068.75</v>
      </c>
      <c r="I504" t="s">
        <v>314</v>
      </c>
      <c r="J504">
        <v>0</v>
      </c>
      <c r="K504">
        <v>2.0299999999999998</v>
      </c>
      <c r="L504">
        <v>0</v>
      </c>
      <c r="M504">
        <v>0</v>
      </c>
      <c r="N504">
        <v>20</v>
      </c>
      <c r="O504">
        <v>3.96</v>
      </c>
      <c r="P504">
        <v>25.99</v>
      </c>
      <c r="Q504">
        <f t="shared" si="70"/>
        <v>2024</v>
      </c>
      <c r="R504">
        <f t="shared" si="71"/>
        <v>4</v>
      </c>
      <c r="S504">
        <f t="shared" si="72"/>
        <v>2024</v>
      </c>
      <c r="T504">
        <f t="shared" si="73"/>
        <v>1</v>
      </c>
      <c r="U504" t="str">
        <f t="shared" si="74"/>
        <v>01</v>
      </c>
      <c r="V504" t="str">
        <f t="shared" si="75"/>
        <v>202401</v>
      </c>
      <c r="W504" t="str">
        <f t="shared" si="76"/>
        <v>Apr-24</v>
      </c>
      <c r="X504" s="3">
        <f t="shared" si="77"/>
        <v>-4094.74</v>
      </c>
      <c r="Y504" t="str">
        <f t="shared" si="78"/>
        <v/>
      </c>
      <c r="Z504">
        <f t="shared" si="79"/>
        <v>-4094.74</v>
      </c>
    </row>
    <row r="505" spans="1:26" x14ac:dyDescent="0.25">
      <c r="A505" s="1">
        <v>45390</v>
      </c>
      <c r="B505" t="s">
        <v>310</v>
      </c>
      <c r="C505" t="s">
        <v>17</v>
      </c>
      <c r="D505" t="s">
        <v>22</v>
      </c>
      <c r="E505">
        <v>15</v>
      </c>
      <c r="F505">
        <v>0</v>
      </c>
      <c r="G505">
        <v>270.14999999999998</v>
      </c>
      <c r="H505">
        <v>4052.25</v>
      </c>
      <c r="I505" t="s">
        <v>315</v>
      </c>
      <c r="J505">
        <v>0</v>
      </c>
      <c r="K505">
        <v>2.0299999999999998</v>
      </c>
      <c r="L505">
        <v>0</v>
      </c>
      <c r="M505">
        <v>0</v>
      </c>
      <c r="N505">
        <v>20</v>
      </c>
      <c r="O505">
        <v>3.96</v>
      </c>
      <c r="P505">
        <v>25.99</v>
      </c>
      <c r="Q505">
        <f t="shared" si="70"/>
        <v>2024</v>
      </c>
      <c r="R505">
        <f t="shared" si="71"/>
        <v>4</v>
      </c>
      <c r="S505">
        <f t="shared" si="72"/>
        <v>2024</v>
      </c>
      <c r="T505">
        <f t="shared" si="73"/>
        <v>1</v>
      </c>
      <c r="U505" t="str">
        <f t="shared" si="74"/>
        <v>01</v>
      </c>
      <c r="V505" t="str">
        <f t="shared" si="75"/>
        <v>202401</v>
      </c>
      <c r="W505" t="str">
        <f t="shared" si="76"/>
        <v>Apr-24</v>
      </c>
      <c r="X505" s="3">
        <f t="shared" si="77"/>
        <v>-4078.24</v>
      </c>
      <c r="Y505" t="str">
        <f t="shared" si="78"/>
        <v/>
      </c>
      <c r="Z505">
        <f t="shared" si="79"/>
        <v>-4078.24</v>
      </c>
    </row>
    <row r="506" spans="1:26" x14ac:dyDescent="0.25">
      <c r="A506" s="1">
        <v>45390</v>
      </c>
      <c r="B506" t="s">
        <v>310</v>
      </c>
      <c r="C506" t="s">
        <v>17</v>
      </c>
      <c r="D506" t="s">
        <v>22</v>
      </c>
      <c r="E506">
        <v>15</v>
      </c>
      <c r="F506">
        <v>0</v>
      </c>
      <c r="G506">
        <v>291</v>
      </c>
      <c r="H506">
        <v>4365</v>
      </c>
      <c r="I506" t="s">
        <v>316</v>
      </c>
      <c r="J506">
        <v>0</v>
      </c>
      <c r="K506">
        <v>2.1800000000000002</v>
      </c>
      <c r="L506">
        <v>0</v>
      </c>
      <c r="M506">
        <v>0</v>
      </c>
      <c r="N506">
        <v>20</v>
      </c>
      <c r="O506">
        <v>4</v>
      </c>
      <c r="P506">
        <v>26.18</v>
      </c>
      <c r="Q506">
        <f t="shared" si="70"/>
        <v>2024</v>
      </c>
      <c r="R506">
        <f t="shared" si="71"/>
        <v>4</v>
      </c>
      <c r="S506">
        <f t="shared" si="72"/>
        <v>2024</v>
      </c>
      <c r="T506">
        <f t="shared" si="73"/>
        <v>1</v>
      </c>
      <c r="U506" t="str">
        <f t="shared" si="74"/>
        <v>01</v>
      </c>
      <c r="V506" t="str">
        <f t="shared" si="75"/>
        <v>202401</v>
      </c>
      <c r="W506" t="str">
        <f t="shared" si="76"/>
        <v>Apr-24</v>
      </c>
      <c r="X506" s="3">
        <f t="shared" si="77"/>
        <v>-4391.18</v>
      </c>
      <c r="Y506" t="str">
        <f t="shared" si="78"/>
        <v/>
      </c>
      <c r="Z506">
        <f t="shared" si="79"/>
        <v>-4391.18</v>
      </c>
    </row>
    <row r="507" spans="1:26" x14ac:dyDescent="0.25">
      <c r="A507" s="1">
        <v>45390</v>
      </c>
      <c r="B507" t="s">
        <v>310</v>
      </c>
      <c r="C507" t="s">
        <v>17</v>
      </c>
      <c r="D507" t="s">
        <v>22</v>
      </c>
      <c r="E507">
        <v>15</v>
      </c>
      <c r="F507">
        <v>0</v>
      </c>
      <c r="G507">
        <v>315.39999999999998</v>
      </c>
      <c r="H507">
        <v>4731</v>
      </c>
      <c r="I507" t="s">
        <v>317</v>
      </c>
      <c r="J507">
        <v>0</v>
      </c>
      <c r="K507">
        <v>2.37</v>
      </c>
      <c r="L507">
        <v>0</v>
      </c>
      <c r="M507">
        <v>0</v>
      </c>
      <c r="N507">
        <v>20</v>
      </c>
      <c r="O507">
        <v>4.0199999999999996</v>
      </c>
      <c r="P507">
        <v>26.39</v>
      </c>
      <c r="Q507">
        <f t="shared" si="70"/>
        <v>2024</v>
      </c>
      <c r="R507">
        <f t="shared" si="71"/>
        <v>4</v>
      </c>
      <c r="S507">
        <f t="shared" si="72"/>
        <v>2024</v>
      </c>
      <c r="T507">
        <f t="shared" si="73"/>
        <v>1</v>
      </c>
      <c r="U507" t="str">
        <f t="shared" si="74"/>
        <v>01</v>
      </c>
      <c r="V507" t="str">
        <f t="shared" si="75"/>
        <v>202401</v>
      </c>
      <c r="W507" t="str">
        <f t="shared" si="76"/>
        <v>Apr-24</v>
      </c>
      <c r="X507" s="3">
        <f t="shared" si="77"/>
        <v>-4757.3900000000003</v>
      </c>
      <c r="Y507" t="str">
        <f t="shared" si="78"/>
        <v/>
      </c>
      <c r="Z507">
        <f t="shared" si="79"/>
        <v>-4757.3900000000003</v>
      </c>
    </row>
    <row r="508" spans="1:26" x14ac:dyDescent="0.25">
      <c r="A508" s="1">
        <v>45390</v>
      </c>
      <c r="B508" t="s">
        <v>310</v>
      </c>
      <c r="C508" t="s">
        <v>17</v>
      </c>
      <c r="D508" t="s">
        <v>22</v>
      </c>
      <c r="E508">
        <v>15</v>
      </c>
      <c r="F508">
        <v>0</v>
      </c>
      <c r="G508">
        <v>301.39999999999998</v>
      </c>
      <c r="H508">
        <v>4521</v>
      </c>
      <c r="I508" t="s">
        <v>318</v>
      </c>
      <c r="J508">
        <v>0</v>
      </c>
      <c r="K508">
        <v>2.2599999999999998</v>
      </c>
      <c r="L508">
        <v>0</v>
      </c>
      <c r="M508">
        <v>0</v>
      </c>
      <c r="N508">
        <v>20</v>
      </c>
      <c r="O508">
        <v>4</v>
      </c>
      <c r="P508">
        <v>26.26</v>
      </c>
      <c r="Q508">
        <f t="shared" si="70"/>
        <v>2024</v>
      </c>
      <c r="R508">
        <f t="shared" si="71"/>
        <v>4</v>
      </c>
      <c r="S508">
        <f t="shared" si="72"/>
        <v>2024</v>
      </c>
      <c r="T508">
        <f t="shared" si="73"/>
        <v>1</v>
      </c>
      <c r="U508" t="str">
        <f t="shared" si="74"/>
        <v>01</v>
      </c>
      <c r="V508" t="str">
        <f t="shared" si="75"/>
        <v>202401</v>
      </c>
      <c r="W508" t="str">
        <f t="shared" si="76"/>
        <v>Apr-24</v>
      </c>
      <c r="X508" s="3">
        <f t="shared" si="77"/>
        <v>-4547.26</v>
      </c>
      <c r="Y508" t="str">
        <f t="shared" si="78"/>
        <v/>
      </c>
      <c r="Z508">
        <f t="shared" si="79"/>
        <v>-4547.26</v>
      </c>
    </row>
    <row r="509" spans="1:26" x14ac:dyDescent="0.25">
      <c r="A509" s="1">
        <v>45391</v>
      </c>
      <c r="B509" t="s">
        <v>290</v>
      </c>
      <c r="C509" t="s">
        <v>17</v>
      </c>
      <c r="D509" t="s">
        <v>18</v>
      </c>
      <c r="E509">
        <v>60</v>
      </c>
      <c r="F509">
        <v>0</v>
      </c>
      <c r="G509">
        <v>175.65</v>
      </c>
      <c r="H509">
        <v>10539</v>
      </c>
      <c r="I509" t="s">
        <v>299</v>
      </c>
      <c r="J509">
        <v>6.59</v>
      </c>
      <c r="K509">
        <v>5.27</v>
      </c>
      <c r="L509">
        <v>0</v>
      </c>
      <c r="M509">
        <v>0.01</v>
      </c>
      <c r="N509">
        <v>80</v>
      </c>
      <c r="O509">
        <v>15.36</v>
      </c>
      <c r="P509">
        <v>107.23</v>
      </c>
      <c r="Q509">
        <f t="shared" si="70"/>
        <v>2024</v>
      </c>
      <c r="R509">
        <f t="shared" si="71"/>
        <v>4</v>
      </c>
      <c r="S509">
        <f t="shared" si="72"/>
        <v>2024</v>
      </c>
      <c r="T509">
        <f t="shared" si="73"/>
        <v>1</v>
      </c>
      <c r="U509" t="str">
        <f t="shared" si="74"/>
        <v>01</v>
      </c>
      <c r="V509" t="str">
        <f t="shared" si="75"/>
        <v>202401</v>
      </c>
      <c r="W509" t="str">
        <f t="shared" si="76"/>
        <v>Apr-24</v>
      </c>
      <c r="X509" s="3">
        <f t="shared" si="77"/>
        <v>10431.77</v>
      </c>
      <c r="Y509">
        <f t="shared" si="78"/>
        <v>10431.77</v>
      </c>
      <c r="Z509" t="str">
        <f t="shared" si="79"/>
        <v/>
      </c>
    </row>
    <row r="510" spans="1:26" x14ac:dyDescent="0.25">
      <c r="A510" s="1">
        <v>45391</v>
      </c>
      <c r="B510" t="s">
        <v>290</v>
      </c>
      <c r="C510" t="s">
        <v>17</v>
      </c>
      <c r="D510" t="s">
        <v>22</v>
      </c>
      <c r="E510">
        <v>60</v>
      </c>
      <c r="F510">
        <v>0</v>
      </c>
      <c r="G510">
        <v>155.05000000000001</v>
      </c>
      <c r="H510">
        <v>9303</v>
      </c>
      <c r="I510" t="s">
        <v>300</v>
      </c>
      <c r="J510">
        <v>0</v>
      </c>
      <c r="K510">
        <v>4.6500000000000004</v>
      </c>
      <c r="L510">
        <v>0.28000000000000003</v>
      </c>
      <c r="M510">
        <v>0.01</v>
      </c>
      <c r="N510">
        <v>80</v>
      </c>
      <c r="O510">
        <v>15.24</v>
      </c>
      <c r="P510">
        <v>100.18</v>
      </c>
      <c r="Q510">
        <f t="shared" si="70"/>
        <v>2024</v>
      </c>
      <c r="R510">
        <f t="shared" si="71"/>
        <v>4</v>
      </c>
      <c r="S510">
        <f t="shared" si="72"/>
        <v>2024</v>
      </c>
      <c r="T510">
        <f t="shared" si="73"/>
        <v>1</v>
      </c>
      <c r="U510" t="str">
        <f t="shared" si="74"/>
        <v>01</v>
      </c>
      <c r="V510" t="str">
        <f t="shared" si="75"/>
        <v>202401</v>
      </c>
      <c r="W510" t="str">
        <f t="shared" si="76"/>
        <v>Apr-24</v>
      </c>
      <c r="X510" s="3">
        <f t="shared" si="77"/>
        <v>-9403.18</v>
      </c>
      <c r="Y510" t="str">
        <f t="shared" si="78"/>
        <v/>
      </c>
      <c r="Z510">
        <f t="shared" si="79"/>
        <v>-9403.18</v>
      </c>
    </row>
    <row r="511" spans="1:26" x14ac:dyDescent="0.25">
      <c r="A511" s="1">
        <v>45391</v>
      </c>
      <c r="B511" t="s">
        <v>301</v>
      </c>
      <c r="C511" t="s">
        <v>17</v>
      </c>
      <c r="D511" t="s">
        <v>18</v>
      </c>
      <c r="E511">
        <v>360</v>
      </c>
      <c r="F511">
        <v>0</v>
      </c>
      <c r="G511">
        <v>62</v>
      </c>
      <c r="H511">
        <v>22320</v>
      </c>
      <c r="I511" t="s">
        <v>302</v>
      </c>
      <c r="J511">
        <v>13.95</v>
      </c>
      <c r="K511">
        <v>11.16</v>
      </c>
      <c r="L511">
        <v>0</v>
      </c>
      <c r="M511">
        <v>0.02</v>
      </c>
      <c r="N511">
        <v>180</v>
      </c>
      <c r="O511">
        <v>34.42</v>
      </c>
      <c r="P511">
        <v>239.55</v>
      </c>
      <c r="Q511">
        <f t="shared" si="70"/>
        <v>2024</v>
      </c>
      <c r="R511">
        <f t="shared" si="71"/>
        <v>4</v>
      </c>
      <c r="S511">
        <f t="shared" si="72"/>
        <v>2024</v>
      </c>
      <c r="T511">
        <f t="shared" si="73"/>
        <v>1</v>
      </c>
      <c r="U511" t="str">
        <f t="shared" si="74"/>
        <v>01</v>
      </c>
      <c r="V511" t="str">
        <f t="shared" si="75"/>
        <v>202401</v>
      </c>
      <c r="W511" t="str">
        <f t="shared" si="76"/>
        <v>Apr-24</v>
      </c>
      <c r="X511" s="3">
        <f t="shared" si="77"/>
        <v>22080.45</v>
      </c>
      <c r="Y511">
        <f t="shared" si="78"/>
        <v>22080.45</v>
      </c>
      <c r="Z511" t="str">
        <f t="shared" si="79"/>
        <v/>
      </c>
    </row>
    <row r="512" spans="1:26" x14ac:dyDescent="0.25">
      <c r="A512" s="1">
        <v>45391</v>
      </c>
      <c r="B512" t="s">
        <v>301</v>
      </c>
      <c r="C512" t="s">
        <v>17</v>
      </c>
      <c r="D512" t="s">
        <v>22</v>
      </c>
      <c r="E512">
        <v>360</v>
      </c>
      <c r="F512">
        <v>0</v>
      </c>
      <c r="G512">
        <v>37.200000000000003</v>
      </c>
      <c r="H512">
        <v>13392</v>
      </c>
      <c r="I512" t="s">
        <v>303</v>
      </c>
      <c r="J512">
        <v>0</v>
      </c>
      <c r="K512">
        <v>6.7</v>
      </c>
      <c r="L512">
        <v>0.43</v>
      </c>
      <c r="M512">
        <v>0.01</v>
      </c>
      <c r="N512">
        <v>180</v>
      </c>
      <c r="O512">
        <v>33.6</v>
      </c>
      <c r="P512">
        <v>220.74</v>
      </c>
      <c r="Q512">
        <f t="shared" si="70"/>
        <v>2024</v>
      </c>
      <c r="R512">
        <f t="shared" si="71"/>
        <v>4</v>
      </c>
      <c r="S512">
        <f t="shared" si="72"/>
        <v>2024</v>
      </c>
      <c r="T512">
        <f t="shared" si="73"/>
        <v>1</v>
      </c>
      <c r="U512" t="str">
        <f t="shared" si="74"/>
        <v>01</v>
      </c>
      <c r="V512" t="str">
        <f t="shared" si="75"/>
        <v>202401</v>
      </c>
      <c r="W512" t="str">
        <f t="shared" si="76"/>
        <v>Apr-24</v>
      </c>
      <c r="X512" s="3">
        <f t="shared" si="77"/>
        <v>-13612.74</v>
      </c>
      <c r="Y512" t="str">
        <f t="shared" si="78"/>
        <v/>
      </c>
      <c r="Z512">
        <f t="shared" si="79"/>
        <v>-13612.74</v>
      </c>
    </row>
    <row r="513" spans="1:26" x14ac:dyDescent="0.25">
      <c r="A513" s="1">
        <v>45391</v>
      </c>
      <c r="B513" t="s">
        <v>301</v>
      </c>
      <c r="C513" t="s">
        <v>17</v>
      </c>
      <c r="D513" t="s">
        <v>18</v>
      </c>
      <c r="E513">
        <v>40</v>
      </c>
      <c r="F513">
        <v>0</v>
      </c>
      <c r="G513">
        <v>53.15</v>
      </c>
      <c r="H513">
        <v>2126</v>
      </c>
      <c r="I513" t="s">
        <v>304</v>
      </c>
      <c r="J513">
        <v>1.33</v>
      </c>
      <c r="K513">
        <v>1.06</v>
      </c>
      <c r="L513">
        <v>0</v>
      </c>
      <c r="M513">
        <v>0</v>
      </c>
      <c r="N513">
        <v>20</v>
      </c>
      <c r="O513">
        <v>3.8</v>
      </c>
      <c r="P513">
        <v>26.19</v>
      </c>
      <c r="Q513">
        <f t="shared" si="70"/>
        <v>2024</v>
      </c>
      <c r="R513">
        <f t="shared" si="71"/>
        <v>4</v>
      </c>
      <c r="S513">
        <f t="shared" si="72"/>
        <v>2024</v>
      </c>
      <c r="T513">
        <f t="shared" si="73"/>
        <v>1</v>
      </c>
      <c r="U513" t="str">
        <f t="shared" si="74"/>
        <v>01</v>
      </c>
      <c r="V513" t="str">
        <f t="shared" si="75"/>
        <v>202401</v>
      </c>
      <c r="W513" t="str">
        <f t="shared" si="76"/>
        <v>Apr-24</v>
      </c>
      <c r="X513" s="3">
        <f t="shared" si="77"/>
        <v>2099.81</v>
      </c>
      <c r="Y513">
        <f t="shared" si="78"/>
        <v>2099.81</v>
      </c>
      <c r="Z513" t="str">
        <f t="shared" si="79"/>
        <v/>
      </c>
    </row>
    <row r="514" spans="1:26" x14ac:dyDescent="0.25">
      <c r="A514" s="1">
        <v>45391</v>
      </c>
      <c r="B514" t="s">
        <v>301</v>
      </c>
      <c r="C514" t="s">
        <v>17</v>
      </c>
      <c r="D514" t="s">
        <v>22</v>
      </c>
      <c r="E514">
        <v>40</v>
      </c>
      <c r="F514">
        <v>0</v>
      </c>
      <c r="G514">
        <v>25.2</v>
      </c>
      <c r="H514">
        <v>1008</v>
      </c>
      <c r="I514" t="s">
        <v>305</v>
      </c>
      <c r="J514">
        <v>0</v>
      </c>
      <c r="K514">
        <v>0.5</v>
      </c>
      <c r="L514">
        <v>0</v>
      </c>
      <c r="M514">
        <v>0</v>
      </c>
      <c r="N514">
        <v>20</v>
      </c>
      <c r="O514">
        <v>3.7</v>
      </c>
      <c r="P514">
        <v>24.2</v>
      </c>
      <c r="Q514">
        <f t="shared" ref="Q514:Q577" si="80">YEAR(A514)</f>
        <v>2024</v>
      </c>
      <c r="R514">
        <f t="shared" ref="R514:R577" si="81">MONTH(A514)</f>
        <v>4</v>
      </c>
      <c r="S514">
        <f t="shared" ref="S514:S577" si="82">IF(R514&lt;4,Q514-1,Q514)</f>
        <v>2024</v>
      </c>
      <c r="T514">
        <f t="shared" ref="T514:T577" si="83">IF(R514&lt;4,R514+9,R514-3)</f>
        <v>1</v>
      </c>
      <c r="U514" t="str">
        <f t="shared" ref="U514:U577" si="84">IF(LEN(T514)=1,_xlfn.CONCAT(0,T514),T514)</f>
        <v>01</v>
      </c>
      <c r="V514" t="str">
        <f t="shared" ref="V514:V577" si="85">_xlfn.CONCAT(S514,U514)</f>
        <v>202401</v>
      </c>
      <c r="W514" t="str">
        <f t="shared" ref="W514:W577" si="86">_xlfn.CONCAT(TEXT(A514,"MMM"),"-",MID(Q514,3,2))</f>
        <v>Apr-24</v>
      </c>
      <c r="X514" s="3">
        <f t="shared" ref="X514:X577" si="87">IFERROR(IF(D514="Sell",(H514-P514),-(H514+P514)),0)</f>
        <v>-1032.2</v>
      </c>
      <c r="Y514" t="str">
        <f t="shared" si="78"/>
        <v/>
      </c>
      <c r="Z514">
        <f t="shared" si="79"/>
        <v>-1032.2</v>
      </c>
    </row>
    <row r="515" spans="1:26" x14ac:dyDescent="0.25">
      <c r="A515" s="1">
        <v>45391</v>
      </c>
      <c r="B515" t="s">
        <v>306</v>
      </c>
      <c r="C515" t="s">
        <v>17</v>
      </c>
      <c r="D515" t="s">
        <v>18</v>
      </c>
      <c r="E515">
        <v>150</v>
      </c>
      <c r="F515">
        <v>0</v>
      </c>
      <c r="G515">
        <v>189.65</v>
      </c>
      <c r="H515">
        <v>28447.5</v>
      </c>
      <c r="I515" t="s">
        <v>307</v>
      </c>
      <c r="J515">
        <v>18.13</v>
      </c>
      <c r="K515">
        <v>14.22</v>
      </c>
      <c r="L515">
        <v>0</v>
      </c>
      <c r="M515">
        <v>0.03</v>
      </c>
      <c r="N515">
        <v>200</v>
      </c>
      <c r="O515">
        <v>38.56</v>
      </c>
      <c r="P515">
        <v>270.94</v>
      </c>
      <c r="Q515">
        <f t="shared" si="80"/>
        <v>2024</v>
      </c>
      <c r="R515">
        <f t="shared" si="81"/>
        <v>4</v>
      </c>
      <c r="S515">
        <f t="shared" si="82"/>
        <v>2024</v>
      </c>
      <c r="T515">
        <f t="shared" si="83"/>
        <v>1</v>
      </c>
      <c r="U515" t="str">
        <f t="shared" si="84"/>
        <v>01</v>
      </c>
      <c r="V515" t="str">
        <f t="shared" si="85"/>
        <v>202401</v>
      </c>
      <c r="W515" t="str">
        <f t="shared" si="86"/>
        <v>Apr-24</v>
      </c>
      <c r="X515" s="3">
        <f t="shared" si="87"/>
        <v>28176.560000000001</v>
      </c>
      <c r="Y515">
        <f t="shared" ref="Y515:Y578" si="88">IF(X515&gt;0,X515,"")</f>
        <v>28176.560000000001</v>
      </c>
      <c r="Z515" t="str">
        <f t="shared" ref="Z515:Z578" si="89">IF(X515&lt;0,X515,"")</f>
        <v/>
      </c>
    </row>
    <row r="516" spans="1:26" x14ac:dyDescent="0.25">
      <c r="A516" s="1">
        <v>45391</v>
      </c>
      <c r="B516" t="s">
        <v>306</v>
      </c>
      <c r="C516" t="s">
        <v>17</v>
      </c>
      <c r="D516" t="s">
        <v>22</v>
      </c>
      <c r="E516">
        <v>45</v>
      </c>
      <c r="F516">
        <v>0</v>
      </c>
      <c r="G516">
        <v>171.28</v>
      </c>
      <c r="H516">
        <v>7707.75</v>
      </c>
      <c r="I516" t="s">
        <v>308</v>
      </c>
      <c r="J516">
        <v>0</v>
      </c>
      <c r="K516">
        <v>3.85</v>
      </c>
      <c r="L516">
        <v>0</v>
      </c>
      <c r="M516">
        <v>0.01</v>
      </c>
      <c r="N516">
        <v>60</v>
      </c>
      <c r="O516">
        <v>11.5</v>
      </c>
      <c r="P516">
        <v>75.36</v>
      </c>
      <c r="Q516">
        <f t="shared" si="80"/>
        <v>2024</v>
      </c>
      <c r="R516">
        <f t="shared" si="81"/>
        <v>4</v>
      </c>
      <c r="S516">
        <f t="shared" si="82"/>
        <v>2024</v>
      </c>
      <c r="T516">
        <f t="shared" si="83"/>
        <v>1</v>
      </c>
      <c r="U516" t="str">
        <f t="shared" si="84"/>
        <v>01</v>
      </c>
      <c r="V516" t="str">
        <f t="shared" si="85"/>
        <v>202401</v>
      </c>
      <c r="W516" t="str">
        <f t="shared" si="86"/>
        <v>Apr-24</v>
      </c>
      <c r="X516" s="3">
        <f t="shared" si="87"/>
        <v>-7783.11</v>
      </c>
      <c r="Y516" t="str">
        <f t="shared" si="88"/>
        <v/>
      </c>
      <c r="Z516">
        <f t="shared" si="89"/>
        <v>-7783.11</v>
      </c>
    </row>
    <row r="517" spans="1:26" x14ac:dyDescent="0.25">
      <c r="A517" s="1">
        <v>45391</v>
      </c>
      <c r="B517" t="s">
        <v>306</v>
      </c>
      <c r="C517" t="s">
        <v>17</v>
      </c>
      <c r="D517" t="s">
        <v>22</v>
      </c>
      <c r="E517">
        <v>105</v>
      </c>
      <c r="F517">
        <v>0</v>
      </c>
      <c r="G517">
        <v>183.35</v>
      </c>
      <c r="H517">
        <v>19251.75</v>
      </c>
      <c r="I517" t="s">
        <v>309</v>
      </c>
      <c r="J517">
        <v>0</v>
      </c>
      <c r="K517">
        <v>9.6300000000000008</v>
      </c>
      <c r="L517">
        <v>1.29</v>
      </c>
      <c r="M517">
        <v>0.02</v>
      </c>
      <c r="N517">
        <v>140</v>
      </c>
      <c r="O517">
        <v>26.94</v>
      </c>
      <c r="P517">
        <v>177.88</v>
      </c>
      <c r="Q517">
        <f t="shared" si="80"/>
        <v>2024</v>
      </c>
      <c r="R517">
        <f t="shared" si="81"/>
        <v>4</v>
      </c>
      <c r="S517">
        <f t="shared" si="82"/>
        <v>2024</v>
      </c>
      <c r="T517">
        <f t="shared" si="83"/>
        <v>1</v>
      </c>
      <c r="U517" t="str">
        <f t="shared" si="84"/>
        <v>01</v>
      </c>
      <c r="V517" t="str">
        <f t="shared" si="85"/>
        <v>202401</v>
      </c>
      <c r="W517" t="str">
        <f t="shared" si="86"/>
        <v>Apr-24</v>
      </c>
      <c r="X517" s="3">
        <f t="shared" si="87"/>
        <v>-19429.63</v>
      </c>
      <c r="Y517" t="str">
        <f t="shared" si="88"/>
        <v/>
      </c>
      <c r="Z517">
        <f t="shared" si="89"/>
        <v>-19429.63</v>
      </c>
    </row>
    <row r="518" spans="1:26" x14ac:dyDescent="0.25">
      <c r="A518" s="1">
        <v>45392</v>
      </c>
      <c r="B518" t="s">
        <v>290</v>
      </c>
      <c r="C518" t="s">
        <v>17</v>
      </c>
      <c r="D518" t="s">
        <v>18</v>
      </c>
      <c r="E518">
        <v>420</v>
      </c>
      <c r="F518">
        <v>0</v>
      </c>
      <c r="G518">
        <v>34.25</v>
      </c>
      <c r="H518">
        <v>14385</v>
      </c>
      <c r="I518" t="s">
        <v>291</v>
      </c>
      <c r="J518">
        <v>8.99</v>
      </c>
      <c r="K518">
        <v>7.2</v>
      </c>
      <c r="L518">
        <v>0</v>
      </c>
      <c r="M518">
        <v>0.01</v>
      </c>
      <c r="N518">
        <v>560</v>
      </c>
      <c r="O518">
        <v>102.1</v>
      </c>
      <c r="P518">
        <v>678.3</v>
      </c>
      <c r="Q518">
        <f t="shared" si="80"/>
        <v>2024</v>
      </c>
      <c r="R518">
        <f t="shared" si="81"/>
        <v>4</v>
      </c>
      <c r="S518">
        <f t="shared" si="82"/>
        <v>2024</v>
      </c>
      <c r="T518">
        <f t="shared" si="83"/>
        <v>1</v>
      </c>
      <c r="U518" t="str">
        <f t="shared" si="84"/>
        <v>01</v>
      </c>
      <c r="V518" t="str">
        <f t="shared" si="85"/>
        <v>202401</v>
      </c>
      <c r="W518" t="str">
        <f t="shared" si="86"/>
        <v>Apr-24</v>
      </c>
      <c r="X518" s="3">
        <f t="shared" si="87"/>
        <v>13706.7</v>
      </c>
      <c r="Y518">
        <f t="shared" si="88"/>
        <v>13706.7</v>
      </c>
      <c r="Z518" t="str">
        <f t="shared" si="89"/>
        <v/>
      </c>
    </row>
    <row r="519" spans="1:26" x14ac:dyDescent="0.25">
      <c r="A519" s="1">
        <v>45392</v>
      </c>
      <c r="B519" t="s">
        <v>290</v>
      </c>
      <c r="C519" t="s">
        <v>17</v>
      </c>
      <c r="D519" t="s">
        <v>22</v>
      </c>
      <c r="E519">
        <v>210</v>
      </c>
      <c r="F519">
        <v>0</v>
      </c>
      <c r="G519">
        <v>24</v>
      </c>
      <c r="H519">
        <v>5040</v>
      </c>
      <c r="I519" t="s">
        <v>292</v>
      </c>
      <c r="J519">
        <v>0</v>
      </c>
      <c r="K519">
        <v>2.52</v>
      </c>
      <c r="L519">
        <v>0.34</v>
      </c>
      <c r="M519">
        <v>0.01</v>
      </c>
      <c r="N519">
        <v>280</v>
      </c>
      <c r="O519">
        <v>50.86</v>
      </c>
      <c r="P519">
        <v>333.73</v>
      </c>
      <c r="Q519">
        <f t="shared" si="80"/>
        <v>2024</v>
      </c>
      <c r="R519">
        <f t="shared" si="81"/>
        <v>4</v>
      </c>
      <c r="S519">
        <f t="shared" si="82"/>
        <v>2024</v>
      </c>
      <c r="T519">
        <f t="shared" si="83"/>
        <v>1</v>
      </c>
      <c r="U519" t="str">
        <f t="shared" si="84"/>
        <v>01</v>
      </c>
      <c r="V519" t="str">
        <f t="shared" si="85"/>
        <v>202401</v>
      </c>
      <c r="W519" t="str">
        <f t="shared" si="86"/>
        <v>Apr-24</v>
      </c>
      <c r="X519" s="3">
        <f t="shared" si="87"/>
        <v>-5373.73</v>
      </c>
      <c r="Y519" t="str">
        <f t="shared" si="88"/>
        <v/>
      </c>
      <c r="Z519">
        <f t="shared" si="89"/>
        <v>-5373.73</v>
      </c>
    </row>
    <row r="520" spans="1:26" x14ac:dyDescent="0.25">
      <c r="A520" s="1">
        <v>45392</v>
      </c>
      <c r="B520" t="s">
        <v>290</v>
      </c>
      <c r="C520" t="s">
        <v>17</v>
      </c>
      <c r="D520" t="s">
        <v>22</v>
      </c>
      <c r="E520">
        <v>105</v>
      </c>
      <c r="F520">
        <v>0</v>
      </c>
      <c r="G520">
        <v>28.55</v>
      </c>
      <c r="H520">
        <v>2997.75</v>
      </c>
      <c r="I520" t="s">
        <v>293</v>
      </c>
      <c r="J520">
        <v>0</v>
      </c>
      <c r="K520">
        <v>1.49</v>
      </c>
      <c r="L520">
        <v>0</v>
      </c>
      <c r="M520">
        <v>0</v>
      </c>
      <c r="N520">
        <v>140</v>
      </c>
      <c r="O520">
        <v>25.48</v>
      </c>
      <c r="P520">
        <v>166.97</v>
      </c>
      <c r="Q520">
        <f t="shared" si="80"/>
        <v>2024</v>
      </c>
      <c r="R520">
        <f t="shared" si="81"/>
        <v>4</v>
      </c>
      <c r="S520">
        <f t="shared" si="82"/>
        <v>2024</v>
      </c>
      <c r="T520">
        <f t="shared" si="83"/>
        <v>1</v>
      </c>
      <c r="U520" t="str">
        <f t="shared" si="84"/>
        <v>01</v>
      </c>
      <c r="V520" t="str">
        <f t="shared" si="85"/>
        <v>202401</v>
      </c>
      <c r="W520" t="str">
        <f t="shared" si="86"/>
        <v>Apr-24</v>
      </c>
      <c r="X520" s="3">
        <f t="shared" si="87"/>
        <v>-3164.72</v>
      </c>
      <c r="Y520" t="str">
        <f t="shared" si="88"/>
        <v/>
      </c>
      <c r="Z520">
        <f t="shared" si="89"/>
        <v>-3164.72</v>
      </c>
    </row>
    <row r="521" spans="1:26" x14ac:dyDescent="0.25">
      <c r="A521" s="1">
        <v>45392</v>
      </c>
      <c r="B521" t="s">
        <v>290</v>
      </c>
      <c r="C521" t="s">
        <v>17</v>
      </c>
      <c r="D521" t="s">
        <v>22</v>
      </c>
      <c r="E521">
        <v>105</v>
      </c>
      <c r="F521">
        <v>0</v>
      </c>
      <c r="G521">
        <v>32.6</v>
      </c>
      <c r="H521">
        <v>3423</v>
      </c>
      <c r="I521" t="s">
        <v>294</v>
      </c>
      <c r="J521">
        <v>0</v>
      </c>
      <c r="K521">
        <v>1.69</v>
      </c>
      <c r="L521">
        <v>0</v>
      </c>
      <c r="M521">
        <v>0</v>
      </c>
      <c r="N521">
        <v>140</v>
      </c>
      <c r="O521">
        <v>25.5</v>
      </c>
      <c r="P521">
        <v>167.19</v>
      </c>
      <c r="Q521">
        <f t="shared" si="80"/>
        <v>2024</v>
      </c>
      <c r="R521">
        <f t="shared" si="81"/>
        <v>4</v>
      </c>
      <c r="S521">
        <f t="shared" si="82"/>
        <v>2024</v>
      </c>
      <c r="T521">
        <f t="shared" si="83"/>
        <v>1</v>
      </c>
      <c r="U521" t="str">
        <f t="shared" si="84"/>
        <v>01</v>
      </c>
      <c r="V521" t="str">
        <f t="shared" si="85"/>
        <v>202401</v>
      </c>
      <c r="W521" t="str">
        <f t="shared" si="86"/>
        <v>Apr-24</v>
      </c>
      <c r="X521" s="3">
        <f t="shared" si="87"/>
        <v>-3590.19</v>
      </c>
      <c r="Y521" t="str">
        <f t="shared" si="88"/>
        <v/>
      </c>
      <c r="Z521">
        <f t="shared" si="89"/>
        <v>-3590.19</v>
      </c>
    </row>
    <row r="522" spans="1:26" x14ac:dyDescent="0.25">
      <c r="A522" s="1">
        <v>45392</v>
      </c>
      <c r="B522" t="s">
        <v>295</v>
      </c>
      <c r="C522" t="s">
        <v>17</v>
      </c>
      <c r="D522" t="s">
        <v>18</v>
      </c>
      <c r="E522">
        <v>120</v>
      </c>
      <c r="F522">
        <v>0</v>
      </c>
      <c r="G522">
        <v>205</v>
      </c>
      <c r="H522">
        <v>24600</v>
      </c>
      <c r="I522" t="s">
        <v>296</v>
      </c>
      <c r="J522">
        <v>15.01</v>
      </c>
      <c r="K522">
        <v>12.3</v>
      </c>
      <c r="L522">
        <v>0</v>
      </c>
      <c r="M522">
        <v>0.03</v>
      </c>
      <c r="N522">
        <v>160</v>
      </c>
      <c r="O522">
        <v>31.02</v>
      </c>
      <c r="P522">
        <v>218.36</v>
      </c>
      <c r="Q522">
        <f t="shared" si="80"/>
        <v>2024</v>
      </c>
      <c r="R522">
        <f t="shared" si="81"/>
        <v>4</v>
      </c>
      <c r="S522">
        <f t="shared" si="82"/>
        <v>2024</v>
      </c>
      <c r="T522">
        <f t="shared" si="83"/>
        <v>1</v>
      </c>
      <c r="U522" t="str">
        <f t="shared" si="84"/>
        <v>01</v>
      </c>
      <c r="V522" t="str">
        <f t="shared" si="85"/>
        <v>202401</v>
      </c>
      <c r="W522" t="str">
        <f t="shared" si="86"/>
        <v>Apr-24</v>
      </c>
      <c r="X522" s="3">
        <f t="shared" si="87"/>
        <v>24381.64</v>
      </c>
      <c r="Y522">
        <f t="shared" si="88"/>
        <v>24381.64</v>
      </c>
      <c r="Z522" t="str">
        <f t="shared" si="89"/>
        <v/>
      </c>
    </row>
    <row r="523" spans="1:26" x14ac:dyDescent="0.25">
      <c r="A523" s="1">
        <v>45392</v>
      </c>
      <c r="B523" t="s">
        <v>295</v>
      </c>
      <c r="C523" t="s">
        <v>17</v>
      </c>
      <c r="D523" t="s">
        <v>22</v>
      </c>
      <c r="E523">
        <v>105</v>
      </c>
      <c r="F523">
        <v>0</v>
      </c>
      <c r="G523">
        <v>109.1</v>
      </c>
      <c r="H523">
        <v>11455.5</v>
      </c>
      <c r="I523" t="s">
        <v>297</v>
      </c>
      <c r="J523">
        <v>0</v>
      </c>
      <c r="K523">
        <v>5.73</v>
      </c>
      <c r="L523">
        <v>0.66</v>
      </c>
      <c r="M523">
        <v>0.01</v>
      </c>
      <c r="N523">
        <v>140</v>
      </c>
      <c r="O523">
        <v>26.24</v>
      </c>
      <c r="P523">
        <v>172.64</v>
      </c>
      <c r="Q523">
        <f t="shared" si="80"/>
        <v>2024</v>
      </c>
      <c r="R523">
        <f t="shared" si="81"/>
        <v>4</v>
      </c>
      <c r="S523">
        <f t="shared" si="82"/>
        <v>2024</v>
      </c>
      <c r="T523">
        <f t="shared" si="83"/>
        <v>1</v>
      </c>
      <c r="U523" t="str">
        <f t="shared" si="84"/>
        <v>01</v>
      </c>
      <c r="V523" t="str">
        <f t="shared" si="85"/>
        <v>202401</v>
      </c>
      <c r="W523" t="str">
        <f t="shared" si="86"/>
        <v>Apr-24</v>
      </c>
      <c r="X523" s="3">
        <f t="shared" si="87"/>
        <v>-11628.14</v>
      </c>
      <c r="Y523" t="str">
        <f t="shared" si="88"/>
        <v/>
      </c>
      <c r="Z523">
        <f t="shared" si="89"/>
        <v>-11628.14</v>
      </c>
    </row>
    <row r="524" spans="1:26" x14ac:dyDescent="0.25">
      <c r="A524" s="1">
        <v>45392</v>
      </c>
      <c r="B524" t="s">
        <v>295</v>
      </c>
      <c r="C524" t="s">
        <v>17</v>
      </c>
      <c r="D524" t="s">
        <v>22</v>
      </c>
      <c r="E524">
        <v>15</v>
      </c>
      <c r="F524">
        <v>0</v>
      </c>
      <c r="G524">
        <v>111.7</v>
      </c>
      <c r="H524">
        <v>1675.5</v>
      </c>
      <c r="I524" t="s">
        <v>298</v>
      </c>
      <c r="J524">
        <v>0</v>
      </c>
      <c r="K524">
        <v>0.84</v>
      </c>
      <c r="L524">
        <v>0</v>
      </c>
      <c r="M524">
        <v>0</v>
      </c>
      <c r="N524">
        <v>20</v>
      </c>
      <c r="O524">
        <v>3.76</v>
      </c>
      <c r="P524">
        <v>24.6</v>
      </c>
      <c r="Q524">
        <f t="shared" si="80"/>
        <v>2024</v>
      </c>
      <c r="R524">
        <f t="shared" si="81"/>
        <v>4</v>
      </c>
      <c r="S524">
        <f t="shared" si="82"/>
        <v>2024</v>
      </c>
      <c r="T524">
        <f t="shared" si="83"/>
        <v>1</v>
      </c>
      <c r="U524" t="str">
        <f t="shared" si="84"/>
        <v>01</v>
      </c>
      <c r="V524" t="str">
        <f t="shared" si="85"/>
        <v>202401</v>
      </c>
      <c r="W524" t="str">
        <f t="shared" si="86"/>
        <v>Apr-24</v>
      </c>
      <c r="X524" s="3">
        <f t="shared" si="87"/>
        <v>-1700.1</v>
      </c>
      <c r="Y524" t="str">
        <f t="shared" si="88"/>
        <v/>
      </c>
      <c r="Z524">
        <f t="shared" si="89"/>
        <v>-1700.1</v>
      </c>
    </row>
    <row r="525" spans="1:26" x14ac:dyDescent="0.25">
      <c r="A525" s="1">
        <v>45394</v>
      </c>
      <c r="B525" t="s">
        <v>279</v>
      </c>
      <c r="C525" t="s">
        <v>17</v>
      </c>
      <c r="D525" t="s">
        <v>18</v>
      </c>
      <c r="E525">
        <v>150</v>
      </c>
      <c r="F525">
        <v>0</v>
      </c>
      <c r="G525">
        <v>178.87</v>
      </c>
      <c r="H525">
        <v>26830.5</v>
      </c>
      <c r="I525" t="s">
        <v>280</v>
      </c>
      <c r="J525">
        <v>16.77</v>
      </c>
      <c r="K525">
        <v>13.41</v>
      </c>
      <c r="L525">
        <v>0</v>
      </c>
      <c r="M525">
        <v>0.03</v>
      </c>
      <c r="N525">
        <v>200</v>
      </c>
      <c r="O525">
        <v>38.4</v>
      </c>
      <c r="P525">
        <v>268.61</v>
      </c>
      <c r="Q525">
        <f t="shared" si="80"/>
        <v>2024</v>
      </c>
      <c r="R525">
        <f t="shared" si="81"/>
        <v>4</v>
      </c>
      <c r="S525">
        <f t="shared" si="82"/>
        <v>2024</v>
      </c>
      <c r="T525">
        <f t="shared" si="83"/>
        <v>1</v>
      </c>
      <c r="U525" t="str">
        <f t="shared" si="84"/>
        <v>01</v>
      </c>
      <c r="V525" t="str">
        <f t="shared" si="85"/>
        <v>202401</v>
      </c>
      <c r="W525" t="str">
        <f t="shared" si="86"/>
        <v>Apr-24</v>
      </c>
      <c r="X525" s="3">
        <f t="shared" si="87"/>
        <v>26561.89</v>
      </c>
      <c r="Y525">
        <f t="shared" si="88"/>
        <v>26561.89</v>
      </c>
      <c r="Z525" t="str">
        <f t="shared" si="89"/>
        <v/>
      </c>
    </row>
    <row r="526" spans="1:26" x14ac:dyDescent="0.25">
      <c r="A526" s="1">
        <v>45394</v>
      </c>
      <c r="B526" t="s">
        <v>281</v>
      </c>
      <c r="C526" t="s">
        <v>17</v>
      </c>
      <c r="D526" t="s">
        <v>18</v>
      </c>
      <c r="E526">
        <v>75</v>
      </c>
      <c r="F526">
        <v>0</v>
      </c>
      <c r="G526">
        <v>31.15</v>
      </c>
      <c r="H526">
        <v>2336.25</v>
      </c>
      <c r="I526" t="s">
        <v>282</v>
      </c>
      <c r="J526">
        <v>1.46</v>
      </c>
      <c r="K526">
        <v>1.17</v>
      </c>
      <c r="L526">
        <v>0</v>
      </c>
      <c r="M526">
        <v>0</v>
      </c>
      <c r="N526">
        <v>20</v>
      </c>
      <c r="O526">
        <v>3.82</v>
      </c>
      <c r="P526">
        <v>26.45</v>
      </c>
      <c r="Q526">
        <f t="shared" si="80"/>
        <v>2024</v>
      </c>
      <c r="R526">
        <f t="shared" si="81"/>
        <v>4</v>
      </c>
      <c r="S526">
        <f t="shared" si="82"/>
        <v>2024</v>
      </c>
      <c r="T526">
        <f t="shared" si="83"/>
        <v>1</v>
      </c>
      <c r="U526" t="str">
        <f t="shared" si="84"/>
        <v>01</v>
      </c>
      <c r="V526" t="str">
        <f t="shared" si="85"/>
        <v>202401</v>
      </c>
      <c r="W526" t="str">
        <f t="shared" si="86"/>
        <v>Apr-24</v>
      </c>
      <c r="X526" s="3">
        <f t="shared" si="87"/>
        <v>2309.8000000000002</v>
      </c>
      <c r="Y526">
        <f t="shared" si="88"/>
        <v>2309.8000000000002</v>
      </c>
      <c r="Z526" t="str">
        <f t="shared" si="89"/>
        <v/>
      </c>
    </row>
    <row r="527" spans="1:26" x14ac:dyDescent="0.25">
      <c r="A527" s="1">
        <v>45394</v>
      </c>
      <c r="B527" t="s">
        <v>279</v>
      </c>
      <c r="C527" t="s">
        <v>17</v>
      </c>
      <c r="D527" t="s">
        <v>22</v>
      </c>
      <c r="E527">
        <v>45</v>
      </c>
      <c r="F527">
        <v>0</v>
      </c>
      <c r="G527">
        <v>196.9</v>
      </c>
      <c r="H527">
        <v>8860.5</v>
      </c>
      <c r="I527" t="s">
        <v>283</v>
      </c>
      <c r="J527">
        <v>0</v>
      </c>
      <c r="K527">
        <v>4.43</v>
      </c>
      <c r="L527">
        <v>0</v>
      </c>
      <c r="M527">
        <v>0.01</v>
      </c>
      <c r="N527">
        <v>60</v>
      </c>
      <c r="O527">
        <v>11.6</v>
      </c>
      <c r="P527">
        <v>76.040000000000006</v>
      </c>
      <c r="Q527">
        <f t="shared" si="80"/>
        <v>2024</v>
      </c>
      <c r="R527">
        <f t="shared" si="81"/>
        <v>4</v>
      </c>
      <c r="S527">
        <f t="shared" si="82"/>
        <v>2024</v>
      </c>
      <c r="T527">
        <f t="shared" si="83"/>
        <v>1</v>
      </c>
      <c r="U527" t="str">
        <f t="shared" si="84"/>
        <v>01</v>
      </c>
      <c r="V527" t="str">
        <f t="shared" si="85"/>
        <v>202401</v>
      </c>
      <c r="W527" t="str">
        <f t="shared" si="86"/>
        <v>Apr-24</v>
      </c>
      <c r="X527" s="3">
        <f t="shared" si="87"/>
        <v>-8936.5400000000009</v>
      </c>
      <c r="Y527" t="str">
        <f t="shared" si="88"/>
        <v/>
      </c>
      <c r="Z527">
        <f t="shared" si="89"/>
        <v>-8936.5400000000009</v>
      </c>
    </row>
    <row r="528" spans="1:26" x14ac:dyDescent="0.25">
      <c r="A528" s="1">
        <v>45394</v>
      </c>
      <c r="B528" t="s">
        <v>281</v>
      </c>
      <c r="C528" t="s">
        <v>17</v>
      </c>
      <c r="D528" t="s">
        <v>22</v>
      </c>
      <c r="E528">
        <v>75</v>
      </c>
      <c r="F528">
        <v>0</v>
      </c>
      <c r="G528">
        <v>41.65</v>
      </c>
      <c r="H528">
        <v>3123.75</v>
      </c>
      <c r="I528" t="s">
        <v>284</v>
      </c>
      <c r="J528">
        <v>0</v>
      </c>
      <c r="K528">
        <v>1.56</v>
      </c>
      <c r="L528">
        <v>0.09</v>
      </c>
      <c r="M528">
        <v>0</v>
      </c>
      <c r="N528">
        <v>20</v>
      </c>
      <c r="O528">
        <v>3.88</v>
      </c>
      <c r="P528">
        <v>25.53</v>
      </c>
      <c r="Q528">
        <f t="shared" si="80"/>
        <v>2024</v>
      </c>
      <c r="R528">
        <f t="shared" si="81"/>
        <v>4</v>
      </c>
      <c r="S528">
        <f t="shared" si="82"/>
        <v>2024</v>
      </c>
      <c r="T528">
        <f t="shared" si="83"/>
        <v>1</v>
      </c>
      <c r="U528" t="str">
        <f t="shared" si="84"/>
        <v>01</v>
      </c>
      <c r="V528" t="str">
        <f t="shared" si="85"/>
        <v>202401</v>
      </c>
      <c r="W528" t="str">
        <f t="shared" si="86"/>
        <v>Apr-24</v>
      </c>
      <c r="X528" s="3">
        <f t="shared" si="87"/>
        <v>-3149.28</v>
      </c>
      <c r="Y528" t="str">
        <f t="shared" si="88"/>
        <v/>
      </c>
      <c r="Z528">
        <f t="shared" si="89"/>
        <v>-3149.28</v>
      </c>
    </row>
    <row r="529" spans="1:26" x14ac:dyDescent="0.25">
      <c r="A529" s="1">
        <v>45394</v>
      </c>
      <c r="B529" t="s">
        <v>285</v>
      </c>
      <c r="C529" t="s">
        <v>17</v>
      </c>
      <c r="D529" t="s">
        <v>18</v>
      </c>
      <c r="E529">
        <v>30</v>
      </c>
      <c r="F529">
        <v>0</v>
      </c>
      <c r="G529">
        <v>215.15</v>
      </c>
      <c r="H529">
        <v>6454.5</v>
      </c>
      <c r="I529" t="s">
        <v>286</v>
      </c>
      <c r="J529">
        <v>3.77</v>
      </c>
      <c r="K529">
        <v>3.23</v>
      </c>
      <c r="L529">
        <v>0</v>
      </c>
      <c r="M529">
        <v>0.01</v>
      </c>
      <c r="N529">
        <v>40</v>
      </c>
      <c r="O529">
        <v>7.78</v>
      </c>
      <c r="P529">
        <v>54.79</v>
      </c>
      <c r="Q529">
        <f t="shared" si="80"/>
        <v>2024</v>
      </c>
      <c r="R529">
        <f t="shared" si="81"/>
        <v>4</v>
      </c>
      <c r="S529">
        <f t="shared" si="82"/>
        <v>2024</v>
      </c>
      <c r="T529">
        <f t="shared" si="83"/>
        <v>1</v>
      </c>
      <c r="U529" t="str">
        <f t="shared" si="84"/>
        <v>01</v>
      </c>
      <c r="V529" t="str">
        <f t="shared" si="85"/>
        <v>202401</v>
      </c>
      <c r="W529" t="str">
        <f t="shared" si="86"/>
        <v>Apr-24</v>
      </c>
      <c r="X529" s="3">
        <f t="shared" si="87"/>
        <v>6399.71</v>
      </c>
      <c r="Y529">
        <f t="shared" si="88"/>
        <v>6399.71</v>
      </c>
      <c r="Z529" t="str">
        <f t="shared" si="89"/>
        <v/>
      </c>
    </row>
    <row r="530" spans="1:26" x14ac:dyDescent="0.25">
      <c r="A530" s="1">
        <v>45394</v>
      </c>
      <c r="B530" t="s">
        <v>279</v>
      </c>
      <c r="C530" t="s">
        <v>17</v>
      </c>
      <c r="D530" t="s">
        <v>22</v>
      </c>
      <c r="E530">
        <v>105</v>
      </c>
      <c r="F530">
        <v>0</v>
      </c>
      <c r="G530">
        <v>227.5</v>
      </c>
      <c r="H530">
        <v>23887.5</v>
      </c>
      <c r="I530" t="s">
        <v>287</v>
      </c>
      <c r="J530">
        <v>0</v>
      </c>
      <c r="K530">
        <v>11.94</v>
      </c>
      <c r="L530">
        <v>0.75</v>
      </c>
      <c r="M530">
        <v>0.02</v>
      </c>
      <c r="N530">
        <v>140</v>
      </c>
      <c r="O530">
        <v>27.36</v>
      </c>
      <c r="P530">
        <v>180.07</v>
      </c>
      <c r="Q530">
        <f t="shared" si="80"/>
        <v>2024</v>
      </c>
      <c r="R530">
        <f t="shared" si="81"/>
        <v>4</v>
      </c>
      <c r="S530">
        <f t="shared" si="82"/>
        <v>2024</v>
      </c>
      <c r="T530">
        <f t="shared" si="83"/>
        <v>1</v>
      </c>
      <c r="U530" t="str">
        <f t="shared" si="84"/>
        <v>01</v>
      </c>
      <c r="V530" t="str">
        <f t="shared" si="85"/>
        <v>202401</v>
      </c>
      <c r="W530" t="str">
        <f t="shared" si="86"/>
        <v>Apr-24</v>
      </c>
      <c r="X530" s="3">
        <f t="shared" si="87"/>
        <v>-24067.57</v>
      </c>
      <c r="Y530" t="str">
        <f t="shared" si="88"/>
        <v/>
      </c>
      <c r="Z530">
        <f t="shared" si="89"/>
        <v>-24067.57</v>
      </c>
    </row>
    <row r="531" spans="1:26" x14ac:dyDescent="0.25">
      <c r="A531" s="1">
        <v>45394</v>
      </c>
      <c r="B531" t="s">
        <v>285</v>
      </c>
      <c r="C531" t="s">
        <v>17</v>
      </c>
      <c r="D531" t="s">
        <v>22</v>
      </c>
      <c r="E531">
        <v>15</v>
      </c>
      <c r="F531">
        <v>0</v>
      </c>
      <c r="G531">
        <v>167</v>
      </c>
      <c r="H531">
        <v>2505</v>
      </c>
      <c r="I531" t="s">
        <v>288</v>
      </c>
      <c r="J531">
        <v>0</v>
      </c>
      <c r="K531">
        <v>1.25</v>
      </c>
      <c r="L531">
        <v>0</v>
      </c>
      <c r="M531">
        <v>0</v>
      </c>
      <c r="N531">
        <v>20</v>
      </c>
      <c r="O531">
        <v>3.82</v>
      </c>
      <c r="P531">
        <v>25.07</v>
      </c>
      <c r="Q531">
        <f t="shared" si="80"/>
        <v>2024</v>
      </c>
      <c r="R531">
        <f t="shared" si="81"/>
        <v>4</v>
      </c>
      <c r="S531">
        <f t="shared" si="82"/>
        <v>2024</v>
      </c>
      <c r="T531">
        <f t="shared" si="83"/>
        <v>1</v>
      </c>
      <c r="U531" t="str">
        <f t="shared" si="84"/>
        <v>01</v>
      </c>
      <c r="V531" t="str">
        <f t="shared" si="85"/>
        <v>202401</v>
      </c>
      <c r="W531" t="str">
        <f t="shared" si="86"/>
        <v>Apr-24</v>
      </c>
      <c r="X531" s="3">
        <f t="shared" si="87"/>
        <v>-2530.0700000000002</v>
      </c>
      <c r="Y531" t="str">
        <f t="shared" si="88"/>
        <v/>
      </c>
      <c r="Z531">
        <f t="shared" si="89"/>
        <v>-2530.0700000000002</v>
      </c>
    </row>
    <row r="532" spans="1:26" x14ac:dyDescent="0.25">
      <c r="A532" s="1">
        <v>45394</v>
      </c>
      <c r="B532" t="s">
        <v>285</v>
      </c>
      <c r="C532" t="s">
        <v>17</v>
      </c>
      <c r="D532" t="s">
        <v>22</v>
      </c>
      <c r="E532">
        <v>15</v>
      </c>
      <c r="F532">
        <v>0</v>
      </c>
      <c r="G532">
        <v>182.6</v>
      </c>
      <c r="H532">
        <v>2739</v>
      </c>
      <c r="I532" t="s">
        <v>289</v>
      </c>
      <c r="J532">
        <v>0</v>
      </c>
      <c r="K532">
        <v>1.37</v>
      </c>
      <c r="L532">
        <v>0.16</v>
      </c>
      <c r="M532">
        <v>0</v>
      </c>
      <c r="N532">
        <v>20</v>
      </c>
      <c r="O532">
        <v>3.84</v>
      </c>
      <c r="P532">
        <v>25.37</v>
      </c>
      <c r="Q532">
        <f t="shared" si="80"/>
        <v>2024</v>
      </c>
      <c r="R532">
        <f t="shared" si="81"/>
        <v>4</v>
      </c>
      <c r="S532">
        <f t="shared" si="82"/>
        <v>2024</v>
      </c>
      <c r="T532">
        <f t="shared" si="83"/>
        <v>1</v>
      </c>
      <c r="U532" t="str">
        <f t="shared" si="84"/>
        <v>01</v>
      </c>
      <c r="V532" t="str">
        <f t="shared" si="85"/>
        <v>202401</v>
      </c>
      <c r="W532" t="str">
        <f t="shared" si="86"/>
        <v>Apr-24</v>
      </c>
      <c r="X532" s="3">
        <f t="shared" si="87"/>
        <v>-2764.37</v>
      </c>
      <c r="Y532" t="str">
        <f t="shared" si="88"/>
        <v/>
      </c>
      <c r="Z532">
        <f t="shared" si="89"/>
        <v>-2764.37</v>
      </c>
    </row>
    <row r="533" spans="1:26" x14ac:dyDescent="0.25">
      <c r="A533" s="1">
        <v>45397</v>
      </c>
      <c r="B533" t="s">
        <v>262</v>
      </c>
      <c r="C533" t="s">
        <v>17</v>
      </c>
      <c r="D533" t="s">
        <v>18</v>
      </c>
      <c r="E533">
        <v>1200</v>
      </c>
      <c r="F533">
        <v>0</v>
      </c>
      <c r="G533">
        <v>0.3</v>
      </c>
      <c r="H533">
        <v>360</v>
      </c>
      <c r="I533" t="s">
        <v>263</v>
      </c>
      <c r="J533">
        <v>0.23</v>
      </c>
      <c r="K533">
        <v>0.18</v>
      </c>
      <c r="L533">
        <v>0</v>
      </c>
      <c r="M533">
        <v>0</v>
      </c>
      <c r="N533">
        <v>320</v>
      </c>
      <c r="O533">
        <v>57.64</v>
      </c>
      <c r="P533">
        <v>378.05</v>
      </c>
      <c r="Q533">
        <f t="shared" si="80"/>
        <v>2024</v>
      </c>
      <c r="R533">
        <f t="shared" si="81"/>
        <v>4</v>
      </c>
      <c r="S533">
        <f t="shared" si="82"/>
        <v>2024</v>
      </c>
      <c r="T533">
        <f t="shared" si="83"/>
        <v>1</v>
      </c>
      <c r="U533" t="str">
        <f t="shared" si="84"/>
        <v>01</v>
      </c>
      <c r="V533" t="str">
        <f t="shared" si="85"/>
        <v>202401</v>
      </c>
      <c r="W533" t="str">
        <f t="shared" si="86"/>
        <v>Apr-24</v>
      </c>
      <c r="X533" s="3">
        <f t="shared" si="87"/>
        <v>-18.050000000000011</v>
      </c>
      <c r="Y533" t="str">
        <f t="shared" si="88"/>
        <v/>
      </c>
      <c r="Z533">
        <f t="shared" si="89"/>
        <v>-18.050000000000011</v>
      </c>
    </row>
    <row r="534" spans="1:26" x14ac:dyDescent="0.25">
      <c r="A534" s="1">
        <v>45397</v>
      </c>
      <c r="B534" t="s">
        <v>264</v>
      </c>
      <c r="C534" t="s">
        <v>17</v>
      </c>
      <c r="D534" t="s">
        <v>18</v>
      </c>
      <c r="E534">
        <v>15</v>
      </c>
      <c r="F534">
        <v>0</v>
      </c>
      <c r="G534">
        <v>244.7</v>
      </c>
      <c r="H534">
        <v>3670.5</v>
      </c>
      <c r="I534" t="s">
        <v>265</v>
      </c>
      <c r="J534">
        <v>2.29</v>
      </c>
      <c r="K534">
        <v>1.84</v>
      </c>
      <c r="L534">
        <v>0</v>
      </c>
      <c r="M534">
        <v>0</v>
      </c>
      <c r="N534">
        <v>20</v>
      </c>
      <c r="O534">
        <v>3.94</v>
      </c>
      <c r="P534">
        <v>28.07</v>
      </c>
      <c r="Q534">
        <f t="shared" si="80"/>
        <v>2024</v>
      </c>
      <c r="R534">
        <f t="shared" si="81"/>
        <v>4</v>
      </c>
      <c r="S534">
        <f t="shared" si="82"/>
        <v>2024</v>
      </c>
      <c r="T534">
        <f t="shared" si="83"/>
        <v>1</v>
      </c>
      <c r="U534" t="str">
        <f t="shared" si="84"/>
        <v>01</v>
      </c>
      <c r="V534" t="str">
        <f t="shared" si="85"/>
        <v>202401</v>
      </c>
      <c r="W534" t="str">
        <f t="shared" si="86"/>
        <v>Apr-24</v>
      </c>
      <c r="X534" s="3">
        <f t="shared" si="87"/>
        <v>3642.43</v>
      </c>
      <c r="Y534">
        <f t="shared" si="88"/>
        <v>3642.43</v>
      </c>
      <c r="Z534" t="str">
        <f t="shared" si="89"/>
        <v/>
      </c>
    </row>
    <row r="535" spans="1:26" x14ac:dyDescent="0.25">
      <c r="A535" s="1">
        <v>45397</v>
      </c>
      <c r="B535" t="s">
        <v>264</v>
      </c>
      <c r="C535" t="s">
        <v>17</v>
      </c>
      <c r="D535" t="s">
        <v>22</v>
      </c>
      <c r="E535">
        <v>15</v>
      </c>
      <c r="F535">
        <v>0</v>
      </c>
      <c r="G535">
        <v>269.5</v>
      </c>
      <c r="H535">
        <v>4042.5</v>
      </c>
      <c r="I535" t="s">
        <v>266</v>
      </c>
      <c r="J535">
        <v>0</v>
      </c>
      <c r="K535">
        <v>2.02</v>
      </c>
      <c r="L535">
        <v>0</v>
      </c>
      <c r="M535">
        <v>0</v>
      </c>
      <c r="N535">
        <v>20</v>
      </c>
      <c r="O535">
        <v>3.96</v>
      </c>
      <c r="P535">
        <v>25.98</v>
      </c>
      <c r="Q535">
        <f t="shared" si="80"/>
        <v>2024</v>
      </c>
      <c r="R535">
        <f t="shared" si="81"/>
        <v>4</v>
      </c>
      <c r="S535">
        <f t="shared" si="82"/>
        <v>2024</v>
      </c>
      <c r="T535">
        <f t="shared" si="83"/>
        <v>1</v>
      </c>
      <c r="U535" t="str">
        <f t="shared" si="84"/>
        <v>01</v>
      </c>
      <c r="V535" t="str">
        <f t="shared" si="85"/>
        <v>202401</v>
      </c>
      <c r="W535" t="str">
        <f t="shared" si="86"/>
        <v>Apr-24</v>
      </c>
      <c r="X535" s="3">
        <f t="shared" si="87"/>
        <v>-4068.48</v>
      </c>
      <c r="Y535" t="str">
        <f t="shared" si="88"/>
        <v/>
      </c>
      <c r="Z535">
        <f t="shared" si="89"/>
        <v>-4068.48</v>
      </c>
    </row>
    <row r="536" spans="1:26" x14ac:dyDescent="0.25">
      <c r="A536" s="1">
        <v>45397</v>
      </c>
      <c r="B536" t="s">
        <v>264</v>
      </c>
      <c r="C536" t="s">
        <v>17</v>
      </c>
      <c r="D536" t="s">
        <v>18</v>
      </c>
      <c r="E536">
        <v>15</v>
      </c>
      <c r="F536">
        <v>0</v>
      </c>
      <c r="G536">
        <v>345.15</v>
      </c>
      <c r="H536">
        <v>5177.25</v>
      </c>
      <c r="I536" t="s">
        <v>267</v>
      </c>
      <c r="J536">
        <v>3.24</v>
      </c>
      <c r="K536">
        <v>2.59</v>
      </c>
      <c r="L536">
        <v>0</v>
      </c>
      <c r="M536">
        <v>0.01</v>
      </c>
      <c r="N536">
        <v>20</v>
      </c>
      <c r="O536">
        <v>4.0599999999999996</v>
      </c>
      <c r="P536">
        <v>29.9</v>
      </c>
      <c r="Q536">
        <f t="shared" si="80"/>
        <v>2024</v>
      </c>
      <c r="R536">
        <f t="shared" si="81"/>
        <v>4</v>
      </c>
      <c r="S536">
        <f t="shared" si="82"/>
        <v>2024</v>
      </c>
      <c r="T536">
        <f t="shared" si="83"/>
        <v>1</v>
      </c>
      <c r="U536" t="str">
        <f t="shared" si="84"/>
        <v>01</v>
      </c>
      <c r="V536" t="str">
        <f t="shared" si="85"/>
        <v>202401</v>
      </c>
      <c r="W536" t="str">
        <f t="shared" si="86"/>
        <v>Apr-24</v>
      </c>
      <c r="X536" s="3">
        <f t="shared" si="87"/>
        <v>5147.3500000000004</v>
      </c>
      <c r="Y536">
        <f t="shared" si="88"/>
        <v>5147.3500000000004</v>
      </c>
      <c r="Z536" t="str">
        <f t="shared" si="89"/>
        <v/>
      </c>
    </row>
    <row r="537" spans="1:26" x14ac:dyDescent="0.25">
      <c r="A537" s="1">
        <v>45397</v>
      </c>
      <c r="B537" t="s">
        <v>262</v>
      </c>
      <c r="C537" t="s">
        <v>17</v>
      </c>
      <c r="D537" t="s">
        <v>22</v>
      </c>
      <c r="E537">
        <v>600</v>
      </c>
      <c r="F537">
        <v>0</v>
      </c>
      <c r="G537">
        <v>1.9</v>
      </c>
      <c r="H537">
        <v>1140</v>
      </c>
      <c r="I537" t="s">
        <v>268</v>
      </c>
      <c r="J537">
        <v>0</v>
      </c>
      <c r="K537">
        <v>0.56999999999999995</v>
      </c>
      <c r="L537">
        <v>0</v>
      </c>
      <c r="M537">
        <v>0</v>
      </c>
      <c r="N537">
        <v>160</v>
      </c>
      <c r="O537">
        <v>28.9</v>
      </c>
      <c r="P537">
        <v>189.47</v>
      </c>
      <c r="Q537">
        <f t="shared" si="80"/>
        <v>2024</v>
      </c>
      <c r="R537">
        <f t="shared" si="81"/>
        <v>4</v>
      </c>
      <c r="S537">
        <f t="shared" si="82"/>
        <v>2024</v>
      </c>
      <c r="T537">
        <f t="shared" si="83"/>
        <v>1</v>
      </c>
      <c r="U537" t="str">
        <f t="shared" si="84"/>
        <v>01</v>
      </c>
      <c r="V537" t="str">
        <f t="shared" si="85"/>
        <v>202401</v>
      </c>
      <c r="W537" t="str">
        <f t="shared" si="86"/>
        <v>Apr-24</v>
      </c>
      <c r="X537" s="3">
        <f t="shared" si="87"/>
        <v>-1329.47</v>
      </c>
      <c r="Y537" t="str">
        <f t="shared" si="88"/>
        <v/>
      </c>
      <c r="Z537">
        <f t="shared" si="89"/>
        <v>-1329.47</v>
      </c>
    </row>
    <row r="538" spans="1:26" x14ac:dyDescent="0.25">
      <c r="A538" s="1">
        <v>45397</v>
      </c>
      <c r="B538" t="s">
        <v>264</v>
      </c>
      <c r="C538" t="s">
        <v>17</v>
      </c>
      <c r="D538" t="s">
        <v>22</v>
      </c>
      <c r="E538">
        <v>15</v>
      </c>
      <c r="F538">
        <v>0</v>
      </c>
      <c r="G538">
        <v>316.3</v>
      </c>
      <c r="H538">
        <v>4744.5</v>
      </c>
      <c r="I538" t="s">
        <v>269</v>
      </c>
      <c r="J538">
        <v>0</v>
      </c>
      <c r="K538">
        <v>2.37</v>
      </c>
      <c r="L538">
        <v>0</v>
      </c>
      <c r="M538">
        <v>0</v>
      </c>
      <c r="N538">
        <v>20</v>
      </c>
      <c r="O538">
        <v>4.0199999999999996</v>
      </c>
      <c r="P538">
        <v>26.39</v>
      </c>
      <c r="Q538">
        <f t="shared" si="80"/>
        <v>2024</v>
      </c>
      <c r="R538">
        <f t="shared" si="81"/>
        <v>4</v>
      </c>
      <c r="S538">
        <f t="shared" si="82"/>
        <v>2024</v>
      </c>
      <c r="T538">
        <f t="shared" si="83"/>
        <v>1</v>
      </c>
      <c r="U538" t="str">
        <f t="shared" si="84"/>
        <v>01</v>
      </c>
      <c r="V538" t="str">
        <f t="shared" si="85"/>
        <v>202401</v>
      </c>
      <c r="W538" t="str">
        <f t="shared" si="86"/>
        <v>Apr-24</v>
      </c>
      <c r="X538" s="3">
        <f t="shared" si="87"/>
        <v>-4770.8900000000003</v>
      </c>
      <c r="Y538" t="str">
        <f t="shared" si="88"/>
        <v/>
      </c>
      <c r="Z538">
        <f t="shared" si="89"/>
        <v>-4770.8900000000003</v>
      </c>
    </row>
    <row r="539" spans="1:26" x14ac:dyDescent="0.25">
      <c r="A539" s="1">
        <v>45397</v>
      </c>
      <c r="B539" t="s">
        <v>262</v>
      </c>
      <c r="C539" t="s">
        <v>17</v>
      </c>
      <c r="D539" t="s">
        <v>18</v>
      </c>
      <c r="E539">
        <v>75</v>
      </c>
      <c r="F539">
        <v>0</v>
      </c>
      <c r="G539">
        <v>1.5</v>
      </c>
      <c r="H539">
        <v>112.5</v>
      </c>
      <c r="I539" t="s">
        <v>270</v>
      </c>
      <c r="J539">
        <v>0.02</v>
      </c>
      <c r="K539">
        <v>0.06</v>
      </c>
      <c r="L539">
        <v>0</v>
      </c>
      <c r="M539">
        <v>0</v>
      </c>
      <c r="N539">
        <v>20</v>
      </c>
      <c r="O539">
        <v>3.62</v>
      </c>
      <c r="P539">
        <v>23.7</v>
      </c>
      <c r="Q539">
        <f t="shared" si="80"/>
        <v>2024</v>
      </c>
      <c r="R539">
        <f t="shared" si="81"/>
        <v>4</v>
      </c>
      <c r="S539">
        <f t="shared" si="82"/>
        <v>2024</v>
      </c>
      <c r="T539">
        <f t="shared" si="83"/>
        <v>1</v>
      </c>
      <c r="U539" t="str">
        <f t="shared" si="84"/>
        <v>01</v>
      </c>
      <c r="V539" t="str">
        <f t="shared" si="85"/>
        <v>202401</v>
      </c>
      <c r="W539" t="str">
        <f t="shared" si="86"/>
        <v>Apr-24</v>
      </c>
      <c r="X539" s="3">
        <f t="shared" si="87"/>
        <v>88.8</v>
      </c>
      <c r="Y539">
        <f t="shared" si="88"/>
        <v>88.8</v>
      </c>
      <c r="Z539" t="str">
        <f t="shared" si="89"/>
        <v/>
      </c>
    </row>
    <row r="540" spans="1:26" x14ac:dyDescent="0.25">
      <c r="A540" s="1">
        <v>45397</v>
      </c>
      <c r="B540" t="s">
        <v>262</v>
      </c>
      <c r="C540" t="s">
        <v>17</v>
      </c>
      <c r="D540" t="s">
        <v>18</v>
      </c>
      <c r="E540">
        <v>75</v>
      </c>
      <c r="F540">
        <v>0</v>
      </c>
      <c r="G540">
        <v>1.5</v>
      </c>
      <c r="H540">
        <v>112.5</v>
      </c>
      <c r="I540" t="s">
        <v>271</v>
      </c>
      <c r="J540">
        <v>7.0000000000000007E-2</v>
      </c>
      <c r="K540">
        <v>0.06</v>
      </c>
      <c r="L540">
        <v>0</v>
      </c>
      <c r="M540">
        <v>0</v>
      </c>
      <c r="N540">
        <v>20</v>
      </c>
      <c r="O540">
        <v>3.62</v>
      </c>
      <c r="P540">
        <v>23.75</v>
      </c>
      <c r="Q540">
        <f t="shared" si="80"/>
        <v>2024</v>
      </c>
      <c r="R540">
        <f t="shared" si="81"/>
        <v>4</v>
      </c>
      <c r="S540">
        <f t="shared" si="82"/>
        <v>2024</v>
      </c>
      <c r="T540">
        <f t="shared" si="83"/>
        <v>1</v>
      </c>
      <c r="U540" t="str">
        <f t="shared" si="84"/>
        <v>01</v>
      </c>
      <c r="V540" t="str">
        <f t="shared" si="85"/>
        <v>202401</v>
      </c>
      <c r="W540" t="str">
        <f t="shared" si="86"/>
        <v>Apr-24</v>
      </c>
      <c r="X540" s="3">
        <f t="shared" si="87"/>
        <v>88.75</v>
      </c>
      <c r="Y540">
        <f t="shared" si="88"/>
        <v>88.75</v>
      </c>
      <c r="Z540" t="str">
        <f t="shared" si="89"/>
        <v/>
      </c>
    </row>
    <row r="541" spans="1:26" x14ac:dyDescent="0.25">
      <c r="A541" s="1">
        <v>45397</v>
      </c>
      <c r="B541" t="s">
        <v>262</v>
      </c>
      <c r="C541" t="s">
        <v>17</v>
      </c>
      <c r="D541" t="s">
        <v>18</v>
      </c>
      <c r="E541">
        <v>75</v>
      </c>
      <c r="F541">
        <v>0</v>
      </c>
      <c r="G541">
        <v>1.5</v>
      </c>
      <c r="H541">
        <v>112.5</v>
      </c>
      <c r="I541" t="s">
        <v>272</v>
      </c>
      <c r="J541">
        <v>7.0000000000000007E-2</v>
      </c>
      <c r="K541">
        <v>0.06</v>
      </c>
      <c r="L541">
        <v>0</v>
      </c>
      <c r="M541">
        <v>0</v>
      </c>
      <c r="N541">
        <v>20</v>
      </c>
      <c r="O541">
        <v>3.62</v>
      </c>
      <c r="P541">
        <v>23.75</v>
      </c>
      <c r="Q541">
        <f t="shared" si="80"/>
        <v>2024</v>
      </c>
      <c r="R541">
        <f t="shared" si="81"/>
        <v>4</v>
      </c>
      <c r="S541">
        <f t="shared" si="82"/>
        <v>2024</v>
      </c>
      <c r="T541">
        <f t="shared" si="83"/>
        <v>1</v>
      </c>
      <c r="U541" t="str">
        <f t="shared" si="84"/>
        <v>01</v>
      </c>
      <c r="V541" t="str">
        <f t="shared" si="85"/>
        <v>202401</v>
      </c>
      <c r="W541" t="str">
        <f t="shared" si="86"/>
        <v>Apr-24</v>
      </c>
      <c r="X541" s="3">
        <f t="shared" si="87"/>
        <v>88.75</v>
      </c>
      <c r="Y541">
        <f t="shared" si="88"/>
        <v>88.75</v>
      </c>
      <c r="Z541" t="str">
        <f t="shared" si="89"/>
        <v/>
      </c>
    </row>
    <row r="542" spans="1:26" x14ac:dyDescent="0.25">
      <c r="A542" s="1">
        <v>45397</v>
      </c>
      <c r="B542" t="s">
        <v>262</v>
      </c>
      <c r="C542" t="s">
        <v>17</v>
      </c>
      <c r="D542" t="s">
        <v>18</v>
      </c>
      <c r="E542">
        <v>75</v>
      </c>
      <c r="F542">
        <v>0</v>
      </c>
      <c r="G542">
        <v>1.7</v>
      </c>
      <c r="H542">
        <v>127.5</v>
      </c>
      <c r="I542" t="s">
        <v>273</v>
      </c>
      <c r="J542">
        <v>0.08</v>
      </c>
      <c r="K542">
        <v>0.06</v>
      </c>
      <c r="L542">
        <v>0</v>
      </c>
      <c r="M542">
        <v>0</v>
      </c>
      <c r="N542">
        <v>20</v>
      </c>
      <c r="O542">
        <v>3.62</v>
      </c>
      <c r="P542">
        <v>23.76</v>
      </c>
      <c r="Q542">
        <f t="shared" si="80"/>
        <v>2024</v>
      </c>
      <c r="R542">
        <f t="shared" si="81"/>
        <v>4</v>
      </c>
      <c r="S542">
        <f t="shared" si="82"/>
        <v>2024</v>
      </c>
      <c r="T542">
        <f t="shared" si="83"/>
        <v>1</v>
      </c>
      <c r="U542" t="str">
        <f t="shared" si="84"/>
        <v>01</v>
      </c>
      <c r="V542" t="str">
        <f t="shared" si="85"/>
        <v>202401</v>
      </c>
      <c r="W542" t="str">
        <f t="shared" si="86"/>
        <v>Apr-24</v>
      </c>
      <c r="X542" s="3">
        <f t="shared" si="87"/>
        <v>103.74</v>
      </c>
      <c r="Y542">
        <f t="shared" si="88"/>
        <v>103.74</v>
      </c>
      <c r="Z542" t="str">
        <f t="shared" si="89"/>
        <v/>
      </c>
    </row>
    <row r="543" spans="1:26" x14ac:dyDescent="0.25">
      <c r="A543" s="1">
        <v>45397</v>
      </c>
      <c r="B543" t="s">
        <v>262</v>
      </c>
      <c r="C543" t="s">
        <v>17</v>
      </c>
      <c r="D543" t="s">
        <v>22</v>
      </c>
      <c r="E543">
        <v>600</v>
      </c>
      <c r="F543">
        <v>0</v>
      </c>
      <c r="G543">
        <v>2.2999999999999998</v>
      </c>
      <c r="H543">
        <v>1380</v>
      </c>
      <c r="I543" t="s">
        <v>274</v>
      </c>
      <c r="J543">
        <v>0</v>
      </c>
      <c r="K543">
        <v>0.69</v>
      </c>
      <c r="L543">
        <v>0</v>
      </c>
      <c r="M543">
        <v>0</v>
      </c>
      <c r="N543">
        <v>160</v>
      </c>
      <c r="O543">
        <v>28.92</v>
      </c>
      <c r="P543">
        <v>189.61</v>
      </c>
      <c r="Q543">
        <f t="shared" si="80"/>
        <v>2024</v>
      </c>
      <c r="R543">
        <f t="shared" si="81"/>
        <v>4</v>
      </c>
      <c r="S543">
        <f t="shared" si="82"/>
        <v>2024</v>
      </c>
      <c r="T543">
        <f t="shared" si="83"/>
        <v>1</v>
      </c>
      <c r="U543" t="str">
        <f t="shared" si="84"/>
        <v>01</v>
      </c>
      <c r="V543" t="str">
        <f t="shared" si="85"/>
        <v>202401</v>
      </c>
      <c r="W543" t="str">
        <f t="shared" si="86"/>
        <v>Apr-24</v>
      </c>
      <c r="X543" s="3">
        <f t="shared" si="87"/>
        <v>-1569.6100000000001</v>
      </c>
      <c r="Y543" t="str">
        <f t="shared" si="88"/>
        <v/>
      </c>
      <c r="Z543">
        <f t="shared" si="89"/>
        <v>-1569.6100000000001</v>
      </c>
    </row>
    <row r="544" spans="1:26" x14ac:dyDescent="0.25">
      <c r="A544" s="1">
        <v>45397</v>
      </c>
      <c r="B544" t="s">
        <v>262</v>
      </c>
      <c r="C544" t="s">
        <v>17</v>
      </c>
      <c r="D544" t="s">
        <v>22</v>
      </c>
      <c r="E544">
        <v>75</v>
      </c>
      <c r="F544">
        <v>0</v>
      </c>
      <c r="G544">
        <v>3.95</v>
      </c>
      <c r="H544">
        <v>296.25</v>
      </c>
      <c r="I544" t="s">
        <v>275</v>
      </c>
      <c r="J544">
        <v>0</v>
      </c>
      <c r="K544">
        <v>0.15</v>
      </c>
      <c r="L544">
        <v>0</v>
      </c>
      <c r="M544">
        <v>0</v>
      </c>
      <c r="N544">
        <v>20</v>
      </c>
      <c r="O544">
        <v>3.62</v>
      </c>
      <c r="P544">
        <v>23.77</v>
      </c>
      <c r="Q544">
        <f t="shared" si="80"/>
        <v>2024</v>
      </c>
      <c r="R544">
        <f t="shared" si="81"/>
        <v>4</v>
      </c>
      <c r="S544">
        <f t="shared" si="82"/>
        <v>2024</v>
      </c>
      <c r="T544">
        <f t="shared" si="83"/>
        <v>1</v>
      </c>
      <c r="U544" t="str">
        <f t="shared" si="84"/>
        <v>01</v>
      </c>
      <c r="V544" t="str">
        <f t="shared" si="85"/>
        <v>202401</v>
      </c>
      <c r="W544" t="str">
        <f t="shared" si="86"/>
        <v>Apr-24</v>
      </c>
      <c r="X544" s="3">
        <f t="shared" si="87"/>
        <v>-320.02</v>
      </c>
      <c r="Y544" t="str">
        <f t="shared" si="88"/>
        <v/>
      </c>
      <c r="Z544">
        <f t="shared" si="89"/>
        <v>-320.02</v>
      </c>
    </row>
    <row r="545" spans="1:26" x14ac:dyDescent="0.25">
      <c r="A545" s="1">
        <v>45397</v>
      </c>
      <c r="B545" t="s">
        <v>262</v>
      </c>
      <c r="C545" t="s">
        <v>17</v>
      </c>
      <c r="D545" t="s">
        <v>22</v>
      </c>
      <c r="E545">
        <v>75</v>
      </c>
      <c r="F545">
        <v>0</v>
      </c>
      <c r="G545">
        <v>3.9</v>
      </c>
      <c r="H545">
        <v>292.5</v>
      </c>
      <c r="I545" t="s">
        <v>276</v>
      </c>
      <c r="J545">
        <v>0</v>
      </c>
      <c r="K545">
        <v>0.15</v>
      </c>
      <c r="L545">
        <v>0</v>
      </c>
      <c r="M545">
        <v>0</v>
      </c>
      <c r="N545">
        <v>20</v>
      </c>
      <c r="O545">
        <v>3.62</v>
      </c>
      <c r="P545">
        <v>23.77</v>
      </c>
      <c r="Q545">
        <f t="shared" si="80"/>
        <v>2024</v>
      </c>
      <c r="R545">
        <f t="shared" si="81"/>
        <v>4</v>
      </c>
      <c r="S545">
        <f t="shared" si="82"/>
        <v>2024</v>
      </c>
      <c r="T545">
        <f t="shared" si="83"/>
        <v>1</v>
      </c>
      <c r="U545" t="str">
        <f t="shared" si="84"/>
        <v>01</v>
      </c>
      <c r="V545" t="str">
        <f t="shared" si="85"/>
        <v>202401</v>
      </c>
      <c r="W545" t="str">
        <f t="shared" si="86"/>
        <v>Apr-24</v>
      </c>
      <c r="X545" s="3">
        <f t="shared" si="87"/>
        <v>-316.27</v>
      </c>
      <c r="Y545" t="str">
        <f t="shared" si="88"/>
        <v/>
      </c>
      <c r="Z545">
        <f t="shared" si="89"/>
        <v>-316.27</v>
      </c>
    </row>
    <row r="546" spans="1:26" x14ac:dyDescent="0.25">
      <c r="A546" s="1">
        <v>45397</v>
      </c>
      <c r="B546" t="s">
        <v>262</v>
      </c>
      <c r="C546" t="s">
        <v>17</v>
      </c>
      <c r="D546" t="s">
        <v>22</v>
      </c>
      <c r="E546">
        <v>75</v>
      </c>
      <c r="F546">
        <v>0</v>
      </c>
      <c r="G546">
        <v>3.85</v>
      </c>
      <c r="H546">
        <v>288.75</v>
      </c>
      <c r="I546" t="s">
        <v>277</v>
      </c>
      <c r="J546">
        <v>0</v>
      </c>
      <c r="K546">
        <v>0.14000000000000001</v>
      </c>
      <c r="L546">
        <v>0</v>
      </c>
      <c r="M546">
        <v>0</v>
      </c>
      <c r="N546">
        <v>20</v>
      </c>
      <c r="O546">
        <v>3.62</v>
      </c>
      <c r="P546">
        <v>23.76</v>
      </c>
      <c r="Q546">
        <f t="shared" si="80"/>
        <v>2024</v>
      </c>
      <c r="R546">
        <f t="shared" si="81"/>
        <v>4</v>
      </c>
      <c r="S546">
        <f t="shared" si="82"/>
        <v>2024</v>
      </c>
      <c r="T546">
        <f t="shared" si="83"/>
        <v>1</v>
      </c>
      <c r="U546" t="str">
        <f t="shared" si="84"/>
        <v>01</v>
      </c>
      <c r="V546" t="str">
        <f t="shared" si="85"/>
        <v>202401</v>
      </c>
      <c r="W546" t="str">
        <f t="shared" si="86"/>
        <v>Apr-24</v>
      </c>
      <c r="X546" s="3">
        <f t="shared" si="87"/>
        <v>-312.51</v>
      </c>
      <c r="Y546" t="str">
        <f t="shared" si="88"/>
        <v/>
      </c>
      <c r="Z546">
        <f t="shared" si="89"/>
        <v>-312.51</v>
      </c>
    </row>
    <row r="547" spans="1:26" x14ac:dyDescent="0.25">
      <c r="A547" s="1">
        <v>45397</v>
      </c>
      <c r="B547" t="s">
        <v>262</v>
      </c>
      <c r="C547" t="s">
        <v>17</v>
      </c>
      <c r="D547" t="s">
        <v>22</v>
      </c>
      <c r="E547">
        <v>75</v>
      </c>
      <c r="F547">
        <v>0</v>
      </c>
      <c r="G547">
        <v>4.1500000000000004</v>
      </c>
      <c r="H547">
        <v>311.25</v>
      </c>
      <c r="I547" t="s">
        <v>278</v>
      </c>
      <c r="J547">
        <v>0</v>
      </c>
      <c r="K547">
        <v>0.16</v>
      </c>
      <c r="L547">
        <v>0</v>
      </c>
      <c r="M547">
        <v>0</v>
      </c>
      <c r="N547">
        <v>20</v>
      </c>
      <c r="O547">
        <v>3.62</v>
      </c>
      <c r="P547">
        <v>23.78</v>
      </c>
      <c r="Q547">
        <f t="shared" si="80"/>
        <v>2024</v>
      </c>
      <c r="R547">
        <f t="shared" si="81"/>
        <v>4</v>
      </c>
      <c r="S547">
        <f t="shared" si="82"/>
        <v>2024</v>
      </c>
      <c r="T547">
        <f t="shared" si="83"/>
        <v>1</v>
      </c>
      <c r="U547" t="str">
        <f t="shared" si="84"/>
        <v>01</v>
      </c>
      <c r="V547" t="str">
        <f t="shared" si="85"/>
        <v>202401</v>
      </c>
      <c r="W547" t="str">
        <f t="shared" si="86"/>
        <v>Apr-24</v>
      </c>
      <c r="X547" s="3">
        <f t="shared" si="87"/>
        <v>-335.03</v>
      </c>
      <c r="Y547" t="str">
        <f t="shared" si="88"/>
        <v/>
      </c>
      <c r="Z547">
        <f t="shared" si="89"/>
        <v>-335.03</v>
      </c>
    </row>
    <row r="548" spans="1:26" x14ac:dyDescent="0.25">
      <c r="A548" s="1">
        <v>45398</v>
      </c>
      <c r="B548" t="s">
        <v>255</v>
      </c>
      <c r="C548" t="s">
        <v>17</v>
      </c>
      <c r="D548" t="s">
        <v>18</v>
      </c>
      <c r="E548">
        <v>15</v>
      </c>
      <c r="F548">
        <v>0</v>
      </c>
      <c r="G548">
        <v>35</v>
      </c>
      <c r="H548">
        <v>525</v>
      </c>
      <c r="I548" t="s">
        <v>256</v>
      </c>
      <c r="J548">
        <v>0.18</v>
      </c>
      <c r="K548">
        <v>0.26</v>
      </c>
      <c r="L548">
        <v>0</v>
      </c>
      <c r="M548">
        <v>0</v>
      </c>
      <c r="N548">
        <v>20</v>
      </c>
      <c r="O548">
        <v>3.64</v>
      </c>
      <c r="P548">
        <v>24.08</v>
      </c>
      <c r="Q548">
        <f t="shared" si="80"/>
        <v>2024</v>
      </c>
      <c r="R548">
        <f t="shared" si="81"/>
        <v>4</v>
      </c>
      <c r="S548">
        <f t="shared" si="82"/>
        <v>2024</v>
      </c>
      <c r="T548">
        <f t="shared" si="83"/>
        <v>1</v>
      </c>
      <c r="U548" t="str">
        <f t="shared" si="84"/>
        <v>01</v>
      </c>
      <c r="V548" t="str">
        <f t="shared" si="85"/>
        <v>202401</v>
      </c>
      <c r="W548" t="str">
        <f t="shared" si="86"/>
        <v>Apr-24</v>
      </c>
      <c r="X548" s="3">
        <f t="shared" si="87"/>
        <v>500.92</v>
      </c>
      <c r="Y548">
        <f t="shared" si="88"/>
        <v>500.92</v>
      </c>
      <c r="Z548" t="str">
        <f t="shared" si="89"/>
        <v/>
      </c>
    </row>
    <row r="549" spans="1:26" x14ac:dyDescent="0.25">
      <c r="A549" s="1">
        <v>45398</v>
      </c>
      <c r="B549" t="s">
        <v>257</v>
      </c>
      <c r="C549" t="s">
        <v>17</v>
      </c>
      <c r="D549" t="s">
        <v>18</v>
      </c>
      <c r="E549">
        <v>150</v>
      </c>
      <c r="F549">
        <v>0</v>
      </c>
      <c r="G549">
        <v>30.1</v>
      </c>
      <c r="H549">
        <v>4515</v>
      </c>
      <c r="I549" t="s">
        <v>258</v>
      </c>
      <c r="J549">
        <v>2.82</v>
      </c>
      <c r="K549">
        <v>2.2599999999999998</v>
      </c>
      <c r="L549">
        <v>0</v>
      </c>
      <c r="M549">
        <v>0</v>
      </c>
      <c r="N549">
        <v>60</v>
      </c>
      <c r="O549">
        <v>11.22</v>
      </c>
      <c r="P549">
        <v>76.3</v>
      </c>
      <c r="Q549">
        <f t="shared" si="80"/>
        <v>2024</v>
      </c>
      <c r="R549">
        <f t="shared" si="81"/>
        <v>4</v>
      </c>
      <c r="S549">
        <f t="shared" si="82"/>
        <v>2024</v>
      </c>
      <c r="T549">
        <f t="shared" si="83"/>
        <v>1</v>
      </c>
      <c r="U549" t="str">
        <f t="shared" si="84"/>
        <v>01</v>
      </c>
      <c r="V549" t="str">
        <f t="shared" si="85"/>
        <v>202401</v>
      </c>
      <c r="W549" t="str">
        <f t="shared" si="86"/>
        <v>Apr-24</v>
      </c>
      <c r="X549" s="3">
        <f t="shared" si="87"/>
        <v>4438.7</v>
      </c>
      <c r="Y549">
        <f t="shared" si="88"/>
        <v>4438.7</v>
      </c>
      <c r="Z549" t="str">
        <f t="shared" si="89"/>
        <v/>
      </c>
    </row>
    <row r="550" spans="1:26" x14ac:dyDescent="0.25">
      <c r="A550" s="1">
        <v>45398</v>
      </c>
      <c r="B550" t="s">
        <v>255</v>
      </c>
      <c r="C550" t="s">
        <v>17</v>
      </c>
      <c r="D550" t="s">
        <v>22</v>
      </c>
      <c r="E550">
        <v>15</v>
      </c>
      <c r="F550">
        <v>0</v>
      </c>
      <c r="G550">
        <v>79.5</v>
      </c>
      <c r="H550">
        <v>1192.5</v>
      </c>
      <c r="I550" t="s">
        <v>259</v>
      </c>
      <c r="J550">
        <v>0</v>
      </c>
      <c r="K550">
        <v>0.6</v>
      </c>
      <c r="L550">
        <v>0</v>
      </c>
      <c r="M550">
        <v>0</v>
      </c>
      <c r="N550">
        <v>20</v>
      </c>
      <c r="O550">
        <v>3.7</v>
      </c>
      <c r="P550">
        <v>24.3</v>
      </c>
      <c r="Q550">
        <f t="shared" si="80"/>
        <v>2024</v>
      </c>
      <c r="R550">
        <f t="shared" si="81"/>
        <v>4</v>
      </c>
      <c r="S550">
        <f t="shared" si="82"/>
        <v>2024</v>
      </c>
      <c r="T550">
        <f t="shared" si="83"/>
        <v>1</v>
      </c>
      <c r="U550" t="str">
        <f t="shared" si="84"/>
        <v>01</v>
      </c>
      <c r="V550" t="str">
        <f t="shared" si="85"/>
        <v>202401</v>
      </c>
      <c r="W550" t="str">
        <f t="shared" si="86"/>
        <v>Apr-24</v>
      </c>
      <c r="X550" s="3">
        <f t="shared" si="87"/>
        <v>-1216.8</v>
      </c>
      <c r="Y550" t="str">
        <f t="shared" si="88"/>
        <v/>
      </c>
      <c r="Z550">
        <f t="shared" si="89"/>
        <v>-1216.8</v>
      </c>
    </row>
    <row r="551" spans="1:26" x14ac:dyDescent="0.25">
      <c r="A551" s="1">
        <v>45398</v>
      </c>
      <c r="B551" t="s">
        <v>257</v>
      </c>
      <c r="C551" t="s">
        <v>17</v>
      </c>
      <c r="D551" t="s">
        <v>22</v>
      </c>
      <c r="E551">
        <v>50</v>
      </c>
      <c r="F551">
        <v>0</v>
      </c>
      <c r="G551">
        <v>52.05</v>
      </c>
      <c r="H551">
        <v>2602.5</v>
      </c>
      <c r="I551" t="s">
        <v>260</v>
      </c>
      <c r="J551">
        <v>0</v>
      </c>
      <c r="K551">
        <v>1.3</v>
      </c>
      <c r="L551">
        <v>0</v>
      </c>
      <c r="M551">
        <v>0</v>
      </c>
      <c r="N551">
        <v>20</v>
      </c>
      <c r="O551">
        <v>3.84</v>
      </c>
      <c r="P551">
        <v>25.14</v>
      </c>
      <c r="Q551">
        <f t="shared" si="80"/>
        <v>2024</v>
      </c>
      <c r="R551">
        <f t="shared" si="81"/>
        <v>4</v>
      </c>
      <c r="S551">
        <f t="shared" si="82"/>
        <v>2024</v>
      </c>
      <c r="T551">
        <f t="shared" si="83"/>
        <v>1</v>
      </c>
      <c r="U551" t="str">
        <f t="shared" si="84"/>
        <v>01</v>
      </c>
      <c r="V551" t="str">
        <f t="shared" si="85"/>
        <v>202401</v>
      </c>
      <c r="W551" t="str">
        <f t="shared" si="86"/>
        <v>Apr-24</v>
      </c>
      <c r="X551" s="3">
        <f t="shared" si="87"/>
        <v>-2627.64</v>
      </c>
      <c r="Y551" t="str">
        <f t="shared" si="88"/>
        <v/>
      </c>
      <c r="Z551">
        <f t="shared" si="89"/>
        <v>-2627.64</v>
      </c>
    </row>
    <row r="552" spans="1:26" x14ac:dyDescent="0.25">
      <c r="A552" s="1">
        <v>45398</v>
      </c>
      <c r="B552" t="s">
        <v>257</v>
      </c>
      <c r="C552" t="s">
        <v>17</v>
      </c>
      <c r="D552" t="s">
        <v>22</v>
      </c>
      <c r="E552">
        <v>100</v>
      </c>
      <c r="F552">
        <v>0</v>
      </c>
      <c r="G552">
        <v>58.93</v>
      </c>
      <c r="H552">
        <v>5892.5</v>
      </c>
      <c r="I552" t="s">
        <v>261</v>
      </c>
      <c r="J552">
        <v>0</v>
      </c>
      <c r="K552">
        <v>2.94</v>
      </c>
      <c r="L552">
        <v>0</v>
      </c>
      <c r="M552">
        <v>0</v>
      </c>
      <c r="N552">
        <v>40</v>
      </c>
      <c r="O552">
        <v>7.72</v>
      </c>
      <c r="P552">
        <v>50.66</v>
      </c>
      <c r="Q552">
        <f t="shared" si="80"/>
        <v>2024</v>
      </c>
      <c r="R552">
        <f t="shared" si="81"/>
        <v>4</v>
      </c>
      <c r="S552">
        <f t="shared" si="82"/>
        <v>2024</v>
      </c>
      <c r="T552">
        <f t="shared" si="83"/>
        <v>1</v>
      </c>
      <c r="U552" t="str">
        <f t="shared" si="84"/>
        <v>01</v>
      </c>
      <c r="V552" t="str">
        <f t="shared" si="85"/>
        <v>202401</v>
      </c>
      <c r="W552" t="str">
        <f t="shared" si="86"/>
        <v>Apr-24</v>
      </c>
      <c r="X552" s="3">
        <f t="shared" si="87"/>
        <v>-5943.16</v>
      </c>
      <c r="Y552" t="str">
        <f t="shared" si="88"/>
        <v/>
      </c>
      <c r="Z552">
        <f t="shared" si="89"/>
        <v>-5943.16</v>
      </c>
    </row>
    <row r="553" spans="1:26" x14ac:dyDescent="0.25">
      <c r="A553" s="1">
        <v>45400</v>
      </c>
      <c r="B553" t="s">
        <v>249</v>
      </c>
      <c r="C553" t="s">
        <v>17</v>
      </c>
      <c r="D553" t="s">
        <v>18</v>
      </c>
      <c r="E553">
        <v>105</v>
      </c>
      <c r="F553">
        <v>0</v>
      </c>
      <c r="G553">
        <v>199.25</v>
      </c>
      <c r="H553">
        <v>20921.25</v>
      </c>
      <c r="I553" t="s">
        <v>250</v>
      </c>
      <c r="J553">
        <v>12.67</v>
      </c>
      <c r="K553">
        <v>10.46</v>
      </c>
      <c r="L553">
        <v>0</v>
      </c>
      <c r="M553">
        <v>0.02</v>
      </c>
      <c r="N553">
        <v>140</v>
      </c>
      <c r="O553">
        <v>27.08</v>
      </c>
      <c r="P553">
        <v>190.23</v>
      </c>
      <c r="Q553">
        <f t="shared" si="80"/>
        <v>2024</v>
      </c>
      <c r="R553">
        <f t="shared" si="81"/>
        <v>4</v>
      </c>
      <c r="S553">
        <f t="shared" si="82"/>
        <v>2024</v>
      </c>
      <c r="T553">
        <f t="shared" si="83"/>
        <v>1</v>
      </c>
      <c r="U553" t="str">
        <f t="shared" si="84"/>
        <v>01</v>
      </c>
      <c r="V553" t="str">
        <f t="shared" si="85"/>
        <v>202401</v>
      </c>
      <c r="W553" t="str">
        <f t="shared" si="86"/>
        <v>Apr-24</v>
      </c>
      <c r="X553" s="3">
        <f t="shared" si="87"/>
        <v>20731.02</v>
      </c>
      <c r="Y553">
        <f t="shared" si="88"/>
        <v>20731.02</v>
      </c>
      <c r="Z553" t="str">
        <f t="shared" si="89"/>
        <v/>
      </c>
    </row>
    <row r="554" spans="1:26" x14ac:dyDescent="0.25">
      <c r="A554" s="1">
        <v>45400</v>
      </c>
      <c r="B554" t="s">
        <v>251</v>
      </c>
      <c r="C554" t="s">
        <v>17</v>
      </c>
      <c r="D554" t="s">
        <v>18</v>
      </c>
      <c r="E554">
        <v>50</v>
      </c>
      <c r="F554">
        <v>0</v>
      </c>
      <c r="G554">
        <v>74.7</v>
      </c>
      <c r="H554">
        <v>3735</v>
      </c>
      <c r="I554" t="s">
        <v>252</v>
      </c>
      <c r="J554">
        <v>2.33</v>
      </c>
      <c r="K554">
        <v>1.87</v>
      </c>
      <c r="L554">
        <v>0</v>
      </c>
      <c r="M554">
        <v>0</v>
      </c>
      <c r="N554">
        <v>20</v>
      </c>
      <c r="O554">
        <v>3.94</v>
      </c>
      <c r="P554">
        <v>28.14</v>
      </c>
      <c r="Q554">
        <f t="shared" si="80"/>
        <v>2024</v>
      </c>
      <c r="R554">
        <f t="shared" si="81"/>
        <v>4</v>
      </c>
      <c r="S554">
        <f t="shared" si="82"/>
        <v>2024</v>
      </c>
      <c r="T554">
        <f t="shared" si="83"/>
        <v>1</v>
      </c>
      <c r="U554" t="str">
        <f t="shared" si="84"/>
        <v>01</v>
      </c>
      <c r="V554" t="str">
        <f t="shared" si="85"/>
        <v>202401</v>
      </c>
      <c r="W554" t="str">
        <f t="shared" si="86"/>
        <v>Apr-24</v>
      </c>
      <c r="X554" s="3">
        <f t="shared" si="87"/>
        <v>3706.86</v>
      </c>
      <c r="Y554">
        <f t="shared" si="88"/>
        <v>3706.86</v>
      </c>
      <c r="Z554" t="str">
        <f t="shared" si="89"/>
        <v/>
      </c>
    </row>
    <row r="555" spans="1:26" x14ac:dyDescent="0.25">
      <c r="A555" s="1">
        <v>45400</v>
      </c>
      <c r="B555" t="s">
        <v>251</v>
      </c>
      <c r="C555" t="s">
        <v>17</v>
      </c>
      <c r="D555" t="s">
        <v>22</v>
      </c>
      <c r="E555">
        <v>50</v>
      </c>
      <c r="F555">
        <v>0</v>
      </c>
      <c r="G555">
        <v>33</v>
      </c>
      <c r="H555">
        <v>1650</v>
      </c>
      <c r="I555" t="s">
        <v>253</v>
      </c>
      <c r="J555">
        <v>0</v>
      </c>
      <c r="K555">
        <v>0.83</v>
      </c>
      <c r="L555">
        <v>0.05</v>
      </c>
      <c r="M555">
        <v>0</v>
      </c>
      <c r="N555">
        <v>20</v>
      </c>
      <c r="O555">
        <v>3.74</v>
      </c>
      <c r="P555">
        <v>24.62</v>
      </c>
      <c r="Q555">
        <f t="shared" si="80"/>
        <v>2024</v>
      </c>
      <c r="R555">
        <f t="shared" si="81"/>
        <v>4</v>
      </c>
      <c r="S555">
        <f t="shared" si="82"/>
        <v>2024</v>
      </c>
      <c r="T555">
        <f t="shared" si="83"/>
        <v>1</v>
      </c>
      <c r="U555" t="str">
        <f t="shared" si="84"/>
        <v>01</v>
      </c>
      <c r="V555" t="str">
        <f t="shared" si="85"/>
        <v>202401</v>
      </c>
      <c r="W555" t="str">
        <f t="shared" si="86"/>
        <v>Apr-24</v>
      </c>
      <c r="X555" s="3">
        <f t="shared" si="87"/>
        <v>-1674.62</v>
      </c>
      <c r="Y555" t="str">
        <f t="shared" si="88"/>
        <v/>
      </c>
      <c r="Z555">
        <f t="shared" si="89"/>
        <v>-1674.62</v>
      </c>
    </row>
    <row r="556" spans="1:26" x14ac:dyDescent="0.25">
      <c r="A556" s="1">
        <v>45400</v>
      </c>
      <c r="B556" t="s">
        <v>249</v>
      </c>
      <c r="C556" t="s">
        <v>17</v>
      </c>
      <c r="D556" t="s">
        <v>22</v>
      </c>
      <c r="E556">
        <v>105</v>
      </c>
      <c r="F556">
        <v>0</v>
      </c>
      <c r="G556">
        <v>219.35</v>
      </c>
      <c r="H556">
        <v>23031.75</v>
      </c>
      <c r="I556" t="s">
        <v>254</v>
      </c>
      <c r="J556">
        <v>0</v>
      </c>
      <c r="K556">
        <v>11.52</v>
      </c>
      <c r="L556">
        <v>0.95</v>
      </c>
      <c r="M556">
        <v>0.02</v>
      </c>
      <c r="N556">
        <v>140</v>
      </c>
      <c r="O556">
        <v>27.28</v>
      </c>
      <c r="P556">
        <v>179.77</v>
      </c>
      <c r="Q556">
        <f t="shared" si="80"/>
        <v>2024</v>
      </c>
      <c r="R556">
        <f t="shared" si="81"/>
        <v>4</v>
      </c>
      <c r="S556">
        <f t="shared" si="82"/>
        <v>2024</v>
      </c>
      <c r="T556">
        <f t="shared" si="83"/>
        <v>1</v>
      </c>
      <c r="U556" t="str">
        <f t="shared" si="84"/>
        <v>01</v>
      </c>
      <c r="V556" t="str">
        <f t="shared" si="85"/>
        <v>202401</v>
      </c>
      <c r="W556" t="str">
        <f t="shared" si="86"/>
        <v>Apr-24</v>
      </c>
      <c r="X556" s="3">
        <f t="shared" si="87"/>
        <v>-23211.52</v>
      </c>
      <c r="Y556" t="str">
        <f t="shared" si="88"/>
        <v/>
      </c>
      <c r="Z556">
        <f t="shared" si="89"/>
        <v>-23211.52</v>
      </c>
    </row>
    <row r="557" spans="1:26" x14ac:dyDescent="0.25">
      <c r="A557" s="1">
        <v>45401</v>
      </c>
      <c r="B557" t="s">
        <v>243</v>
      </c>
      <c r="C557" t="s">
        <v>17</v>
      </c>
      <c r="D557" t="s">
        <v>22</v>
      </c>
      <c r="E557">
        <v>15</v>
      </c>
      <c r="F557">
        <v>0</v>
      </c>
      <c r="G557">
        <v>292.2</v>
      </c>
      <c r="H557">
        <v>4383</v>
      </c>
      <c r="I557" t="s">
        <v>248</v>
      </c>
      <c r="J557">
        <v>0</v>
      </c>
      <c r="K557">
        <v>2.19</v>
      </c>
      <c r="L557">
        <v>0</v>
      </c>
      <c r="M557">
        <v>0</v>
      </c>
      <c r="N557">
        <v>20</v>
      </c>
      <c r="O557">
        <v>4</v>
      </c>
      <c r="P557">
        <v>26.19</v>
      </c>
      <c r="Q557">
        <f t="shared" si="80"/>
        <v>2024</v>
      </c>
      <c r="R557">
        <f t="shared" si="81"/>
        <v>4</v>
      </c>
      <c r="S557">
        <f t="shared" si="82"/>
        <v>2024</v>
      </c>
      <c r="T557">
        <f t="shared" si="83"/>
        <v>1</v>
      </c>
      <c r="U557" t="str">
        <f t="shared" si="84"/>
        <v>01</v>
      </c>
      <c r="V557" t="str">
        <f t="shared" si="85"/>
        <v>202401</v>
      </c>
      <c r="W557" t="str">
        <f t="shared" si="86"/>
        <v>Apr-24</v>
      </c>
      <c r="X557" s="3">
        <f t="shared" si="87"/>
        <v>-4409.1899999999996</v>
      </c>
      <c r="Y557" t="str">
        <f t="shared" si="88"/>
        <v/>
      </c>
      <c r="Z557">
        <f t="shared" si="89"/>
        <v>-4409.1899999999996</v>
      </c>
    </row>
    <row r="558" spans="1:26" x14ac:dyDescent="0.25">
      <c r="A558" s="1">
        <v>45405</v>
      </c>
      <c r="B558" t="s">
        <v>243</v>
      </c>
      <c r="C558" t="s">
        <v>17</v>
      </c>
      <c r="D558" t="s">
        <v>22</v>
      </c>
      <c r="E558">
        <v>900</v>
      </c>
      <c r="F558">
        <v>0</v>
      </c>
      <c r="G558">
        <v>11.75</v>
      </c>
      <c r="H558">
        <v>10575</v>
      </c>
      <c r="I558" t="s">
        <v>246</v>
      </c>
      <c r="J558">
        <v>0</v>
      </c>
      <c r="K558">
        <v>5.31</v>
      </c>
      <c r="L558">
        <v>1</v>
      </c>
      <c r="M558">
        <v>0.01</v>
      </c>
      <c r="N558">
        <v>1200</v>
      </c>
      <c r="O558">
        <v>217.02</v>
      </c>
      <c r="P558">
        <v>1423.34</v>
      </c>
      <c r="Q558">
        <f t="shared" si="80"/>
        <v>2024</v>
      </c>
      <c r="R558">
        <f t="shared" si="81"/>
        <v>4</v>
      </c>
      <c r="S558">
        <f t="shared" si="82"/>
        <v>2024</v>
      </c>
      <c r="T558">
        <f t="shared" si="83"/>
        <v>1</v>
      </c>
      <c r="U558" t="str">
        <f t="shared" si="84"/>
        <v>01</v>
      </c>
      <c r="V558" t="str">
        <f t="shared" si="85"/>
        <v>202401</v>
      </c>
      <c r="W558" t="str">
        <f t="shared" si="86"/>
        <v>Apr-24</v>
      </c>
      <c r="X558" s="3">
        <f t="shared" si="87"/>
        <v>-11998.34</v>
      </c>
      <c r="Y558" t="str">
        <f t="shared" si="88"/>
        <v/>
      </c>
      <c r="Z558">
        <f t="shared" si="89"/>
        <v>-11998.34</v>
      </c>
    </row>
    <row r="559" spans="1:26" x14ac:dyDescent="0.25">
      <c r="A559" s="1">
        <v>45405</v>
      </c>
      <c r="B559" t="s">
        <v>243</v>
      </c>
      <c r="C559" t="s">
        <v>17</v>
      </c>
      <c r="D559" t="s">
        <v>22</v>
      </c>
      <c r="E559">
        <v>600</v>
      </c>
      <c r="F559">
        <v>0</v>
      </c>
      <c r="G559">
        <v>20.2</v>
      </c>
      <c r="H559">
        <v>12120</v>
      </c>
      <c r="I559" t="s">
        <v>247</v>
      </c>
      <c r="J559">
        <v>0</v>
      </c>
      <c r="K559">
        <v>6.06</v>
      </c>
      <c r="L559">
        <v>0</v>
      </c>
      <c r="M559">
        <v>0</v>
      </c>
      <c r="N559">
        <v>800</v>
      </c>
      <c r="O559">
        <v>145.08000000000001</v>
      </c>
      <c r="P559">
        <v>951.14</v>
      </c>
      <c r="Q559">
        <f t="shared" si="80"/>
        <v>2024</v>
      </c>
      <c r="R559">
        <f t="shared" si="81"/>
        <v>4</v>
      </c>
      <c r="S559">
        <f t="shared" si="82"/>
        <v>2024</v>
      </c>
      <c r="T559">
        <f t="shared" si="83"/>
        <v>1</v>
      </c>
      <c r="U559" t="str">
        <f t="shared" si="84"/>
        <v>01</v>
      </c>
      <c r="V559" t="str">
        <f t="shared" si="85"/>
        <v>202401</v>
      </c>
      <c r="W559" t="str">
        <f t="shared" si="86"/>
        <v>Apr-24</v>
      </c>
      <c r="X559" s="3">
        <f t="shared" si="87"/>
        <v>-13071.14</v>
      </c>
      <c r="Y559" t="str">
        <f t="shared" si="88"/>
        <v/>
      </c>
      <c r="Z559">
        <f t="shared" si="89"/>
        <v>-13071.14</v>
      </c>
    </row>
    <row r="560" spans="1:26" x14ac:dyDescent="0.25">
      <c r="A560" s="1">
        <v>45406</v>
      </c>
      <c r="B560" t="s">
        <v>240</v>
      </c>
      <c r="C560" t="s">
        <v>17</v>
      </c>
      <c r="D560" t="s">
        <v>18</v>
      </c>
      <c r="E560">
        <v>900</v>
      </c>
      <c r="F560">
        <v>0</v>
      </c>
      <c r="G560">
        <v>4.05</v>
      </c>
      <c r="H560">
        <v>3645</v>
      </c>
      <c r="I560" t="s">
        <v>241</v>
      </c>
      <c r="J560">
        <v>1.91</v>
      </c>
      <c r="K560">
        <v>1.82</v>
      </c>
      <c r="L560">
        <v>0</v>
      </c>
      <c r="M560">
        <v>0</v>
      </c>
      <c r="N560">
        <v>1200</v>
      </c>
      <c r="O560">
        <v>216.32</v>
      </c>
      <c r="P560">
        <v>1420.05</v>
      </c>
      <c r="Q560">
        <f t="shared" si="80"/>
        <v>2024</v>
      </c>
      <c r="R560">
        <f t="shared" si="81"/>
        <v>4</v>
      </c>
      <c r="S560">
        <f t="shared" si="82"/>
        <v>2024</v>
      </c>
      <c r="T560">
        <f t="shared" si="83"/>
        <v>1</v>
      </c>
      <c r="U560" t="str">
        <f t="shared" si="84"/>
        <v>01</v>
      </c>
      <c r="V560" t="str">
        <f t="shared" si="85"/>
        <v>202401</v>
      </c>
      <c r="W560" t="str">
        <f t="shared" si="86"/>
        <v>Apr-24</v>
      </c>
      <c r="X560" s="3">
        <f t="shared" si="87"/>
        <v>2224.9499999999998</v>
      </c>
      <c r="Y560">
        <f t="shared" si="88"/>
        <v>2224.9499999999998</v>
      </c>
      <c r="Z560" t="str">
        <f t="shared" si="89"/>
        <v/>
      </c>
    </row>
    <row r="561" spans="1:26" x14ac:dyDescent="0.25">
      <c r="A561" s="1">
        <v>45406</v>
      </c>
      <c r="B561" t="s">
        <v>240</v>
      </c>
      <c r="C561" t="s">
        <v>17</v>
      </c>
      <c r="D561" t="s">
        <v>22</v>
      </c>
      <c r="E561">
        <v>900</v>
      </c>
      <c r="F561">
        <v>0</v>
      </c>
      <c r="G561">
        <v>11.5</v>
      </c>
      <c r="H561">
        <v>10350</v>
      </c>
      <c r="I561" t="s">
        <v>242</v>
      </c>
      <c r="J561">
        <v>0</v>
      </c>
      <c r="K561">
        <v>5.22</v>
      </c>
      <c r="L561">
        <v>0</v>
      </c>
      <c r="M561">
        <v>0</v>
      </c>
      <c r="N561">
        <v>1200</v>
      </c>
      <c r="O561">
        <v>216.92</v>
      </c>
      <c r="P561">
        <v>1422.14</v>
      </c>
      <c r="Q561">
        <f t="shared" si="80"/>
        <v>2024</v>
      </c>
      <c r="R561">
        <f t="shared" si="81"/>
        <v>4</v>
      </c>
      <c r="S561">
        <f t="shared" si="82"/>
        <v>2024</v>
      </c>
      <c r="T561">
        <f t="shared" si="83"/>
        <v>1</v>
      </c>
      <c r="U561" t="str">
        <f t="shared" si="84"/>
        <v>01</v>
      </c>
      <c r="V561" t="str">
        <f t="shared" si="85"/>
        <v>202401</v>
      </c>
      <c r="W561" t="str">
        <f t="shared" si="86"/>
        <v>Apr-24</v>
      </c>
      <c r="X561" s="3">
        <f t="shared" si="87"/>
        <v>-11772.14</v>
      </c>
      <c r="Y561" t="str">
        <f t="shared" si="88"/>
        <v/>
      </c>
      <c r="Z561">
        <f t="shared" si="89"/>
        <v>-11772.14</v>
      </c>
    </row>
    <row r="562" spans="1:26" x14ac:dyDescent="0.25">
      <c r="A562" s="1">
        <v>45406</v>
      </c>
      <c r="B562" t="s">
        <v>243</v>
      </c>
      <c r="C562" t="s">
        <v>17</v>
      </c>
      <c r="D562" t="s">
        <v>18</v>
      </c>
      <c r="E562">
        <v>615</v>
      </c>
      <c r="F562">
        <v>0</v>
      </c>
      <c r="G562">
        <v>2.2000000000000002</v>
      </c>
      <c r="H562">
        <v>1353</v>
      </c>
      <c r="I562" t="s">
        <v>244</v>
      </c>
      <c r="J562">
        <v>0.84</v>
      </c>
      <c r="K562">
        <v>0.67</v>
      </c>
      <c r="L562">
        <v>0</v>
      </c>
      <c r="M562">
        <v>0</v>
      </c>
      <c r="N562">
        <v>820</v>
      </c>
      <c r="O562">
        <v>147.72</v>
      </c>
      <c r="P562">
        <v>969.23</v>
      </c>
      <c r="Q562">
        <f t="shared" si="80"/>
        <v>2024</v>
      </c>
      <c r="R562">
        <f t="shared" si="81"/>
        <v>4</v>
      </c>
      <c r="S562">
        <f t="shared" si="82"/>
        <v>2024</v>
      </c>
      <c r="T562">
        <f t="shared" si="83"/>
        <v>1</v>
      </c>
      <c r="U562" t="str">
        <f t="shared" si="84"/>
        <v>01</v>
      </c>
      <c r="V562" t="str">
        <f t="shared" si="85"/>
        <v>202401</v>
      </c>
      <c r="W562" t="str">
        <f t="shared" si="86"/>
        <v>Apr-24</v>
      </c>
      <c r="X562" s="3">
        <f t="shared" si="87"/>
        <v>383.77</v>
      </c>
      <c r="Y562">
        <f t="shared" si="88"/>
        <v>383.77</v>
      </c>
      <c r="Z562" t="str">
        <f t="shared" si="89"/>
        <v/>
      </c>
    </row>
    <row r="563" spans="1:26" x14ac:dyDescent="0.25">
      <c r="A563" s="1">
        <v>45406</v>
      </c>
      <c r="B563" t="s">
        <v>243</v>
      </c>
      <c r="C563" t="s">
        <v>17</v>
      </c>
      <c r="D563" t="s">
        <v>18</v>
      </c>
      <c r="E563">
        <v>900</v>
      </c>
      <c r="F563">
        <v>0</v>
      </c>
      <c r="G563">
        <v>2.2000000000000002</v>
      </c>
      <c r="H563">
        <v>1980</v>
      </c>
      <c r="I563" t="s">
        <v>245</v>
      </c>
      <c r="J563">
        <v>1.24</v>
      </c>
      <c r="K563">
        <v>0.98</v>
      </c>
      <c r="L563">
        <v>0</v>
      </c>
      <c r="M563">
        <v>0</v>
      </c>
      <c r="N563">
        <v>1200</v>
      </c>
      <c r="O563">
        <v>216.16</v>
      </c>
      <c r="P563">
        <v>1418.38</v>
      </c>
      <c r="Q563">
        <f t="shared" si="80"/>
        <v>2024</v>
      </c>
      <c r="R563">
        <f t="shared" si="81"/>
        <v>4</v>
      </c>
      <c r="S563">
        <f t="shared" si="82"/>
        <v>2024</v>
      </c>
      <c r="T563">
        <f t="shared" si="83"/>
        <v>1</v>
      </c>
      <c r="U563" t="str">
        <f t="shared" si="84"/>
        <v>01</v>
      </c>
      <c r="V563" t="str">
        <f t="shared" si="85"/>
        <v>202401</v>
      </c>
      <c r="W563" t="str">
        <f t="shared" si="86"/>
        <v>Apr-24</v>
      </c>
      <c r="X563" s="3">
        <f t="shared" si="87"/>
        <v>561.61999999999989</v>
      </c>
      <c r="Y563">
        <f t="shared" si="88"/>
        <v>561.61999999999989</v>
      </c>
      <c r="Z563" t="str">
        <f t="shared" si="89"/>
        <v/>
      </c>
    </row>
    <row r="564" spans="1:26" x14ac:dyDescent="0.25">
      <c r="A564" s="1">
        <v>45408</v>
      </c>
      <c r="B564" t="s">
        <v>232</v>
      </c>
      <c r="C564" t="s">
        <v>17</v>
      </c>
      <c r="D564" t="s">
        <v>18</v>
      </c>
      <c r="E564">
        <v>200</v>
      </c>
      <c r="F564">
        <v>0</v>
      </c>
      <c r="G564">
        <v>101.25</v>
      </c>
      <c r="H564">
        <v>20250</v>
      </c>
      <c r="I564" t="s">
        <v>233</v>
      </c>
      <c r="J564">
        <v>12.66</v>
      </c>
      <c r="K564">
        <v>10.130000000000001</v>
      </c>
      <c r="L564">
        <v>0</v>
      </c>
      <c r="M564">
        <v>0.02</v>
      </c>
      <c r="N564">
        <v>160</v>
      </c>
      <c r="O564">
        <v>30.62</v>
      </c>
      <c r="P564">
        <v>213.43</v>
      </c>
      <c r="Q564">
        <f t="shared" si="80"/>
        <v>2024</v>
      </c>
      <c r="R564">
        <f t="shared" si="81"/>
        <v>4</v>
      </c>
      <c r="S564">
        <f t="shared" si="82"/>
        <v>2024</v>
      </c>
      <c r="T564">
        <f t="shared" si="83"/>
        <v>1</v>
      </c>
      <c r="U564" t="str">
        <f t="shared" si="84"/>
        <v>01</v>
      </c>
      <c r="V564" t="str">
        <f t="shared" si="85"/>
        <v>202401</v>
      </c>
      <c r="W564" t="str">
        <f t="shared" si="86"/>
        <v>Apr-24</v>
      </c>
      <c r="X564" s="3">
        <f t="shared" si="87"/>
        <v>20036.57</v>
      </c>
      <c r="Y564">
        <f t="shared" si="88"/>
        <v>20036.57</v>
      </c>
      <c r="Z564" t="str">
        <f t="shared" si="89"/>
        <v/>
      </c>
    </row>
    <row r="565" spans="1:26" x14ac:dyDescent="0.25">
      <c r="A565" s="1">
        <v>45408</v>
      </c>
      <c r="B565" t="s">
        <v>232</v>
      </c>
      <c r="C565" t="s">
        <v>17</v>
      </c>
      <c r="D565" t="s">
        <v>22</v>
      </c>
      <c r="E565">
        <v>100</v>
      </c>
      <c r="F565">
        <v>0</v>
      </c>
      <c r="G565">
        <v>131.25</v>
      </c>
      <c r="H565">
        <v>13125</v>
      </c>
      <c r="I565" t="s">
        <v>234</v>
      </c>
      <c r="J565">
        <v>0</v>
      </c>
      <c r="K565">
        <v>6.56</v>
      </c>
      <c r="L565">
        <v>1.21</v>
      </c>
      <c r="M565">
        <v>0.01</v>
      </c>
      <c r="N565">
        <v>80</v>
      </c>
      <c r="O565">
        <v>15.58</v>
      </c>
      <c r="P565">
        <v>103.36</v>
      </c>
      <c r="Q565">
        <f t="shared" si="80"/>
        <v>2024</v>
      </c>
      <c r="R565">
        <f t="shared" si="81"/>
        <v>4</v>
      </c>
      <c r="S565">
        <f t="shared" si="82"/>
        <v>2024</v>
      </c>
      <c r="T565">
        <f t="shared" si="83"/>
        <v>1</v>
      </c>
      <c r="U565" t="str">
        <f t="shared" si="84"/>
        <v>01</v>
      </c>
      <c r="V565" t="str">
        <f t="shared" si="85"/>
        <v>202401</v>
      </c>
      <c r="W565" t="str">
        <f t="shared" si="86"/>
        <v>Apr-24</v>
      </c>
      <c r="X565" s="3">
        <f t="shared" si="87"/>
        <v>-13228.36</v>
      </c>
      <c r="Y565" t="str">
        <f t="shared" si="88"/>
        <v/>
      </c>
      <c r="Z565">
        <f t="shared" si="89"/>
        <v>-13228.36</v>
      </c>
    </row>
    <row r="566" spans="1:26" x14ac:dyDescent="0.25">
      <c r="A566" s="1">
        <v>45408</v>
      </c>
      <c r="B566" t="s">
        <v>232</v>
      </c>
      <c r="C566" t="s">
        <v>17</v>
      </c>
      <c r="D566" t="s">
        <v>22</v>
      </c>
      <c r="E566">
        <v>50</v>
      </c>
      <c r="F566">
        <v>0</v>
      </c>
      <c r="G566">
        <v>131.25</v>
      </c>
      <c r="H566">
        <v>6562.5</v>
      </c>
      <c r="I566" t="s">
        <v>235</v>
      </c>
      <c r="J566">
        <v>0</v>
      </c>
      <c r="K566">
        <v>3.28</v>
      </c>
      <c r="L566">
        <v>0</v>
      </c>
      <c r="M566">
        <v>0.01</v>
      </c>
      <c r="N566">
        <v>40</v>
      </c>
      <c r="O566">
        <v>7.8</v>
      </c>
      <c r="P566">
        <v>51.09</v>
      </c>
      <c r="Q566">
        <f t="shared" si="80"/>
        <v>2024</v>
      </c>
      <c r="R566">
        <f t="shared" si="81"/>
        <v>4</v>
      </c>
      <c r="S566">
        <f t="shared" si="82"/>
        <v>2024</v>
      </c>
      <c r="T566">
        <f t="shared" si="83"/>
        <v>1</v>
      </c>
      <c r="U566" t="str">
        <f t="shared" si="84"/>
        <v>01</v>
      </c>
      <c r="V566" t="str">
        <f t="shared" si="85"/>
        <v>202401</v>
      </c>
      <c r="W566" t="str">
        <f t="shared" si="86"/>
        <v>Apr-24</v>
      </c>
      <c r="X566" s="3">
        <f t="shared" si="87"/>
        <v>-6613.59</v>
      </c>
      <c r="Y566" t="str">
        <f t="shared" si="88"/>
        <v/>
      </c>
      <c r="Z566">
        <f t="shared" si="89"/>
        <v>-6613.59</v>
      </c>
    </row>
    <row r="567" spans="1:26" x14ac:dyDescent="0.25">
      <c r="A567" s="1">
        <v>45408</v>
      </c>
      <c r="B567" t="s">
        <v>232</v>
      </c>
      <c r="C567" t="s">
        <v>17</v>
      </c>
      <c r="D567" t="s">
        <v>22</v>
      </c>
      <c r="E567">
        <v>50</v>
      </c>
      <c r="F567">
        <v>0</v>
      </c>
      <c r="G567">
        <v>146.1</v>
      </c>
      <c r="H567">
        <v>7305</v>
      </c>
      <c r="I567" t="s">
        <v>236</v>
      </c>
      <c r="J567">
        <v>0</v>
      </c>
      <c r="K567">
        <v>3.65</v>
      </c>
      <c r="L567">
        <v>0</v>
      </c>
      <c r="M567">
        <v>0.01</v>
      </c>
      <c r="N567">
        <v>40</v>
      </c>
      <c r="O567">
        <v>7.86</v>
      </c>
      <c r="P567">
        <v>51.52</v>
      </c>
      <c r="Q567">
        <f t="shared" si="80"/>
        <v>2024</v>
      </c>
      <c r="R567">
        <f t="shared" si="81"/>
        <v>4</v>
      </c>
      <c r="S567">
        <f t="shared" si="82"/>
        <v>2024</v>
      </c>
      <c r="T567">
        <f t="shared" si="83"/>
        <v>1</v>
      </c>
      <c r="U567" t="str">
        <f t="shared" si="84"/>
        <v>01</v>
      </c>
      <c r="V567" t="str">
        <f t="shared" si="85"/>
        <v>202401</v>
      </c>
      <c r="W567" t="str">
        <f t="shared" si="86"/>
        <v>Apr-24</v>
      </c>
      <c r="X567" s="3">
        <f t="shared" si="87"/>
        <v>-7356.52</v>
      </c>
      <c r="Y567" t="str">
        <f t="shared" si="88"/>
        <v/>
      </c>
      <c r="Z567">
        <f t="shared" si="89"/>
        <v>-7356.52</v>
      </c>
    </row>
    <row r="568" spans="1:26" x14ac:dyDescent="0.25">
      <c r="A568" s="1">
        <v>45408</v>
      </c>
      <c r="B568" t="s">
        <v>237</v>
      </c>
      <c r="C568" t="s">
        <v>17</v>
      </c>
      <c r="D568" t="s">
        <v>18</v>
      </c>
      <c r="E568">
        <v>105</v>
      </c>
      <c r="F568">
        <v>0</v>
      </c>
      <c r="G568">
        <v>265.75</v>
      </c>
      <c r="H568">
        <v>27903.75</v>
      </c>
      <c r="I568" t="s">
        <v>238</v>
      </c>
      <c r="J568">
        <v>17.34</v>
      </c>
      <c r="K568">
        <v>13.94</v>
      </c>
      <c r="L568">
        <v>0</v>
      </c>
      <c r="M568">
        <v>0.01</v>
      </c>
      <c r="N568">
        <v>140</v>
      </c>
      <c r="O568">
        <v>27.72</v>
      </c>
      <c r="P568">
        <v>199.01</v>
      </c>
      <c r="Q568">
        <f t="shared" si="80"/>
        <v>2024</v>
      </c>
      <c r="R568">
        <f t="shared" si="81"/>
        <v>4</v>
      </c>
      <c r="S568">
        <f t="shared" si="82"/>
        <v>2024</v>
      </c>
      <c r="T568">
        <f t="shared" si="83"/>
        <v>1</v>
      </c>
      <c r="U568" t="str">
        <f t="shared" si="84"/>
        <v>01</v>
      </c>
      <c r="V568" t="str">
        <f t="shared" si="85"/>
        <v>202401</v>
      </c>
      <c r="W568" t="str">
        <f t="shared" si="86"/>
        <v>Apr-24</v>
      </c>
      <c r="X568" s="3">
        <f t="shared" si="87"/>
        <v>27704.74</v>
      </c>
      <c r="Y568">
        <f t="shared" si="88"/>
        <v>27704.74</v>
      </c>
      <c r="Z568" t="str">
        <f t="shared" si="89"/>
        <v/>
      </c>
    </row>
    <row r="569" spans="1:26" x14ac:dyDescent="0.25">
      <c r="A569" s="1">
        <v>45408</v>
      </c>
      <c r="B569" t="s">
        <v>237</v>
      </c>
      <c r="C569" t="s">
        <v>17</v>
      </c>
      <c r="D569" t="s">
        <v>22</v>
      </c>
      <c r="E569">
        <v>105</v>
      </c>
      <c r="F569">
        <v>0</v>
      </c>
      <c r="G569">
        <v>251.25</v>
      </c>
      <c r="H569">
        <v>26381.25</v>
      </c>
      <c r="I569" t="s">
        <v>239</v>
      </c>
      <c r="J569">
        <v>0</v>
      </c>
      <c r="K569">
        <v>13.19</v>
      </c>
      <c r="L569">
        <v>0.79</v>
      </c>
      <c r="M569">
        <v>0.03</v>
      </c>
      <c r="N569">
        <v>140</v>
      </c>
      <c r="O569">
        <v>27.58</v>
      </c>
      <c r="P569">
        <v>181.59</v>
      </c>
      <c r="Q569">
        <f t="shared" si="80"/>
        <v>2024</v>
      </c>
      <c r="R569">
        <f t="shared" si="81"/>
        <v>4</v>
      </c>
      <c r="S569">
        <f t="shared" si="82"/>
        <v>2024</v>
      </c>
      <c r="T569">
        <f t="shared" si="83"/>
        <v>1</v>
      </c>
      <c r="U569" t="str">
        <f t="shared" si="84"/>
        <v>01</v>
      </c>
      <c r="V569" t="str">
        <f t="shared" si="85"/>
        <v>202401</v>
      </c>
      <c r="W569" t="str">
        <f t="shared" si="86"/>
        <v>Apr-24</v>
      </c>
      <c r="X569" s="3">
        <f t="shared" si="87"/>
        <v>-26562.84</v>
      </c>
      <c r="Y569" t="str">
        <f t="shared" si="88"/>
        <v/>
      </c>
      <c r="Z569">
        <f t="shared" si="89"/>
        <v>-26562.84</v>
      </c>
    </row>
    <row r="570" spans="1:26" x14ac:dyDescent="0.25">
      <c r="A570" s="1">
        <v>45412</v>
      </c>
      <c r="B570" t="s">
        <v>229</v>
      </c>
      <c r="C570" t="s">
        <v>17</v>
      </c>
      <c r="D570" t="s">
        <v>18</v>
      </c>
      <c r="E570">
        <v>400</v>
      </c>
      <c r="F570">
        <v>0</v>
      </c>
      <c r="G570">
        <v>45.75</v>
      </c>
      <c r="H570">
        <v>18300</v>
      </c>
      <c r="I570" t="s">
        <v>230</v>
      </c>
      <c r="J570">
        <v>11</v>
      </c>
      <c r="K570">
        <v>9.17</v>
      </c>
      <c r="L570">
        <v>0</v>
      </c>
      <c r="M570">
        <v>0.01</v>
      </c>
      <c r="N570">
        <v>200</v>
      </c>
      <c r="O570">
        <v>37.64</v>
      </c>
      <c r="P570">
        <v>257.82</v>
      </c>
      <c r="Q570">
        <f t="shared" si="80"/>
        <v>2024</v>
      </c>
      <c r="R570">
        <f t="shared" si="81"/>
        <v>4</v>
      </c>
      <c r="S570">
        <f t="shared" si="82"/>
        <v>2024</v>
      </c>
      <c r="T570">
        <f t="shared" si="83"/>
        <v>1</v>
      </c>
      <c r="U570" t="str">
        <f t="shared" si="84"/>
        <v>01</v>
      </c>
      <c r="V570" t="str">
        <f t="shared" si="85"/>
        <v>202401</v>
      </c>
      <c r="W570" t="str">
        <f t="shared" si="86"/>
        <v>Apr-24</v>
      </c>
      <c r="X570" s="3">
        <f t="shared" si="87"/>
        <v>18042.18</v>
      </c>
      <c r="Y570">
        <f t="shared" si="88"/>
        <v>18042.18</v>
      </c>
      <c r="Z570" t="str">
        <f t="shared" si="89"/>
        <v/>
      </c>
    </row>
    <row r="571" spans="1:26" x14ac:dyDescent="0.25">
      <c r="A571" s="1">
        <v>45412</v>
      </c>
      <c r="B571" t="s">
        <v>229</v>
      </c>
      <c r="C571" t="s">
        <v>17</v>
      </c>
      <c r="D571" t="s">
        <v>22</v>
      </c>
      <c r="E571">
        <v>400</v>
      </c>
      <c r="F571">
        <v>0</v>
      </c>
      <c r="G571">
        <v>31.95</v>
      </c>
      <c r="H571">
        <v>12780</v>
      </c>
      <c r="I571" t="s">
        <v>231</v>
      </c>
      <c r="J571">
        <v>0</v>
      </c>
      <c r="K571">
        <v>6.39</v>
      </c>
      <c r="L571">
        <v>0</v>
      </c>
      <c r="M571">
        <v>0.01</v>
      </c>
      <c r="N571">
        <v>200</v>
      </c>
      <c r="O571">
        <v>37.159999999999997</v>
      </c>
      <c r="P571">
        <v>243.56</v>
      </c>
      <c r="Q571">
        <f t="shared" si="80"/>
        <v>2024</v>
      </c>
      <c r="R571">
        <f t="shared" si="81"/>
        <v>4</v>
      </c>
      <c r="S571">
        <f t="shared" si="82"/>
        <v>2024</v>
      </c>
      <c r="T571">
        <f t="shared" si="83"/>
        <v>1</v>
      </c>
      <c r="U571" t="str">
        <f t="shared" si="84"/>
        <v>01</v>
      </c>
      <c r="V571" t="str">
        <f t="shared" si="85"/>
        <v>202401</v>
      </c>
      <c r="W571" t="str">
        <f t="shared" si="86"/>
        <v>Apr-24</v>
      </c>
      <c r="X571" s="3">
        <f t="shared" si="87"/>
        <v>-13023.56</v>
      </c>
      <c r="Y571" t="str">
        <f t="shared" si="88"/>
        <v/>
      </c>
      <c r="Z571">
        <f t="shared" si="89"/>
        <v>-13023.56</v>
      </c>
    </row>
    <row r="572" spans="1:26" x14ac:dyDescent="0.25">
      <c r="A572" s="1">
        <v>45414</v>
      </c>
      <c r="B572" t="s">
        <v>225</v>
      </c>
      <c r="C572" t="s">
        <v>17</v>
      </c>
      <c r="D572" t="s">
        <v>18</v>
      </c>
      <c r="E572">
        <v>500</v>
      </c>
      <c r="F572">
        <v>0</v>
      </c>
      <c r="G572">
        <v>17.25</v>
      </c>
      <c r="H572">
        <v>8625</v>
      </c>
      <c r="I572" t="s">
        <v>226</v>
      </c>
      <c r="J572">
        <v>5</v>
      </c>
      <c r="K572">
        <v>4.3099999999999996</v>
      </c>
      <c r="L572">
        <v>0</v>
      </c>
      <c r="M572">
        <v>0.01</v>
      </c>
      <c r="N572">
        <v>400</v>
      </c>
      <c r="O572">
        <v>72.78</v>
      </c>
      <c r="P572">
        <v>482.1</v>
      </c>
      <c r="Q572">
        <f t="shared" si="80"/>
        <v>2024</v>
      </c>
      <c r="R572">
        <f t="shared" si="81"/>
        <v>5</v>
      </c>
      <c r="S572">
        <f t="shared" si="82"/>
        <v>2024</v>
      </c>
      <c r="T572">
        <f t="shared" si="83"/>
        <v>2</v>
      </c>
      <c r="U572" t="str">
        <f t="shared" si="84"/>
        <v>02</v>
      </c>
      <c r="V572" t="str">
        <f t="shared" si="85"/>
        <v>202402</v>
      </c>
      <c r="W572" t="str">
        <f t="shared" si="86"/>
        <v>May-24</v>
      </c>
      <c r="X572" s="3">
        <f t="shared" si="87"/>
        <v>8142.9</v>
      </c>
      <c r="Y572">
        <f t="shared" si="88"/>
        <v>8142.9</v>
      </c>
      <c r="Z572" t="str">
        <f t="shared" si="89"/>
        <v/>
      </c>
    </row>
    <row r="573" spans="1:26" x14ac:dyDescent="0.25">
      <c r="A573" s="1">
        <v>45414</v>
      </c>
      <c r="B573" t="s">
        <v>225</v>
      </c>
      <c r="C573" t="s">
        <v>17</v>
      </c>
      <c r="D573" t="s">
        <v>22</v>
      </c>
      <c r="E573">
        <v>250</v>
      </c>
      <c r="F573">
        <v>0</v>
      </c>
      <c r="G573">
        <v>17.149999999999999</v>
      </c>
      <c r="H573">
        <v>4287.5</v>
      </c>
      <c r="I573" t="s">
        <v>227</v>
      </c>
      <c r="J573">
        <v>0</v>
      </c>
      <c r="K573">
        <v>2.15</v>
      </c>
      <c r="L573">
        <v>0</v>
      </c>
      <c r="M573">
        <v>0</v>
      </c>
      <c r="N573">
        <v>200</v>
      </c>
      <c r="O573">
        <v>36.380000000000003</v>
      </c>
      <c r="P573">
        <v>238.53</v>
      </c>
      <c r="Q573">
        <f t="shared" si="80"/>
        <v>2024</v>
      </c>
      <c r="R573">
        <f t="shared" si="81"/>
        <v>5</v>
      </c>
      <c r="S573">
        <f t="shared" si="82"/>
        <v>2024</v>
      </c>
      <c r="T573">
        <f t="shared" si="83"/>
        <v>2</v>
      </c>
      <c r="U573" t="str">
        <f t="shared" si="84"/>
        <v>02</v>
      </c>
      <c r="V573" t="str">
        <f t="shared" si="85"/>
        <v>202402</v>
      </c>
      <c r="W573" t="str">
        <f t="shared" si="86"/>
        <v>May-24</v>
      </c>
      <c r="X573" s="3">
        <f t="shared" si="87"/>
        <v>-4526.03</v>
      </c>
      <c r="Y573" t="str">
        <f t="shared" si="88"/>
        <v/>
      </c>
      <c r="Z573">
        <f t="shared" si="89"/>
        <v>-4526.03</v>
      </c>
    </row>
    <row r="574" spans="1:26" x14ac:dyDescent="0.25">
      <c r="A574" s="1">
        <v>45414</v>
      </c>
      <c r="B574" t="s">
        <v>225</v>
      </c>
      <c r="C574" t="s">
        <v>17</v>
      </c>
      <c r="D574" t="s">
        <v>22</v>
      </c>
      <c r="E574">
        <v>250</v>
      </c>
      <c r="F574">
        <v>0</v>
      </c>
      <c r="G574">
        <v>20.3</v>
      </c>
      <c r="H574">
        <v>5075</v>
      </c>
      <c r="I574" t="s">
        <v>228</v>
      </c>
      <c r="J574">
        <v>0</v>
      </c>
      <c r="K574">
        <v>2.54</v>
      </c>
      <c r="L574">
        <v>0</v>
      </c>
      <c r="M574">
        <v>0</v>
      </c>
      <c r="N574">
        <v>200</v>
      </c>
      <c r="O574">
        <v>36.46</v>
      </c>
      <c r="P574">
        <v>239</v>
      </c>
      <c r="Q574">
        <f t="shared" si="80"/>
        <v>2024</v>
      </c>
      <c r="R574">
        <f t="shared" si="81"/>
        <v>5</v>
      </c>
      <c r="S574">
        <f t="shared" si="82"/>
        <v>2024</v>
      </c>
      <c r="T574">
        <f t="shared" si="83"/>
        <v>2</v>
      </c>
      <c r="U574" t="str">
        <f t="shared" si="84"/>
        <v>02</v>
      </c>
      <c r="V574" t="str">
        <f t="shared" si="85"/>
        <v>202402</v>
      </c>
      <c r="W574" t="str">
        <f t="shared" si="86"/>
        <v>May-24</v>
      </c>
      <c r="X574" s="3">
        <f t="shared" si="87"/>
        <v>-5314</v>
      </c>
      <c r="Y574" t="str">
        <f t="shared" si="88"/>
        <v/>
      </c>
      <c r="Z574">
        <f t="shared" si="89"/>
        <v>-5314</v>
      </c>
    </row>
    <row r="575" spans="1:26" x14ac:dyDescent="0.25">
      <c r="A575" s="1">
        <v>45418</v>
      </c>
      <c r="B575" t="s">
        <v>218</v>
      </c>
      <c r="C575" t="s">
        <v>17</v>
      </c>
      <c r="D575" t="s">
        <v>18</v>
      </c>
      <c r="E575">
        <v>135</v>
      </c>
      <c r="F575">
        <v>0</v>
      </c>
      <c r="G575">
        <v>84.9</v>
      </c>
      <c r="H575">
        <v>11461.5</v>
      </c>
      <c r="I575" t="s">
        <v>219</v>
      </c>
      <c r="J575">
        <v>6.68</v>
      </c>
      <c r="K575">
        <v>5.73</v>
      </c>
      <c r="L575">
        <v>0</v>
      </c>
      <c r="M575">
        <v>0.01</v>
      </c>
      <c r="N575">
        <v>180</v>
      </c>
      <c r="O575">
        <v>33.44</v>
      </c>
      <c r="P575">
        <v>225.86</v>
      </c>
      <c r="Q575">
        <f t="shared" si="80"/>
        <v>2024</v>
      </c>
      <c r="R575">
        <f t="shared" si="81"/>
        <v>5</v>
      </c>
      <c r="S575">
        <f t="shared" si="82"/>
        <v>2024</v>
      </c>
      <c r="T575">
        <f t="shared" si="83"/>
        <v>2</v>
      </c>
      <c r="U575" t="str">
        <f t="shared" si="84"/>
        <v>02</v>
      </c>
      <c r="V575" t="str">
        <f t="shared" si="85"/>
        <v>202402</v>
      </c>
      <c r="W575" t="str">
        <f t="shared" si="86"/>
        <v>May-24</v>
      </c>
      <c r="X575" s="3">
        <f t="shared" si="87"/>
        <v>11235.64</v>
      </c>
      <c r="Y575">
        <f t="shared" si="88"/>
        <v>11235.64</v>
      </c>
      <c r="Z575" t="str">
        <f t="shared" si="89"/>
        <v/>
      </c>
    </row>
    <row r="576" spans="1:26" x14ac:dyDescent="0.25">
      <c r="A576" s="1">
        <v>45418</v>
      </c>
      <c r="B576" t="s">
        <v>218</v>
      </c>
      <c r="C576" t="s">
        <v>17</v>
      </c>
      <c r="D576" t="s">
        <v>22</v>
      </c>
      <c r="E576">
        <v>135</v>
      </c>
      <c r="F576">
        <v>0</v>
      </c>
      <c r="G576">
        <v>121.25</v>
      </c>
      <c r="H576">
        <v>16368.75</v>
      </c>
      <c r="I576" t="s">
        <v>220</v>
      </c>
      <c r="J576">
        <v>0</v>
      </c>
      <c r="K576">
        <v>8.18</v>
      </c>
      <c r="L576">
        <v>0.49</v>
      </c>
      <c r="M576">
        <v>0.02</v>
      </c>
      <c r="N576">
        <v>180</v>
      </c>
      <c r="O576">
        <v>33.880000000000003</v>
      </c>
      <c r="P576">
        <v>222.57</v>
      </c>
      <c r="Q576">
        <f t="shared" si="80"/>
        <v>2024</v>
      </c>
      <c r="R576">
        <f t="shared" si="81"/>
        <v>5</v>
      </c>
      <c r="S576">
        <f t="shared" si="82"/>
        <v>2024</v>
      </c>
      <c r="T576">
        <f t="shared" si="83"/>
        <v>2</v>
      </c>
      <c r="U576" t="str">
        <f t="shared" si="84"/>
        <v>02</v>
      </c>
      <c r="V576" t="str">
        <f t="shared" si="85"/>
        <v>202402</v>
      </c>
      <c r="W576" t="str">
        <f t="shared" si="86"/>
        <v>May-24</v>
      </c>
      <c r="X576" s="3">
        <f t="shared" si="87"/>
        <v>-16591.32</v>
      </c>
      <c r="Y576" t="str">
        <f t="shared" si="88"/>
        <v/>
      </c>
      <c r="Z576">
        <f t="shared" si="89"/>
        <v>-16591.32</v>
      </c>
    </row>
    <row r="577" spans="1:26" x14ac:dyDescent="0.25">
      <c r="A577" s="1">
        <v>45418</v>
      </c>
      <c r="B577" t="s">
        <v>221</v>
      </c>
      <c r="C577" t="s">
        <v>17</v>
      </c>
      <c r="D577" t="s">
        <v>18</v>
      </c>
      <c r="E577">
        <v>60</v>
      </c>
      <c r="F577">
        <v>0</v>
      </c>
      <c r="G577">
        <v>195.25</v>
      </c>
      <c r="H577">
        <v>11715</v>
      </c>
      <c r="I577" t="s">
        <v>222</v>
      </c>
      <c r="J577">
        <v>7.32</v>
      </c>
      <c r="K577">
        <v>5.86</v>
      </c>
      <c r="L577">
        <v>0</v>
      </c>
      <c r="M577">
        <v>0.01</v>
      </c>
      <c r="N577">
        <v>80</v>
      </c>
      <c r="O577">
        <v>15.46</v>
      </c>
      <c r="P577">
        <v>108.65</v>
      </c>
      <c r="Q577">
        <f t="shared" si="80"/>
        <v>2024</v>
      </c>
      <c r="R577">
        <f t="shared" si="81"/>
        <v>5</v>
      </c>
      <c r="S577">
        <f t="shared" si="82"/>
        <v>2024</v>
      </c>
      <c r="T577">
        <f t="shared" si="83"/>
        <v>2</v>
      </c>
      <c r="U577" t="str">
        <f t="shared" si="84"/>
        <v>02</v>
      </c>
      <c r="V577" t="str">
        <f t="shared" si="85"/>
        <v>202402</v>
      </c>
      <c r="W577" t="str">
        <f t="shared" si="86"/>
        <v>May-24</v>
      </c>
      <c r="X577" s="3">
        <f t="shared" si="87"/>
        <v>11606.35</v>
      </c>
      <c r="Y577">
        <f t="shared" si="88"/>
        <v>11606.35</v>
      </c>
      <c r="Z577" t="str">
        <f t="shared" si="89"/>
        <v/>
      </c>
    </row>
    <row r="578" spans="1:26" x14ac:dyDescent="0.25">
      <c r="A578" s="1">
        <v>45418</v>
      </c>
      <c r="B578" t="s">
        <v>221</v>
      </c>
      <c r="C578" t="s">
        <v>17</v>
      </c>
      <c r="D578" t="s">
        <v>22</v>
      </c>
      <c r="E578">
        <v>30</v>
      </c>
      <c r="F578">
        <v>0</v>
      </c>
      <c r="G578">
        <v>229.5</v>
      </c>
      <c r="H578">
        <v>6885</v>
      </c>
      <c r="I578" t="s">
        <v>223</v>
      </c>
      <c r="J578">
        <v>0</v>
      </c>
      <c r="K578">
        <v>3.44</v>
      </c>
      <c r="L578">
        <v>0.51</v>
      </c>
      <c r="M578">
        <v>0.01</v>
      </c>
      <c r="N578">
        <v>40</v>
      </c>
      <c r="O578">
        <v>7.82</v>
      </c>
      <c r="P578">
        <v>51.78</v>
      </c>
      <c r="Q578">
        <f t="shared" ref="Q578:Q641" si="90">YEAR(A578)</f>
        <v>2024</v>
      </c>
      <c r="R578">
        <f t="shared" ref="R578:R641" si="91">MONTH(A578)</f>
        <v>5</v>
      </c>
      <c r="S578">
        <f t="shared" ref="S578:S641" si="92">IF(R578&lt;4,Q578-1,Q578)</f>
        <v>2024</v>
      </c>
      <c r="T578">
        <f t="shared" ref="T578:T641" si="93">IF(R578&lt;4,R578+9,R578-3)</f>
        <v>2</v>
      </c>
      <c r="U578" t="str">
        <f t="shared" ref="U578:U641" si="94">IF(LEN(T578)=1,_xlfn.CONCAT(0,T578),T578)</f>
        <v>02</v>
      </c>
      <c r="V578" t="str">
        <f t="shared" ref="V578:V641" si="95">_xlfn.CONCAT(S578,U578)</f>
        <v>202402</v>
      </c>
      <c r="W578" t="str">
        <f t="shared" ref="W578:W641" si="96">_xlfn.CONCAT(TEXT(A578,"MMM"),"-",MID(Q578,3,2))</f>
        <v>May-24</v>
      </c>
      <c r="X578" s="3">
        <f t="shared" ref="X578:X641" si="97">IFERROR(IF(D578="Sell",(H578-P578),-(H578+P578)),0)</f>
        <v>-6936.78</v>
      </c>
      <c r="Y578" t="str">
        <f t="shared" si="88"/>
        <v/>
      </c>
      <c r="Z578">
        <f t="shared" si="89"/>
        <v>-6936.78</v>
      </c>
    </row>
    <row r="579" spans="1:26" x14ac:dyDescent="0.25">
      <c r="A579" s="1">
        <v>45418</v>
      </c>
      <c r="B579" t="s">
        <v>221</v>
      </c>
      <c r="C579" t="s">
        <v>17</v>
      </c>
      <c r="D579" t="s">
        <v>22</v>
      </c>
      <c r="E579">
        <v>30</v>
      </c>
      <c r="F579">
        <v>0</v>
      </c>
      <c r="G579">
        <v>313.2</v>
      </c>
      <c r="H579">
        <v>9396</v>
      </c>
      <c r="I579" t="s">
        <v>224</v>
      </c>
      <c r="J579">
        <v>0</v>
      </c>
      <c r="K579">
        <v>4.7</v>
      </c>
      <c r="L579">
        <v>0</v>
      </c>
      <c r="M579">
        <v>0</v>
      </c>
      <c r="N579">
        <v>40</v>
      </c>
      <c r="O579">
        <v>8.0399999999999991</v>
      </c>
      <c r="P579">
        <v>52.74</v>
      </c>
      <c r="Q579">
        <f t="shared" si="90"/>
        <v>2024</v>
      </c>
      <c r="R579">
        <f t="shared" si="91"/>
        <v>5</v>
      </c>
      <c r="S579">
        <f t="shared" si="92"/>
        <v>2024</v>
      </c>
      <c r="T579">
        <f t="shared" si="93"/>
        <v>2</v>
      </c>
      <c r="U579" t="str">
        <f t="shared" si="94"/>
        <v>02</v>
      </c>
      <c r="V579" t="str">
        <f t="shared" si="95"/>
        <v>202402</v>
      </c>
      <c r="W579" t="str">
        <f t="shared" si="96"/>
        <v>May-24</v>
      </c>
      <c r="X579" s="3">
        <f t="shared" si="97"/>
        <v>-9448.74</v>
      </c>
      <c r="Y579" t="str">
        <f t="shared" ref="Y579:Y642" si="98">IF(X579&gt;0,X579,"")</f>
        <v/>
      </c>
      <c r="Z579">
        <f t="shared" ref="Z579:Z642" si="99">IF(X579&lt;0,X579,"")</f>
        <v>-9448.74</v>
      </c>
    </row>
    <row r="580" spans="1:26" x14ac:dyDescent="0.25">
      <c r="A580" s="1">
        <v>45419</v>
      </c>
      <c r="B580" t="s">
        <v>213</v>
      </c>
      <c r="C580" t="s">
        <v>17</v>
      </c>
      <c r="D580" t="s">
        <v>18</v>
      </c>
      <c r="E580">
        <v>900</v>
      </c>
      <c r="F580">
        <v>0</v>
      </c>
      <c r="G580">
        <v>55.25</v>
      </c>
      <c r="H580">
        <v>49725</v>
      </c>
      <c r="I580" t="s">
        <v>214</v>
      </c>
      <c r="J580">
        <v>31.55</v>
      </c>
      <c r="K580">
        <v>24.86</v>
      </c>
      <c r="L580">
        <v>0</v>
      </c>
      <c r="M580">
        <v>0.04</v>
      </c>
      <c r="N580">
        <v>1200</v>
      </c>
      <c r="O580">
        <v>220.48</v>
      </c>
      <c r="P580">
        <v>1476.93</v>
      </c>
      <c r="Q580">
        <f t="shared" si="90"/>
        <v>2024</v>
      </c>
      <c r="R580">
        <f t="shared" si="91"/>
        <v>5</v>
      </c>
      <c r="S580">
        <f t="shared" si="92"/>
        <v>2024</v>
      </c>
      <c r="T580">
        <f t="shared" si="93"/>
        <v>2</v>
      </c>
      <c r="U580" t="str">
        <f t="shared" si="94"/>
        <v>02</v>
      </c>
      <c r="V580" t="str">
        <f t="shared" si="95"/>
        <v>202402</v>
      </c>
      <c r="W580" t="str">
        <f t="shared" si="96"/>
        <v>May-24</v>
      </c>
      <c r="X580" s="3">
        <f t="shared" si="97"/>
        <v>48248.07</v>
      </c>
      <c r="Y580">
        <f t="shared" si="98"/>
        <v>48248.07</v>
      </c>
      <c r="Z580" t="str">
        <f t="shared" si="99"/>
        <v/>
      </c>
    </row>
    <row r="581" spans="1:26" x14ac:dyDescent="0.25">
      <c r="A581" s="1">
        <v>45419</v>
      </c>
      <c r="B581" t="s">
        <v>213</v>
      </c>
      <c r="C581" t="s">
        <v>17</v>
      </c>
      <c r="D581" t="s">
        <v>22</v>
      </c>
      <c r="E581">
        <v>900</v>
      </c>
      <c r="F581">
        <v>0</v>
      </c>
      <c r="G581">
        <v>65.95</v>
      </c>
      <c r="H581">
        <v>59355</v>
      </c>
      <c r="I581" t="s">
        <v>215</v>
      </c>
      <c r="J581">
        <v>0</v>
      </c>
      <c r="K581">
        <v>29.68</v>
      </c>
      <c r="L581">
        <v>0</v>
      </c>
      <c r="M581">
        <v>0.06</v>
      </c>
      <c r="N581">
        <v>1200</v>
      </c>
      <c r="O581">
        <v>221.36</v>
      </c>
      <c r="P581">
        <v>1451.1</v>
      </c>
      <c r="Q581">
        <f t="shared" si="90"/>
        <v>2024</v>
      </c>
      <c r="R581">
        <f t="shared" si="91"/>
        <v>5</v>
      </c>
      <c r="S581">
        <f t="shared" si="92"/>
        <v>2024</v>
      </c>
      <c r="T581">
        <f t="shared" si="93"/>
        <v>2</v>
      </c>
      <c r="U581" t="str">
        <f t="shared" si="94"/>
        <v>02</v>
      </c>
      <c r="V581" t="str">
        <f t="shared" si="95"/>
        <v>202402</v>
      </c>
      <c r="W581" t="str">
        <f t="shared" si="96"/>
        <v>May-24</v>
      </c>
      <c r="X581" s="3">
        <f t="shared" si="97"/>
        <v>-60806.1</v>
      </c>
      <c r="Y581" t="str">
        <f t="shared" si="98"/>
        <v/>
      </c>
      <c r="Z581">
        <f t="shared" si="99"/>
        <v>-60806.1</v>
      </c>
    </row>
    <row r="582" spans="1:26" x14ac:dyDescent="0.25">
      <c r="A582" s="1">
        <v>45419</v>
      </c>
      <c r="B582" t="s">
        <v>213</v>
      </c>
      <c r="C582" t="s">
        <v>17</v>
      </c>
      <c r="D582" t="s">
        <v>18</v>
      </c>
      <c r="E582">
        <v>900</v>
      </c>
      <c r="F582">
        <v>0</v>
      </c>
      <c r="G582">
        <v>61.25</v>
      </c>
      <c r="H582">
        <v>55125</v>
      </c>
      <c r="I582" t="s">
        <v>216</v>
      </c>
      <c r="J582">
        <v>34.450000000000003</v>
      </c>
      <c r="K582">
        <v>27.58</v>
      </c>
      <c r="L582">
        <v>0</v>
      </c>
      <c r="M582">
        <v>0.05</v>
      </c>
      <c r="N582">
        <v>1200</v>
      </c>
      <c r="O582">
        <v>220.98</v>
      </c>
      <c r="P582">
        <v>1483.06</v>
      </c>
      <c r="Q582">
        <f t="shared" si="90"/>
        <v>2024</v>
      </c>
      <c r="R582">
        <f t="shared" si="91"/>
        <v>5</v>
      </c>
      <c r="S582">
        <f t="shared" si="92"/>
        <v>2024</v>
      </c>
      <c r="T582">
        <f t="shared" si="93"/>
        <v>2</v>
      </c>
      <c r="U582" t="str">
        <f t="shared" si="94"/>
        <v>02</v>
      </c>
      <c r="V582" t="str">
        <f t="shared" si="95"/>
        <v>202402</v>
      </c>
      <c r="W582" t="str">
        <f t="shared" si="96"/>
        <v>May-24</v>
      </c>
      <c r="X582" s="3">
        <f t="shared" si="97"/>
        <v>53641.94</v>
      </c>
      <c r="Y582">
        <f t="shared" si="98"/>
        <v>53641.94</v>
      </c>
      <c r="Z582" t="str">
        <f t="shared" si="99"/>
        <v/>
      </c>
    </row>
    <row r="583" spans="1:26" x14ac:dyDescent="0.25">
      <c r="A583" s="1">
        <v>45419</v>
      </c>
      <c r="B583" t="s">
        <v>213</v>
      </c>
      <c r="C583" t="s">
        <v>17</v>
      </c>
      <c r="D583" t="s">
        <v>22</v>
      </c>
      <c r="E583">
        <v>900</v>
      </c>
      <c r="F583">
        <v>0</v>
      </c>
      <c r="G583">
        <v>91.25</v>
      </c>
      <c r="H583">
        <v>82125</v>
      </c>
      <c r="I583" t="s">
        <v>217</v>
      </c>
      <c r="J583">
        <v>0</v>
      </c>
      <c r="K583">
        <v>41.07</v>
      </c>
      <c r="L583">
        <v>4</v>
      </c>
      <c r="M583">
        <v>0.08</v>
      </c>
      <c r="N583">
        <v>1200</v>
      </c>
      <c r="O583">
        <v>223.42</v>
      </c>
      <c r="P583">
        <v>1468.57</v>
      </c>
      <c r="Q583">
        <f t="shared" si="90"/>
        <v>2024</v>
      </c>
      <c r="R583">
        <f t="shared" si="91"/>
        <v>5</v>
      </c>
      <c r="S583">
        <f t="shared" si="92"/>
        <v>2024</v>
      </c>
      <c r="T583">
        <f t="shared" si="93"/>
        <v>2</v>
      </c>
      <c r="U583" t="str">
        <f t="shared" si="94"/>
        <v>02</v>
      </c>
      <c r="V583" t="str">
        <f t="shared" si="95"/>
        <v>202402</v>
      </c>
      <c r="W583" t="str">
        <f t="shared" si="96"/>
        <v>May-24</v>
      </c>
      <c r="X583" s="3">
        <f t="shared" si="97"/>
        <v>-83593.570000000007</v>
      </c>
      <c r="Y583" t="str">
        <f t="shared" si="98"/>
        <v/>
      </c>
      <c r="Z583">
        <f t="shared" si="99"/>
        <v>-83593.570000000007</v>
      </c>
    </row>
    <row r="584" spans="1:26" x14ac:dyDescent="0.25">
      <c r="A584" s="1">
        <v>45420</v>
      </c>
      <c r="B584" t="s">
        <v>210</v>
      </c>
      <c r="C584" t="s">
        <v>17</v>
      </c>
      <c r="D584" t="s">
        <v>18</v>
      </c>
      <c r="E584">
        <v>210</v>
      </c>
      <c r="F584">
        <v>0</v>
      </c>
      <c r="G584">
        <v>157.25</v>
      </c>
      <c r="H584">
        <v>33022.5</v>
      </c>
      <c r="I584" t="s">
        <v>211</v>
      </c>
      <c r="J584">
        <v>21</v>
      </c>
      <c r="K584">
        <v>16.52</v>
      </c>
      <c r="L584">
        <v>0</v>
      </c>
      <c r="M584">
        <v>0.03</v>
      </c>
      <c r="N584">
        <v>280</v>
      </c>
      <c r="O584">
        <v>53.38</v>
      </c>
      <c r="P584">
        <v>370.93</v>
      </c>
      <c r="Q584">
        <f t="shared" si="90"/>
        <v>2024</v>
      </c>
      <c r="R584">
        <f t="shared" si="91"/>
        <v>5</v>
      </c>
      <c r="S584">
        <f t="shared" si="92"/>
        <v>2024</v>
      </c>
      <c r="T584">
        <f t="shared" si="93"/>
        <v>2</v>
      </c>
      <c r="U584" t="str">
        <f t="shared" si="94"/>
        <v>02</v>
      </c>
      <c r="V584" t="str">
        <f t="shared" si="95"/>
        <v>202402</v>
      </c>
      <c r="W584" t="str">
        <f t="shared" si="96"/>
        <v>May-24</v>
      </c>
      <c r="X584" s="3">
        <f t="shared" si="97"/>
        <v>32651.57</v>
      </c>
      <c r="Y584">
        <f t="shared" si="98"/>
        <v>32651.57</v>
      </c>
      <c r="Z584" t="str">
        <f t="shared" si="99"/>
        <v/>
      </c>
    </row>
    <row r="585" spans="1:26" x14ac:dyDescent="0.25">
      <c r="A585" s="1">
        <v>45420</v>
      </c>
      <c r="B585" t="s">
        <v>210</v>
      </c>
      <c r="C585" t="s">
        <v>17</v>
      </c>
      <c r="D585" t="s">
        <v>22</v>
      </c>
      <c r="E585">
        <v>210</v>
      </c>
      <c r="F585">
        <v>0</v>
      </c>
      <c r="G585">
        <v>127.37</v>
      </c>
      <c r="H585">
        <v>26748</v>
      </c>
      <c r="I585" t="s">
        <v>212</v>
      </c>
      <c r="J585">
        <v>0</v>
      </c>
      <c r="K585">
        <v>13.38</v>
      </c>
      <c r="L585">
        <v>1</v>
      </c>
      <c r="M585">
        <v>0.02</v>
      </c>
      <c r="N585">
        <v>280</v>
      </c>
      <c r="O585">
        <v>52.82</v>
      </c>
      <c r="P585">
        <v>347.22</v>
      </c>
      <c r="Q585">
        <f t="shared" si="90"/>
        <v>2024</v>
      </c>
      <c r="R585">
        <f t="shared" si="91"/>
        <v>5</v>
      </c>
      <c r="S585">
        <f t="shared" si="92"/>
        <v>2024</v>
      </c>
      <c r="T585">
        <f t="shared" si="93"/>
        <v>2</v>
      </c>
      <c r="U585" t="str">
        <f t="shared" si="94"/>
        <v>02</v>
      </c>
      <c r="V585" t="str">
        <f t="shared" si="95"/>
        <v>202402</v>
      </c>
      <c r="W585" t="str">
        <f t="shared" si="96"/>
        <v>May-24</v>
      </c>
      <c r="X585" s="3">
        <f t="shared" si="97"/>
        <v>-27095.22</v>
      </c>
      <c r="Y585" t="str">
        <f t="shared" si="98"/>
        <v/>
      </c>
      <c r="Z585">
        <f t="shared" si="99"/>
        <v>-27095.22</v>
      </c>
    </row>
    <row r="586" spans="1:26" x14ac:dyDescent="0.25">
      <c r="A586" s="1">
        <v>45421</v>
      </c>
      <c r="B586" t="s">
        <v>205</v>
      </c>
      <c r="C586" t="s">
        <v>17</v>
      </c>
      <c r="D586" t="s">
        <v>18</v>
      </c>
      <c r="E586">
        <v>105</v>
      </c>
      <c r="F586">
        <v>0</v>
      </c>
      <c r="G586">
        <v>266.79000000000002</v>
      </c>
      <c r="H586">
        <v>28013.25</v>
      </c>
      <c r="I586" t="s">
        <v>206</v>
      </c>
      <c r="J586">
        <v>17.25</v>
      </c>
      <c r="K586">
        <v>14</v>
      </c>
      <c r="L586">
        <v>0</v>
      </c>
      <c r="M586">
        <v>0.02</v>
      </c>
      <c r="N586">
        <v>140</v>
      </c>
      <c r="O586">
        <v>27.72</v>
      </c>
      <c r="P586">
        <v>198.99</v>
      </c>
      <c r="Q586">
        <f t="shared" si="90"/>
        <v>2024</v>
      </c>
      <c r="R586">
        <f t="shared" si="91"/>
        <v>5</v>
      </c>
      <c r="S586">
        <f t="shared" si="92"/>
        <v>2024</v>
      </c>
      <c r="T586">
        <f t="shared" si="93"/>
        <v>2</v>
      </c>
      <c r="U586" t="str">
        <f t="shared" si="94"/>
        <v>02</v>
      </c>
      <c r="V586" t="str">
        <f t="shared" si="95"/>
        <v>202402</v>
      </c>
      <c r="W586" t="str">
        <f t="shared" si="96"/>
        <v>May-24</v>
      </c>
      <c r="X586" s="3">
        <f t="shared" si="97"/>
        <v>27814.26</v>
      </c>
      <c r="Y586">
        <f t="shared" si="98"/>
        <v>27814.26</v>
      </c>
      <c r="Z586" t="str">
        <f t="shared" si="99"/>
        <v/>
      </c>
    </row>
    <row r="587" spans="1:26" x14ac:dyDescent="0.25">
      <c r="A587" s="1">
        <v>45421</v>
      </c>
      <c r="B587" t="s">
        <v>205</v>
      </c>
      <c r="C587" t="s">
        <v>17</v>
      </c>
      <c r="D587" t="s">
        <v>22</v>
      </c>
      <c r="E587">
        <v>105</v>
      </c>
      <c r="F587">
        <v>0</v>
      </c>
      <c r="G587">
        <v>328.26</v>
      </c>
      <c r="H587">
        <v>34467.75</v>
      </c>
      <c r="I587" t="s">
        <v>207</v>
      </c>
      <c r="J587">
        <v>0</v>
      </c>
      <c r="K587">
        <v>17.23</v>
      </c>
      <c r="L587">
        <v>2</v>
      </c>
      <c r="M587">
        <v>0.03</v>
      </c>
      <c r="N587">
        <v>140</v>
      </c>
      <c r="O587">
        <v>28.3</v>
      </c>
      <c r="P587">
        <v>187.56</v>
      </c>
      <c r="Q587">
        <f t="shared" si="90"/>
        <v>2024</v>
      </c>
      <c r="R587">
        <f t="shared" si="91"/>
        <v>5</v>
      </c>
      <c r="S587">
        <f t="shared" si="92"/>
        <v>2024</v>
      </c>
      <c r="T587">
        <f t="shared" si="93"/>
        <v>2</v>
      </c>
      <c r="U587" t="str">
        <f t="shared" si="94"/>
        <v>02</v>
      </c>
      <c r="V587" t="str">
        <f t="shared" si="95"/>
        <v>202402</v>
      </c>
      <c r="W587" t="str">
        <f t="shared" si="96"/>
        <v>May-24</v>
      </c>
      <c r="X587" s="3">
        <f t="shared" si="97"/>
        <v>-34655.31</v>
      </c>
      <c r="Y587" t="str">
        <f t="shared" si="98"/>
        <v/>
      </c>
      <c r="Z587">
        <f t="shared" si="99"/>
        <v>-34655.31</v>
      </c>
    </row>
    <row r="588" spans="1:26" x14ac:dyDescent="0.25">
      <c r="A588" s="1">
        <v>45421</v>
      </c>
      <c r="B588" t="s">
        <v>205</v>
      </c>
      <c r="C588" t="s">
        <v>17</v>
      </c>
      <c r="D588" t="s">
        <v>18</v>
      </c>
      <c r="E588">
        <v>105</v>
      </c>
      <c r="F588">
        <v>0</v>
      </c>
      <c r="G588">
        <v>331.25</v>
      </c>
      <c r="H588">
        <v>34781.25</v>
      </c>
      <c r="I588" t="s">
        <v>208</v>
      </c>
      <c r="J588">
        <v>21.74</v>
      </c>
      <c r="K588">
        <v>17.39</v>
      </c>
      <c r="L588">
        <v>0</v>
      </c>
      <c r="M588">
        <v>0.03</v>
      </c>
      <c r="N588">
        <v>140</v>
      </c>
      <c r="O588">
        <v>28.32</v>
      </c>
      <c r="P588">
        <v>207.48</v>
      </c>
      <c r="Q588">
        <f t="shared" si="90"/>
        <v>2024</v>
      </c>
      <c r="R588">
        <f t="shared" si="91"/>
        <v>5</v>
      </c>
      <c r="S588">
        <f t="shared" si="92"/>
        <v>2024</v>
      </c>
      <c r="T588">
        <f t="shared" si="93"/>
        <v>2</v>
      </c>
      <c r="U588" t="str">
        <f t="shared" si="94"/>
        <v>02</v>
      </c>
      <c r="V588" t="str">
        <f t="shared" si="95"/>
        <v>202402</v>
      </c>
      <c r="W588" t="str">
        <f t="shared" si="96"/>
        <v>May-24</v>
      </c>
      <c r="X588" s="3">
        <f t="shared" si="97"/>
        <v>34573.769999999997</v>
      </c>
      <c r="Y588">
        <f t="shared" si="98"/>
        <v>34573.769999999997</v>
      </c>
      <c r="Z588" t="str">
        <f t="shared" si="99"/>
        <v/>
      </c>
    </row>
    <row r="589" spans="1:26" x14ac:dyDescent="0.25">
      <c r="A589" s="1">
        <v>45421</v>
      </c>
      <c r="B589" t="s">
        <v>205</v>
      </c>
      <c r="C589" t="s">
        <v>17</v>
      </c>
      <c r="D589" t="s">
        <v>22</v>
      </c>
      <c r="E589">
        <v>105</v>
      </c>
      <c r="F589">
        <v>0</v>
      </c>
      <c r="G589">
        <v>361</v>
      </c>
      <c r="H589">
        <v>37905</v>
      </c>
      <c r="I589" t="s">
        <v>209</v>
      </c>
      <c r="J589">
        <v>0</v>
      </c>
      <c r="K589">
        <v>18.95</v>
      </c>
      <c r="L589">
        <v>0</v>
      </c>
      <c r="M589">
        <v>0.05</v>
      </c>
      <c r="N589">
        <v>140</v>
      </c>
      <c r="O589">
        <v>28.6</v>
      </c>
      <c r="P589">
        <v>187.6</v>
      </c>
      <c r="Q589">
        <f t="shared" si="90"/>
        <v>2024</v>
      </c>
      <c r="R589">
        <f t="shared" si="91"/>
        <v>5</v>
      </c>
      <c r="S589">
        <f t="shared" si="92"/>
        <v>2024</v>
      </c>
      <c r="T589">
        <f t="shared" si="93"/>
        <v>2</v>
      </c>
      <c r="U589" t="str">
        <f t="shared" si="94"/>
        <v>02</v>
      </c>
      <c r="V589" t="str">
        <f t="shared" si="95"/>
        <v>202402</v>
      </c>
      <c r="W589" t="str">
        <f t="shared" si="96"/>
        <v>May-24</v>
      </c>
      <c r="X589" s="3">
        <f t="shared" si="97"/>
        <v>-38092.6</v>
      </c>
      <c r="Y589" t="str">
        <f t="shared" si="98"/>
        <v/>
      </c>
      <c r="Z589">
        <f t="shared" si="99"/>
        <v>-38092.6</v>
      </c>
    </row>
    <row r="590" spans="1:26" x14ac:dyDescent="0.25">
      <c r="A590" s="1">
        <v>45427</v>
      </c>
      <c r="B590" t="s">
        <v>202</v>
      </c>
      <c r="C590" t="s">
        <v>17</v>
      </c>
      <c r="D590" t="s">
        <v>18</v>
      </c>
      <c r="E590">
        <v>900</v>
      </c>
      <c r="F590">
        <v>0</v>
      </c>
      <c r="G590">
        <v>6.55</v>
      </c>
      <c r="H590">
        <v>5895</v>
      </c>
      <c r="I590" t="s">
        <v>203</v>
      </c>
      <c r="J590">
        <v>3.99</v>
      </c>
      <c r="K590">
        <v>2.95</v>
      </c>
      <c r="L590">
        <v>0</v>
      </c>
      <c r="M590">
        <v>0</v>
      </c>
      <c r="N590">
        <v>1200</v>
      </c>
      <c r="O590">
        <v>216.52</v>
      </c>
      <c r="P590">
        <v>1423.46</v>
      </c>
      <c r="Q590">
        <f t="shared" si="90"/>
        <v>2024</v>
      </c>
      <c r="R590">
        <f t="shared" si="91"/>
        <v>5</v>
      </c>
      <c r="S590">
        <f t="shared" si="92"/>
        <v>2024</v>
      </c>
      <c r="T590">
        <f t="shared" si="93"/>
        <v>2</v>
      </c>
      <c r="U590" t="str">
        <f t="shared" si="94"/>
        <v>02</v>
      </c>
      <c r="V590" t="str">
        <f t="shared" si="95"/>
        <v>202402</v>
      </c>
      <c r="W590" t="str">
        <f t="shared" si="96"/>
        <v>May-24</v>
      </c>
      <c r="X590" s="3">
        <f t="shared" si="97"/>
        <v>4471.54</v>
      </c>
      <c r="Y590">
        <f t="shared" si="98"/>
        <v>4471.54</v>
      </c>
      <c r="Z590" t="str">
        <f t="shared" si="99"/>
        <v/>
      </c>
    </row>
    <row r="591" spans="1:26" x14ac:dyDescent="0.25">
      <c r="A591" s="1">
        <v>45427</v>
      </c>
      <c r="B591" t="s">
        <v>202</v>
      </c>
      <c r="C591" t="s">
        <v>17</v>
      </c>
      <c r="D591" t="s">
        <v>22</v>
      </c>
      <c r="E591">
        <v>900</v>
      </c>
      <c r="F591">
        <v>0</v>
      </c>
      <c r="G591">
        <v>12.15</v>
      </c>
      <c r="H591">
        <v>10935</v>
      </c>
      <c r="I591" t="s">
        <v>204</v>
      </c>
      <c r="J591">
        <v>0</v>
      </c>
      <c r="K591">
        <v>5.47</v>
      </c>
      <c r="L591">
        <v>0</v>
      </c>
      <c r="M591">
        <v>0.01</v>
      </c>
      <c r="N591">
        <v>1200</v>
      </c>
      <c r="O591">
        <v>216.98</v>
      </c>
      <c r="P591">
        <v>1422.46</v>
      </c>
      <c r="Q591">
        <f t="shared" si="90"/>
        <v>2024</v>
      </c>
      <c r="R591">
        <f t="shared" si="91"/>
        <v>5</v>
      </c>
      <c r="S591">
        <f t="shared" si="92"/>
        <v>2024</v>
      </c>
      <c r="T591">
        <f t="shared" si="93"/>
        <v>2</v>
      </c>
      <c r="U591" t="str">
        <f t="shared" si="94"/>
        <v>02</v>
      </c>
      <c r="V591" t="str">
        <f t="shared" si="95"/>
        <v>202402</v>
      </c>
      <c r="W591" t="str">
        <f t="shared" si="96"/>
        <v>May-24</v>
      </c>
      <c r="X591" s="3">
        <f t="shared" si="97"/>
        <v>-12357.46</v>
      </c>
      <c r="Y591" t="str">
        <f t="shared" si="98"/>
        <v/>
      </c>
      <c r="Z591">
        <f t="shared" si="99"/>
        <v>-12357.46</v>
      </c>
    </row>
    <row r="592" spans="1:26" x14ac:dyDescent="0.25">
      <c r="A592" s="1">
        <v>45440</v>
      </c>
      <c r="B592" t="s">
        <v>199</v>
      </c>
      <c r="C592" t="s">
        <v>17</v>
      </c>
      <c r="D592" t="s">
        <v>18</v>
      </c>
      <c r="E592">
        <v>60</v>
      </c>
      <c r="F592">
        <v>0</v>
      </c>
      <c r="G592">
        <v>314.25</v>
      </c>
      <c r="H592">
        <v>18855</v>
      </c>
      <c r="I592" t="s">
        <v>200</v>
      </c>
      <c r="J592">
        <v>12</v>
      </c>
      <c r="K592">
        <v>9.43</v>
      </c>
      <c r="L592">
        <v>0</v>
      </c>
      <c r="M592">
        <v>0.02</v>
      </c>
      <c r="N592">
        <v>80</v>
      </c>
      <c r="O592">
        <v>16.100000000000001</v>
      </c>
      <c r="P592">
        <v>117.55</v>
      </c>
      <c r="Q592">
        <f t="shared" si="90"/>
        <v>2024</v>
      </c>
      <c r="R592">
        <f t="shared" si="91"/>
        <v>5</v>
      </c>
      <c r="S592">
        <f t="shared" si="92"/>
        <v>2024</v>
      </c>
      <c r="T592">
        <f t="shared" si="93"/>
        <v>2</v>
      </c>
      <c r="U592" t="str">
        <f t="shared" si="94"/>
        <v>02</v>
      </c>
      <c r="V592" t="str">
        <f t="shared" si="95"/>
        <v>202402</v>
      </c>
      <c r="W592" t="str">
        <f t="shared" si="96"/>
        <v>May-24</v>
      </c>
      <c r="X592" s="3">
        <f t="shared" si="97"/>
        <v>18737.45</v>
      </c>
      <c r="Y592">
        <f t="shared" si="98"/>
        <v>18737.45</v>
      </c>
      <c r="Z592" t="str">
        <f t="shared" si="99"/>
        <v/>
      </c>
    </row>
    <row r="593" spans="1:26" x14ac:dyDescent="0.25">
      <c r="A593" s="1">
        <v>45440</v>
      </c>
      <c r="B593" t="s">
        <v>199</v>
      </c>
      <c r="C593" t="s">
        <v>17</v>
      </c>
      <c r="D593" t="s">
        <v>22</v>
      </c>
      <c r="E593">
        <v>60</v>
      </c>
      <c r="F593">
        <v>0</v>
      </c>
      <c r="G593">
        <v>289.60000000000002</v>
      </c>
      <c r="H593">
        <v>17376</v>
      </c>
      <c r="I593" t="s">
        <v>201</v>
      </c>
      <c r="J593">
        <v>0</v>
      </c>
      <c r="K593">
        <v>8.69</v>
      </c>
      <c r="L593">
        <v>1</v>
      </c>
      <c r="M593">
        <v>0.02</v>
      </c>
      <c r="N593">
        <v>80</v>
      </c>
      <c r="O593">
        <v>15.96</v>
      </c>
      <c r="P593">
        <v>105.67</v>
      </c>
      <c r="Q593">
        <f t="shared" si="90"/>
        <v>2024</v>
      </c>
      <c r="R593">
        <f t="shared" si="91"/>
        <v>5</v>
      </c>
      <c r="S593">
        <f t="shared" si="92"/>
        <v>2024</v>
      </c>
      <c r="T593">
        <f t="shared" si="93"/>
        <v>2</v>
      </c>
      <c r="U593" t="str">
        <f t="shared" si="94"/>
        <v>02</v>
      </c>
      <c r="V593" t="str">
        <f t="shared" si="95"/>
        <v>202402</v>
      </c>
      <c r="W593" t="str">
        <f t="shared" si="96"/>
        <v>May-24</v>
      </c>
      <c r="X593" s="3">
        <f t="shared" si="97"/>
        <v>-17481.669999999998</v>
      </c>
      <c r="Y593" t="str">
        <f t="shared" si="98"/>
        <v/>
      </c>
      <c r="Z593">
        <f t="shared" si="99"/>
        <v>-17481.669999999998</v>
      </c>
    </row>
    <row r="594" spans="1:26" x14ac:dyDescent="0.25">
      <c r="A594" s="1">
        <v>45441</v>
      </c>
      <c r="B594" t="s">
        <v>196</v>
      </c>
      <c r="C594" t="s">
        <v>17</v>
      </c>
      <c r="D594" t="s">
        <v>18</v>
      </c>
      <c r="E594">
        <v>510</v>
      </c>
      <c r="F594">
        <v>0</v>
      </c>
      <c r="G594">
        <v>33.25</v>
      </c>
      <c r="H594">
        <v>16957.5</v>
      </c>
      <c r="I594" t="s">
        <v>197</v>
      </c>
      <c r="J594">
        <v>11.01</v>
      </c>
      <c r="K594">
        <v>8.49</v>
      </c>
      <c r="L594">
        <v>0</v>
      </c>
      <c r="M594">
        <v>0.01</v>
      </c>
      <c r="N594">
        <v>680</v>
      </c>
      <c r="O594">
        <v>123.94</v>
      </c>
      <c r="P594">
        <v>823.45</v>
      </c>
      <c r="Q594">
        <f t="shared" si="90"/>
        <v>2024</v>
      </c>
      <c r="R594">
        <f t="shared" si="91"/>
        <v>5</v>
      </c>
      <c r="S594">
        <f t="shared" si="92"/>
        <v>2024</v>
      </c>
      <c r="T594">
        <f t="shared" si="93"/>
        <v>2</v>
      </c>
      <c r="U594" t="str">
        <f t="shared" si="94"/>
        <v>02</v>
      </c>
      <c r="V594" t="str">
        <f t="shared" si="95"/>
        <v>202402</v>
      </c>
      <c r="W594" t="str">
        <f t="shared" si="96"/>
        <v>May-24</v>
      </c>
      <c r="X594" s="3">
        <f t="shared" si="97"/>
        <v>16134.05</v>
      </c>
      <c r="Y594">
        <f t="shared" si="98"/>
        <v>16134.05</v>
      </c>
      <c r="Z594" t="str">
        <f t="shared" si="99"/>
        <v/>
      </c>
    </row>
    <row r="595" spans="1:26" x14ac:dyDescent="0.25">
      <c r="A595" s="1">
        <v>45441</v>
      </c>
      <c r="B595" t="s">
        <v>196</v>
      </c>
      <c r="C595" t="s">
        <v>17</v>
      </c>
      <c r="D595" t="s">
        <v>22</v>
      </c>
      <c r="E595">
        <v>510</v>
      </c>
      <c r="F595">
        <v>0</v>
      </c>
      <c r="G595">
        <v>29</v>
      </c>
      <c r="H595">
        <v>14790</v>
      </c>
      <c r="I595" t="s">
        <v>198</v>
      </c>
      <c r="J595">
        <v>0</v>
      </c>
      <c r="K595">
        <v>7.4</v>
      </c>
      <c r="L595">
        <v>0</v>
      </c>
      <c r="M595">
        <v>0.01</v>
      </c>
      <c r="N595">
        <v>680</v>
      </c>
      <c r="O595">
        <v>123.74</v>
      </c>
      <c r="P595">
        <v>811.15</v>
      </c>
      <c r="Q595">
        <f t="shared" si="90"/>
        <v>2024</v>
      </c>
      <c r="R595">
        <f t="shared" si="91"/>
        <v>5</v>
      </c>
      <c r="S595">
        <f t="shared" si="92"/>
        <v>2024</v>
      </c>
      <c r="T595">
        <f t="shared" si="93"/>
        <v>2</v>
      </c>
      <c r="U595" t="str">
        <f t="shared" si="94"/>
        <v>02</v>
      </c>
      <c r="V595" t="str">
        <f t="shared" si="95"/>
        <v>202402</v>
      </c>
      <c r="W595" t="str">
        <f t="shared" si="96"/>
        <v>May-24</v>
      </c>
      <c r="X595" s="3">
        <f t="shared" si="97"/>
        <v>-15601.15</v>
      </c>
      <c r="Y595" t="str">
        <f t="shared" si="98"/>
        <v/>
      </c>
      <c r="Z595">
        <f t="shared" si="99"/>
        <v>-15601.15</v>
      </c>
    </row>
    <row r="596" spans="1:26" x14ac:dyDescent="0.25">
      <c r="A596" s="1">
        <v>45442</v>
      </c>
      <c r="B596" t="s">
        <v>191</v>
      </c>
      <c r="C596" t="s">
        <v>17</v>
      </c>
      <c r="D596" t="s">
        <v>18</v>
      </c>
      <c r="E596">
        <v>25</v>
      </c>
      <c r="F596">
        <v>0</v>
      </c>
      <c r="G596">
        <v>20.2</v>
      </c>
      <c r="H596">
        <v>505</v>
      </c>
      <c r="I596" t="s">
        <v>192</v>
      </c>
      <c r="J596">
        <v>0.32</v>
      </c>
      <c r="K596">
        <v>0.25</v>
      </c>
      <c r="L596">
        <v>0</v>
      </c>
      <c r="M596">
        <v>0</v>
      </c>
      <c r="N596">
        <v>20</v>
      </c>
      <c r="O596">
        <v>3.64</v>
      </c>
      <c r="P596">
        <v>24.21</v>
      </c>
      <c r="Q596">
        <f t="shared" si="90"/>
        <v>2024</v>
      </c>
      <c r="R596">
        <f t="shared" si="91"/>
        <v>5</v>
      </c>
      <c r="S596">
        <f t="shared" si="92"/>
        <v>2024</v>
      </c>
      <c r="T596">
        <f t="shared" si="93"/>
        <v>2</v>
      </c>
      <c r="U596" t="str">
        <f t="shared" si="94"/>
        <v>02</v>
      </c>
      <c r="V596" t="str">
        <f t="shared" si="95"/>
        <v>202402</v>
      </c>
      <c r="W596" t="str">
        <f t="shared" si="96"/>
        <v>May-24</v>
      </c>
      <c r="X596" s="3">
        <f t="shared" si="97"/>
        <v>480.79</v>
      </c>
      <c r="Y596">
        <f t="shared" si="98"/>
        <v>480.79</v>
      </c>
      <c r="Z596" t="str">
        <f t="shared" si="99"/>
        <v/>
      </c>
    </row>
    <row r="597" spans="1:26" x14ac:dyDescent="0.25">
      <c r="A597" s="1">
        <v>45442</v>
      </c>
      <c r="B597" t="s">
        <v>191</v>
      </c>
      <c r="C597" t="s">
        <v>17</v>
      </c>
      <c r="D597" t="s">
        <v>18</v>
      </c>
      <c r="E597">
        <v>25</v>
      </c>
      <c r="F597">
        <v>0</v>
      </c>
      <c r="G597">
        <v>24.3</v>
      </c>
      <c r="H597">
        <v>607.5</v>
      </c>
      <c r="I597" t="s">
        <v>193</v>
      </c>
      <c r="J597">
        <v>0.68</v>
      </c>
      <c r="K597">
        <v>0.3</v>
      </c>
      <c r="L597">
        <v>0</v>
      </c>
      <c r="M597">
        <v>0</v>
      </c>
      <c r="N597">
        <v>20</v>
      </c>
      <c r="O597">
        <v>3.66</v>
      </c>
      <c r="P597">
        <v>24.64</v>
      </c>
      <c r="Q597">
        <f t="shared" si="90"/>
        <v>2024</v>
      </c>
      <c r="R597">
        <f t="shared" si="91"/>
        <v>5</v>
      </c>
      <c r="S597">
        <f t="shared" si="92"/>
        <v>2024</v>
      </c>
      <c r="T597">
        <f t="shared" si="93"/>
        <v>2</v>
      </c>
      <c r="U597" t="str">
        <f t="shared" si="94"/>
        <v>02</v>
      </c>
      <c r="V597" t="str">
        <f t="shared" si="95"/>
        <v>202402</v>
      </c>
      <c r="W597" t="str">
        <f t="shared" si="96"/>
        <v>May-24</v>
      </c>
      <c r="X597" s="3">
        <f t="shared" si="97"/>
        <v>582.86</v>
      </c>
      <c r="Y597">
        <f t="shared" si="98"/>
        <v>582.86</v>
      </c>
      <c r="Z597" t="str">
        <f t="shared" si="99"/>
        <v/>
      </c>
    </row>
    <row r="598" spans="1:26" x14ac:dyDescent="0.25">
      <c r="A598" s="1">
        <v>45442</v>
      </c>
      <c r="B598" t="s">
        <v>191</v>
      </c>
      <c r="C598" t="s">
        <v>17</v>
      </c>
      <c r="D598" t="s">
        <v>22</v>
      </c>
      <c r="E598">
        <v>25</v>
      </c>
      <c r="F598">
        <v>0</v>
      </c>
      <c r="G598">
        <v>31.2</v>
      </c>
      <c r="H598">
        <v>780</v>
      </c>
      <c r="I598" t="s">
        <v>194</v>
      </c>
      <c r="J598">
        <v>0</v>
      </c>
      <c r="K598">
        <v>0.39</v>
      </c>
      <c r="L598">
        <v>0</v>
      </c>
      <c r="M598">
        <v>0</v>
      </c>
      <c r="N598">
        <v>20</v>
      </c>
      <c r="O598">
        <v>3.68</v>
      </c>
      <c r="P598">
        <v>24.07</v>
      </c>
      <c r="Q598">
        <f t="shared" si="90"/>
        <v>2024</v>
      </c>
      <c r="R598">
        <f t="shared" si="91"/>
        <v>5</v>
      </c>
      <c r="S598">
        <f t="shared" si="92"/>
        <v>2024</v>
      </c>
      <c r="T598">
        <f t="shared" si="93"/>
        <v>2</v>
      </c>
      <c r="U598" t="str">
        <f t="shared" si="94"/>
        <v>02</v>
      </c>
      <c r="V598" t="str">
        <f t="shared" si="95"/>
        <v>202402</v>
      </c>
      <c r="W598" t="str">
        <f t="shared" si="96"/>
        <v>May-24</v>
      </c>
      <c r="X598" s="3">
        <f t="shared" si="97"/>
        <v>-804.07</v>
      </c>
      <c r="Y598" t="str">
        <f t="shared" si="98"/>
        <v/>
      </c>
      <c r="Z598">
        <f t="shared" si="99"/>
        <v>-804.07</v>
      </c>
    </row>
    <row r="599" spans="1:26" x14ac:dyDescent="0.25">
      <c r="A599" s="1">
        <v>45442</v>
      </c>
      <c r="B599" t="s">
        <v>191</v>
      </c>
      <c r="C599" t="s">
        <v>17</v>
      </c>
      <c r="D599" t="s">
        <v>22</v>
      </c>
      <c r="E599">
        <v>25</v>
      </c>
      <c r="F599">
        <v>0</v>
      </c>
      <c r="G599">
        <v>58.2</v>
      </c>
      <c r="H599">
        <v>1455</v>
      </c>
      <c r="I599" t="s">
        <v>195</v>
      </c>
      <c r="J599">
        <v>0</v>
      </c>
      <c r="K599">
        <v>0.73</v>
      </c>
      <c r="L599">
        <v>0</v>
      </c>
      <c r="M599">
        <v>0</v>
      </c>
      <c r="N599">
        <v>20</v>
      </c>
      <c r="O599">
        <v>3.74</v>
      </c>
      <c r="P599">
        <v>24.47</v>
      </c>
      <c r="Q599">
        <f t="shared" si="90"/>
        <v>2024</v>
      </c>
      <c r="R599">
        <f t="shared" si="91"/>
        <v>5</v>
      </c>
      <c r="S599">
        <f t="shared" si="92"/>
        <v>2024</v>
      </c>
      <c r="T599">
        <f t="shared" si="93"/>
        <v>2</v>
      </c>
      <c r="U599" t="str">
        <f t="shared" si="94"/>
        <v>02</v>
      </c>
      <c r="V599" t="str">
        <f t="shared" si="95"/>
        <v>202402</v>
      </c>
      <c r="W599" t="str">
        <f t="shared" si="96"/>
        <v>May-24</v>
      </c>
      <c r="X599" s="3">
        <f t="shared" si="97"/>
        <v>-1479.47</v>
      </c>
      <c r="Y599" t="str">
        <f t="shared" si="98"/>
        <v/>
      </c>
      <c r="Z599">
        <f t="shared" si="99"/>
        <v>-1479.47</v>
      </c>
    </row>
    <row r="600" spans="1:26" x14ac:dyDescent="0.25">
      <c r="A600" s="1">
        <v>45447</v>
      </c>
      <c r="B600" t="s">
        <v>187</v>
      </c>
      <c r="C600" t="s">
        <v>17</v>
      </c>
      <c r="D600" t="s">
        <v>18</v>
      </c>
      <c r="E600">
        <v>75</v>
      </c>
      <c r="F600">
        <v>0</v>
      </c>
      <c r="G600">
        <v>710.25</v>
      </c>
      <c r="H600">
        <v>53268.75</v>
      </c>
      <c r="I600" t="s">
        <v>188</v>
      </c>
      <c r="J600">
        <v>33</v>
      </c>
      <c r="K600">
        <v>26.63</v>
      </c>
      <c r="L600">
        <v>0</v>
      </c>
      <c r="M600">
        <v>0.05</v>
      </c>
      <c r="N600">
        <v>100</v>
      </c>
      <c r="O600">
        <v>22.8</v>
      </c>
      <c r="P600">
        <v>182.48</v>
      </c>
      <c r="Q600">
        <f t="shared" si="90"/>
        <v>2024</v>
      </c>
      <c r="R600">
        <f t="shared" si="91"/>
        <v>6</v>
      </c>
      <c r="S600">
        <f t="shared" si="92"/>
        <v>2024</v>
      </c>
      <c r="T600">
        <f t="shared" si="93"/>
        <v>3</v>
      </c>
      <c r="U600" t="str">
        <f t="shared" si="94"/>
        <v>03</v>
      </c>
      <c r="V600" t="str">
        <f t="shared" si="95"/>
        <v>202403</v>
      </c>
      <c r="W600" t="str">
        <f t="shared" si="96"/>
        <v>Jun-24</v>
      </c>
      <c r="X600" s="3">
        <f t="shared" si="97"/>
        <v>53086.27</v>
      </c>
      <c r="Y600">
        <f t="shared" si="98"/>
        <v>53086.27</v>
      </c>
      <c r="Z600" t="str">
        <f t="shared" si="99"/>
        <v/>
      </c>
    </row>
    <row r="601" spans="1:26" x14ac:dyDescent="0.25">
      <c r="A601" s="1">
        <v>45447</v>
      </c>
      <c r="B601" t="s">
        <v>187</v>
      </c>
      <c r="C601" t="s">
        <v>17</v>
      </c>
      <c r="D601" t="s">
        <v>22</v>
      </c>
      <c r="E601">
        <v>60</v>
      </c>
      <c r="F601">
        <v>0</v>
      </c>
      <c r="G601">
        <v>520.5</v>
      </c>
      <c r="H601">
        <v>31230</v>
      </c>
      <c r="I601" t="s">
        <v>189</v>
      </c>
      <c r="J601">
        <v>0</v>
      </c>
      <c r="K601">
        <v>15.62</v>
      </c>
      <c r="L601">
        <v>1</v>
      </c>
      <c r="M601">
        <v>0.04</v>
      </c>
      <c r="N601">
        <v>80</v>
      </c>
      <c r="O601">
        <v>17.2</v>
      </c>
      <c r="P601">
        <v>113.86</v>
      </c>
      <c r="Q601">
        <f t="shared" si="90"/>
        <v>2024</v>
      </c>
      <c r="R601">
        <f t="shared" si="91"/>
        <v>6</v>
      </c>
      <c r="S601">
        <f t="shared" si="92"/>
        <v>2024</v>
      </c>
      <c r="T601">
        <f t="shared" si="93"/>
        <v>3</v>
      </c>
      <c r="U601" t="str">
        <f t="shared" si="94"/>
        <v>03</v>
      </c>
      <c r="V601" t="str">
        <f t="shared" si="95"/>
        <v>202403</v>
      </c>
      <c r="W601" t="str">
        <f t="shared" si="96"/>
        <v>Jun-24</v>
      </c>
      <c r="X601" s="3">
        <f t="shared" si="97"/>
        <v>-31343.86</v>
      </c>
      <c r="Y601" t="str">
        <f t="shared" si="98"/>
        <v/>
      </c>
      <c r="Z601">
        <f t="shared" si="99"/>
        <v>-31343.86</v>
      </c>
    </row>
    <row r="602" spans="1:26" x14ac:dyDescent="0.25">
      <c r="A602" s="1">
        <v>45447</v>
      </c>
      <c r="B602" t="s">
        <v>187</v>
      </c>
      <c r="C602" t="s">
        <v>17</v>
      </c>
      <c r="D602" t="s">
        <v>22</v>
      </c>
      <c r="E602">
        <v>15</v>
      </c>
      <c r="F602">
        <v>0</v>
      </c>
      <c r="G602">
        <v>482.65</v>
      </c>
      <c r="H602">
        <v>7239.75</v>
      </c>
      <c r="I602" t="s">
        <v>190</v>
      </c>
      <c r="J602">
        <v>0</v>
      </c>
      <c r="K602">
        <v>3.62</v>
      </c>
      <c r="L602">
        <v>0</v>
      </c>
      <c r="M602">
        <v>0.01</v>
      </c>
      <c r="N602">
        <v>20</v>
      </c>
      <c r="O602">
        <v>4.26</v>
      </c>
      <c r="P602">
        <v>27.89</v>
      </c>
      <c r="Q602">
        <f t="shared" si="90"/>
        <v>2024</v>
      </c>
      <c r="R602">
        <f t="shared" si="91"/>
        <v>6</v>
      </c>
      <c r="S602">
        <f t="shared" si="92"/>
        <v>2024</v>
      </c>
      <c r="T602">
        <f t="shared" si="93"/>
        <v>3</v>
      </c>
      <c r="U602" t="str">
        <f t="shared" si="94"/>
        <v>03</v>
      </c>
      <c r="V602" t="str">
        <f t="shared" si="95"/>
        <v>202403</v>
      </c>
      <c r="W602" t="str">
        <f t="shared" si="96"/>
        <v>Jun-24</v>
      </c>
      <c r="X602" s="3">
        <f t="shared" si="97"/>
        <v>-7267.64</v>
      </c>
      <c r="Y602" t="str">
        <f t="shared" si="98"/>
        <v/>
      </c>
      <c r="Z602">
        <f t="shared" si="99"/>
        <v>-7267.64</v>
      </c>
    </row>
    <row r="603" spans="1:26" x14ac:dyDescent="0.25">
      <c r="A603" s="1">
        <v>45448</v>
      </c>
      <c r="B603" t="s">
        <v>184</v>
      </c>
      <c r="C603" t="s">
        <v>17</v>
      </c>
      <c r="D603" t="s">
        <v>18</v>
      </c>
      <c r="E603">
        <v>75</v>
      </c>
      <c r="F603">
        <v>0</v>
      </c>
      <c r="G603">
        <v>360.25</v>
      </c>
      <c r="H603">
        <v>27018.75</v>
      </c>
      <c r="I603" t="s">
        <v>185</v>
      </c>
      <c r="J603">
        <v>17</v>
      </c>
      <c r="K603">
        <v>13.51</v>
      </c>
      <c r="L603">
        <v>0</v>
      </c>
      <c r="M603">
        <v>0.03</v>
      </c>
      <c r="N603">
        <v>100</v>
      </c>
      <c r="O603">
        <v>20.440000000000001</v>
      </c>
      <c r="P603">
        <v>150.97999999999999</v>
      </c>
      <c r="Q603">
        <f t="shared" si="90"/>
        <v>2024</v>
      </c>
      <c r="R603">
        <f t="shared" si="91"/>
        <v>6</v>
      </c>
      <c r="S603">
        <f t="shared" si="92"/>
        <v>2024</v>
      </c>
      <c r="T603">
        <f t="shared" si="93"/>
        <v>3</v>
      </c>
      <c r="U603" t="str">
        <f t="shared" si="94"/>
        <v>03</v>
      </c>
      <c r="V603" t="str">
        <f t="shared" si="95"/>
        <v>202403</v>
      </c>
      <c r="W603" t="str">
        <f t="shared" si="96"/>
        <v>Jun-24</v>
      </c>
      <c r="X603" s="3">
        <f t="shared" si="97"/>
        <v>26867.77</v>
      </c>
      <c r="Y603">
        <f t="shared" si="98"/>
        <v>26867.77</v>
      </c>
      <c r="Z603" t="str">
        <f t="shared" si="99"/>
        <v/>
      </c>
    </row>
    <row r="604" spans="1:26" x14ac:dyDescent="0.25">
      <c r="A604" s="1">
        <v>45448</v>
      </c>
      <c r="B604" t="s">
        <v>184</v>
      </c>
      <c r="C604" t="s">
        <v>17</v>
      </c>
      <c r="D604" t="s">
        <v>22</v>
      </c>
      <c r="E604">
        <v>75</v>
      </c>
      <c r="F604">
        <v>0</v>
      </c>
      <c r="G604">
        <v>311.64999999999998</v>
      </c>
      <c r="H604">
        <v>23373.75</v>
      </c>
      <c r="I604" t="s">
        <v>186</v>
      </c>
      <c r="J604">
        <v>0</v>
      </c>
      <c r="K604">
        <v>11.69</v>
      </c>
      <c r="L604">
        <v>1</v>
      </c>
      <c r="M604">
        <v>0.02</v>
      </c>
      <c r="N604">
        <v>100</v>
      </c>
      <c r="O604">
        <v>20.100000000000001</v>
      </c>
      <c r="P604">
        <v>132.81</v>
      </c>
      <c r="Q604">
        <f t="shared" si="90"/>
        <v>2024</v>
      </c>
      <c r="R604">
        <f t="shared" si="91"/>
        <v>6</v>
      </c>
      <c r="S604">
        <f t="shared" si="92"/>
        <v>2024</v>
      </c>
      <c r="T604">
        <f t="shared" si="93"/>
        <v>3</v>
      </c>
      <c r="U604" t="str">
        <f t="shared" si="94"/>
        <v>03</v>
      </c>
      <c r="V604" t="str">
        <f t="shared" si="95"/>
        <v>202403</v>
      </c>
      <c r="W604" t="str">
        <f t="shared" si="96"/>
        <v>Jun-24</v>
      </c>
      <c r="X604" s="3">
        <f t="shared" si="97"/>
        <v>-23506.560000000001</v>
      </c>
      <c r="Y604" t="str">
        <f t="shared" si="98"/>
        <v/>
      </c>
      <c r="Z604">
        <f t="shared" si="99"/>
        <v>-23506.560000000001</v>
      </c>
    </row>
    <row r="605" spans="1:26" x14ac:dyDescent="0.25">
      <c r="A605" s="1">
        <v>45449</v>
      </c>
      <c r="B605" t="s">
        <v>173</v>
      </c>
      <c r="C605" t="s">
        <v>17</v>
      </c>
      <c r="D605" t="s">
        <v>18</v>
      </c>
      <c r="E605">
        <v>900</v>
      </c>
      <c r="F605">
        <v>0</v>
      </c>
      <c r="G605">
        <v>19.25</v>
      </c>
      <c r="H605">
        <v>17325</v>
      </c>
      <c r="I605" t="s">
        <v>174</v>
      </c>
      <c r="J605">
        <v>10.82</v>
      </c>
      <c r="K605">
        <v>8.66</v>
      </c>
      <c r="L605">
        <v>0</v>
      </c>
      <c r="M605">
        <v>0.01</v>
      </c>
      <c r="N605">
        <v>720</v>
      </c>
      <c r="O605">
        <v>131.16</v>
      </c>
      <c r="P605">
        <v>870.65</v>
      </c>
      <c r="Q605">
        <f t="shared" si="90"/>
        <v>2024</v>
      </c>
      <c r="R605">
        <f t="shared" si="91"/>
        <v>6</v>
      </c>
      <c r="S605">
        <f t="shared" si="92"/>
        <v>2024</v>
      </c>
      <c r="T605">
        <f t="shared" si="93"/>
        <v>3</v>
      </c>
      <c r="U605" t="str">
        <f t="shared" si="94"/>
        <v>03</v>
      </c>
      <c r="V605" t="str">
        <f t="shared" si="95"/>
        <v>202403</v>
      </c>
      <c r="W605" t="str">
        <f t="shared" si="96"/>
        <v>Jun-24</v>
      </c>
      <c r="X605" s="3">
        <f t="shared" si="97"/>
        <v>16454.349999999999</v>
      </c>
      <c r="Y605">
        <f t="shared" si="98"/>
        <v>16454.349999999999</v>
      </c>
      <c r="Z605" t="str">
        <f t="shared" si="99"/>
        <v/>
      </c>
    </row>
    <row r="606" spans="1:26" x14ac:dyDescent="0.25">
      <c r="A606" s="1">
        <v>45449</v>
      </c>
      <c r="B606" t="s">
        <v>173</v>
      </c>
      <c r="C606" t="s">
        <v>17</v>
      </c>
      <c r="D606" t="s">
        <v>22</v>
      </c>
      <c r="E606">
        <v>450</v>
      </c>
      <c r="F606">
        <v>0</v>
      </c>
      <c r="G606">
        <v>41.05</v>
      </c>
      <c r="H606">
        <v>18472.5</v>
      </c>
      <c r="I606" t="s">
        <v>175</v>
      </c>
      <c r="J606">
        <v>0</v>
      </c>
      <c r="K606">
        <v>9.24</v>
      </c>
      <c r="L606">
        <v>1.29</v>
      </c>
      <c r="M606">
        <v>0.02</v>
      </c>
      <c r="N606">
        <v>360</v>
      </c>
      <c r="O606">
        <v>66.459999999999994</v>
      </c>
      <c r="P606">
        <v>437.01</v>
      </c>
      <c r="Q606">
        <f t="shared" si="90"/>
        <v>2024</v>
      </c>
      <c r="R606">
        <f t="shared" si="91"/>
        <v>6</v>
      </c>
      <c r="S606">
        <f t="shared" si="92"/>
        <v>2024</v>
      </c>
      <c r="T606">
        <f t="shared" si="93"/>
        <v>3</v>
      </c>
      <c r="U606" t="str">
        <f t="shared" si="94"/>
        <v>03</v>
      </c>
      <c r="V606" t="str">
        <f t="shared" si="95"/>
        <v>202403</v>
      </c>
      <c r="W606" t="str">
        <f t="shared" si="96"/>
        <v>Jun-24</v>
      </c>
      <c r="X606" s="3">
        <f t="shared" si="97"/>
        <v>-18909.509999999998</v>
      </c>
      <c r="Y606" t="str">
        <f t="shared" si="98"/>
        <v/>
      </c>
      <c r="Z606">
        <f t="shared" si="99"/>
        <v>-18909.509999999998</v>
      </c>
    </row>
    <row r="607" spans="1:26" x14ac:dyDescent="0.25">
      <c r="A607" s="1">
        <v>45449</v>
      </c>
      <c r="B607" t="s">
        <v>173</v>
      </c>
      <c r="C607" t="s">
        <v>17</v>
      </c>
      <c r="D607" t="s">
        <v>22</v>
      </c>
      <c r="E607">
        <v>225</v>
      </c>
      <c r="F607">
        <v>0</v>
      </c>
      <c r="G607">
        <v>58.25</v>
      </c>
      <c r="H607">
        <v>13106.25</v>
      </c>
      <c r="I607" t="s">
        <v>176</v>
      </c>
      <c r="J607">
        <v>0</v>
      </c>
      <c r="K607">
        <v>6.56</v>
      </c>
      <c r="L607">
        <v>0</v>
      </c>
      <c r="M607">
        <v>0.01</v>
      </c>
      <c r="N607">
        <v>180</v>
      </c>
      <c r="O607">
        <v>33.58</v>
      </c>
      <c r="P607">
        <v>220.15</v>
      </c>
      <c r="Q607">
        <f t="shared" si="90"/>
        <v>2024</v>
      </c>
      <c r="R607">
        <f t="shared" si="91"/>
        <v>6</v>
      </c>
      <c r="S607">
        <f t="shared" si="92"/>
        <v>2024</v>
      </c>
      <c r="T607">
        <f t="shared" si="93"/>
        <v>3</v>
      </c>
      <c r="U607" t="str">
        <f t="shared" si="94"/>
        <v>03</v>
      </c>
      <c r="V607" t="str">
        <f t="shared" si="95"/>
        <v>202403</v>
      </c>
      <c r="W607" t="str">
        <f t="shared" si="96"/>
        <v>Jun-24</v>
      </c>
      <c r="X607" s="3">
        <f t="shared" si="97"/>
        <v>-13326.4</v>
      </c>
      <c r="Y607" t="str">
        <f t="shared" si="98"/>
        <v/>
      </c>
      <c r="Z607">
        <f t="shared" si="99"/>
        <v>-13326.4</v>
      </c>
    </row>
    <row r="608" spans="1:26" x14ac:dyDescent="0.25">
      <c r="A608" s="1">
        <v>45449</v>
      </c>
      <c r="B608" t="s">
        <v>173</v>
      </c>
      <c r="C608" t="s">
        <v>17</v>
      </c>
      <c r="D608" t="s">
        <v>22</v>
      </c>
      <c r="E608">
        <v>225</v>
      </c>
      <c r="F608">
        <v>0</v>
      </c>
      <c r="G608">
        <v>63.25</v>
      </c>
      <c r="H608">
        <v>14231.25</v>
      </c>
      <c r="I608" t="s">
        <v>177</v>
      </c>
      <c r="J608">
        <v>0</v>
      </c>
      <c r="K608">
        <v>7.12</v>
      </c>
      <c r="L608">
        <v>0</v>
      </c>
      <c r="M608">
        <v>0.01</v>
      </c>
      <c r="N608">
        <v>180</v>
      </c>
      <c r="O608">
        <v>33.68</v>
      </c>
      <c r="P608">
        <v>220.81</v>
      </c>
      <c r="Q608">
        <f t="shared" si="90"/>
        <v>2024</v>
      </c>
      <c r="R608">
        <f t="shared" si="91"/>
        <v>6</v>
      </c>
      <c r="S608">
        <f t="shared" si="92"/>
        <v>2024</v>
      </c>
      <c r="T608">
        <f t="shared" si="93"/>
        <v>3</v>
      </c>
      <c r="U608" t="str">
        <f t="shared" si="94"/>
        <v>03</v>
      </c>
      <c r="V608" t="str">
        <f t="shared" si="95"/>
        <v>202403</v>
      </c>
      <c r="W608" t="str">
        <f t="shared" si="96"/>
        <v>Jun-24</v>
      </c>
      <c r="X608" s="3">
        <f t="shared" si="97"/>
        <v>-14452.06</v>
      </c>
      <c r="Y608" t="str">
        <f t="shared" si="98"/>
        <v/>
      </c>
      <c r="Z608">
        <f t="shared" si="99"/>
        <v>-14452.06</v>
      </c>
    </row>
    <row r="609" spans="1:26" x14ac:dyDescent="0.25">
      <c r="A609" s="1">
        <v>45449</v>
      </c>
      <c r="B609" t="s">
        <v>178</v>
      </c>
      <c r="C609" t="s">
        <v>17</v>
      </c>
      <c r="D609" t="s">
        <v>18</v>
      </c>
      <c r="E609">
        <v>15</v>
      </c>
      <c r="F609">
        <v>0</v>
      </c>
      <c r="G609">
        <v>580</v>
      </c>
      <c r="H609">
        <v>8700</v>
      </c>
      <c r="I609" t="s">
        <v>179</v>
      </c>
      <c r="J609">
        <v>5.44</v>
      </c>
      <c r="K609">
        <v>4.3499999999999996</v>
      </c>
      <c r="L609">
        <v>0</v>
      </c>
      <c r="M609">
        <v>0.01</v>
      </c>
      <c r="N609">
        <v>20</v>
      </c>
      <c r="O609">
        <v>4.38</v>
      </c>
      <c r="P609">
        <v>34.18</v>
      </c>
      <c r="Q609">
        <f t="shared" si="90"/>
        <v>2024</v>
      </c>
      <c r="R609">
        <f t="shared" si="91"/>
        <v>6</v>
      </c>
      <c r="S609">
        <f t="shared" si="92"/>
        <v>2024</v>
      </c>
      <c r="T609">
        <f t="shared" si="93"/>
        <v>3</v>
      </c>
      <c r="U609" t="str">
        <f t="shared" si="94"/>
        <v>03</v>
      </c>
      <c r="V609" t="str">
        <f t="shared" si="95"/>
        <v>202403</v>
      </c>
      <c r="W609" t="str">
        <f t="shared" si="96"/>
        <v>Jun-24</v>
      </c>
      <c r="X609" s="3">
        <f t="shared" si="97"/>
        <v>8665.82</v>
      </c>
      <c r="Y609">
        <f t="shared" si="98"/>
        <v>8665.82</v>
      </c>
      <c r="Z609" t="str">
        <f t="shared" si="99"/>
        <v/>
      </c>
    </row>
    <row r="610" spans="1:26" x14ac:dyDescent="0.25">
      <c r="A610" s="1">
        <v>45449</v>
      </c>
      <c r="B610" t="s">
        <v>178</v>
      </c>
      <c r="C610" t="s">
        <v>17</v>
      </c>
      <c r="D610" t="s">
        <v>22</v>
      </c>
      <c r="E610">
        <v>15</v>
      </c>
      <c r="F610">
        <v>0</v>
      </c>
      <c r="G610">
        <v>539.85</v>
      </c>
      <c r="H610">
        <v>8097.75</v>
      </c>
      <c r="I610" t="s">
        <v>180</v>
      </c>
      <c r="J610">
        <v>0</v>
      </c>
      <c r="K610">
        <v>4.05</v>
      </c>
      <c r="L610">
        <v>0.24</v>
      </c>
      <c r="M610">
        <v>0.01</v>
      </c>
      <c r="N610">
        <v>20</v>
      </c>
      <c r="O610">
        <v>4.34</v>
      </c>
      <c r="P610">
        <v>28.64</v>
      </c>
      <c r="Q610">
        <f t="shared" si="90"/>
        <v>2024</v>
      </c>
      <c r="R610">
        <f t="shared" si="91"/>
        <v>6</v>
      </c>
      <c r="S610">
        <f t="shared" si="92"/>
        <v>2024</v>
      </c>
      <c r="T610">
        <f t="shared" si="93"/>
        <v>3</v>
      </c>
      <c r="U610" t="str">
        <f t="shared" si="94"/>
        <v>03</v>
      </c>
      <c r="V610" t="str">
        <f t="shared" si="95"/>
        <v>202403</v>
      </c>
      <c r="W610" t="str">
        <f t="shared" si="96"/>
        <v>Jun-24</v>
      </c>
      <c r="X610" s="3">
        <f t="shared" si="97"/>
        <v>-8126.39</v>
      </c>
      <c r="Y610" t="str">
        <f t="shared" si="98"/>
        <v/>
      </c>
      <c r="Z610">
        <f t="shared" si="99"/>
        <v>-8126.39</v>
      </c>
    </row>
    <row r="611" spans="1:26" x14ac:dyDescent="0.25">
      <c r="A611" s="1">
        <v>45449</v>
      </c>
      <c r="B611" t="s">
        <v>181</v>
      </c>
      <c r="C611" t="s">
        <v>17</v>
      </c>
      <c r="D611" t="s">
        <v>18</v>
      </c>
      <c r="E611">
        <v>125</v>
      </c>
      <c r="F611">
        <v>0</v>
      </c>
      <c r="G611">
        <v>155.25</v>
      </c>
      <c r="H611">
        <v>19406.25</v>
      </c>
      <c r="I611" t="s">
        <v>182</v>
      </c>
      <c r="J611">
        <v>11.73</v>
      </c>
      <c r="K611">
        <v>9.6999999999999993</v>
      </c>
      <c r="L611">
        <v>0</v>
      </c>
      <c r="M611">
        <v>0.02</v>
      </c>
      <c r="N611">
        <v>100</v>
      </c>
      <c r="O611">
        <v>19.739999999999998</v>
      </c>
      <c r="P611">
        <v>141.19</v>
      </c>
      <c r="Q611">
        <f t="shared" si="90"/>
        <v>2024</v>
      </c>
      <c r="R611">
        <f t="shared" si="91"/>
        <v>6</v>
      </c>
      <c r="S611">
        <f t="shared" si="92"/>
        <v>2024</v>
      </c>
      <c r="T611">
        <f t="shared" si="93"/>
        <v>3</v>
      </c>
      <c r="U611" t="str">
        <f t="shared" si="94"/>
        <v>03</v>
      </c>
      <c r="V611" t="str">
        <f t="shared" si="95"/>
        <v>202403</v>
      </c>
      <c r="W611" t="str">
        <f t="shared" si="96"/>
        <v>Jun-24</v>
      </c>
      <c r="X611" s="3">
        <f t="shared" si="97"/>
        <v>19265.060000000001</v>
      </c>
      <c r="Y611">
        <f t="shared" si="98"/>
        <v>19265.060000000001</v>
      </c>
      <c r="Z611" t="str">
        <f t="shared" si="99"/>
        <v/>
      </c>
    </row>
    <row r="612" spans="1:26" x14ac:dyDescent="0.25">
      <c r="A612" s="1">
        <v>45449</v>
      </c>
      <c r="B612" t="s">
        <v>181</v>
      </c>
      <c r="C612" t="s">
        <v>17</v>
      </c>
      <c r="D612" t="s">
        <v>22</v>
      </c>
      <c r="E612">
        <v>125</v>
      </c>
      <c r="F612">
        <v>0</v>
      </c>
      <c r="G612">
        <v>125.17</v>
      </c>
      <c r="H612">
        <v>15646.25</v>
      </c>
      <c r="I612" t="s">
        <v>183</v>
      </c>
      <c r="J612">
        <v>0</v>
      </c>
      <c r="K612">
        <v>7.82</v>
      </c>
      <c r="L612">
        <v>0.47</v>
      </c>
      <c r="M612">
        <v>0.02</v>
      </c>
      <c r="N612">
        <v>100</v>
      </c>
      <c r="O612">
        <v>19.399999999999999</v>
      </c>
      <c r="P612">
        <v>127.71</v>
      </c>
      <c r="Q612">
        <f t="shared" si="90"/>
        <v>2024</v>
      </c>
      <c r="R612">
        <f t="shared" si="91"/>
        <v>6</v>
      </c>
      <c r="S612">
        <f t="shared" si="92"/>
        <v>2024</v>
      </c>
      <c r="T612">
        <f t="shared" si="93"/>
        <v>3</v>
      </c>
      <c r="U612" t="str">
        <f t="shared" si="94"/>
        <v>03</v>
      </c>
      <c r="V612" t="str">
        <f t="shared" si="95"/>
        <v>202403</v>
      </c>
      <c r="W612" t="str">
        <f t="shared" si="96"/>
        <v>Jun-24</v>
      </c>
      <c r="X612" s="3">
        <f t="shared" si="97"/>
        <v>-15773.96</v>
      </c>
      <c r="Y612" t="str">
        <f t="shared" si="98"/>
        <v/>
      </c>
      <c r="Z612">
        <f t="shared" si="99"/>
        <v>-15773.96</v>
      </c>
    </row>
    <row r="613" spans="1:26" x14ac:dyDescent="0.25">
      <c r="A613" s="1">
        <v>45455</v>
      </c>
      <c r="B613" t="s">
        <v>170</v>
      </c>
      <c r="C613" t="s">
        <v>17</v>
      </c>
      <c r="D613" t="s">
        <v>18</v>
      </c>
      <c r="E613">
        <v>100</v>
      </c>
      <c r="F613">
        <v>0</v>
      </c>
      <c r="G613">
        <v>119.25</v>
      </c>
      <c r="H613">
        <v>11925</v>
      </c>
      <c r="I613" t="s">
        <v>171</v>
      </c>
      <c r="J613">
        <v>7</v>
      </c>
      <c r="K613">
        <v>5.96</v>
      </c>
      <c r="L613">
        <v>0</v>
      </c>
      <c r="M613">
        <v>0.01</v>
      </c>
      <c r="N613">
        <v>80</v>
      </c>
      <c r="O613">
        <v>15.46</v>
      </c>
      <c r="P613">
        <v>108.43</v>
      </c>
      <c r="Q613">
        <f t="shared" si="90"/>
        <v>2024</v>
      </c>
      <c r="R613">
        <f t="shared" si="91"/>
        <v>6</v>
      </c>
      <c r="S613">
        <f t="shared" si="92"/>
        <v>2024</v>
      </c>
      <c r="T613">
        <f t="shared" si="93"/>
        <v>3</v>
      </c>
      <c r="U613" t="str">
        <f t="shared" si="94"/>
        <v>03</v>
      </c>
      <c r="V613" t="str">
        <f t="shared" si="95"/>
        <v>202403</v>
      </c>
      <c r="W613" t="str">
        <f t="shared" si="96"/>
        <v>Jun-24</v>
      </c>
      <c r="X613" s="3">
        <f t="shared" si="97"/>
        <v>11816.57</v>
      </c>
      <c r="Y613">
        <f t="shared" si="98"/>
        <v>11816.57</v>
      </c>
      <c r="Z613" t="str">
        <f t="shared" si="99"/>
        <v/>
      </c>
    </row>
    <row r="614" spans="1:26" x14ac:dyDescent="0.25">
      <c r="A614" s="1">
        <v>45455</v>
      </c>
      <c r="B614" t="s">
        <v>170</v>
      </c>
      <c r="C614" t="s">
        <v>17</v>
      </c>
      <c r="D614" t="s">
        <v>22</v>
      </c>
      <c r="E614">
        <v>100</v>
      </c>
      <c r="F614">
        <v>0</v>
      </c>
      <c r="G614">
        <v>138.6</v>
      </c>
      <c r="H614">
        <v>13860</v>
      </c>
      <c r="I614" t="s">
        <v>172</v>
      </c>
      <c r="J614">
        <v>0</v>
      </c>
      <c r="K614">
        <v>6.93</v>
      </c>
      <c r="L614">
        <v>0</v>
      </c>
      <c r="M614">
        <v>0.01</v>
      </c>
      <c r="N614">
        <v>80</v>
      </c>
      <c r="O614">
        <v>15.64</v>
      </c>
      <c r="P614">
        <v>102.58</v>
      </c>
      <c r="Q614">
        <f t="shared" si="90"/>
        <v>2024</v>
      </c>
      <c r="R614">
        <f t="shared" si="91"/>
        <v>6</v>
      </c>
      <c r="S614">
        <f t="shared" si="92"/>
        <v>2024</v>
      </c>
      <c r="T614">
        <f t="shared" si="93"/>
        <v>3</v>
      </c>
      <c r="U614" t="str">
        <f t="shared" si="94"/>
        <v>03</v>
      </c>
      <c r="V614" t="str">
        <f t="shared" si="95"/>
        <v>202403</v>
      </c>
      <c r="W614" t="str">
        <f t="shared" si="96"/>
        <v>Jun-24</v>
      </c>
      <c r="X614" s="3">
        <f t="shared" si="97"/>
        <v>-13962.58</v>
      </c>
      <c r="Y614" t="str">
        <f t="shared" si="98"/>
        <v/>
      </c>
      <c r="Z614">
        <f t="shared" si="99"/>
        <v>-13962.58</v>
      </c>
    </row>
    <row r="615" spans="1:26" x14ac:dyDescent="0.25">
      <c r="A615" s="1">
        <v>45456</v>
      </c>
      <c r="B615" t="s">
        <v>164</v>
      </c>
      <c r="C615" t="s">
        <v>17</v>
      </c>
      <c r="D615" t="s">
        <v>18</v>
      </c>
      <c r="E615">
        <v>45</v>
      </c>
      <c r="F615">
        <v>0</v>
      </c>
      <c r="G615">
        <v>290.25</v>
      </c>
      <c r="H615">
        <v>13061.25</v>
      </c>
      <c r="I615" t="s">
        <v>165</v>
      </c>
      <c r="J615">
        <v>7.78</v>
      </c>
      <c r="K615">
        <v>6.53</v>
      </c>
      <c r="L615">
        <v>0</v>
      </c>
      <c r="M615">
        <v>0.01</v>
      </c>
      <c r="N615">
        <v>60</v>
      </c>
      <c r="O615">
        <v>11.98</v>
      </c>
      <c r="P615">
        <v>86.3</v>
      </c>
      <c r="Q615">
        <f t="shared" si="90"/>
        <v>2024</v>
      </c>
      <c r="R615">
        <f t="shared" si="91"/>
        <v>6</v>
      </c>
      <c r="S615">
        <f t="shared" si="92"/>
        <v>2024</v>
      </c>
      <c r="T615">
        <f t="shared" si="93"/>
        <v>3</v>
      </c>
      <c r="U615" t="str">
        <f t="shared" si="94"/>
        <v>03</v>
      </c>
      <c r="V615" t="str">
        <f t="shared" si="95"/>
        <v>202403</v>
      </c>
      <c r="W615" t="str">
        <f t="shared" si="96"/>
        <v>Jun-24</v>
      </c>
      <c r="X615" s="3">
        <f t="shared" si="97"/>
        <v>12974.95</v>
      </c>
      <c r="Y615">
        <f t="shared" si="98"/>
        <v>12974.95</v>
      </c>
      <c r="Z615" t="str">
        <f t="shared" si="99"/>
        <v/>
      </c>
    </row>
    <row r="616" spans="1:26" x14ac:dyDescent="0.25">
      <c r="A616" s="1">
        <v>45456</v>
      </c>
      <c r="B616" t="s">
        <v>164</v>
      </c>
      <c r="C616" t="s">
        <v>17</v>
      </c>
      <c r="D616" t="s">
        <v>22</v>
      </c>
      <c r="E616">
        <v>45</v>
      </c>
      <c r="F616">
        <v>0</v>
      </c>
      <c r="G616">
        <v>360.4</v>
      </c>
      <c r="H616">
        <v>16218</v>
      </c>
      <c r="I616" t="s">
        <v>166</v>
      </c>
      <c r="J616">
        <v>0</v>
      </c>
      <c r="K616">
        <v>8.11</v>
      </c>
      <c r="L616">
        <v>0.7</v>
      </c>
      <c r="M616">
        <v>0.02</v>
      </c>
      <c r="N616">
        <v>60</v>
      </c>
      <c r="O616">
        <v>12.26</v>
      </c>
      <c r="P616">
        <v>81.09</v>
      </c>
      <c r="Q616">
        <f t="shared" si="90"/>
        <v>2024</v>
      </c>
      <c r="R616">
        <f t="shared" si="91"/>
        <v>6</v>
      </c>
      <c r="S616">
        <f t="shared" si="92"/>
        <v>2024</v>
      </c>
      <c r="T616">
        <f t="shared" si="93"/>
        <v>3</v>
      </c>
      <c r="U616" t="str">
        <f t="shared" si="94"/>
        <v>03</v>
      </c>
      <c r="V616" t="str">
        <f t="shared" si="95"/>
        <v>202403</v>
      </c>
      <c r="W616" t="str">
        <f t="shared" si="96"/>
        <v>Jun-24</v>
      </c>
      <c r="X616" s="3">
        <f t="shared" si="97"/>
        <v>-16299.09</v>
      </c>
      <c r="Y616" t="str">
        <f t="shared" si="98"/>
        <v/>
      </c>
      <c r="Z616">
        <f t="shared" si="99"/>
        <v>-16299.09</v>
      </c>
    </row>
    <row r="617" spans="1:26" x14ac:dyDescent="0.25">
      <c r="A617" s="1">
        <v>45456</v>
      </c>
      <c r="B617" t="s">
        <v>167</v>
      </c>
      <c r="C617" t="s">
        <v>17</v>
      </c>
      <c r="D617" t="s">
        <v>18</v>
      </c>
      <c r="E617">
        <v>100</v>
      </c>
      <c r="F617">
        <v>0</v>
      </c>
      <c r="G617">
        <v>131.55000000000001</v>
      </c>
      <c r="H617">
        <v>13155</v>
      </c>
      <c r="I617" t="s">
        <v>168</v>
      </c>
      <c r="J617">
        <v>8.2200000000000006</v>
      </c>
      <c r="K617">
        <v>6.58</v>
      </c>
      <c r="L617">
        <v>0</v>
      </c>
      <c r="M617">
        <v>0.01</v>
      </c>
      <c r="N617">
        <v>80</v>
      </c>
      <c r="O617">
        <v>15.58</v>
      </c>
      <c r="P617">
        <v>110.39</v>
      </c>
      <c r="Q617">
        <f t="shared" si="90"/>
        <v>2024</v>
      </c>
      <c r="R617">
        <f t="shared" si="91"/>
        <v>6</v>
      </c>
      <c r="S617">
        <f t="shared" si="92"/>
        <v>2024</v>
      </c>
      <c r="T617">
        <f t="shared" si="93"/>
        <v>3</v>
      </c>
      <c r="U617" t="str">
        <f t="shared" si="94"/>
        <v>03</v>
      </c>
      <c r="V617" t="str">
        <f t="shared" si="95"/>
        <v>202403</v>
      </c>
      <c r="W617" t="str">
        <f t="shared" si="96"/>
        <v>Jun-24</v>
      </c>
      <c r="X617" s="3">
        <f t="shared" si="97"/>
        <v>13044.61</v>
      </c>
      <c r="Y617">
        <f t="shared" si="98"/>
        <v>13044.61</v>
      </c>
      <c r="Z617" t="str">
        <f t="shared" si="99"/>
        <v/>
      </c>
    </row>
    <row r="618" spans="1:26" x14ac:dyDescent="0.25">
      <c r="A618" s="1">
        <v>45456</v>
      </c>
      <c r="B618" t="s">
        <v>167</v>
      </c>
      <c r="C618" t="s">
        <v>17</v>
      </c>
      <c r="D618" t="s">
        <v>22</v>
      </c>
      <c r="E618">
        <v>100</v>
      </c>
      <c r="F618">
        <v>0</v>
      </c>
      <c r="G618">
        <v>100.19</v>
      </c>
      <c r="H618">
        <v>10018.75</v>
      </c>
      <c r="I618" t="s">
        <v>169</v>
      </c>
      <c r="J618">
        <v>0</v>
      </c>
      <c r="K618">
        <v>5.01</v>
      </c>
      <c r="L618">
        <v>0.3</v>
      </c>
      <c r="M618">
        <v>0.01</v>
      </c>
      <c r="N618">
        <v>80</v>
      </c>
      <c r="O618">
        <v>15.3</v>
      </c>
      <c r="P618">
        <v>100.62</v>
      </c>
      <c r="Q618">
        <f t="shared" si="90"/>
        <v>2024</v>
      </c>
      <c r="R618">
        <f t="shared" si="91"/>
        <v>6</v>
      </c>
      <c r="S618">
        <f t="shared" si="92"/>
        <v>2024</v>
      </c>
      <c r="T618">
        <f t="shared" si="93"/>
        <v>3</v>
      </c>
      <c r="U618" t="str">
        <f t="shared" si="94"/>
        <v>03</v>
      </c>
      <c r="V618" t="str">
        <f t="shared" si="95"/>
        <v>202403</v>
      </c>
      <c r="W618" t="str">
        <f t="shared" si="96"/>
        <v>Jun-24</v>
      </c>
      <c r="X618" s="3">
        <f t="shared" si="97"/>
        <v>-10119.370000000001</v>
      </c>
      <c r="Y618" t="str">
        <f t="shared" si="98"/>
        <v/>
      </c>
      <c r="Z618">
        <f t="shared" si="99"/>
        <v>-10119.370000000001</v>
      </c>
    </row>
    <row r="619" spans="1:26" x14ac:dyDescent="0.25">
      <c r="A619" s="1">
        <v>45467</v>
      </c>
      <c r="B619" t="s">
        <v>160</v>
      </c>
      <c r="C619" t="s">
        <v>17</v>
      </c>
      <c r="D619" t="s">
        <v>18</v>
      </c>
      <c r="E619">
        <v>150</v>
      </c>
      <c r="F619">
        <v>0</v>
      </c>
      <c r="G619">
        <v>9</v>
      </c>
      <c r="H619">
        <v>1350</v>
      </c>
      <c r="I619" t="s">
        <v>161</v>
      </c>
      <c r="J619">
        <v>1</v>
      </c>
      <c r="K619">
        <v>0.68</v>
      </c>
      <c r="L619">
        <v>0</v>
      </c>
      <c r="M619">
        <v>0</v>
      </c>
      <c r="N619">
        <v>40</v>
      </c>
      <c r="O619">
        <v>7.32</v>
      </c>
      <c r="P619">
        <v>49</v>
      </c>
      <c r="Q619">
        <f t="shared" si="90"/>
        <v>2024</v>
      </c>
      <c r="R619">
        <f t="shared" si="91"/>
        <v>6</v>
      </c>
      <c r="S619">
        <f t="shared" si="92"/>
        <v>2024</v>
      </c>
      <c r="T619">
        <f t="shared" si="93"/>
        <v>3</v>
      </c>
      <c r="U619" t="str">
        <f t="shared" si="94"/>
        <v>03</v>
      </c>
      <c r="V619" t="str">
        <f t="shared" si="95"/>
        <v>202403</v>
      </c>
      <c r="W619" t="str">
        <f t="shared" si="96"/>
        <v>Jun-24</v>
      </c>
      <c r="X619" s="3">
        <f t="shared" si="97"/>
        <v>1301</v>
      </c>
      <c r="Y619">
        <f t="shared" si="98"/>
        <v>1301</v>
      </c>
      <c r="Z619" t="str">
        <f t="shared" si="99"/>
        <v/>
      </c>
    </row>
    <row r="620" spans="1:26" x14ac:dyDescent="0.25">
      <c r="A620" s="1">
        <v>45467</v>
      </c>
      <c r="B620" t="s">
        <v>160</v>
      </c>
      <c r="C620" t="s">
        <v>17</v>
      </c>
      <c r="D620" t="s">
        <v>22</v>
      </c>
      <c r="E620">
        <v>75</v>
      </c>
      <c r="F620">
        <v>0</v>
      </c>
      <c r="G620">
        <v>31.25</v>
      </c>
      <c r="H620">
        <v>2343.75</v>
      </c>
      <c r="I620" t="s">
        <v>162</v>
      </c>
      <c r="J620">
        <v>0</v>
      </c>
      <c r="K620">
        <v>1.17</v>
      </c>
      <c r="L620">
        <v>0</v>
      </c>
      <c r="M620">
        <v>0</v>
      </c>
      <c r="N620">
        <v>20</v>
      </c>
      <c r="O620">
        <v>3.82</v>
      </c>
      <c r="P620">
        <v>24.99</v>
      </c>
      <c r="Q620">
        <f t="shared" si="90"/>
        <v>2024</v>
      </c>
      <c r="R620">
        <f t="shared" si="91"/>
        <v>6</v>
      </c>
      <c r="S620">
        <f t="shared" si="92"/>
        <v>2024</v>
      </c>
      <c r="T620">
        <f t="shared" si="93"/>
        <v>3</v>
      </c>
      <c r="U620" t="str">
        <f t="shared" si="94"/>
        <v>03</v>
      </c>
      <c r="V620" t="str">
        <f t="shared" si="95"/>
        <v>202403</v>
      </c>
      <c r="W620" t="str">
        <f t="shared" si="96"/>
        <v>Jun-24</v>
      </c>
      <c r="X620" s="3">
        <f t="shared" si="97"/>
        <v>-2368.7399999999998</v>
      </c>
      <c r="Y620" t="str">
        <f t="shared" si="98"/>
        <v/>
      </c>
      <c r="Z620">
        <f t="shared" si="99"/>
        <v>-2368.7399999999998</v>
      </c>
    </row>
    <row r="621" spans="1:26" x14ac:dyDescent="0.25">
      <c r="A621" s="1">
        <v>45467</v>
      </c>
      <c r="B621" t="s">
        <v>160</v>
      </c>
      <c r="C621" t="s">
        <v>17</v>
      </c>
      <c r="D621" t="s">
        <v>22</v>
      </c>
      <c r="E621">
        <v>75</v>
      </c>
      <c r="F621">
        <v>0</v>
      </c>
      <c r="G621">
        <v>70.3</v>
      </c>
      <c r="H621">
        <v>5272.5</v>
      </c>
      <c r="I621" t="s">
        <v>163</v>
      </c>
      <c r="J621">
        <v>0</v>
      </c>
      <c r="K621">
        <v>2.64</v>
      </c>
      <c r="L621">
        <v>0</v>
      </c>
      <c r="M621">
        <v>0.01</v>
      </c>
      <c r="N621">
        <v>20</v>
      </c>
      <c r="O621">
        <v>4.08</v>
      </c>
      <c r="P621">
        <v>26.73</v>
      </c>
      <c r="Q621">
        <f t="shared" si="90"/>
        <v>2024</v>
      </c>
      <c r="R621">
        <f t="shared" si="91"/>
        <v>6</v>
      </c>
      <c r="S621">
        <f t="shared" si="92"/>
        <v>2024</v>
      </c>
      <c r="T621">
        <f t="shared" si="93"/>
        <v>3</v>
      </c>
      <c r="U621" t="str">
        <f t="shared" si="94"/>
        <v>03</v>
      </c>
      <c r="V621" t="str">
        <f t="shared" si="95"/>
        <v>202403</v>
      </c>
      <c r="W621" t="str">
        <f t="shared" si="96"/>
        <v>Jun-24</v>
      </c>
      <c r="X621" s="3">
        <f t="shared" si="97"/>
        <v>-5299.23</v>
      </c>
      <c r="Y621" t="str">
        <f t="shared" si="98"/>
        <v/>
      </c>
      <c r="Z621">
        <f t="shared" si="99"/>
        <v>-5299.23</v>
      </c>
    </row>
    <row r="622" spans="1:26" x14ac:dyDescent="0.25">
      <c r="A622" s="1">
        <v>45475</v>
      </c>
      <c r="B622" t="s">
        <v>154</v>
      </c>
      <c r="C622" t="s">
        <v>17</v>
      </c>
      <c r="D622" t="s">
        <v>18</v>
      </c>
      <c r="E622">
        <v>105</v>
      </c>
      <c r="F622">
        <v>0</v>
      </c>
      <c r="G622">
        <v>192.2</v>
      </c>
      <c r="H622">
        <v>20181</v>
      </c>
      <c r="I622" t="s">
        <v>155</v>
      </c>
      <c r="J622">
        <v>12.62</v>
      </c>
      <c r="K622">
        <v>10.09</v>
      </c>
      <c r="L622">
        <v>0</v>
      </c>
      <c r="M622">
        <v>0.02</v>
      </c>
      <c r="N622">
        <v>140</v>
      </c>
      <c r="O622">
        <v>27.02</v>
      </c>
      <c r="P622">
        <v>189.75</v>
      </c>
      <c r="Q622">
        <f t="shared" si="90"/>
        <v>2024</v>
      </c>
      <c r="R622">
        <f t="shared" si="91"/>
        <v>7</v>
      </c>
      <c r="S622">
        <f t="shared" si="92"/>
        <v>2024</v>
      </c>
      <c r="T622">
        <f t="shared" si="93"/>
        <v>4</v>
      </c>
      <c r="U622" t="str">
        <f t="shared" si="94"/>
        <v>04</v>
      </c>
      <c r="V622" t="str">
        <f t="shared" si="95"/>
        <v>202404</v>
      </c>
      <c r="W622" t="str">
        <f t="shared" si="96"/>
        <v>Jul-24</v>
      </c>
      <c r="X622" s="3">
        <f t="shared" si="97"/>
        <v>19991.25</v>
      </c>
      <c r="Y622">
        <f t="shared" si="98"/>
        <v>19991.25</v>
      </c>
      <c r="Z622" t="str">
        <f t="shared" si="99"/>
        <v/>
      </c>
    </row>
    <row r="623" spans="1:26" x14ac:dyDescent="0.25">
      <c r="A623" s="1">
        <v>45475</v>
      </c>
      <c r="B623" t="s">
        <v>154</v>
      </c>
      <c r="C623" t="s">
        <v>17</v>
      </c>
      <c r="D623" t="s">
        <v>22</v>
      </c>
      <c r="E623">
        <v>105</v>
      </c>
      <c r="F623">
        <v>0</v>
      </c>
      <c r="G623">
        <v>252</v>
      </c>
      <c r="H623">
        <v>26460</v>
      </c>
      <c r="I623" t="s">
        <v>156</v>
      </c>
      <c r="J623">
        <v>0</v>
      </c>
      <c r="K623">
        <v>13.23</v>
      </c>
      <c r="L623">
        <v>0.4</v>
      </c>
      <c r="M623">
        <v>0.03</v>
      </c>
      <c r="N623">
        <v>140</v>
      </c>
      <c r="O623">
        <v>27.58</v>
      </c>
      <c r="P623">
        <v>181.24</v>
      </c>
      <c r="Q623">
        <f t="shared" si="90"/>
        <v>2024</v>
      </c>
      <c r="R623">
        <f t="shared" si="91"/>
        <v>7</v>
      </c>
      <c r="S623">
        <f t="shared" si="92"/>
        <v>2024</v>
      </c>
      <c r="T623">
        <f t="shared" si="93"/>
        <v>4</v>
      </c>
      <c r="U623" t="str">
        <f t="shared" si="94"/>
        <v>04</v>
      </c>
      <c r="V623" t="str">
        <f t="shared" si="95"/>
        <v>202404</v>
      </c>
      <c r="W623" t="str">
        <f t="shared" si="96"/>
        <v>Jul-24</v>
      </c>
      <c r="X623" s="3">
        <f t="shared" si="97"/>
        <v>-26641.24</v>
      </c>
      <c r="Y623" t="str">
        <f t="shared" si="98"/>
        <v/>
      </c>
      <c r="Z623">
        <f t="shared" si="99"/>
        <v>-26641.24</v>
      </c>
    </row>
    <row r="624" spans="1:26" x14ac:dyDescent="0.25">
      <c r="A624" s="1">
        <v>45475</v>
      </c>
      <c r="B624" t="s">
        <v>157</v>
      </c>
      <c r="C624" t="s">
        <v>17</v>
      </c>
      <c r="D624" t="s">
        <v>18</v>
      </c>
      <c r="E624">
        <v>105</v>
      </c>
      <c r="F624">
        <v>0</v>
      </c>
      <c r="G624">
        <v>150</v>
      </c>
      <c r="H624">
        <v>15750</v>
      </c>
      <c r="I624" t="s">
        <v>158</v>
      </c>
      <c r="J624">
        <v>9.39</v>
      </c>
      <c r="K624">
        <v>7.88</v>
      </c>
      <c r="L624">
        <v>0</v>
      </c>
      <c r="M624">
        <v>0.02</v>
      </c>
      <c r="N624">
        <v>140</v>
      </c>
      <c r="O624">
        <v>26.62</v>
      </c>
      <c r="P624">
        <v>183.91</v>
      </c>
      <c r="Q624">
        <f t="shared" si="90"/>
        <v>2024</v>
      </c>
      <c r="R624">
        <f t="shared" si="91"/>
        <v>7</v>
      </c>
      <c r="S624">
        <f t="shared" si="92"/>
        <v>2024</v>
      </c>
      <c r="T624">
        <f t="shared" si="93"/>
        <v>4</v>
      </c>
      <c r="U624" t="str">
        <f t="shared" si="94"/>
        <v>04</v>
      </c>
      <c r="V624" t="str">
        <f t="shared" si="95"/>
        <v>202404</v>
      </c>
      <c r="W624" t="str">
        <f t="shared" si="96"/>
        <v>Jul-24</v>
      </c>
      <c r="X624" s="3">
        <f t="shared" si="97"/>
        <v>15566.09</v>
      </c>
      <c r="Y624">
        <f t="shared" si="98"/>
        <v>15566.09</v>
      </c>
      <c r="Z624" t="str">
        <f t="shared" si="99"/>
        <v/>
      </c>
    </row>
    <row r="625" spans="1:26" x14ac:dyDescent="0.25">
      <c r="A625" s="1">
        <v>45475</v>
      </c>
      <c r="B625" t="s">
        <v>157</v>
      </c>
      <c r="C625" t="s">
        <v>17</v>
      </c>
      <c r="D625" t="s">
        <v>22</v>
      </c>
      <c r="E625">
        <v>105</v>
      </c>
      <c r="F625">
        <v>0</v>
      </c>
      <c r="G625">
        <v>191</v>
      </c>
      <c r="H625">
        <v>20055</v>
      </c>
      <c r="I625" t="s">
        <v>159</v>
      </c>
      <c r="J625">
        <v>0</v>
      </c>
      <c r="K625">
        <v>10.029999999999999</v>
      </c>
      <c r="L625">
        <v>0.6</v>
      </c>
      <c r="M625">
        <v>0.02</v>
      </c>
      <c r="N625">
        <v>140</v>
      </c>
      <c r="O625">
        <v>27</v>
      </c>
      <c r="P625">
        <v>177.65</v>
      </c>
      <c r="Q625">
        <f t="shared" si="90"/>
        <v>2024</v>
      </c>
      <c r="R625">
        <f t="shared" si="91"/>
        <v>7</v>
      </c>
      <c r="S625">
        <f t="shared" si="92"/>
        <v>2024</v>
      </c>
      <c r="T625">
        <f t="shared" si="93"/>
        <v>4</v>
      </c>
      <c r="U625" t="str">
        <f t="shared" si="94"/>
        <v>04</v>
      </c>
      <c r="V625" t="str">
        <f t="shared" si="95"/>
        <v>202404</v>
      </c>
      <c r="W625" t="str">
        <f t="shared" si="96"/>
        <v>Jul-24</v>
      </c>
      <c r="X625" s="3">
        <f t="shared" si="97"/>
        <v>-20232.650000000001</v>
      </c>
      <c r="Y625" t="str">
        <f t="shared" si="98"/>
        <v/>
      </c>
      <c r="Z625">
        <f t="shared" si="99"/>
        <v>-20232.650000000001</v>
      </c>
    </row>
    <row r="626" spans="1:26" x14ac:dyDescent="0.25">
      <c r="A626" s="1">
        <v>45476</v>
      </c>
      <c r="B626" t="s">
        <v>151</v>
      </c>
      <c r="C626" t="s">
        <v>17</v>
      </c>
      <c r="D626" t="s">
        <v>18</v>
      </c>
      <c r="E626">
        <v>900</v>
      </c>
      <c r="F626">
        <v>0</v>
      </c>
      <c r="G626">
        <v>27.25</v>
      </c>
      <c r="H626">
        <v>24525</v>
      </c>
      <c r="I626" t="s">
        <v>152</v>
      </c>
      <c r="J626">
        <v>15.03</v>
      </c>
      <c r="K626">
        <v>12.24</v>
      </c>
      <c r="L626">
        <v>0</v>
      </c>
      <c r="M626">
        <v>0</v>
      </c>
      <c r="N626">
        <v>1200</v>
      </c>
      <c r="O626">
        <v>218.26</v>
      </c>
      <c r="P626">
        <v>1445.53</v>
      </c>
      <c r="Q626">
        <f t="shared" si="90"/>
        <v>2024</v>
      </c>
      <c r="R626">
        <f t="shared" si="91"/>
        <v>7</v>
      </c>
      <c r="S626">
        <f t="shared" si="92"/>
        <v>2024</v>
      </c>
      <c r="T626">
        <f t="shared" si="93"/>
        <v>4</v>
      </c>
      <c r="U626" t="str">
        <f t="shared" si="94"/>
        <v>04</v>
      </c>
      <c r="V626" t="str">
        <f t="shared" si="95"/>
        <v>202404</v>
      </c>
      <c r="W626" t="str">
        <f t="shared" si="96"/>
        <v>Jul-24</v>
      </c>
      <c r="X626" s="3">
        <f t="shared" si="97"/>
        <v>23079.47</v>
      </c>
      <c r="Y626">
        <f t="shared" si="98"/>
        <v>23079.47</v>
      </c>
      <c r="Z626" t="str">
        <f t="shared" si="99"/>
        <v/>
      </c>
    </row>
    <row r="627" spans="1:26" x14ac:dyDescent="0.25">
      <c r="A627" s="1">
        <v>45476</v>
      </c>
      <c r="B627" t="s">
        <v>151</v>
      </c>
      <c r="C627" t="s">
        <v>17</v>
      </c>
      <c r="D627" t="s">
        <v>22</v>
      </c>
      <c r="E627">
        <v>900</v>
      </c>
      <c r="F627">
        <v>0</v>
      </c>
      <c r="G627">
        <v>22</v>
      </c>
      <c r="H627">
        <v>19800</v>
      </c>
      <c r="I627" t="s">
        <v>153</v>
      </c>
      <c r="J627">
        <v>0</v>
      </c>
      <c r="K627">
        <v>9.91</v>
      </c>
      <c r="L627">
        <v>1</v>
      </c>
      <c r="M627">
        <v>0.02</v>
      </c>
      <c r="N627">
        <v>1200</v>
      </c>
      <c r="O627">
        <v>217.8</v>
      </c>
      <c r="P627">
        <v>1428.73</v>
      </c>
      <c r="Q627">
        <f t="shared" si="90"/>
        <v>2024</v>
      </c>
      <c r="R627">
        <f t="shared" si="91"/>
        <v>7</v>
      </c>
      <c r="S627">
        <f t="shared" si="92"/>
        <v>2024</v>
      </c>
      <c r="T627">
        <f t="shared" si="93"/>
        <v>4</v>
      </c>
      <c r="U627" t="str">
        <f t="shared" si="94"/>
        <v>04</v>
      </c>
      <c r="V627" t="str">
        <f t="shared" si="95"/>
        <v>202404</v>
      </c>
      <c r="W627" t="str">
        <f t="shared" si="96"/>
        <v>Jul-24</v>
      </c>
      <c r="X627" s="3">
        <f t="shared" si="97"/>
        <v>-21228.73</v>
      </c>
      <c r="Y627" t="str">
        <f t="shared" si="98"/>
        <v/>
      </c>
      <c r="Z627">
        <f t="shared" si="99"/>
        <v>-21228.73</v>
      </c>
    </row>
    <row r="628" spans="1:26" x14ac:dyDescent="0.25">
      <c r="A628" s="1">
        <v>45477</v>
      </c>
      <c r="B628" t="s">
        <v>147</v>
      </c>
      <c r="C628" t="s">
        <v>17</v>
      </c>
      <c r="D628" t="s">
        <v>18</v>
      </c>
      <c r="E628">
        <v>120</v>
      </c>
      <c r="F628">
        <v>0</v>
      </c>
      <c r="G628">
        <v>547.29999999999995</v>
      </c>
      <c r="H628">
        <v>65676</v>
      </c>
      <c r="I628" t="s">
        <v>148</v>
      </c>
      <c r="J628">
        <v>41</v>
      </c>
      <c r="K628">
        <v>32.83</v>
      </c>
      <c r="L628">
        <v>0</v>
      </c>
      <c r="M628">
        <v>7.0000000000000007E-2</v>
      </c>
      <c r="N628">
        <v>160</v>
      </c>
      <c r="O628">
        <v>34.72</v>
      </c>
      <c r="P628">
        <v>268.62</v>
      </c>
      <c r="Q628">
        <f t="shared" si="90"/>
        <v>2024</v>
      </c>
      <c r="R628">
        <f t="shared" si="91"/>
        <v>7</v>
      </c>
      <c r="S628">
        <f t="shared" si="92"/>
        <v>2024</v>
      </c>
      <c r="T628">
        <f t="shared" si="93"/>
        <v>4</v>
      </c>
      <c r="U628" t="str">
        <f t="shared" si="94"/>
        <v>04</v>
      </c>
      <c r="V628" t="str">
        <f t="shared" si="95"/>
        <v>202404</v>
      </c>
      <c r="W628" t="str">
        <f t="shared" si="96"/>
        <v>Jul-24</v>
      </c>
      <c r="X628" s="3">
        <f t="shared" si="97"/>
        <v>65407.38</v>
      </c>
      <c r="Y628">
        <f t="shared" si="98"/>
        <v>65407.38</v>
      </c>
      <c r="Z628" t="str">
        <f t="shared" si="99"/>
        <v/>
      </c>
    </row>
    <row r="629" spans="1:26" x14ac:dyDescent="0.25">
      <c r="A629" s="1">
        <v>45477</v>
      </c>
      <c r="B629" t="s">
        <v>147</v>
      </c>
      <c r="C629" t="s">
        <v>17</v>
      </c>
      <c r="D629" t="s">
        <v>22</v>
      </c>
      <c r="E629">
        <v>60</v>
      </c>
      <c r="F629">
        <v>0</v>
      </c>
      <c r="G629">
        <v>384</v>
      </c>
      <c r="H629">
        <v>23040</v>
      </c>
      <c r="I629" t="s">
        <v>149</v>
      </c>
      <c r="J629">
        <v>0</v>
      </c>
      <c r="K629">
        <v>11.52</v>
      </c>
      <c r="L629">
        <v>0</v>
      </c>
      <c r="M629">
        <v>0.02</v>
      </c>
      <c r="N629">
        <v>80</v>
      </c>
      <c r="O629">
        <v>16.48</v>
      </c>
      <c r="P629">
        <v>108.02</v>
      </c>
      <c r="Q629">
        <f t="shared" si="90"/>
        <v>2024</v>
      </c>
      <c r="R629">
        <f t="shared" si="91"/>
        <v>7</v>
      </c>
      <c r="S629">
        <f t="shared" si="92"/>
        <v>2024</v>
      </c>
      <c r="T629">
        <f t="shared" si="93"/>
        <v>4</v>
      </c>
      <c r="U629" t="str">
        <f t="shared" si="94"/>
        <v>04</v>
      </c>
      <c r="V629" t="str">
        <f t="shared" si="95"/>
        <v>202404</v>
      </c>
      <c r="W629" t="str">
        <f t="shared" si="96"/>
        <v>Jul-24</v>
      </c>
      <c r="X629" s="3">
        <f t="shared" si="97"/>
        <v>-23148.02</v>
      </c>
      <c r="Y629" t="str">
        <f t="shared" si="98"/>
        <v/>
      </c>
      <c r="Z629">
        <f t="shared" si="99"/>
        <v>-23148.02</v>
      </c>
    </row>
    <row r="630" spans="1:26" x14ac:dyDescent="0.25">
      <c r="A630" s="1">
        <v>45477</v>
      </c>
      <c r="B630" t="s">
        <v>147</v>
      </c>
      <c r="C630" t="s">
        <v>17</v>
      </c>
      <c r="D630" t="s">
        <v>22</v>
      </c>
      <c r="E630">
        <v>60</v>
      </c>
      <c r="F630">
        <v>0</v>
      </c>
      <c r="G630">
        <v>473.2</v>
      </c>
      <c r="H630">
        <v>28392</v>
      </c>
      <c r="I630" t="s">
        <v>150</v>
      </c>
      <c r="J630">
        <v>0</v>
      </c>
      <c r="K630">
        <v>14.2</v>
      </c>
      <c r="L630">
        <v>2</v>
      </c>
      <c r="M630">
        <v>0.03</v>
      </c>
      <c r="N630">
        <v>80</v>
      </c>
      <c r="O630">
        <v>16.96</v>
      </c>
      <c r="P630">
        <v>113.19</v>
      </c>
      <c r="Q630">
        <f t="shared" si="90"/>
        <v>2024</v>
      </c>
      <c r="R630">
        <f t="shared" si="91"/>
        <v>7</v>
      </c>
      <c r="S630">
        <f t="shared" si="92"/>
        <v>2024</v>
      </c>
      <c r="T630">
        <f t="shared" si="93"/>
        <v>4</v>
      </c>
      <c r="U630" t="str">
        <f t="shared" si="94"/>
        <v>04</v>
      </c>
      <c r="V630" t="str">
        <f t="shared" si="95"/>
        <v>202404</v>
      </c>
      <c r="W630" t="str">
        <f t="shared" si="96"/>
        <v>Jul-24</v>
      </c>
      <c r="X630" s="3">
        <f t="shared" si="97"/>
        <v>-28505.19</v>
      </c>
      <c r="Y630" t="str">
        <f t="shared" si="98"/>
        <v/>
      </c>
      <c r="Z630">
        <f t="shared" si="99"/>
        <v>-28505.19</v>
      </c>
    </row>
    <row r="631" spans="1:26" x14ac:dyDescent="0.25">
      <c r="A631" s="1">
        <v>45478</v>
      </c>
      <c r="B631" t="s">
        <v>144</v>
      </c>
      <c r="C631" t="s">
        <v>17</v>
      </c>
      <c r="D631" t="s">
        <v>18</v>
      </c>
      <c r="E631">
        <v>75</v>
      </c>
      <c r="F631">
        <v>0</v>
      </c>
      <c r="G631">
        <v>394.25</v>
      </c>
      <c r="H631">
        <v>29568.75</v>
      </c>
      <c r="I631" t="s">
        <v>145</v>
      </c>
      <c r="J631">
        <v>18</v>
      </c>
      <c r="K631">
        <v>14.78</v>
      </c>
      <c r="L631">
        <v>0</v>
      </c>
      <c r="M631">
        <v>0.03</v>
      </c>
      <c r="N631">
        <v>100</v>
      </c>
      <c r="O631">
        <v>20.66</v>
      </c>
      <c r="P631">
        <v>153.47</v>
      </c>
      <c r="Q631">
        <f t="shared" si="90"/>
        <v>2024</v>
      </c>
      <c r="R631">
        <f t="shared" si="91"/>
        <v>7</v>
      </c>
      <c r="S631">
        <f t="shared" si="92"/>
        <v>2024</v>
      </c>
      <c r="T631">
        <f t="shared" si="93"/>
        <v>4</v>
      </c>
      <c r="U631" t="str">
        <f t="shared" si="94"/>
        <v>04</v>
      </c>
      <c r="V631" t="str">
        <f t="shared" si="95"/>
        <v>202404</v>
      </c>
      <c r="W631" t="str">
        <f t="shared" si="96"/>
        <v>Jul-24</v>
      </c>
      <c r="X631" s="3">
        <f t="shared" si="97"/>
        <v>29415.279999999999</v>
      </c>
      <c r="Y631">
        <f t="shared" si="98"/>
        <v>29415.279999999999</v>
      </c>
      <c r="Z631" t="str">
        <f t="shared" si="99"/>
        <v/>
      </c>
    </row>
    <row r="632" spans="1:26" x14ac:dyDescent="0.25">
      <c r="A632" s="1">
        <v>45478</v>
      </c>
      <c r="B632" t="s">
        <v>144</v>
      </c>
      <c r="C632" t="s">
        <v>17</v>
      </c>
      <c r="D632" t="s">
        <v>22</v>
      </c>
      <c r="E632">
        <v>75</v>
      </c>
      <c r="F632">
        <v>0</v>
      </c>
      <c r="G632">
        <v>424.75</v>
      </c>
      <c r="H632">
        <v>31856.25</v>
      </c>
      <c r="I632" t="s">
        <v>146</v>
      </c>
      <c r="J632">
        <v>0</v>
      </c>
      <c r="K632">
        <v>15.93</v>
      </c>
      <c r="L632">
        <v>1</v>
      </c>
      <c r="M632">
        <v>0.04</v>
      </c>
      <c r="N632">
        <v>100</v>
      </c>
      <c r="O632">
        <v>20.88</v>
      </c>
      <c r="P632">
        <v>137.85</v>
      </c>
      <c r="Q632">
        <f t="shared" si="90"/>
        <v>2024</v>
      </c>
      <c r="R632">
        <f t="shared" si="91"/>
        <v>7</v>
      </c>
      <c r="S632">
        <f t="shared" si="92"/>
        <v>2024</v>
      </c>
      <c r="T632">
        <f t="shared" si="93"/>
        <v>4</v>
      </c>
      <c r="U632" t="str">
        <f t="shared" si="94"/>
        <v>04</v>
      </c>
      <c r="V632" t="str">
        <f t="shared" si="95"/>
        <v>202404</v>
      </c>
      <c r="W632" t="str">
        <f t="shared" si="96"/>
        <v>Jul-24</v>
      </c>
      <c r="X632" s="3">
        <f t="shared" si="97"/>
        <v>-31994.1</v>
      </c>
      <c r="Y632" t="str">
        <f t="shared" si="98"/>
        <v/>
      </c>
      <c r="Z632">
        <f t="shared" si="99"/>
        <v>-31994.1</v>
      </c>
    </row>
    <row r="633" spans="1:26" x14ac:dyDescent="0.25">
      <c r="A633" s="1">
        <v>45481</v>
      </c>
      <c r="B633" t="s">
        <v>141</v>
      </c>
      <c r="C633" t="s">
        <v>17</v>
      </c>
      <c r="D633" t="s">
        <v>18</v>
      </c>
      <c r="E633">
        <v>45</v>
      </c>
      <c r="F633">
        <v>0</v>
      </c>
      <c r="G633">
        <v>279.25</v>
      </c>
      <c r="H633">
        <v>12566.25</v>
      </c>
      <c r="I633" t="s">
        <v>142</v>
      </c>
      <c r="J633">
        <v>8</v>
      </c>
      <c r="K633">
        <v>6.28</v>
      </c>
      <c r="L633">
        <v>0</v>
      </c>
      <c r="M633">
        <v>0.01</v>
      </c>
      <c r="N633">
        <v>60</v>
      </c>
      <c r="O633">
        <v>11.94</v>
      </c>
      <c r="P633">
        <v>86.23</v>
      </c>
      <c r="Q633">
        <f t="shared" si="90"/>
        <v>2024</v>
      </c>
      <c r="R633">
        <f t="shared" si="91"/>
        <v>7</v>
      </c>
      <c r="S633">
        <f t="shared" si="92"/>
        <v>2024</v>
      </c>
      <c r="T633">
        <f t="shared" si="93"/>
        <v>4</v>
      </c>
      <c r="U633" t="str">
        <f t="shared" si="94"/>
        <v>04</v>
      </c>
      <c r="V633" t="str">
        <f t="shared" si="95"/>
        <v>202404</v>
      </c>
      <c r="W633" t="str">
        <f t="shared" si="96"/>
        <v>Jul-24</v>
      </c>
      <c r="X633" s="3">
        <f t="shared" si="97"/>
        <v>12480.02</v>
      </c>
      <c r="Y633">
        <f t="shared" si="98"/>
        <v>12480.02</v>
      </c>
      <c r="Z633" t="str">
        <f t="shared" si="99"/>
        <v/>
      </c>
    </row>
    <row r="634" spans="1:26" x14ac:dyDescent="0.25">
      <c r="A634" s="1">
        <v>45481</v>
      </c>
      <c r="B634" t="s">
        <v>141</v>
      </c>
      <c r="C634" t="s">
        <v>17</v>
      </c>
      <c r="D634" t="s">
        <v>22</v>
      </c>
      <c r="E634">
        <v>45</v>
      </c>
      <c r="F634">
        <v>0</v>
      </c>
      <c r="G634">
        <v>222</v>
      </c>
      <c r="H634">
        <v>9990</v>
      </c>
      <c r="I634" t="s">
        <v>143</v>
      </c>
      <c r="J634">
        <v>0</v>
      </c>
      <c r="K634">
        <v>5</v>
      </c>
      <c r="L634">
        <v>0</v>
      </c>
      <c r="M634">
        <v>0.01</v>
      </c>
      <c r="N634">
        <v>60</v>
      </c>
      <c r="O634">
        <v>11.7</v>
      </c>
      <c r="P634">
        <v>76.709999999999994</v>
      </c>
      <c r="Q634">
        <f t="shared" si="90"/>
        <v>2024</v>
      </c>
      <c r="R634">
        <f t="shared" si="91"/>
        <v>7</v>
      </c>
      <c r="S634">
        <f t="shared" si="92"/>
        <v>2024</v>
      </c>
      <c r="T634">
        <f t="shared" si="93"/>
        <v>4</v>
      </c>
      <c r="U634" t="str">
        <f t="shared" si="94"/>
        <v>04</v>
      </c>
      <c r="V634" t="str">
        <f t="shared" si="95"/>
        <v>202404</v>
      </c>
      <c r="W634" t="str">
        <f t="shared" si="96"/>
        <v>Jul-24</v>
      </c>
      <c r="X634" s="3">
        <f t="shared" si="97"/>
        <v>-10066.709999999999</v>
      </c>
      <c r="Y634" t="str">
        <f t="shared" si="98"/>
        <v/>
      </c>
      <c r="Z634">
        <f t="shared" si="99"/>
        <v>-10066.709999999999</v>
      </c>
    </row>
    <row r="635" spans="1:26" x14ac:dyDescent="0.25">
      <c r="A635" s="1">
        <v>45482</v>
      </c>
      <c r="B635" t="s">
        <v>135</v>
      </c>
      <c r="C635" t="s">
        <v>17</v>
      </c>
      <c r="D635" t="s">
        <v>18</v>
      </c>
      <c r="E635">
        <v>30</v>
      </c>
      <c r="F635">
        <v>0</v>
      </c>
      <c r="G635">
        <v>218.25</v>
      </c>
      <c r="H635">
        <v>6547.5</v>
      </c>
      <c r="I635" t="s">
        <v>136</v>
      </c>
      <c r="J635">
        <v>3.74</v>
      </c>
      <c r="K635">
        <v>3.27</v>
      </c>
      <c r="L635">
        <v>0</v>
      </c>
      <c r="M635">
        <v>0.01</v>
      </c>
      <c r="N635">
        <v>40</v>
      </c>
      <c r="O635">
        <v>7.8</v>
      </c>
      <c r="P635">
        <v>54.82</v>
      </c>
      <c r="Q635">
        <f t="shared" si="90"/>
        <v>2024</v>
      </c>
      <c r="R635">
        <f t="shared" si="91"/>
        <v>7</v>
      </c>
      <c r="S635">
        <f t="shared" si="92"/>
        <v>2024</v>
      </c>
      <c r="T635">
        <f t="shared" si="93"/>
        <v>4</v>
      </c>
      <c r="U635" t="str">
        <f t="shared" si="94"/>
        <v>04</v>
      </c>
      <c r="V635" t="str">
        <f t="shared" si="95"/>
        <v>202404</v>
      </c>
      <c r="W635" t="str">
        <f t="shared" si="96"/>
        <v>Jul-24</v>
      </c>
      <c r="X635" s="3">
        <f t="shared" si="97"/>
        <v>6492.68</v>
      </c>
      <c r="Y635">
        <f t="shared" si="98"/>
        <v>6492.68</v>
      </c>
      <c r="Z635" t="str">
        <f t="shared" si="99"/>
        <v/>
      </c>
    </row>
    <row r="636" spans="1:26" x14ac:dyDescent="0.25">
      <c r="A636" s="1">
        <v>45482</v>
      </c>
      <c r="B636" t="s">
        <v>137</v>
      </c>
      <c r="C636" t="s">
        <v>17</v>
      </c>
      <c r="D636" t="s">
        <v>18</v>
      </c>
      <c r="E636">
        <v>125</v>
      </c>
      <c r="F636">
        <v>0</v>
      </c>
      <c r="G636">
        <v>156.9</v>
      </c>
      <c r="H636">
        <v>19612.5</v>
      </c>
      <c r="I636" t="s">
        <v>138</v>
      </c>
      <c r="J636">
        <v>12.26</v>
      </c>
      <c r="K636">
        <v>9.81</v>
      </c>
      <c r="L636">
        <v>0</v>
      </c>
      <c r="M636">
        <v>0.02</v>
      </c>
      <c r="N636">
        <v>100</v>
      </c>
      <c r="O636">
        <v>19.78</v>
      </c>
      <c r="P636">
        <v>141.87</v>
      </c>
      <c r="Q636">
        <f t="shared" si="90"/>
        <v>2024</v>
      </c>
      <c r="R636">
        <f t="shared" si="91"/>
        <v>7</v>
      </c>
      <c r="S636">
        <f t="shared" si="92"/>
        <v>2024</v>
      </c>
      <c r="T636">
        <f t="shared" si="93"/>
        <v>4</v>
      </c>
      <c r="U636" t="str">
        <f t="shared" si="94"/>
        <v>04</v>
      </c>
      <c r="V636" t="str">
        <f t="shared" si="95"/>
        <v>202404</v>
      </c>
      <c r="W636" t="str">
        <f t="shared" si="96"/>
        <v>Jul-24</v>
      </c>
      <c r="X636" s="3">
        <f t="shared" si="97"/>
        <v>19470.63</v>
      </c>
      <c r="Y636">
        <f t="shared" si="98"/>
        <v>19470.63</v>
      </c>
      <c r="Z636" t="str">
        <f t="shared" si="99"/>
        <v/>
      </c>
    </row>
    <row r="637" spans="1:26" x14ac:dyDescent="0.25">
      <c r="A637" s="1">
        <v>45482</v>
      </c>
      <c r="B637" t="s">
        <v>135</v>
      </c>
      <c r="C637" t="s">
        <v>17</v>
      </c>
      <c r="D637" t="s">
        <v>22</v>
      </c>
      <c r="E637">
        <v>30</v>
      </c>
      <c r="F637">
        <v>0</v>
      </c>
      <c r="G637">
        <v>198.1</v>
      </c>
      <c r="H637">
        <v>5943</v>
      </c>
      <c r="I637" t="s">
        <v>139</v>
      </c>
      <c r="J637">
        <v>0</v>
      </c>
      <c r="K637">
        <v>2.97</v>
      </c>
      <c r="L637">
        <v>0.18</v>
      </c>
      <c r="M637">
        <v>0.01</v>
      </c>
      <c r="N637">
        <v>40</v>
      </c>
      <c r="O637">
        <v>7.74</v>
      </c>
      <c r="P637">
        <v>50.9</v>
      </c>
      <c r="Q637">
        <f t="shared" si="90"/>
        <v>2024</v>
      </c>
      <c r="R637">
        <f t="shared" si="91"/>
        <v>7</v>
      </c>
      <c r="S637">
        <f t="shared" si="92"/>
        <v>2024</v>
      </c>
      <c r="T637">
        <f t="shared" si="93"/>
        <v>4</v>
      </c>
      <c r="U637" t="str">
        <f t="shared" si="94"/>
        <v>04</v>
      </c>
      <c r="V637" t="str">
        <f t="shared" si="95"/>
        <v>202404</v>
      </c>
      <c r="W637" t="str">
        <f t="shared" si="96"/>
        <v>Jul-24</v>
      </c>
      <c r="X637" s="3">
        <f t="shared" si="97"/>
        <v>-5993.9</v>
      </c>
      <c r="Y637" t="str">
        <f t="shared" si="98"/>
        <v/>
      </c>
      <c r="Z637">
        <f t="shared" si="99"/>
        <v>-5993.9</v>
      </c>
    </row>
    <row r="638" spans="1:26" x14ac:dyDescent="0.25">
      <c r="A638" s="1">
        <v>45482</v>
      </c>
      <c r="B638" t="s">
        <v>137</v>
      </c>
      <c r="C638" t="s">
        <v>17</v>
      </c>
      <c r="D638" t="s">
        <v>22</v>
      </c>
      <c r="E638">
        <v>125</v>
      </c>
      <c r="F638">
        <v>0</v>
      </c>
      <c r="G638">
        <v>152.25</v>
      </c>
      <c r="H638">
        <v>19031.25</v>
      </c>
      <c r="I638" t="s">
        <v>140</v>
      </c>
      <c r="J638">
        <v>0</v>
      </c>
      <c r="K638">
        <v>9.52</v>
      </c>
      <c r="L638">
        <v>0.82</v>
      </c>
      <c r="M638">
        <v>0.02</v>
      </c>
      <c r="N638">
        <v>100</v>
      </c>
      <c r="O638">
        <v>19.7</v>
      </c>
      <c r="P638">
        <v>130.06</v>
      </c>
      <c r="Q638">
        <f t="shared" si="90"/>
        <v>2024</v>
      </c>
      <c r="R638">
        <f t="shared" si="91"/>
        <v>7</v>
      </c>
      <c r="S638">
        <f t="shared" si="92"/>
        <v>2024</v>
      </c>
      <c r="T638">
        <f t="shared" si="93"/>
        <v>4</v>
      </c>
      <c r="U638" t="str">
        <f t="shared" si="94"/>
        <v>04</v>
      </c>
      <c r="V638" t="str">
        <f t="shared" si="95"/>
        <v>202404</v>
      </c>
      <c r="W638" t="str">
        <f t="shared" si="96"/>
        <v>Jul-24</v>
      </c>
      <c r="X638" s="3">
        <f t="shared" si="97"/>
        <v>-19161.310000000001</v>
      </c>
      <c r="Y638" t="str">
        <f t="shared" si="98"/>
        <v/>
      </c>
      <c r="Z638">
        <f t="shared" si="99"/>
        <v>-19161.310000000001</v>
      </c>
    </row>
    <row r="639" spans="1:26" x14ac:dyDescent="0.25">
      <c r="A639" s="1">
        <v>45483</v>
      </c>
      <c r="B639" t="s">
        <v>131</v>
      </c>
      <c r="C639" t="s">
        <v>17</v>
      </c>
      <c r="D639" t="s">
        <v>18</v>
      </c>
      <c r="E639">
        <v>210</v>
      </c>
      <c r="F639">
        <v>0</v>
      </c>
      <c r="G639">
        <v>109</v>
      </c>
      <c r="H639">
        <v>22890</v>
      </c>
      <c r="I639" t="s">
        <v>132</v>
      </c>
      <c r="J639">
        <v>14</v>
      </c>
      <c r="K639">
        <v>11.45</v>
      </c>
      <c r="L639">
        <v>0</v>
      </c>
      <c r="M639">
        <v>0.03</v>
      </c>
      <c r="N639">
        <v>280</v>
      </c>
      <c r="O639">
        <v>52.48</v>
      </c>
      <c r="P639">
        <v>357.96</v>
      </c>
      <c r="Q639">
        <f t="shared" si="90"/>
        <v>2024</v>
      </c>
      <c r="R639">
        <f t="shared" si="91"/>
        <v>7</v>
      </c>
      <c r="S639">
        <f t="shared" si="92"/>
        <v>2024</v>
      </c>
      <c r="T639">
        <f t="shared" si="93"/>
        <v>4</v>
      </c>
      <c r="U639" t="str">
        <f t="shared" si="94"/>
        <v>04</v>
      </c>
      <c r="V639" t="str">
        <f t="shared" si="95"/>
        <v>202404</v>
      </c>
      <c r="W639" t="str">
        <f t="shared" si="96"/>
        <v>Jul-24</v>
      </c>
      <c r="X639" s="3">
        <f t="shared" si="97"/>
        <v>22532.04</v>
      </c>
      <c r="Y639">
        <f t="shared" si="98"/>
        <v>22532.04</v>
      </c>
      <c r="Z639" t="str">
        <f t="shared" si="99"/>
        <v/>
      </c>
    </row>
    <row r="640" spans="1:26" x14ac:dyDescent="0.25">
      <c r="A640" s="1">
        <v>45483</v>
      </c>
      <c r="B640" t="s">
        <v>131</v>
      </c>
      <c r="C640" t="s">
        <v>17</v>
      </c>
      <c r="D640" t="s">
        <v>22</v>
      </c>
      <c r="E640">
        <v>105</v>
      </c>
      <c r="F640">
        <v>0</v>
      </c>
      <c r="G640">
        <v>70.25</v>
      </c>
      <c r="H640">
        <v>7376.25</v>
      </c>
      <c r="I640" t="s">
        <v>133</v>
      </c>
      <c r="J640">
        <v>0</v>
      </c>
      <c r="K640">
        <v>3.69</v>
      </c>
      <c r="L640">
        <v>1</v>
      </c>
      <c r="M640">
        <v>0.01</v>
      </c>
      <c r="N640">
        <v>140</v>
      </c>
      <c r="O640">
        <v>25.86</v>
      </c>
      <c r="P640">
        <v>170.56</v>
      </c>
      <c r="Q640">
        <f t="shared" si="90"/>
        <v>2024</v>
      </c>
      <c r="R640">
        <f t="shared" si="91"/>
        <v>7</v>
      </c>
      <c r="S640">
        <f t="shared" si="92"/>
        <v>2024</v>
      </c>
      <c r="T640">
        <f t="shared" si="93"/>
        <v>4</v>
      </c>
      <c r="U640" t="str">
        <f t="shared" si="94"/>
        <v>04</v>
      </c>
      <c r="V640" t="str">
        <f t="shared" si="95"/>
        <v>202404</v>
      </c>
      <c r="W640" t="str">
        <f t="shared" si="96"/>
        <v>Jul-24</v>
      </c>
      <c r="X640" s="3">
        <f t="shared" si="97"/>
        <v>-7546.81</v>
      </c>
      <c r="Y640" t="str">
        <f t="shared" si="98"/>
        <v/>
      </c>
      <c r="Z640">
        <f t="shared" si="99"/>
        <v>-7546.81</v>
      </c>
    </row>
    <row r="641" spans="1:26" x14ac:dyDescent="0.25">
      <c r="A641" s="1">
        <v>45483</v>
      </c>
      <c r="B641" t="s">
        <v>131</v>
      </c>
      <c r="C641" t="s">
        <v>17</v>
      </c>
      <c r="D641" t="s">
        <v>22</v>
      </c>
      <c r="E641">
        <v>105</v>
      </c>
      <c r="F641">
        <v>0</v>
      </c>
      <c r="G641">
        <v>90</v>
      </c>
      <c r="H641">
        <v>9450</v>
      </c>
      <c r="I641" t="s">
        <v>134</v>
      </c>
      <c r="J641">
        <v>0</v>
      </c>
      <c r="K641">
        <v>4.7300000000000004</v>
      </c>
      <c r="L641">
        <v>0</v>
      </c>
      <c r="M641">
        <v>0.01</v>
      </c>
      <c r="N641">
        <v>140</v>
      </c>
      <c r="O641">
        <v>26.06</v>
      </c>
      <c r="P641">
        <v>170.8</v>
      </c>
      <c r="Q641">
        <f t="shared" si="90"/>
        <v>2024</v>
      </c>
      <c r="R641">
        <f t="shared" si="91"/>
        <v>7</v>
      </c>
      <c r="S641">
        <f t="shared" si="92"/>
        <v>2024</v>
      </c>
      <c r="T641">
        <f t="shared" si="93"/>
        <v>4</v>
      </c>
      <c r="U641" t="str">
        <f t="shared" si="94"/>
        <v>04</v>
      </c>
      <c r="V641" t="str">
        <f t="shared" si="95"/>
        <v>202404</v>
      </c>
      <c r="W641" t="str">
        <f t="shared" si="96"/>
        <v>Jul-24</v>
      </c>
      <c r="X641" s="3">
        <f t="shared" si="97"/>
        <v>-9620.7999999999993</v>
      </c>
      <c r="Y641" t="str">
        <f t="shared" si="98"/>
        <v/>
      </c>
      <c r="Z641">
        <f t="shared" si="99"/>
        <v>-9620.7999999999993</v>
      </c>
    </row>
    <row r="642" spans="1:26" x14ac:dyDescent="0.25">
      <c r="A642" s="1">
        <v>45484</v>
      </c>
      <c r="B642" t="s">
        <v>128</v>
      </c>
      <c r="C642" t="s">
        <v>17</v>
      </c>
      <c r="D642" t="s">
        <v>18</v>
      </c>
      <c r="E642">
        <v>60</v>
      </c>
      <c r="F642">
        <v>0</v>
      </c>
      <c r="G642">
        <v>445.25</v>
      </c>
      <c r="H642">
        <v>26715</v>
      </c>
      <c r="I642" t="s">
        <v>129</v>
      </c>
      <c r="J642">
        <v>17</v>
      </c>
      <c r="K642">
        <v>13.36</v>
      </c>
      <c r="L642">
        <v>0</v>
      </c>
      <c r="M642">
        <v>0.03</v>
      </c>
      <c r="N642">
        <v>80</v>
      </c>
      <c r="O642">
        <v>16.82</v>
      </c>
      <c r="P642">
        <v>127.21</v>
      </c>
      <c r="Q642">
        <f t="shared" ref="Q642:Q705" si="100">YEAR(A642)</f>
        <v>2024</v>
      </c>
      <c r="R642">
        <f t="shared" ref="R642:R705" si="101">MONTH(A642)</f>
        <v>7</v>
      </c>
      <c r="S642">
        <f t="shared" ref="S642:S705" si="102">IF(R642&lt;4,Q642-1,Q642)</f>
        <v>2024</v>
      </c>
      <c r="T642">
        <f t="shared" ref="T642:T705" si="103">IF(R642&lt;4,R642+9,R642-3)</f>
        <v>4</v>
      </c>
      <c r="U642" t="str">
        <f t="shared" ref="U642:U705" si="104">IF(LEN(T642)=1,_xlfn.CONCAT(0,T642),T642)</f>
        <v>04</v>
      </c>
      <c r="V642" t="str">
        <f t="shared" ref="V642:V705" si="105">_xlfn.CONCAT(S642,U642)</f>
        <v>202404</v>
      </c>
      <c r="W642" t="str">
        <f t="shared" ref="W642:W705" si="106">_xlfn.CONCAT(TEXT(A642,"MMM"),"-",MID(Q642,3,2))</f>
        <v>Jul-24</v>
      </c>
      <c r="X642" s="3">
        <f t="shared" ref="X642:X705" si="107">IFERROR(IF(D642="Sell",(H642-P642),-(H642+P642)),0)</f>
        <v>26587.79</v>
      </c>
      <c r="Y642">
        <f t="shared" si="98"/>
        <v>26587.79</v>
      </c>
      <c r="Z642" t="str">
        <f t="shared" si="99"/>
        <v/>
      </c>
    </row>
    <row r="643" spans="1:26" x14ac:dyDescent="0.25">
      <c r="A643" s="1">
        <v>45484</v>
      </c>
      <c r="B643" t="s">
        <v>128</v>
      </c>
      <c r="C643" t="s">
        <v>17</v>
      </c>
      <c r="D643" t="s">
        <v>22</v>
      </c>
      <c r="E643">
        <v>60</v>
      </c>
      <c r="F643">
        <v>0</v>
      </c>
      <c r="G643">
        <v>305.25</v>
      </c>
      <c r="H643">
        <v>18315</v>
      </c>
      <c r="I643" t="s">
        <v>130</v>
      </c>
      <c r="J643">
        <v>0</v>
      </c>
      <c r="K643">
        <v>9.16</v>
      </c>
      <c r="L643">
        <v>1</v>
      </c>
      <c r="M643">
        <v>0.01</v>
      </c>
      <c r="N643">
        <v>80</v>
      </c>
      <c r="O643">
        <v>16.059999999999999</v>
      </c>
      <c r="P643">
        <v>106.23</v>
      </c>
      <c r="Q643">
        <f t="shared" si="100"/>
        <v>2024</v>
      </c>
      <c r="R643">
        <f t="shared" si="101"/>
        <v>7</v>
      </c>
      <c r="S643">
        <f t="shared" si="102"/>
        <v>2024</v>
      </c>
      <c r="T643">
        <f t="shared" si="103"/>
        <v>4</v>
      </c>
      <c r="U643" t="str">
        <f t="shared" si="104"/>
        <v>04</v>
      </c>
      <c r="V643" t="str">
        <f t="shared" si="105"/>
        <v>202404</v>
      </c>
      <c r="W643" t="str">
        <f t="shared" si="106"/>
        <v>Jul-24</v>
      </c>
      <c r="X643" s="3">
        <f t="shared" si="107"/>
        <v>-18421.23</v>
      </c>
      <c r="Y643" t="str">
        <f t="shared" ref="Y643:Y706" si="108">IF(X643&gt;0,X643,"")</f>
        <v/>
      </c>
      <c r="Z643">
        <f t="shared" ref="Z643:Z706" si="109">IF(X643&lt;0,X643,"")</f>
        <v>-18421.23</v>
      </c>
    </row>
    <row r="644" spans="1:26" x14ac:dyDescent="0.25">
      <c r="A644" s="1">
        <v>45485</v>
      </c>
      <c r="B644" t="s">
        <v>118</v>
      </c>
      <c r="C644" t="s">
        <v>17</v>
      </c>
      <c r="D644" t="s">
        <v>18</v>
      </c>
      <c r="E644">
        <v>75</v>
      </c>
      <c r="F644">
        <v>0</v>
      </c>
      <c r="G644">
        <v>346.25</v>
      </c>
      <c r="H644">
        <v>25968.75</v>
      </c>
      <c r="I644" t="s">
        <v>126</v>
      </c>
      <c r="J644">
        <v>16</v>
      </c>
      <c r="K644">
        <v>12.98</v>
      </c>
      <c r="L644">
        <v>0</v>
      </c>
      <c r="M644">
        <v>0.03</v>
      </c>
      <c r="N644">
        <v>100</v>
      </c>
      <c r="O644">
        <v>20.34</v>
      </c>
      <c r="P644">
        <v>149.35</v>
      </c>
      <c r="Q644">
        <f t="shared" si="100"/>
        <v>2024</v>
      </c>
      <c r="R644">
        <f t="shared" si="101"/>
        <v>7</v>
      </c>
      <c r="S644">
        <f t="shared" si="102"/>
        <v>2024</v>
      </c>
      <c r="T644">
        <f t="shared" si="103"/>
        <v>4</v>
      </c>
      <c r="U644" t="str">
        <f t="shared" si="104"/>
        <v>04</v>
      </c>
      <c r="V644" t="str">
        <f t="shared" si="105"/>
        <v>202404</v>
      </c>
      <c r="W644" t="str">
        <f t="shared" si="106"/>
        <v>Jul-24</v>
      </c>
      <c r="X644" s="3">
        <f t="shared" si="107"/>
        <v>25819.4</v>
      </c>
      <c r="Y644">
        <f t="shared" si="108"/>
        <v>25819.4</v>
      </c>
      <c r="Z644" t="str">
        <f t="shared" si="109"/>
        <v/>
      </c>
    </row>
    <row r="645" spans="1:26" x14ac:dyDescent="0.25">
      <c r="A645" s="1">
        <v>45485</v>
      </c>
      <c r="B645" t="s">
        <v>118</v>
      </c>
      <c r="C645" t="s">
        <v>17</v>
      </c>
      <c r="D645" t="s">
        <v>22</v>
      </c>
      <c r="E645">
        <v>75</v>
      </c>
      <c r="F645">
        <v>0</v>
      </c>
      <c r="G645">
        <v>326.05</v>
      </c>
      <c r="H645">
        <v>24453.75</v>
      </c>
      <c r="I645" t="s">
        <v>127</v>
      </c>
      <c r="J645">
        <v>0</v>
      </c>
      <c r="K645">
        <v>12.23</v>
      </c>
      <c r="L645">
        <v>1</v>
      </c>
      <c r="M645">
        <v>0.02</v>
      </c>
      <c r="N645">
        <v>100</v>
      </c>
      <c r="O645">
        <v>20.2</v>
      </c>
      <c r="P645">
        <v>133.44999999999999</v>
      </c>
      <c r="Q645">
        <f t="shared" si="100"/>
        <v>2024</v>
      </c>
      <c r="R645">
        <f t="shared" si="101"/>
        <v>7</v>
      </c>
      <c r="S645">
        <f t="shared" si="102"/>
        <v>2024</v>
      </c>
      <c r="T645">
        <f t="shared" si="103"/>
        <v>4</v>
      </c>
      <c r="U645" t="str">
        <f t="shared" si="104"/>
        <v>04</v>
      </c>
      <c r="V645" t="str">
        <f t="shared" si="105"/>
        <v>202404</v>
      </c>
      <c r="W645" t="str">
        <f t="shared" si="106"/>
        <v>Jul-24</v>
      </c>
      <c r="X645" s="3">
        <f t="shared" si="107"/>
        <v>-24587.200000000001</v>
      </c>
      <c r="Y645" t="str">
        <f t="shared" si="108"/>
        <v/>
      </c>
      <c r="Z645">
        <f t="shared" si="109"/>
        <v>-24587.200000000001</v>
      </c>
    </row>
    <row r="646" spans="1:26" x14ac:dyDescent="0.25">
      <c r="A646" s="1">
        <v>45488</v>
      </c>
      <c r="B646" t="s">
        <v>121</v>
      </c>
      <c r="C646" t="s">
        <v>17</v>
      </c>
      <c r="D646" t="s">
        <v>18</v>
      </c>
      <c r="E646">
        <v>75</v>
      </c>
      <c r="F646">
        <v>0</v>
      </c>
      <c r="G646">
        <v>175.25</v>
      </c>
      <c r="H646">
        <v>13143.75</v>
      </c>
      <c r="I646" t="s">
        <v>122</v>
      </c>
      <c r="J646">
        <v>8</v>
      </c>
      <c r="K646">
        <v>6.57</v>
      </c>
      <c r="L646">
        <v>0</v>
      </c>
      <c r="M646">
        <v>0.01</v>
      </c>
      <c r="N646">
        <v>100</v>
      </c>
      <c r="O646">
        <v>19.18</v>
      </c>
      <c r="P646">
        <v>133.76</v>
      </c>
      <c r="Q646">
        <f t="shared" si="100"/>
        <v>2024</v>
      </c>
      <c r="R646">
        <f t="shared" si="101"/>
        <v>7</v>
      </c>
      <c r="S646">
        <f t="shared" si="102"/>
        <v>2024</v>
      </c>
      <c r="T646">
        <f t="shared" si="103"/>
        <v>4</v>
      </c>
      <c r="U646" t="str">
        <f t="shared" si="104"/>
        <v>04</v>
      </c>
      <c r="V646" t="str">
        <f t="shared" si="105"/>
        <v>202404</v>
      </c>
      <c r="W646" t="str">
        <f t="shared" si="106"/>
        <v>Jul-24</v>
      </c>
      <c r="X646" s="3">
        <f t="shared" si="107"/>
        <v>13009.99</v>
      </c>
      <c r="Y646">
        <f t="shared" si="108"/>
        <v>13009.99</v>
      </c>
      <c r="Z646" t="str">
        <f t="shared" si="109"/>
        <v/>
      </c>
    </row>
    <row r="647" spans="1:26" x14ac:dyDescent="0.25">
      <c r="A647" s="1">
        <v>45488</v>
      </c>
      <c r="B647" t="s">
        <v>121</v>
      </c>
      <c r="C647" t="s">
        <v>17</v>
      </c>
      <c r="D647" t="s">
        <v>22</v>
      </c>
      <c r="E647">
        <v>15</v>
      </c>
      <c r="F647">
        <v>0</v>
      </c>
      <c r="G647">
        <v>140.25</v>
      </c>
      <c r="H647">
        <v>2103.75</v>
      </c>
      <c r="I647" t="s">
        <v>123</v>
      </c>
      <c r="J647">
        <v>0</v>
      </c>
      <c r="K647">
        <v>1.05</v>
      </c>
      <c r="L647">
        <v>0</v>
      </c>
      <c r="M647">
        <v>0</v>
      </c>
      <c r="N647">
        <v>20</v>
      </c>
      <c r="O647">
        <v>3.78</v>
      </c>
      <c r="P647">
        <v>24.83</v>
      </c>
      <c r="Q647">
        <f t="shared" si="100"/>
        <v>2024</v>
      </c>
      <c r="R647">
        <f t="shared" si="101"/>
        <v>7</v>
      </c>
      <c r="S647">
        <f t="shared" si="102"/>
        <v>2024</v>
      </c>
      <c r="T647">
        <f t="shared" si="103"/>
        <v>4</v>
      </c>
      <c r="U647" t="str">
        <f t="shared" si="104"/>
        <v>04</v>
      </c>
      <c r="V647" t="str">
        <f t="shared" si="105"/>
        <v>202404</v>
      </c>
      <c r="W647" t="str">
        <f t="shared" si="106"/>
        <v>Jul-24</v>
      </c>
      <c r="X647" s="3">
        <f t="shared" si="107"/>
        <v>-2128.58</v>
      </c>
      <c r="Y647" t="str">
        <f t="shared" si="108"/>
        <v/>
      </c>
      <c r="Z647">
        <f t="shared" si="109"/>
        <v>-2128.58</v>
      </c>
    </row>
    <row r="648" spans="1:26" x14ac:dyDescent="0.25">
      <c r="A648" s="1">
        <v>45488</v>
      </c>
      <c r="B648" t="s">
        <v>121</v>
      </c>
      <c r="C648" t="s">
        <v>17</v>
      </c>
      <c r="D648" t="s">
        <v>22</v>
      </c>
      <c r="E648">
        <v>15</v>
      </c>
      <c r="F648">
        <v>0</v>
      </c>
      <c r="G648">
        <v>180</v>
      </c>
      <c r="H648">
        <v>2700</v>
      </c>
      <c r="I648" t="s">
        <v>124</v>
      </c>
      <c r="J648">
        <v>0</v>
      </c>
      <c r="K648">
        <v>1.35</v>
      </c>
      <c r="L648">
        <v>0</v>
      </c>
      <c r="M648">
        <v>0</v>
      </c>
      <c r="N648">
        <v>20</v>
      </c>
      <c r="O648">
        <v>3.84</v>
      </c>
      <c r="P648">
        <v>25.19</v>
      </c>
      <c r="Q648">
        <f t="shared" si="100"/>
        <v>2024</v>
      </c>
      <c r="R648">
        <f t="shared" si="101"/>
        <v>7</v>
      </c>
      <c r="S648">
        <f t="shared" si="102"/>
        <v>2024</v>
      </c>
      <c r="T648">
        <f t="shared" si="103"/>
        <v>4</v>
      </c>
      <c r="U648" t="str">
        <f t="shared" si="104"/>
        <v>04</v>
      </c>
      <c r="V648" t="str">
        <f t="shared" si="105"/>
        <v>202404</v>
      </c>
      <c r="W648" t="str">
        <f t="shared" si="106"/>
        <v>Jul-24</v>
      </c>
      <c r="X648" s="3">
        <f t="shared" si="107"/>
        <v>-2725.19</v>
      </c>
      <c r="Y648" t="str">
        <f t="shared" si="108"/>
        <v/>
      </c>
      <c r="Z648">
        <f t="shared" si="109"/>
        <v>-2725.19</v>
      </c>
    </row>
    <row r="649" spans="1:26" x14ac:dyDescent="0.25">
      <c r="A649" s="1">
        <v>45488</v>
      </c>
      <c r="B649" t="s">
        <v>121</v>
      </c>
      <c r="C649" t="s">
        <v>17</v>
      </c>
      <c r="D649" t="s">
        <v>22</v>
      </c>
      <c r="E649">
        <v>45</v>
      </c>
      <c r="F649">
        <v>0</v>
      </c>
      <c r="G649">
        <v>216.5</v>
      </c>
      <c r="H649">
        <v>9742.5</v>
      </c>
      <c r="I649" t="s">
        <v>125</v>
      </c>
      <c r="J649">
        <v>0</v>
      </c>
      <c r="K649">
        <v>4.87</v>
      </c>
      <c r="L649">
        <v>0</v>
      </c>
      <c r="M649">
        <v>0.01</v>
      </c>
      <c r="N649">
        <v>60</v>
      </c>
      <c r="O649">
        <v>11.68</v>
      </c>
      <c r="P649">
        <v>76.56</v>
      </c>
      <c r="Q649">
        <f t="shared" si="100"/>
        <v>2024</v>
      </c>
      <c r="R649">
        <f t="shared" si="101"/>
        <v>7</v>
      </c>
      <c r="S649">
        <f t="shared" si="102"/>
        <v>2024</v>
      </c>
      <c r="T649">
        <f t="shared" si="103"/>
        <v>4</v>
      </c>
      <c r="U649" t="str">
        <f t="shared" si="104"/>
        <v>04</v>
      </c>
      <c r="V649" t="str">
        <f t="shared" si="105"/>
        <v>202404</v>
      </c>
      <c r="W649" t="str">
        <f t="shared" si="106"/>
        <v>Jul-24</v>
      </c>
      <c r="X649" s="3">
        <f t="shared" si="107"/>
        <v>-9819.06</v>
      </c>
      <c r="Y649" t="str">
        <f t="shared" si="108"/>
        <v/>
      </c>
      <c r="Z649">
        <f t="shared" si="109"/>
        <v>-9819.06</v>
      </c>
    </row>
    <row r="650" spans="1:26" x14ac:dyDescent="0.25">
      <c r="A650" s="1">
        <v>45489</v>
      </c>
      <c r="B650" t="s">
        <v>114</v>
      </c>
      <c r="C650" t="s">
        <v>17</v>
      </c>
      <c r="D650" t="s">
        <v>18</v>
      </c>
      <c r="E650">
        <v>150</v>
      </c>
      <c r="F650">
        <v>0</v>
      </c>
      <c r="G650">
        <v>99.25</v>
      </c>
      <c r="H650">
        <v>14887.5</v>
      </c>
      <c r="I650" t="s">
        <v>115</v>
      </c>
      <c r="J650">
        <v>8.81</v>
      </c>
      <c r="K650">
        <v>7.44</v>
      </c>
      <c r="L650">
        <v>0</v>
      </c>
      <c r="M650">
        <v>0.01</v>
      </c>
      <c r="N650">
        <v>200</v>
      </c>
      <c r="O650">
        <v>37.340000000000003</v>
      </c>
      <c r="P650">
        <v>253.6</v>
      </c>
      <c r="Q650">
        <f t="shared" si="100"/>
        <v>2024</v>
      </c>
      <c r="R650">
        <f t="shared" si="101"/>
        <v>7</v>
      </c>
      <c r="S650">
        <f t="shared" si="102"/>
        <v>2024</v>
      </c>
      <c r="T650">
        <f t="shared" si="103"/>
        <v>4</v>
      </c>
      <c r="U650" t="str">
        <f t="shared" si="104"/>
        <v>04</v>
      </c>
      <c r="V650" t="str">
        <f t="shared" si="105"/>
        <v>202404</v>
      </c>
      <c r="W650" t="str">
        <f t="shared" si="106"/>
        <v>Jul-24</v>
      </c>
      <c r="X650" s="3">
        <f t="shared" si="107"/>
        <v>14633.9</v>
      </c>
      <c r="Y650">
        <f t="shared" si="108"/>
        <v>14633.9</v>
      </c>
      <c r="Z650" t="str">
        <f t="shared" si="109"/>
        <v/>
      </c>
    </row>
    <row r="651" spans="1:26" x14ac:dyDescent="0.25">
      <c r="A651" s="1">
        <v>45489</v>
      </c>
      <c r="B651" t="s">
        <v>114</v>
      </c>
      <c r="C651" t="s">
        <v>17</v>
      </c>
      <c r="D651" t="s">
        <v>22</v>
      </c>
      <c r="E651">
        <v>75</v>
      </c>
      <c r="F651">
        <v>0</v>
      </c>
      <c r="G651">
        <v>142.25</v>
      </c>
      <c r="H651">
        <v>10668.75</v>
      </c>
      <c r="I651" t="s">
        <v>116</v>
      </c>
      <c r="J651">
        <v>0</v>
      </c>
      <c r="K651">
        <v>5.33</v>
      </c>
      <c r="L651">
        <v>0</v>
      </c>
      <c r="M651">
        <v>0.01</v>
      </c>
      <c r="N651">
        <v>100</v>
      </c>
      <c r="O651">
        <v>18.96</v>
      </c>
      <c r="P651">
        <v>124.3</v>
      </c>
      <c r="Q651">
        <f t="shared" si="100"/>
        <v>2024</v>
      </c>
      <c r="R651">
        <f t="shared" si="101"/>
        <v>7</v>
      </c>
      <c r="S651">
        <f t="shared" si="102"/>
        <v>2024</v>
      </c>
      <c r="T651">
        <f t="shared" si="103"/>
        <v>4</v>
      </c>
      <c r="U651" t="str">
        <f t="shared" si="104"/>
        <v>04</v>
      </c>
      <c r="V651" t="str">
        <f t="shared" si="105"/>
        <v>202404</v>
      </c>
      <c r="W651" t="str">
        <f t="shared" si="106"/>
        <v>Jul-24</v>
      </c>
      <c r="X651" s="3">
        <f t="shared" si="107"/>
        <v>-10793.05</v>
      </c>
      <c r="Y651" t="str">
        <f t="shared" si="108"/>
        <v/>
      </c>
      <c r="Z651">
        <f t="shared" si="109"/>
        <v>-10793.05</v>
      </c>
    </row>
    <row r="652" spans="1:26" x14ac:dyDescent="0.25">
      <c r="A652" s="1">
        <v>45489</v>
      </c>
      <c r="B652" t="s">
        <v>114</v>
      </c>
      <c r="C652" t="s">
        <v>17</v>
      </c>
      <c r="D652" t="s">
        <v>22</v>
      </c>
      <c r="E652">
        <v>75</v>
      </c>
      <c r="F652">
        <v>0</v>
      </c>
      <c r="G652">
        <v>190</v>
      </c>
      <c r="H652">
        <v>14250</v>
      </c>
      <c r="I652" t="s">
        <v>117</v>
      </c>
      <c r="J652">
        <v>0</v>
      </c>
      <c r="K652">
        <v>7.13</v>
      </c>
      <c r="L652">
        <v>0.37</v>
      </c>
      <c r="M652">
        <v>0.01</v>
      </c>
      <c r="N652">
        <v>100</v>
      </c>
      <c r="O652">
        <v>19.28</v>
      </c>
      <c r="P652">
        <v>126.79</v>
      </c>
      <c r="Q652">
        <f t="shared" si="100"/>
        <v>2024</v>
      </c>
      <c r="R652">
        <f t="shared" si="101"/>
        <v>7</v>
      </c>
      <c r="S652">
        <f t="shared" si="102"/>
        <v>2024</v>
      </c>
      <c r="T652">
        <f t="shared" si="103"/>
        <v>4</v>
      </c>
      <c r="U652" t="str">
        <f t="shared" si="104"/>
        <v>04</v>
      </c>
      <c r="V652" t="str">
        <f t="shared" si="105"/>
        <v>202404</v>
      </c>
      <c r="W652" t="str">
        <f t="shared" si="106"/>
        <v>Jul-24</v>
      </c>
      <c r="X652" s="3">
        <f t="shared" si="107"/>
        <v>-14376.79</v>
      </c>
      <c r="Y652" t="str">
        <f t="shared" si="108"/>
        <v/>
      </c>
      <c r="Z652">
        <f t="shared" si="109"/>
        <v>-14376.79</v>
      </c>
    </row>
    <row r="653" spans="1:26" x14ac:dyDescent="0.25">
      <c r="A653" s="1">
        <v>45489</v>
      </c>
      <c r="B653" t="s">
        <v>118</v>
      </c>
      <c r="C653" t="s">
        <v>17</v>
      </c>
      <c r="D653" t="s">
        <v>18</v>
      </c>
      <c r="E653">
        <v>90</v>
      </c>
      <c r="F653">
        <v>0</v>
      </c>
      <c r="G653">
        <v>252.25</v>
      </c>
      <c r="H653">
        <v>22702.5</v>
      </c>
      <c r="I653" t="s">
        <v>119</v>
      </c>
      <c r="J653">
        <v>14.18</v>
      </c>
      <c r="K653">
        <v>11.35</v>
      </c>
      <c r="L653">
        <v>0</v>
      </c>
      <c r="M653">
        <v>0.02</v>
      </c>
      <c r="N653">
        <v>120</v>
      </c>
      <c r="O653">
        <v>23.64</v>
      </c>
      <c r="P653">
        <v>169.19</v>
      </c>
      <c r="Q653">
        <f t="shared" si="100"/>
        <v>2024</v>
      </c>
      <c r="R653">
        <f t="shared" si="101"/>
        <v>7</v>
      </c>
      <c r="S653">
        <f t="shared" si="102"/>
        <v>2024</v>
      </c>
      <c r="T653">
        <f t="shared" si="103"/>
        <v>4</v>
      </c>
      <c r="U653" t="str">
        <f t="shared" si="104"/>
        <v>04</v>
      </c>
      <c r="V653" t="str">
        <f t="shared" si="105"/>
        <v>202404</v>
      </c>
      <c r="W653" t="str">
        <f t="shared" si="106"/>
        <v>Jul-24</v>
      </c>
      <c r="X653" s="3">
        <f t="shared" si="107"/>
        <v>22533.31</v>
      </c>
      <c r="Y653">
        <f t="shared" si="108"/>
        <v>22533.31</v>
      </c>
      <c r="Z653" t="str">
        <f t="shared" si="109"/>
        <v/>
      </c>
    </row>
    <row r="654" spans="1:26" x14ac:dyDescent="0.25">
      <c r="A654" s="1">
        <v>45489</v>
      </c>
      <c r="B654" t="s">
        <v>118</v>
      </c>
      <c r="C654" t="s">
        <v>17</v>
      </c>
      <c r="D654" t="s">
        <v>22</v>
      </c>
      <c r="E654">
        <v>90</v>
      </c>
      <c r="F654">
        <v>0</v>
      </c>
      <c r="G654">
        <v>232.05</v>
      </c>
      <c r="H654">
        <v>20884.5</v>
      </c>
      <c r="I654" t="s">
        <v>120</v>
      </c>
      <c r="J654">
        <v>0</v>
      </c>
      <c r="K654">
        <v>10.44</v>
      </c>
      <c r="L654">
        <v>0.63</v>
      </c>
      <c r="M654">
        <v>0.02</v>
      </c>
      <c r="N654">
        <v>120</v>
      </c>
      <c r="O654">
        <v>23.48</v>
      </c>
      <c r="P654">
        <v>154.57</v>
      </c>
      <c r="Q654">
        <f t="shared" si="100"/>
        <v>2024</v>
      </c>
      <c r="R654">
        <f t="shared" si="101"/>
        <v>7</v>
      </c>
      <c r="S654">
        <f t="shared" si="102"/>
        <v>2024</v>
      </c>
      <c r="T654">
        <f t="shared" si="103"/>
        <v>4</v>
      </c>
      <c r="U654" t="str">
        <f t="shared" si="104"/>
        <v>04</v>
      </c>
      <c r="V654" t="str">
        <f t="shared" si="105"/>
        <v>202404</v>
      </c>
      <c r="W654" t="str">
        <f t="shared" si="106"/>
        <v>Jul-24</v>
      </c>
      <c r="X654" s="3">
        <f t="shared" si="107"/>
        <v>-21039.07</v>
      </c>
      <c r="Y654" t="str">
        <f t="shared" si="108"/>
        <v/>
      </c>
      <c r="Z654">
        <f t="shared" si="109"/>
        <v>-21039.07</v>
      </c>
    </row>
    <row r="655" spans="1:26" x14ac:dyDescent="0.25">
      <c r="A655" s="1">
        <v>45491</v>
      </c>
      <c r="B655" t="s">
        <v>111</v>
      </c>
      <c r="C655" t="s">
        <v>17</v>
      </c>
      <c r="D655" t="s">
        <v>18</v>
      </c>
      <c r="E655">
        <v>900</v>
      </c>
      <c r="F655">
        <v>0</v>
      </c>
      <c r="G655">
        <v>31</v>
      </c>
      <c r="H655">
        <v>27900</v>
      </c>
      <c r="I655" t="s">
        <v>112</v>
      </c>
      <c r="J655">
        <v>17</v>
      </c>
      <c r="K655">
        <v>13.95</v>
      </c>
      <c r="L655">
        <v>0</v>
      </c>
      <c r="M655">
        <v>0.03</v>
      </c>
      <c r="N655">
        <v>720</v>
      </c>
      <c r="O655">
        <v>132.12</v>
      </c>
      <c r="P655">
        <v>883.1</v>
      </c>
      <c r="Q655">
        <f t="shared" si="100"/>
        <v>2024</v>
      </c>
      <c r="R655">
        <f t="shared" si="101"/>
        <v>7</v>
      </c>
      <c r="S655">
        <f t="shared" si="102"/>
        <v>2024</v>
      </c>
      <c r="T655">
        <f t="shared" si="103"/>
        <v>4</v>
      </c>
      <c r="U655" t="str">
        <f t="shared" si="104"/>
        <v>04</v>
      </c>
      <c r="V655" t="str">
        <f t="shared" si="105"/>
        <v>202404</v>
      </c>
      <c r="W655" t="str">
        <f t="shared" si="106"/>
        <v>Jul-24</v>
      </c>
      <c r="X655" s="3">
        <f t="shared" si="107"/>
        <v>27016.9</v>
      </c>
      <c r="Y655">
        <f t="shared" si="108"/>
        <v>27016.9</v>
      </c>
      <c r="Z655" t="str">
        <f t="shared" si="109"/>
        <v/>
      </c>
    </row>
    <row r="656" spans="1:26" x14ac:dyDescent="0.25">
      <c r="A656" s="1">
        <v>45491</v>
      </c>
      <c r="B656" t="s">
        <v>111</v>
      </c>
      <c r="C656" t="s">
        <v>17</v>
      </c>
      <c r="D656" t="s">
        <v>22</v>
      </c>
      <c r="E656">
        <v>900</v>
      </c>
      <c r="F656">
        <v>0</v>
      </c>
      <c r="G656">
        <v>11</v>
      </c>
      <c r="H656">
        <v>9900</v>
      </c>
      <c r="I656" t="s">
        <v>113</v>
      </c>
      <c r="J656">
        <v>0</v>
      </c>
      <c r="K656">
        <v>4.96</v>
      </c>
      <c r="L656">
        <v>0</v>
      </c>
      <c r="M656">
        <v>0.01</v>
      </c>
      <c r="N656">
        <v>720</v>
      </c>
      <c r="O656">
        <v>130.5</v>
      </c>
      <c r="P656">
        <v>855.47</v>
      </c>
      <c r="Q656">
        <f t="shared" si="100"/>
        <v>2024</v>
      </c>
      <c r="R656">
        <f t="shared" si="101"/>
        <v>7</v>
      </c>
      <c r="S656">
        <f t="shared" si="102"/>
        <v>2024</v>
      </c>
      <c r="T656">
        <f t="shared" si="103"/>
        <v>4</v>
      </c>
      <c r="U656" t="str">
        <f t="shared" si="104"/>
        <v>04</v>
      </c>
      <c r="V656" t="str">
        <f t="shared" si="105"/>
        <v>202404</v>
      </c>
      <c r="W656" t="str">
        <f t="shared" si="106"/>
        <v>Jul-24</v>
      </c>
      <c r="X656" s="3">
        <f t="shared" si="107"/>
        <v>-10755.47</v>
      </c>
      <c r="Y656" t="str">
        <f t="shared" si="108"/>
        <v/>
      </c>
      <c r="Z656">
        <f t="shared" si="109"/>
        <v>-10755.47</v>
      </c>
    </row>
    <row r="657" spans="1:26" x14ac:dyDescent="0.25">
      <c r="A657" s="1">
        <v>45492</v>
      </c>
      <c r="B657" t="s">
        <v>105</v>
      </c>
      <c r="C657" t="s">
        <v>17</v>
      </c>
      <c r="D657" t="s">
        <v>18</v>
      </c>
      <c r="E657">
        <v>75</v>
      </c>
      <c r="F657">
        <v>0</v>
      </c>
      <c r="G657">
        <v>246</v>
      </c>
      <c r="H657">
        <v>18450</v>
      </c>
      <c r="I657" t="s">
        <v>106</v>
      </c>
      <c r="J657">
        <v>11.53</v>
      </c>
      <c r="K657">
        <v>9.23</v>
      </c>
      <c r="L657">
        <v>0</v>
      </c>
      <c r="M657">
        <v>0.02</v>
      </c>
      <c r="N657">
        <v>60</v>
      </c>
      <c r="O657">
        <v>12.46</v>
      </c>
      <c r="P657">
        <v>93.24</v>
      </c>
      <c r="Q657">
        <f t="shared" si="100"/>
        <v>2024</v>
      </c>
      <c r="R657">
        <f t="shared" si="101"/>
        <v>7</v>
      </c>
      <c r="S657">
        <f t="shared" si="102"/>
        <v>2024</v>
      </c>
      <c r="T657">
        <f t="shared" si="103"/>
        <v>4</v>
      </c>
      <c r="U657" t="str">
        <f t="shared" si="104"/>
        <v>04</v>
      </c>
      <c r="V657" t="str">
        <f t="shared" si="105"/>
        <v>202404</v>
      </c>
      <c r="W657" t="str">
        <f t="shared" si="106"/>
        <v>Jul-24</v>
      </c>
      <c r="X657" s="3">
        <f t="shared" si="107"/>
        <v>18356.759999999998</v>
      </c>
      <c r="Y657">
        <f t="shared" si="108"/>
        <v>18356.759999999998</v>
      </c>
      <c r="Z657" t="str">
        <f t="shared" si="109"/>
        <v/>
      </c>
    </row>
    <row r="658" spans="1:26" x14ac:dyDescent="0.25">
      <c r="A658" s="1">
        <v>45492</v>
      </c>
      <c r="B658" t="s">
        <v>107</v>
      </c>
      <c r="C658" t="s">
        <v>17</v>
      </c>
      <c r="D658" t="s">
        <v>18</v>
      </c>
      <c r="E658">
        <v>15</v>
      </c>
      <c r="F658">
        <v>0</v>
      </c>
      <c r="G658">
        <v>389.25</v>
      </c>
      <c r="H658">
        <v>5838.75</v>
      </c>
      <c r="I658" t="s">
        <v>108</v>
      </c>
      <c r="J658">
        <v>3.47</v>
      </c>
      <c r="K658">
        <v>2.92</v>
      </c>
      <c r="L658">
        <v>0</v>
      </c>
      <c r="M658">
        <v>0.01</v>
      </c>
      <c r="N658">
        <v>20</v>
      </c>
      <c r="O658">
        <v>4.12</v>
      </c>
      <c r="P658">
        <v>30.52</v>
      </c>
      <c r="Q658">
        <f t="shared" si="100"/>
        <v>2024</v>
      </c>
      <c r="R658">
        <f t="shared" si="101"/>
        <v>7</v>
      </c>
      <c r="S658">
        <f t="shared" si="102"/>
        <v>2024</v>
      </c>
      <c r="T658">
        <f t="shared" si="103"/>
        <v>4</v>
      </c>
      <c r="U658" t="str">
        <f t="shared" si="104"/>
        <v>04</v>
      </c>
      <c r="V658" t="str">
        <f t="shared" si="105"/>
        <v>202404</v>
      </c>
      <c r="W658" t="str">
        <f t="shared" si="106"/>
        <v>Jul-24</v>
      </c>
      <c r="X658" s="3">
        <f t="shared" si="107"/>
        <v>5808.23</v>
      </c>
      <c r="Y658">
        <f t="shared" si="108"/>
        <v>5808.23</v>
      </c>
      <c r="Z658" t="str">
        <f t="shared" si="109"/>
        <v/>
      </c>
    </row>
    <row r="659" spans="1:26" x14ac:dyDescent="0.25">
      <c r="A659" s="1">
        <v>45492</v>
      </c>
      <c r="B659" t="s">
        <v>105</v>
      </c>
      <c r="C659" t="s">
        <v>17</v>
      </c>
      <c r="D659" t="s">
        <v>22</v>
      </c>
      <c r="E659">
        <v>75</v>
      </c>
      <c r="F659">
        <v>0</v>
      </c>
      <c r="G659">
        <v>220</v>
      </c>
      <c r="H659">
        <v>16500</v>
      </c>
      <c r="I659" t="s">
        <v>109</v>
      </c>
      <c r="J659">
        <v>0</v>
      </c>
      <c r="K659">
        <v>8.25</v>
      </c>
      <c r="L659">
        <v>0.82</v>
      </c>
      <c r="M659">
        <v>0.02</v>
      </c>
      <c r="N659">
        <v>60</v>
      </c>
      <c r="O659">
        <v>12.28</v>
      </c>
      <c r="P659">
        <v>81.37</v>
      </c>
      <c r="Q659">
        <f t="shared" si="100"/>
        <v>2024</v>
      </c>
      <c r="R659">
        <f t="shared" si="101"/>
        <v>7</v>
      </c>
      <c r="S659">
        <f t="shared" si="102"/>
        <v>2024</v>
      </c>
      <c r="T659">
        <f t="shared" si="103"/>
        <v>4</v>
      </c>
      <c r="U659" t="str">
        <f t="shared" si="104"/>
        <v>04</v>
      </c>
      <c r="V659" t="str">
        <f t="shared" si="105"/>
        <v>202404</v>
      </c>
      <c r="W659" t="str">
        <f t="shared" si="106"/>
        <v>Jul-24</v>
      </c>
      <c r="X659" s="3">
        <f t="shared" si="107"/>
        <v>-16581.37</v>
      </c>
      <c r="Y659" t="str">
        <f t="shared" si="108"/>
        <v/>
      </c>
      <c r="Z659">
        <f t="shared" si="109"/>
        <v>-16581.37</v>
      </c>
    </row>
    <row r="660" spans="1:26" x14ac:dyDescent="0.25">
      <c r="A660" s="1">
        <v>45492</v>
      </c>
      <c r="B660" t="s">
        <v>107</v>
      </c>
      <c r="C660" t="s">
        <v>17</v>
      </c>
      <c r="D660" t="s">
        <v>22</v>
      </c>
      <c r="E660">
        <v>15</v>
      </c>
      <c r="F660">
        <v>0</v>
      </c>
      <c r="G660">
        <v>411</v>
      </c>
      <c r="H660">
        <v>6165</v>
      </c>
      <c r="I660" t="s">
        <v>110</v>
      </c>
      <c r="J660">
        <v>0</v>
      </c>
      <c r="K660">
        <v>3.08</v>
      </c>
      <c r="L660">
        <v>0.18</v>
      </c>
      <c r="M660">
        <v>0.01</v>
      </c>
      <c r="N660">
        <v>20</v>
      </c>
      <c r="O660">
        <v>4.16</v>
      </c>
      <c r="P660">
        <v>27.43</v>
      </c>
      <c r="Q660">
        <f t="shared" si="100"/>
        <v>2024</v>
      </c>
      <c r="R660">
        <f t="shared" si="101"/>
        <v>7</v>
      </c>
      <c r="S660">
        <f t="shared" si="102"/>
        <v>2024</v>
      </c>
      <c r="T660">
        <f t="shared" si="103"/>
        <v>4</v>
      </c>
      <c r="U660" t="str">
        <f t="shared" si="104"/>
        <v>04</v>
      </c>
      <c r="V660" t="str">
        <f t="shared" si="105"/>
        <v>202404</v>
      </c>
      <c r="W660" t="str">
        <f t="shared" si="106"/>
        <v>Jul-24</v>
      </c>
      <c r="X660" s="3">
        <f t="shared" si="107"/>
        <v>-6192.43</v>
      </c>
      <c r="Y660" t="str">
        <f t="shared" si="108"/>
        <v/>
      </c>
      <c r="Z660">
        <f t="shared" si="109"/>
        <v>-6192.43</v>
      </c>
    </row>
    <row r="661" spans="1:26" x14ac:dyDescent="0.25">
      <c r="A661" s="1">
        <v>45495</v>
      </c>
      <c r="B661" t="s">
        <v>101</v>
      </c>
      <c r="C661" t="s">
        <v>17</v>
      </c>
      <c r="D661" t="s">
        <v>18</v>
      </c>
      <c r="E661">
        <v>1800</v>
      </c>
      <c r="F661">
        <v>0</v>
      </c>
      <c r="G661">
        <v>2.6</v>
      </c>
      <c r="H661">
        <v>4680</v>
      </c>
      <c r="I661" t="s">
        <v>102</v>
      </c>
      <c r="J661">
        <v>3</v>
      </c>
      <c r="K661">
        <v>2.35</v>
      </c>
      <c r="L661">
        <v>0</v>
      </c>
      <c r="M661">
        <v>0</v>
      </c>
      <c r="N661">
        <v>480</v>
      </c>
      <c r="O661">
        <v>86.86</v>
      </c>
      <c r="P661">
        <v>572.21</v>
      </c>
      <c r="Q661">
        <f t="shared" si="100"/>
        <v>2024</v>
      </c>
      <c r="R661">
        <f t="shared" si="101"/>
        <v>7</v>
      </c>
      <c r="S661">
        <f t="shared" si="102"/>
        <v>2024</v>
      </c>
      <c r="T661">
        <f t="shared" si="103"/>
        <v>4</v>
      </c>
      <c r="U661" t="str">
        <f t="shared" si="104"/>
        <v>04</v>
      </c>
      <c r="V661" t="str">
        <f t="shared" si="105"/>
        <v>202404</v>
      </c>
      <c r="W661" t="str">
        <f t="shared" si="106"/>
        <v>Jul-24</v>
      </c>
      <c r="X661" s="3">
        <f t="shared" si="107"/>
        <v>4107.79</v>
      </c>
      <c r="Y661">
        <f t="shared" si="108"/>
        <v>4107.79</v>
      </c>
      <c r="Z661" t="str">
        <f t="shared" si="109"/>
        <v/>
      </c>
    </row>
    <row r="662" spans="1:26" x14ac:dyDescent="0.25">
      <c r="A662" s="1">
        <v>45495</v>
      </c>
      <c r="B662" t="s">
        <v>101</v>
      </c>
      <c r="C662" t="s">
        <v>17</v>
      </c>
      <c r="D662" t="s">
        <v>22</v>
      </c>
      <c r="E662">
        <v>900</v>
      </c>
      <c r="F662">
        <v>0</v>
      </c>
      <c r="G662">
        <v>3</v>
      </c>
      <c r="H662">
        <v>2700</v>
      </c>
      <c r="I662" t="s">
        <v>103</v>
      </c>
      <c r="J662">
        <v>0</v>
      </c>
      <c r="K662">
        <v>1.35</v>
      </c>
      <c r="L662">
        <v>0</v>
      </c>
      <c r="M662">
        <v>0</v>
      </c>
      <c r="N662">
        <v>240</v>
      </c>
      <c r="O662">
        <v>43.44</v>
      </c>
      <c r="P662">
        <v>284.79000000000002</v>
      </c>
      <c r="Q662">
        <f t="shared" si="100"/>
        <v>2024</v>
      </c>
      <c r="R662">
        <f t="shared" si="101"/>
        <v>7</v>
      </c>
      <c r="S662">
        <f t="shared" si="102"/>
        <v>2024</v>
      </c>
      <c r="T662">
        <f t="shared" si="103"/>
        <v>4</v>
      </c>
      <c r="U662" t="str">
        <f t="shared" si="104"/>
        <v>04</v>
      </c>
      <c r="V662" t="str">
        <f t="shared" si="105"/>
        <v>202404</v>
      </c>
      <c r="W662" t="str">
        <f t="shared" si="106"/>
        <v>Jul-24</v>
      </c>
      <c r="X662" s="3">
        <f t="shared" si="107"/>
        <v>-2984.79</v>
      </c>
      <c r="Y662" t="str">
        <f t="shared" si="108"/>
        <v/>
      </c>
      <c r="Z662">
        <f t="shared" si="109"/>
        <v>-2984.79</v>
      </c>
    </row>
    <row r="663" spans="1:26" x14ac:dyDescent="0.25">
      <c r="A663" s="1">
        <v>45495</v>
      </c>
      <c r="B663" t="s">
        <v>101</v>
      </c>
      <c r="C663" t="s">
        <v>17</v>
      </c>
      <c r="D663" t="s">
        <v>22</v>
      </c>
      <c r="E663">
        <v>900</v>
      </c>
      <c r="F663">
        <v>0</v>
      </c>
      <c r="G663">
        <v>6.7</v>
      </c>
      <c r="H663">
        <v>6030</v>
      </c>
      <c r="I663" t="s">
        <v>104</v>
      </c>
      <c r="J663">
        <v>0</v>
      </c>
      <c r="K663">
        <v>3.01</v>
      </c>
      <c r="L663">
        <v>0</v>
      </c>
      <c r="M663">
        <v>0</v>
      </c>
      <c r="N663">
        <v>240</v>
      </c>
      <c r="O663">
        <v>43.74</v>
      </c>
      <c r="P663">
        <v>286.75</v>
      </c>
      <c r="Q663">
        <f t="shared" si="100"/>
        <v>2024</v>
      </c>
      <c r="R663">
        <f t="shared" si="101"/>
        <v>7</v>
      </c>
      <c r="S663">
        <f t="shared" si="102"/>
        <v>2024</v>
      </c>
      <c r="T663">
        <f t="shared" si="103"/>
        <v>4</v>
      </c>
      <c r="U663" t="str">
        <f t="shared" si="104"/>
        <v>04</v>
      </c>
      <c r="V663" t="str">
        <f t="shared" si="105"/>
        <v>202404</v>
      </c>
      <c r="W663" t="str">
        <f t="shared" si="106"/>
        <v>Jul-24</v>
      </c>
      <c r="X663" s="3">
        <f t="shared" si="107"/>
        <v>-6316.75</v>
      </c>
      <c r="Y663" t="str">
        <f t="shared" si="108"/>
        <v/>
      </c>
      <c r="Z663">
        <f t="shared" si="109"/>
        <v>-6316.75</v>
      </c>
    </row>
    <row r="664" spans="1:26" x14ac:dyDescent="0.25">
      <c r="A664" s="1">
        <v>45496</v>
      </c>
      <c r="B664" t="s">
        <v>90</v>
      </c>
      <c r="C664" t="s">
        <v>17</v>
      </c>
      <c r="D664" t="s">
        <v>22</v>
      </c>
      <c r="E664">
        <v>150</v>
      </c>
      <c r="F664">
        <v>0</v>
      </c>
      <c r="G664">
        <v>98.4</v>
      </c>
      <c r="H664">
        <v>14759.25</v>
      </c>
      <c r="I664" t="s">
        <v>96</v>
      </c>
      <c r="J664">
        <v>0</v>
      </c>
      <c r="K664">
        <v>7.38</v>
      </c>
      <c r="L664">
        <v>1.38</v>
      </c>
      <c r="M664">
        <v>0.01</v>
      </c>
      <c r="N664">
        <v>200</v>
      </c>
      <c r="O664">
        <v>37.340000000000003</v>
      </c>
      <c r="P664">
        <v>246.11</v>
      </c>
      <c r="Q664">
        <f t="shared" si="100"/>
        <v>2024</v>
      </c>
      <c r="R664">
        <f t="shared" si="101"/>
        <v>7</v>
      </c>
      <c r="S664">
        <f t="shared" si="102"/>
        <v>2024</v>
      </c>
      <c r="T664">
        <f t="shared" si="103"/>
        <v>4</v>
      </c>
      <c r="U664" t="str">
        <f t="shared" si="104"/>
        <v>04</v>
      </c>
      <c r="V664" t="str">
        <f t="shared" si="105"/>
        <v>202404</v>
      </c>
      <c r="W664" t="str">
        <f t="shared" si="106"/>
        <v>Jul-24</v>
      </c>
      <c r="X664" s="3">
        <f t="shared" si="107"/>
        <v>-15005.36</v>
      </c>
      <c r="Y664" t="str">
        <f t="shared" si="108"/>
        <v/>
      </c>
      <c r="Z664">
        <f t="shared" si="109"/>
        <v>-15005.36</v>
      </c>
    </row>
    <row r="665" spans="1:26" x14ac:dyDescent="0.25">
      <c r="A665" s="1">
        <v>45496</v>
      </c>
      <c r="B665" t="s">
        <v>90</v>
      </c>
      <c r="C665" t="s">
        <v>17</v>
      </c>
      <c r="D665" t="s">
        <v>22</v>
      </c>
      <c r="E665">
        <v>45</v>
      </c>
      <c r="F665">
        <v>0</v>
      </c>
      <c r="G665">
        <v>435.65</v>
      </c>
      <c r="H665">
        <v>19604.25</v>
      </c>
      <c r="I665" t="s">
        <v>97</v>
      </c>
      <c r="J665">
        <v>0</v>
      </c>
      <c r="K665">
        <v>9.8000000000000007</v>
      </c>
      <c r="L665">
        <v>0</v>
      </c>
      <c r="M665">
        <v>0.02</v>
      </c>
      <c r="N665">
        <v>60</v>
      </c>
      <c r="O665">
        <v>12.56</v>
      </c>
      <c r="P665">
        <v>82.38</v>
      </c>
      <c r="Q665">
        <f t="shared" si="100"/>
        <v>2024</v>
      </c>
      <c r="R665">
        <f t="shared" si="101"/>
        <v>7</v>
      </c>
      <c r="S665">
        <f t="shared" si="102"/>
        <v>2024</v>
      </c>
      <c r="T665">
        <f t="shared" si="103"/>
        <v>4</v>
      </c>
      <c r="U665" t="str">
        <f t="shared" si="104"/>
        <v>04</v>
      </c>
      <c r="V665" t="str">
        <f t="shared" si="105"/>
        <v>202404</v>
      </c>
      <c r="W665" t="str">
        <f t="shared" si="106"/>
        <v>Jul-24</v>
      </c>
      <c r="X665" s="3">
        <f t="shared" si="107"/>
        <v>-19686.63</v>
      </c>
      <c r="Y665" t="str">
        <f t="shared" si="108"/>
        <v/>
      </c>
      <c r="Z665">
        <f t="shared" si="109"/>
        <v>-19686.63</v>
      </c>
    </row>
    <row r="666" spans="1:26" x14ac:dyDescent="0.25">
      <c r="A666" s="1">
        <v>45496</v>
      </c>
      <c r="B666" t="s">
        <v>98</v>
      </c>
      <c r="C666" t="s">
        <v>17</v>
      </c>
      <c r="D666" t="s">
        <v>18</v>
      </c>
      <c r="E666">
        <v>75</v>
      </c>
      <c r="F666">
        <v>0</v>
      </c>
      <c r="G666">
        <v>195</v>
      </c>
      <c r="H666">
        <v>14625</v>
      </c>
      <c r="I666" t="s">
        <v>99</v>
      </c>
      <c r="J666">
        <v>9</v>
      </c>
      <c r="K666">
        <v>7.31</v>
      </c>
      <c r="L666">
        <v>0</v>
      </c>
      <c r="M666">
        <v>0.01</v>
      </c>
      <c r="N666">
        <v>100</v>
      </c>
      <c r="O666">
        <v>19.32</v>
      </c>
      <c r="P666">
        <v>135.63999999999999</v>
      </c>
      <c r="Q666">
        <f t="shared" si="100"/>
        <v>2024</v>
      </c>
      <c r="R666">
        <f t="shared" si="101"/>
        <v>7</v>
      </c>
      <c r="S666">
        <f t="shared" si="102"/>
        <v>2024</v>
      </c>
      <c r="T666">
        <f t="shared" si="103"/>
        <v>4</v>
      </c>
      <c r="U666" t="str">
        <f t="shared" si="104"/>
        <v>04</v>
      </c>
      <c r="V666" t="str">
        <f t="shared" si="105"/>
        <v>202404</v>
      </c>
      <c r="W666" t="str">
        <f t="shared" si="106"/>
        <v>Jul-24</v>
      </c>
      <c r="X666" s="3">
        <f t="shared" si="107"/>
        <v>14489.36</v>
      </c>
      <c r="Y666">
        <f t="shared" si="108"/>
        <v>14489.36</v>
      </c>
      <c r="Z666" t="str">
        <f t="shared" si="109"/>
        <v/>
      </c>
    </row>
    <row r="667" spans="1:26" x14ac:dyDescent="0.25">
      <c r="A667" s="1">
        <v>45496</v>
      </c>
      <c r="B667" t="s">
        <v>98</v>
      </c>
      <c r="C667" t="s">
        <v>17</v>
      </c>
      <c r="D667" t="s">
        <v>22</v>
      </c>
      <c r="E667">
        <v>75</v>
      </c>
      <c r="F667">
        <v>0</v>
      </c>
      <c r="G667">
        <v>275.98</v>
      </c>
      <c r="H667">
        <v>20698.5</v>
      </c>
      <c r="I667" t="s">
        <v>100</v>
      </c>
      <c r="J667">
        <v>0</v>
      </c>
      <c r="K667">
        <v>10.35</v>
      </c>
      <c r="L667">
        <v>0.62</v>
      </c>
      <c r="M667">
        <v>0.01</v>
      </c>
      <c r="N667">
        <v>100</v>
      </c>
      <c r="O667">
        <v>19.88</v>
      </c>
      <c r="P667">
        <v>130.86000000000001</v>
      </c>
      <c r="Q667">
        <f t="shared" si="100"/>
        <v>2024</v>
      </c>
      <c r="R667">
        <f t="shared" si="101"/>
        <v>7</v>
      </c>
      <c r="S667">
        <f t="shared" si="102"/>
        <v>2024</v>
      </c>
      <c r="T667">
        <f t="shared" si="103"/>
        <v>4</v>
      </c>
      <c r="U667" t="str">
        <f t="shared" si="104"/>
        <v>04</v>
      </c>
      <c r="V667" t="str">
        <f t="shared" si="105"/>
        <v>202404</v>
      </c>
      <c r="W667" t="str">
        <f t="shared" si="106"/>
        <v>Jul-24</v>
      </c>
      <c r="X667" s="3">
        <f t="shared" si="107"/>
        <v>-20829.36</v>
      </c>
      <c r="Y667" t="str">
        <f t="shared" si="108"/>
        <v/>
      </c>
      <c r="Z667">
        <f t="shared" si="109"/>
        <v>-20829.36</v>
      </c>
    </row>
    <row r="668" spans="1:26" x14ac:dyDescent="0.25">
      <c r="A668" s="1">
        <v>45497</v>
      </c>
      <c r="B668" t="s">
        <v>90</v>
      </c>
      <c r="C668" t="s">
        <v>17</v>
      </c>
      <c r="D668" t="s">
        <v>18</v>
      </c>
      <c r="E668">
        <v>195</v>
      </c>
      <c r="F668">
        <v>0</v>
      </c>
      <c r="G668">
        <v>8.75</v>
      </c>
      <c r="H668">
        <v>1706.25</v>
      </c>
      <c r="I668" t="s">
        <v>91</v>
      </c>
      <c r="J668">
        <v>1.07</v>
      </c>
      <c r="K668">
        <v>0.85</v>
      </c>
      <c r="L668">
        <v>0</v>
      </c>
      <c r="M668">
        <v>0</v>
      </c>
      <c r="N668">
        <v>260</v>
      </c>
      <c r="O668">
        <v>46.96</v>
      </c>
      <c r="P668">
        <v>308.88</v>
      </c>
      <c r="Q668">
        <f t="shared" si="100"/>
        <v>2024</v>
      </c>
      <c r="R668">
        <f t="shared" si="101"/>
        <v>7</v>
      </c>
      <c r="S668">
        <f t="shared" si="102"/>
        <v>2024</v>
      </c>
      <c r="T668">
        <f t="shared" si="103"/>
        <v>4</v>
      </c>
      <c r="U668" t="str">
        <f t="shared" si="104"/>
        <v>04</v>
      </c>
      <c r="V668" t="str">
        <f t="shared" si="105"/>
        <v>202404</v>
      </c>
      <c r="W668" t="str">
        <f t="shared" si="106"/>
        <v>Jul-24</v>
      </c>
      <c r="X668" s="3">
        <f t="shared" si="107"/>
        <v>1397.37</v>
      </c>
      <c r="Y668">
        <f t="shared" si="108"/>
        <v>1397.37</v>
      </c>
      <c r="Z668" t="str">
        <f t="shared" si="109"/>
        <v/>
      </c>
    </row>
    <row r="669" spans="1:26" x14ac:dyDescent="0.25">
      <c r="A669" s="1">
        <v>45497</v>
      </c>
      <c r="B669" t="s">
        <v>90</v>
      </c>
      <c r="C669" t="s">
        <v>17</v>
      </c>
      <c r="D669" t="s">
        <v>18</v>
      </c>
      <c r="E669">
        <v>900</v>
      </c>
      <c r="F669">
        <v>0</v>
      </c>
      <c r="G669">
        <v>8.6999999999999993</v>
      </c>
      <c r="H669">
        <v>7830</v>
      </c>
      <c r="I669" t="s">
        <v>92</v>
      </c>
      <c r="J669">
        <v>4.8899999999999997</v>
      </c>
      <c r="K669">
        <v>3.92</v>
      </c>
      <c r="L669">
        <v>0</v>
      </c>
      <c r="M669">
        <v>0</v>
      </c>
      <c r="N669">
        <v>1200</v>
      </c>
      <c r="O669">
        <v>216.7</v>
      </c>
      <c r="P669">
        <v>1425.51</v>
      </c>
      <c r="Q669">
        <f t="shared" si="100"/>
        <v>2024</v>
      </c>
      <c r="R669">
        <f t="shared" si="101"/>
        <v>7</v>
      </c>
      <c r="S669">
        <f t="shared" si="102"/>
        <v>2024</v>
      </c>
      <c r="T669">
        <f t="shared" si="103"/>
        <v>4</v>
      </c>
      <c r="U669" t="str">
        <f t="shared" si="104"/>
        <v>04</v>
      </c>
      <c r="V669" t="str">
        <f t="shared" si="105"/>
        <v>202404</v>
      </c>
      <c r="W669" t="str">
        <f t="shared" si="106"/>
        <v>Jul-24</v>
      </c>
      <c r="X669" s="3">
        <f t="shared" si="107"/>
        <v>6404.49</v>
      </c>
      <c r="Y669">
        <f t="shared" si="108"/>
        <v>6404.49</v>
      </c>
      <c r="Z669" t="str">
        <f t="shared" si="109"/>
        <v/>
      </c>
    </row>
    <row r="670" spans="1:26" x14ac:dyDescent="0.25">
      <c r="A670" s="1">
        <v>45497</v>
      </c>
      <c r="B670" t="s">
        <v>90</v>
      </c>
      <c r="C670" t="s">
        <v>17</v>
      </c>
      <c r="D670" t="s">
        <v>18</v>
      </c>
      <c r="E670">
        <v>900</v>
      </c>
      <c r="F670">
        <v>0</v>
      </c>
      <c r="G670">
        <v>8.75</v>
      </c>
      <c r="H670">
        <v>7875</v>
      </c>
      <c r="I670" t="s">
        <v>93</v>
      </c>
      <c r="J670">
        <v>5.03</v>
      </c>
      <c r="K670">
        <v>3.94</v>
      </c>
      <c r="L670">
        <v>0</v>
      </c>
      <c r="M670">
        <v>0</v>
      </c>
      <c r="N670">
        <v>1200</v>
      </c>
      <c r="O670">
        <v>216.72</v>
      </c>
      <c r="P670">
        <v>1425.69</v>
      </c>
      <c r="Q670">
        <f t="shared" si="100"/>
        <v>2024</v>
      </c>
      <c r="R670">
        <f t="shared" si="101"/>
        <v>7</v>
      </c>
      <c r="S670">
        <f t="shared" si="102"/>
        <v>2024</v>
      </c>
      <c r="T670">
        <f t="shared" si="103"/>
        <v>4</v>
      </c>
      <c r="U670" t="str">
        <f t="shared" si="104"/>
        <v>04</v>
      </c>
      <c r="V670" t="str">
        <f t="shared" si="105"/>
        <v>202404</v>
      </c>
      <c r="W670" t="str">
        <f t="shared" si="106"/>
        <v>Jul-24</v>
      </c>
      <c r="X670" s="3">
        <f t="shared" si="107"/>
        <v>6449.3099999999995</v>
      </c>
      <c r="Y670">
        <f t="shared" si="108"/>
        <v>6449.3099999999995</v>
      </c>
      <c r="Z670" t="str">
        <f t="shared" si="109"/>
        <v/>
      </c>
    </row>
    <row r="671" spans="1:26" x14ac:dyDescent="0.25">
      <c r="A671" s="1">
        <v>45497</v>
      </c>
      <c r="B671" t="s">
        <v>90</v>
      </c>
      <c r="C671" t="s">
        <v>17</v>
      </c>
      <c r="D671" t="s">
        <v>22</v>
      </c>
      <c r="E671">
        <v>900</v>
      </c>
      <c r="F671">
        <v>0</v>
      </c>
      <c r="G671">
        <v>16.25</v>
      </c>
      <c r="H671">
        <v>14625</v>
      </c>
      <c r="I671" t="s">
        <v>94</v>
      </c>
      <c r="J671">
        <v>0</v>
      </c>
      <c r="K671">
        <v>7.32</v>
      </c>
      <c r="L671">
        <v>0</v>
      </c>
      <c r="M671">
        <v>0.02</v>
      </c>
      <c r="N671">
        <v>1200</v>
      </c>
      <c r="O671">
        <v>217.3</v>
      </c>
      <c r="P671">
        <v>1424.64</v>
      </c>
      <c r="Q671">
        <f t="shared" si="100"/>
        <v>2024</v>
      </c>
      <c r="R671">
        <f t="shared" si="101"/>
        <v>7</v>
      </c>
      <c r="S671">
        <f t="shared" si="102"/>
        <v>2024</v>
      </c>
      <c r="T671">
        <f t="shared" si="103"/>
        <v>4</v>
      </c>
      <c r="U671" t="str">
        <f t="shared" si="104"/>
        <v>04</v>
      </c>
      <c r="V671" t="str">
        <f t="shared" si="105"/>
        <v>202404</v>
      </c>
      <c r="W671" t="str">
        <f t="shared" si="106"/>
        <v>Jul-24</v>
      </c>
      <c r="X671" s="3">
        <f t="shared" si="107"/>
        <v>-16049.64</v>
      </c>
      <c r="Y671" t="str">
        <f t="shared" si="108"/>
        <v/>
      </c>
      <c r="Z671">
        <f t="shared" si="109"/>
        <v>-16049.64</v>
      </c>
    </row>
    <row r="672" spans="1:26" x14ac:dyDescent="0.25">
      <c r="A672" s="1">
        <v>45497</v>
      </c>
      <c r="B672" t="s">
        <v>90</v>
      </c>
      <c r="C672" t="s">
        <v>17</v>
      </c>
      <c r="D672" t="s">
        <v>22</v>
      </c>
      <c r="E672">
        <v>900</v>
      </c>
      <c r="F672">
        <v>0</v>
      </c>
      <c r="G672">
        <v>21.25</v>
      </c>
      <c r="H672">
        <v>19125</v>
      </c>
      <c r="I672" t="s">
        <v>95</v>
      </c>
      <c r="J672">
        <v>0</v>
      </c>
      <c r="K672">
        <v>9.57</v>
      </c>
      <c r="L672">
        <v>1</v>
      </c>
      <c r="M672">
        <v>0.02</v>
      </c>
      <c r="N672">
        <v>1200</v>
      </c>
      <c r="O672">
        <v>217.74</v>
      </c>
      <c r="P672">
        <v>1428.33</v>
      </c>
      <c r="Q672">
        <f t="shared" si="100"/>
        <v>2024</v>
      </c>
      <c r="R672">
        <f t="shared" si="101"/>
        <v>7</v>
      </c>
      <c r="S672">
        <f t="shared" si="102"/>
        <v>2024</v>
      </c>
      <c r="T672">
        <f t="shared" si="103"/>
        <v>4</v>
      </c>
      <c r="U672" t="str">
        <f t="shared" si="104"/>
        <v>04</v>
      </c>
      <c r="V672" t="str">
        <f t="shared" si="105"/>
        <v>202404</v>
      </c>
      <c r="W672" t="str">
        <f t="shared" si="106"/>
        <v>Jul-24</v>
      </c>
      <c r="X672" s="3">
        <f t="shared" si="107"/>
        <v>-20553.330000000002</v>
      </c>
      <c r="Y672" t="str">
        <f t="shared" si="108"/>
        <v/>
      </c>
      <c r="Z672">
        <f t="shared" si="109"/>
        <v>-20553.330000000002</v>
      </c>
    </row>
    <row r="673" spans="1:26" x14ac:dyDescent="0.25">
      <c r="A673" s="1">
        <v>45511</v>
      </c>
      <c r="B673" t="s">
        <v>85</v>
      </c>
      <c r="C673" t="s">
        <v>17</v>
      </c>
      <c r="D673" t="s">
        <v>18</v>
      </c>
      <c r="E673">
        <v>210</v>
      </c>
      <c r="F673">
        <v>0</v>
      </c>
      <c r="G673">
        <v>15.25</v>
      </c>
      <c r="H673">
        <v>3202.5</v>
      </c>
      <c r="I673" t="s">
        <v>86</v>
      </c>
      <c r="J673">
        <v>2</v>
      </c>
      <c r="K673">
        <v>1.6</v>
      </c>
      <c r="L673">
        <v>0</v>
      </c>
      <c r="M673">
        <v>0</v>
      </c>
      <c r="N673">
        <v>280</v>
      </c>
      <c r="O673">
        <v>50.68</v>
      </c>
      <c r="P673">
        <v>334.28</v>
      </c>
      <c r="Q673">
        <f t="shared" si="100"/>
        <v>2024</v>
      </c>
      <c r="R673">
        <f t="shared" si="101"/>
        <v>8</v>
      </c>
      <c r="S673">
        <f t="shared" si="102"/>
        <v>2024</v>
      </c>
      <c r="T673">
        <f t="shared" si="103"/>
        <v>5</v>
      </c>
      <c r="U673" t="str">
        <f t="shared" si="104"/>
        <v>05</v>
      </c>
      <c r="V673" t="str">
        <f t="shared" si="105"/>
        <v>202405</v>
      </c>
      <c r="W673" t="str">
        <f t="shared" si="106"/>
        <v>Aug-24</v>
      </c>
      <c r="X673" s="3">
        <f t="shared" si="107"/>
        <v>2868.2200000000003</v>
      </c>
      <c r="Y673">
        <f t="shared" si="108"/>
        <v>2868.2200000000003</v>
      </c>
      <c r="Z673" t="str">
        <f t="shared" si="109"/>
        <v/>
      </c>
    </row>
    <row r="674" spans="1:26" x14ac:dyDescent="0.25">
      <c r="A674" s="1">
        <v>45511</v>
      </c>
      <c r="B674" t="s">
        <v>85</v>
      </c>
      <c r="C674" t="s">
        <v>17</v>
      </c>
      <c r="D674" t="s">
        <v>18</v>
      </c>
      <c r="E674">
        <v>900</v>
      </c>
      <c r="F674">
        <v>0</v>
      </c>
      <c r="G674">
        <v>15.25</v>
      </c>
      <c r="H674">
        <v>13725</v>
      </c>
      <c r="I674" t="s">
        <v>87</v>
      </c>
      <c r="J674">
        <v>9</v>
      </c>
      <c r="K674">
        <v>6.86</v>
      </c>
      <c r="L674">
        <v>0</v>
      </c>
      <c r="M674">
        <v>0.02</v>
      </c>
      <c r="N674">
        <v>1200</v>
      </c>
      <c r="O674">
        <v>217.24</v>
      </c>
      <c r="P674">
        <v>1433.12</v>
      </c>
      <c r="Q674">
        <f t="shared" si="100"/>
        <v>2024</v>
      </c>
      <c r="R674">
        <f t="shared" si="101"/>
        <v>8</v>
      </c>
      <c r="S674">
        <f t="shared" si="102"/>
        <v>2024</v>
      </c>
      <c r="T674">
        <f t="shared" si="103"/>
        <v>5</v>
      </c>
      <c r="U674" t="str">
        <f t="shared" si="104"/>
        <v>05</v>
      </c>
      <c r="V674" t="str">
        <f t="shared" si="105"/>
        <v>202405</v>
      </c>
      <c r="W674" t="str">
        <f t="shared" si="106"/>
        <v>Aug-24</v>
      </c>
      <c r="X674" s="3">
        <f t="shared" si="107"/>
        <v>12291.880000000001</v>
      </c>
      <c r="Y674">
        <f t="shared" si="108"/>
        <v>12291.880000000001</v>
      </c>
      <c r="Z674" t="str">
        <f t="shared" si="109"/>
        <v/>
      </c>
    </row>
    <row r="675" spans="1:26" x14ac:dyDescent="0.25">
      <c r="A675" s="1">
        <v>45511</v>
      </c>
      <c r="B675" t="s">
        <v>85</v>
      </c>
      <c r="C675" t="s">
        <v>17</v>
      </c>
      <c r="D675" t="s">
        <v>22</v>
      </c>
      <c r="E675">
        <v>900</v>
      </c>
      <c r="F675">
        <v>0</v>
      </c>
      <c r="G675">
        <v>33.25</v>
      </c>
      <c r="H675">
        <v>29925</v>
      </c>
      <c r="I675" t="s">
        <v>88</v>
      </c>
      <c r="J675">
        <v>0</v>
      </c>
      <c r="K675">
        <v>14.97</v>
      </c>
      <c r="L675">
        <v>2</v>
      </c>
      <c r="M675">
        <v>0.02</v>
      </c>
      <c r="N675">
        <v>1200</v>
      </c>
      <c r="O675">
        <v>218.7</v>
      </c>
      <c r="P675">
        <v>1435.69</v>
      </c>
      <c r="Q675">
        <f t="shared" si="100"/>
        <v>2024</v>
      </c>
      <c r="R675">
        <f t="shared" si="101"/>
        <v>8</v>
      </c>
      <c r="S675">
        <f t="shared" si="102"/>
        <v>2024</v>
      </c>
      <c r="T675">
        <f t="shared" si="103"/>
        <v>5</v>
      </c>
      <c r="U675" t="str">
        <f t="shared" si="104"/>
        <v>05</v>
      </c>
      <c r="V675" t="str">
        <f t="shared" si="105"/>
        <v>202405</v>
      </c>
      <c r="W675" t="str">
        <f t="shared" si="106"/>
        <v>Aug-24</v>
      </c>
      <c r="X675" s="3">
        <f t="shared" si="107"/>
        <v>-31360.69</v>
      </c>
      <c r="Y675" t="str">
        <f t="shared" si="108"/>
        <v/>
      </c>
      <c r="Z675">
        <f t="shared" si="109"/>
        <v>-31360.69</v>
      </c>
    </row>
    <row r="676" spans="1:26" x14ac:dyDescent="0.25">
      <c r="A676" s="1">
        <v>45511</v>
      </c>
      <c r="B676" t="s">
        <v>85</v>
      </c>
      <c r="C676" t="s">
        <v>17</v>
      </c>
      <c r="D676" t="s">
        <v>22</v>
      </c>
      <c r="E676">
        <v>210</v>
      </c>
      <c r="F676">
        <v>0</v>
      </c>
      <c r="G676">
        <v>101.25</v>
      </c>
      <c r="H676">
        <v>21262.5</v>
      </c>
      <c r="I676" t="s">
        <v>89</v>
      </c>
      <c r="J676">
        <v>0</v>
      </c>
      <c r="K676">
        <v>10.63</v>
      </c>
      <c r="L676">
        <v>0</v>
      </c>
      <c r="M676">
        <v>0.02</v>
      </c>
      <c r="N676">
        <v>280</v>
      </c>
      <c r="O676">
        <v>52.32</v>
      </c>
      <c r="P676">
        <v>342.97</v>
      </c>
      <c r="Q676">
        <f t="shared" si="100"/>
        <v>2024</v>
      </c>
      <c r="R676">
        <f t="shared" si="101"/>
        <v>8</v>
      </c>
      <c r="S676">
        <f t="shared" si="102"/>
        <v>2024</v>
      </c>
      <c r="T676">
        <f t="shared" si="103"/>
        <v>5</v>
      </c>
      <c r="U676" t="str">
        <f t="shared" si="104"/>
        <v>05</v>
      </c>
      <c r="V676" t="str">
        <f t="shared" si="105"/>
        <v>202405</v>
      </c>
      <c r="W676" t="str">
        <f t="shared" si="106"/>
        <v>Aug-24</v>
      </c>
      <c r="X676" s="3">
        <f t="shared" si="107"/>
        <v>-21605.47</v>
      </c>
      <c r="Y676" t="str">
        <f t="shared" si="108"/>
        <v/>
      </c>
      <c r="Z676">
        <f t="shared" si="109"/>
        <v>-21605.47</v>
      </c>
    </row>
    <row r="677" spans="1:26" x14ac:dyDescent="0.25">
      <c r="A677" s="1">
        <v>45518</v>
      </c>
      <c r="B677" t="s">
        <v>81</v>
      </c>
      <c r="C677" t="s">
        <v>17</v>
      </c>
      <c r="D677" t="s">
        <v>18</v>
      </c>
      <c r="E677">
        <v>150</v>
      </c>
      <c r="F677">
        <v>0</v>
      </c>
      <c r="G677">
        <v>185.25</v>
      </c>
      <c r="H677">
        <v>27787.5</v>
      </c>
      <c r="I677" t="s">
        <v>82</v>
      </c>
      <c r="J677">
        <v>17</v>
      </c>
      <c r="K677">
        <v>13.9</v>
      </c>
      <c r="L677">
        <v>0</v>
      </c>
      <c r="M677">
        <v>0.03</v>
      </c>
      <c r="N677">
        <v>200</v>
      </c>
      <c r="O677">
        <v>38.520000000000003</v>
      </c>
      <c r="P677">
        <v>269.45</v>
      </c>
      <c r="Q677">
        <f t="shared" si="100"/>
        <v>2024</v>
      </c>
      <c r="R677">
        <f t="shared" si="101"/>
        <v>8</v>
      </c>
      <c r="S677">
        <f t="shared" si="102"/>
        <v>2024</v>
      </c>
      <c r="T677">
        <f t="shared" si="103"/>
        <v>5</v>
      </c>
      <c r="U677" t="str">
        <f t="shared" si="104"/>
        <v>05</v>
      </c>
      <c r="V677" t="str">
        <f t="shared" si="105"/>
        <v>202405</v>
      </c>
      <c r="W677" t="str">
        <f t="shared" si="106"/>
        <v>Aug-24</v>
      </c>
      <c r="X677" s="3">
        <f t="shared" si="107"/>
        <v>27518.05</v>
      </c>
      <c r="Y677">
        <f t="shared" si="108"/>
        <v>27518.05</v>
      </c>
      <c r="Z677" t="str">
        <f t="shared" si="109"/>
        <v/>
      </c>
    </row>
    <row r="678" spans="1:26" x14ac:dyDescent="0.25">
      <c r="A678" s="1">
        <v>45518</v>
      </c>
      <c r="B678" t="s">
        <v>81</v>
      </c>
      <c r="C678" t="s">
        <v>17</v>
      </c>
      <c r="D678" t="s">
        <v>22</v>
      </c>
      <c r="E678">
        <v>75</v>
      </c>
      <c r="F678">
        <v>0</v>
      </c>
      <c r="G678">
        <v>145</v>
      </c>
      <c r="H678">
        <v>10875</v>
      </c>
      <c r="I678" t="s">
        <v>83</v>
      </c>
      <c r="J678">
        <v>0</v>
      </c>
      <c r="K678">
        <v>5.44</v>
      </c>
      <c r="L678">
        <v>0</v>
      </c>
      <c r="M678">
        <v>0.01</v>
      </c>
      <c r="N678">
        <v>100</v>
      </c>
      <c r="O678">
        <v>18.98</v>
      </c>
      <c r="P678">
        <v>124.43</v>
      </c>
      <c r="Q678">
        <f t="shared" si="100"/>
        <v>2024</v>
      </c>
      <c r="R678">
        <f t="shared" si="101"/>
        <v>8</v>
      </c>
      <c r="S678">
        <f t="shared" si="102"/>
        <v>2024</v>
      </c>
      <c r="T678">
        <f t="shared" si="103"/>
        <v>5</v>
      </c>
      <c r="U678" t="str">
        <f t="shared" si="104"/>
        <v>05</v>
      </c>
      <c r="V678" t="str">
        <f t="shared" si="105"/>
        <v>202405</v>
      </c>
      <c r="W678" t="str">
        <f t="shared" si="106"/>
        <v>Aug-24</v>
      </c>
      <c r="X678" s="3">
        <f t="shared" si="107"/>
        <v>-10999.43</v>
      </c>
      <c r="Y678" t="str">
        <f t="shared" si="108"/>
        <v/>
      </c>
      <c r="Z678">
        <f t="shared" si="109"/>
        <v>-10999.43</v>
      </c>
    </row>
    <row r="679" spans="1:26" x14ac:dyDescent="0.25">
      <c r="A679" s="1">
        <v>45518</v>
      </c>
      <c r="B679" t="s">
        <v>81</v>
      </c>
      <c r="C679" t="s">
        <v>17</v>
      </c>
      <c r="D679" t="s">
        <v>22</v>
      </c>
      <c r="E679">
        <v>75</v>
      </c>
      <c r="F679">
        <v>0</v>
      </c>
      <c r="G679">
        <v>195</v>
      </c>
      <c r="H679">
        <v>14625</v>
      </c>
      <c r="I679" t="s">
        <v>84</v>
      </c>
      <c r="J679">
        <v>0</v>
      </c>
      <c r="K679">
        <v>7.31</v>
      </c>
      <c r="L679">
        <v>1</v>
      </c>
      <c r="M679">
        <v>0.01</v>
      </c>
      <c r="N679">
        <v>100</v>
      </c>
      <c r="O679">
        <v>19.32</v>
      </c>
      <c r="P679">
        <v>127.64</v>
      </c>
      <c r="Q679">
        <f t="shared" si="100"/>
        <v>2024</v>
      </c>
      <c r="R679">
        <f t="shared" si="101"/>
        <v>8</v>
      </c>
      <c r="S679">
        <f t="shared" si="102"/>
        <v>2024</v>
      </c>
      <c r="T679">
        <f t="shared" si="103"/>
        <v>5</v>
      </c>
      <c r="U679" t="str">
        <f t="shared" si="104"/>
        <v>05</v>
      </c>
      <c r="V679" t="str">
        <f t="shared" si="105"/>
        <v>202405</v>
      </c>
      <c r="W679" t="str">
        <f t="shared" si="106"/>
        <v>Aug-24</v>
      </c>
      <c r="X679" s="3">
        <f t="shared" si="107"/>
        <v>-14752.64</v>
      </c>
      <c r="Y679" t="str">
        <f t="shared" si="108"/>
        <v/>
      </c>
      <c r="Z679">
        <f t="shared" si="109"/>
        <v>-14752.64</v>
      </c>
    </row>
    <row r="680" spans="1:26" x14ac:dyDescent="0.25">
      <c r="A680" s="1">
        <v>45555</v>
      </c>
      <c r="B680" t="s">
        <v>70</v>
      </c>
      <c r="C680" t="s">
        <v>17</v>
      </c>
      <c r="D680" t="s">
        <v>22</v>
      </c>
      <c r="E680">
        <v>15</v>
      </c>
      <c r="F680">
        <v>0</v>
      </c>
      <c r="G680">
        <v>244</v>
      </c>
      <c r="H680">
        <v>3660</v>
      </c>
      <c r="I680" t="s">
        <v>75</v>
      </c>
      <c r="J680">
        <v>0</v>
      </c>
      <c r="K680">
        <v>1.83</v>
      </c>
      <c r="L680">
        <v>0</v>
      </c>
      <c r="M680">
        <v>0</v>
      </c>
      <c r="N680">
        <v>20</v>
      </c>
      <c r="O680">
        <v>3.92</v>
      </c>
      <c r="P680">
        <v>25.75</v>
      </c>
      <c r="Q680">
        <f t="shared" si="100"/>
        <v>2024</v>
      </c>
      <c r="R680">
        <f t="shared" si="101"/>
        <v>9</v>
      </c>
      <c r="S680">
        <f t="shared" si="102"/>
        <v>2024</v>
      </c>
      <c r="T680">
        <f t="shared" si="103"/>
        <v>6</v>
      </c>
      <c r="U680" t="str">
        <f t="shared" si="104"/>
        <v>06</v>
      </c>
      <c r="V680" t="str">
        <f t="shared" si="105"/>
        <v>202406</v>
      </c>
      <c r="W680" t="str">
        <f t="shared" si="106"/>
        <v>Sep-24</v>
      </c>
      <c r="X680" s="3">
        <f t="shared" si="107"/>
        <v>-3685.75</v>
      </c>
      <c r="Y680" t="str">
        <f t="shared" si="108"/>
        <v/>
      </c>
      <c r="Z680">
        <f t="shared" si="109"/>
        <v>-3685.75</v>
      </c>
    </row>
    <row r="681" spans="1:26" x14ac:dyDescent="0.25">
      <c r="A681" s="1">
        <v>45555</v>
      </c>
      <c r="B681" t="s">
        <v>70</v>
      </c>
      <c r="C681" t="s">
        <v>17</v>
      </c>
      <c r="D681" t="s">
        <v>22</v>
      </c>
      <c r="E681">
        <v>15</v>
      </c>
      <c r="F681">
        <v>0</v>
      </c>
      <c r="G681">
        <v>295.64999999999998</v>
      </c>
      <c r="H681">
        <v>4434.75</v>
      </c>
      <c r="I681" t="s">
        <v>76</v>
      </c>
      <c r="J681">
        <v>0</v>
      </c>
      <c r="K681">
        <v>2.2200000000000002</v>
      </c>
      <c r="L681">
        <v>0</v>
      </c>
      <c r="M681">
        <v>0</v>
      </c>
      <c r="N681">
        <v>20</v>
      </c>
      <c r="O681">
        <v>4</v>
      </c>
      <c r="P681">
        <v>26.22</v>
      </c>
      <c r="Q681">
        <f t="shared" si="100"/>
        <v>2024</v>
      </c>
      <c r="R681">
        <f t="shared" si="101"/>
        <v>9</v>
      </c>
      <c r="S681">
        <f t="shared" si="102"/>
        <v>2024</v>
      </c>
      <c r="T681">
        <f t="shared" si="103"/>
        <v>6</v>
      </c>
      <c r="U681" t="str">
        <f t="shared" si="104"/>
        <v>06</v>
      </c>
      <c r="V681" t="str">
        <f t="shared" si="105"/>
        <v>202406</v>
      </c>
      <c r="W681" t="str">
        <f t="shared" si="106"/>
        <v>Sep-24</v>
      </c>
      <c r="X681" s="3">
        <f t="shared" si="107"/>
        <v>-4460.97</v>
      </c>
      <c r="Y681" t="str">
        <f t="shared" si="108"/>
        <v/>
      </c>
      <c r="Z681">
        <f t="shared" si="109"/>
        <v>-4460.97</v>
      </c>
    </row>
    <row r="682" spans="1:26" x14ac:dyDescent="0.25">
      <c r="A682" s="1">
        <v>45555</v>
      </c>
      <c r="B682" t="s">
        <v>70</v>
      </c>
      <c r="C682" t="s">
        <v>17</v>
      </c>
      <c r="D682" t="s">
        <v>22</v>
      </c>
      <c r="E682">
        <v>15</v>
      </c>
      <c r="F682">
        <v>0</v>
      </c>
      <c r="G682">
        <v>329.25</v>
      </c>
      <c r="H682">
        <v>4938.75</v>
      </c>
      <c r="I682" t="s">
        <v>77</v>
      </c>
      <c r="J682">
        <v>0</v>
      </c>
      <c r="K682">
        <v>2.4700000000000002</v>
      </c>
      <c r="L682">
        <v>0.39</v>
      </c>
      <c r="M682">
        <v>0</v>
      </c>
      <c r="N682">
        <v>20</v>
      </c>
      <c r="O682">
        <v>4.04</v>
      </c>
      <c r="P682">
        <v>26.9</v>
      </c>
      <c r="Q682">
        <f t="shared" si="100"/>
        <v>2024</v>
      </c>
      <c r="R682">
        <f t="shared" si="101"/>
        <v>9</v>
      </c>
      <c r="S682">
        <f t="shared" si="102"/>
        <v>2024</v>
      </c>
      <c r="T682">
        <f t="shared" si="103"/>
        <v>6</v>
      </c>
      <c r="U682" t="str">
        <f t="shared" si="104"/>
        <v>06</v>
      </c>
      <c r="V682" t="str">
        <f t="shared" si="105"/>
        <v>202406</v>
      </c>
      <c r="W682" t="str">
        <f t="shared" si="106"/>
        <v>Sep-24</v>
      </c>
      <c r="X682" s="3">
        <f t="shared" si="107"/>
        <v>-4965.6499999999996</v>
      </c>
      <c r="Y682" t="str">
        <f t="shared" si="108"/>
        <v/>
      </c>
      <c r="Z682">
        <f t="shared" si="109"/>
        <v>-4965.6499999999996</v>
      </c>
    </row>
    <row r="683" spans="1:26" x14ac:dyDescent="0.25">
      <c r="A683" s="1">
        <v>45555</v>
      </c>
      <c r="B683" t="s">
        <v>78</v>
      </c>
      <c r="C683" t="s">
        <v>17</v>
      </c>
      <c r="D683" t="s">
        <v>18</v>
      </c>
      <c r="E683">
        <v>60</v>
      </c>
      <c r="F683">
        <v>0</v>
      </c>
      <c r="G683">
        <v>375.25</v>
      </c>
      <c r="H683">
        <v>22515</v>
      </c>
      <c r="I683" t="s">
        <v>79</v>
      </c>
      <c r="J683">
        <v>14</v>
      </c>
      <c r="K683">
        <v>11.26</v>
      </c>
      <c r="L683">
        <v>0</v>
      </c>
      <c r="M683">
        <v>0.02</v>
      </c>
      <c r="N683">
        <v>80</v>
      </c>
      <c r="O683">
        <v>16.440000000000001</v>
      </c>
      <c r="P683">
        <v>121.72</v>
      </c>
      <c r="Q683">
        <f t="shared" si="100"/>
        <v>2024</v>
      </c>
      <c r="R683">
        <f t="shared" si="101"/>
        <v>9</v>
      </c>
      <c r="S683">
        <f t="shared" si="102"/>
        <v>2024</v>
      </c>
      <c r="T683">
        <f t="shared" si="103"/>
        <v>6</v>
      </c>
      <c r="U683" t="str">
        <f t="shared" si="104"/>
        <v>06</v>
      </c>
      <c r="V683" t="str">
        <f t="shared" si="105"/>
        <v>202406</v>
      </c>
      <c r="W683" t="str">
        <f t="shared" si="106"/>
        <v>Sep-24</v>
      </c>
      <c r="X683" s="3">
        <f t="shared" si="107"/>
        <v>22393.279999999999</v>
      </c>
      <c r="Y683">
        <f t="shared" si="108"/>
        <v>22393.279999999999</v>
      </c>
      <c r="Z683" t="str">
        <f t="shared" si="109"/>
        <v/>
      </c>
    </row>
    <row r="684" spans="1:26" x14ac:dyDescent="0.25">
      <c r="A684" s="1">
        <v>45555</v>
      </c>
      <c r="B684" t="s">
        <v>78</v>
      </c>
      <c r="C684" t="s">
        <v>17</v>
      </c>
      <c r="D684" t="s">
        <v>22</v>
      </c>
      <c r="E684">
        <v>60</v>
      </c>
      <c r="F684">
        <v>0</v>
      </c>
      <c r="G684">
        <v>345</v>
      </c>
      <c r="H684">
        <v>20700</v>
      </c>
      <c r="I684" t="s">
        <v>80</v>
      </c>
      <c r="J684">
        <v>0</v>
      </c>
      <c r="K684">
        <v>10.35</v>
      </c>
      <c r="L684">
        <v>0.61</v>
      </c>
      <c r="M684">
        <v>0.02</v>
      </c>
      <c r="N684">
        <v>80</v>
      </c>
      <c r="O684">
        <v>16.260000000000002</v>
      </c>
      <c r="P684">
        <v>107.24</v>
      </c>
      <c r="Q684">
        <f t="shared" si="100"/>
        <v>2024</v>
      </c>
      <c r="R684">
        <f t="shared" si="101"/>
        <v>9</v>
      </c>
      <c r="S684">
        <f t="shared" si="102"/>
        <v>2024</v>
      </c>
      <c r="T684">
        <f t="shared" si="103"/>
        <v>6</v>
      </c>
      <c r="U684" t="str">
        <f t="shared" si="104"/>
        <v>06</v>
      </c>
      <c r="V684" t="str">
        <f t="shared" si="105"/>
        <v>202406</v>
      </c>
      <c r="W684" t="str">
        <f t="shared" si="106"/>
        <v>Sep-24</v>
      </c>
      <c r="X684" s="3">
        <f t="shared" si="107"/>
        <v>-20807.240000000002</v>
      </c>
      <c r="Y684" t="str">
        <f t="shared" si="108"/>
        <v/>
      </c>
      <c r="Z684">
        <f t="shared" si="109"/>
        <v>-20807.240000000002</v>
      </c>
    </row>
    <row r="685" spans="1:26" x14ac:dyDescent="0.25">
      <c r="A685" s="1">
        <v>45559</v>
      </c>
      <c r="B685" t="s">
        <v>70</v>
      </c>
      <c r="C685" t="s">
        <v>17</v>
      </c>
      <c r="D685" t="s">
        <v>22</v>
      </c>
      <c r="E685">
        <v>210</v>
      </c>
      <c r="F685">
        <v>0</v>
      </c>
      <c r="G685">
        <v>25</v>
      </c>
      <c r="H685">
        <v>5250</v>
      </c>
      <c r="I685" t="s">
        <v>72</v>
      </c>
      <c r="J685">
        <v>0</v>
      </c>
      <c r="K685">
        <v>2.62</v>
      </c>
      <c r="L685">
        <v>0</v>
      </c>
      <c r="M685">
        <v>0</v>
      </c>
      <c r="N685">
        <v>280</v>
      </c>
      <c r="O685">
        <v>50.86</v>
      </c>
      <c r="P685">
        <v>333.48</v>
      </c>
      <c r="Q685">
        <f t="shared" si="100"/>
        <v>2024</v>
      </c>
      <c r="R685">
        <f t="shared" si="101"/>
        <v>9</v>
      </c>
      <c r="S685">
        <f t="shared" si="102"/>
        <v>2024</v>
      </c>
      <c r="T685">
        <f t="shared" si="103"/>
        <v>6</v>
      </c>
      <c r="U685" t="str">
        <f t="shared" si="104"/>
        <v>06</v>
      </c>
      <c r="V685" t="str">
        <f t="shared" si="105"/>
        <v>202406</v>
      </c>
      <c r="W685" t="str">
        <f t="shared" si="106"/>
        <v>Sep-24</v>
      </c>
      <c r="X685" s="3">
        <f t="shared" si="107"/>
        <v>-5583.48</v>
      </c>
      <c r="Y685" t="str">
        <f t="shared" si="108"/>
        <v/>
      </c>
      <c r="Z685">
        <f t="shared" si="109"/>
        <v>-5583.48</v>
      </c>
    </row>
    <row r="686" spans="1:26" x14ac:dyDescent="0.25">
      <c r="A686" s="1">
        <v>45559</v>
      </c>
      <c r="B686" t="s">
        <v>70</v>
      </c>
      <c r="C686" t="s">
        <v>17</v>
      </c>
      <c r="D686" t="s">
        <v>22</v>
      </c>
      <c r="E686">
        <v>210</v>
      </c>
      <c r="F686">
        <v>0</v>
      </c>
      <c r="G686">
        <v>39.5</v>
      </c>
      <c r="H686">
        <v>8295</v>
      </c>
      <c r="I686" t="s">
        <v>73</v>
      </c>
      <c r="J686">
        <v>0</v>
      </c>
      <c r="K686">
        <v>4.1500000000000004</v>
      </c>
      <c r="L686">
        <v>1</v>
      </c>
      <c r="M686">
        <v>0.01</v>
      </c>
      <c r="N686">
        <v>280</v>
      </c>
      <c r="O686">
        <v>51.14</v>
      </c>
      <c r="P686">
        <v>336.3</v>
      </c>
      <c r="Q686">
        <f t="shared" si="100"/>
        <v>2024</v>
      </c>
      <c r="R686">
        <f t="shared" si="101"/>
        <v>9</v>
      </c>
      <c r="S686">
        <f t="shared" si="102"/>
        <v>2024</v>
      </c>
      <c r="T686">
        <f t="shared" si="103"/>
        <v>6</v>
      </c>
      <c r="U686" t="str">
        <f t="shared" si="104"/>
        <v>06</v>
      </c>
      <c r="V686" t="str">
        <f t="shared" si="105"/>
        <v>202406</v>
      </c>
      <c r="W686" t="str">
        <f t="shared" si="106"/>
        <v>Sep-24</v>
      </c>
      <c r="X686" s="3">
        <f t="shared" si="107"/>
        <v>-8631.2999999999993</v>
      </c>
      <c r="Y686" t="str">
        <f t="shared" si="108"/>
        <v/>
      </c>
      <c r="Z686">
        <f t="shared" si="109"/>
        <v>-8631.2999999999993</v>
      </c>
    </row>
    <row r="687" spans="1:26" x14ac:dyDescent="0.25">
      <c r="A687" s="1">
        <v>45559</v>
      </c>
      <c r="B687" t="s">
        <v>70</v>
      </c>
      <c r="C687" t="s">
        <v>17</v>
      </c>
      <c r="D687" t="s">
        <v>22</v>
      </c>
      <c r="E687">
        <v>210</v>
      </c>
      <c r="F687">
        <v>0</v>
      </c>
      <c r="G687">
        <v>55.25</v>
      </c>
      <c r="H687">
        <v>11602.5</v>
      </c>
      <c r="I687" t="s">
        <v>74</v>
      </c>
      <c r="J687">
        <v>0</v>
      </c>
      <c r="K687">
        <v>5.8</v>
      </c>
      <c r="L687">
        <v>0</v>
      </c>
      <c r="M687">
        <v>0.01</v>
      </c>
      <c r="N687">
        <v>280</v>
      </c>
      <c r="O687">
        <v>51.46</v>
      </c>
      <c r="P687">
        <v>337.27</v>
      </c>
      <c r="Q687">
        <f t="shared" si="100"/>
        <v>2024</v>
      </c>
      <c r="R687">
        <f t="shared" si="101"/>
        <v>9</v>
      </c>
      <c r="S687">
        <f t="shared" si="102"/>
        <v>2024</v>
      </c>
      <c r="T687">
        <f t="shared" si="103"/>
        <v>6</v>
      </c>
      <c r="U687" t="str">
        <f t="shared" si="104"/>
        <v>06</v>
      </c>
      <c r="V687" t="str">
        <f t="shared" si="105"/>
        <v>202406</v>
      </c>
      <c r="W687" t="str">
        <f t="shared" si="106"/>
        <v>Sep-24</v>
      </c>
      <c r="X687" s="3">
        <f t="shared" si="107"/>
        <v>-11939.77</v>
      </c>
      <c r="Y687" t="str">
        <f t="shared" si="108"/>
        <v/>
      </c>
      <c r="Z687">
        <f t="shared" si="109"/>
        <v>-11939.77</v>
      </c>
    </row>
    <row r="688" spans="1:26" x14ac:dyDescent="0.25">
      <c r="A688" s="1">
        <v>45560</v>
      </c>
      <c r="B688" t="s">
        <v>70</v>
      </c>
      <c r="C688" t="s">
        <v>17</v>
      </c>
      <c r="D688" t="s">
        <v>18</v>
      </c>
      <c r="E688">
        <v>675</v>
      </c>
      <c r="F688">
        <v>0</v>
      </c>
      <c r="G688">
        <v>5</v>
      </c>
      <c r="H688">
        <v>3375</v>
      </c>
      <c r="I688" t="s">
        <v>71</v>
      </c>
      <c r="J688">
        <v>2.0099999999999998</v>
      </c>
      <c r="K688">
        <v>1.7</v>
      </c>
      <c r="L688">
        <v>0</v>
      </c>
      <c r="M688">
        <v>0</v>
      </c>
      <c r="N688">
        <v>900</v>
      </c>
      <c r="O688">
        <v>162.28</v>
      </c>
      <c r="P688">
        <v>1065.99</v>
      </c>
      <c r="Q688">
        <f t="shared" si="100"/>
        <v>2024</v>
      </c>
      <c r="R688">
        <f t="shared" si="101"/>
        <v>9</v>
      </c>
      <c r="S688">
        <f t="shared" si="102"/>
        <v>2024</v>
      </c>
      <c r="T688">
        <f t="shared" si="103"/>
        <v>6</v>
      </c>
      <c r="U688" t="str">
        <f t="shared" si="104"/>
        <v>06</v>
      </c>
      <c r="V688" t="str">
        <f t="shared" si="105"/>
        <v>202406</v>
      </c>
      <c r="W688" t="str">
        <f t="shared" si="106"/>
        <v>Sep-24</v>
      </c>
      <c r="X688" s="3">
        <f t="shared" si="107"/>
        <v>2309.0100000000002</v>
      </c>
      <c r="Y688">
        <f t="shared" si="108"/>
        <v>2309.0100000000002</v>
      </c>
      <c r="Z688" t="str">
        <f t="shared" si="109"/>
        <v/>
      </c>
    </row>
    <row r="689" spans="1:26" x14ac:dyDescent="0.25">
      <c r="A689" s="1">
        <v>45566</v>
      </c>
      <c r="B689" t="s">
        <v>61</v>
      </c>
      <c r="C689" t="s">
        <v>17</v>
      </c>
      <c r="D689" t="s">
        <v>18</v>
      </c>
      <c r="E689">
        <v>900</v>
      </c>
      <c r="F689">
        <v>0</v>
      </c>
      <c r="G689">
        <v>5</v>
      </c>
      <c r="H689">
        <v>4500</v>
      </c>
      <c r="I689" t="s">
        <v>62</v>
      </c>
      <c r="J689">
        <v>4.38</v>
      </c>
      <c r="K689">
        <v>1.6</v>
      </c>
      <c r="L689">
        <v>0</v>
      </c>
      <c r="M689">
        <v>0</v>
      </c>
      <c r="N689">
        <v>1200</v>
      </c>
      <c r="O689">
        <v>216.3</v>
      </c>
      <c r="P689">
        <v>1422.28</v>
      </c>
      <c r="Q689">
        <f t="shared" si="100"/>
        <v>2024</v>
      </c>
      <c r="R689">
        <f t="shared" si="101"/>
        <v>10</v>
      </c>
      <c r="S689">
        <f t="shared" si="102"/>
        <v>2024</v>
      </c>
      <c r="T689">
        <f t="shared" si="103"/>
        <v>7</v>
      </c>
      <c r="U689" t="str">
        <f t="shared" si="104"/>
        <v>07</v>
      </c>
      <c r="V689" t="str">
        <f t="shared" si="105"/>
        <v>202407</v>
      </c>
      <c r="W689" t="str">
        <f t="shared" si="106"/>
        <v>Oct-24</v>
      </c>
      <c r="X689" s="3">
        <f t="shared" si="107"/>
        <v>3077.7200000000003</v>
      </c>
      <c r="Y689">
        <f t="shared" si="108"/>
        <v>3077.7200000000003</v>
      </c>
      <c r="Z689" t="str">
        <f t="shared" si="109"/>
        <v/>
      </c>
    </row>
    <row r="690" spans="1:26" x14ac:dyDescent="0.25">
      <c r="A690" s="1">
        <v>45566</v>
      </c>
      <c r="B690" t="s">
        <v>61</v>
      </c>
      <c r="C690" t="s">
        <v>17</v>
      </c>
      <c r="D690" t="s">
        <v>18</v>
      </c>
      <c r="E690">
        <v>900</v>
      </c>
      <c r="F690">
        <v>0</v>
      </c>
      <c r="G690">
        <v>5</v>
      </c>
      <c r="H690">
        <v>4500</v>
      </c>
      <c r="I690" t="s">
        <v>63</v>
      </c>
      <c r="J690">
        <v>4.5</v>
      </c>
      <c r="K690">
        <v>1.6</v>
      </c>
      <c r="L690">
        <v>0</v>
      </c>
      <c r="M690">
        <v>0</v>
      </c>
      <c r="N690">
        <v>1200</v>
      </c>
      <c r="O690">
        <v>216.28</v>
      </c>
      <c r="P690">
        <v>1422.38</v>
      </c>
      <c r="Q690">
        <f t="shared" si="100"/>
        <v>2024</v>
      </c>
      <c r="R690">
        <f t="shared" si="101"/>
        <v>10</v>
      </c>
      <c r="S690">
        <f t="shared" si="102"/>
        <v>2024</v>
      </c>
      <c r="T690">
        <f t="shared" si="103"/>
        <v>7</v>
      </c>
      <c r="U690" t="str">
        <f t="shared" si="104"/>
        <v>07</v>
      </c>
      <c r="V690" t="str">
        <f t="shared" si="105"/>
        <v>202407</v>
      </c>
      <c r="W690" t="str">
        <f t="shared" si="106"/>
        <v>Oct-24</v>
      </c>
      <c r="X690" s="3">
        <f t="shared" si="107"/>
        <v>3077.62</v>
      </c>
      <c r="Y690">
        <f t="shared" si="108"/>
        <v>3077.62</v>
      </c>
      <c r="Z690" t="str">
        <f t="shared" si="109"/>
        <v/>
      </c>
    </row>
    <row r="691" spans="1:26" x14ac:dyDescent="0.25">
      <c r="A691" s="1">
        <v>45566</v>
      </c>
      <c r="B691" t="s">
        <v>61</v>
      </c>
      <c r="C691" t="s">
        <v>17</v>
      </c>
      <c r="D691" t="s">
        <v>18</v>
      </c>
      <c r="E691">
        <v>900</v>
      </c>
      <c r="F691">
        <v>0</v>
      </c>
      <c r="G691">
        <v>5</v>
      </c>
      <c r="H691">
        <v>4500</v>
      </c>
      <c r="I691" t="s">
        <v>64</v>
      </c>
      <c r="J691">
        <v>4.53</v>
      </c>
      <c r="K691">
        <v>1.61</v>
      </c>
      <c r="L691">
        <v>0</v>
      </c>
      <c r="M691">
        <v>0</v>
      </c>
      <c r="N691">
        <v>1200</v>
      </c>
      <c r="O691">
        <v>216.28</v>
      </c>
      <c r="P691">
        <v>1422.42</v>
      </c>
      <c r="Q691">
        <f t="shared" si="100"/>
        <v>2024</v>
      </c>
      <c r="R691">
        <f t="shared" si="101"/>
        <v>10</v>
      </c>
      <c r="S691">
        <f t="shared" si="102"/>
        <v>2024</v>
      </c>
      <c r="T691">
        <f t="shared" si="103"/>
        <v>7</v>
      </c>
      <c r="U691" t="str">
        <f t="shared" si="104"/>
        <v>07</v>
      </c>
      <c r="V691" t="str">
        <f t="shared" si="105"/>
        <v>202407</v>
      </c>
      <c r="W691" t="str">
        <f t="shared" si="106"/>
        <v>Oct-24</v>
      </c>
      <c r="X691" s="3">
        <f t="shared" si="107"/>
        <v>3077.58</v>
      </c>
      <c r="Y691">
        <f t="shared" si="108"/>
        <v>3077.58</v>
      </c>
      <c r="Z691" t="str">
        <f t="shared" si="109"/>
        <v/>
      </c>
    </row>
    <row r="692" spans="1:26" x14ac:dyDescent="0.25">
      <c r="A692" s="1">
        <v>45566</v>
      </c>
      <c r="B692" t="s">
        <v>61</v>
      </c>
      <c r="C692" t="s">
        <v>17</v>
      </c>
      <c r="D692" t="s">
        <v>18</v>
      </c>
      <c r="E692">
        <v>900</v>
      </c>
      <c r="F692">
        <v>0</v>
      </c>
      <c r="G692">
        <v>6.25</v>
      </c>
      <c r="H692">
        <v>5625</v>
      </c>
      <c r="I692" t="s">
        <v>65</v>
      </c>
      <c r="J692">
        <v>5.63</v>
      </c>
      <c r="K692">
        <v>2</v>
      </c>
      <c r="L692">
        <v>0</v>
      </c>
      <c r="M692">
        <v>0.01</v>
      </c>
      <c r="N692">
        <v>1200</v>
      </c>
      <c r="O692">
        <v>216.36</v>
      </c>
      <c r="P692">
        <v>1424</v>
      </c>
      <c r="Q692">
        <f t="shared" si="100"/>
        <v>2024</v>
      </c>
      <c r="R692">
        <f t="shared" si="101"/>
        <v>10</v>
      </c>
      <c r="S692">
        <f t="shared" si="102"/>
        <v>2024</v>
      </c>
      <c r="T692">
        <f t="shared" si="103"/>
        <v>7</v>
      </c>
      <c r="U692" t="str">
        <f t="shared" si="104"/>
        <v>07</v>
      </c>
      <c r="V692" t="str">
        <f t="shared" si="105"/>
        <v>202407</v>
      </c>
      <c r="W692" t="str">
        <f t="shared" si="106"/>
        <v>Oct-24</v>
      </c>
      <c r="X692" s="3">
        <f t="shared" si="107"/>
        <v>4201</v>
      </c>
      <c r="Y692">
        <f t="shared" si="108"/>
        <v>4201</v>
      </c>
      <c r="Z692" t="str">
        <f t="shared" si="109"/>
        <v/>
      </c>
    </row>
    <row r="693" spans="1:26" x14ac:dyDescent="0.25">
      <c r="A693" s="1">
        <v>45566</v>
      </c>
      <c r="B693" t="s">
        <v>61</v>
      </c>
      <c r="C693" t="s">
        <v>17</v>
      </c>
      <c r="D693" t="s">
        <v>22</v>
      </c>
      <c r="E693">
        <v>900</v>
      </c>
      <c r="F693">
        <v>0</v>
      </c>
      <c r="G693">
        <v>10</v>
      </c>
      <c r="H693">
        <v>9000</v>
      </c>
      <c r="I693" t="s">
        <v>66</v>
      </c>
      <c r="J693">
        <v>0</v>
      </c>
      <c r="K693">
        <v>3.19</v>
      </c>
      <c r="L693">
        <v>0</v>
      </c>
      <c r="M693">
        <v>0</v>
      </c>
      <c r="N693">
        <v>1200</v>
      </c>
      <c r="O693">
        <v>216.58</v>
      </c>
      <c r="P693">
        <v>1419.77</v>
      </c>
      <c r="Q693">
        <f t="shared" si="100"/>
        <v>2024</v>
      </c>
      <c r="R693">
        <f t="shared" si="101"/>
        <v>10</v>
      </c>
      <c r="S693">
        <f t="shared" si="102"/>
        <v>2024</v>
      </c>
      <c r="T693">
        <f t="shared" si="103"/>
        <v>7</v>
      </c>
      <c r="U693" t="str">
        <f t="shared" si="104"/>
        <v>07</v>
      </c>
      <c r="V693" t="str">
        <f t="shared" si="105"/>
        <v>202407</v>
      </c>
      <c r="W693" t="str">
        <f t="shared" si="106"/>
        <v>Oct-24</v>
      </c>
      <c r="X693" s="3">
        <f t="shared" si="107"/>
        <v>-10419.77</v>
      </c>
      <c r="Y693" t="str">
        <f t="shared" si="108"/>
        <v/>
      </c>
      <c r="Z693">
        <f t="shared" si="109"/>
        <v>-10419.77</v>
      </c>
    </row>
    <row r="694" spans="1:26" x14ac:dyDescent="0.25">
      <c r="A694" s="1">
        <v>45566</v>
      </c>
      <c r="B694" t="s">
        <v>61</v>
      </c>
      <c r="C694" t="s">
        <v>17</v>
      </c>
      <c r="D694" t="s">
        <v>22</v>
      </c>
      <c r="E694">
        <v>900</v>
      </c>
      <c r="F694">
        <v>0</v>
      </c>
      <c r="G694">
        <v>11</v>
      </c>
      <c r="H694">
        <v>9900</v>
      </c>
      <c r="I694" t="s">
        <v>67</v>
      </c>
      <c r="J694">
        <v>0</v>
      </c>
      <c r="K694">
        <v>3.52</v>
      </c>
      <c r="L694">
        <v>0</v>
      </c>
      <c r="M694">
        <v>0</v>
      </c>
      <c r="N694">
        <v>1200</v>
      </c>
      <c r="O694">
        <v>216.62</v>
      </c>
      <c r="P694">
        <v>1420.14</v>
      </c>
      <c r="Q694">
        <f t="shared" si="100"/>
        <v>2024</v>
      </c>
      <c r="R694">
        <f t="shared" si="101"/>
        <v>10</v>
      </c>
      <c r="S694">
        <f t="shared" si="102"/>
        <v>2024</v>
      </c>
      <c r="T694">
        <f t="shared" si="103"/>
        <v>7</v>
      </c>
      <c r="U694" t="str">
        <f t="shared" si="104"/>
        <v>07</v>
      </c>
      <c r="V694" t="str">
        <f t="shared" si="105"/>
        <v>202407</v>
      </c>
      <c r="W694" t="str">
        <f t="shared" si="106"/>
        <v>Oct-24</v>
      </c>
      <c r="X694" s="3">
        <f t="shared" si="107"/>
        <v>-11320.14</v>
      </c>
      <c r="Y694" t="str">
        <f t="shared" si="108"/>
        <v/>
      </c>
      <c r="Z694">
        <f t="shared" si="109"/>
        <v>-11320.14</v>
      </c>
    </row>
    <row r="695" spans="1:26" x14ac:dyDescent="0.25">
      <c r="A695" s="1">
        <v>45566</v>
      </c>
      <c r="B695" t="s">
        <v>61</v>
      </c>
      <c r="C695" t="s">
        <v>17</v>
      </c>
      <c r="D695" t="s">
        <v>22</v>
      </c>
      <c r="E695">
        <v>900</v>
      </c>
      <c r="F695">
        <v>0</v>
      </c>
      <c r="G695">
        <v>14.25</v>
      </c>
      <c r="H695">
        <v>12825</v>
      </c>
      <c r="I695" t="s">
        <v>68</v>
      </c>
      <c r="J695">
        <v>0</v>
      </c>
      <c r="K695">
        <v>4.57</v>
      </c>
      <c r="L695">
        <v>0</v>
      </c>
      <c r="M695">
        <v>0.01</v>
      </c>
      <c r="N695">
        <v>1200</v>
      </c>
      <c r="O695">
        <v>216.84</v>
      </c>
      <c r="P695">
        <v>1421.42</v>
      </c>
      <c r="Q695">
        <f t="shared" si="100"/>
        <v>2024</v>
      </c>
      <c r="R695">
        <f t="shared" si="101"/>
        <v>10</v>
      </c>
      <c r="S695">
        <f t="shared" si="102"/>
        <v>2024</v>
      </c>
      <c r="T695">
        <f t="shared" si="103"/>
        <v>7</v>
      </c>
      <c r="U695" t="str">
        <f t="shared" si="104"/>
        <v>07</v>
      </c>
      <c r="V695" t="str">
        <f t="shared" si="105"/>
        <v>202407</v>
      </c>
      <c r="W695" t="str">
        <f t="shared" si="106"/>
        <v>Oct-24</v>
      </c>
      <c r="X695" s="3">
        <f t="shared" si="107"/>
        <v>-14246.42</v>
      </c>
      <c r="Y695" t="str">
        <f t="shared" si="108"/>
        <v/>
      </c>
      <c r="Z695">
        <f t="shared" si="109"/>
        <v>-14246.42</v>
      </c>
    </row>
    <row r="696" spans="1:26" x14ac:dyDescent="0.25">
      <c r="A696" s="1">
        <v>45566</v>
      </c>
      <c r="B696" t="s">
        <v>61</v>
      </c>
      <c r="C696" t="s">
        <v>17</v>
      </c>
      <c r="D696" t="s">
        <v>22</v>
      </c>
      <c r="E696">
        <v>900</v>
      </c>
      <c r="F696">
        <v>0</v>
      </c>
      <c r="G696">
        <v>14</v>
      </c>
      <c r="H696">
        <v>12600</v>
      </c>
      <c r="I696" t="s">
        <v>69</v>
      </c>
      <c r="J696">
        <v>0</v>
      </c>
      <c r="K696">
        <v>4.4800000000000004</v>
      </c>
      <c r="L696">
        <v>1</v>
      </c>
      <c r="M696">
        <v>0.02</v>
      </c>
      <c r="N696">
        <v>1200</v>
      </c>
      <c r="O696">
        <v>216.82</v>
      </c>
      <c r="P696">
        <v>1422.32</v>
      </c>
      <c r="Q696">
        <f t="shared" si="100"/>
        <v>2024</v>
      </c>
      <c r="R696">
        <f t="shared" si="101"/>
        <v>10</v>
      </c>
      <c r="S696">
        <f t="shared" si="102"/>
        <v>2024</v>
      </c>
      <c r="T696">
        <f t="shared" si="103"/>
        <v>7</v>
      </c>
      <c r="U696" t="str">
        <f t="shared" si="104"/>
        <v>07</v>
      </c>
      <c r="V696" t="str">
        <f t="shared" si="105"/>
        <v>202407</v>
      </c>
      <c r="W696" t="str">
        <f t="shared" si="106"/>
        <v>Oct-24</v>
      </c>
      <c r="X696" s="3">
        <f t="shared" si="107"/>
        <v>-14022.32</v>
      </c>
      <c r="Y696" t="str">
        <f t="shared" si="108"/>
        <v/>
      </c>
      <c r="Z696">
        <f t="shared" si="109"/>
        <v>-14022.32</v>
      </c>
    </row>
    <row r="697" spans="1:26" x14ac:dyDescent="0.25">
      <c r="A697" s="1">
        <v>45601</v>
      </c>
      <c r="B697" t="s">
        <v>58</v>
      </c>
      <c r="C697" t="s">
        <v>17</v>
      </c>
      <c r="D697" t="s">
        <v>18</v>
      </c>
      <c r="E697">
        <v>210</v>
      </c>
      <c r="F697">
        <v>0</v>
      </c>
      <c r="G697">
        <v>119.25</v>
      </c>
      <c r="H697">
        <v>25042.5</v>
      </c>
      <c r="I697" t="s">
        <v>59</v>
      </c>
      <c r="J697">
        <v>25</v>
      </c>
      <c r="K697">
        <v>8.89</v>
      </c>
      <c r="L697">
        <v>0</v>
      </c>
      <c r="M697">
        <v>0.02</v>
      </c>
      <c r="N697">
        <v>280</v>
      </c>
      <c r="O697">
        <v>52</v>
      </c>
      <c r="P697">
        <v>365.91</v>
      </c>
      <c r="Q697">
        <f t="shared" si="100"/>
        <v>2024</v>
      </c>
      <c r="R697">
        <f t="shared" si="101"/>
        <v>11</v>
      </c>
      <c r="S697">
        <f t="shared" si="102"/>
        <v>2024</v>
      </c>
      <c r="T697">
        <f t="shared" si="103"/>
        <v>8</v>
      </c>
      <c r="U697" t="str">
        <f t="shared" si="104"/>
        <v>08</v>
      </c>
      <c r="V697" t="str">
        <f t="shared" si="105"/>
        <v>202408</v>
      </c>
      <c r="W697" t="str">
        <f t="shared" si="106"/>
        <v>Nov-24</v>
      </c>
      <c r="X697" s="3">
        <f t="shared" si="107"/>
        <v>24676.59</v>
      </c>
      <c r="Y697">
        <f t="shared" si="108"/>
        <v>24676.59</v>
      </c>
      <c r="Z697" t="str">
        <f t="shared" si="109"/>
        <v/>
      </c>
    </row>
    <row r="698" spans="1:26" x14ac:dyDescent="0.25">
      <c r="A698" s="1">
        <v>45601</v>
      </c>
      <c r="B698" t="s">
        <v>58</v>
      </c>
      <c r="C698" t="s">
        <v>17</v>
      </c>
      <c r="D698" t="s">
        <v>22</v>
      </c>
      <c r="E698">
        <v>210</v>
      </c>
      <c r="F698">
        <v>0</v>
      </c>
      <c r="G698">
        <v>89</v>
      </c>
      <c r="H698">
        <v>18690</v>
      </c>
      <c r="I698" t="s">
        <v>60</v>
      </c>
      <c r="J698">
        <v>0</v>
      </c>
      <c r="K698">
        <v>6.63</v>
      </c>
      <c r="L698">
        <v>1</v>
      </c>
      <c r="M698">
        <v>0.01</v>
      </c>
      <c r="N698">
        <v>280</v>
      </c>
      <c r="O698">
        <v>51.6</v>
      </c>
      <c r="P698">
        <v>339.24</v>
      </c>
      <c r="Q698">
        <f t="shared" si="100"/>
        <v>2024</v>
      </c>
      <c r="R698">
        <f t="shared" si="101"/>
        <v>11</v>
      </c>
      <c r="S698">
        <f t="shared" si="102"/>
        <v>2024</v>
      </c>
      <c r="T698">
        <f t="shared" si="103"/>
        <v>8</v>
      </c>
      <c r="U698" t="str">
        <f t="shared" si="104"/>
        <v>08</v>
      </c>
      <c r="V698" t="str">
        <f t="shared" si="105"/>
        <v>202408</v>
      </c>
      <c r="W698" t="str">
        <f t="shared" si="106"/>
        <v>Nov-24</v>
      </c>
      <c r="X698" s="3">
        <f t="shared" si="107"/>
        <v>-19029.240000000002</v>
      </c>
      <c r="Y698" t="str">
        <f t="shared" si="108"/>
        <v/>
      </c>
      <c r="Z698">
        <f t="shared" si="109"/>
        <v>-19029.240000000002</v>
      </c>
    </row>
    <row r="699" spans="1:26" x14ac:dyDescent="0.25">
      <c r="A699" s="1">
        <v>45602</v>
      </c>
      <c r="B699" t="s">
        <v>51</v>
      </c>
      <c r="C699" t="s">
        <v>17</v>
      </c>
      <c r="D699" t="s">
        <v>18</v>
      </c>
      <c r="E699">
        <v>900</v>
      </c>
      <c r="F699">
        <v>0</v>
      </c>
      <c r="G699">
        <v>3.9</v>
      </c>
      <c r="H699">
        <v>3510</v>
      </c>
      <c r="I699" t="s">
        <v>52</v>
      </c>
      <c r="J699">
        <v>3.59</v>
      </c>
      <c r="K699">
        <v>1.25</v>
      </c>
      <c r="L699">
        <v>0</v>
      </c>
      <c r="M699">
        <v>0</v>
      </c>
      <c r="N699">
        <v>1200</v>
      </c>
      <c r="O699">
        <v>216.24</v>
      </c>
      <c r="P699">
        <v>1421.08</v>
      </c>
      <c r="Q699">
        <f t="shared" si="100"/>
        <v>2024</v>
      </c>
      <c r="R699">
        <f t="shared" si="101"/>
        <v>11</v>
      </c>
      <c r="S699">
        <f t="shared" si="102"/>
        <v>2024</v>
      </c>
      <c r="T699">
        <f t="shared" si="103"/>
        <v>8</v>
      </c>
      <c r="U699" t="str">
        <f t="shared" si="104"/>
        <v>08</v>
      </c>
      <c r="V699" t="str">
        <f t="shared" si="105"/>
        <v>202408</v>
      </c>
      <c r="W699" t="str">
        <f t="shared" si="106"/>
        <v>Nov-24</v>
      </c>
      <c r="X699" s="3">
        <f t="shared" si="107"/>
        <v>2088.92</v>
      </c>
      <c r="Y699">
        <f t="shared" si="108"/>
        <v>2088.92</v>
      </c>
      <c r="Z699" t="str">
        <f t="shared" si="109"/>
        <v/>
      </c>
    </row>
    <row r="700" spans="1:26" x14ac:dyDescent="0.25">
      <c r="A700" s="1">
        <v>45602</v>
      </c>
      <c r="B700" t="s">
        <v>51</v>
      </c>
      <c r="C700" t="s">
        <v>17</v>
      </c>
      <c r="D700" t="s">
        <v>18</v>
      </c>
      <c r="E700">
        <v>900</v>
      </c>
      <c r="F700">
        <v>0</v>
      </c>
      <c r="G700">
        <v>2.4500000000000002</v>
      </c>
      <c r="H700">
        <v>2205</v>
      </c>
      <c r="I700" t="s">
        <v>53</v>
      </c>
      <c r="J700">
        <v>2.2000000000000002</v>
      </c>
      <c r="K700">
        <v>0.79</v>
      </c>
      <c r="L700">
        <v>0</v>
      </c>
      <c r="M700">
        <v>0</v>
      </c>
      <c r="N700">
        <v>1200</v>
      </c>
      <c r="O700">
        <v>216.14</v>
      </c>
      <c r="P700">
        <v>1419.13</v>
      </c>
      <c r="Q700">
        <f t="shared" si="100"/>
        <v>2024</v>
      </c>
      <c r="R700">
        <f t="shared" si="101"/>
        <v>11</v>
      </c>
      <c r="S700">
        <f t="shared" si="102"/>
        <v>2024</v>
      </c>
      <c r="T700">
        <f t="shared" si="103"/>
        <v>8</v>
      </c>
      <c r="U700" t="str">
        <f t="shared" si="104"/>
        <v>08</v>
      </c>
      <c r="V700" t="str">
        <f t="shared" si="105"/>
        <v>202408</v>
      </c>
      <c r="W700" t="str">
        <f t="shared" si="106"/>
        <v>Nov-24</v>
      </c>
      <c r="X700" s="3">
        <f t="shared" si="107"/>
        <v>785.86999999999989</v>
      </c>
      <c r="Y700">
        <f t="shared" si="108"/>
        <v>785.86999999999989</v>
      </c>
      <c r="Z700" t="str">
        <f t="shared" si="109"/>
        <v/>
      </c>
    </row>
    <row r="701" spans="1:26" x14ac:dyDescent="0.25">
      <c r="A701" s="1">
        <v>45602</v>
      </c>
      <c r="B701" t="s">
        <v>51</v>
      </c>
      <c r="C701" t="s">
        <v>17</v>
      </c>
      <c r="D701" t="s">
        <v>18</v>
      </c>
      <c r="E701">
        <v>900</v>
      </c>
      <c r="F701">
        <v>0</v>
      </c>
      <c r="G701">
        <v>2.4500000000000002</v>
      </c>
      <c r="H701">
        <v>2205</v>
      </c>
      <c r="I701" t="s">
        <v>54</v>
      </c>
      <c r="J701">
        <v>2.21</v>
      </c>
      <c r="K701">
        <v>0.78</v>
      </c>
      <c r="L701">
        <v>0</v>
      </c>
      <c r="M701">
        <v>0</v>
      </c>
      <c r="N701">
        <v>1200</v>
      </c>
      <c r="O701">
        <v>216.14</v>
      </c>
      <c r="P701">
        <v>1419.13</v>
      </c>
      <c r="Q701">
        <f t="shared" si="100"/>
        <v>2024</v>
      </c>
      <c r="R701">
        <f t="shared" si="101"/>
        <v>11</v>
      </c>
      <c r="S701">
        <f t="shared" si="102"/>
        <v>2024</v>
      </c>
      <c r="T701">
        <f t="shared" si="103"/>
        <v>8</v>
      </c>
      <c r="U701" t="str">
        <f t="shared" si="104"/>
        <v>08</v>
      </c>
      <c r="V701" t="str">
        <f t="shared" si="105"/>
        <v>202408</v>
      </c>
      <c r="W701" t="str">
        <f t="shared" si="106"/>
        <v>Nov-24</v>
      </c>
      <c r="X701" s="3">
        <f t="shared" si="107"/>
        <v>785.86999999999989</v>
      </c>
      <c r="Y701">
        <f t="shared" si="108"/>
        <v>785.86999999999989</v>
      </c>
      <c r="Z701" t="str">
        <f t="shared" si="109"/>
        <v/>
      </c>
    </row>
    <row r="702" spans="1:26" x14ac:dyDescent="0.25">
      <c r="A702" s="1">
        <v>45602</v>
      </c>
      <c r="B702" t="s">
        <v>51</v>
      </c>
      <c r="C702" t="s">
        <v>17</v>
      </c>
      <c r="D702" t="s">
        <v>22</v>
      </c>
      <c r="E702">
        <v>900</v>
      </c>
      <c r="F702">
        <v>0</v>
      </c>
      <c r="G702">
        <v>11.25</v>
      </c>
      <c r="H702">
        <v>10125</v>
      </c>
      <c r="I702" t="s">
        <v>55</v>
      </c>
      <c r="J702">
        <v>0</v>
      </c>
      <c r="K702">
        <v>3.6</v>
      </c>
      <c r="L702">
        <v>0</v>
      </c>
      <c r="M702">
        <v>0.01</v>
      </c>
      <c r="N702">
        <v>1200</v>
      </c>
      <c r="O702">
        <v>216.66</v>
      </c>
      <c r="P702">
        <v>1420.27</v>
      </c>
      <c r="Q702">
        <f t="shared" si="100"/>
        <v>2024</v>
      </c>
      <c r="R702">
        <f t="shared" si="101"/>
        <v>11</v>
      </c>
      <c r="S702">
        <f t="shared" si="102"/>
        <v>2024</v>
      </c>
      <c r="T702">
        <f t="shared" si="103"/>
        <v>8</v>
      </c>
      <c r="U702" t="str">
        <f t="shared" si="104"/>
        <v>08</v>
      </c>
      <c r="V702" t="str">
        <f t="shared" si="105"/>
        <v>202408</v>
      </c>
      <c r="W702" t="str">
        <f t="shared" si="106"/>
        <v>Nov-24</v>
      </c>
      <c r="X702" s="3">
        <f t="shared" si="107"/>
        <v>-11545.27</v>
      </c>
      <c r="Y702" t="str">
        <f t="shared" si="108"/>
        <v/>
      </c>
      <c r="Z702">
        <f t="shared" si="109"/>
        <v>-11545.27</v>
      </c>
    </row>
    <row r="703" spans="1:26" x14ac:dyDescent="0.25">
      <c r="A703" s="1">
        <v>45602</v>
      </c>
      <c r="B703" t="s">
        <v>51</v>
      </c>
      <c r="C703" t="s">
        <v>17</v>
      </c>
      <c r="D703" t="s">
        <v>22</v>
      </c>
      <c r="E703">
        <v>900</v>
      </c>
      <c r="F703">
        <v>0</v>
      </c>
      <c r="G703">
        <v>20</v>
      </c>
      <c r="H703">
        <v>18000</v>
      </c>
      <c r="I703" t="s">
        <v>56</v>
      </c>
      <c r="J703">
        <v>0</v>
      </c>
      <c r="K703">
        <v>6.39</v>
      </c>
      <c r="L703">
        <v>2</v>
      </c>
      <c r="M703">
        <v>0.01</v>
      </c>
      <c r="N703">
        <v>1200</v>
      </c>
      <c r="O703">
        <v>217.16</v>
      </c>
      <c r="P703">
        <v>1425.56</v>
      </c>
      <c r="Q703">
        <f t="shared" si="100"/>
        <v>2024</v>
      </c>
      <c r="R703">
        <f t="shared" si="101"/>
        <v>11</v>
      </c>
      <c r="S703">
        <f t="shared" si="102"/>
        <v>2024</v>
      </c>
      <c r="T703">
        <f t="shared" si="103"/>
        <v>8</v>
      </c>
      <c r="U703" t="str">
        <f t="shared" si="104"/>
        <v>08</v>
      </c>
      <c r="V703" t="str">
        <f t="shared" si="105"/>
        <v>202408</v>
      </c>
      <c r="W703" t="str">
        <f t="shared" si="106"/>
        <v>Nov-24</v>
      </c>
      <c r="X703" s="3">
        <f t="shared" si="107"/>
        <v>-19425.560000000001</v>
      </c>
      <c r="Y703" t="str">
        <f t="shared" si="108"/>
        <v/>
      </c>
      <c r="Z703">
        <f t="shared" si="109"/>
        <v>-19425.560000000001</v>
      </c>
    </row>
    <row r="704" spans="1:26" x14ac:dyDescent="0.25">
      <c r="A704" s="1">
        <v>45602</v>
      </c>
      <c r="B704" t="s">
        <v>51</v>
      </c>
      <c r="C704" t="s">
        <v>17</v>
      </c>
      <c r="D704" t="s">
        <v>22</v>
      </c>
      <c r="E704">
        <v>900</v>
      </c>
      <c r="F704">
        <v>0</v>
      </c>
      <c r="G704">
        <v>41.25</v>
      </c>
      <c r="H704">
        <v>37125</v>
      </c>
      <c r="I704" t="s">
        <v>57</v>
      </c>
      <c r="J704">
        <v>0</v>
      </c>
      <c r="K704">
        <v>13.2</v>
      </c>
      <c r="L704">
        <v>0</v>
      </c>
      <c r="M704">
        <v>0.04</v>
      </c>
      <c r="N704">
        <v>1200</v>
      </c>
      <c r="O704">
        <v>218.4</v>
      </c>
      <c r="P704">
        <v>1431.64</v>
      </c>
      <c r="Q704">
        <f t="shared" si="100"/>
        <v>2024</v>
      </c>
      <c r="R704">
        <f t="shared" si="101"/>
        <v>11</v>
      </c>
      <c r="S704">
        <f t="shared" si="102"/>
        <v>2024</v>
      </c>
      <c r="T704">
        <f t="shared" si="103"/>
        <v>8</v>
      </c>
      <c r="U704" t="str">
        <f t="shared" si="104"/>
        <v>08</v>
      </c>
      <c r="V704" t="str">
        <f t="shared" si="105"/>
        <v>202408</v>
      </c>
      <c r="W704" t="str">
        <f t="shared" si="106"/>
        <v>Nov-24</v>
      </c>
      <c r="X704" s="3">
        <f t="shared" si="107"/>
        <v>-38556.639999999999</v>
      </c>
      <c r="Y704" t="str">
        <f t="shared" si="108"/>
        <v/>
      </c>
      <c r="Z704">
        <f t="shared" si="109"/>
        <v>-38556.639999999999</v>
      </c>
    </row>
    <row r="705" spans="1:26" x14ac:dyDescent="0.25">
      <c r="A705" s="1">
        <v>45615</v>
      </c>
      <c r="B705" t="s">
        <v>48</v>
      </c>
      <c r="C705" t="s">
        <v>17</v>
      </c>
      <c r="D705" t="s">
        <v>22</v>
      </c>
      <c r="E705">
        <v>15</v>
      </c>
      <c r="F705">
        <v>0</v>
      </c>
      <c r="G705">
        <v>200.8</v>
      </c>
      <c r="H705">
        <v>3012</v>
      </c>
      <c r="I705" t="s">
        <v>50</v>
      </c>
      <c r="J705">
        <v>0</v>
      </c>
      <c r="K705">
        <v>1.07</v>
      </c>
      <c r="L705">
        <v>0</v>
      </c>
      <c r="M705">
        <v>0</v>
      </c>
      <c r="N705">
        <v>20</v>
      </c>
      <c r="O705">
        <v>3.8</v>
      </c>
      <c r="P705">
        <v>24.87</v>
      </c>
      <c r="Q705">
        <f t="shared" si="100"/>
        <v>2024</v>
      </c>
      <c r="R705">
        <f t="shared" si="101"/>
        <v>11</v>
      </c>
      <c r="S705">
        <f t="shared" si="102"/>
        <v>2024</v>
      </c>
      <c r="T705">
        <f t="shared" si="103"/>
        <v>8</v>
      </c>
      <c r="U705" t="str">
        <f t="shared" si="104"/>
        <v>08</v>
      </c>
      <c r="V705" t="str">
        <f t="shared" si="105"/>
        <v>202408</v>
      </c>
      <c r="W705" t="str">
        <f t="shared" si="106"/>
        <v>Nov-24</v>
      </c>
      <c r="X705" s="3">
        <f t="shared" si="107"/>
        <v>-3036.87</v>
      </c>
      <c r="Y705" t="str">
        <f t="shared" si="108"/>
        <v/>
      </c>
      <c r="Z705">
        <f t="shared" si="109"/>
        <v>-3036.87</v>
      </c>
    </row>
    <row r="706" spans="1:26" x14ac:dyDescent="0.25">
      <c r="A706" s="1">
        <v>45617</v>
      </c>
      <c r="B706" t="s">
        <v>41</v>
      </c>
      <c r="C706" t="s">
        <v>17</v>
      </c>
      <c r="D706" t="s">
        <v>22</v>
      </c>
      <c r="E706">
        <v>15</v>
      </c>
      <c r="F706">
        <v>0</v>
      </c>
      <c r="G706">
        <v>104</v>
      </c>
      <c r="H706">
        <v>1560</v>
      </c>
      <c r="I706" t="s">
        <v>43</v>
      </c>
      <c r="J706">
        <v>0</v>
      </c>
      <c r="K706">
        <v>0.55000000000000004</v>
      </c>
      <c r="L706">
        <v>0</v>
      </c>
      <c r="M706">
        <v>0</v>
      </c>
      <c r="N706">
        <v>20</v>
      </c>
      <c r="O706">
        <v>3.7</v>
      </c>
      <c r="P706">
        <v>24.25</v>
      </c>
      <c r="Q706">
        <f t="shared" ref="Q706:Q769" si="110">YEAR(A706)</f>
        <v>2024</v>
      </c>
      <c r="R706">
        <f t="shared" ref="R706:R769" si="111">MONTH(A706)</f>
        <v>11</v>
      </c>
      <c r="S706">
        <f t="shared" ref="S706:S769" si="112">IF(R706&lt;4,Q706-1,Q706)</f>
        <v>2024</v>
      </c>
      <c r="T706">
        <f t="shared" ref="T706:T769" si="113">IF(R706&lt;4,R706+9,R706-3)</f>
        <v>8</v>
      </c>
      <c r="U706" t="str">
        <f t="shared" ref="U706:U769" si="114">IF(LEN(T706)=1,_xlfn.CONCAT(0,T706),T706)</f>
        <v>08</v>
      </c>
      <c r="V706" t="str">
        <f t="shared" ref="V706:V769" si="115">_xlfn.CONCAT(S706,U706)</f>
        <v>202408</v>
      </c>
      <c r="W706" t="str">
        <f t="shared" ref="W706:W769" si="116">_xlfn.CONCAT(TEXT(A706,"MMM"),"-",MID(Q706,3,2))</f>
        <v>Nov-24</v>
      </c>
      <c r="X706" s="3">
        <f t="shared" ref="X706:X769" si="117">IFERROR(IF(D706="Sell",(H706-P706),-(H706+P706)),0)</f>
        <v>-1584.25</v>
      </c>
      <c r="Y706" t="str">
        <f t="shared" si="108"/>
        <v/>
      </c>
      <c r="Z706">
        <f t="shared" si="109"/>
        <v>-1584.25</v>
      </c>
    </row>
    <row r="707" spans="1:26" x14ac:dyDescent="0.25">
      <c r="A707" s="1">
        <v>45617</v>
      </c>
      <c r="B707" t="s">
        <v>44</v>
      </c>
      <c r="C707" t="s">
        <v>17</v>
      </c>
      <c r="D707" t="s">
        <v>18</v>
      </c>
      <c r="E707">
        <v>50</v>
      </c>
      <c r="F707">
        <v>0</v>
      </c>
      <c r="G707">
        <v>52.25</v>
      </c>
      <c r="H707">
        <v>2612.5</v>
      </c>
      <c r="I707" t="s">
        <v>45</v>
      </c>
      <c r="J707">
        <v>2.61</v>
      </c>
      <c r="K707">
        <v>0.93</v>
      </c>
      <c r="L707">
        <v>0</v>
      </c>
      <c r="M707">
        <v>0</v>
      </c>
      <c r="N707">
        <v>40</v>
      </c>
      <c r="O707">
        <v>7.36</v>
      </c>
      <c r="P707">
        <v>50.9</v>
      </c>
      <c r="Q707">
        <f t="shared" si="110"/>
        <v>2024</v>
      </c>
      <c r="R707">
        <f t="shared" si="111"/>
        <v>11</v>
      </c>
      <c r="S707">
        <f t="shared" si="112"/>
        <v>2024</v>
      </c>
      <c r="T707">
        <f t="shared" si="113"/>
        <v>8</v>
      </c>
      <c r="U707" t="str">
        <f t="shared" si="114"/>
        <v>08</v>
      </c>
      <c r="V707" t="str">
        <f t="shared" si="115"/>
        <v>202408</v>
      </c>
      <c r="W707" t="str">
        <f t="shared" si="116"/>
        <v>Nov-24</v>
      </c>
      <c r="X707" s="3">
        <f t="shared" si="117"/>
        <v>2561.6</v>
      </c>
      <c r="Y707">
        <f t="shared" ref="Y707:Y770" si="118">IF(X707&gt;0,X707,"")</f>
        <v>2561.6</v>
      </c>
      <c r="Z707" t="str">
        <f t="shared" ref="Z707:Z770" si="119">IF(X707&lt;0,X707,"")</f>
        <v/>
      </c>
    </row>
    <row r="708" spans="1:26" x14ac:dyDescent="0.25">
      <c r="A708" s="1">
        <v>45617</v>
      </c>
      <c r="B708" t="s">
        <v>44</v>
      </c>
      <c r="C708" t="s">
        <v>17</v>
      </c>
      <c r="D708" t="s">
        <v>22</v>
      </c>
      <c r="E708">
        <v>25</v>
      </c>
      <c r="F708">
        <v>0</v>
      </c>
      <c r="G708">
        <v>31.8</v>
      </c>
      <c r="H708">
        <v>795</v>
      </c>
      <c r="I708" t="s">
        <v>46</v>
      </c>
      <c r="J708">
        <v>0</v>
      </c>
      <c r="K708">
        <v>0.28000000000000003</v>
      </c>
      <c r="L708">
        <v>0</v>
      </c>
      <c r="M708">
        <v>0</v>
      </c>
      <c r="N708">
        <v>20</v>
      </c>
      <c r="O708">
        <v>3.66</v>
      </c>
      <c r="P708">
        <v>23.94</v>
      </c>
      <c r="Q708">
        <f t="shared" si="110"/>
        <v>2024</v>
      </c>
      <c r="R708">
        <f t="shared" si="111"/>
        <v>11</v>
      </c>
      <c r="S708">
        <f t="shared" si="112"/>
        <v>2024</v>
      </c>
      <c r="T708">
        <f t="shared" si="113"/>
        <v>8</v>
      </c>
      <c r="U708" t="str">
        <f t="shared" si="114"/>
        <v>08</v>
      </c>
      <c r="V708" t="str">
        <f t="shared" si="115"/>
        <v>202408</v>
      </c>
      <c r="W708" t="str">
        <f t="shared" si="116"/>
        <v>Nov-24</v>
      </c>
      <c r="X708" s="3">
        <f t="shared" si="117"/>
        <v>-818.94</v>
      </c>
      <c r="Y708" t="str">
        <f t="shared" si="118"/>
        <v/>
      </c>
      <c r="Z708">
        <f t="shared" si="119"/>
        <v>-818.94</v>
      </c>
    </row>
    <row r="709" spans="1:26" x14ac:dyDescent="0.25">
      <c r="A709" s="1">
        <v>45617</v>
      </c>
      <c r="B709" t="s">
        <v>44</v>
      </c>
      <c r="C709" t="s">
        <v>17</v>
      </c>
      <c r="D709" t="s">
        <v>22</v>
      </c>
      <c r="E709">
        <v>25</v>
      </c>
      <c r="F709">
        <v>0</v>
      </c>
      <c r="G709">
        <v>32.15</v>
      </c>
      <c r="H709">
        <v>803.75</v>
      </c>
      <c r="I709" t="s">
        <v>47</v>
      </c>
      <c r="J709">
        <v>0</v>
      </c>
      <c r="K709">
        <v>0.28999999999999998</v>
      </c>
      <c r="L709">
        <v>0</v>
      </c>
      <c r="M709">
        <v>0</v>
      </c>
      <c r="N709">
        <v>20</v>
      </c>
      <c r="O709">
        <v>3.66</v>
      </c>
      <c r="P709">
        <v>23.95</v>
      </c>
      <c r="Q709">
        <f t="shared" si="110"/>
        <v>2024</v>
      </c>
      <c r="R709">
        <f t="shared" si="111"/>
        <v>11</v>
      </c>
      <c r="S709">
        <f t="shared" si="112"/>
        <v>2024</v>
      </c>
      <c r="T709">
        <f t="shared" si="113"/>
        <v>8</v>
      </c>
      <c r="U709" t="str">
        <f t="shared" si="114"/>
        <v>08</v>
      </c>
      <c r="V709" t="str">
        <f t="shared" si="115"/>
        <v>202408</v>
      </c>
      <c r="W709" t="str">
        <f t="shared" si="116"/>
        <v>Nov-24</v>
      </c>
      <c r="X709" s="3">
        <f t="shared" si="117"/>
        <v>-827.7</v>
      </c>
      <c r="Y709" t="str">
        <f t="shared" si="118"/>
        <v/>
      </c>
      <c r="Z709">
        <f t="shared" si="119"/>
        <v>-827.7</v>
      </c>
    </row>
    <row r="710" spans="1:26" x14ac:dyDescent="0.25">
      <c r="A710" s="1">
        <v>45617</v>
      </c>
      <c r="B710" t="s">
        <v>48</v>
      </c>
      <c r="C710" t="s">
        <v>17</v>
      </c>
      <c r="D710" t="s">
        <v>18</v>
      </c>
      <c r="E710">
        <v>15</v>
      </c>
      <c r="F710">
        <v>0</v>
      </c>
      <c r="G710">
        <v>380.8</v>
      </c>
      <c r="H710">
        <v>5712</v>
      </c>
      <c r="I710" t="s">
        <v>49</v>
      </c>
      <c r="J710">
        <v>5.39</v>
      </c>
      <c r="K710">
        <v>2.0299999999999998</v>
      </c>
      <c r="L710">
        <v>0</v>
      </c>
      <c r="M710">
        <v>0.01</v>
      </c>
      <c r="N710">
        <v>20</v>
      </c>
      <c r="O710">
        <v>3.96</v>
      </c>
      <c r="P710">
        <v>31.39</v>
      </c>
      <c r="Q710">
        <f t="shared" si="110"/>
        <v>2024</v>
      </c>
      <c r="R710">
        <f t="shared" si="111"/>
        <v>11</v>
      </c>
      <c r="S710">
        <f t="shared" si="112"/>
        <v>2024</v>
      </c>
      <c r="T710">
        <f t="shared" si="113"/>
        <v>8</v>
      </c>
      <c r="U710" t="str">
        <f t="shared" si="114"/>
        <v>08</v>
      </c>
      <c r="V710" t="str">
        <f t="shared" si="115"/>
        <v>202408</v>
      </c>
      <c r="W710" t="str">
        <f t="shared" si="116"/>
        <v>Nov-24</v>
      </c>
      <c r="X710" s="3">
        <f t="shared" si="117"/>
        <v>5680.61</v>
      </c>
      <c r="Y710">
        <f t="shared" si="118"/>
        <v>5680.61</v>
      </c>
      <c r="Z710" t="str">
        <f t="shared" si="119"/>
        <v/>
      </c>
    </row>
    <row r="711" spans="1:26" x14ac:dyDescent="0.25">
      <c r="A711" s="1">
        <v>45622</v>
      </c>
      <c r="B711" t="s">
        <v>41</v>
      </c>
      <c r="C711" t="s">
        <v>17</v>
      </c>
      <c r="D711" t="s">
        <v>18</v>
      </c>
      <c r="E711">
        <v>15</v>
      </c>
      <c r="F711">
        <v>0</v>
      </c>
      <c r="G711">
        <v>3.35</v>
      </c>
      <c r="H711">
        <v>50.25</v>
      </c>
      <c r="I711" t="s">
        <v>42</v>
      </c>
      <c r="J711">
        <v>0</v>
      </c>
      <c r="K711">
        <v>0.02</v>
      </c>
      <c r="L711">
        <v>0</v>
      </c>
      <c r="M711">
        <v>0</v>
      </c>
      <c r="N711">
        <v>20</v>
      </c>
      <c r="O711">
        <v>3.6</v>
      </c>
      <c r="P711">
        <v>23.62</v>
      </c>
      <c r="Q711">
        <f t="shared" si="110"/>
        <v>2024</v>
      </c>
      <c r="R711">
        <f t="shared" si="111"/>
        <v>11</v>
      </c>
      <c r="S711">
        <f t="shared" si="112"/>
        <v>2024</v>
      </c>
      <c r="T711">
        <f t="shared" si="113"/>
        <v>8</v>
      </c>
      <c r="U711" t="str">
        <f t="shared" si="114"/>
        <v>08</v>
      </c>
      <c r="V711" t="str">
        <f t="shared" si="115"/>
        <v>202408</v>
      </c>
      <c r="W711" t="str">
        <f t="shared" si="116"/>
        <v>Nov-24</v>
      </c>
      <c r="X711" s="3">
        <f t="shared" si="117"/>
        <v>26.63</v>
      </c>
      <c r="Y711">
        <f t="shared" si="118"/>
        <v>26.63</v>
      </c>
      <c r="Z711" t="str">
        <f t="shared" si="119"/>
        <v/>
      </c>
    </row>
    <row r="712" spans="1:26" x14ac:dyDescent="0.25">
      <c r="A712" s="1">
        <v>45625</v>
      </c>
      <c r="B712" t="s">
        <v>24</v>
      </c>
      <c r="C712" t="s">
        <v>17</v>
      </c>
      <c r="D712" t="s">
        <v>22</v>
      </c>
      <c r="E712">
        <v>15</v>
      </c>
      <c r="F712">
        <v>0</v>
      </c>
      <c r="G712">
        <v>110</v>
      </c>
      <c r="H712">
        <v>1650</v>
      </c>
      <c r="I712" t="s">
        <v>40</v>
      </c>
      <c r="J712">
        <v>0</v>
      </c>
      <c r="K712">
        <v>0.59</v>
      </c>
      <c r="L712">
        <v>0</v>
      </c>
      <c r="M712">
        <v>0</v>
      </c>
      <c r="N712">
        <v>20</v>
      </c>
      <c r="O712">
        <v>3.7</v>
      </c>
      <c r="P712">
        <v>24.29</v>
      </c>
      <c r="Q712">
        <f t="shared" si="110"/>
        <v>2024</v>
      </c>
      <c r="R712">
        <f t="shared" si="111"/>
        <v>11</v>
      </c>
      <c r="S712">
        <f t="shared" si="112"/>
        <v>2024</v>
      </c>
      <c r="T712">
        <f t="shared" si="113"/>
        <v>8</v>
      </c>
      <c r="U712" t="str">
        <f t="shared" si="114"/>
        <v>08</v>
      </c>
      <c r="V712" t="str">
        <f t="shared" si="115"/>
        <v>202408</v>
      </c>
      <c r="W712" t="str">
        <f t="shared" si="116"/>
        <v>Nov-24</v>
      </c>
      <c r="X712" s="3">
        <f t="shared" si="117"/>
        <v>-1674.29</v>
      </c>
      <c r="Y712" t="str">
        <f t="shared" si="118"/>
        <v/>
      </c>
      <c r="Z712">
        <f t="shared" si="119"/>
        <v>-1674.29</v>
      </c>
    </row>
    <row r="713" spans="1:26" x14ac:dyDescent="0.25">
      <c r="A713" s="1">
        <v>45628</v>
      </c>
      <c r="B713" t="s">
        <v>24</v>
      </c>
      <c r="C713" t="s">
        <v>17</v>
      </c>
      <c r="D713" t="s">
        <v>22</v>
      </c>
      <c r="E713">
        <v>45</v>
      </c>
      <c r="F713">
        <v>0</v>
      </c>
      <c r="G713">
        <v>131.1</v>
      </c>
      <c r="H713">
        <v>5899.5</v>
      </c>
      <c r="I713" t="s">
        <v>39</v>
      </c>
      <c r="J713">
        <v>0</v>
      </c>
      <c r="K713">
        <v>2.1</v>
      </c>
      <c r="L713">
        <v>0</v>
      </c>
      <c r="M713">
        <v>0.01</v>
      </c>
      <c r="N713">
        <v>60</v>
      </c>
      <c r="O713">
        <v>11.18</v>
      </c>
      <c r="P713">
        <v>73.290000000000006</v>
      </c>
      <c r="Q713">
        <f t="shared" si="110"/>
        <v>2024</v>
      </c>
      <c r="R713">
        <f t="shared" si="111"/>
        <v>12</v>
      </c>
      <c r="S713">
        <f t="shared" si="112"/>
        <v>2024</v>
      </c>
      <c r="T713">
        <f t="shared" si="113"/>
        <v>9</v>
      </c>
      <c r="U713" t="str">
        <f t="shared" si="114"/>
        <v>09</v>
      </c>
      <c r="V713" t="str">
        <f t="shared" si="115"/>
        <v>202409</v>
      </c>
      <c r="W713" t="str">
        <f t="shared" si="116"/>
        <v>Dec-24</v>
      </c>
      <c r="X713" s="3">
        <f t="shared" si="117"/>
        <v>-5972.79</v>
      </c>
      <c r="Y713" t="str">
        <f t="shared" si="118"/>
        <v/>
      </c>
      <c r="Z713">
        <f t="shared" si="119"/>
        <v>-5972.79</v>
      </c>
    </row>
    <row r="714" spans="1:26" x14ac:dyDescent="0.25">
      <c r="A714" s="1">
        <v>45629</v>
      </c>
      <c r="B714" t="s">
        <v>35</v>
      </c>
      <c r="C714" t="s">
        <v>17</v>
      </c>
      <c r="D714" t="s">
        <v>22</v>
      </c>
      <c r="E714">
        <v>100</v>
      </c>
      <c r="F714">
        <v>0</v>
      </c>
      <c r="G714">
        <v>121</v>
      </c>
      <c r="H714">
        <v>12100</v>
      </c>
      <c r="I714" t="s">
        <v>38</v>
      </c>
      <c r="J714">
        <v>0</v>
      </c>
      <c r="K714">
        <v>4.3</v>
      </c>
      <c r="L714">
        <v>0</v>
      </c>
      <c r="M714">
        <v>0.01</v>
      </c>
      <c r="N714">
        <v>80</v>
      </c>
      <c r="O714">
        <v>15.18</v>
      </c>
      <c r="P714">
        <v>99.49</v>
      </c>
      <c r="Q714">
        <f t="shared" si="110"/>
        <v>2024</v>
      </c>
      <c r="R714">
        <f t="shared" si="111"/>
        <v>12</v>
      </c>
      <c r="S714">
        <f t="shared" si="112"/>
        <v>2024</v>
      </c>
      <c r="T714">
        <f t="shared" si="113"/>
        <v>9</v>
      </c>
      <c r="U714" t="str">
        <f t="shared" si="114"/>
        <v>09</v>
      </c>
      <c r="V714" t="str">
        <f t="shared" si="115"/>
        <v>202409</v>
      </c>
      <c r="W714" t="str">
        <f t="shared" si="116"/>
        <v>Dec-24</v>
      </c>
      <c r="X714" s="3">
        <f t="shared" si="117"/>
        <v>-12199.49</v>
      </c>
      <c r="Y714" t="str">
        <f t="shared" si="118"/>
        <v/>
      </c>
      <c r="Z714">
        <f t="shared" si="119"/>
        <v>-12199.49</v>
      </c>
    </row>
    <row r="715" spans="1:26" x14ac:dyDescent="0.25">
      <c r="A715" s="1">
        <v>45630</v>
      </c>
      <c r="B715" t="s">
        <v>24</v>
      </c>
      <c r="C715" t="s">
        <v>17</v>
      </c>
      <c r="D715" t="s">
        <v>22</v>
      </c>
      <c r="E715">
        <v>210</v>
      </c>
      <c r="F715">
        <v>0</v>
      </c>
      <c r="G715">
        <v>61</v>
      </c>
      <c r="H715">
        <v>12810</v>
      </c>
      <c r="I715" t="s">
        <v>34</v>
      </c>
      <c r="J715">
        <v>0</v>
      </c>
      <c r="K715">
        <v>4.5599999999999996</v>
      </c>
      <c r="L715">
        <v>0.38</v>
      </c>
      <c r="M715">
        <v>0.01</v>
      </c>
      <c r="N715">
        <v>280</v>
      </c>
      <c r="O715">
        <v>51.22</v>
      </c>
      <c r="P715">
        <v>336.17</v>
      </c>
      <c r="Q715">
        <f t="shared" si="110"/>
        <v>2024</v>
      </c>
      <c r="R715">
        <f t="shared" si="111"/>
        <v>12</v>
      </c>
      <c r="S715">
        <f t="shared" si="112"/>
        <v>2024</v>
      </c>
      <c r="T715">
        <f t="shared" si="113"/>
        <v>9</v>
      </c>
      <c r="U715" t="str">
        <f t="shared" si="114"/>
        <v>09</v>
      </c>
      <c r="V715" t="str">
        <f t="shared" si="115"/>
        <v>202409</v>
      </c>
      <c r="W715" t="str">
        <f t="shared" si="116"/>
        <v>Dec-24</v>
      </c>
      <c r="X715" s="3">
        <f t="shared" si="117"/>
        <v>-13146.17</v>
      </c>
      <c r="Y715" t="str">
        <f t="shared" si="118"/>
        <v/>
      </c>
      <c r="Z715">
        <f t="shared" si="119"/>
        <v>-13146.17</v>
      </c>
    </row>
    <row r="716" spans="1:26" x14ac:dyDescent="0.25">
      <c r="A716" s="1">
        <v>45630</v>
      </c>
      <c r="B716" t="s">
        <v>35</v>
      </c>
      <c r="C716" t="s">
        <v>17</v>
      </c>
      <c r="D716" t="s">
        <v>18</v>
      </c>
      <c r="E716">
        <v>300</v>
      </c>
      <c r="F716">
        <v>0</v>
      </c>
      <c r="G716">
        <v>91.25</v>
      </c>
      <c r="H716">
        <v>27375</v>
      </c>
      <c r="I716" t="s">
        <v>36</v>
      </c>
      <c r="J716">
        <v>27</v>
      </c>
      <c r="K716">
        <v>9.73</v>
      </c>
      <c r="L716">
        <v>0</v>
      </c>
      <c r="M716">
        <v>0.03</v>
      </c>
      <c r="N716">
        <v>240</v>
      </c>
      <c r="O716">
        <v>44.96</v>
      </c>
      <c r="P716">
        <v>321.72000000000003</v>
      </c>
      <c r="Q716">
        <f t="shared" si="110"/>
        <v>2024</v>
      </c>
      <c r="R716">
        <f t="shared" si="111"/>
        <v>12</v>
      </c>
      <c r="S716">
        <f t="shared" si="112"/>
        <v>2024</v>
      </c>
      <c r="T716">
        <f t="shared" si="113"/>
        <v>9</v>
      </c>
      <c r="U716" t="str">
        <f t="shared" si="114"/>
        <v>09</v>
      </c>
      <c r="V716" t="str">
        <f t="shared" si="115"/>
        <v>202409</v>
      </c>
      <c r="W716" t="str">
        <f t="shared" si="116"/>
        <v>Dec-24</v>
      </c>
      <c r="X716" s="3">
        <f t="shared" si="117"/>
        <v>27053.279999999999</v>
      </c>
      <c r="Y716">
        <f t="shared" si="118"/>
        <v>27053.279999999999</v>
      </c>
      <c r="Z716" t="str">
        <f t="shared" si="119"/>
        <v/>
      </c>
    </row>
    <row r="717" spans="1:26" x14ac:dyDescent="0.25">
      <c r="A717" s="1">
        <v>45630</v>
      </c>
      <c r="B717" t="s">
        <v>35</v>
      </c>
      <c r="C717" t="s">
        <v>17</v>
      </c>
      <c r="D717" t="s">
        <v>22</v>
      </c>
      <c r="E717">
        <v>200</v>
      </c>
      <c r="F717">
        <v>0</v>
      </c>
      <c r="G717">
        <v>71.25</v>
      </c>
      <c r="H717">
        <v>14250</v>
      </c>
      <c r="I717" t="s">
        <v>37</v>
      </c>
      <c r="J717">
        <v>0</v>
      </c>
      <c r="K717">
        <v>5.08</v>
      </c>
      <c r="L717">
        <v>0.62</v>
      </c>
      <c r="M717">
        <v>0</v>
      </c>
      <c r="N717">
        <v>160</v>
      </c>
      <c r="O717">
        <v>29.68</v>
      </c>
      <c r="P717">
        <v>195.38</v>
      </c>
      <c r="Q717">
        <f t="shared" si="110"/>
        <v>2024</v>
      </c>
      <c r="R717">
        <f t="shared" si="111"/>
        <v>12</v>
      </c>
      <c r="S717">
        <f t="shared" si="112"/>
        <v>2024</v>
      </c>
      <c r="T717">
        <f t="shared" si="113"/>
        <v>9</v>
      </c>
      <c r="U717" t="str">
        <f t="shared" si="114"/>
        <v>09</v>
      </c>
      <c r="V717" t="str">
        <f t="shared" si="115"/>
        <v>202409</v>
      </c>
      <c r="W717" t="str">
        <f t="shared" si="116"/>
        <v>Dec-24</v>
      </c>
      <c r="X717" s="3">
        <f t="shared" si="117"/>
        <v>-14445.38</v>
      </c>
      <c r="Y717" t="str">
        <f t="shared" si="118"/>
        <v/>
      </c>
      <c r="Z717">
        <f t="shared" si="119"/>
        <v>-14445.38</v>
      </c>
    </row>
    <row r="718" spans="1:26" x14ac:dyDescent="0.25">
      <c r="A718" s="1">
        <v>45632</v>
      </c>
      <c r="B718" t="s">
        <v>20</v>
      </c>
      <c r="C718" t="s">
        <v>17</v>
      </c>
      <c r="D718" t="s">
        <v>22</v>
      </c>
      <c r="E718">
        <v>150</v>
      </c>
      <c r="F718">
        <v>0</v>
      </c>
      <c r="G718">
        <v>70.8</v>
      </c>
      <c r="H718">
        <v>10620</v>
      </c>
      <c r="I718" t="s">
        <v>31</v>
      </c>
      <c r="J718">
        <v>0</v>
      </c>
      <c r="K718">
        <v>3.77</v>
      </c>
      <c r="L718">
        <v>0</v>
      </c>
      <c r="M718">
        <v>0.01</v>
      </c>
      <c r="N718">
        <v>120</v>
      </c>
      <c r="O718">
        <v>22.28</v>
      </c>
      <c r="P718">
        <v>146.06</v>
      </c>
      <c r="Q718">
        <f t="shared" si="110"/>
        <v>2024</v>
      </c>
      <c r="R718">
        <f t="shared" si="111"/>
        <v>12</v>
      </c>
      <c r="S718">
        <f t="shared" si="112"/>
        <v>2024</v>
      </c>
      <c r="T718">
        <f t="shared" si="113"/>
        <v>9</v>
      </c>
      <c r="U718" t="str">
        <f t="shared" si="114"/>
        <v>09</v>
      </c>
      <c r="V718" t="str">
        <f t="shared" si="115"/>
        <v>202409</v>
      </c>
      <c r="W718" t="str">
        <f t="shared" si="116"/>
        <v>Dec-24</v>
      </c>
      <c r="X718" s="3">
        <f t="shared" si="117"/>
        <v>-10766.06</v>
      </c>
      <c r="Y718" t="str">
        <f t="shared" si="118"/>
        <v/>
      </c>
      <c r="Z718">
        <f t="shared" si="119"/>
        <v>-10766.06</v>
      </c>
    </row>
    <row r="719" spans="1:26" x14ac:dyDescent="0.25">
      <c r="A719" s="1">
        <v>45632</v>
      </c>
      <c r="B719" t="s">
        <v>20</v>
      </c>
      <c r="C719" t="s">
        <v>17</v>
      </c>
      <c r="D719" t="s">
        <v>22</v>
      </c>
      <c r="E719">
        <v>100</v>
      </c>
      <c r="F719">
        <v>0</v>
      </c>
      <c r="G719">
        <v>90.1</v>
      </c>
      <c r="H719">
        <v>9010</v>
      </c>
      <c r="I719" t="s">
        <v>32</v>
      </c>
      <c r="J719">
        <v>0</v>
      </c>
      <c r="K719">
        <v>3.2</v>
      </c>
      <c r="L719">
        <v>0</v>
      </c>
      <c r="M719">
        <v>0.01</v>
      </c>
      <c r="N719">
        <v>80</v>
      </c>
      <c r="O719">
        <v>14.98</v>
      </c>
      <c r="P719">
        <v>98.19</v>
      </c>
      <c r="Q719">
        <f t="shared" si="110"/>
        <v>2024</v>
      </c>
      <c r="R719">
        <f t="shared" si="111"/>
        <v>12</v>
      </c>
      <c r="S719">
        <f t="shared" si="112"/>
        <v>2024</v>
      </c>
      <c r="T719">
        <f t="shared" si="113"/>
        <v>9</v>
      </c>
      <c r="U719" t="str">
        <f t="shared" si="114"/>
        <v>09</v>
      </c>
      <c r="V719" t="str">
        <f t="shared" si="115"/>
        <v>202409</v>
      </c>
      <c r="W719" t="str">
        <f t="shared" si="116"/>
        <v>Dec-24</v>
      </c>
      <c r="X719" s="3">
        <f t="shared" si="117"/>
        <v>-9108.19</v>
      </c>
      <c r="Y719" t="str">
        <f t="shared" si="118"/>
        <v/>
      </c>
      <c r="Z719">
        <f t="shared" si="119"/>
        <v>-9108.19</v>
      </c>
    </row>
    <row r="720" spans="1:26" x14ac:dyDescent="0.25">
      <c r="A720" s="1">
        <v>45632</v>
      </c>
      <c r="B720" t="s">
        <v>20</v>
      </c>
      <c r="C720" t="s">
        <v>17</v>
      </c>
      <c r="D720" t="s">
        <v>22</v>
      </c>
      <c r="E720">
        <v>250</v>
      </c>
      <c r="F720">
        <v>0</v>
      </c>
      <c r="G720">
        <v>101.25</v>
      </c>
      <c r="H720">
        <v>25312.5</v>
      </c>
      <c r="I720" t="s">
        <v>33</v>
      </c>
      <c r="J720">
        <v>0</v>
      </c>
      <c r="K720">
        <v>9</v>
      </c>
      <c r="L720">
        <v>1</v>
      </c>
      <c r="M720">
        <v>0.03</v>
      </c>
      <c r="N720">
        <v>200</v>
      </c>
      <c r="O720">
        <v>37.619999999999997</v>
      </c>
      <c r="P720">
        <v>247.65</v>
      </c>
      <c r="Q720">
        <f t="shared" si="110"/>
        <v>2024</v>
      </c>
      <c r="R720">
        <f t="shared" si="111"/>
        <v>12</v>
      </c>
      <c r="S720">
        <f t="shared" si="112"/>
        <v>2024</v>
      </c>
      <c r="T720">
        <f t="shared" si="113"/>
        <v>9</v>
      </c>
      <c r="U720" t="str">
        <f t="shared" si="114"/>
        <v>09</v>
      </c>
      <c r="V720" t="str">
        <f t="shared" si="115"/>
        <v>202409</v>
      </c>
      <c r="W720" t="str">
        <f t="shared" si="116"/>
        <v>Dec-24</v>
      </c>
      <c r="X720" s="3">
        <f t="shared" si="117"/>
        <v>-25560.15</v>
      </c>
      <c r="Y720" t="str">
        <f t="shared" si="118"/>
        <v/>
      </c>
      <c r="Z720">
        <f t="shared" si="119"/>
        <v>-25560.15</v>
      </c>
    </row>
    <row r="721" spans="1:26" x14ac:dyDescent="0.25">
      <c r="A721" s="1">
        <v>45635</v>
      </c>
      <c r="B721" t="s">
        <v>28</v>
      </c>
      <c r="C721" t="s">
        <v>17</v>
      </c>
      <c r="D721" t="s">
        <v>18</v>
      </c>
      <c r="E721">
        <v>500</v>
      </c>
      <c r="F721">
        <v>0</v>
      </c>
      <c r="G721">
        <v>205.25</v>
      </c>
      <c r="H721">
        <v>102625</v>
      </c>
      <c r="I721" t="s">
        <v>29</v>
      </c>
      <c r="J721">
        <v>103.01</v>
      </c>
      <c r="K721">
        <v>36.47</v>
      </c>
      <c r="L721">
        <v>0</v>
      </c>
      <c r="M721">
        <v>0.1</v>
      </c>
      <c r="N721">
        <v>400</v>
      </c>
      <c r="O721">
        <v>78.58</v>
      </c>
      <c r="P721">
        <v>618.16</v>
      </c>
      <c r="Q721">
        <f t="shared" si="110"/>
        <v>2024</v>
      </c>
      <c r="R721">
        <f t="shared" si="111"/>
        <v>12</v>
      </c>
      <c r="S721">
        <f t="shared" si="112"/>
        <v>2024</v>
      </c>
      <c r="T721">
        <f t="shared" si="113"/>
        <v>9</v>
      </c>
      <c r="U721" t="str">
        <f t="shared" si="114"/>
        <v>09</v>
      </c>
      <c r="V721" t="str">
        <f t="shared" si="115"/>
        <v>202409</v>
      </c>
      <c r="W721" t="str">
        <f t="shared" si="116"/>
        <v>Dec-24</v>
      </c>
      <c r="X721" s="3">
        <f t="shared" si="117"/>
        <v>102006.84</v>
      </c>
      <c r="Y721">
        <f t="shared" si="118"/>
        <v>102006.84</v>
      </c>
      <c r="Z721" t="str">
        <f t="shared" si="119"/>
        <v/>
      </c>
    </row>
    <row r="722" spans="1:26" x14ac:dyDescent="0.25">
      <c r="A722" s="1">
        <v>45635</v>
      </c>
      <c r="B722" t="s">
        <v>28</v>
      </c>
      <c r="C722" t="s">
        <v>17</v>
      </c>
      <c r="D722" t="s">
        <v>22</v>
      </c>
      <c r="E722">
        <v>500</v>
      </c>
      <c r="F722">
        <v>0</v>
      </c>
      <c r="G722">
        <v>174.55</v>
      </c>
      <c r="H722">
        <v>87275</v>
      </c>
      <c r="I722" t="s">
        <v>30</v>
      </c>
      <c r="J722">
        <v>0</v>
      </c>
      <c r="K722">
        <v>31.01</v>
      </c>
      <c r="L722">
        <v>3</v>
      </c>
      <c r="M722">
        <v>0.09</v>
      </c>
      <c r="N722">
        <v>400</v>
      </c>
      <c r="O722">
        <v>77.599999999999994</v>
      </c>
      <c r="P722">
        <v>511.7</v>
      </c>
      <c r="Q722">
        <f t="shared" si="110"/>
        <v>2024</v>
      </c>
      <c r="R722">
        <f t="shared" si="111"/>
        <v>12</v>
      </c>
      <c r="S722">
        <f t="shared" si="112"/>
        <v>2024</v>
      </c>
      <c r="T722">
        <f t="shared" si="113"/>
        <v>9</v>
      </c>
      <c r="U722" t="str">
        <f t="shared" si="114"/>
        <v>09</v>
      </c>
      <c r="V722" t="str">
        <f t="shared" si="115"/>
        <v>202409</v>
      </c>
      <c r="W722" t="str">
        <f t="shared" si="116"/>
        <v>Dec-24</v>
      </c>
      <c r="X722" s="3">
        <f t="shared" si="117"/>
        <v>-87786.7</v>
      </c>
      <c r="Y722" t="str">
        <f t="shared" si="118"/>
        <v/>
      </c>
      <c r="Z722">
        <f t="shared" si="119"/>
        <v>-87786.7</v>
      </c>
    </row>
    <row r="723" spans="1:26" x14ac:dyDescent="0.25">
      <c r="A723" s="1">
        <v>45636</v>
      </c>
      <c r="B723" t="s">
        <v>16</v>
      </c>
      <c r="C723" t="s">
        <v>17</v>
      </c>
      <c r="D723" t="s">
        <v>18</v>
      </c>
      <c r="E723">
        <v>500</v>
      </c>
      <c r="F723">
        <v>0</v>
      </c>
      <c r="G723">
        <v>165</v>
      </c>
      <c r="H723">
        <v>82500</v>
      </c>
      <c r="I723" t="s">
        <v>26</v>
      </c>
      <c r="J723">
        <v>83</v>
      </c>
      <c r="K723">
        <v>29.31</v>
      </c>
      <c r="L723">
        <v>0</v>
      </c>
      <c r="M723">
        <v>0.08</v>
      </c>
      <c r="N723">
        <v>400</v>
      </c>
      <c r="O723">
        <v>77.3</v>
      </c>
      <c r="P723">
        <v>589.69000000000005</v>
      </c>
      <c r="Q723">
        <f t="shared" si="110"/>
        <v>2024</v>
      </c>
      <c r="R723">
        <f t="shared" si="111"/>
        <v>12</v>
      </c>
      <c r="S723">
        <f t="shared" si="112"/>
        <v>2024</v>
      </c>
      <c r="T723">
        <f t="shared" si="113"/>
        <v>9</v>
      </c>
      <c r="U723" t="str">
        <f t="shared" si="114"/>
        <v>09</v>
      </c>
      <c r="V723" t="str">
        <f t="shared" si="115"/>
        <v>202409</v>
      </c>
      <c r="W723" t="str">
        <f t="shared" si="116"/>
        <v>Dec-24</v>
      </c>
      <c r="X723" s="3">
        <f t="shared" si="117"/>
        <v>81910.31</v>
      </c>
      <c r="Y723">
        <f t="shared" si="118"/>
        <v>81910.31</v>
      </c>
      <c r="Z723" t="str">
        <f t="shared" si="119"/>
        <v/>
      </c>
    </row>
    <row r="724" spans="1:26" x14ac:dyDescent="0.25">
      <c r="A724" s="1">
        <v>45636</v>
      </c>
      <c r="B724" t="s">
        <v>16</v>
      </c>
      <c r="C724" t="s">
        <v>17</v>
      </c>
      <c r="D724" t="s">
        <v>22</v>
      </c>
      <c r="E724">
        <v>500</v>
      </c>
      <c r="F724">
        <v>0</v>
      </c>
      <c r="G724">
        <v>151.25</v>
      </c>
      <c r="H724">
        <v>75625</v>
      </c>
      <c r="I724" t="s">
        <v>27</v>
      </c>
      <c r="J724">
        <v>0</v>
      </c>
      <c r="K724">
        <v>26.88</v>
      </c>
      <c r="L724">
        <v>2</v>
      </c>
      <c r="M724">
        <v>0.08</v>
      </c>
      <c r="N724">
        <v>400</v>
      </c>
      <c r="O724">
        <v>76.84</v>
      </c>
      <c r="P724">
        <v>505.8</v>
      </c>
      <c r="Q724">
        <f t="shared" si="110"/>
        <v>2024</v>
      </c>
      <c r="R724">
        <f t="shared" si="111"/>
        <v>12</v>
      </c>
      <c r="S724">
        <f t="shared" si="112"/>
        <v>2024</v>
      </c>
      <c r="T724">
        <f t="shared" si="113"/>
        <v>9</v>
      </c>
      <c r="U724" t="str">
        <f t="shared" si="114"/>
        <v>09</v>
      </c>
      <c r="V724" t="str">
        <f t="shared" si="115"/>
        <v>202409</v>
      </c>
      <c r="W724" t="str">
        <f t="shared" si="116"/>
        <v>Dec-24</v>
      </c>
      <c r="X724" s="3">
        <f t="shared" si="117"/>
        <v>-76130.8</v>
      </c>
      <c r="Y724" t="str">
        <f t="shared" si="118"/>
        <v/>
      </c>
      <c r="Z724">
        <f t="shared" si="119"/>
        <v>-76130.8</v>
      </c>
    </row>
    <row r="725" spans="1:26" x14ac:dyDescent="0.25">
      <c r="A725" s="1">
        <v>45637</v>
      </c>
      <c r="B725" t="s">
        <v>16</v>
      </c>
      <c r="C725" t="s">
        <v>17</v>
      </c>
      <c r="D725" t="s">
        <v>18</v>
      </c>
      <c r="E725">
        <v>1000</v>
      </c>
      <c r="F725">
        <v>0</v>
      </c>
      <c r="G725">
        <v>69.06</v>
      </c>
      <c r="H725">
        <v>69060</v>
      </c>
      <c r="I725" t="s">
        <v>19</v>
      </c>
      <c r="J725">
        <v>69.099999999999994</v>
      </c>
      <c r="K725">
        <v>24.54</v>
      </c>
      <c r="L725">
        <v>0</v>
      </c>
      <c r="M725">
        <v>0.04</v>
      </c>
      <c r="N725">
        <v>800</v>
      </c>
      <c r="O725">
        <v>148.36000000000001</v>
      </c>
      <c r="P725">
        <v>1042.04</v>
      </c>
      <c r="Q725">
        <f t="shared" si="110"/>
        <v>2024</v>
      </c>
      <c r="R725">
        <f t="shared" si="111"/>
        <v>12</v>
      </c>
      <c r="S725">
        <f t="shared" si="112"/>
        <v>2024</v>
      </c>
      <c r="T725">
        <f t="shared" si="113"/>
        <v>9</v>
      </c>
      <c r="U725" t="str">
        <f t="shared" si="114"/>
        <v>09</v>
      </c>
      <c r="V725" t="str">
        <f t="shared" si="115"/>
        <v>202409</v>
      </c>
      <c r="W725" t="str">
        <f t="shared" si="116"/>
        <v>Dec-24</v>
      </c>
      <c r="X725" s="3">
        <f t="shared" si="117"/>
        <v>68017.960000000006</v>
      </c>
      <c r="Y725">
        <f t="shared" si="118"/>
        <v>68017.960000000006</v>
      </c>
      <c r="Z725" t="str">
        <f t="shared" si="119"/>
        <v/>
      </c>
    </row>
    <row r="726" spans="1:26" x14ac:dyDescent="0.25">
      <c r="A726" s="1">
        <v>45637</v>
      </c>
      <c r="B726" t="s">
        <v>20</v>
      </c>
      <c r="C726" t="s">
        <v>17</v>
      </c>
      <c r="D726" t="s">
        <v>18</v>
      </c>
      <c r="E726">
        <v>500</v>
      </c>
      <c r="F726">
        <v>0</v>
      </c>
      <c r="G726">
        <v>8.1</v>
      </c>
      <c r="H726">
        <v>4050</v>
      </c>
      <c r="I726" t="s">
        <v>21</v>
      </c>
      <c r="J726">
        <v>4.05</v>
      </c>
      <c r="K726">
        <v>1.44</v>
      </c>
      <c r="L726">
        <v>0</v>
      </c>
      <c r="M726">
        <v>0</v>
      </c>
      <c r="N726">
        <v>400</v>
      </c>
      <c r="O726">
        <v>72.260000000000005</v>
      </c>
      <c r="P726">
        <v>477.75</v>
      </c>
      <c r="Q726">
        <f t="shared" si="110"/>
        <v>2024</v>
      </c>
      <c r="R726">
        <f t="shared" si="111"/>
        <v>12</v>
      </c>
      <c r="S726">
        <f t="shared" si="112"/>
        <v>2024</v>
      </c>
      <c r="T726">
        <f t="shared" si="113"/>
        <v>9</v>
      </c>
      <c r="U726" t="str">
        <f t="shared" si="114"/>
        <v>09</v>
      </c>
      <c r="V726" t="str">
        <f t="shared" si="115"/>
        <v>202409</v>
      </c>
      <c r="W726" t="str">
        <f t="shared" si="116"/>
        <v>Dec-24</v>
      </c>
      <c r="X726" s="3">
        <f t="shared" si="117"/>
        <v>3572.25</v>
      </c>
      <c r="Y726">
        <f t="shared" si="118"/>
        <v>3572.25</v>
      </c>
      <c r="Z726" t="str">
        <f t="shared" si="119"/>
        <v/>
      </c>
    </row>
    <row r="727" spans="1:26" x14ac:dyDescent="0.25">
      <c r="A727" s="1">
        <v>45637</v>
      </c>
      <c r="B727" t="s">
        <v>16</v>
      </c>
      <c r="C727" t="s">
        <v>17</v>
      </c>
      <c r="D727" t="s">
        <v>22</v>
      </c>
      <c r="E727">
        <v>1000</v>
      </c>
      <c r="F727">
        <v>0</v>
      </c>
      <c r="G727">
        <v>101.25</v>
      </c>
      <c r="H727">
        <v>101250</v>
      </c>
      <c r="I727" t="s">
        <v>23</v>
      </c>
      <c r="J727">
        <v>0</v>
      </c>
      <c r="K727">
        <v>35.979999999999997</v>
      </c>
      <c r="L727">
        <v>3</v>
      </c>
      <c r="M727">
        <v>0.11</v>
      </c>
      <c r="N727">
        <v>800</v>
      </c>
      <c r="O727">
        <v>150.46</v>
      </c>
      <c r="P727">
        <v>989.55</v>
      </c>
      <c r="Q727">
        <f t="shared" si="110"/>
        <v>2024</v>
      </c>
      <c r="R727">
        <f t="shared" si="111"/>
        <v>12</v>
      </c>
      <c r="S727">
        <f t="shared" si="112"/>
        <v>2024</v>
      </c>
      <c r="T727">
        <f t="shared" si="113"/>
        <v>9</v>
      </c>
      <c r="U727" t="str">
        <f t="shared" si="114"/>
        <v>09</v>
      </c>
      <c r="V727" t="str">
        <f t="shared" si="115"/>
        <v>202409</v>
      </c>
      <c r="W727" t="str">
        <f t="shared" si="116"/>
        <v>Dec-24</v>
      </c>
      <c r="X727" s="3">
        <f t="shared" si="117"/>
        <v>-102239.55</v>
      </c>
      <c r="Y727" t="str">
        <f t="shared" si="118"/>
        <v/>
      </c>
      <c r="Z727">
        <f t="shared" si="119"/>
        <v>-102239.55</v>
      </c>
    </row>
    <row r="728" spans="1:26" x14ac:dyDescent="0.25">
      <c r="A728" s="1">
        <v>45637</v>
      </c>
      <c r="B728" t="s">
        <v>24</v>
      </c>
      <c r="C728" t="s">
        <v>17</v>
      </c>
      <c r="D728" t="s">
        <v>18</v>
      </c>
      <c r="E728">
        <v>270</v>
      </c>
      <c r="F728">
        <v>0</v>
      </c>
      <c r="G728">
        <v>21.1</v>
      </c>
      <c r="H728">
        <v>5697</v>
      </c>
      <c r="I728" t="s">
        <v>25</v>
      </c>
      <c r="J728">
        <v>5.93</v>
      </c>
      <c r="K728">
        <v>1.99</v>
      </c>
      <c r="L728">
        <v>0</v>
      </c>
      <c r="M728">
        <v>0</v>
      </c>
      <c r="N728">
        <v>360</v>
      </c>
      <c r="O728">
        <v>65.16</v>
      </c>
      <c r="P728">
        <v>433.08</v>
      </c>
      <c r="Q728">
        <f t="shared" si="110"/>
        <v>2024</v>
      </c>
      <c r="R728">
        <f t="shared" si="111"/>
        <v>12</v>
      </c>
      <c r="S728">
        <f t="shared" si="112"/>
        <v>2024</v>
      </c>
      <c r="T728">
        <f t="shared" si="113"/>
        <v>9</v>
      </c>
      <c r="U728" t="str">
        <f t="shared" si="114"/>
        <v>09</v>
      </c>
      <c r="V728" t="str">
        <f t="shared" si="115"/>
        <v>202409</v>
      </c>
      <c r="W728" t="str">
        <f t="shared" si="116"/>
        <v>Dec-24</v>
      </c>
      <c r="X728" s="3">
        <f t="shared" si="117"/>
        <v>5263.92</v>
      </c>
      <c r="Y728">
        <f t="shared" si="118"/>
        <v>5263.92</v>
      </c>
      <c r="Z728" t="str">
        <f t="shared" si="119"/>
        <v/>
      </c>
    </row>
    <row r="729" spans="1:26" x14ac:dyDescent="0.25">
      <c r="A729" s="1">
        <v>45639</v>
      </c>
      <c r="B729" t="s">
        <v>1003</v>
      </c>
      <c r="C729" t="s">
        <v>17</v>
      </c>
      <c r="D729" t="s">
        <v>18</v>
      </c>
      <c r="E729">
        <v>200</v>
      </c>
      <c r="F729">
        <v>0</v>
      </c>
      <c r="G729">
        <v>215.25</v>
      </c>
      <c r="H729">
        <v>43050</v>
      </c>
      <c r="I729" t="s">
        <v>1004</v>
      </c>
      <c r="J729">
        <v>43.3</v>
      </c>
      <c r="K729">
        <v>15.28</v>
      </c>
      <c r="L729">
        <v>0</v>
      </c>
      <c r="M729">
        <v>0.05</v>
      </c>
      <c r="N729">
        <v>160</v>
      </c>
      <c r="O729">
        <v>31.52</v>
      </c>
      <c r="P729">
        <v>250.15</v>
      </c>
      <c r="Q729">
        <f t="shared" si="110"/>
        <v>2024</v>
      </c>
      <c r="R729">
        <f t="shared" si="111"/>
        <v>12</v>
      </c>
      <c r="S729">
        <f t="shared" si="112"/>
        <v>2024</v>
      </c>
      <c r="T729">
        <f t="shared" si="113"/>
        <v>9</v>
      </c>
      <c r="U729" t="str">
        <f t="shared" si="114"/>
        <v>09</v>
      </c>
      <c r="V729" t="str">
        <f t="shared" si="115"/>
        <v>202409</v>
      </c>
      <c r="W729" t="str">
        <f t="shared" si="116"/>
        <v>Dec-24</v>
      </c>
      <c r="X729" s="3">
        <f t="shared" si="117"/>
        <v>42799.85</v>
      </c>
      <c r="Y729">
        <f t="shared" si="118"/>
        <v>42799.85</v>
      </c>
      <c r="Z729" t="str">
        <f t="shared" si="119"/>
        <v/>
      </c>
    </row>
    <row r="730" spans="1:26" x14ac:dyDescent="0.25">
      <c r="A730" s="1">
        <v>45639</v>
      </c>
      <c r="B730" t="s">
        <v>1003</v>
      </c>
      <c r="C730" t="s">
        <v>17</v>
      </c>
      <c r="D730" t="s">
        <v>22</v>
      </c>
      <c r="E730">
        <v>200</v>
      </c>
      <c r="F730">
        <v>0</v>
      </c>
      <c r="G730">
        <v>193.95</v>
      </c>
      <c r="H730">
        <v>38790</v>
      </c>
      <c r="I730" t="s">
        <v>1005</v>
      </c>
      <c r="J730">
        <v>0</v>
      </c>
      <c r="K730">
        <v>13.78</v>
      </c>
      <c r="L730">
        <v>0.8</v>
      </c>
      <c r="M730">
        <v>0.03</v>
      </c>
      <c r="N730">
        <v>160</v>
      </c>
      <c r="O730">
        <v>31.28</v>
      </c>
      <c r="P730">
        <v>205.89</v>
      </c>
      <c r="Q730">
        <f t="shared" si="110"/>
        <v>2024</v>
      </c>
      <c r="R730">
        <f t="shared" si="111"/>
        <v>12</v>
      </c>
      <c r="S730">
        <f t="shared" si="112"/>
        <v>2024</v>
      </c>
      <c r="T730">
        <f t="shared" si="113"/>
        <v>9</v>
      </c>
      <c r="U730" t="str">
        <f t="shared" si="114"/>
        <v>09</v>
      </c>
      <c r="V730" t="str">
        <f t="shared" si="115"/>
        <v>202409</v>
      </c>
      <c r="W730" t="str">
        <f t="shared" si="116"/>
        <v>Dec-24</v>
      </c>
      <c r="X730" s="3">
        <f t="shared" si="117"/>
        <v>-38995.89</v>
      </c>
      <c r="Y730" t="str">
        <f t="shared" si="118"/>
        <v/>
      </c>
      <c r="Z730">
        <f t="shared" si="119"/>
        <v>-38995.89</v>
      </c>
    </row>
    <row r="731" spans="1:26" x14ac:dyDescent="0.25">
      <c r="A731" s="1">
        <v>45639</v>
      </c>
      <c r="B731" t="s">
        <v>1006</v>
      </c>
      <c r="C731" t="s">
        <v>17</v>
      </c>
      <c r="D731" t="s">
        <v>18</v>
      </c>
      <c r="E731">
        <v>100</v>
      </c>
      <c r="F731">
        <v>0</v>
      </c>
      <c r="G731">
        <v>241.65</v>
      </c>
      <c r="H731">
        <v>24165</v>
      </c>
      <c r="I731" t="s">
        <v>1007</v>
      </c>
      <c r="J731">
        <v>24.16</v>
      </c>
      <c r="K731">
        <v>8.6</v>
      </c>
      <c r="L731">
        <v>0</v>
      </c>
      <c r="M731">
        <v>0.04</v>
      </c>
      <c r="N731">
        <v>80</v>
      </c>
      <c r="O731">
        <v>15.92</v>
      </c>
      <c r="P731">
        <v>128.72</v>
      </c>
      <c r="Q731">
        <f t="shared" si="110"/>
        <v>2024</v>
      </c>
      <c r="R731">
        <f t="shared" si="111"/>
        <v>12</v>
      </c>
      <c r="S731">
        <f t="shared" si="112"/>
        <v>2024</v>
      </c>
      <c r="T731">
        <f t="shared" si="113"/>
        <v>9</v>
      </c>
      <c r="U731" t="str">
        <f t="shared" si="114"/>
        <v>09</v>
      </c>
      <c r="V731" t="str">
        <f t="shared" si="115"/>
        <v>202409</v>
      </c>
      <c r="W731" t="str">
        <f t="shared" si="116"/>
        <v>Dec-24</v>
      </c>
      <c r="X731" s="3">
        <f t="shared" si="117"/>
        <v>24036.28</v>
      </c>
      <c r="Y731">
        <f t="shared" si="118"/>
        <v>24036.28</v>
      </c>
      <c r="Z731" t="str">
        <f t="shared" si="119"/>
        <v/>
      </c>
    </row>
    <row r="732" spans="1:26" x14ac:dyDescent="0.25">
      <c r="A732" s="1">
        <v>45639</v>
      </c>
      <c r="B732" t="s">
        <v>1006</v>
      </c>
      <c r="C732" t="s">
        <v>17</v>
      </c>
      <c r="D732" t="s">
        <v>22</v>
      </c>
      <c r="E732">
        <v>100</v>
      </c>
      <c r="F732">
        <v>0</v>
      </c>
      <c r="G732">
        <v>200.55</v>
      </c>
      <c r="H732">
        <v>20055</v>
      </c>
      <c r="I732" t="s">
        <v>1008</v>
      </c>
      <c r="J732">
        <v>0</v>
      </c>
      <c r="K732">
        <v>7.13</v>
      </c>
      <c r="L732">
        <v>0.6</v>
      </c>
      <c r="M732">
        <v>0.02</v>
      </c>
      <c r="N732">
        <v>80</v>
      </c>
      <c r="O732">
        <v>15.68</v>
      </c>
      <c r="P732">
        <v>103.43</v>
      </c>
      <c r="Q732">
        <f t="shared" si="110"/>
        <v>2024</v>
      </c>
      <c r="R732">
        <f t="shared" si="111"/>
        <v>12</v>
      </c>
      <c r="S732">
        <f t="shared" si="112"/>
        <v>2024</v>
      </c>
      <c r="T732">
        <f t="shared" si="113"/>
        <v>9</v>
      </c>
      <c r="U732" t="str">
        <f t="shared" si="114"/>
        <v>09</v>
      </c>
      <c r="V732" t="str">
        <f t="shared" si="115"/>
        <v>202409</v>
      </c>
      <c r="W732" t="str">
        <f t="shared" si="116"/>
        <v>Dec-24</v>
      </c>
      <c r="X732" s="3">
        <f t="shared" si="117"/>
        <v>-20158.43</v>
      </c>
      <c r="Y732" t="str">
        <f t="shared" si="118"/>
        <v/>
      </c>
      <c r="Z732">
        <f t="shared" si="119"/>
        <v>-20158.43</v>
      </c>
    </row>
    <row r="733" spans="1:26" x14ac:dyDescent="0.25">
      <c r="A733" s="1">
        <v>45639</v>
      </c>
      <c r="B733" t="s">
        <v>1009</v>
      </c>
      <c r="C733" t="s">
        <v>17</v>
      </c>
      <c r="D733" t="s">
        <v>18</v>
      </c>
      <c r="E733">
        <v>100</v>
      </c>
      <c r="F733">
        <v>0</v>
      </c>
      <c r="G733">
        <v>215.25</v>
      </c>
      <c r="H733">
        <v>21525</v>
      </c>
      <c r="I733" t="s">
        <v>1010</v>
      </c>
      <c r="J733">
        <v>21.52</v>
      </c>
      <c r="K733">
        <v>7.64</v>
      </c>
      <c r="L733">
        <v>0</v>
      </c>
      <c r="M733">
        <v>0.02</v>
      </c>
      <c r="N733">
        <v>80</v>
      </c>
      <c r="O733">
        <v>15.76</v>
      </c>
      <c r="P733">
        <v>124.94</v>
      </c>
      <c r="Q733">
        <f t="shared" si="110"/>
        <v>2024</v>
      </c>
      <c r="R733">
        <f t="shared" si="111"/>
        <v>12</v>
      </c>
      <c r="S733">
        <f t="shared" si="112"/>
        <v>2024</v>
      </c>
      <c r="T733">
        <f t="shared" si="113"/>
        <v>9</v>
      </c>
      <c r="U733" t="str">
        <f t="shared" si="114"/>
        <v>09</v>
      </c>
      <c r="V733" t="str">
        <f t="shared" si="115"/>
        <v>202409</v>
      </c>
      <c r="W733" t="str">
        <f t="shared" si="116"/>
        <v>Dec-24</v>
      </c>
      <c r="X733" s="3">
        <f t="shared" si="117"/>
        <v>21400.06</v>
      </c>
      <c r="Y733">
        <f t="shared" si="118"/>
        <v>21400.06</v>
      </c>
      <c r="Z733" t="str">
        <f t="shared" si="119"/>
        <v/>
      </c>
    </row>
    <row r="734" spans="1:26" x14ac:dyDescent="0.25">
      <c r="A734" s="1">
        <v>45639</v>
      </c>
      <c r="B734" t="s">
        <v>1009</v>
      </c>
      <c r="C734" t="s">
        <v>17</v>
      </c>
      <c r="D734" t="s">
        <v>22</v>
      </c>
      <c r="E734">
        <v>100</v>
      </c>
      <c r="F734">
        <v>0</v>
      </c>
      <c r="G734">
        <v>201</v>
      </c>
      <c r="H734">
        <v>20100</v>
      </c>
      <c r="I734" t="s">
        <v>1011</v>
      </c>
      <c r="J734">
        <v>0</v>
      </c>
      <c r="K734">
        <v>7.14</v>
      </c>
      <c r="L734">
        <v>0.6</v>
      </c>
      <c r="M734">
        <v>0.02</v>
      </c>
      <c r="N734">
        <v>80</v>
      </c>
      <c r="O734">
        <v>15.68</v>
      </c>
      <c r="P734">
        <v>103.44</v>
      </c>
      <c r="Q734">
        <f t="shared" si="110"/>
        <v>2024</v>
      </c>
      <c r="R734">
        <f t="shared" si="111"/>
        <v>12</v>
      </c>
      <c r="S734">
        <f t="shared" si="112"/>
        <v>2024</v>
      </c>
      <c r="T734">
        <f t="shared" si="113"/>
        <v>9</v>
      </c>
      <c r="U734" t="str">
        <f t="shared" si="114"/>
        <v>09</v>
      </c>
      <c r="V734" t="str">
        <f t="shared" si="115"/>
        <v>202409</v>
      </c>
      <c r="W734" t="str">
        <f t="shared" si="116"/>
        <v>Dec-24</v>
      </c>
      <c r="X734" s="3">
        <f t="shared" si="117"/>
        <v>-20203.439999999999</v>
      </c>
      <c r="Y734" t="str">
        <f t="shared" si="118"/>
        <v/>
      </c>
      <c r="Z734">
        <f t="shared" si="119"/>
        <v>-20203.439999999999</v>
      </c>
    </row>
    <row r="735" spans="1:26" x14ac:dyDescent="0.25">
      <c r="A735" s="1">
        <v>45642</v>
      </c>
      <c r="B735" t="s">
        <v>1012</v>
      </c>
      <c r="C735" t="s">
        <v>17</v>
      </c>
      <c r="D735" t="s">
        <v>22</v>
      </c>
      <c r="E735">
        <v>200</v>
      </c>
      <c r="F735">
        <v>0</v>
      </c>
      <c r="G735">
        <v>175.25</v>
      </c>
      <c r="H735">
        <v>35050</v>
      </c>
      <c r="I735" t="s">
        <v>1013</v>
      </c>
      <c r="J735">
        <v>0</v>
      </c>
      <c r="K735">
        <v>12.46</v>
      </c>
      <c r="L735">
        <v>1.05</v>
      </c>
      <c r="M735">
        <v>0.04</v>
      </c>
      <c r="N735">
        <v>160</v>
      </c>
      <c r="O735">
        <v>31.04</v>
      </c>
      <c r="P735">
        <v>204.59</v>
      </c>
      <c r="Q735">
        <f t="shared" si="110"/>
        <v>2024</v>
      </c>
      <c r="R735">
        <f t="shared" si="111"/>
        <v>12</v>
      </c>
      <c r="S735">
        <f t="shared" si="112"/>
        <v>2024</v>
      </c>
      <c r="T735">
        <f t="shared" si="113"/>
        <v>9</v>
      </c>
      <c r="U735" t="str">
        <f t="shared" si="114"/>
        <v>09</v>
      </c>
      <c r="V735" t="str">
        <f t="shared" si="115"/>
        <v>202409</v>
      </c>
      <c r="W735" t="str">
        <f t="shared" si="116"/>
        <v>Dec-24</v>
      </c>
      <c r="X735" s="3">
        <f t="shared" si="117"/>
        <v>-35254.589999999997</v>
      </c>
      <c r="Y735" t="str">
        <f t="shared" si="118"/>
        <v/>
      </c>
      <c r="Z735">
        <f t="shared" si="119"/>
        <v>-35254.589999999997</v>
      </c>
    </row>
    <row r="736" spans="1:26" x14ac:dyDescent="0.25">
      <c r="A736" s="1">
        <v>45642</v>
      </c>
      <c r="B736" t="s">
        <v>1014</v>
      </c>
      <c r="C736" t="s">
        <v>17</v>
      </c>
      <c r="D736" t="s">
        <v>18</v>
      </c>
      <c r="E736">
        <v>250</v>
      </c>
      <c r="F736">
        <v>0</v>
      </c>
      <c r="G736">
        <v>162.25</v>
      </c>
      <c r="H736">
        <v>40562.5</v>
      </c>
      <c r="I736" t="s">
        <v>1015</v>
      </c>
      <c r="J736">
        <v>40.56</v>
      </c>
      <c r="K736">
        <v>14.42</v>
      </c>
      <c r="L736">
        <v>0</v>
      </c>
      <c r="M736">
        <v>0.04</v>
      </c>
      <c r="N736">
        <v>200</v>
      </c>
      <c r="O736">
        <v>38.6</v>
      </c>
      <c r="P736">
        <v>293.62</v>
      </c>
      <c r="Q736">
        <f t="shared" si="110"/>
        <v>2024</v>
      </c>
      <c r="R736">
        <f t="shared" si="111"/>
        <v>12</v>
      </c>
      <c r="S736">
        <f t="shared" si="112"/>
        <v>2024</v>
      </c>
      <c r="T736">
        <f t="shared" si="113"/>
        <v>9</v>
      </c>
      <c r="U736" t="str">
        <f t="shared" si="114"/>
        <v>09</v>
      </c>
      <c r="V736" t="str">
        <f t="shared" si="115"/>
        <v>202409</v>
      </c>
      <c r="W736" t="str">
        <f t="shared" si="116"/>
        <v>Dec-24</v>
      </c>
      <c r="X736" s="3">
        <f t="shared" si="117"/>
        <v>40268.879999999997</v>
      </c>
      <c r="Y736">
        <f t="shared" si="118"/>
        <v>40268.879999999997</v>
      </c>
      <c r="Z736" t="str">
        <f t="shared" si="119"/>
        <v/>
      </c>
    </row>
    <row r="737" spans="1:26" x14ac:dyDescent="0.25">
      <c r="A737" s="1">
        <v>45642</v>
      </c>
      <c r="B737" t="s">
        <v>1014</v>
      </c>
      <c r="C737" t="s">
        <v>17</v>
      </c>
      <c r="D737" t="s">
        <v>22</v>
      </c>
      <c r="E737">
        <v>250</v>
      </c>
      <c r="F737">
        <v>0</v>
      </c>
      <c r="G737">
        <v>151.25</v>
      </c>
      <c r="H737">
        <v>37812.5</v>
      </c>
      <c r="I737" t="s">
        <v>1016</v>
      </c>
      <c r="J737">
        <v>0</v>
      </c>
      <c r="K737">
        <v>13.43</v>
      </c>
      <c r="L737">
        <v>1.1299999999999999</v>
      </c>
      <c r="M737">
        <v>0.04</v>
      </c>
      <c r="N737">
        <v>200</v>
      </c>
      <c r="O737">
        <v>38.42</v>
      </c>
      <c r="P737">
        <v>253.02</v>
      </c>
      <c r="Q737">
        <f t="shared" si="110"/>
        <v>2024</v>
      </c>
      <c r="R737">
        <f t="shared" si="111"/>
        <v>12</v>
      </c>
      <c r="S737">
        <f t="shared" si="112"/>
        <v>2024</v>
      </c>
      <c r="T737">
        <f t="shared" si="113"/>
        <v>9</v>
      </c>
      <c r="U737" t="str">
        <f t="shared" si="114"/>
        <v>09</v>
      </c>
      <c r="V737" t="str">
        <f t="shared" si="115"/>
        <v>202409</v>
      </c>
      <c r="W737" t="str">
        <f t="shared" si="116"/>
        <v>Dec-24</v>
      </c>
      <c r="X737" s="3">
        <f t="shared" si="117"/>
        <v>-38065.519999999997</v>
      </c>
      <c r="Y737" t="str">
        <f t="shared" si="118"/>
        <v/>
      </c>
      <c r="Z737">
        <f t="shared" si="119"/>
        <v>-38065.519999999997</v>
      </c>
    </row>
    <row r="738" spans="1:26" x14ac:dyDescent="0.25">
      <c r="A738" s="1">
        <v>45642</v>
      </c>
      <c r="B738" t="s">
        <v>1017</v>
      </c>
      <c r="C738" t="s">
        <v>17</v>
      </c>
      <c r="D738" t="s">
        <v>18</v>
      </c>
      <c r="E738">
        <v>250</v>
      </c>
      <c r="F738">
        <v>0</v>
      </c>
      <c r="G738">
        <v>157</v>
      </c>
      <c r="H738">
        <v>39250</v>
      </c>
      <c r="I738" t="s">
        <v>1018</v>
      </c>
      <c r="J738">
        <v>39.26</v>
      </c>
      <c r="K738">
        <v>13.94</v>
      </c>
      <c r="L738">
        <v>0</v>
      </c>
      <c r="M738">
        <v>0.04</v>
      </c>
      <c r="N738">
        <v>200</v>
      </c>
      <c r="O738">
        <v>38.520000000000003</v>
      </c>
      <c r="P738">
        <v>291.76</v>
      </c>
      <c r="Q738">
        <f t="shared" si="110"/>
        <v>2024</v>
      </c>
      <c r="R738">
        <f t="shared" si="111"/>
        <v>12</v>
      </c>
      <c r="S738">
        <f t="shared" si="112"/>
        <v>2024</v>
      </c>
      <c r="T738">
        <f t="shared" si="113"/>
        <v>9</v>
      </c>
      <c r="U738" t="str">
        <f t="shared" si="114"/>
        <v>09</v>
      </c>
      <c r="V738" t="str">
        <f t="shared" si="115"/>
        <v>202409</v>
      </c>
      <c r="W738" t="str">
        <f t="shared" si="116"/>
        <v>Dec-24</v>
      </c>
      <c r="X738" s="3">
        <f t="shared" si="117"/>
        <v>38958.239999999998</v>
      </c>
      <c r="Y738">
        <f t="shared" si="118"/>
        <v>38958.239999999998</v>
      </c>
      <c r="Z738" t="str">
        <f t="shared" si="119"/>
        <v/>
      </c>
    </row>
    <row r="739" spans="1:26" x14ac:dyDescent="0.25">
      <c r="A739" s="1">
        <v>45642</v>
      </c>
      <c r="B739" t="s">
        <v>1017</v>
      </c>
      <c r="C739" t="s">
        <v>17</v>
      </c>
      <c r="D739" t="s">
        <v>22</v>
      </c>
      <c r="E739">
        <v>250</v>
      </c>
      <c r="F739">
        <v>0</v>
      </c>
      <c r="G739">
        <v>131.25</v>
      </c>
      <c r="H739">
        <v>32812.5</v>
      </c>
      <c r="I739" t="s">
        <v>1019</v>
      </c>
      <c r="J739">
        <v>0</v>
      </c>
      <c r="K739">
        <v>11.66</v>
      </c>
      <c r="L739">
        <v>0.98</v>
      </c>
      <c r="M739">
        <v>0.03</v>
      </c>
      <c r="N739">
        <v>200</v>
      </c>
      <c r="O739">
        <v>38.119999999999997</v>
      </c>
      <c r="P739">
        <v>250.79</v>
      </c>
      <c r="Q739">
        <f t="shared" si="110"/>
        <v>2024</v>
      </c>
      <c r="R739">
        <f t="shared" si="111"/>
        <v>12</v>
      </c>
      <c r="S739">
        <f t="shared" si="112"/>
        <v>2024</v>
      </c>
      <c r="T739">
        <f t="shared" si="113"/>
        <v>9</v>
      </c>
      <c r="U739" t="str">
        <f t="shared" si="114"/>
        <v>09</v>
      </c>
      <c r="V739" t="str">
        <f t="shared" si="115"/>
        <v>202409</v>
      </c>
      <c r="W739" t="str">
        <f t="shared" si="116"/>
        <v>Dec-24</v>
      </c>
      <c r="X739" s="3">
        <f t="shared" si="117"/>
        <v>-33063.29</v>
      </c>
      <c r="Y739" t="str">
        <f t="shared" si="118"/>
        <v/>
      </c>
      <c r="Z739">
        <f t="shared" si="119"/>
        <v>-33063.29</v>
      </c>
    </row>
    <row r="740" spans="1:26" x14ac:dyDescent="0.25">
      <c r="A740" s="1">
        <v>45642</v>
      </c>
      <c r="B740" t="s">
        <v>1020</v>
      </c>
      <c r="C740" t="s">
        <v>17</v>
      </c>
      <c r="D740" t="s">
        <v>18</v>
      </c>
      <c r="E740">
        <v>1000</v>
      </c>
      <c r="F740">
        <v>0</v>
      </c>
      <c r="G740">
        <v>38.549999999999997</v>
      </c>
      <c r="H740">
        <v>38550</v>
      </c>
      <c r="I740" t="s">
        <v>1021</v>
      </c>
      <c r="J740">
        <v>38.19</v>
      </c>
      <c r="K740">
        <v>13.69</v>
      </c>
      <c r="L740">
        <v>0</v>
      </c>
      <c r="M740">
        <v>0.03</v>
      </c>
      <c r="N740">
        <v>800</v>
      </c>
      <c r="O740">
        <v>146.46</v>
      </c>
      <c r="P740">
        <v>998.37</v>
      </c>
      <c r="Q740">
        <f t="shared" si="110"/>
        <v>2024</v>
      </c>
      <c r="R740">
        <f t="shared" si="111"/>
        <v>12</v>
      </c>
      <c r="S740">
        <f t="shared" si="112"/>
        <v>2024</v>
      </c>
      <c r="T740">
        <f t="shared" si="113"/>
        <v>9</v>
      </c>
      <c r="U740" t="str">
        <f t="shared" si="114"/>
        <v>09</v>
      </c>
      <c r="V740" t="str">
        <f t="shared" si="115"/>
        <v>202409</v>
      </c>
      <c r="W740" t="str">
        <f t="shared" si="116"/>
        <v>Dec-24</v>
      </c>
      <c r="X740" s="3">
        <f t="shared" si="117"/>
        <v>37551.629999999997</v>
      </c>
      <c r="Y740">
        <f t="shared" si="118"/>
        <v>37551.629999999997</v>
      </c>
      <c r="Z740" t="str">
        <f t="shared" si="119"/>
        <v/>
      </c>
    </row>
    <row r="741" spans="1:26" x14ac:dyDescent="0.25">
      <c r="A741" s="1">
        <v>45642</v>
      </c>
      <c r="B741" t="s">
        <v>1020</v>
      </c>
      <c r="C741" t="s">
        <v>17</v>
      </c>
      <c r="D741" t="s">
        <v>22</v>
      </c>
      <c r="E741">
        <v>1000</v>
      </c>
      <c r="F741">
        <v>0</v>
      </c>
      <c r="G741">
        <v>48.05</v>
      </c>
      <c r="H741">
        <v>48050</v>
      </c>
      <c r="I741" t="s">
        <v>1022</v>
      </c>
      <c r="J741">
        <v>0</v>
      </c>
      <c r="K741">
        <v>17.07</v>
      </c>
      <c r="L741">
        <v>1.84</v>
      </c>
      <c r="M741">
        <v>0.05</v>
      </c>
      <c r="N741">
        <v>800</v>
      </c>
      <c r="O741">
        <v>147.08000000000001</v>
      </c>
      <c r="P741">
        <v>966.04</v>
      </c>
      <c r="Q741">
        <f t="shared" si="110"/>
        <v>2024</v>
      </c>
      <c r="R741">
        <f t="shared" si="111"/>
        <v>12</v>
      </c>
      <c r="S741">
        <f t="shared" si="112"/>
        <v>2024</v>
      </c>
      <c r="T741">
        <f t="shared" si="113"/>
        <v>9</v>
      </c>
      <c r="U741" t="str">
        <f t="shared" si="114"/>
        <v>09</v>
      </c>
      <c r="V741" t="str">
        <f t="shared" si="115"/>
        <v>202409</v>
      </c>
      <c r="W741" t="str">
        <f t="shared" si="116"/>
        <v>Dec-24</v>
      </c>
      <c r="X741" s="3">
        <f t="shared" si="117"/>
        <v>-49016.04</v>
      </c>
      <c r="Y741" t="str">
        <f t="shared" si="118"/>
        <v/>
      </c>
      <c r="Z741">
        <f t="shared" si="119"/>
        <v>-49016.04</v>
      </c>
    </row>
    <row r="742" spans="1:26" x14ac:dyDescent="0.25">
      <c r="A742" s="1">
        <v>45643</v>
      </c>
      <c r="B742" t="s">
        <v>1006</v>
      </c>
      <c r="C742" t="s">
        <v>17</v>
      </c>
      <c r="D742" t="s">
        <v>18</v>
      </c>
      <c r="E742">
        <v>500</v>
      </c>
      <c r="F742">
        <v>0</v>
      </c>
      <c r="G742">
        <v>70.25</v>
      </c>
      <c r="H742">
        <v>35125</v>
      </c>
      <c r="I742" t="s">
        <v>1023</v>
      </c>
      <c r="J742">
        <v>35.14</v>
      </c>
      <c r="K742">
        <v>12.46</v>
      </c>
      <c r="L742">
        <v>0</v>
      </c>
      <c r="M742">
        <v>0.02</v>
      </c>
      <c r="N742">
        <v>400</v>
      </c>
      <c r="O742">
        <v>74.28</v>
      </c>
      <c r="P742">
        <v>521.9</v>
      </c>
      <c r="Q742">
        <f t="shared" si="110"/>
        <v>2024</v>
      </c>
      <c r="R742">
        <f t="shared" si="111"/>
        <v>12</v>
      </c>
      <c r="S742">
        <f t="shared" si="112"/>
        <v>2024</v>
      </c>
      <c r="T742">
        <f t="shared" si="113"/>
        <v>9</v>
      </c>
      <c r="U742" t="str">
        <f t="shared" si="114"/>
        <v>09</v>
      </c>
      <c r="V742" t="str">
        <f t="shared" si="115"/>
        <v>202409</v>
      </c>
      <c r="W742" t="str">
        <f t="shared" si="116"/>
        <v>Dec-24</v>
      </c>
      <c r="X742" s="3">
        <f t="shared" si="117"/>
        <v>34603.1</v>
      </c>
      <c r="Y742">
        <f t="shared" si="118"/>
        <v>34603.1</v>
      </c>
      <c r="Z742" t="str">
        <f t="shared" si="119"/>
        <v/>
      </c>
    </row>
    <row r="743" spans="1:26" x14ac:dyDescent="0.25">
      <c r="A743" s="1">
        <v>45643</v>
      </c>
      <c r="B743" t="s">
        <v>1006</v>
      </c>
      <c r="C743" t="s">
        <v>17</v>
      </c>
      <c r="D743" t="s">
        <v>22</v>
      </c>
      <c r="E743">
        <v>500</v>
      </c>
      <c r="F743">
        <v>0</v>
      </c>
      <c r="G743">
        <v>99.45</v>
      </c>
      <c r="H743">
        <v>49726.25</v>
      </c>
      <c r="I743" t="s">
        <v>1024</v>
      </c>
      <c r="J743">
        <v>0</v>
      </c>
      <c r="K743">
        <v>17.670000000000002</v>
      </c>
      <c r="L743">
        <v>1.72</v>
      </c>
      <c r="M743">
        <v>0.03</v>
      </c>
      <c r="N743">
        <v>400</v>
      </c>
      <c r="O743">
        <v>75.2</v>
      </c>
      <c r="P743">
        <v>494.62</v>
      </c>
      <c r="Q743">
        <f t="shared" si="110"/>
        <v>2024</v>
      </c>
      <c r="R743">
        <f t="shared" si="111"/>
        <v>12</v>
      </c>
      <c r="S743">
        <f t="shared" si="112"/>
        <v>2024</v>
      </c>
      <c r="T743">
        <f t="shared" si="113"/>
        <v>9</v>
      </c>
      <c r="U743" t="str">
        <f t="shared" si="114"/>
        <v>09</v>
      </c>
      <c r="V743" t="str">
        <f t="shared" si="115"/>
        <v>202409</v>
      </c>
      <c r="W743" t="str">
        <f t="shared" si="116"/>
        <v>Dec-24</v>
      </c>
      <c r="X743" s="3">
        <f t="shared" si="117"/>
        <v>-50220.87</v>
      </c>
      <c r="Y743" t="str">
        <f t="shared" si="118"/>
        <v/>
      </c>
      <c r="Z743">
        <f t="shared" si="119"/>
        <v>-50220.87</v>
      </c>
    </row>
    <row r="744" spans="1:26" x14ac:dyDescent="0.25">
      <c r="A744" s="1">
        <v>45643</v>
      </c>
      <c r="B744" t="s">
        <v>1025</v>
      </c>
      <c r="C744" t="s">
        <v>17</v>
      </c>
      <c r="D744" t="s">
        <v>18</v>
      </c>
      <c r="E744">
        <v>250</v>
      </c>
      <c r="F744">
        <v>0</v>
      </c>
      <c r="G744">
        <v>155.25</v>
      </c>
      <c r="H744">
        <v>38812.5</v>
      </c>
      <c r="I744" t="s">
        <v>1026</v>
      </c>
      <c r="J744">
        <v>38.81</v>
      </c>
      <c r="K744">
        <v>13.79</v>
      </c>
      <c r="L744">
        <v>0</v>
      </c>
      <c r="M744">
        <v>0.03</v>
      </c>
      <c r="N744">
        <v>200</v>
      </c>
      <c r="O744">
        <v>38.479999999999997</v>
      </c>
      <c r="P744">
        <v>291.11</v>
      </c>
      <c r="Q744">
        <f t="shared" si="110"/>
        <v>2024</v>
      </c>
      <c r="R744">
        <f t="shared" si="111"/>
        <v>12</v>
      </c>
      <c r="S744">
        <f t="shared" si="112"/>
        <v>2024</v>
      </c>
      <c r="T744">
        <f t="shared" si="113"/>
        <v>9</v>
      </c>
      <c r="U744" t="str">
        <f t="shared" si="114"/>
        <v>09</v>
      </c>
      <c r="V744" t="str">
        <f t="shared" si="115"/>
        <v>202409</v>
      </c>
      <c r="W744" t="str">
        <f t="shared" si="116"/>
        <v>Dec-24</v>
      </c>
      <c r="X744" s="3">
        <f t="shared" si="117"/>
        <v>38521.39</v>
      </c>
      <c r="Y744">
        <f t="shared" si="118"/>
        <v>38521.39</v>
      </c>
      <c r="Z744" t="str">
        <f t="shared" si="119"/>
        <v/>
      </c>
    </row>
    <row r="745" spans="1:26" x14ac:dyDescent="0.25">
      <c r="A745" s="1">
        <v>45643</v>
      </c>
      <c r="B745" t="s">
        <v>1025</v>
      </c>
      <c r="C745" t="s">
        <v>17</v>
      </c>
      <c r="D745" t="s">
        <v>22</v>
      </c>
      <c r="E745">
        <v>50</v>
      </c>
      <c r="F745">
        <v>0</v>
      </c>
      <c r="G745">
        <v>168.2</v>
      </c>
      <c r="H745">
        <v>8410</v>
      </c>
      <c r="I745" t="s">
        <v>1027</v>
      </c>
      <c r="J745">
        <v>0</v>
      </c>
      <c r="K745">
        <v>2.98</v>
      </c>
      <c r="L745">
        <v>0</v>
      </c>
      <c r="M745">
        <v>0</v>
      </c>
      <c r="N745">
        <v>40</v>
      </c>
      <c r="O745">
        <v>7.72</v>
      </c>
      <c r="P745">
        <v>50.7</v>
      </c>
      <c r="Q745">
        <f t="shared" si="110"/>
        <v>2024</v>
      </c>
      <c r="R745">
        <f t="shared" si="111"/>
        <v>12</v>
      </c>
      <c r="S745">
        <f t="shared" si="112"/>
        <v>2024</v>
      </c>
      <c r="T745">
        <f t="shared" si="113"/>
        <v>9</v>
      </c>
      <c r="U745" t="str">
        <f t="shared" si="114"/>
        <v>09</v>
      </c>
      <c r="V745" t="str">
        <f t="shared" si="115"/>
        <v>202409</v>
      </c>
      <c r="W745" t="str">
        <f t="shared" si="116"/>
        <v>Dec-24</v>
      </c>
      <c r="X745" s="3">
        <f t="shared" si="117"/>
        <v>-8460.7000000000007</v>
      </c>
      <c r="Y745" t="str">
        <f t="shared" si="118"/>
        <v/>
      </c>
      <c r="Z745">
        <f t="shared" si="119"/>
        <v>-8460.7000000000007</v>
      </c>
    </row>
    <row r="746" spans="1:26" x14ac:dyDescent="0.25">
      <c r="A746" s="1">
        <v>45643</v>
      </c>
      <c r="B746" t="s">
        <v>1025</v>
      </c>
      <c r="C746" t="s">
        <v>17</v>
      </c>
      <c r="D746" t="s">
        <v>22</v>
      </c>
      <c r="E746">
        <v>100</v>
      </c>
      <c r="F746">
        <v>0</v>
      </c>
      <c r="G746">
        <v>169.95</v>
      </c>
      <c r="H746">
        <v>16995</v>
      </c>
      <c r="I746" t="s">
        <v>1028</v>
      </c>
      <c r="J746">
        <v>0</v>
      </c>
      <c r="K746">
        <v>6.04</v>
      </c>
      <c r="L746">
        <v>1.28</v>
      </c>
      <c r="M746">
        <v>0.02</v>
      </c>
      <c r="N746">
        <v>80</v>
      </c>
      <c r="O746">
        <v>15.5</v>
      </c>
      <c r="P746">
        <v>102.84</v>
      </c>
      <c r="Q746">
        <f t="shared" si="110"/>
        <v>2024</v>
      </c>
      <c r="R746">
        <f t="shared" si="111"/>
        <v>12</v>
      </c>
      <c r="S746">
        <f t="shared" si="112"/>
        <v>2024</v>
      </c>
      <c r="T746">
        <f t="shared" si="113"/>
        <v>9</v>
      </c>
      <c r="U746" t="str">
        <f t="shared" si="114"/>
        <v>09</v>
      </c>
      <c r="V746" t="str">
        <f t="shared" si="115"/>
        <v>202409</v>
      </c>
      <c r="W746" t="str">
        <f t="shared" si="116"/>
        <v>Dec-24</v>
      </c>
      <c r="X746" s="3">
        <f t="shared" si="117"/>
        <v>-17097.84</v>
      </c>
      <c r="Y746" t="str">
        <f t="shared" si="118"/>
        <v/>
      </c>
      <c r="Z746">
        <f t="shared" si="119"/>
        <v>-17097.84</v>
      </c>
    </row>
    <row r="747" spans="1:26" x14ac:dyDescent="0.25">
      <c r="A747" s="1">
        <v>45643</v>
      </c>
      <c r="B747" t="s">
        <v>1025</v>
      </c>
      <c r="C747" t="s">
        <v>17</v>
      </c>
      <c r="D747" t="s">
        <v>22</v>
      </c>
      <c r="E747">
        <v>100</v>
      </c>
      <c r="F747">
        <v>0</v>
      </c>
      <c r="G747">
        <v>171.25</v>
      </c>
      <c r="H747">
        <v>17125</v>
      </c>
      <c r="I747" t="s">
        <v>1029</v>
      </c>
      <c r="J747">
        <v>0</v>
      </c>
      <c r="K747">
        <v>6.08</v>
      </c>
      <c r="L747">
        <v>0</v>
      </c>
      <c r="M747">
        <v>0.02</v>
      </c>
      <c r="N747">
        <v>80</v>
      </c>
      <c r="O747">
        <v>15.5</v>
      </c>
      <c r="P747">
        <v>101.6</v>
      </c>
      <c r="Q747">
        <f t="shared" si="110"/>
        <v>2024</v>
      </c>
      <c r="R747">
        <f t="shared" si="111"/>
        <v>12</v>
      </c>
      <c r="S747">
        <f t="shared" si="112"/>
        <v>2024</v>
      </c>
      <c r="T747">
        <f t="shared" si="113"/>
        <v>9</v>
      </c>
      <c r="U747" t="str">
        <f t="shared" si="114"/>
        <v>09</v>
      </c>
      <c r="V747" t="str">
        <f t="shared" si="115"/>
        <v>202409</v>
      </c>
      <c r="W747" t="str">
        <f t="shared" si="116"/>
        <v>Dec-24</v>
      </c>
      <c r="X747" s="3">
        <f t="shared" si="117"/>
        <v>-17226.599999999999</v>
      </c>
      <c r="Y747" t="str">
        <f t="shared" si="118"/>
        <v/>
      </c>
      <c r="Z747">
        <f t="shared" si="119"/>
        <v>-17226.599999999999</v>
      </c>
    </row>
    <row r="748" spans="1:26" x14ac:dyDescent="0.25">
      <c r="A748" s="1">
        <v>45643</v>
      </c>
      <c r="B748" t="s">
        <v>1012</v>
      </c>
      <c r="C748" t="s">
        <v>17</v>
      </c>
      <c r="D748" t="s">
        <v>18</v>
      </c>
      <c r="E748">
        <v>200</v>
      </c>
      <c r="F748">
        <v>0</v>
      </c>
      <c r="G748">
        <v>205.05</v>
      </c>
      <c r="H748">
        <v>41010</v>
      </c>
      <c r="I748" t="s">
        <v>1030</v>
      </c>
      <c r="J748">
        <v>41.06</v>
      </c>
      <c r="K748">
        <v>14.57</v>
      </c>
      <c r="L748">
        <v>0</v>
      </c>
      <c r="M748">
        <v>0.04</v>
      </c>
      <c r="N748">
        <v>160</v>
      </c>
      <c r="O748">
        <v>31.42</v>
      </c>
      <c r="P748">
        <v>247.09</v>
      </c>
      <c r="Q748">
        <f t="shared" si="110"/>
        <v>2024</v>
      </c>
      <c r="R748">
        <f t="shared" si="111"/>
        <v>12</v>
      </c>
      <c r="S748">
        <f t="shared" si="112"/>
        <v>2024</v>
      </c>
      <c r="T748">
        <f t="shared" si="113"/>
        <v>9</v>
      </c>
      <c r="U748" t="str">
        <f t="shared" si="114"/>
        <v>09</v>
      </c>
      <c r="V748" t="str">
        <f t="shared" si="115"/>
        <v>202409</v>
      </c>
      <c r="W748" t="str">
        <f t="shared" si="116"/>
        <v>Dec-24</v>
      </c>
      <c r="X748" s="3">
        <f t="shared" si="117"/>
        <v>40762.910000000003</v>
      </c>
      <c r="Y748">
        <f t="shared" si="118"/>
        <v>40762.910000000003</v>
      </c>
      <c r="Z748" t="str">
        <f t="shared" si="119"/>
        <v/>
      </c>
    </row>
    <row r="749" spans="1:26" x14ac:dyDescent="0.25">
      <c r="A749" s="1">
        <v>45644</v>
      </c>
      <c r="B749" t="s">
        <v>1031</v>
      </c>
      <c r="C749" t="s">
        <v>17</v>
      </c>
      <c r="D749" t="s">
        <v>22</v>
      </c>
      <c r="E749">
        <v>500</v>
      </c>
      <c r="F749">
        <v>0</v>
      </c>
      <c r="G749">
        <v>75</v>
      </c>
      <c r="H749">
        <v>37500</v>
      </c>
      <c r="I749" t="s">
        <v>1032</v>
      </c>
      <c r="J749">
        <v>0</v>
      </c>
      <c r="K749">
        <v>13.32</v>
      </c>
      <c r="L749">
        <v>1.39</v>
      </c>
      <c r="M749">
        <v>0.04</v>
      </c>
      <c r="N749">
        <v>400</v>
      </c>
      <c r="O749">
        <v>74.400000000000006</v>
      </c>
      <c r="P749">
        <v>489.15</v>
      </c>
      <c r="Q749">
        <f t="shared" si="110"/>
        <v>2024</v>
      </c>
      <c r="R749">
        <f t="shared" si="111"/>
        <v>12</v>
      </c>
      <c r="S749">
        <f t="shared" si="112"/>
        <v>2024</v>
      </c>
      <c r="T749">
        <f t="shared" si="113"/>
        <v>9</v>
      </c>
      <c r="U749" t="str">
        <f t="shared" si="114"/>
        <v>09</v>
      </c>
      <c r="V749" t="str">
        <f t="shared" si="115"/>
        <v>202409</v>
      </c>
      <c r="W749" t="str">
        <f t="shared" si="116"/>
        <v>Dec-24</v>
      </c>
      <c r="X749" s="3">
        <f t="shared" si="117"/>
        <v>-37989.15</v>
      </c>
      <c r="Y749" t="str">
        <f t="shared" si="118"/>
        <v/>
      </c>
      <c r="Z749">
        <f t="shared" si="119"/>
        <v>-37989.15</v>
      </c>
    </row>
    <row r="750" spans="1:26" x14ac:dyDescent="0.25">
      <c r="A750" s="1">
        <v>45644</v>
      </c>
      <c r="B750" t="s">
        <v>1031</v>
      </c>
      <c r="C750" t="s">
        <v>17</v>
      </c>
      <c r="D750" t="s">
        <v>22</v>
      </c>
      <c r="E750">
        <v>25</v>
      </c>
      <c r="F750">
        <v>0</v>
      </c>
      <c r="G750">
        <v>71</v>
      </c>
      <c r="H750">
        <v>1775</v>
      </c>
      <c r="I750" t="s">
        <v>1033</v>
      </c>
      <c r="J750">
        <v>0</v>
      </c>
      <c r="K750">
        <v>0.63</v>
      </c>
      <c r="L750">
        <v>0</v>
      </c>
      <c r="M750">
        <v>0</v>
      </c>
      <c r="N750">
        <v>20</v>
      </c>
      <c r="O750">
        <v>3.72</v>
      </c>
      <c r="P750">
        <v>24.35</v>
      </c>
      <c r="Q750">
        <f t="shared" si="110"/>
        <v>2024</v>
      </c>
      <c r="R750">
        <f t="shared" si="111"/>
        <v>12</v>
      </c>
      <c r="S750">
        <f t="shared" si="112"/>
        <v>2024</v>
      </c>
      <c r="T750">
        <f t="shared" si="113"/>
        <v>9</v>
      </c>
      <c r="U750" t="str">
        <f t="shared" si="114"/>
        <v>09</v>
      </c>
      <c r="V750" t="str">
        <f t="shared" si="115"/>
        <v>202409</v>
      </c>
      <c r="W750" t="str">
        <f t="shared" si="116"/>
        <v>Dec-24</v>
      </c>
      <c r="X750" s="3">
        <f t="shared" si="117"/>
        <v>-1799.35</v>
      </c>
      <c r="Y750" t="str">
        <f t="shared" si="118"/>
        <v/>
      </c>
      <c r="Z750">
        <f t="shared" si="119"/>
        <v>-1799.35</v>
      </c>
    </row>
    <row r="751" spans="1:26" x14ac:dyDescent="0.25">
      <c r="A751" s="1">
        <v>45644</v>
      </c>
      <c r="B751" t="s">
        <v>1034</v>
      </c>
      <c r="C751" t="s">
        <v>17</v>
      </c>
      <c r="D751" t="s">
        <v>18</v>
      </c>
      <c r="E751">
        <v>300</v>
      </c>
      <c r="F751">
        <v>0</v>
      </c>
      <c r="G751">
        <v>76</v>
      </c>
      <c r="H751">
        <v>22800</v>
      </c>
      <c r="I751" t="s">
        <v>1035</v>
      </c>
      <c r="J751">
        <v>23.18</v>
      </c>
      <c r="K751">
        <v>8.1</v>
      </c>
      <c r="L751">
        <v>0</v>
      </c>
      <c r="M751">
        <v>0.03</v>
      </c>
      <c r="N751">
        <v>240</v>
      </c>
      <c r="O751">
        <v>44.66</v>
      </c>
      <c r="P751">
        <v>315.97000000000003</v>
      </c>
      <c r="Q751">
        <f t="shared" si="110"/>
        <v>2024</v>
      </c>
      <c r="R751">
        <f t="shared" si="111"/>
        <v>12</v>
      </c>
      <c r="S751">
        <f t="shared" si="112"/>
        <v>2024</v>
      </c>
      <c r="T751">
        <f t="shared" si="113"/>
        <v>9</v>
      </c>
      <c r="U751" t="str">
        <f t="shared" si="114"/>
        <v>09</v>
      </c>
      <c r="V751" t="str">
        <f t="shared" si="115"/>
        <v>202409</v>
      </c>
      <c r="W751" t="str">
        <f t="shared" si="116"/>
        <v>Dec-24</v>
      </c>
      <c r="X751" s="3">
        <f t="shared" si="117"/>
        <v>22484.03</v>
      </c>
      <c r="Y751">
        <f t="shared" si="118"/>
        <v>22484.03</v>
      </c>
      <c r="Z751" t="str">
        <f t="shared" si="119"/>
        <v/>
      </c>
    </row>
    <row r="752" spans="1:26" x14ac:dyDescent="0.25">
      <c r="A752" s="1">
        <v>45644</v>
      </c>
      <c r="B752" t="s">
        <v>1034</v>
      </c>
      <c r="C752" t="s">
        <v>17</v>
      </c>
      <c r="D752" t="s">
        <v>22</v>
      </c>
      <c r="E752">
        <v>100</v>
      </c>
      <c r="F752">
        <v>0</v>
      </c>
      <c r="G752">
        <v>95</v>
      </c>
      <c r="H752">
        <v>9500</v>
      </c>
      <c r="I752" t="s">
        <v>1036</v>
      </c>
      <c r="J752">
        <v>0</v>
      </c>
      <c r="K752">
        <v>3.38</v>
      </c>
      <c r="L752">
        <v>0.91</v>
      </c>
      <c r="M752">
        <v>0.01</v>
      </c>
      <c r="N752">
        <v>80</v>
      </c>
      <c r="O752">
        <v>15.02</v>
      </c>
      <c r="P752">
        <v>99.32</v>
      </c>
      <c r="Q752">
        <f t="shared" si="110"/>
        <v>2024</v>
      </c>
      <c r="R752">
        <f t="shared" si="111"/>
        <v>12</v>
      </c>
      <c r="S752">
        <f t="shared" si="112"/>
        <v>2024</v>
      </c>
      <c r="T752">
        <f t="shared" si="113"/>
        <v>9</v>
      </c>
      <c r="U752" t="str">
        <f t="shared" si="114"/>
        <v>09</v>
      </c>
      <c r="V752" t="str">
        <f t="shared" si="115"/>
        <v>202409</v>
      </c>
      <c r="W752" t="str">
        <f t="shared" si="116"/>
        <v>Dec-24</v>
      </c>
      <c r="X752" s="3">
        <f t="shared" si="117"/>
        <v>-9599.32</v>
      </c>
      <c r="Y752" t="str">
        <f t="shared" si="118"/>
        <v/>
      </c>
      <c r="Z752">
        <f t="shared" si="119"/>
        <v>-9599.32</v>
      </c>
    </row>
    <row r="753" spans="1:26" x14ac:dyDescent="0.25">
      <c r="A753" s="1">
        <v>45644</v>
      </c>
      <c r="B753" t="s">
        <v>1034</v>
      </c>
      <c r="C753" t="s">
        <v>17</v>
      </c>
      <c r="D753" t="s">
        <v>22</v>
      </c>
      <c r="E753">
        <v>100</v>
      </c>
      <c r="F753">
        <v>0</v>
      </c>
      <c r="G753">
        <v>99.3</v>
      </c>
      <c r="H753">
        <v>9930</v>
      </c>
      <c r="I753" t="s">
        <v>1037</v>
      </c>
      <c r="J753">
        <v>0</v>
      </c>
      <c r="K753">
        <v>3.53</v>
      </c>
      <c r="L753">
        <v>0</v>
      </c>
      <c r="M753">
        <v>0.01</v>
      </c>
      <c r="N753">
        <v>80</v>
      </c>
      <c r="O753">
        <v>15.04</v>
      </c>
      <c r="P753">
        <v>98.58</v>
      </c>
      <c r="Q753">
        <f t="shared" si="110"/>
        <v>2024</v>
      </c>
      <c r="R753">
        <f t="shared" si="111"/>
        <v>12</v>
      </c>
      <c r="S753">
        <f t="shared" si="112"/>
        <v>2024</v>
      </c>
      <c r="T753">
        <f t="shared" si="113"/>
        <v>9</v>
      </c>
      <c r="U753" t="str">
        <f t="shared" si="114"/>
        <v>09</v>
      </c>
      <c r="V753" t="str">
        <f t="shared" si="115"/>
        <v>202409</v>
      </c>
      <c r="W753" t="str">
        <f t="shared" si="116"/>
        <v>Dec-24</v>
      </c>
      <c r="X753" s="3">
        <f t="shared" si="117"/>
        <v>-10028.58</v>
      </c>
      <c r="Y753" t="str">
        <f t="shared" si="118"/>
        <v/>
      </c>
      <c r="Z753">
        <f t="shared" si="119"/>
        <v>-10028.58</v>
      </c>
    </row>
    <row r="754" spans="1:26" x14ac:dyDescent="0.25">
      <c r="A754" s="1">
        <v>45644</v>
      </c>
      <c r="B754" t="s">
        <v>1034</v>
      </c>
      <c r="C754" t="s">
        <v>17</v>
      </c>
      <c r="D754" t="s">
        <v>22</v>
      </c>
      <c r="E754">
        <v>100</v>
      </c>
      <c r="F754">
        <v>0</v>
      </c>
      <c r="G754">
        <v>108.66</v>
      </c>
      <c r="H754">
        <v>10866.25</v>
      </c>
      <c r="I754" t="s">
        <v>1038</v>
      </c>
      <c r="J754">
        <v>0</v>
      </c>
      <c r="K754">
        <v>3.87</v>
      </c>
      <c r="L754">
        <v>0</v>
      </c>
      <c r="M754">
        <v>0.01</v>
      </c>
      <c r="N754">
        <v>80</v>
      </c>
      <c r="O754">
        <v>15.1</v>
      </c>
      <c r="P754">
        <v>98.98</v>
      </c>
      <c r="Q754">
        <f t="shared" si="110"/>
        <v>2024</v>
      </c>
      <c r="R754">
        <f t="shared" si="111"/>
        <v>12</v>
      </c>
      <c r="S754">
        <f t="shared" si="112"/>
        <v>2024</v>
      </c>
      <c r="T754">
        <f t="shared" si="113"/>
        <v>9</v>
      </c>
      <c r="U754" t="str">
        <f t="shared" si="114"/>
        <v>09</v>
      </c>
      <c r="V754" t="str">
        <f t="shared" si="115"/>
        <v>202409</v>
      </c>
      <c r="W754" t="str">
        <f t="shared" si="116"/>
        <v>Dec-24</v>
      </c>
      <c r="X754" s="3">
        <f t="shared" si="117"/>
        <v>-10965.23</v>
      </c>
      <c r="Y754" t="str">
        <f t="shared" si="118"/>
        <v/>
      </c>
      <c r="Z754">
        <f t="shared" si="119"/>
        <v>-10965.23</v>
      </c>
    </row>
    <row r="755" spans="1:26" x14ac:dyDescent="0.25">
      <c r="A755" s="1">
        <v>45644</v>
      </c>
      <c r="B755" t="s">
        <v>1039</v>
      </c>
      <c r="C755" t="s">
        <v>17</v>
      </c>
      <c r="D755" t="s">
        <v>18</v>
      </c>
      <c r="E755">
        <v>2100</v>
      </c>
      <c r="F755">
        <v>0</v>
      </c>
      <c r="G755">
        <v>13.25</v>
      </c>
      <c r="H755">
        <v>27825</v>
      </c>
      <c r="I755" t="s">
        <v>1040</v>
      </c>
      <c r="J755">
        <v>27.83</v>
      </c>
      <c r="K755">
        <v>9.89</v>
      </c>
      <c r="L755">
        <v>0</v>
      </c>
      <c r="M755">
        <v>0.03</v>
      </c>
      <c r="N755">
        <v>60</v>
      </c>
      <c r="O755">
        <v>12.58</v>
      </c>
      <c r="P755">
        <v>110.33</v>
      </c>
      <c r="Q755">
        <f t="shared" si="110"/>
        <v>2024</v>
      </c>
      <c r="R755">
        <f t="shared" si="111"/>
        <v>12</v>
      </c>
      <c r="S755">
        <f t="shared" si="112"/>
        <v>2024</v>
      </c>
      <c r="T755">
        <f t="shared" si="113"/>
        <v>9</v>
      </c>
      <c r="U755" t="str">
        <f t="shared" si="114"/>
        <v>09</v>
      </c>
      <c r="V755" t="str">
        <f t="shared" si="115"/>
        <v>202409</v>
      </c>
      <c r="W755" t="str">
        <f t="shared" si="116"/>
        <v>Dec-24</v>
      </c>
      <c r="X755" s="3">
        <f t="shared" si="117"/>
        <v>27714.67</v>
      </c>
      <c r="Y755">
        <f t="shared" si="118"/>
        <v>27714.67</v>
      </c>
      <c r="Z755" t="str">
        <f t="shared" si="119"/>
        <v/>
      </c>
    </row>
    <row r="756" spans="1:26" x14ac:dyDescent="0.25">
      <c r="A756" s="1">
        <v>45644</v>
      </c>
      <c r="B756" t="s">
        <v>1039</v>
      </c>
      <c r="C756" t="s">
        <v>17</v>
      </c>
      <c r="D756" t="s">
        <v>22</v>
      </c>
      <c r="E756">
        <v>2100</v>
      </c>
      <c r="F756">
        <v>0</v>
      </c>
      <c r="G756">
        <v>11.05</v>
      </c>
      <c r="H756">
        <v>23205</v>
      </c>
      <c r="I756" t="s">
        <v>1041</v>
      </c>
      <c r="J756">
        <v>0</v>
      </c>
      <c r="K756">
        <v>8.25</v>
      </c>
      <c r="L756">
        <v>0.7</v>
      </c>
      <c r="M756">
        <v>0.03</v>
      </c>
      <c r="N756">
        <v>60</v>
      </c>
      <c r="O756">
        <v>12.3</v>
      </c>
      <c r="P756">
        <v>81.28</v>
      </c>
      <c r="Q756">
        <f t="shared" si="110"/>
        <v>2024</v>
      </c>
      <c r="R756">
        <f t="shared" si="111"/>
        <v>12</v>
      </c>
      <c r="S756">
        <f t="shared" si="112"/>
        <v>2024</v>
      </c>
      <c r="T756">
        <f t="shared" si="113"/>
        <v>9</v>
      </c>
      <c r="U756" t="str">
        <f t="shared" si="114"/>
        <v>09</v>
      </c>
      <c r="V756" t="str">
        <f t="shared" si="115"/>
        <v>202409</v>
      </c>
      <c r="W756" t="str">
        <f t="shared" si="116"/>
        <v>Dec-24</v>
      </c>
      <c r="X756" s="3">
        <f t="shared" si="117"/>
        <v>-23286.28</v>
      </c>
      <c r="Y756" t="str">
        <f t="shared" si="118"/>
        <v/>
      </c>
      <c r="Z756">
        <f t="shared" si="119"/>
        <v>-23286.28</v>
      </c>
    </row>
    <row r="757" spans="1:26" x14ac:dyDescent="0.25">
      <c r="A757" s="1">
        <v>45645</v>
      </c>
      <c r="B757" t="s">
        <v>1042</v>
      </c>
      <c r="C757" t="s">
        <v>17</v>
      </c>
      <c r="D757" t="s">
        <v>18</v>
      </c>
      <c r="E757">
        <v>2100</v>
      </c>
      <c r="F757">
        <v>0</v>
      </c>
      <c r="G757">
        <v>16.25</v>
      </c>
      <c r="H757">
        <v>34125</v>
      </c>
      <c r="I757" t="s">
        <v>1043</v>
      </c>
      <c r="J757">
        <v>34.14</v>
      </c>
      <c r="K757">
        <v>12.12</v>
      </c>
      <c r="L757">
        <v>0</v>
      </c>
      <c r="M757">
        <v>0.03</v>
      </c>
      <c r="N757">
        <v>60</v>
      </c>
      <c r="O757">
        <v>12.96</v>
      </c>
      <c r="P757">
        <v>119.25</v>
      </c>
      <c r="Q757">
        <f t="shared" si="110"/>
        <v>2024</v>
      </c>
      <c r="R757">
        <f t="shared" si="111"/>
        <v>12</v>
      </c>
      <c r="S757">
        <f t="shared" si="112"/>
        <v>2024</v>
      </c>
      <c r="T757">
        <f t="shared" si="113"/>
        <v>9</v>
      </c>
      <c r="U757" t="str">
        <f t="shared" si="114"/>
        <v>09</v>
      </c>
      <c r="V757" t="str">
        <f t="shared" si="115"/>
        <v>202409</v>
      </c>
      <c r="W757" t="str">
        <f t="shared" si="116"/>
        <v>Dec-24</v>
      </c>
      <c r="X757" s="3">
        <f t="shared" si="117"/>
        <v>34005.75</v>
      </c>
      <c r="Y757">
        <f t="shared" si="118"/>
        <v>34005.75</v>
      </c>
      <c r="Z757" t="str">
        <f t="shared" si="119"/>
        <v/>
      </c>
    </row>
    <row r="758" spans="1:26" x14ac:dyDescent="0.25">
      <c r="A758" s="1">
        <v>45645</v>
      </c>
      <c r="B758" t="s">
        <v>1042</v>
      </c>
      <c r="C758" t="s">
        <v>17</v>
      </c>
      <c r="D758" t="s">
        <v>22</v>
      </c>
      <c r="E758">
        <v>1400</v>
      </c>
      <c r="F758">
        <v>0</v>
      </c>
      <c r="G758">
        <v>14.7</v>
      </c>
      <c r="H758">
        <v>20580</v>
      </c>
      <c r="I758" t="s">
        <v>1044</v>
      </c>
      <c r="J758">
        <v>0</v>
      </c>
      <c r="K758">
        <v>7.31</v>
      </c>
      <c r="L758">
        <v>0.92</v>
      </c>
      <c r="M758">
        <v>0.02</v>
      </c>
      <c r="N758">
        <v>40</v>
      </c>
      <c r="O758">
        <v>8.52</v>
      </c>
      <c r="P758">
        <v>56.77</v>
      </c>
      <c r="Q758">
        <f t="shared" si="110"/>
        <v>2024</v>
      </c>
      <c r="R758">
        <f t="shared" si="111"/>
        <v>12</v>
      </c>
      <c r="S758">
        <f t="shared" si="112"/>
        <v>2024</v>
      </c>
      <c r="T758">
        <f t="shared" si="113"/>
        <v>9</v>
      </c>
      <c r="U758" t="str">
        <f t="shared" si="114"/>
        <v>09</v>
      </c>
      <c r="V758" t="str">
        <f t="shared" si="115"/>
        <v>202409</v>
      </c>
      <c r="W758" t="str">
        <f t="shared" si="116"/>
        <v>Dec-24</v>
      </c>
      <c r="X758" s="3">
        <f t="shared" si="117"/>
        <v>-20636.77</v>
      </c>
      <c r="Y758" t="str">
        <f t="shared" si="118"/>
        <v/>
      </c>
      <c r="Z758">
        <f t="shared" si="119"/>
        <v>-20636.77</v>
      </c>
    </row>
    <row r="759" spans="1:26" x14ac:dyDescent="0.25">
      <c r="A759" s="1">
        <v>45645</v>
      </c>
      <c r="B759" t="s">
        <v>1042</v>
      </c>
      <c r="C759" t="s">
        <v>17</v>
      </c>
      <c r="D759" t="s">
        <v>22</v>
      </c>
      <c r="E759">
        <v>700</v>
      </c>
      <c r="F759">
        <v>0</v>
      </c>
      <c r="G759">
        <v>14.25</v>
      </c>
      <c r="H759">
        <v>9975</v>
      </c>
      <c r="I759" t="s">
        <v>1045</v>
      </c>
      <c r="J759">
        <v>0</v>
      </c>
      <c r="K759">
        <v>3.54</v>
      </c>
      <c r="L759">
        <v>0</v>
      </c>
      <c r="M759">
        <v>0.01</v>
      </c>
      <c r="N759">
        <v>20</v>
      </c>
      <c r="O759">
        <v>4.24</v>
      </c>
      <c r="P759">
        <v>27.79</v>
      </c>
      <c r="Q759">
        <f t="shared" si="110"/>
        <v>2024</v>
      </c>
      <c r="R759">
        <f t="shared" si="111"/>
        <v>12</v>
      </c>
      <c r="S759">
        <f t="shared" si="112"/>
        <v>2024</v>
      </c>
      <c r="T759">
        <f t="shared" si="113"/>
        <v>9</v>
      </c>
      <c r="U759" t="str">
        <f t="shared" si="114"/>
        <v>09</v>
      </c>
      <c r="V759" t="str">
        <f t="shared" si="115"/>
        <v>202409</v>
      </c>
      <c r="W759" t="str">
        <f t="shared" si="116"/>
        <v>Dec-24</v>
      </c>
      <c r="X759" s="3">
        <f t="shared" si="117"/>
        <v>-10002.790000000001</v>
      </c>
      <c r="Y759" t="str">
        <f t="shared" si="118"/>
        <v/>
      </c>
      <c r="Z759">
        <f t="shared" si="119"/>
        <v>-10002.790000000001</v>
      </c>
    </row>
    <row r="760" spans="1:26" x14ac:dyDescent="0.25">
      <c r="A760" s="1">
        <v>45645</v>
      </c>
      <c r="B760" t="s">
        <v>1046</v>
      </c>
      <c r="C760" t="s">
        <v>17</v>
      </c>
      <c r="D760" t="s">
        <v>18</v>
      </c>
      <c r="E760">
        <v>600</v>
      </c>
      <c r="F760">
        <v>0</v>
      </c>
      <c r="G760">
        <v>105.25</v>
      </c>
      <c r="H760">
        <v>63150</v>
      </c>
      <c r="I760" t="s">
        <v>1047</v>
      </c>
      <c r="J760">
        <v>63.16</v>
      </c>
      <c r="K760">
        <v>22.44</v>
      </c>
      <c r="L760">
        <v>0</v>
      </c>
      <c r="M760">
        <v>0.06</v>
      </c>
      <c r="N760">
        <v>80</v>
      </c>
      <c r="O760">
        <v>18.440000000000001</v>
      </c>
      <c r="P760">
        <v>184.1</v>
      </c>
      <c r="Q760">
        <f t="shared" si="110"/>
        <v>2024</v>
      </c>
      <c r="R760">
        <f t="shared" si="111"/>
        <v>12</v>
      </c>
      <c r="S760">
        <f t="shared" si="112"/>
        <v>2024</v>
      </c>
      <c r="T760">
        <f t="shared" si="113"/>
        <v>9</v>
      </c>
      <c r="U760" t="str">
        <f t="shared" si="114"/>
        <v>09</v>
      </c>
      <c r="V760" t="str">
        <f t="shared" si="115"/>
        <v>202409</v>
      </c>
      <c r="W760" t="str">
        <f t="shared" si="116"/>
        <v>Dec-24</v>
      </c>
      <c r="X760" s="3">
        <f t="shared" si="117"/>
        <v>62965.9</v>
      </c>
      <c r="Y760">
        <f t="shared" si="118"/>
        <v>62965.9</v>
      </c>
      <c r="Z760" t="str">
        <f t="shared" si="119"/>
        <v/>
      </c>
    </row>
    <row r="761" spans="1:26" x14ac:dyDescent="0.25">
      <c r="A761" s="1">
        <v>45645</v>
      </c>
      <c r="B761" t="s">
        <v>1046</v>
      </c>
      <c r="C761" t="s">
        <v>17</v>
      </c>
      <c r="D761" t="s">
        <v>22</v>
      </c>
      <c r="E761">
        <v>600</v>
      </c>
      <c r="F761">
        <v>0</v>
      </c>
      <c r="G761">
        <v>99.7</v>
      </c>
      <c r="H761">
        <v>59820</v>
      </c>
      <c r="I761" t="s">
        <v>1048</v>
      </c>
      <c r="J761">
        <v>0</v>
      </c>
      <c r="K761">
        <v>21.25</v>
      </c>
      <c r="L761">
        <v>2.08</v>
      </c>
      <c r="M761">
        <v>0.06</v>
      </c>
      <c r="N761">
        <v>80</v>
      </c>
      <c r="O761">
        <v>18.239999999999998</v>
      </c>
      <c r="P761">
        <v>121.63</v>
      </c>
      <c r="Q761">
        <f t="shared" si="110"/>
        <v>2024</v>
      </c>
      <c r="R761">
        <f t="shared" si="111"/>
        <v>12</v>
      </c>
      <c r="S761">
        <f t="shared" si="112"/>
        <v>2024</v>
      </c>
      <c r="T761">
        <f t="shared" si="113"/>
        <v>9</v>
      </c>
      <c r="U761" t="str">
        <f t="shared" si="114"/>
        <v>09</v>
      </c>
      <c r="V761" t="str">
        <f t="shared" si="115"/>
        <v>202409</v>
      </c>
      <c r="W761" t="str">
        <f t="shared" si="116"/>
        <v>Dec-24</v>
      </c>
      <c r="X761" s="3">
        <f t="shared" si="117"/>
        <v>-59941.63</v>
      </c>
      <c r="Y761" t="str">
        <f t="shared" si="118"/>
        <v/>
      </c>
      <c r="Z761">
        <f t="shared" si="119"/>
        <v>-59941.63</v>
      </c>
    </row>
    <row r="762" spans="1:26" x14ac:dyDescent="0.25">
      <c r="A762" s="1">
        <v>45645</v>
      </c>
      <c r="B762" t="s">
        <v>1031</v>
      </c>
      <c r="C762" t="s">
        <v>17</v>
      </c>
      <c r="D762" t="s">
        <v>18</v>
      </c>
      <c r="E762">
        <v>525</v>
      </c>
      <c r="F762">
        <v>0</v>
      </c>
      <c r="G762">
        <v>169.18</v>
      </c>
      <c r="H762">
        <v>88820</v>
      </c>
      <c r="I762" t="s">
        <v>1049</v>
      </c>
      <c r="J762">
        <v>88.72</v>
      </c>
      <c r="K762">
        <v>31.55</v>
      </c>
      <c r="L762">
        <v>0</v>
      </c>
      <c r="M762">
        <v>0.09</v>
      </c>
      <c r="N762">
        <v>420</v>
      </c>
      <c r="O762">
        <v>81.3</v>
      </c>
      <c r="P762">
        <v>621.66</v>
      </c>
      <c r="Q762">
        <f t="shared" si="110"/>
        <v>2024</v>
      </c>
      <c r="R762">
        <f t="shared" si="111"/>
        <v>12</v>
      </c>
      <c r="S762">
        <f t="shared" si="112"/>
        <v>2024</v>
      </c>
      <c r="T762">
        <f t="shared" si="113"/>
        <v>9</v>
      </c>
      <c r="U762" t="str">
        <f t="shared" si="114"/>
        <v>09</v>
      </c>
      <c r="V762" t="str">
        <f t="shared" si="115"/>
        <v>202409</v>
      </c>
      <c r="W762" t="str">
        <f t="shared" si="116"/>
        <v>Dec-24</v>
      </c>
      <c r="X762" s="3">
        <f t="shared" si="117"/>
        <v>88198.34</v>
      </c>
      <c r="Y762">
        <f t="shared" si="118"/>
        <v>88198.34</v>
      </c>
      <c r="Z762" t="str">
        <f t="shared" si="119"/>
        <v/>
      </c>
    </row>
    <row r="763" spans="1:26" x14ac:dyDescent="0.25">
      <c r="A763" s="1">
        <v>45646</v>
      </c>
      <c r="B763" t="s">
        <v>1050</v>
      </c>
      <c r="C763" t="s">
        <v>17</v>
      </c>
      <c r="D763" t="s">
        <v>22</v>
      </c>
      <c r="E763">
        <v>100</v>
      </c>
      <c r="F763">
        <v>0</v>
      </c>
      <c r="G763">
        <v>105</v>
      </c>
      <c r="H763">
        <v>10500</v>
      </c>
      <c r="I763" t="s">
        <v>1051</v>
      </c>
      <c r="J763">
        <v>0</v>
      </c>
      <c r="K763">
        <v>3.73</v>
      </c>
      <c r="L763">
        <v>0</v>
      </c>
      <c r="M763">
        <v>0.01</v>
      </c>
      <c r="N763">
        <v>80</v>
      </c>
      <c r="O763">
        <v>15.08</v>
      </c>
      <c r="P763">
        <v>98.82</v>
      </c>
      <c r="Q763">
        <f t="shared" si="110"/>
        <v>2024</v>
      </c>
      <c r="R763">
        <f t="shared" si="111"/>
        <v>12</v>
      </c>
      <c r="S763">
        <f t="shared" si="112"/>
        <v>2024</v>
      </c>
      <c r="T763">
        <f t="shared" si="113"/>
        <v>9</v>
      </c>
      <c r="U763" t="str">
        <f t="shared" si="114"/>
        <v>09</v>
      </c>
      <c r="V763" t="str">
        <f t="shared" si="115"/>
        <v>202409</v>
      </c>
      <c r="W763" t="str">
        <f t="shared" si="116"/>
        <v>Dec-24</v>
      </c>
      <c r="X763" s="3">
        <f t="shared" si="117"/>
        <v>-10598.82</v>
      </c>
      <c r="Y763" t="str">
        <f t="shared" si="118"/>
        <v/>
      </c>
      <c r="Z763">
        <f t="shared" si="119"/>
        <v>-10598.82</v>
      </c>
    </row>
    <row r="764" spans="1:26" x14ac:dyDescent="0.25">
      <c r="A764" s="1">
        <v>45646</v>
      </c>
      <c r="B764" t="s">
        <v>1050</v>
      </c>
      <c r="C764" t="s">
        <v>17</v>
      </c>
      <c r="D764" t="s">
        <v>22</v>
      </c>
      <c r="E764">
        <v>200</v>
      </c>
      <c r="F764">
        <v>0</v>
      </c>
      <c r="G764">
        <v>141.25</v>
      </c>
      <c r="H764">
        <v>28250</v>
      </c>
      <c r="I764" t="s">
        <v>1052</v>
      </c>
      <c r="J764">
        <v>0</v>
      </c>
      <c r="K764">
        <v>10.039999999999999</v>
      </c>
      <c r="L764">
        <v>2</v>
      </c>
      <c r="M764">
        <v>0.03</v>
      </c>
      <c r="N764">
        <v>160</v>
      </c>
      <c r="O764">
        <v>30.62</v>
      </c>
      <c r="P764">
        <v>202.69</v>
      </c>
      <c r="Q764">
        <f t="shared" si="110"/>
        <v>2024</v>
      </c>
      <c r="R764">
        <f t="shared" si="111"/>
        <v>12</v>
      </c>
      <c r="S764">
        <f t="shared" si="112"/>
        <v>2024</v>
      </c>
      <c r="T764">
        <f t="shared" si="113"/>
        <v>9</v>
      </c>
      <c r="U764" t="str">
        <f t="shared" si="114"/>
        <v>09</v>
      </c>
      <c r="V764" t="str">
        <f t="shared" si="115"/>
        <v>202409</v>
      </c>
      <c r="W764" t="str">
        <f t="shared" si="116"/>
        <v>Dec-24</v>
      </c>
      <c r="X764" s="3">
        <f t="shared" si="117"/>
        <v>-28452.69</v>
      </c>
      <c r="Y764" t="str">
        <f t="shared" si="118"/>
        <v/>
      </c>
      <c r="Z764">
        <f t="shared" si="119"/>
        <v>-28452.69</v>
      </c>
    </row>
    <row r="765" spans="1:26" x14ac:dyDescent="0.25">
      <c r="A765" s="1">
        <v>45646</v>
      </c>
      <c r="B765" t="s">
        <v>1050</v>
      </c>
      <c r="C765" t="s">
        <v>17</v>
      </c>
      <c r="D765" t="s">
        <v>22</v>
      </c>
      <c r="E765">
        <v>100</v>
      </c>
      <c r="F765">
        <v>0</v>
      </c>
      <c r="G765">
        <v>190.5</v>
      </c>
      <c r="H765">
        <v>19050</v>
      </c>
      <c r="I765" t="s">
        <v>1053</v>
      </c>
      <c r="J765">
        <v>0</v>
      </c>
      <c r="K765">
        <v>6.77</v>
      </c>
      <c r="L765">
        <v>0</v>
      </c>
      <c r="M765">
        <v>0.02</v>
      </c>
      <c r="N765">
        <v>80</v>
      </c>
      <c r="O765">
        <v>15.62</v>
      </c>
      <c r="P765">
        <v>102.41</v>
      </c>
      <c r="Q765">
        <f t="shared" si="110"/>
        <v>2024</v>
      </c>
      <c r="R765">
        <f t="shared" si="111"/>
        <v>12</v>
      </c>
      <c r="S765">
        <f t="shared" si="112"/>
        <v>2024</v>
      </c>
      <c r="T765">
        <f t="shared" si="113"/>
        <v>9</v>
      </c>
      <c r="U765" t="str">
        <f t="shared" si="114"/>
        <v>09</v>
      </c>
      <c r="V765" t="str">
        <f t="shared" si="115"/>
        <v>202409</v>
      </c>
      <c r="W765" t="str">
        <f t="shared" si="116"/>
        <v>Dec-24</v>
      </c>
      <c r="X765" s="3">
        <f t="shared" si="117"/>
        <v>-19152.41</v>
      </c>
      <c r="Y765" t="str">
        <f t="shared" si="118"/>
        <v/>
      </c>
      <c r="Z765">
        <f t="shared" si="119"/>
        <v>-19152.41</v>
      </c>
    </row>
    <row r="766" spans="1:26" x14ac:dyDescent="0.25">
      <c r="A766" s="1">
        <v>45646</v>
      </c>
      <c r="B766" t="s">
        <v>1050</v>
      </c>
      <c r="C766" t="s">
        <v>17</v>
      </c>
      <c r="D766" t="s">
        <v>22</v>
      </c>
      <c r="E766">
        <v>100</v>
      </c>
      <c r="F766">
        <v>0</v>
      </c>
      <c r="G766">
        <v>206.6</v>
      </c>
      <c r="H766">
        <v>20660</v>
      </c>
      <c r="I766" t="s">
        <v>1054</v>
      </c>
      <c r="J766">
        <v>0</v>
      </c>
      <c r="K766">
        <v>7.35</v>
      </c>
      <c r="L766">
        <v>0</v>
      </c>
      <c r="M766">
        <v>0.03</v>
      </c>
      <c r="N766">
        <v>80</v>
      </c>
      <c r="O766">
        <v>15.74</v>
      </c>
      <c r="P766">
        <v>103.12</v>
      </c>
      <c r="Q766">
        <f t="shared" si="110"/>
        <v>2024</v>
      </c>
      <c r="R766">
        <f t="shared" si="111"/>
        <v>12</v>
      </c>
      <c r="S766">
        <f t="shared" si="112"/>
        <v>2024</v>
      </c>
      <c r="T766">
        <f t="shared" si="113"/>
        <v>9</v>
      </c>
      <c r="U766" t="str">
        <f t="shared" si="114"/>
        <v>09</v>
      </c>
      <c r="V766" t="str">
        <f t="shared" si="115"/>
        <v>202409</v>
      </c>
      <c r="W766" t="str">
        <f t="shared" si="116"/>
        <v>Dec-24</v>
      </c>
      <c r="X766" s="3">
        <f t="shared" si="117"/>
        <v>-20763.12</v>
      </c>
      <c r="Y766" t="str">
        <f t="shared" si="118"/>
        <v/>
      </c>
      <c r="Z766">
        <f t="shared" si="119"/>
        <v>-20763.12</v>
      </c>
    </row>
    <row r="767" spans="1:26" x14ac:dyDescent="0.25">
      <c r="A767" s="1">
        <v>45649</v>
      </c>
      <c r="B767" t="s">
        <v>1055</v>
      </c>
      <c r="C767" t="s">
        <v>17</v>
      </c>
      <c r="D767" t="s">
        <v>18</v>
      </c>
      <c r="E767">
        <v>3500</v>
      </c>
      <c r="F767">
        <v>0</v>
      </c>
      <c r="G767">
        <v>6.1</v>
      </c>
      <c r="H767">
        <v>21350</v>
      </c>
      <c r="I767" t="s">
        <v>1056</v>
      </c>
      <c r="J767">
        <v>21.35</v>
      </c>
      <c r="K767">
        <v>7.58</v>
      </c>
      <c r="L767">
        <v>0</v>
      </c>
      <c r="M767">
        <v>0.02</v>
      </c>
      <c r="N767">
        <v>100</v>
      </c>
      <c r="O767">
        <v>19.36</v>
      </c>
      <c r="P767">
        <v>148.31</v>
      </c>
      <c r="Q767">
        <f t="shared" si="110"/>
        <v>2024</v>
      </c>
      <c r="R767">
        <f t="shared" si="111"/>
        <v>12</v>
      </c>
      <c r="S767">
        <f t="shared" si="112"/>
        <v>2024</v>
      </c>
      <c r="T767">
        <f t="shared" si="113"/>
        <v>9</v>
      </c>
      <c r="U767" t="str">
        <f t="shared" si="114"/>
        <v>09</v>
      </c>
      <c r="V767" t="str">
        <f t="shared" si="115"/>
        <v>202409</v>
      </c>
      <c r="W767" t="str">
        <f t="shared" si="116"/>
        <v>Dec-24</v>
      </c>
      <c r="X767" s="3">
        <f t="shared" si="117"/>
        <v>21201.69</v>
      </c>
      <c r="Y767">
        <f t="shared" si="118"/>
        <v>21201.69</v>
      </c>
      <c r="Z767" t="str">
        <f t="shared" si="119"/>
        <v/>
      </c>
    </row>
    <row r="768" spans="1:26" x14ac:dyDescent="0.25">
      <c r="A768" s="1">
        <v>45649</v>
      </c>
      <c r="B768" t="s">
        <v>1055</v>
      </c>
      <c r="C768" t="s">
        <v>17</v>
      </c>
      <c r="D768" t="s">
        <v>22</v>
      </c>
      <c r="E768">
        <v>3500</v>
      </c>
      <c r="F768">
        <v>0</v>
      </c>
      <c r="G768">
        <v>9.19</v>
      </c>
      <c r="H768">
        <v>32165</v>
      </c>
      <c r="I768" t="s">
        <v>1057</v>
      </c>
      <c r="J768">
        <v>0</v>
      </c>
      <c r="K768">
        <v>11.44</v>
      </c>
      <c r="L768">
        <v>1</v>
      </c>
      <c r="M768">
        <v>0.04</v>
      </c>
      <c r="N768">
        <v>100</v>
      </c>
      <c r="O768">
        <v>20.079999999999998</v>
      </c>
      <c r="P768">
        <v>132.56</v>
      </c>
      <c r="Q768">
        <f t="shared" si="110"/>
        <v>2024</v>
      </c>
      <c r="R768">
        <f t="shared" si="111"/>
        <v>12</v>
      </c>
      <c r="S768">
        <f t="shared" si="112"/>
        <v>2024</v>
      </c>
      <c r="T768">
        <f t="shared" si="113"/>
        <v>9</v>
      </c>
      <c r="U768" t="str">
        <f t="shared" si="114"/>
        <v>09</v>
      </c>
      <c r="V768" t="str">
        <f t="shared" si="115"/>
        <v>202409</v>
      </c>
      <c r="W768" t="str">
        <f t="shared" si="116"/>
        <v>Dec-24</v>
      </c>
      <c r="X768" s="3">
        <f t="shared" si="117"/>
        <v>-32297.56</v>
      </c>
      <c r="Y768" t="str">
        <f t="shared" si="118"/>
        <v/>
      </c>
      <c r="Z768">
        <f t="shared" si="119"/>
        <v>-32297.56</v>
      </c>
    </row>
    <row r="769" spans="1:26" x14ac:dyDescent="0.25">
      <c r="A769" s="1">
        <v>45649</v>
      </c>
      <c r="B769" t="s">
        <v>1050</v>
      </c>
      <c r="C769" t="s">
        <v>17</v>
      </c>
      <c r="D769" t="s">
        <v>18</v>
      </c>
      <c r="E769">
        <v>500</v>
      </c>
      <c r="F769">
        <v>0</v>
      </c>
      <c r="G769">
        <v>72</v>
      </c>
      <c r="H769">
        <v>36000</v>
      </c>
      <c r="I769" t="s">
        <v>1058</v>
      </c>
      <c r="J769">
        <v>35.65</v>
      </c>
      <c r="K769">
        <v>12.79</v>
      </c>
      <c r="L769">
        <v>0</v>
      </c>
      <c r="M769">
        <v>0.03</v>
      </c>
      <c r="N769">
        <v>400</v>
      </c>
      <c r="O769">
        <v>74.319999999999993</v>
      </c>
      <c r="P769">
        <v>522.79</v>
      </c>
      <c r="Q769">
        <f t="shared" si="110"/>
        <v>2024</v>
      </c>
      <c r="R769">
        <f t="shared" si="111"/>
        <v>12</v>
      </c>
      <c r="S769">
        <f t="shared" si="112"/>
        <v>2024</v>
      </c>
      <c r="T769">
        <f t="shared" si="113"/>
        <v>9</v>
      </c>
      <c r="U769" t="str">
        <f t="shared" si="114"/>
        <v>09</v>
      </c>
      <c r="V769" t="str">
        <f t="shared" si="115"/>
        <v>202409</v>
      </c>
      <c r="W769" t="str">
        <f t="shared" si="116"/>
        <v>Dec-24</v>
      </c>
      <c r="X769" s="3">
        <f t="shared" si="117"/>
        <v>35477.21</v>
      </c>
      <c r="Y769">
        <f t="shared" si="118"/>
        <v>35477.21</v>
      </c>
      <c r="Z769" t="str">
        <f t="shared" si="119"/>
        <v/>
      </c>
    </row>
    <row r="770" spans="1:26" x14ac:dyDescent="0.25">
      <c r="A770" s="1">
        <v>45650</v>
      </c>
      <c r="B770" t="s">
        <v>1059</v>
      </c>
      <c r="C770" t="s">
        <v>17</v>
      </c>
      <c r="D770" t="s">
        <v>18</v>
      </c>
      <c r="E770">
        <v>400</v>
      </c>
      <c r="F770">
        <v>0</v>
      </c>
      <c r="G770">
        <v>53.5</v>
      </c>
      <c r="H770">
        <v>21400</v>
      </c>
      <c r="I770" t="s">
        <v>1060</v>
      </c>
      <c r="J770">
        <v>21.41</v>
      </c>
      <c r="K770">
        <v>7.6</v>
      </c>
      <c r="L770">
        <v>0</v>
      </c>
      <c r="M770">
        <v>0.02</v>
      </c>
      <c r="N770">
        <v>320</v>
      </c>
      <c r="O770">
        <v>58.98</v>
      </c>
      <c r="P770">
        <v>408.01</v>
      </c>
      <c r="Q770">
        <f t="shared" ref="Q770:Q833" si="120">YEAR(A770)</f>
        <v>2024</v>
      </c>
      <c r="R770">
        <f t="shared" ref="R770:R833" si="121">MONTH(A770)</f>
        <v>12</v>
      </c>
      <c r="S770">
        <f t="shared" ref="S770:S833" si="122">IF(R770&lt;4,Q770-1,Q770)</f>
        <v>2024</v>
      </c>
      <c r="T770">
        <f t="shared" ref="T770:T833" si="123">IF(R770&lt;4,R770+9,R770-3)</f>
        <v>9</v>
      </c>
      <c r="U770" t="str">
        <f t="shared" ref="U770:U833" si="124">IF(LEN(T770)=1,_xlfn.CONCAT(0,T770),T770)</f>
        <v>09</v>
      </c>
      <c r="V770" t="str">
        <f t="shared" ref="V770:V833" si="125">_xlfn.CONCAT(S770,U770)</f>
        <v>202409</v>
      </c>
      <c r="W770" t="str">
        <f t="shared" ref="W770:W833" si="126">_xlfn.CONCAT(TEXT(A770,"MMM"),"-",MID(Q770,3,2))</f>
        <v>Dec-24</v>
      </c>
      <c r="X770" s="3">
        <f t="shared" ref="X770:X833" si="127">IFERROR(IF(D770="Sell",(H770-P770),-(H770+P770)),0)</f>
        <v>20991.99</v>
      </c>
      <c r="Y770">
        <f t="shared" si="118"/>
        <v>20991.99</v>
      </c>
      <c r="Z770" t="str">
        <f t="shared" si="119"/>
        <v/>
      </c>
    </row>
    <row r="771" spans="1:26" x14ac:dyDescent="0.25">
      <c r="A771" s="1">
        <v>45650</v>
      </c>
      <c r="B771" t="s">
        <v>1059</v>
      </c>
      <c r="C771" t="s">
        <v>17</v>
      </c>
      <c r="D771" t="s">
        <v>22</v>
      </c>
      <c r="E771">
        <v>100</v>
      </c>
      <c r="F771">
        <v>0</v>
      </c>
      <c r="G771">
        <v>58</v>
      </c>
      <c r="H771">
        <v>5800</v>
      </c>
      <c r="I771" t="s">
        <v>1061</v>
      </c>
      <c r="J771">
        <v>0</v>
      </c>
      <c r="K771">
        <v>2.06</v>
      </c>
      <c r="L771">
        <v>0</v>
      </c>
      <c r="M771">
        <v>0.01</v>
      </c>
      <c r="N771">
        <v>80</v>
      </c>
      <c r="O771">
        <v>14.78</v>
      </c>
      <c r="P771">
        <v>96.85</v>
      </c>
      <c r="Q771">
        <f t="shared" si="120"/>
        <v>2024</v>
      </c>
      <c r="R771">
        <f t="shared" si="121"/>
        <v>12</v>
      </c>
      <c r="S771">
        <f t="shared" si="122"/>
        <v>2024</v>
      </c>
      <c r="T771">
        <f t="shared" si="123"/>
        <v>9</v>
      </c>
      <c r="U771" t="str">
        <f t="shared" si="124"/>
        <v>09</v>
      </c>
      <c r="V771" t="str">
        <f t="shared" si="125"/>
        <v>202409</v>
      </c>
      <c r="W771" t="str">
        <f t="shared" si="126"/>
        <v>Dec-24</v>
      </c>
      <c r="X771" s="3">
        <f t="shared" si="127"/>
        <v>-5896.85</v>
      </c>
      <c r="Y771" t="str">
        <f t="shared" ref="Y771:Y834" si="128">IF(X771&gt;0,X771,"")</f>
        <v/>
      </c>
      <c r="Z771">
        <f t="shared" ref="Z771:Z834" si="129">IF(X771&lt;0,X771,"")</f>
        <v>-5896.85</v>
      </c>
    </row>
    <row r="772" spans="1:26" x14ac:dyDescent="0.25">
      <c r="A772" s="1">
        <v>45650</v>
      </c>
      <c r="B772" t="s">
        <v>1059</v>
      </c>
      <c r="C772" t="s">
        <v>17</v>
      </c>
      <c r="D772" t="s">
        <v>22</v>
      </c>
      <c r="E772">
        <v>100</v>
      </c>
      <c r="F772">
        <v>0</v>
      </c>
      <c r="G772">
        <v>70.8</v>
      </c>
      <c r="H772">
        <v>7080</v>
      </c>
      <c r="I772" t="s">
        <v>1062</v>
      </c>
      <c r="J772">
        <v>0</v>
      </c>
      <c r="K772">
        <v>2.52</v>
      </c>
      <c r="L772">
        <v>0.81</v>
      </c>
      <c r="M772">
        <v>0.01</v>
      </c>
      <c r="N772">
        <v>80</v>
      </c>
      <c r="O772">
        <v>14.86</v>
      </c>
      <c r="P772">
        <v>98.2</v>
      </c>
      <c r="Q772">
        <f t="shared" si="120"/>
        <v>2024</v>
      </c>
      <c r="R772">
        <f t="shared" si="121"/>
        <v>12</v>
      </c>
      <c r="S772">
        <f t="shared" si="122"/>
        <v>2024</v>
      </c>
      <c r="T772">
        <f t="shared" si="123"/>
        <v>9</v>
      </c>
      <c r="U772" t="str">
        <f t="shared" si="124"/>
        <v>09</v>
      </c>
      <c r="V772" t="str">
        <f t="shared" si="125"/>
        <v>202409</v>
      </c>
      <c r="W772" t="str">
        <f t="shared" si="126"/>
        <v>Dec-24</v>
      </c>
      <c r="X772" s="3">
        <f t="shared" si="127"/>
        <v>-7178.2</v>
      </c>
      <c r="Y772" t="str">
        <f t="shared" si="128"/>
        <v/>
      </c>
      <c r="Z772">
        <f t="shared" si="129"/>
        <v>-7178.2</v>
      </c>
    </row>
    <row r="773" spans="1:26" x14ac:dyDescent="0.25">
      <c r="A773" s="1">
        <v>45650</v>
      </c>
      <c r="B773" t="s">
        <v>1059</v>
      </c>
      <c r="C773" t="s">
        <v>17</v>
      </c>
      <c r="D773" t="s">
        <v>22</v>
      </c>
      <c r="E773">
        <v>50</v>
      </c>
      <c r="F773">
        <v>0</v>
      </c>
      <c r="G773">
        <v>71.25</v>
      </c>
      <c r="H773">
        <v>3562.5</v>
      </c>
      <c r="I773" t="s">
        <v>1063</v>
      </c>
      <c r="J773">
        <v>0</v>
      </c>
      <c r="K773">
        <v>1.26</v>
      </c>
      <c r="L773">
        <v>0</v>
      </c>
      <c r="M773">
        <v>0</v>
      </c>
      <c r="N773">
        <v>40</v>
      </c>
      <c r="O773">
        <v>7.44</v>
      </c>
      <c r="P773">
        <v>48.7</v>
      </c>
      <c r="Q773">
        <f t="shared" si="120"/>
        <v>2024</v>
      </c>
      <c r="R773">
        <f t="shared" si="121"/>
        <v>12</v>
      </c>
      <c r="S773">
        <f t="shared" si="122"/>
        <v>2024</v>
      </c>
      <c r="T773">
        <f t="shared" si="123"/>
        <v>9</v>
      </c>
      <c r="U773" t="str">
        <f t="shared" si="124"/>
        <v>09</v>
      </c>
      <c r="V773" t="str">
        <f t="shared" si="125"/>
        <v>202409</v>
      </c>
      <c r="W773" t="str">
        <f t="shared" si="126"/>
        <v>Dec-24</v>
      </c>
      <c r="X773" s="3">
        <f t="shared" si="127"/>
        <v>-3611.2</v>
      </c>
      <c r="Y773" t="str">
        <f t="shared" si="128"/>
        <v/>
      </c>
      <c r="Z773">
        <f t="shared" si="129"/>
        <v>-3611.2</v>
      </c>
    </row>
    <row r="774" spans="1:26" x14ac:dyDescent="0.25">
      <c r="A774" s="1">
        <v>45650</v>
      </c>
      <c r="B774" t="s">
        <v>1059</v>
      </c>
      <c r="C774" t="s">
        <v>17</v>
      </c>
      <c r="D774" t="s">
        <v>22</v>
      </c>
      <c r="E774">
        <v>50</v>
      </c>
      <c r="F774">
        <v>0</v>
      </c>
      <c r="G774">
        <v>78</v>
      </c>
      <c r="H774">
        <v>3900</v>
      </c>
      <c r="I774" t="s">
        <v>1064</v>
      </c>
      <c r="J774">
        <v>0</v>
      </c>
      <c r="K774">
        <v>1.39</v>
      </c>
      <c r="L774">
        <v>0</v>
      </c>
      <c r="M774">
        <v>0</v>
      </c>
      <c r="N774">
        <v>40</v>
      </c>
      <c r="O774">
        <v>7.46</v>
      </c>
      <c r="P774">
        <v>48.85</v>
      </c>
      <c r="Q774">
        <f t="shared" si="120"/>
        <v>2024</v>
      </c>
      <c r="R774">
        <f t="shared" si="121"/>
        <v>12</v>
      </c>
      <c r="S774">
        <f t="shared" si="122"/>
        <v>2024</v>
      </c>
      <c r="T774">
        <f t="shared" si="123"/>
        <v>9</v>
      </c>
      <c r="U774" t="str">
        <f t="shared" si="124"/>
        <v>09</v>
      </c>
      <c r="V774" t="str">
        <f t="shared" si="125"/>
        <v>202409</v>
      </c>
      <c r="W774" t="str">
        <f t="shared" si="126"/>
        <v>Dec-24</v>
      </c>
      <c r="X774" s="3">
        <f t="shared" si="127"/>
        <v>-3948.85</v>
      </c>
      <c r="Y774" t="str">
        <f t="shared" si="128"/>
        <v/>
      </c>
      <c r="Z774">
        <f t="shared" si="129"/>
        <v>-3948.85</v>
      </c>
    </row>
    <row r="775" spans="1:26" x14ac:dyDescent="0.25">
      <c r="A775" s="1">
        <v>45650</v>
      </c>
      <c r="B775" t="s">
        <v>1059</v>
      </c>
      <c r="C775" t="s">
        <v>17</v>
      </c>
      <c r="D775" t="s">
        <v>22</v>
      </c>
      <c r="E775">
        <v>100</v>
      </c>
      <c r="F775">
        <v>0</v>
      </c>
      <c r="G775">
        <v>89</v>
      </c>
      <c r="H775">
        <v>8900</v>
      </c>
      <c r="I775" t="s">
        <v>1065</v>
      </c>
      <c r="J775">
        <v>0</v>
      </c>
      <c r="K775">
        <v>3.16</v>
      </c>
      <c r="L775">
        <v>0</v>
      </c>
      <c r="M775">
        <v>0.01</v>
      </c>
      <c r="N775">
        <v>80</v>
      </c>
      <c r="O775">
        <v>14.96</v>
      </c>
      <c r="P775">
        <v>98.13</v>
      </c>
      <c r="Q775">
        <f t="shared" si="120"/>
        <v>2024</v>
      </c>
      <c r="R775">
        <f t="shared" si="121"/>
        <v>12</v>
      </c>
      <c r="S775">
        <f t="shared" si="122"/>
        <v>2024</v>
      </c>
      <c r="T775">
        <f t="shared" si="123"/>
        <v>9</v>
      </c>
      <c r="U775" t="str">
        <f t="shared" si="124"/>
        <v>09</v>
      </c>
      <c r="V775" t="str">
        <f t="shared" si="125"/>
        <v>202409</v>
      </c>
      <c r="W775" t="str">
        <f t="shared" si="126"/>
        <v>Dec-24</v>
      </c>
      <c r="X775" s="3">
        <f t="shared" si="127"/>
        <v>-8998.1299999999992</v>
      </c>
      <c r="Y775" t="str">
        <f t="shared" si="128"/>
        <v/>
      </c>
      <c r="Z775">
        <f t="shared" si="129"/>
        <v>-8998.1299999999992</v>
      </c>
    </row>
    <row r="776" spans="1:26" x14ac:dyDescent="0.25">
      <c r="A776" s="1">
        <v>45650</v>
      </c>
      <c r="B776" t="s">
        <v>1066</v>
      </c>
      <c r="C776" t="s">
        <v>17</v>
      </c>
      <c r="D776" t="s">
        <v>22</v>
      </c>
      <c r="E776">
        <v>25</v>
      </c>
      <c r="F776">
        <v>0</v>
      </c>
      <c r="G776">
        <v>60.45</v>
      </c>
      <c r="H776">
        <v>1511.25</v>
      </c>
      <c r="I776" t="s">
        <v>1067</v>
      </c>
      <c r="J776">
        <v>0</v>
      </c>
      <c r="K776">
        <v>0.54</v>
      </c>
      <c r="L776">
        <v>0</v>
      </c>
      <c r="M776">
        <v>0</v>
      </c>
      <c r="N776">
        <v>20</v>
      </c>
      <c r="O776">
        <v>3.7</v>
      </c>
      <c r="P776">
        <v>24.24</v>
      </c>
      <c r="Q776">
        <f t="shared" si="120"/>
        <v>2024</v>
      </c>
      <c r="R776">
        <f t="shared" si="121"/>
        <v>12</v>
      </c>
      <c r="S776">
        <f t="shared" si="122"/>
        <v>2024</v>
      </c>
      <c r="T776">
        <f t="shared" si="123"/>
        <v>9</v>
      </c>
      <c r="U776" t="str">
        <f t="shared" si="124"/>
        <v>09</v>
      </c>
      <c r="V776" t="str">
        <f t="shared" si="125"/>
        <v>202409</v>
      </c>
      <c r="W776" t="str">
        <f t="shared" si="126"/>
        <v>Dec-24</v>
      </c>
      <c r="X776" s="3">
        <f t="shared" si="127"/>
        <v>-1535.49</v>
      </c>
      <c r="Y776" t="str">
        <f t="shared" si="128"/>
        <v/>
      </c>
      <c r="Z776">
        <f t="shared" si="129"/>
        <v>-1535.49</v>
      </c>
    </row>
    <row r="777" spans="1:26" x14ac:dyDescent="0.25">
      <c r="A777" s="1">
        <v>45650</v>
      </c>
      <c r="B777" t="s">
        <v>1066</v>
      </c>
      <c r="C777" t="s">
        <v>17</v>
      </c>
      <c r="D777" t="s">
        <v>18</v>
      </c>
      <c r="E777">
        <v>100</v>
      </c>
      <c r="F777">
        <v>0</v>
      </c>
      <c r="G777">
        <v>73.25</v>
      </c>
      <c r="H777">
        <v>7325</v>
      </c>
      <c r="I777" t="s">
        <v>1068</v>
      </c>
      <c r="J777">
        <v>7.6</v>
      </c>
      <c r="K777">
        <v>2.6</v>
      </c>
      <c r="L777">
        <v>0</v>
      </c>
      <c r="M777">
        <v>0</v>
      </c>
      <c r="N777">
        <v>80</v>
      </c>
      <c r="O777">
        <v>14.88</v>
      </c>
      <c r="P777">
        <v>105.08</v>
      </c>
      <c r="Q777">
        <f t="shared" si="120"/>
        <v>2024</v>
      </c>
      <c r="R777">
        <f t="shared" si="121"/>
        <v>12</v>
      </c>
      <c r="S777">
        <f t="shared" si="122"/>
        <v>2024</v>
      </c>
      <c r="T777">
        <f t="shared" si="123"/>
        <v>9</v>
      </c>
      <c r="U777" t="str">
        <f t="shared" si="124"/>
        <v>09</v>
      </c>
      <c r="V777" t="str">
        <f t="shared" si="125"/>
        <v>202409</v>
      </c>
      <c r="W777" t="str">
        <f t="shared" si="126"/>
        <v>Dec-24</v>
      </c>
      <c r="X777" s="3">
        <f t="shared" si="127"/>
        <v>7219.92</v>
      </c>
      <c r="Y777">
        <f t="shared" si="128"/>
        <v>7219.92</v>
      </c>
      <c r="Z777" t="str">
        <f t="shared" si="129"/>
        <v/>
      </c>
    </row>
    <row r="778" spans="1:26" x14ac:dyDescent="0.25">
      <c r="A778" s="1">
        <v>45650</v>
      </c>
      <c r="B778" t="s">
        <v>1066</v>
      </c>
      <c r="C778" t="s">
        <v>17</v>
      </c>
      <c r="D778" t="s">
        <v>22</v>
      </c>
      <c r="E778">
        <v>75</v>
      </c>
      <c r="F778">
        <v>0</v>
      </c>
      <c r="G778">
        <v>63.95</v>
      </c>
      <c r="H778">
        <v>4796.25</v>
      </c>
      <c r="I778" t="s">
        <v>1069</v>
      </c>
      <c r="J778">
        <v>0</v>
      </c>
      <c r="K778">
        <v>1.7</v>
      </c>
      <c r="L778">
        <v>0.19</v>
      </c>
      <c r="M778">
        <v>0</v>
      </c>
      <c r="N778">
        <v>60</v>
      </c>
      <c r="O778">
        <v>11.1</v>
      </c>
      <c r="P778">
        <v>72.989999999999995</v>
      </c>
      <c r="Q778">
        <f t="shared" si="120"/>
        <v>2024</v>
      </c>
      <c r="R778">
        <f t="shared" si="121"/>
        <v>12</v>
      </c>
      <c r="S778">
        <f t="shared" si="122"/>
        <v>2024</v>
      </c>
      <c r="T778">
        <f t="shared" si="123"/>
        <v>9</v>
      </c>
      <c r="U778" t="str">
        <f t="shared" si="124"/>
        <v>09</v>
      </c>
      <c r="V778" t="str">
        <f t="shared" si="125"/>
        <v>202409</v>
      </c>
      <c r="W778" t="str">
        <f t="shared" si="126"/>
        <v>Dec-24</v>
      </c>
      <c r="X778" s="3">
        <f t="shared" si="127"/>
        <v>-4869.24</v>
      </c>
      <c r="Y778" t="str">
        <f t="shared" si="128"/>
        <v/>
      </c>
      <c r="Z778">
        <f t="shared" si="129"/>
        <v>-4869.24</v>
      </c>
    </row>
    <row r="779" spans="1:26" x14ac:dyDescent="0.25">
      <c r="A779" s="1">
        <v>45652</v>
      </c>
      <c r="B779" t="s">
        <v>1070</v>
      </c>
      <c r="C779" t="s">
        <v>17</v>
      </c>
      <c r="D779" t="s">
        <v>18</v>
      </c>
      <c r="E779">
        <v>500</v>
      </c>
      <c r="F779">
        <v>0</v>
      </c>
      <c r="G779">
        <v>16.149999999999999</v>
      </c>
      <c r="H779">
        <v>8075</v>
      </c>
      <c r="I779" t="s">
        <v>1071</v>
      </c>
      <c r="J779">
        <v>8.07</v>
      </c>
      <c r="K779">
        <v>2.87</v>
      </c>
      <c r="L779">
        <v>0</v>
      </c>
      <c r="M779">
        <v>0.01</v>
      </c>
      <c r="N779">
        <v>400</v>
      </c>
      <c r="O779">
        <v>72.52</v>
      </c>
      <c r="P779">
        <v>483.47</v>
      </c>
      <c r="Q779">
        <f t="shared" si="120"/>
        <v>2024</v>
      </c>
      <c r="R779">
        <f t="shared" si="121"/>
        <v>12</v>
      </c>
      <c r="S779">
        <f t="shared" si="122"/>
        <v>2024</v>
      </c>
      <c r="T779">
        <f t="shared" si="123"/>
        <v>9</v>
      </c>
      <c r="U779" t="str">
        <f t="shared" si="124"/>
        <v>09</v>
      </c>
      <c r="V779" t="str">
        <f t="shared" si="125"/>
        <v>202409</v>
      </c>
      <c r="W779" t="str">
        <f t="shared" si="126"/>
        <v>Dec-24</v>
      </c>
      <c r="X779" s="3">
        <f t="shared" si="127"/>
        <v>7591.53</v>
      </c>
      <c r="Y779">
        <f t="shared" si="128"/>
        <v>7591.53</v>
      </c>
      <c r="Z779" t="str">
        <f t="shared" si="129"/>
        <v/>
      </c>
    </row>
    <row r="780" spans="1:26" x14ac:dyDescent="0.25">
      <c r="A780" s="1">
        <v>45652</v>
      </c>
      <c r="B780" t="s">
        <v>1070</v>
      </c>
      <c r="C780" t="s">
        <v>17</v>
      </c>
      <c r="D780" t="s">
        <v>22</v>
      </c>
      <c r="E780">
        <v>200</v>
      </c>
      <c r="F780">
        <v>0</v>
      </c>
      <c r="G780">
        <v>10.85</v>
      </c>
      <c r="H780">
        <v>2170</v>
      </c>
      <c r="I780" t="s">
        <v>1072</v>
      </c>
      <c r="J780">
        <v>0</v>
      </c>
      <c r="K780">
        <v>0.77</v>
      </c>
      <c r="L780">
        <v>0.25</v>
      </c>
      <c r="M780">
        <v>0</v>
      </c>
      <c r="N780">
        <v>160</v>
      </c>
      <c r="O780">
        <v>28.94</v>
      </c>
      <c r="P780">
        <v>189.96</v>
      </c>
      <c r="Q780">
        <f t="shared" si="120"/>
        <v>2024</v>
      </c>
      <c r="R780">
        <f t="shared" si="121"/>
        <v>12</v>
      </c>
      <c r="S780">
        <f t="shared" si="122"/>
        <v>2024</v>
      </c>
      <c r="T780">
        <f t="shared" si="123"/>
        <v>9</v>
      </c>
      <c r="U780" t="str">
        <f t="shared" si="124"/>
        <v>09</v>
      </c>
      <c r="V780" t="str">
        <f t="shared" si="125"/>
        <v>202409</v>
      </c>
      <c r="W780" t="str">
        <f t="shared" si="126"/>
        <v>Dec-24</v>
      </c>
      <c r="X780" s="3">
        <f t="shared" si="127"/>
        <v>-2359.96</v>
      </c>
      <c r="Y780" t="str">
        <f t="shared" si="128"/>
        <v/>
      </c>
      <c r="Z780">
        <f t="shared" si="129"/>
        <v>-2359.96</v>
      </c>
    </row>
    <row r="781" spans="1:26" x14ac:dyDescent="0.25">
      <c r="A781" s="1">
        <v>45652</v>
      </c>
      <c r="B781" t="s">
        <v>1070</v>
      </c>
      <c r="C781" t="s">
        <v>17</v>
      </c>
      <c r="D781" t="s">
        <v>22</v>
      </c>
      <c r="E781">
        <v>100</v>
      </c>
      <c r="F781">
        <v>0</v>
      </c>
      <c r="G781">
        <v>11.85</v>
      </c>
      <c r="H781">
        <v>1185</v>
      </c>
      <c r="I781" t="s">
        <v>1073</v>
      </c>
      <c r="J781">
        <v>0</v>
      </c>
      <c r="K781">
        <v>0.42</v>
      </c>
      <c r="L781">
        <v>0</v>
      </c>
      <c r="M781">
        <v>0</v>
      </c>
      <c r="N781">
        <v>80</v>
      </c>
      <c r="O781">
        <v>14.48</v>
      </c>
      <c r="P781">
        <v>94.9</v>
      </c>
      <c r="Q781">
        <f t="shared" si="120"/>
        <v>2024</v>
      </c>
      <c r="R781">
        <f t="shared" si="121"/>
        <v>12</v>
      </c>
      <c r="S781">
        <f t="shared" si="122"/>
        <v>2024</v>
      </c>
      <c r="T781">
        <f t="shared" si="123"/>
        <v>9</v>
      </c>
      <c r="U781" t="str">
        <f t="shared" si="124"/>
        <v>09</v>
      </c>
      <c r="V781" t="str">
        <f t="shared" si="125"/>
        <v>202409</v>
      </c>
      <c r="W781" t="str">
        <f t="shared" si="126"/>
        <v>Dec-24</v>
      </c>
      <c r="X781" s="3">
        <f t="shared" si="127"/>
        <v>-1279.9000000000001</v>
      </c>
      <c r="Y781" t="str">
        <f t="shared" si="128"/>
        <v/>
      </c>
      <c r="Z781">
        <f t="shared" si="129"/>
        <v>-1279.9000000000001</v>
      </c>
    </row>
    <row r="782" spans="1:26" x14ac:dyDescent="0.25">
      <c r="A782" s="1">
        <v>45652</v>
      </c>
      <c r="B782" t="s">
        <v>1070</v>
      </c>
      <c r="C782" t="s">
        <v>17</v>
      </c>
      <c r="D782" t="s">
        <v>22</v>
      </c>
      <c r="E782">
        <v>100</v>
      </c>
      <c r="F782">
        <v>0</v>
      </c>
      <c r="G782">
        <v>12.7</v>
      </c>
      <c r="H782">
        <v>1270</v>
      </c>
      <c r="I782" t="s">
        <v>1074</v>
      </c>
      <c r="J782">
        <v>0</v>
      </c>
      <c r="K782">
        <v>0.45</v>
      </c>
      <c r="L782">
        <v>0</v>
      </c>
      <c r="M782">
        <v>0</v>
      </c>
      <c r="N782">
        <v>80</v>
      </c>
      <c r="O782">
        <v>14.48</v>
      </c>
      <c r="P782">
        <v>94.93</v>
      </c>
      <c r="Q782">
        <f t="shared" si="120"/>
        <v>2024</v>
      </c>
      <c r="R782">
        <f t="shared" si="121"/>
        <v>12</v>
      </c>
      <c r="S782">
        <f t="shared" si="122"/>
        <v>2024</v>
      </c>
      <c r="T782">
        <f t="shared" si="123"/>
        <v>9</v>
      </c>
      <c r="U782" t="str">
        <f t="shared" si="124"/>
        <v>09</v>
      </c>
      <c r="V782" t="str">
        <f t="shared" si="125"/>
        <v>202409</v>
      </c>
      <c r="W782" t="str">
        <f t="shared" si="126"/>
        <v>Dec-24</v>
      </c>
      <c r="X782" s="3">
        <f t="shared" si="127"/>
        <v>-1364.93</v>
      </c>
      <c r="Y782" t="str">
        <f t="shared" si="128"/>
        <v/>
      </c>
      <c r="Z782">
        <f t="shared" si="129"/>
        <v>-1364.93</v>
      </c>
    </row>
    <row r="783" spans="1:26" x14ac:dyDescent="0.25">
      <c r="A783" s="1">
        <v>45652</v>
      </c>
      <c r="B783" t="s">
        <v>1070</v>
      </c>
      <c r="C783" t="s">
        <v>17</v>
      </c>
      <c r="D783" t="s">
        <v>22</v>
      </c>
      <c r="E783">
        <v>50</v>
      </c>
      <c r="F783">
        <v>0</v>
      </c>
      <c r="G783">
        <v>17.3</v>
      </c>
      <c r="H783">
        <v>865</v>
      </c>
      <c r="I783" t="s">
        <v>1075</v>
      </c>
      <c r="J783">
        <v>0</v>
      </c>
      <c r="K783">
        <v>0.31</v>
      </c>
      <c r="L783">
        <v>0</v>
      </c>
      <c r="M783">
        <v>0</v>
      </c>
      <c r="N783">
        <v>40</v>
      </c>
      <c r="O783">
        <v>7.26</v>
      </c>
      <c r="P783">
        <v>47.57</v>
      </c>
      <c r="Q783">
        <f t="shared" si="120"/>
        <v>2024</v>
      </c>
      <c r="R783">
        <f t="shared" si="121"/>
        <v>12</v>
      </c>
      <c r="S783">
        <f t="shared" si="122"/>
        <v>2024</v>
      </c>
      <c r="T783">
        <f t="shared" si="123"/>
        <v>9</v>
      </c>
      <c r="U783" t="str">
        <f t="shared" si="124"/>
        <v>09</v>
      </c>
      <c r="V783" t="str">
        <f t="shared" si="125"/>
        <v>202409</v>
      </c>
      <c r="W783" t="str">
        <f t="shared" si="126"/>
        <v>Dec-24</v>
      </c>
      <c r="X783" s="3">
        <f t="shared" si="127"/>
        <v>-912.57</v>
      </c>
      <c r="Y783" t="str">
        <f t="shared" si="128"/>
        <v/>
      </c>
      <c r="Z783">
        <f t="shared" si="129"/>
        <v>-912.57</v>
      </c>
    </row>
    <row r="784" spans="1:26" x14ac:dyDescent="0.25">
      <c r="A784" s="1">
        <v>45652</v>
      </c>
      <c r="B784" t="s">
        <v>1070</v>
      </c>
      <c r="C784" t="s">
        <v>17</v>
      </c>
      <c r="D784" t="s">
        <v>22</v>
      </c>
      <c r="E784">
        <v>50</v>
      </c>
      <c r="F784">
        <v>0</v>
      </c>
      <c r="G784">
        <v>21.75</v>
      </c>
      <c r="H784">
        <v>1087.5</v>
      </c>
      <c r="I784" t="s">
        <v>1076</v>
      </c>
      <c r="J784">
        <v>0</v>
      </c>
      <c r="K784">
        <v>0.39</v>
      </c>
      <c r="L784">
        <v>0</v>
      </c>
      <c r="M784">
        <v>0</v>
      </c>
      <c r="N784">
        <v>40</v>
      </c>
      <c r="O784">
        <v>7.28</v>
      </c>
      <c r="P784">
        <v>47.67</v>
      </c>
      <c r="Q784">
        <f t="shared" si="120"/>
        <v>2024</v>
      </c>
      <c r="R784">
        <f t="shared" si="121"/>
        <v>12</v>
      </c>
      <c r="S784">
        <f t="shared" si="122"/>
        <v>2024</v>
      </c>
      <c r="T784">
        <f t="shared" si="123"/>
        <v>9</v>
      </c>
      <c r="U784" t="str">
        <f t="shared" si="124"/>
        <v>09</v>
      </c>
      <c r="V784" t="str">
        <f t="shared" si="125"/>
        <v>202409</v>
      </c>
      <c r="W784" t="str">
        <f t="shared" si="126"/>
        <v>Dec-24</v>
      </c>
      <c r="X784" s="3">
        <f t="shared" si="127"/>
        <v>-1135.17</v>
      </c>
      <c r="Y784" t="str">
        <f t="shared" si="128"/>
        <v/>
      </c>
      <c r="Z784">
        <f t="shared" si="129"/>
        <v>-1135.17</v>
      </c>
    </row>
    <row r="785" spans="1:26" x14ac:dyDescent="0.25">
      <c r="A785" s="1">
        <v>45652</v>
      </c>
      <c r="B785" t="s">
        <v>1070</v>
      </c>
      <c r="C785" t="s">
        <v>17</v>
      </c>
      <c r="D785" t="s">
        <v>18</v>
      </c>
      <c r="E785">
        <v>50</v>
      </c>
      <c r="F785">
        <v>0</v>
      </c>
      <c r="G785">
        <v>44.25</v>
      </c>
      <c r="H785">
        <v>2212.5</v>
      </c>
      <c r="I785" t="s">
        <v>1077</v>
      </c>
      <c r="J785">
        <v>2.1</v>
      </c>
      <c r="K785">
        <v>0.79</v>
      </c>
      <c r="L785">
        <v>0</v>
      </c>
      <c r="M785">
        <v>0</v>
      </c>
      <c r="N785">
        <v>40</v>
      </c>
      <c r="O785">
        <v>7.34</v>
      </c>
      <c r="P785">
        <v>50.23</v>
      </c>
      <c r="Q785">
        <f t="shared" si="120"/>
        <v>2024</v>
      </c>
      <c r="R785">
        <f t="shared" si="121"/>
        <v>12</v>
      </c>
      <c r="S785">
        <f t="shared" si="122"/>
        <v>2024</v>
      </c>
      <c r="T785">
        <f t="shared" si="123"/>
        <v>9</v>
      </c>
      <c r="U785" t="str">
        <f t="shared" si="124"/>
        <v>09</v>
      </c>
      <c r="V785" t="str">
        <f t="shared" si="125"/>
        <v>202409</v>
      </c>
      <c r="W785" t="str">
        <f t="shared" si="126"/>
        <v>Dec-24</v>
      </c>
      <c r="X785" s="3">
        <f t="shared" si="127"/>
        <v>2162.27</v>
      </c>
      <c r="Y785">
        <f t="shared" si="128"/>
        <v>2162.27</v>
      </c>
      <c r="Z785" t="str">
        <f t="shared" si="129"/>
        <v/>
      </c>
    </row>
    <row r="786" spans="1:26" x14ac:dyDescent="0.25">
      <c r="A786" s="1">
        <v>45652</v>
      </c>
      <c r="B786" t="s">
        <v>1070</v>
      </c>
      <c r="C786" t="s">
        <v>17</v>
      </c>
      <c r="D786" t="s">
        <v>22</v>
      </c>
      <c r="E786">
        <v>50</v>
      </c>
      <c r="F786">
        <v>0</v>
      </c>
      <c r="G786">
        <v>33.9</v>
      </c>
      <c r="H786">
        <v>1695</v>
      </c>
      <c r="I786" t="s">
        <v>1078</v>
      </c>
      <c r="J786">
        <v>0</v>
      </c>
      <c r="K786">
        <v>0.6</v>
      </c>
      <c r="L786">
        <v>0</v>
      </c>
      <c r="M786">
        <v>0</v>
      </c>
      <c r="N786">
        <v>40</v>
      </c>
      <c r="O786">
        <v>7.3</v>
      </c>
      <c r="P786">
        <v>47.9</v>
      </c>
      <c r="Q786">
        <f t="shared" si="120"/>
        <v>2024</v>
      </c>
      <c r="R786">
        <f t="shared" si="121"/>
        <v>12</v>
      </c>
      <c r="S786">
        <f t="shared" si="122"/>
        <v>2024</v>
      </c>
      <c r="T786">
        <f t="shared" si="123"/>
        <v>9</v>
      </c>
      <c r="U786" t="str">
        <f t="shared" si="124"/>
        <v>09</v>
      </c>
      <c r="V786" t="str">
        <f t="shared" si="125"/>
        <v>202409</v>
      </c>
      <c r="W786" t="str">
        <f t="shared" si="126"/>
        <v>Dec-24</v>
      </c>
      <c r="X786" s="3">
        <f t="shared" si="127"/>
        <v>-1742.9</v>
      </c>
      <c r="Y786" t="str">
        <f t="shared" si="128"/>
        <v/>
      </c>
      <c r="Z786">
        <f t="shared" si="129"/>
        <v>-1742.9</v>
      </c>
    </row>
    <row r="787" spans="1:26" x14ac:dyDescent="0.25">
      <c r="A787" s="1">
        <v>45652</v>
      </c>
      <c r="B787" t="s">
        <v>1079</v>
      </c>
      <c r="C787" t="s">
        <v>17</v>
      </c>
      <c r="D787" t="s">
        <v>22</v>
      </c>
      <c r="E787">
        <v>25</v>
      </c>
      <c r="F787">
        <v>0</v>
      </c>
      <c r="G787">
        <v>123.65</v>
      </c>
      <c r="H787">
        <v>3091.25</v>
      </c>
      <c r="I787" t="s">
        <v>1080</v>
      </c>
      <c r="J787">
        <v>0</v>
      </c>
      <c r="K787">
        <v>1.1000000000000001</v>
      </c>
      <c r="L787">
        <v>0</v>
      </c>
      <c r="M787">
        <v>0</v>
      </c>
      <c r="N787">
        <v>20</v>
      </c>
      <c r="O787">
        <v>3.8</v>
      </c>
      <c r="P787">
        <v>24.9</v>
      </c>
      <c r="Q787">
        <f t="shared" si="120"/>
        <v>2024</v>
      </c>
      <c r="R787">
        <f t="shared" si="121"/>
        <v>12</v>
      </c>
      <c r="S787">
        <f t="shared" si="122"/>
        <v>2024</v>
      </c>
      <c r="T787">
        <f t="shared" si="123"/>
        <v>9</v>
      </c>
      <c r="U787" t="str">
        <f t="shared" si="124"/>
        <v>09</v>
      </c>
      <c r="V787" t="str">
        <f t="shared" si="125"/>
        <v>202409</v>
      </c>
      <c r="W787" t="str">
        <f t="shared" si="126"/>
        <v>Dec-24</v>
      </c>
      <c r="X787" s="3">
        <f t="shared" si="127"/>
        <v>-3116.15</v>
      </c>
      <c r="Y787" t="str">
        <f t="shared" si="128"/>
        <v/>
      </c>
      <c r="Z787">
        <f t="shared" si="129"/>
        <v>-3116.15</v>
      </c>
    </row>
    <row r="788" spans="1:26" x14ac:dyDescent="0.25">
      <c r="A788" s="1">
        <v>45652</v>
      </c>
      <c r="B788" t="s">
        <v>1079</v>
      </c>
      <c r="C788" t="s">
        <v>17</v>
      </c>
      <c r="D788" t="s">
        <v>18</v>
      </c>
      <c r="E788">
        <v>75</v>
      </c>
      <c r="F788">
        <v>0</v>
      </c>
      <c r="G788">
        <v>134.25</v>
      </c>
      <c r="H788">
        <v>10068.75</v>
      </c>
      <c r="I788" t="s">
        <v>1081</v>
      </c>
      <c r="J788">
        <v>10.07</v>
      </c>
      <c r="K788">
        <v>3.58</v>
      </c>
      <c r="L788">
        <v>0</v>
      </c>
      <c r="M788">
        <v>0.01</v>
      </c>
      <c r="N788">
        <v>60</v>
      </c>
      <c r="O788">
        <v>11.44</v>
      </c>
      <c r="P788">
        <v>85.1</v>
      </c>
      <c r="Q788">
        <f t="shared" si="120"/>
        <v>2024</v>
      </c>
      <c r="R788">
        <f t="shared" si="121"/>
        <v>12</v>
      </c>
      <c r="S788">
        <f t="shared" si="122"/>
        <v>2024</v>
      </c>
      <c r="T788">
        <f t="shared" si="123"/>
        <v>9</v>
      </c>
      <c r="U788" t="str">
        <f t="shared" si="124"/>
        <v>09</v>
      </c>
      <c r="V788" t="str">
        <f t="shared" si="125"/>
        <v>202409</v>
      </c>
      <c r="W788" t="str">
        <f t="shared" si="126"/>
        <v>Dec-24</v>
      </c>
      <c r="X788" s="3">
        <f t="shared" si="127"/>
        <v>9983.65</v>
      </c>
      <c r="Y788">
        <f t="shared" si="128"/>
        <v>9983.65</v>
      </c>
      <c r="Z788" t="str">
        <f t="shared" si="129"/>
        <v/>
      </c>
    </row>
    <row r="789" spans="1:26" x14ac:dyDescent="0.25">
      <c r="A789" s="1">
        <v>45652</v>
      </c>
      <c r="B789" t="s">
        <v>1079</v>
      </c>
      <c r="C789" t="s">
        <v>17</v>
      </c>
      <c r="D789" t="s">
        <v>22</v>
      </c>
      <c r="E789">
        <v>25</v>
      </c>
      <c r="F789">
        <v>0</v>
      </c>
      <c r="G789">
        <v>111.95</v>
      </c>
      <c r="H789">
        <v>2798.75</v>
      </c>
      <c r="I789" t="s">
        <v>1082</v>
      </c>
      <c r="J789">
        <v>0</v>
      </c>
      <c r="K789">
        <v>0.99</v>
      </c>
      <c r="L789">
        <v>0</v>
      </c>
      <c r="M789">
        <v>0</v>
      </c>
      <c r="N789">
        <v>20</v>
      </c>
      <c r="O789">
        <v>3.78</v>
      </c>
      <c r="P789">
        <v>24.77</v>
      </c>
      <c r="Q789">
        <f t="shared" si="120"/>
        <v>2024</v>
      </c>
      <c r="R789">
        <f t="shared" si="121"/>
        <v>12</v>
      </c>
      <c r="S789">
        <f t="shared" si="122"/>
        <v>2024</v>
      </c>
      <c r="T789">
        <f t="shared" si="123"/>
        <v>9</v>
      </c>
      <c r="U789" t="str">
        <f t="shared" si="124"/>
        <v>09</v>
      </c>
      <c r="V789" t="str">
        <f t="shared" si="125"/>
        <v>202409</v>
      </c>
      <c r="W789" t="str">
        <f t="shared" si="126"/>
        <v>Dec-24</v>
      </c>
      <c r="X789" s="3">
        <f t="shared" si="127"/>
        <v>-2823.52</v>
      </c>
      <c r="Y789" t="str">
        <f t="shared" si="128"/>
        <v/>
      </c>
      <c r="Z789">
        <f t="shared" si="129"/>
        <v>-2823.52</v>
      </c>
    </row>
    <row r="790" spans="1:26" x14ac:dyDescent="0.25">
      <c r="A790" s="1">
        <v>45652</v>
      </c>
      <c r="B790" t="s">
        <v>1079</v>
      </c>
      <c r="C790" t="s">
        <v>17</v>
      </c>
      <c r="D790" t="s">
        <v>22</v>
      </c>
      <c r="E790">
        <v>25</v>
      </c>
      <c r="F790">
        <v>0</v>
      </c>
      <c r="G790">
        <v>120.15</v>
      </c>
      <c r="H790">
        <v>3003.75</v>
      </c>
      <c r="I790" t="s">
        <v>1083</v>
      </c>
      <c r="J790">
        <v>0</v>
      </c>
      <c r="K790">
        <v>1.07</v>
      </c>
      <c r="L790">
        <v>0</v>
      </c>
      <c r="M790">
        <v>0</v>
      </c>
      <c r="N790">
        <v>20</v>
      </c>
      <c r="O790">
        <v>3.8</v>
      </c>
      <c r="P790">
        <v>24.87</v>
      </c>
      <c r="Q790">
        <f t="shared" si="120"/>
        <v>2024</v>
      </c>
      <c r="R790">
        <f t="shared" si="121"/>
        <v>12</v>
      </c>
      <c r="S790">
        <f t="shared" si="122"/>
        <v>2024</v>
      </c>
      <c r="T790">
        <f t="shared" si="123"/>
        <v>9</v>
      </c>
      <c r="U790" t="str">
        <f t="shared" si="124"/>
        <v>09</v>
      </c>
      <c r="V790" t="str">
        <f t="shared" si="125"/>
        <v>202409</v>
      </c>
      <c r="W790" t="str">
        <f t="shared" si="126"/>
        <v>Dec-24</v>
      </c>
      <c r="X790" s="3">
        <f t="shared" si="127"/>
        <v>-3028.62</v>
      </c>
      <c r="Y790" t="str">
        <f t="shared" si="128"/>
        <v/>
      </c>
      <c r="Z790">
        <f t="shared" si="129"/>
        <v>-3028.62</v>
      </c>
    </row>
    <row r="791" spans="1:26" x14ac:dyDescent="0.25">
      <c r="A791" s="1">
        <v>45652</v>
      </c>
      <c r="B791" t="s">
        <v>1079</v>
      </c>
      <c r="C791" t="s">
        <v>17</v>
      </c>
      <c r="D791" t="s">
        <v>18</v>
      </c>
      <c r="E791">
        <v>100</v>
      </c>
      <c r="F791">
        <v>0</v>
      </c>
      <c r="G791">
        <v>77.55</v>
      </c>
      <c r="H791">
        <v>7755</v>
      </c>
      <c r="I791" t="s">
        <v>1084</v>
      </c>
      <c r="J791">
        <v>7.76</v>
      </c>
      <c r="K791">
        <v>2.76</v>
      </c>
      <c r="L791">
        <v>0</v>
      </c>
      <c r="M791">
        <v>0.01</v>
      </c>
      <c r="N791">
        <v>80</v>
      </c>
      <c r="O791">
        <v>14.9</v>
      </c>
      <c r="P791">
        <v>105.43</v>
      </c>
      <c r="Q791">
        <f t="shared" si="120"/>
        <v>2024</v>
      </c>
      <c r="R791">
        <f t="shared" si="121"/>
        <v>12</v>
      </c>
      <c r="S791">
        <f t="shared" si="122"/>
        <v>2024</v>
      </c>
      <c r="T791">
        <f t="shared" si="123"/>
        <v>9</v>
      </c>
      <c r="U791" t="str">
        <f t="shared" si="124"/>
        <v>09</v>
      </c>
      <c r="V791" t="str">
        <f t="shared" si="125"/>
        <v>202409</v>
      </c>
      <c r="W791" t="str">
        <f t="shared" si="126"/>
        <v>Dec-24</v>
      </c>
      <c r="X791" s="3">
        <f t="shared" si="127"/>
        <v>7649.57</v>
      </c>
      <c r="Y791">
        <f t="shared" si="128"/>
        <v>7649.57</v>
      </c>
      <c r="Z791" t="str">
        <f t="shared" si="129"/>
        <v/>
      </c>
    </row>
    <row r="792" spans="1:26" x14ac:dyDescent="0.25">
      <c r="A792" s="1">
        <v>45652</v>
      </c>
      <c r="B792" t="s">
        <v>1079</v>
      </c>
      <c r="C792" t="s">
        <v>17</v>
      </c>
      <c r="D792" t="s">
        <v>22</v>
      </c>
      <c r="E792">
        <v>100</v>
      </c>
      <c r="F792">
        <v>0</v>
      </c>
      <c r="G792">
        <v>70.25</v>
      </c>
      <c r="H792">
        <v>7025</v>
      </c>
      <c r="I792" t="s">
        <v>1085</v>
      </c>
      <c r="J792">
        <v>0</v>
      </c>
      <c r="K792">
        <v>2.4900000000000002</v>
      </c>
      <c r="L792">
        <v>0.75</v>
      </c>
      <c r="M792">
        <v>0</v>
      </c>
      <c r="N792">
        <v>80</v>
      </c>
      <c r="O792">
        <v>14.86</v>
      </c>
      <c r="P792">
        <v>98.1</v>
      </c>
      <c r="Q792">
        <f t="shared" si="120"/>
        <v>2024</v>
      </c>
      <c r="R792">
        <f t="shared" si="121"/>
        <v>12</v>
      </c>
      <c r="S792">
        <f t="shared" si="122"/>
        <v>2024</v>
      </c>
      <c r="T792">
        <f t="shared" si="123"/>
        <v>9</v>
      </c>
      <c r="U792" t="str">
        <f t="shared" si="124"/>
        <v>09</v>
      </c>
      <c r="V792" t="str">
        <f t="shared" si="125"/>
        <v>202409</v>
      </c>
      <c r="W792" t="str">
        <f t="shared" si="126"/>
        <v>Dec-24</v>
      </c>
      <c r="X792" s="3">
        <f t="shared" si="127"/>
        <v>-7123.1</v>
      </c>
      <c r="Y792" t="str">
        <f t="shared" si="128"/>
        <v/>
      </c>
      <c r="Z792">
        <f t="shared" si="129"/>
        <v>-7123.1</v>
      </c>
    </row>
    <row r="793" spans="1:26" x14ac:dyDescent="0.25">
      <c r="A793" s="1">
        <v>45653</v>
      </c>
      <c r="B793" t="s">
        <v>1086</v>
      </c>
      <c r="C793" t="s">
        <v>17</v>
      </c>
      <c r="D793" t="s">
        <v>18</v>
      </c>
      <c r="E793">
        <v>150</v>
      </c>
      <c r="F793">
        <v>0</v>
      </c>
      <c r="G793">
        <v>115</v>
      </c>
      <c r="H793">
        <v>17250</v>
      </c>
      <c r="I793" t="s">
        <v>1087</v>
      </c>
      <c r="J793">
        <v>17.739999999999998</v>
      </c>
      <c r="K793">
        <v>6.13</v>
      </c>
      <c r="L793">
        <v>0</v>
      </c>
      <c r="M793">
        <v>0.02</v>
      </c>
      <c r="N793">
        <v>40</v>
      </c>
      <c r="O793">
        <v>8.3000000000000007</v>
      </c>
      <c r="P793">
        <v>72.19</v>
      </c>
      <c r="Q793">
        <f t="shared" si="120"/>
        <v>2024</v>
      </c>
      <c r="R793">
        <f t="shared" si="121"/>
        <v>12</v>
      </c>
      <c r="S793">
        <f t="shared" si="122"/>
        <v>2024</v>
      </c>
      <c r="T793">
        <f t="shared" si="123"/>
        <v>9</v>
      </c>
      <c r="U793" t="str">
        <f t="shared" si="124"/>
        <v>09</v>
      </c>
      <c r="V793" t="str">
        <f t="shared" si="125"/>
        <v>202409</v>
      </c>
      <c r="W793" t="str">
        <f t="shared" si="126"/>
        <v>Dec-24</v>
      </c>
      <c r="X793" s="3">
        <f t="shared" si="127"/>
        <v>17177.810000000001</v>
      </c>
      <c r="Y793">
        <f t="shared" si="128"/>
        <v>17177.810000000001</v>
      </c>
      <c r="Z793" t="str">
        <f t="shared" si="129"/>
        <v/>
      </c>
    </row>
    <row r="794" spans="1:26" x14ac:dyDescent="0.25">
      <c r="A794" s="1">
        <v>45653</v>
      </c>
      <c r="B794" t="s">
        <v>1086</v>
      </c>
      <c r="C794" t="s">
        <v>17</v>
      </c>
      <c r="D794" t="s">
        <v>22</v>
      </c>
      <c r="E794">
        <v>150</v>
      </c>
      <c r="F794">
        <v>0</v>
      </c>
      <c r="G794">
        <v>106.55</v>
      </c>
      <c r="H794">
        <v>15982.5</v>
      </c>
      <c r="I794" t="s">
        <v>1088</v>
      </c>
      <c r="J794">
        <v>0</v>
      </c>
      <c r="K794">
        <v>5.68</v>
      </c>
      <c r="L794">
        <v>1</v>
      </c>
      <c r="M794">
        <v>0.02</v>
      </c>
      <c r="N794">
        <v>40</v>
      </c>
      <c r="O794">
        <v>8.2200000000000006</v>
      </c>
      <c r="P794">
        <v>54.92</v>
      </c>
      <c r="Q794">
        <f t="shared" si="120"/>
        <v>2024</v>
      </c>
      <c r="R794">
        <f t="shared" si="121"/>
        <v>12</v>
      </c>
      <c r="S794">
        <f t="shared" si="122"/>
        <v>2024</v>
      </c>
      <c r="T794">
        <f t="shared" si="123"/>
        <v>9</v>
      </c>
      <c r="U794" t="str">
        <f t="shared" si="124"/>
        <v>09</v>
      </c>
      <c r="V794" t="str">
        <f t="shared" si="125"/>
        <v>202409</v>
      </c>
      <c r="W794" t="str">
        <f t="shared" si="126"/>
        <v>Dec-24</v>
      </c>
      <c r="X794" s="3">
        <f t="shared" si="127"/>
        <v>-16037.42</v>
      </c>
      <c r="Y794" t="str">
        <f t="shared" si="128"/>
        <v/>
      </c>
      <c r="Z794">
        <f t="shared" si="129"/>
        <v>-16037.42</v>
      </c>
    </row>
    <row r="795" spans="1:26" x14ac:dyDescent="0.25">
      <c r="A795" s="1">
        <v>45653</v>
      </c>
      <c r="B795" t="s">
        <v>1086</v>
      </c>
      <c r="C795" t="s">
        <v>17</v>
      </c>
      <c r="D795" t="s">
        <v>18</v>
      </c>
      <c r="E795">
        <v>150</v>
      </c>
      <c r="F795">
        <v>0</v>
      </c>
      <c r="G795">
        <v>101.75</v>
      </c>
      <c r="H795">
        <v>15262.5</v>
      </c>
      <c r="I795" t="s">
        <v>1089</v>
      </c>
      <c r="J795">
        <v>15.26</v>
      </c>
      <c r="K795">
        <v>5.42</v>
      </c>
      <c r="L795">
        <v>0</v>
      </c>
      <c r="M795">
        <v>0.02</v>
      </c>
      <c r="N795">
        <v>40</v>
      </c>
      <c r="O795">
        <v>8.18</v>
      </c>
      <c r="P795">
        <v>68.88</v>
      </c>
      <c r="Q795">
        <f t="shared" si="120"/>
        <v>2024</v>
      </c>
      <c r="R795">
        <f t="shared" si="121"/>
        <v>12</v>
      </c>
      <c r="S795">
        <f t="shared" si="122"/>
        <v>2024</v>
      </c>
      <c r="T795">
        <f t="shared" si="123"/>
        <v>9</v>
      </c>
      <c r="U795" t="str">
        <f t="shared" si="124"/>
        <v>09</v>
      </c>
      <c r="V795" t="str">
        <f t="shared" si="125"/>
        <v>202409</v>
      </c>
      <c r="W795" t="str">
        <f t="shared" si="126"/>
        <v>Dec-24</v>
      </c>
      <c r="X795" s="3">
        <f t="shared" si="127"/>
        <v>15193.62</v>
      </c>
      <c r="Y795">
        <f t="shared" si="128"/>
        <v>15193.62</v>
      </c>
      <c r="Z795" t="str">
        <f t="shared" si="129"/>
        <v/>
      </c>
    </row>
    <row r="796" spans="1:26" x14ac:dyDescent="0.25">
      <c r="A796" s="1">
        <v>45653</v>
      </c>
      <c r="B796" t="s">
        <v>1086</v>
      </c>
      <c r="C796" t="s">
        <v>17</v>
      </c>
      <c r="D796" t="s">
        <v>22</v>
      </c>
      <c r="E796">
        <v>75</v>
      </c>
      <c r="F796">
        <v>0</v>
      </c>
      <c r="G796">
        <v>131.69999999999999</v>
      </c>
      <c r="H796">
        <v>9877.5</v>
      </c>
      <c r="I796" t="s">
        <v>1090</v>
      </c>
      <c r="J796">
        <v>0</v>
      </c>
      <c r="K796">
        <v>3.51</v>
      </c>
      <c r="L796">
        <v>0</v>
      </c>
      <c r="M796">
        <v>0.01</v>
      </c>
      <c r="N796">
        <v>20</v>
      </c>
      <c r="O796">
        <v>4.24</v>
      </c>
      <c r="P796">
        <v>27.76</v>
      </c>
      <c r="Q796">
        <f t="shared" si="120"/>
        <v>2024</v>
      </c>
      <c r="R796">
        <f t="shared" si="121"/>
        <v>12</v>
      </c>
      <c r="S796">
        <f t="shared" si="122"/>
        <v>2024</v>
      </c>
      <c r="T796">
        <f t="shared" si="123"/>
        <v>9</v>
      </c>
      <c r="U796" t="str">
        <f t="shared" si="124"/>
        <v>09</v>
      </c>
      <c r="V796" t="str">
        <f t="shared" si="125"/>
        <v>202409</v>
      </c>
      <c r="W796" t="str">
        <f t="shared" si="126"/>
        <v>Dec-24</v>
      </c>
      <c r="X796" s="3">
        <f t="shared" si="127"/>
        <v>-9905.26</v>
      </c>
      <c r="Y796" t="str">
        <f t="shared" si="128"/>
        <v/>
      </c>
      <c r="Z796">
        <f t="shared" si="129"/>
        <v>-9905.26</v>
      </c>
    </row>
    <row r="797" spans="1:26" x14ac:dyDescent="0.25">
      <c r="A797" s="1">
        <v>45653</v>
      </c>
      <c r="B797" t="s">
        <v>1086</v>
      </c>
      <c r="C797" t="s">
        <v>17</v>
      </c>
      <c r="D797" t="s">
        <v>22</v>
      </c>
      <c r="E797">
        <v>75</v>
      </c>
      <c r="F797">
        <v>0</v>
      </c>
      <c r="G797">
        <v>149.44999999999999</v>
      </c>
      <c r="H797">
        <v>11208.75</v>
      </c>
      <c r="I797" t="s">
        <v>1091</v>
      </c>
      <c r="J797">
        <v>0</v>
      </c>
      <c r="K797">
        <v>3.98</v>
      </c>
      <c r="L797">
        <v>0</v>
      </c>
      <c r="M797">
        <v>0.01</v>
      </c>
      <c r="N797">
        <v>20</v>
      </c>
      <c r="O797">
        <v>4.32</v>
      </c>
      <c r="P797">
        <v>28.31</v>
      </c>
      <c r="Q797">
        <f t="shared" si="120"/>
        <v>2024</v>
      </c>
      <c r="R797">
        <f t="shared" si="121"/>
        <v>12</v>
      </c>
      <c r="S797">
        <f t="shared" si="122"/>
        <v>2024</v>
      </c>
      <c r="T797">
        <f t="shared" si="123"/>
        <v>9</v>
      </c>
      <c r="U797" t="str">
        <f t="shared" si="124"/>
        <v>09</v>
      </c>
      <c r="V797" t="str">
        <f t="shared" si="125"/>
        <v>202409</v>
      </c>
      <c r="W797" t="str">
        <f t="shared" si="126"/>
        <v>Dec-24</v>
      </c>
      <c r="X797" s="3">
        <f t="shared" si="127"/>
        <v>-11237.06</v>
      </c>
      <c r="Y797" t="str">
        <f t="shared" si="128"/>
        <v/>
      </c>
      <c r="Z797">
        <f t="shared" si="129"/>
        <v>-11237.06</v>
      </c>
    </row>
    <row r="798" spans="1:26" x14ac:dyDescent="0.25">
      <c r="A798" s="1">
        <v>45656</v>
      </c>
      <c r="B798" t="s">
        <v>1086</v>
      </c>
      <c r="C798" t="s">
        <v>17</v>
      </c>
      <c r="D798" t="s">
        <v>18</v>
      </c>
      <c r="E798">
        <v>75</v>
      </c>
      <c r="F798">
        <v>0</v>
      </c>
      <c r="G798">
        <v>105.25</v>
      </c>
      <c r="H798">
        <v>7893.75</v>
      </c>
      <c r="I798" t="s">
        <v>1092</v>
      </c>
      <c r="J798">
        <v>7.89</v>
      </c>
      <c r="K798">
        <v>2.8</v>
      </c>
      <c r="L798">
        <v>0</v>
      </c>
      <c r="M798">
        <v>0.01</v>
      </c>
      <c r="N798">
        <v>20</v>
      </c>
      <c r="O798">
        <v>4.0999999999999996</v>
      </c>
      <c r="P798">
        <v>34.799999999999997</v>
      </c>
      <c r="Q798">
        <f t="shared" si="120"/>
        <v>2024</v>
      </c>
      <c r="R798">
        <f t="shared" si="121"/>
        <v>12</v>
      </c>
      <c r="S798">
        <f t="shared" si="122"/>
        <v>2024</v>
      </c>
      <c r="T798">
        <f t="shared" si="123"/>
        <v>9</v>
      </c>
      <c r="U798" t="str">
        <f t="shared" si="124"/>
        <v>09</v>
      </c>
      <c r="V798" t="str">
        <f t="shared" si="125"/>
        <v>202409</v>
      </c>
      <c r="W798" t="str">
        <f t="shared" si="126"/>
        <v>Dec-24</v>
      </c>
      <c r="X798" s="3">
        <f t="shared" si="127"/>
        <v>7858.95</v>
      </c>
      <c r="Y798">
        <f t="shared" si="128"/>
        <v>7858.95</v>
      </c>
      <c r="Z798" t="str">
        <f t="shared" si="129"/>
        <v/>
      </c>
    </row>
    <row r="799" spans="1:26" x14ac:dyDescent="0.25">
      <c r="A799" s="1">
        <v>45656</v>
      </c>
      <c r="B799" t="s">
        <v>1086</v>
      </c>
      <c r="C799" t="s">
        <v>17</v>
      </c>
      <c r="D799" t="s">
        <v>22</v>
      </c>
      <c r="E799">
        <v>75</v>
      </c>
      <c r="F799">
        <v>0</v>
      </c>
      <c r="G799">
        <v>85</v>
      </c>
      <c r="H799">
        <v>6375</v>
      </c>
      <c r="I799" t="s">
        <v>1093</v>
      </c>
      <c r="J799">
        <v>0</v>
      </c>
      <c r="K799">
        <v>2.27</v>
      </c>
      <c r="L799">
        <v>0</v>
      </c>
      <c r="M799">
        <v>0.01</v>
      </c>
      <c r="N799">
        <v>20</v>
      </c>
      <c r="O799">
        <v>4.0199999999999996</v>
      </c>
      <c r="P799">
        <v>26.3</v>
      </c>
      <c r="Q799">
        <f t="shared" si="120"/>
        <v>2024</v>
      </c>
      <c r="R799">
        <f t="shared" si="121"/>
        <v>12</v>
      </c>
      <c r="S799">
        <f t="shared" si="122"/>
        <v>2024</v>
      </c>
      <c r="T799">
        <f t="shared" si="123"/>
        <v>9</v>
      </c>
      <c r="U799" t="str">
        <f t="shared" si="124"/>
        <v>09</v>
      </c>
      <c r="V799" t="str">
        <f t="shared" si="125"/>
        <v>202409</v>
      </c>
      <c r="W799" t="str">
        <f t="shared" si="126"/>
        <v>Dec-24</v>
      </c>
      <c r="X799" s="3">
        <f t="shared" si="127"/>
        <v>-6401.3</v>
      </c>
      <c r="Y799" t="str">
        <f t="shared" si="128"/>
        <v/>
      </c>
      <c r="Z799">
        <f t="shared" si="129"/>
        <v>-6401.3</v>
      </c>
    </row>
    <row r="800" spans="1:26" x14ac:dyDescent="0.25">
      <c r="A800" s="1">
        <v>45656</v>
      </c>
      <c r="B800" t="s">
        <v>1094</v>
      </c>
      <c r="C800" t="s">
        <v>17</v>
      </c>
      <c r="D800" t="s">
        <v>18</v>
      </c>
      <c r="E800">
        <v>75</v>
      </c>
      <c r="F800">
        <v>0</v>
      </c>
      <c r="G800">
        <v>93.45</v>
      </c>
      <c r="H800">
        <v>7008.75</v>
      </c>
      <c r="I800" t="s">
        <v>1095</v>
      </c>
      <c r="J800">
        <v>7.11</v>
      </c>
      <c r="K800">
        <v>2.4900000000000002</v>
      </c>
      <c r="L800">
        <v>0</v>
      </c>
      <c r="M800">
        <v>0.01</v>
      </c>
      <c r="N800">
        <v>20</v>
      </c>
      <c r="O800">
        <v>4.0599999999999996</v>
      </c>
      <c r="P800">
        <v>33.67</v>
      </c>
      <c r="Q800">
        <f t="shared" si="120"/>
        <v>2024</v>
      </c>
      <c r="R800">
        <f t="shared" si="121"/>
        <v>12</v>
      </c>
      <c r="S800">
        <f t="shared" si="122"/>
        <v>2024</v>
      </c>
      <c r="T800">
        <f t="shared" si="123"/>
        <v>9</v>
      </c>
      <c r="U800" t="str">
        <f t="shared" si="124"/>
        <v>09</v>
      </c>
      <c r="V800" t="str">
        <f t="shared" si="125"/>
        <v>202409</v>
      </c>
      <c r="W800" t="str">
        <f t="shared" si="126"/>
        <v>Dec-24</v>
      </c>
      <c r="X800" s="3">
        <f t="shared" si="127"/>
        <v>6975.08</v>
      </c>
      <c r="Y800">
        <f t="shared" si="128"/>
        <v>6975.08</v>
      </c>
      <c r="Z800" t="str">
        <f t="shared" si="129"/>
        <v/>
      </c>
    </row>
    <row r="801" spans="1:26" x14ac:dyDescent="0.25">
      <c r="A801" s="1">
        <v>45656</v>
      </c>
      <c r="B801" t="s">
        <v>1094</v>
      </c>
      <c r="C801" t="s">
        <v>17</v>
      </c>
      <c r="D801" t="s">
        <v>22</v>
      </c>
      <c r="E801">
        <v>75</v>
      </c>
      <c r="F801">
        <v>0</v>
      </c>
      <c r="G801">
        <v>108.55</v>
      </c>
      <c r="H801">
        <v>8141.25</v>
      </c>
      <c r="I801" t="s">
        <v>1096</v>
      </c>
      <c r="J801">
        <v>0</v>
      </c>
      <c r="K801">
        <v>2.89</v>
      </c>
      <c r="L801">
        <v>0</v>
      </c>
      <c r="M801">
        <v>0.01</v>
      </c>
      <c r="N801">
        <v>20</v>
      </c>
      <c r="O801">
        <v>4.12</v>
      </c>
      <c r="P801">
        <v>27.02</v>
      </c>
      <c r="Q801">
        <f t="shared" si="120"/>
        <v>2024</v>
      </c>
      <c r="R801">
        <f t="shared" si="121"/>
        <v>12</v>
      </c>
      <c r="S801">
        <f t="shared" si="122"/>
        <v>2024</v>
      </c>
      <c r="T801">
        <f t="shared" si="123"/>
        <v>9</v>
      </c>
      <c r="U801" t="str">
        <f t="shared" si="124"/>
        <v>09</v>
      </c>
      <c r="V801" t="str">
        <f t="shared" si="125"/>
        <v>202409</v>
      </c>
      <c r="W801" t="str">
        <f t="shared" si="126"/>
        <v>Dec-24</v>
      </c>
      <c r="X801" s="3">
        <f t="shared" si="127"/>
        <v>-8168.27</v>
      </c>
      <c r="Y801" t="str">
        <f t="shared" si="128"/>
        <v/>
      </c>
      <c r="Z801">
        <f t="shared" si="129"/>
        <v>-8168.27</v>
      </c>
    </row>
    <row r="802" spans="1:26" x14ac:dyDescent="0.25">
      <c r="A802" s="1">
        <v>45657</v>
      </c>
      <c r="B802" t="s">
        <v>1097</v>
      </c>
      <c r="C802" t="s">
        <v>17</v>
      </c>
      <c r="D802" t="s">
        <v>22</v>
      </c>
      <c r="E802">
        <v>75</v>
      </c>
      <c r="F802">
        <v>0</v>
      </c>
      <c r="G802">
        <v>103</v>
      </c>
      <c r="H802">
        <v>7725</v>
      </c>
      <c r="I802" t="s">
        <v>1098</v>
      </c>
      <c r="J802">
        <v>0</v>
      </c>
      <c r="K802">
        <v>2.74</v>
      </c>
      <c r="L802">
        <v>0</v>
      </c>
      <c r="M802">
        <v>0.01</v>
      </c>
      <c r="N802">
        <v>20</v>
      </c>
      <c r="O802">
        <v>4.0999999999999996</v>
      </c>
      <c r="P802">
        <v>26.85</v>
      </c>
      <c r="Q802">
        <f t="shared" si="120"/>
        <v>2024</v>
      </c>
      <c r="R802">
        <f t="shared" si="121"/>
        <v>12</v>
      </c>
      <c r="S802">
        <f t="shared" si="122"/>
        <v>2024</v>
      </c>
      <c r="T802">
        <f t="shared" si="123"/>
        <v>9</v>
      </c>
      <c r="U802" t="str">
        <f t="shared" si="124"/>
        <v>09</v>
      </c>
      <c r="V802" t="str">
        <f t="shared" si="125"/>
        <v>202409</v>
      </c>
      <c r="W802" t="str">
        <f t="shared" si="126"/>
        <v>Dec-24</v>
      </c>
      <c r="X802" s="3">
        <f t="shared" si="127"/>
        <v>-7751.85</v>
      </c>
      <c r="Y802" t="str">
        <f t="shared" si="128"/>
        <v/>
      </c>
      <c r="Z802">
        <f t="shared" si="129"/>
        <v>-7751.85</v>
      </c>
    </row>
    <row r="803" spans="1:26" x14ac:dyDescent="0.25">
      <c r="A803" s="1">
        <v>45657</v>
      </c>
      <c r="B803" t="s">
        <v>1097</v>
      </c>
      <c r="C803" t="s">
        <v>17</v>
      </c>
      <c r="D803" t="s">
        <v>22</v>
      </c>
      <c r="E803">
        <v>75</v>
      </c>
      <c r="F803">
        <v>0</v>
      </c>
      <c r="G803">
        <v>108.9</v>
      </c>
      <c r="H803">
        <v>8167.5</v>
      </c>
      <c r="I803" t="s">
        <v>1099</v>
      </c>
      <c r="J803">
        <v>0</v>
      </c>
      <c r="K803">
        <v>2.9</v>
      </c>
      <c r="L803">
        <v>0</v>
      </c>
      <c r="M803">
        <v>0.01</v>
      </c>
      <c r="N803">
        <v>20</v>
      </c>
      <c r="O803">
        <v>4.12</v>
      </c>
      <c r="P803">
        <v>27.03</v>
      </c>
      <c r="Q803">
        <f t="shared" si="120"/>
        <v>2024</v>
      </c>
      <c r="R803">
        <f t="shared" si="121"/>
        <v>12</v>
      </c>
      <c r="S803">
        <f t="shared" si="122"/>
        <v>2024</v>
      </c>
      <c r="T803">
        <f t="shared" si="123"/>
        <v>9</v>
      </c>
      <c r="U803" t="str">
        <f t="shared" si="124"/>
        <v>09</v>
      </c>
      <c r="V803" t="str">
        <f t="shared" si="125"/>
        <v>202409</v>
      </c>
      <c r="W803" t="str">
        <f t="shared" si="126"/>
        <v>Dec-24</v>
      </c>
      <c r="X803" s="3">
        <f t="shared" si="127"/>
        <v>-8194.5300000000007</v>
      </c>
      <c r="Y803" t="str">
        <f t="shared" si="128"/>
        <v/>
      </c>
      <c r="Z803">
        <f t="shared" si="129"/>
        <v>-8194.5300000000007</v>
      </c>
    </row>
    <row r="804" spans="1:26" x14ac:dyDescent="0.25">
      <c r="A804" s="1">
        <v>45657</v>
      </c>
      <c r="B804" t="s">
        <v>1097</v>
      </c>
      <c r="C804" t="s">
        <v>17</v>
      </c>
      <c r="D804" t="s">
        <v>22</v>
      </c>
      <c r="E804">
        <v>75</v>
      </c>
      <c r="F804">
        <v>0</v>
      </c>
      <c r="G804">
        <v>126.25</v>
      </c>
      <c r="H804">
        <v>9468.75</v>
      </c>
      <c r="I804" t="s">
        <v>1100</v>
      </c>
      <c r="J804">
        <v>0</v>
      </c>
      <c r="K804">
        <v>3.36</v>
      </c>
      <c r="L804">
        <v>0.44</v>
      </c>
      <c r="M804">
        <v>0.01</v>
      </c>
      <c r="N804">
        <v>20</v>
      </c>
      <c r="O804">
        <v>4.2</v>
      </c>
      <c r="P804">
        <v>28.01</v>
      </c>
      <c r="Q804">
        <f t="shared" si="120"/>
        <v>2024</v>
      </c>
      <c r="R804">
        <f t="shared" si="121"/>
        <v>12</v>
      </c>
      <c r="S804">
        <f t="shared" si="122"/>
        <v>2024</v>
      </c>
      <c r="T804">
        <f t="shared" si="123"/>
        <v>9</v>
      </c>
      <c r="U804" t="str">
        <f t="shared" si="124"/>
        <v>09</v>
      </c>
      <c r="V804" t="str">
        <f t="shared" si="125"/>
        <v>202409</v>
      </c>
      <c r="W804" t="str">
        <f t="shared" si="126"/>
        <v>Dec-24</v>
      </c>
      <c r="X804" s="3">
        <f t="shared" si="127"/>
        <v>-9496.76</v>
      </c>
      <c r="Y804" t="str">
        <f t="shared" si="128"/>
        <v/>
      </c>
      <c r="Z804">
        <f t="shared" si="129"/>
        <v>-9496.76</v>
      </c>
    </row>
    <row r="805" spans="1:26" x14ac:dyDescent="0.25">
      <c r="A805" s="1">
        <v>45657</v>
      </c>
      <c r="B805" t="s">
        <v>1101</v>
      </c>
      <c r="C805" t="s">
        <v>17</v>
      </c>
      <c r="D805" t="s">
        <v>18</v>
      </c>
      <c r="E805">
        <v>75</v>
      </c>
      <c r="F805">
        <v>0</v>
      </c>
      <c r="G805">
        <v>129.25</v>
      </c>
      <c r="H805">
        <v>9693.75</v>
      </c>
      <c r="I805" t="s">
        <v>1102</v>
      </c>
      <c r="J805">
        <v>9.56</v>
      </c>
      <c r="K805">
        <v>3.44</v>
      </c>
      <c r="L805">
        <v>0</v>
      </c>
      <c r="M805">
        <v>0.01</v>
      </c>
      <c r="N805">
        <v>20</v>
      </c>
      <c r="O805">
        <v>4.22</v>
      </c>
      <c r="P805">
        <v>37.229999999999997</v>
      </c>
      <c r="Q805">
        <f t="shared" si="120"/>
        <v>2024</v>
      </c>
      <c r="R805">
        <f t="shared" si="121"/>
        <v>12</v>
      </c>
      <c r="S805">
        <f t="shared" si="122"/>
        <v>2024</v>
      </c>
      <c r="T805">
        <f t="shared" si="123"/>
        <v>9</v>
      </c>
      <c r="U805" t="str">
        <f t="shared" si="124"/>
        <v>09</v>
      </c>
      <c r="V805" t="str">
        <f t="shared" si="125"/>
        <v>202409</v>
      </c>
      <c r="W805" t="str">
        <f t="shared" si="126"/>
        <v>Dec-24</v>
      </c>
      <c r="X805" s="3">
        <f t="shared" si="127"/>
        <v>9656.52</v>
      </c>
      <c r="Y805">
        <f t="shared" si="128"/>
        <v>9656.52</v>
      </c>
      <c r="Z805" t="str">
        <f t="shared" si="129"/>
        <v/>
      </c>
    </row>
    <row r="806" spans="1:26" x14ac:dyDescent="0.25">
      <c r="A806" s="1">
        <v>45657</v>
      </c>
      <c r="B806" t="s">
        <v>1101</v>
      </c>
      <c r="C806" t="s">
        <v>17</v>
      </c>
      <c r="D806" t="s">
        <v>22</v>
      </c>
      <c r="E806">
        <v>75</v>
      </c>
      <c r="F806">
        <v>0</v>
      </c>
      <c r="G806">
        <v>122.25</v>
      </c>
      <c r="H806">
        <v>9168.75</v>
      </c>
      <c r="I806" t="s">
        <v>1103</v>
      </c>
      <c r="J806">
        <v>0</v>
      </c>
      <c r="K806">
        <v>3.26</v>
      </c>
      <c r="L806">
        <v>0</v>
      </c>
      <c r="M806">
        <v>0.01</v>
      </c>
      <c r="N806">
        <v>20</v>
      </c>
      <c r="O806">
        <v>4.18</v>
      </c>
      <c r="P806">
        <v>27.45</v>
      </c>
      <c r="Q806">
        <f t="shared" si="120"/>
        <v>2024</v>
      </c>
      <c r="R806">
        <f t="shared" si="121"/>
        <v>12</v>
      </c>
      <c r="S806">
        <f t="shared" si="122"/>
        <v>2024</v>
      </c>
      <c r="T806">
        <f t="shared" si="123"/>
        <v>9</v>
      </c>
      <c r="U806" t="str">
        <f t="shared" si="124"/>
        <v>09</v>
      </c>
      <c r="V806" t="str">
        <f t="shared" si="125"/>
        <v>202409</v>
      </c>
      <c r="W806" t="str">
        <f t="shared" si="126"/>
        <v>Dec-24</v>
      </c>
      <c r="X806" s="3">
        <f t="shared" si="127"/>
        <v>-9196.2000000000007</v>
      </c>
      <c r="Y806" t="str">
        <f t="shared" si="128"/>
        <v/>
      </c>
      <c r="Z806">
        <f t="shared" si="129"/>
        <v>-9196.2000000000007</v>
      </c>
    </row>
    <row r="807" spans="1:26" x14ac:dyDescent="0.25">
      <c r="A807" s="1">
        <v>45657</v>
      </c>
      <c r="B807" t="s">
        <v>1101</v>
      </c>
      <c r="C807" t="s">
        <v>17</v>
      </c>
      <c r="D807" t="s">
        <v>18</v>
      </c>
      <c r="E807">
        <v>75</v>
      </c>
      <c r="F807">
        <v>0</v>
      </c>
      <c r="G807">
        <v>139.25</v>
      </c>
      <c r="H807">
        <v>10443.75</v>
      </c>
      <c r="I807" t="s">
        <v>1104</v>
      </c>
      <c r="J807">
        <v>10.44</v>
      </c>
      <c r="K807">
        <v>3.71</v>
      </c>
      <c r="L807">
        <v>0</v>
      </c>
      <c r="M807">
        <v>0.01</v>
      </c>
      <c r="N807">
        <v>20</v>
      </c>
      <c r="O807">
        <v>4.26</v>
      </c>
      <c r="P807">
        <v>38.42</v>
      </c>
      <c r="Q807">
        <f t="shared" si="120"/>
        <v>2024</v>
      </c>
      <c r="R807">
        <f t="shared" si="121"/>
        <v>12</v>
      </c>
      <c r="S807">
        <f t="shared" si="122"/>
        <v>2024</v>
      </c>
      <c r="T807">
        <f t="shared" si="123"/>
        <v>9</v>
      </c>
      <c r="U807" t="str">
        <f t="shared" si="124"/>
        <v>09</v>
      </c>
      <c r="V807" t="str">
        <f t="shared" si="125"/>
        <v>202409</v>
      </c>
      <c r="W807" t="str">
        <f t="shared" si="126"/>
        <v>Dec-24</v>
      </c>
      <c r="X807" s="3">
        <f t="shared" si="127"/>
        <v>10405.33</v>
      </c>
      <c r="Y807">
        <f t="shared" si="128"/>
        <v>10405.33</v>
      </c>
      <c r="Z807" t="str">
        <f t="shared" si="129"/>
        <v/>
      </c>
    </row>
    <row r="808" spans="1:26" x14ac:dyDescent="0.25">
      <c r="A808" s="1">
        <v>45657</v>
      </c>
      <c r="B808" t="s">
        <v>1101</v>
      </c>
      <c r="C808" t="s">
        <v>17</v>
      </c>
      <c r="D808" t="s">
        <v>22</v>
      </c>
      <c r="E808">
        <v>75</v>
      </c>
      <c r="F808">
        <v>0</v>
      </c>
      <c r="G808">
        <v>127.2</v>
      </c>
      <c r="H808">
        <v>9540</v>
      </c>
      <c r="I808" t="s">
        <v>1105</v>
      </c>
      <c r="J808">
        <v>0</v>
      </c>
      <c r="K808">
        <v>3.39</v>
      </c>
      <c r="L808">
        <v>0.56000000000000005</v>
      </c>
      <c r="M808">
        <v>0.01</v>
      </c>
      <c r="N808">
        <v>20</v>
      </c>
      <c r="O808">
        <v>4.22</v>
      </c>
      <c r="P808">
        <v>28.18</v>
      </c>
      <c r="Q808">
        <f t="shared" si="120"/>
        <v>2024</v>
      </c>
      <c r="R808">
        <f t="shared" si="121"/>
        <v>12</v>
      </c>
      <c r="S808">
        <f t="shared" si="122"/>
        <v>2024</v>
      </c>
      <c r="T808">
        <f t="shared" si="123"/>
        <v>9</v>
      </c>
      <c r="U808" t="str">
        <f t="shared" si="124"/>
        <v>09</v>
      </c>
      <c r="V808" t="str">
        <f t="shared" si="125"/>
        <v>202409</v>
      </c>
      <c r="W808" t="str">
        <f t="shared" si="126"/>
        <v>Dec-24</v>
      </c>
      <c r="X808" s="3">
        <f t="shared" si="127"/>
        <v>-9568.18</v>
      </c>
      <c r="Y808" t="str">
        <f t="shared" si="128"/>
        <v/>
      </c>
      <c r="Z808">
        <f t="shared" si="129"/>
        <v>-9568.18</v>
      </c>
    </row>
    <row r="809" spans="1:26" x14ac:dyDescent="0.25">
      <c r="A809" s="1">
        <v>45658</v>
      </c>
      <c r="B809" t="s">
        <v>1106</v>
      </c>
      <c r="C809" t="s">
        <v>17</v>
      </c>
      <c r="D809" t="s">
        <v>18</v>
      </c>
      <c r="E809">
        <v>225</v>
      </c>
      <c r="F809">
        <v>0</v>
      </c>
      <c r="G809">
        <v>169.75</v>
      </c>
      <c r="H809">
        <v>38193.75</v>
      </c>
      <c r="I809" t="s">
        <v>1107</v>
      </c>
      <c r="J809">
        <v>38.19</v>
      </c>
      <c r="K809">
        <v>13.57</v>
      </c>
      <c r="L809">
        <v>0</v>
      </c>
      <c r="M809">
        <v>0.04</v>
      </c>
      <c r="N809">
        <v>60</v>
      </c>
      <c r="O809">
        <v>13.24</v>
      </c>
      <c r="P809">
        <v>125.04</v>
      </c>
      <c r="Q809">
        <f t="shared" si="120"/>
        <v>2025</v>
      </c>
      <c r="R809">
        <f t="shared" si="121"/>
        <v>1</v>
      </c>
      <c r="S809">
        <f t="shared" si="122"/>
        <v>2024</v>
      </c>
      <c r="T809">
        <f t="shared" si="123"/>
        <v>10</v>
      </c>
      <c r="U809">
        <f t="shared" si="124"/>
        <v>10</v>
      </c>
      <c r="V809" t="str">
        <f t="shared" si="125"/>
        <v>202410</v>
      </c>
      <c r="W809" t="str">
        <f t="shared" si="126"/>
        <v>Jan-25</v>
      </c>
      <c r="X809" s="3">
        <f t="shared" si="127"/>
        <v>38068.71</v>
      </c>
      <c r="Y809">
        <f t="shared" si="128"/>
        <v>38068.71</v>
      </c>
      <c r="Z809" t="str">
        <f t="shared" si="129"/>
        <v/>
      </c>
    </row>
    <row r="810" spans="1:26" x14ac:dyDescent="0.25">
      <c r="A810" s="1">
        <v>45658</v>
      </c>
      <c r="B810" t="s">
        <v>1106</v>
      </c>
      <c r="C810" t="s">
        <v>17</v>
      </c>
      <c r="D810" t="s">
        <v>22</v>
      </c>
      <c r="E810">
        <v>225</v>
      </c>
      <c r="F810">
        <v>0</v>
      </c>
      <c r="G810">
        <v>160.25</v>
      </c>
      <c r="H810">
        <v>36056.25</v>
      </c>
      <c r="I810" t="s">
        <v>1108</v>
      </c>
      <c r="J810">
        <v>0</v>
      </c>
      <c r="K810">
        <v>12.81</v>
      </c>
      <c r="L810">
        <v>0.79</v>
      </c>
      <c r="M810">
        <v>0.04</v>
      </c>
      <c r="N810">
        <v>60</v>
      </c>
      <c r="O810">
        <v>13.12</v>
      </c>
      <c r="P810">
        <v>86.76</v>
      </c>
      <c r="Q810">
        <f t="shared" si="120"/>
        <v>2025</v>
      </c>
      <c r="R810">
        <f t="shared" si="121"/>
        <v>1</v>
      </c>
      <c r="S810">
        <f t="shared" si="122"/>
        <v>2024</v>
      </c>
      <c r="T810">
        <f t="shared" si="123"/>
        <v>10</v>
      </c>
      <c r="U810">
        <f t="shared" si="124"/>
        <v>10</v>
      </c>
      <c r="V810" t="str">
        <f t="shared" si="125"/>
        <v>202410</v>
      </c>
      <c r="W810" t="str">
        <f t="shared" si="126"/>
        <v>Jan-25</v>
      </c>
      <c r="X810" s="3">
        <f t="shared" si="127"/>
        <v>-36143.01</v>
      </c>
      <c r="Y810" t="str">
        <f t="shared" si="128"/>
        <v/>
      </c>
      <c r="Z810">
        <f t="shared" si="129"/>
        <v>-36143.01</v>
      </c>
    </row>
    <row r="811" spans="1:26" x14ac:dyDescent="0.25">
      <c r="A811" s="1">
        <v>45658</v>
      </c>
      <c r="B811" t="s">
        <v>1109</v>
      </c>
      <c r="C811" t="s">
        <v>17</v>
      </c>
      <c r="D811" t="s">
        <v>18</v>
      </c>
      <c r="E811">
        <v>225</v>
      </c>
      <c r="F811">
        <v>0</v>
      </c>
      <c r="G811">
        <v>115.5</v>
      </c>
      <c r="H811">
        <v>25987.5</v>
      </c>
      <c r="I811" t="s">
        <v>1110</v>
      </c>
      <c r="J811">
        <v>25.99</v>
      </c>
      <c r="K811">
        <v>9.23</v>
      </c>
      <c r="L811">
        <v>0</v>
      </c>
      <c r="M811">
        <v>0.03</v>
      </c>
      <c r="N811">
        <v>60</v>
      </c>
      <c r="O811">
        <v>12.46</v>
      </c>
      <c r="P811">
        <v>107.71</v>
      </c>
      <c r="Q811">
        <f t="shared" si="120"/>
        <v>2025</v>
      </c>
      <c r="R811">
        <f t="shared" si="121"/>
        <v>1</v>
      </c>
      <c r="S811">
        <f t="shared" si="122"/>
        <v>2024</v>
      </c>
      <c r="T811">
        <f t="shared" si="123"/>
        <v>10</v>
      </c>
      <c r="U811">
        <f t="shared" si="124"/>
        <v>10</v>
      </c>
      <c r="V811" t="str">
        <f t="shared" si="125"/>
        <v>202410</v>
      </c>
      <c r="W811" t="str">
        <f t="shared" si="126"/>
        <v>Jan-25</v>
      </c>
      <c r="X811" s="3">
        <f t="shared" si="127"/>
        <v>25879.79</v>
      </c>
      <c r="Y811">
        <f t="shared" si="128"/>
        <v>25879.79</v>
      </c>
      <c r="Z811" t="str">
        <f t="shared" si="129"/>
        <v/>
      </c>
    </row>
    <row r="812" spans="1:26" x14ac:dyDescent="0.25">
      <c r="A812" s="1">
        <v>45658</v>
      </c>
      <c r="B812" t="s">
        <v>1109</v>
      </c>
      <c r="C812" t="s">
        <v>17</v>
      </c>
      <c r="D812" t="s">
        <v>22</v>
      </c>
      <c r="E812">
        <v>225</v>
      </c>
      <c r="F812">
        <v>0</v>
      </c>
      <c r="G812">
        <v>105.4</v>
      </c>
      <c r="H812">
        <v>23715</v>
      </c>
      <c r="I812" t="s">
        <v>1111</v>
      </c>
      <c r="J812">
        <v>0</v>
      </c>
      <c r="K812">
        <v>8.43</v>
      </c>
      <c r="L812">
        <v>0.71</v>
      </c>
      <c r="M812">
        <v>0.02</v>
      </c>
      <c r="N812">
        <v>60</v>
      </c>
      <c r="O812">
        <v>12.32</v>
      </c>
      <c r="P812">
        <v>81.48</v>
      </c>
      <c r="Q812">
        <f t="shared" si="120"/>
        <v>2025</v>
      </c>
      <c r="R812">
        <f t="shared" si="121"/>
        <v>1</v>
      </c>
      <c r="S812">
        <f t="shared" si="122"/>
        <v>2024</v>
      </c>
      <c r="T812">
        <f t="shared" si="123"/>
        <v>10</v>
      </c>
      <c r="U812">
        <f t="shared" si="124"/>
        <v>10</v>
      </c>
      <c r="V812" t="str">
        <f t="shared" si="125"/>
        <v>202410</v>
      </c>
      <c r="W812" t="str">
        <f t="shared" si="126"/>
        <v>Jan-25</v>
      </c>
      <c r="X812" s="3">
        <f t="shared" si="127"/>
        <v>-23796.48</v>
      </c>
      <c r="Y812" t="str">
        <f t="shared" si="128"/>
        <v/>
      </c>
      <c r="Z812">
        <f t="shared" si="129"/>
        <v>-23796.48</v>
      </c>
    </row>
    <row r="813" spans="1:26" x14ac:dyDescent="0.25">
      <c r="A813" s="1">
        <v>45658</v>
      </c>
      <c r="B813" t="s">
        <v>1112</v>
      </c>
      <c r="C813" t="s">
        <v>17</v>
      </c>
      <c r="D813" t="s">
        <v>18</v>
      </c>
      <c r="E813">
        <v>150</v>
      </c>
      <c r="F813">
        <v>0</v>
      </c>
      <c r="G813">
        <v>120.15</v>
      </c>
      <c r="H813">
        <v>18022.5</v>
      </c>
      <c r="I813" t="s">
        <v>1113</v>
      </c>
      <c r="J813">
        <v>18.02</v>
      </c>
      <c r="K813">
        <v>6.4</v>
      </c>
      <c r="L813">
        <v>0</v>
      </c>
      <c r="M813">
        <v>0.02</v>
      </c>
      <c r="N813">
        <v>40</v>
      </c>
      <c r="O813">
        <v>8.36</v>
      </c>
      <c r="P813">
        <v>72.8</v>
      </c>
      <c r="Q813">
        <f t="shared" si="120"/>
        <v>2025</v>
      </c>
      <c r="R813">
        <f t="shared" si="121"/>
        <v>1</v>
      </c>
      <c r="S813">
        <f t="shared" si="122"/>
        <v>2024</v>
      </c>
      <c r="T813">
        <f t="shared" si="123"/>
        <v>10</v>
      </c>
      <c r="U813">
        <f t="shared" si="124"/>
        <v>10</v>
      </c>
      <c r="V813" t="str">
        <f t="shared" si="125"/>
        <v>202410</v>
      </c>
      <c r="W813" t="str">
        <f t="shared" si="126"/>
        <v>Jan-25</v>
      </c>
      <c r="X813" s="3">
        <f t="shared" si="127"/>
        <v>17949.7</v>
      </c>
      <c r="Y813">
        <f t="shared" si="128"/>
        <v>17949.7</v>
      </c>
      <c r="Z813" t="str">
        <f t="shared" si="129"/>
        <v/>
      </c>
    </row>
    <row r="814" spans="1:26" x14ac:dyDescent="0.25">
      <c r="A814" s="1">
        <v>45658</v>
      </c>
      <c r="B814" t="s">
        <v>1112</v>
      </c>
      <c r="C814" t="s">
        <v>17</v>
      </c>
      <c r="D814" t="s">
        <v>22</v>
      </c>
      <c r="E814">
        <v>75</v>
      </c>
      <c r="F814">
        <v>0</v>
      </c>
      <c r="G814">
        <v>110</v>
      </c>
      <c r="H814">
        <v>8250</v>
      </c>
      <c r="I814" t="s">
        <v>1114</v>
      </c>
      <c r="J814">
        <v>0</v>
      </c>
      <c r="K814">
        <v>2.93</v>
      </c>
      <c r="L814">
        <v>0.5</v>
      </c>
      <c r="M814">
        <v>0.01</v>
      </c>
      <c r="N814">
        <v>20</v>
      </c>
      <c r="O814">
        <v>4.12</v>
      </c>
      <c r="P814">
        <v>27.56</v>
      </c>
      <c r="Q814">
        <f t="shared" si="120"/>
        <v>2025</v>
      </c>
      <c r="R814">
        <f t="shared" si="121"/>
        <v>1</v>
      </c>
      <c r="S814">
        <f t="shared" si="122"/>
        <v>2024</v>
      </c>
      <c r="T814">
        <f t="shared" si="123"/>
        <v>10</v>
      </c>
      <c r="U814">
        <f t="shared" si="124"/>
        <v>10</v>
      </c>
      <c r="V814" t="str">
        <f t="shared" si="125"/>
        <v>202410</v>
      </c>
      <c r="W814" t="str">
        <f t="shared" si="126"/>
        <v>Jan-25</v>
      </c>
      <c r="X814" s="3">
        <f t="shared" si="127"/>
        <v>-8277.56</v>
      </c>
      <c r="Y814" t="str">
        <f t="shared" si="128"/>
        <v/>
      </c>
      <c r="Z814">
        <f t="shared" si="129"/>
        <v>-8277.56</v>
      </c>
    </row>
    <row r="815" spans="1:26" x14ac:dyDescent="0.25">
      <c r="A815" s="1">
        <v>45658</v>
      </c>
      <c r="B815" t="s">
        <v>1112</v>
      </c>
      <c r="C815" t="s">
        <v>17</v>
      </c>
      <c r="D815" t="s">
        <v>22</v>
      </c>
      <c r="E815">
        <v>75</v>
      </c>
      <c r="F815">
        <v>0</v>
      </c>
      <c r="G815">
        <v>113.4</v>
      </c>
      <c r="H815">
        <v>8505</v>
      </c>
      <c r="I815" t="s">
        <v>1115</v>
      </c>
      <c r="J815">
        <v>0</v>
      </c>
      <c r="K815">
        <v>3.02</v>
      </c>
      <c r="L815">
        <v>0</v>
      </c>
      <c r="M815">
        <v>0.01</v>
      </c>
      <c r="N815">
        <v>20</v>
      </c>
      <c r="O815">
        <v>4.1399999999999997</v>
      </c>
      <c r="P815">
        <v>27.17</v>
      </c>
      <c r="Q815">
        <f t="shared" si="120"/>
        <v>2025</v>
      </c>
      <c r="R815">
        <f t="shared" si="121"/>
        <v>1</v>
      </c>
      <c r="S815">
        <f t="shared" si="122"/>
        <v>2024</v>
      </c>
      <c r="T815">
        <f t="shared" si="123"/>
        <v>10</v>
      </c>
      <c r="U815">
        <f t="shared" si="124"/>
        <v>10</v>
      </c>
      <c r="V815" t="str">
        <f t="shared" si="125"/>
        <v>202410</v>
      </c>
      <c r="W815" t="str">
        <f t="shared" si="126"/>
        <v>Jan-25</v>
      </c>
      <c r="X815" s="3">
        <f t="shared" si="127"/>
        <v>-8532.17</v>
      </c>
      <c r="Y815" t="str">
        <f t="shared" si="128"/>
        <v/>
      </c>
      <c r="Z815">
        <f t="shared" si="129"/>
        <v>-8532.17</v>
      </c>
    </row>
    <row r="816" spans="1:26" x14ac:dyDescent="0.25">
      <c r="A816" s="1">
        <v>45658</v>
      </c>
      <c r="B816" t="s">
        <v>1097</v>
      </c>
      <c r="C816" t="s">
        <v>17</v>
      </c>
      <c r="D816" t="s">
        <v>18</v>
      </c>
      <c r="E816">
        <v>225</v>
      </c>
      <c r="F816">
        <v>0</v>
      </c>
      <c r="G816">
        <v>86</v>
      </c>
      <c r="H816">
        <v>19350</v>
      </c>
      <c r="I816" t="s">
        <v>1116</v>
      </c>
      <c r="J816">
        <v>19.8</v>
      </c>
      <c r="K816">
        <v>6.87</v>
      </c>
      <c r="L816">
        <v>0</v>
      </c>
      <c r="M816">
        <v>0.02</v>
      </c>
      <c r="N816">
        <v>60</v>
      </c>
      <c r="O816">
        <v>12.04</v>
      </c>
      <c r="P816">
        <v>98.73</v>
      </c>
      <c r="Q816">
        <f t="shared" si="120"/>
        <v>2025</v>
      </c>
      <c r="R816">
        <f t="shared" si="121"/>
        <v>1</v>
      </c>
      <c r="S816">
        <f t="shared" si="122"/>
        <v>2024</v>
      </c>
      <c r="T816">
        <f t="shared" si="123"/>
        <v>10</v>
      </c>
      <c r="U816">
        <f t="shared" si="124"/>
        <v>10</v>
      </c>
      <c r="V816" t="str">
        <f t="shared" si="125"/>
        <v>202410</v>
      </c>
      <c r="W816" t="str">
        <f t="shared" si="126"/>
        <v>Jan-25</v>
      </c>
      <c r="X816" s="3">
        <f t="shared" si="127"/>
        <v>19251.27</v>
      </c>
      <c r="Y816">
        <f t="shared" si="128"/>
        <v>19251.27</v>
      </c>
      <c r="Z816" t="str">
        <f t="shared" si="129"/>
        <v/>
      </c>
    </row>
    <row r="817" spans="1:26" x14ac:dyDescent="0.25">
      <c r="A817" s="1">
        <v>45659</v>
      </c>
      <c r="B817" t="s">
        <v>1086</v>
      </c>
      <c r="C817" t="s">
        <v>17</v>
      </c>
      <c r="D817" t="s">
        <v>18</v>
      </c>
      <c r="E817">
        <v>300</v>
      </c>
      <c r="F817">
        <v>0</v>
      </c>
      <c r="G817">
        <v>37.35</v>
      </c>
      <c r="H817">
        <v>11205</v>
      </c>
      <c r="I817" t="s">
        <v>1117</v>
      </c>
      <c r="J817">
        <v>11.21</v>
      </c>
      <c r="K817">
        <v>3.98</v>
      </c>
      <c r="L817">
        <v>0</v>
      </c>
      <c r="M817">
        <v>0.01</v>
      </c>
      <c r="N817">
        <v>80</v>
      </c>
      <c r="O817">
        <v>15.12</v>
      </c>
      <c r="P817">
        <v>110.32</v>
      </c>
      <c r="Q817">
        <f t="shared" si="120"/>
        <v>2025</v>
      </c>
      <c r="R817">
        <f t="shared" si="121"/>
        <v>1</v>
      </c>
      <c r="S817">
        <f t="shared" si="122"/>
        <v>2024</v>
      </c>
      <c r="T817">
        <f t="shared" si="123"/>
        <v>10</v>
      </c>
      <c r="U817">
        <f t="shared" si="124"/>
        <v>10</v>
      </c>
      <c r="V817" t="str">
        <f t="shared" si="125"/>
        <v>202410</v>
      </c>
      <c r="W817" t="str">
        <f t="shared" si="126"/>
        <v>Jan-25</v>
      </c>
      <c r="X817" s="3">
        <f t="shared" si="127"/>
        <v>11094.68</v>
      </c>
      <c r="Y817">
        <f t="shared" si="128"/>
        <v>11094.68</v>
      </c>
      <c r="Z817" t="str">
        <f t="shared" si="129"/>
        <v/>
      </c>
    </row>
    <row r="818" spans="1:26" x14ac:dyDescent="0.25">
      <c r="A818" s="1">
        <v>45659</v>
      </c>
      <c r="B818" t="s">
        <v>1086</v>
      </c>
      <c r="C818" t="s">
        <v>17</v>
      </c>
      <c r="D818" t="s">
        <v>22</v>
      </c>
      <c r="E818">
        <v>300</v>
      </c>
      <c r="F818">
        <v>0</v>
      </c>
      <c r="G818">
        <v>61.25</v>
      </c>
      <c r="H818">
        <v>18375</v>
      </c>
      <c r="I818" t="s">
        <v>1118</v>
      </c>
      <c r="J818">
        <v>0</v>
      </c>
      <c r="K818">
        <v>6.53</v>
      </c>
      <c r="L818">
        <v>2</v>
      </c>
      <c r="M818">
        <v>0.02</v>
      </c>
      <c r="N818">
        <v>80</v>
      </c>
      <c r="O818">
        <v>15.58</v>
      </c>
      <c r="P818">
        <v>104.13</v>
      </c>
      <c r="Q818">
        <f t="shared" si="120"/>
        <v>2025</v>
      </c>
      <c r="R818">
        <f t="shared" si="121"/>
        <v>1</v>
      </c>
      <c r="S818">
        <f t="shared" si="122"/>
        <v>2024</v>
      </c>
      <c r="T818">
        <f t="shared" si="123"/>
        <v>10</v>
      </c>
      <c r="U818">
        <f t="shared" si="124"/>
        <v>10</v>
      </c>
      <c r="V818" t="str">
        <f t="shared" si="125"/>
        <v>202410</v>
      </c>
      <c r="W818" t="str">
        <f t="shared" si="126"/>
        <v>Jan-25</v>
      </c>
      <c r="X818" s="3">
        <f t="shared" si="127"/>
        <v>-18479.13</v>
      </c>
      <c r="Y818" t="str">
        <f t="shared" si="128"/>
        <v/>
      </c>
      <c r="Z818">
        <f t="shared" si="129"/>
        <v>-18479.13</v>
      </c>
    </row>
    <row r="819" spans="1:26" x14ac:dyDescent="0.25">
      <c r="A819" s="1">
        <v>45659</v>
      </c>
      <c r="B819" t="s">
        <v>1086</v>
      </c>
      <c r="C819" t="s">
        <v>17</v>
      </c>
      <c r="D819" t="s">
        <v>18</v>
      </c>
      <c r="E819">
        <v>300</v>
      </c>
      <c r="F819">
        <v>0</v>
      </c>
      <c r="G819">
        <v>82.15</v>
      </c>
      <c r="H819">
        <v>24645</v>
      </c>
      <c r="I819" t="s">
        <v>1119</v>
      </c>
      <c r="J819">
        <v>24.79</v>
      </c>
      <c r="K819">
        <v>8.76</v>
      </c>
      <c r="L819">
        <v>0</v>
      </c>
      <c r="M819">
        <v>0.03</v>
      </c>
      <c r="N819">
        <v>80</v>
      </c>
      <c r="O819">
        <v>16</v>
      </c>
      <c r="P819">
        <v>129.58000000000001</v>
      </c>
      <c r="Q819">
        <f t="shared" si="120"/>
        <v>2025</v>
      </c>
      <c r="R819">
        <f t="shared" si="121"/>
        <v>1</v>
      </c>
      <c r="S819">
        <f t="shared" si="122"/>
        <v>2024</v>
      </c>
      <c r="T819">
        <f t="shared" si="123"/>
        <v>10</v>
      </c>
      <c r="U819">
        <f t="shared" si="124"/>
        <v>10</v>
      </c>
      <c r="V819" t="str">
        <f t="shared" si="125"/>
        <v>202410</v>
      </c>
      <c r="W819" t="str">
        <f t="shared" si="126"/>
        <v>Jan-25</v>
      </c>
      <c r="X819" s="3">
        <f t="shared" si="127"/>
        <v>24515.42</v>
      </c>
      <c r="Y819">
        <f t="shared" si="128"/>
        <v>24515.42</v>
      </c>
      <c r="Z819" t="str">
        <f t="shared" si="129"/>
        <v/>
      </c>
    </row>
    <row r="820" spans="1:26" x14ac:dyDescent="0.25">
      <c r="A820" s="1">
        <v>45659</v>
      </c>
      <c r="B820" t="s">
        <v>1086</v>
      </c>
      <c r="C820" t="s">
        <v>17</v>
      </c>
      <c r="D820" t="s">
        <v>22</v>
      </c>
      <c r="E820">
        <v>75</v>
      </c>
      <c r="F820">
        <v>0</v>
      </c>
      <c r="G820">
        <v>114.2</v>
      </c>
      <c r="H820">
        <v>8565</v>
      </c>
      <c r="I820" t="s">
        <v>1120</v>
      </c>
      <c r="J820">
        <v>0</v>
      </c>
      <c r="K820">
        <v>3.04</v>
      </c>
      <c r="L820">
        <v>0</v>
      </c>
      <c r="M820">
        <v>0.01</v>
      </c>
      <c r="N820">
        <v>20</v>
      </c>
      <c r="O820">
        <v>4.1399999999999997</v>
      </c>
      <c r="P820">
        <v>27.19</v>
      </c>
      <c r="Q820">
        <f t="shared" si="120"/>
        <v>2025</v>
      </c>
      <c r="R820">
        <f t="shared" si="121"/>
        <v>1</v>
      </c>
      <c r="S820">
        <f t="shared" si="122"/>
        <v>2024</v>
      </c>
      <c r="T820">
        <f t="shared" si="123"/>
        <v>10</v>
      </c>
      <c r="U820">
        <f t="shared" si="124"/>
        <v>10</v>
      </c>
      <c r="V820" t="str">
        <f t="shared" si="125"/>
        <v>202410</v>
      </c>
      <c r="W820" t="str">
        <f t="shared" si="126"/>
        <v>Jan-25</v>
      </c>
      <c r="X820" s="3">
        <f t="shared" si="127"/>
        <v>-8592.19</v>
      </c>
      <c r="Y820" t="str">
        <f t="shared" si="128"/>
        <v/>
      </c>
      <c r="Z820">
        <f t="shared" si="129"/>
        <v>-8592.19</v>
      </c>
    </row>
    <row r="821" spans="1:26" x14ac:dyDescent="0.25">
      <c r="A821" s="1">
        <v>45659</v>
      </c>
      <c r="B821" t="s">
        <v>1086</v>
      </c>
      <c r="C821" t="s">
        <v>17</v>
      </c>
      <c r="D821" t="s">
        <v>22</v>
      </c>
      <c r="E821">
        <v>225</v>
      </c>
      <c r="F821">
        <v>0</v>
      </c>
      <c r="G821">
        <v>127.25</v>
      </c>
      <c r="H821">
        <v>28631.25</v>
      </c>
      <c r="I821" t="s">
        <v>1121</v>
      </c>
      <c r="J821">
        <v>0</v>
      </c>
      <c r="K821">
        <v>10.17</v>
      </c>
      <c r="L821">
        <v>0</v>
      </c>
      <c r="M821">
        <v>0.03</v>
      </c>
      <c r="N821">
        <v>60</v>
      </c>
      <c r="O821">
        <v>12.64</v>
      </c>
      <c r="P821">
        <v>82.84</v>
      </c>
      <c r="Q821">
        <f t="shared" si="120"/>
        <v>2025</v>
      </c>
      <c r="R821">
        <f t="shared" si="121"/>
        <v>1</v>
      </c>
      <c r="S821">
        <f t="shared" si="122"/>
        <v>2024</v>
      </c>
      <c r="T821">
        <f t="shared" si="123"/>
        <v>10</v>
      </c>
      <c r="U821">
        <f t="shared" si="124"/>
        <v>10</v>
      </c>
      <c r="V821" t="str">
        <f t="shared" si="125"/>
        <v>202410</v>
      </c>
      <c r="W821" t="str">
        <f t="shared" si="126"/>
        <v>Jan-25</v>
      </c>
      <c r="X821" s="3">
        <f t="shared" si="127"/>
        <v>-28714.09</v>
      </c>
      <c r="Y821" t="str">
        <f t="shared" si="128"/>
        <v/>
      </c>
      <c r="Z821">
        <f t="shared" si="129"/>
        <v>-28714.09</v>
      </c>
    </row>
    <row r="822" spans="1:26" x14ac:dyDescent="0.25">
      <c r="A822" s="1">
        <v>45664</v>
      </c>
      <c r="B822" t="s">
        <v>1122</v>
      </c>
      <c r="C822" t="s">
        <v>17</v>
      </c>
      <c r="D822" t="s">
        <v>18</v>
      </c>
      <c r="E822">
        <v>75</v>
      </c>
      <c r="F822">
        <v>0</v>
      </c>
      <c r="G822">
        <v>20.25</v>
      </c>
      <c r="H822">
        <v>1518.75</v>
      </c>
      <c r="I822" t="s">
        <v>1123</v>
      </c>
      <c r="J822">
        <v>2</v>
      </c>
      <c r="K822">
        <v>0.54</v>
      </c>
      <c r="L822">
        <v>0</v>
      </c>
      <c r="M822">
        <v>0</v>
      </c>
      <c r="N822">
        <v>20</v>
      </c>
      <c r="O822">
        <v>3.7</v>
      </c>
      <c r="P822">
        <v>26.24</v>
      </c>
      <c r="Q822">
        <f t="shared" si="120"/>
        <v>2025</v>
      </c>
      <c r="R822">
        <f t="shared" si="121"/>
        <v>1</v>
      </c>
      <c r="S822">
        <f t="shared" si="122"/>
        <v>2024</v>
      </c>
      <c r="T822">
        <f t="shared" si="123"/>
        <v>10</v>
      </c>
      <c r="U822">
        <f t="shared" si="124"/>
        <v>10</v>
      </c>
      <c r="V822" t="str">
        <f t="shared" si="125"/>
        <v>202410</v>
      </c>
      <c r="W822" t="str">
        <f t="shared" si="126"/>
        <v>Jan-25</v>
      </c>
      <c r="X822" s="3">
        <f t="shared" si="127"/>
        <v>1492.51</v>
      </c>
      <c r="Y822">
        <f t="shared" si="128"/>
        <v>1492.51</v>
      </c>
      <c r="Z822" t="str">
        <f t="shared" si="129"/>
        <v/>
      </c>
    </row>
    <row r="823" spans="1:26" x14ac:dyDescent="0.25">
      <c r="A823" s="1">
        <v>45664</v>
      </c>
      <c r="B823" t="s">
        <v>1122</v>
      </c>
      <c r="C823" t="s">
        <v>17</v>
      </c>
      <c r="D823" t="s">
        <v>22</v>
      </c>
      <c r="E823">
        <v>75</v>
      </c>
      <c r="F823">
        <v>0</v>
      </c>
      <c r="G823">
        <v>14.25</v>
      </c>
      <c r="H823">
        <v>1068.75</v>
      </c>
      <c r="I823" t="s">
        <v>1124</v>
      </c>
      <c r="J823">
        <v>0</v>
      </c>
      <c r="K823">
        <v>0.38</v>
      </c>
      <c r="L823">
        <v>0</v>
      </c>
      <c r="M823">
        <v>0</v>
      </c>
      <c r="N823">
        <v>20</v>
      </c>
      <c r="O823">
        <v>3.66</v>
      </c>
      <c r="P823">
        <v>24.04</v>
      </c>
      <c r="Q823">
        <f t="shared" si="120"/>
        <v>2025</v>
      </c>
      <c r="R823">
        <f t="shared" si="121"/>
        <v>1</v>
      </c>
      <c r="S823">
        <f t="shared" si="122"/>
        <v>2024</v>
      </c>
      <c r="T823">
        <f t="shared" si="123"/>
        <v>10</v>
      </c>
      <c r="U823">
        <f t="shared" si="124"/>
        <v>10</v>
      </c>
      <c r="V823" t="str">
        <f t="shared" si="125"/>
        <v>202410</v>
      </c>
      <c r="W823" t="str">
        <f t="shared" si="126"/>
        <v>Jan-25</v>
      </c>
      <c r="X823" s="3">
        <f t="shared" si="127"/>
        <v>-1092.79</v>
      </c>
      <c r="Y823" t="str">
        <f t="shared" si="128"/>
        <v/>
      </c>
      <c r="Z823">
        <f t="shared" si="129"/>
        <v>-1092.79</v>
      </c>
    </row>
    <row r="824" spans="1:26" x14ac:dyDescent="0.25">
      <c r="A824" s="1">
        <v>45665</v>
      </c>
      <c r="B824" t="s">
        <v>1122</v>
      </c>
      <c r="C824" t="s">
        <v>17</v>
      </c>
      <c r="D824" t="s">
        <v>18</v>
      </c>
      <c r="E824">
        <v>450</v>
      </c>
      <c r="F824">
        <v>0</v>
      </c>
      <c r="G824">
        <v>2.4</v>
      </c>
      <c r="H824">
        <v>1080</v>
      </c>
      <c r="I824" t="s">
        <v>1125</v>
      </c>
      <c r="J824">
        <v>1</v>
      </c>
      <c r="K824">
        <v>0.38</v>
      </c>
      <c r="L824">
        <v>0</v>
      </c>
      <c r="M824">
        <v>0</v>
      </c>
      <c r="N824">
        <v>120</v>
      </c>
      <c r="O824">
        <v>21.66</v>
      </c>
      <c r="P824">
        <v>143.04</v>
      </c>
      <c r="Q824">
        <f t="shared" si="120"/>
        <v>2025</v>
      </c>
      <c r="R824">
        <f t="shared" si="121"/>
        <v>1</v>
      </c>
      <c r="S824">
        <f t="shared" si="122"/>
        <v>2024</v>
      </c>
      <c r="T824">
        <f t="shared" si="123"/>
        <v>10</v>
      </c>
      <c r="U824">
        <f t="shared" si="124"/>
        <v>10</v>
      </c>
      <c r="V824" t="str">
        <f t="shared" si="125"/>
        <v>202410</v>
      </c>
      <c r="W824" t="str">
        <f t="shared" si="126"/>
        <v>Jan-25</v>
      </c>
      <c r="X824" s="3">
        <f t="shared" si="127"/>
        <v>936.96</v>
      </c>
      <c r="Y824">
        <f t="shared" si="128"/>
        <v>936.96</v>
      </c>
      <c r="Z824" t="str">
        <f t="shared" si="129"/>
        <v/>
      </c>
    </row>
    <row r="825" spans="1:26" x14ac:dyDescent="0.25">
      <c r="A825" s="1">
        <v>45665</v>
      </c>
      <c r="B825" t="s">
        <v>1122</v>
      </c>
      <c r="C825" t="s">
        <v>17</v>
      </c>
      <c r="D825" t="s">
        <v>22</v>
      </c>
      <c r="E825">
        <v>450</v>
      </c>
      <c r="F825">
        <v>0</v>
      </c>
      <c r="G825">
        <v>4.25</v>
      </c>
      <c r="H825">
        <v>1912.5</v>
      </c>
      <c r="I825" t="s">
        <v>1126</v>
      </c>
      <c r="J825">
        <v>0</v>
      </c>
      <c r="K825">
        <v>0.68</v>
      </c>
      <c r="L825">
        <v>0</v>
      </c>
      <c r="M825">
        <v>0</v>
      </c>
      <c r="N825">
        <v>120</v>
      </c>
      <c r="O825">
        <v>21.72</v>
      </c>
      <c r="P825">
        <v>142.4</v>
      </c>
      <c r="Q825">
        <f t="shared" si="120"/>
        <v>2025</v>
      </c>
      <c r="R825">
        <f t="shared" si="121"/>
        <v>1</v>
      </c>
      <c r="S825">
        <f t="shared" si="122"/>
        <v>2024</v>
      </c>
      <c r="T825">
        <f t="shared" si="123"/>
        <v>10</v>
      </c>
      <c r="U825">
        <f t="shared" si="124"/>
        <v>10</v>
      </c>
      <c r="V825" t="str">
        <f t="shared" si="125"/>
        <v>202410</v>
      </c>
      <c r="W825" t="str">
        <f t="shared" si="126"/>
        <v>Jan-25</v>
      </c>
      <c r="X825" s="3">
        <f t="shared" si="127"/>
        <v>-2054.9</v>
      </c>
      <c r="Y825" t="str">
        <f t="shared" si="128"/>
        <v/>
      </c>
      <c r="Z825">
        <f t="shared" si="129"/>
        <v>-2054.9</v>
      </c>
    </row>
    <row r="826" spans="1:26" x14ac:dyDescent="0.25">
      <c r="A826" s="1">
        <v>45672</v>
      </c>
      <c r="B826" t="s">
        <v>1127</v>
      </c>
      <c r="C826" t="s">
        <v>17</v>
      </c>
      <c r="D826" t="s">
        <v>18</v>
      </c>
      <c r="E826">
        <v>75</v>
      </c>
      <c r="F826">
        <v>0</v>
      </c>
      <c r="G826">
        <v>59.25</v>
      </c>
      <c r="H826">
        <v>4443.75</v>
      </c>
      <c r="I826" t="s">
        <v>1128</v>
      </c>
      <c r="J826">
        <v>4</v>
      </c>
      <c r="K826">
        <v>1.58</v>
      </c>
      <c r="L826">
        <v>0</v>
      </c>
      <c r="M826">
        <v>0</v>
      </c>
      <c r="N826">
        <v>20</v>
      </c>
      <c r="O826">
        <v>3.88</v>
      </c>
      <c r="P826">
        <v>29.46</v>
      </c>
      <c r="Q826">
        <f t="shared" si="120"/>
        <v>2025</v>
      </c>
      <c r="R826">
        <f t="shared" si="121"/>
        <v>1</v>
      </c>
      <c r="S826">
        <f t="shared" si="122"/>
        <v>2024</v>
      </c>
      <c r="T826">
        <f t="shared" si="123"/>
        <v>10</v>
      </c>
      <c r="U826">
        <f t="shared" si="124"/>
        <v>10</v>
      </c>
      <c r="V826" t="str">
        <f t="shared" si="125"/>
        <v>202410</v>
      </c>
      <c r="W826" t="str">
        <f t="shared" si="126"/>
        <v>Jan-25</v>
      </c>
      <c r="X826" s="3">
        <f t="shared" si="127"/>
        <v>4414.29</v>
      </c>
      <c r="Y826">
        <f t="shared" si="128"/>
        <v>4414.29</v>
      </c>
      <c r="Z826" t="str">
        <f t="shared" si="129"/>
        <v/>
      </c>
    </row>
    <row r="827" spans="1:26" x14ac:dyDescent="0.25">
      <c r="A827" s="1">
        <v>45672</v>
      </c>
      <c r="B827" t="s">
        <v>1127</v>
      </c>
      <c r="C827" t="s">
        <v>17</v>
      </c>
      <c r="D827" t="s">
        <v>22</v>
      </c>
      <c r="E827">
        <v>75</v>
      </c>
      <c r="F827">
        <v>0</v>
      </c>
      <c r="G827">
        <v>53.8</v>
      </c>
      <c r="H827">
        <v>4035</v>
      </c>
      <c r="I827" t="s">
        <v>1129</v>
      </c>
      <c r="J827">
        <v>0</v>
      </c>
      <c r="K827">
        <v>1.43</v>
      </c>
      <c r="L827">
        <v>0</v>
      </c>
      <c r="M827">
        <v>0</v>
      </c>
      <c r="N827">
        <v>20</v>
      </c>
      <c r="O827">
        <v>3.86</v>
      </c>
      <c r="P827">
        <v>25.29</v>
      </c>
      <c r="Q827">
        <f t="shared" si="120"/>
        <v>2025</v>
      </c>
      <c r="R827">
        <f t="shared" si="121"/>
        <v>1</v>
      </c>
      <c r="S827">
        <f t="shared" si="122"/>
        <v>2024</v>
      </c>
      <c r="T827">
        <f t="shared" si="123"/>
        <v>10</v>
      </c>
      <c r="U827">
        <f t="shared" si="124"/>
        <v>10</v>
      </c>
      <c r="V827" t="str">
        <f t="shared" si="125"/>
        <v>202410</v>
      </c>
      <c r="W827" t="str">
        <f t="shared" si="126"/>
        <v>Jan-25</v>
      </c>
      <c r="X827" s="3">
        <f t="shared" si="127"/>
        <v>-4060.29</v>
      </c>
      <c r="Y827" t="str">
        <f t="shared" si="128"/>
        <v/>
      </c>
      <c r="Z827">
        <f t="shared" si="129"/>
        <v>-4060.29</v>
      </c>
    </row>
    <row r="828" spans="1:26" x14ac:dyDescent="0.25">
      <c r="A828" s="1">
        <v>45681</v>
      </c>
      <c r="B828" t="s">
        <v>1130</v>
      </c>
      <c r="C828" t="s">
        <v>17</v>
      </c>
      <c r="D828" t="s">
        <v>22</v>
      </c>
      <c r="E828">
        <v>100</v>
      </c>
      <c r="F828">
        <v>0</v>
      </c>
      <c r="G828">
        <v>10</v>
      </c>
      <c r="H828">
        <v>1000</v>
      </c>
      <c r="I828" t="s">
        <v>1131</v>
      </c>
      <c r="J828">
        <v>0</v>
      </c>
      <c r="K828">
        <v>0.36</v>
      </c>
      <c r="L828">
        <v>0</v>
      </c>
      <c r="M828">
        <v>0</v>
      </c>
      <c r="N828">
        <v>80</v>
      </c>
      <c r="O828">
        <v>14.46</v>
      </c>
      <c r="P828">
        <v>94.82</v>
      </c>
      <c r="Q828">
        <f t="shared" si="120"/>
        <v>2025</v>
      </c>
      <c r="R828">
        <f t="shared" si="121"/>
        <v>1</v>
      </c>
      <c r="S828">
        <f t="shared" si="122"/>
        <v>2024</v>
      </c>
      <c r="T828">
        <f t="shared" si="123"/>
        <v>10</v>
      </c>
      <c r="U828">
        <f t="shared" si="124"/>
        <v>10</v>
      </c>
      <c r="V828" t="str">
        <f t="shared" si="125"/>
        <v>202410</v>
      </c>
      <c r="W828" t="str">
        <f t="shared" si="126"/>
        <v>Jan-25</v>
      </c>
      <c r="X828" s="3">
        <f t="shared" si="127"/>
        <v>-1094.82</v>
      </c>
      <c r="Y828" t="str">
        <f t="shared" si="128"/>
        <v/>
      </c>
      <c r="Z828">
        <f t="shared" si="129"/>
        <v>-1094.82</v>
      </c>
    </row>
    <row r="829" spans="1:26" x14ac:dyDescent="0.25">
      <c r="A829" s="1">
        <v>45681</v>
      </c>
      <c r="B829" t="s">
        <v>1130</v>
      </c>
      <c r="C829" t="s">
        <v>17</v>
      </c>
      <c r="D829" t="s">
        <v>22</v>
      </c>
      <c r="E829">
        <v>100</v>
      </c>
      <c r="F829">
        <v>0</v>
      </c>
      <c r="G829">
        <v>25.1</v>
      </c>
      <c r="H829">
        <v>2510</v>
      </c>
      <c r="I829" t="s">
        <v>1132</v>
      </c>
      <c r="J829">
        <v>0</v>
      </c>
      <c r="K829">
        <v>0.89</v>
      </c>
      <c r="L829">
        <v>0</v>
      </c>
      <c r="M829">
        <v>0</v>
      </c>
      <c r="N829">
        <v>80</v>
      </c>
      <c r="O829">
        <v>14.56</v>
      </c>
      <c r="P829">
        <v>95.45</v>
      </c>
      <c r="Q829">
        <f t="shared" si="120"/>
        <v>2025</v>
      </c>
      <c r="R829">
        <f t="shared" si="121"/>
        <v>1</v>
      </c>
      <c r="S829">
        <f t="shared" si="122"/>
        <v>2024</v>
      </c>
      <c r="T829">
        <f t="shared" si="123"/>
        <v>10</v>
      </c>
      <c r="U829">
        <f t="shared" si="124"/>
        <v>10</v>
      </c>
      <c r="V829" t="str">
        <f t="shared" si="125"/>
        <v>202410</v>
      </c>
      <c r="W829" t="str">
        <f t="shared" si="126"/>
        <v>Jan-25</v>
      </c>
      <c r="X829" s="3">
        <f t="shared" si="127"/>
        <v>-2605.4499999999998</v>
      </c>
      <c r="Y829" t="str">
        <f t="shared" si="128"/>
        <v/>
      </c>
      <c r="Z829">
        <f t="shared" si="129"/>
        <v>-2605.4499999999998</v>
      </c>
    </row>
    <row r="830" spans="1:26" x14ac:dyDescent="0.25">
      <c r="A830" s="1">
        <v>45685</v>
      </c>
      <c r="B830" t="s">
        <v>1130</v>
      </c>
      <c r="C830" t="s">
        <v>17</v>
      </c>
      <c r="D830" t="s">
        <v>18</v>
      </c>
      <c r="E830">
        <v>200</v>
      </c>
      <c r="F830">
        <v>0</v>
      </c>
      <c r="G830">
        <v>3.1</v>
      </c>
      <c r="H830">
        <v>620</v>
      </c>
      <c r="I830" t="s">
        <v>1133</v>
      </c>
      <c r="J830">
        <v>1</v>
      </c>
      <c r="K830">
        <v>0.22</v>
      </c>
      <c r="L830">
        <v>0</v>
      </c>
      <c r="M830">
        <v>0</v>
      </c>
      <c r="N830">
        <v>160</v>
      </c>
      <c r="O830">
        <v>28.84</v>
      </c>
      <c r="P830">
        <v>190.06</v>
      </c>
      <c r="Q830">
        <f t="shared" si="120"/>
        <v>2025</v>
      </c>
      <c r="R830">
        <f t="shared" si="121"/>
        <v>1</v>
      </c>
      <c r="S830">
        <f t="shared" si="122"/>
        <v>2024</v>
      </c>
      <c r="T830">
        <f t="shared" si="123"/>
        <v>10</v>
      </c>
      <c r="U830">
        <f t="shared" si="124"/>
        <v>10</v>
      </c>
      <c r="V830" t="str">
        <f t="shared" si="125"/>
        <v>202410</v>
      </c>
      <c r="W830" t="str">
        <f t="shared" si="126"/>
        <v>Jan-25</v>
      </c>
      <c r="X830" s="3">
        <f t="shared" si="127"/>
        <v>429.94</v>
      </c>
      <c r="Y830">
        <f t="shared" si="128"/>
        <v>429.94</v>
      </c>
      <c r="Z830" t="str">
        <f t="shared" si="129"/>
        <v/>
      </c>
    </row>
    <row r="831" spans="1:26" x14ac:dyDescent="0.25">
      <c r="A831" s="1">
        <v>45687</v>
      </c>
      <c r="B831" t="s">
        <v>1134</v>
      </c>
      <c r="C831" t="s">
        <v>17</v>
      </c>
      <c r="D831" t="s">
        <v>18</v>
      </c>
      <c r="E831">
        <v>25</v>
      </c>
      <c r="F831">
        <v>0</v>
      </c>
      <c r="G831">
        <v>123.7</v>
      </c>
      <c r="H831">
        <v>3092.5</v>
      </c>
      <c r="I831" t="s">
        <v>1135</v>
      </c>
      <c r="J831">
        <v>3.09</v>
      </c>
      <c r="K831">
        <v>1.1000000000000001</v>
      </c>
      <c r="L831">
        <v>0</v>
      </c>
      <c r="M831">
        <v>0</v>
      </c>
      <c r="N831">
        <v>20</v>
      </c>
      <c r="O831">
        <v>3.8</v>
      </c>
      <c r="P831">
        <v>27.99</v>
      </c>
      <c r="Q831">
        <f t="shared" si="120"/>
        <v>2025</v>
      </c>
      <c r="R831">
        <f t="shared" si="121"/>
        <v>1</v>
      </c>
      <c r="S831">
        <f t="shared" si="122"/>
        <v>2024</v>
      </c>
      <c r="T831">
        <f t="shared" si="123"/>
        <v>10</v>
      </c>
      <c r="U831">
        <f t="shared" si="124"/>
        <v>10</v>
      </c>
      <c r="V831" t="str">
        <f t="shared" si="125"/>
        <v>202410</v>
      </c>
      <c r="W831" t="str">
        <f t="shared" si="126"/>
        <v>Jan-25</v>
      </c>
      <c r="X831" s="3">
        <f t="shared" si="127"/>
        <v>3064.51</v>
      </c>
      <c r="Y831">
        <f t="shared" si="128"/>
        <v>3064.51</v>
      </c>
      <c r="Z831" t="str">
        <f t="shared" si="129"/>
        <v/>
      </c>
    </row>
    <row r="832" spans="1:26" x14ac:dyDescent="0.25">
      <c r="A832" s="1">
        <v>45687</v>
      </c>
      <c r="B832" t="s">
        <v>1134</v>
      </c>
      <c r="C832" t="s">
        <v>17</v>
      </c>
      <c r="D832" t="s">
        <v>22</v>
      </c>
      <c r="E832">
        <v>25</v>
      </c>
      <c r="F832">
        <v>0</v>
      </c>
      <c r="G832">
        <v>95.75</v>
      </c>
      <c r="H832">
        <v>2393.75</v>
      </c>
      <c r="I832" t="s">
        <v>1136</v>
      </c>
      <c r="J832">
        <v>0</v>
      </c>
      <c r="K832">
        <v>0.85</v>
      </c>
      <c r="L832">
        <v>0</v>
      </c>
      <c r="M832">
        <v>0</v>
      </c>
      <c r="N832">
        <v>20</v>
      </c>
      <c r="O832">
        <v>3.76</v>
      </c>
      <c r="P832">
        <v>24.61</v>
      </c>
      <c r="Q832">
        <f t="shared" si="120"/>
        <v>2025</v>
      </c>
      <c r="R832">
        <f t="shared" si="121"/>
        <v>1</v>
      </c>
      <c r="S832">
        <f t="shared" si="122"/>
        <v>2024</v>
      </c>
      <c r="T832">
        <f t="shared" si="123"/>
        <v>10</v>
      </c>
      <c r="U832">
        <f t="shared" si="124"/>
        <v>10</v>
      </c>
      <c r="V832" t="str">
        <f t="shared" si="125"/>
        <v>202410</v>
      </c>
      <c r="W832" t="str">
        <f t="shared" si="126"/>
        <v>Jan-25</v>
      </c>
      <c r="X832" s="3">
        <f t="shared" si="127"/>
        <v>-2418.36</v>
      </c>
      <c r="Y832" t="str">
        <f t="shared" si="128"/>
        <v/>
      </c>
      <c r="Z832">
        <f t="shared" si="129"/>
        <v>-2418.36</v>
      </c>
    </row>
    <row r="833" spans="1:26" x14ac:dyDescent="0.25">
      <c r="A833" s="1">
        <v>45687</v>
      </c>
      <c r="B833" t="s">
        <v>1134</v>
      </c>
      <c r="C833" t="s">
        <v>17</v>
      </c>
      <c r="D833" t="s">
        <v>18</v>
      </c>
      <c r="E833">
        <v>100</v>
      </c>
      <c r="F833">
        <v>0</v>
      </c>
      <c r="G833">
        <v>115.25</v>
      </c>
      <c r="H833">
        <v>11525</v>
      </c>
      <c r="I833" t="s">
        <v>1137</v>
      </c>
      <c r="J833">
        <v>11.91</v>
      </c>
      <c r="K833">
        <v>4.09</v>
      </c>
      <c r="L833">
        <v>0</v>
      </c>
      <c r="M833">
        <v>0.01</v>
      </c>
      <c r="N833">
        <v>80</v>
      </c>
      <c r="O833">
        <v>15.14</v>
      </c>
      <c r="P833">
        <v>111.15</v>
      </c>
      <c r="Q833">
        <f t="shared" si="120"/>
        <v>2025</v>
      </c>
      <c r="R833">
        <f t="shared" si="121"/>
        <v>1</v>
      </c>
      <c r="S833">
        <f t="shared" si="122"/>
        <v>2024</v>
      </c>
      <c r="T833">
        <f t="shared" si="123"/>
        <v>10</v>
      </c>
      <c r="U833">
        <f t="shared" si="124"/>
        <v>10</v>
      </c>
      <c r="V833" t="str">
        <f t="shared" si="125"/>
        <v>202410</v>
      </c>
      <c r="W833" t="str">
        <f t="shared" si="126"/>
        <v>Jan-25</v>
      </c>
      <c r="X833" s="3">
        <f t="shared" si="127"/>
        <v>11413.85</v>
      </c>
      <c r="Y833">
        <f t="shared" si="128"/>
        <v>11413.85</v>
      </c>
      <c r="Z833" t="str">
        <f t="shared" si="129"/>
        <v/>
      </c>
    </row>
    <row r="834" spans="1:26" x14ac:dyDescent="0.25">
      <c r="A834" s="1">
        <v>45687</v>
      </c>
      <c r="B834" t="s">
        <v>1134</v>
      </c>
      <c r="C834" t="s">
        <v>17</v>
      </c>
      <c r="D834" t="s">
        <v>22</v>
      </c>
      <c r="E834">
        <v>100</v>
      </c>
      <c r="F834">
        <v>0</v>
      </c>
      <c r="G834">
        <v>103.16</v>
      </c>
      <c r="H834">
        <v>10316.25</v>
      </c>
      <c r="I834" t="s">
        <v>1138</v>
      </c>
      <c r="J834">
        <v>0</v>
      </c>
      <c r="K834">
        <v>3.67</v>
      </c>
      <c r="L834">
        <v>0</v>
      </c>
      <c r="M834">
        <v>0.01</v>
      </c>
      <c r="N834">
        <v>80</v>
      </c>
      <c r="O834">
        <v>15.06</v>
      </c>
      <c r="P834">
        <v>98.74</v>
      </c>
      <c r="Q834">
        <f t="shared" ref="Q834:Q897" si="130">YEAR(A834)</f>
        <v>2025</v>
      </c>
      <c r="R834">
        <f t="shared" ref="R834:R897" si="131">MONTH(A834)</f>
        <v>1</v>
      </c>
      <c r="S834">
        <f t="shared" ref="S834:S897" si="132">IF(R834&lt;4,Q834-1,Q834)</f>
        <v>2024</v>
      </c>
      <c r="T834">
        <f t="shared" ref="T834:T897" si="133">IF(R834&lt;4,R834+9,R834-3)</f>
        <v>10</v>
      </c>
      <c r="U834">
        <f t="shared" ref="U834:U897" si="134">IF(LEN(T834)=1,_xlfn.CONCAT(0,T834),T834)</f>
        <v>10</v>
      </c>
      <c r="V834" t="str">
        <f t="shared" ref="V834:V897" si="135">_xlfn.CONCAT(S834,U834)</f>
        <v>202410</v>
      </c>
      <c r="W834" t="str">
        <f t="shared" ref="W834:W897" si="136">_xlfn.CONCAT(TEXT(A834,"MMM"),"-",MID(Q834,3,2))</f>
        <v>Jan-25</v>
      </c>
      <c r="X834" s="3">
        <f t="shared" ref="X834:X897" si="137">IFERROR(IF(D834="Sell",(H834-P834),-(H834+P834)),0)</f>
        <v>-10414.99</v>
      </c>
      <c r="Y834" t="str">
        <f t="shared" si="128"/>
        <v/>
      </c>
      <c r="Z834">
        <f t="shared" si="129"/>
        <v>-10414.99</v>
      </c>
    </row>
    <row r="835" spans="1:26" x14ac:dyDescent="0.25">
      <c r="A835" s="1">
        <v>45688</v>
      </c>
      <c r="B835" t="s">
        <v>1139</v>
      </c>
      <c r="C835" t="s">
        <v>17</v>
      </c>
      <c r="D835" t="s">
        <v>18</v>
      </c>
      <c r="E835">
        <v>75</v>
      </c>
      <c r="F835">
        <v>0</v>
      </c>
      <c r="G835">
        <v>307.25</v>
      </c>
      <c r="H835">
        <v>23043.75</v>
      </c>
      <c r="I835" t="s">
        <v>1140</v>
      </c>
      <c r="J835">
        <v>23.04</v>
      </c>
      <c r="K835">
        <v>8.19</v>
      </c>
      <c r="L835">
        <v>0</v>
      </c>
      <c r="M835">
        <v>0.02</v>
      </c>
      <c r="N835">
        <v>20</v>
      </c>
      <c r="O835">
        <v>5.08</v>
      </c>
      <c r="P835">
        <v>56.33</v>
      </c>
      <c r="Q835">
        <f t="shared" si="130"/>
        <v>2025</v>
      </c>
      <c r="R835">
        <f t="shared" si="131"/>
        <v>1</v>
      </c>
      <c r="S835">
        <f t="shared" si="132"/>
        <v>2024</v>
      </c>
      <c r="T835">
        <f t="shared" si="133"/>
        <v>10</v>
      </c>
      <c r="U835">
        <f t="shared" si="134"/>
        <v>10</v>
      </c>
      <c r="V835" t="str">
        <f t="shared" si="135"/>
        <v>202410</v>
      </c>
      <c r="W835" t="str">
        <f t="shared" si="136"/>
        <v>Jan-25</v>
      </c>
      <c r="X835" s="3">
        <f t="shared" si="137"/>
        <v>22987.42</v>
      </c>
      <c r="Y835">
        <f t="shared" ref="Y835:Y898" si="138">IF(X835&gt;0,X835,"")</f>
        <v>22987.42</v>
      </c>
      <c r="Z835" t="str">
        <f t="shared" ref="Z835:Z898" si="139">IF(X835&lt;0,X835,"")</f>
        <v/>
      </c>
    </row>
    <row r="836" spans="1:26" x14ac:dyDescent="0.25">
      <c r="A836" s="1">
        <v>45688</v>
      </c>
      <c r="B836" t="s">
        <v>1139</v>
      </c>
      <c r="C836" t="s">
        <v>17</v>
      </c>
      <c r="D836" t="s">
        <v>22</v>
      </c>
      <c r="E836">
        <v>75</v>
      </c>
      <c r="F836">
        <v>0</v>
      </c>
      <c r="G836">
        <v>286</v>
      </c>
      <c r="H836">
        <v>21450</v>
      </c>
      <c r="I836" t="s">
        <v>1141</v>
      </c>
      <c r="J836">
        <v>0</v>
      </c>
      <c r="K836">
        <v>7.62</v>
      </c>
      <c r="L836">
        <v>0</v>
      </c>
      <c r="M836">
        <v>0.02</v>
      </c>
      <c r="N836">
        <v>20</v>
      </c>
      <c r="O836">
        <v>4.9800000000000004</v>
      </c>
      <c r="P836">
        <v>32.619999999999997</v>
      </c>
      <c r="Q836">
        <f t="shared" si="130"/>
        <v>2025</v>
      </c>
      <c r="R836">
        <f t="shared" si="131"/>
        <v>1</v>
      </c>
      <c r="S836">
        <f t="shared" si="132"/>
        <v>2024</v>
      </c>
      <c r="T836">
        <f t="shared" si="133"/>
        <v>10</v>
      </c>
      <c r="U836">
        <f t="shared" si="134"/>
        <v>10</v>
      </c>
      <c r="V836" t="str">
        <f t="shared" si="135"/>
        <v>202410</v>
      </c>
      <c r="W836" t="str">
        <f t="shared" si="136"/>
        <v>Jan-25</v>
      </c>
      <c r="X836" s="3">
        <f t="shared" si="137"/>
        <v>-21482.62</v>
      </c>
      <c r="Y836" t="str">
        <f t="shared" si="138"/>
        <v/>
      </c>
      <c r="Z836">
        <f t="shared" si="139"/>
        <v>-21482.62</v>
      </c>
    </row>
    <row r="837" spans="1:26" x14ac:dyDescent="0.25">
      <c r="A837" s="1">
        <v>45688</v>
      </c>
      <c r="B837" t="s">
        <v>1139</v>
      </c>
      <c r="C837" t="s">
        <v>17</v>
      </c>
      <c r="D837" t="s">
        <v>18</v>
      </c>
      <c r="E837">
        <v>75</v>
      </c>
      <c r="F837">
        <v>0</v>
      </c>
      <c r="G837">
        <v>317.25</v>
      </c>
      <c r="H837">
        <v>23793.75</v>
      </c>
      <c r="I837" t="s">
        <v>1142</v>
      </c>
      <c r="J837">
        <v>23.79</v>
      </c>
      <c r="K837">
        <v>8.4499999999999993</v>
      </c>
      <c r="L837">
        <v>0</v>
      </c>
      <c r="M837">
        <v>0.02</v>
      </c>
      <c r="N837">
        <v>20</v>
      </c>
      <c r="O837">
        <v>5.12</v>
      </c>
      <c r="P837">
        <v>57.38</v>
      </c>
      <c r="Q837">
        <f t="shared" si="130"/>
        <v>2025</v>
      </c>
      <c r="R837">
        <f t="shared" si="131"/>
        <v>1</v>
      </c>
      <c r="S837">
        <f t="shared" si="132"/>
        <v>2024</v>
      </c>
      <c r="T837">
        <f t="shared" si="133"/>
        <v>10</v>
      </c>
      <c r="U837">
        <f t="shared" si="134"/>
        <v>10</v>
      </c>
      <c r="V837" t="str">
        <f t="shared" si="135"/>
        <v>202410</v>
      </c>
      <c r="W837" t="str">
        <f t="shared" si="136"/>
        <v>Jan-25</v>
      </c>
      <c r="X837" s="3">
        <f t="shared" si="137"/>
        <v>23736.37</v>
      </c>
      <c r="Y837">
        <f t="shared" si="138"/>
        <v>23736.37</v>
      </c>
      <c r="Z837" t="str">
        <f t="shared" si="139"/>
        <v/>
      </c>
    </row>
    <row r="838" spans="1:26" x14ac:dyDescent="0.25">
      <c r="A838" s="1">
        <v>45688</v>
      </c>
      <c r="B838" t="s">
        <v>1139</v>
      </c>
      <c r="C838" t="s">
        <v>17</v>
      </c>
      <c r="D838" t="s">
        <v>22</v>
      </c>
      <c r="E838">
        <v>75</v>
      </c>
      <c r="F838">
        <v>0</v>
      </c>
      <c r="G838">
        <v>303.5</v>
      </c>
      <c r="H838">
        <v>22762.5</v>
      </c>
      <c r="I838" t="s">
        <v>1143</v>
      </c>
      <c r="J838">
        <v>0</v>
      </c>
      <c r="K838">
        <v>8.09</v>
      </c>
      <c r="L838">
        <v>1.33</v>
      </c>
      <c r="M838">
        <v>0.02</v>
      </c>
      <c r="N838">
        <v>20</v>
      </c>
      <c r="O838">
        <v>5.0599999999999996</v>
      </c>
      <c r="P838">
        <v>34.5</v>
      </c>
      <c r="Q838">
        <f t="shared" si="130"/>
        <v>2025</v>
      </c>
      <c r="R838">
        <f t="shared" si="131"/>
        <v>1</v>
      </c>
      <c r="S838">
        <f t="shared" si="132"/>
        <v>2024</v>
      </c>
      <c r="T838">
        <f t="shared" si="133"/>
        <v>10</v>
      </c>
      <c r="U838">
        <f t="shared" si="134"/>
        <v>10</v>
      </c>
      <c r="V838" t="str">
        <f t="shared" si="135"/>
        <v>202410</v>
      </c>
      <c r="W838" t="str">
        <f t="shared" si="136"/>
        <v>Jan-25</v>
      </c>
      <c r="X838" s="3">
        <f t="shared" si="137"/>
        <v>-22797</v>
      </c>
      <c r="Y838" t="str">
        <f t="shared" si="138"/>
        <v/>
      </c>
      <c r="Z838">
        <f t="shared" si="139"/>
        <v>-22797</v>
      </c>
    </row>
    <row r="839" spans="1:26" x14ac:dyDescent="0.25">
      <c r="A839" s="1">
        <v>45688</v>
      </c>
      <c r="B839" t="s">
        <v>1144</v>
      </c>
      <c r="C839" t="s">
        <v>17</v>
      </c>
      <c r="D839" t="s">
        <v>18</v>
      </c>
      <c r="E839">
        <v>300</v>
      </c>
      <c r="F839">
        <v>0</v>
      </c>
      <c r="G839">
        <v>259.25</v>
      </c>
      <c r="H839">
        <v>77775</v>
      </c>
      <c r="I839" t="s">
        <v>1145</v>
      </c>
      <c r="J839">
        <v>77.77</v>
      </c>
      <c r="K839">
        <v>27.64</v>
      </c>
      <c r="L839">
        <v>0</v>
      </c>
      <c r="M839">
        <v>0.08</v>
      </c>
      <c r="N839">
        <v>80</v>
      </c>
      <c r="O839">
        <v>19.38</v>
      </c>
      <c r="P839">
        <v>204.87</v>
      </c>
      <c r="Q839">
        <f t="shared" si="130"/>
        <v>2025</v>
      </c>
      <c r="R839">
        <f t="shared" si="131"/>
        <v>1</v>
      </c>
      <c r="S839">
        <f t="shared" si="132"/>
        <v>2024</v>
      </c>
      <c r="T839">
        <f t="shared" si="133"/>
        <v>10</v>
      </c>
      <c r="U839">
        <f t="shared" si="134"/>
        <v>10</v>
      </c>
      <c r="V839" t="str">
        <f t="shared" si="135"/>
        <v>202410</v>
      </c>
      <c r="W839" t="str">
        <f t="shared" si="136"/>
        <v>Jan-25</v>
      </c>
      <c r="X839" s="3">
        <f t="shared" si="137"/>
        <v>77570.13</v>
      </c>
      <c r="Y839">
        <f t="shared" si="138"/>
        <v>77570.13</v>
      </c>
      <c r="Z839" t="str">
        <f t="shared" si="139"/>
        <v/>
      </c>
    </row>
    <row r="840" spans="1:26" x14ac:dyDescent="0.25">
      <c r="A840" s="1">
        <v>45688</v>
      </c>
      <c r="B840" t="s">
        <v>1144</v>
      </c>
      <c r="C840" t="s">
        <v>17</v>
      </c>
      <c r="D840" t="s">
        <v>22</v>
      </c>
      <c r="E840">
        <v>150</v>
      </c>
      <c r="F840">
        <v>0</v>
      </c>
      <c r="G840">
        <v>246.25</v>
      </c>
      <c r="H840">
        <v>36937.5</v>
      </c>
      <c r="I840" t="s">
        <v>1146</v>
      </c>
      <c r="J840">
        <v>0</v>
      </c>
      <c r="K840">
        <v>13.12</v>
      </c>
      <c r="L840">
        <v>0</v>
      </c>
      <c r="M840">
        <v>0.04</v>
      </c>
      <c r="N840">
        <v>40</v>
      </c>
      <c r="O840">
        <v>9.56</v>
      </c>
      <c r="P840">
        <v>62.72</v>
      </c>
      <c r="Q840">
        <f t="shared" si="130"/>
        <v>2025</v>
      </c>
      <c r="R840">
        <f t="shared" si="131"/>
        <v>1</v>
      </c>
      <c r="S840">
        <f t="shared" si="132"/>
        <v>2024</v>
      </c>
      <c r="T840">
        <f t="shared" si="133"/>
        <v>10</v>
      </c>
      <c r="U840">
        <f t="shared" si="134"/>
        <v>10</v>
      </c>
      <c r="V840" t="str">
        <f t="shared" si="135"/>
        <v>202410</v>
      </c>
      <c r="W840" t="str">
        <f t="shared" si="136"/>
        <v>Jan-25</v>
      </c>
      <c r="X840" s="3">
        <f t="shared" si="137"/>
        <v>-37000.22</v>
      </c>
      <c r="Y840" t="str">
        <f t="shared" si="138"/>
        <v/>
      </c>
      <c r="Z840">
        <f t="shared" si="139"/>
        <v>-37000.22</v>
      </c>
    </row>
    <row r="841" spans="1:26" x14ac:dyDescent="0.25">
      <c r="A841" s="1">
        <v>45688</v>
      </c>
      <c r="B841" t="s">
        <v>1144</v>
      </c>
      <c r="C841" t="s">
        <v>17</v>
      </c>
      <c r="D841" t="s">
        <v>22</v>
      </c>
      <c r="E841">
        <v>150</v>
      </c>
      <c r="F841">
        <v>0</v>
      </c>
      <c r="G841">
        <v>252.3</v>
      </c>
      <c r="H841">
        <v>37845</v>
      </c>
      <c r="I841" t="s">
        <v>1147</v>
      </c>
      <c r="J841">
        <v>0</v>
      </c>
      <c r="K841">
        <v>13.45</v>
      </c>
      <c r="L841">
        <v>3.67</v>
      </c>
      <c r="M841">
        <v>0.04</v>
      </c>
      <c r="N841">
        <v>40</v>
      </c>
      <c r="O841">
        <v>9.6199999999999992</v>
      </c>
      <c r="P841">
        <v>66.78</v>
      </c>
      <c r="Q841">
        <f t="shared" si="130"/>
        <v>2025</v>
      </c>
      <c r="R841">
        <f t="shared" si="131"/>
        <v>1</v>
      </c>
      <c r="S841">
        <f t="shared" si="132"/>
        <v>2024</v>
      </c>
      <c r="T841">
        <f t="shared" si="133"/>
        <v>10</v>
      </c>
      <c r="U841">
        <f t="shared" si="134"/>
        <v>10</v>
      </c>
      <c r="V841" t="str">
        <f t="shared" si="135"/>
        <v>202410</v>
      </c>
      <c r="W841" t="str">
        <f t="shared" si="136"/>
        <v>Jan-25</v>
      </c>
      <c r="X841" s="3">
        <f t="shared" si="137"/>
        <v>-37911.78</v>
      </c>
      <c r="Y841" t="str">
        <f t="shared" si="138"/>
        <v/>
      </c>
      <c r="Z841">
        <f t="shared" si="139"/>
        <v>-37911.78</v>
      </c>
    </row>
    <row r="842" spans="1:26" x14ac:dyDescent="0.25">
      <c r="A842" s="1">
        <v>45688</v>
      </c>
      <c r="B842" t="s">
        <v>1144</v>
      </c>
      <c r="C842" t="s">
        <v>17</v>
      </c>
      <c r="D842" t="s">
        <v>18</v>
      </c>
      <c r="E842">
        <v>150</v>
      </c>
      <c r="F842">
        <v>0</v>
      </c>
      <c r="G842">
        <v>247.5</v>
      </c>
      <c r="H842">
        <v>37125</v>
      </c>
      <c r="I842" t="s">
        <v>1148</v>
      </c>
      <c r="J842">
        <v>37.380000000000003</v>
      </c>
      <c r="K842">
        <v>13.2</v>
      </c>
      <c r="L842">
        <v>0</v>
      </c>
      <c r="M842">
        <v>0.04</v>
      </c>
      <c r="N842">
        <v>40</v>
      </c>
      <c r="O842">
        <v>9.6</v>
      </c>
      <c r="P842">
        <v>100.22</v>
      </c>
      <c r="Q842">
        <f t="shared" si="130"/>
        <v>2025</v>
      </c>
      <c r="R842">
        <f t="shared" si="131"/>
        <v>1</v>
      </c>
      <c r="S842">
        <f t="shared" si="132"/>
        <v>2024</v>
      </c>
      <c r="T842">
        <f t="shared" si="133"/>
        <v>10</v>
      </c>
      <c r="U842">
        <f t="shared" si="134"/>
        <v>10</v>
      </c>
      <c r="V842" t="str">
        <f t="shared" si="135"/>
        <v>202410</v>
      </c>
      <c r="W842" t="str">
        <f t="shared" si="136"/>
        <v>Jan-25</v>
      </c>
      <c r="X842" s="3">
        <f t="shared" si="137"/>
        <v>37024.78</v>
      </c>
      <c r="Y842">
        <f t="shared" si="138"/>
        <v>37024.78</v>
      </c>
      <c r="Z842" t="str">
        <f t="shared" si="139"/>
        <v/>
      </c>
    </row>
    <row r="843" spans="1:26" x14ac:dyDescent="0.25">
      <c r="A843" s="1">
        <v>45688</v>
      </c>
      <c r="B843" t="s">
        <v>1144</v>
      </c>
      <c r="C843" t="s">
        <v>17</v>
      </c>
      <c r="D843" t="s">
        <v>22</v>
      </c>
      <c r="E843">
        <v>75</v>
      </c>
      <c r="F843">
        <v>0</v>
      </c>
      <c r="G843">
        <v>242.1</v>
      </c>
      <c r="H843">
        <v>18157.5</v>
      </c>
      <c r="I843" t="s">
        <v>1149</v>
      </c>
      <c r="J843">
        <v>0</v>
      </c>
      <c r="K843">
        <v>6.45</v>
      </c>
      <c r="L843">
        <v>0</v>
      </c>
      <c r="M843">
        <v>0.02</v>
      </c>
      <c r="N843">
        <v>20</v>
      </c>
      <c r="O843">
        <v>4.76</v>
      </c>
      <c r="P843">
        <v>31.23</v>
      </c>
      <c r="Q843">
        <f t="shared" si="130"/>
        <v>2025</v>
      </c>
      <c r="R843">
        <f t="shared" si="131"/>
        <v>1</v>
      </c>
      <c r="S843">
        <f t="shared" si="132"/>
        <v>2024</v>
      </c>
      <c r="T843">
        <f t="shared" si="133"/>
        <v>10</v>
      </c>
      <c r="U843">
        <f t="shared" si="134"/>
        <v>10</v>
      </c>
      <c r="V843" t="str">
        <f t="shared" si="135"/>
        <v>202410</v>
      </c>
      <c r="W843" t="str">
        <f t="shared" si="136"/>
        <v>Jan-25</v>
      </c>
      <c r="X843" s="3">
        <f t="shared" si="137"/>
        <v>-18188.73</v>
      </c>
      <c r="Y843" t="str">
        <f t="shared" si="138"/>
        <v/>
      </c>
      <c r="Z843">
        <f t="shared" si="139"/>
        <v>-18188.73</v>
      </c>
    </row>
    <row r="844" spans="1:26" x14ac:dyDescent="0.25">
      <c r="A844" s="1">
        <v>45688</v>
      </c>
      <c r="B844" t="s">
        <v>1144</v>
      </c>
      <c r="C844" t="s">
        <v>17</v>
      </c>
      <c r="D844" t="s">
        <v>22</v>
      </c>
      <c r="E844">
        <v>75</v>
      </c>
      <c r="F844">
        <v>0</v>
      </c>
      <c r="G844">
        <v>251.25</v>
      </c>
      <c r="H844">
        <v>18843.75</v>
      </c>
      <c r="I844" t="s">
        <v>1150</v>
      </c>
      <c r="J844">
        <v>0</v>
      </c>
      <c r="K844">
        <v>6.7</v>
      </c>
      <c r="L844">
        <v>0</v>
      </c>
      <c r="M844">
        <v>0.02</v>
      </c>
      <c r="N844">
        <v>20</v>
      </c>
      <c r="O844">
        <v>4.8</v>
      </c>
      <c r="P844">
        <v>31.52</v>
      </c>
      <c r="Q844">
        <f t="shared" si="130"/>
        <v>2025</v>
      </c>
      <c r="R844">
        <f t="shared" si="131"/>
        <v>1</v>
      </c>
      <c r="S844">
        <f t="shared" si="132"/>
        <v>2024</v>
      </c>
      <c r="T844">
        <f t="shared" si="133"/>
        <v>10</v>
      </c>
      <c r="U844">
        <f t="shared" si="134"/>
        <v>10</v>
      </c>
      <c r="V844" t="str">
        <f t="shared" si="135"/>
        <v>202410</v>
      </c>
      <c r="W844" t="str">
        <f t="shared" si="136"/>
        <v>Jan-25</v>
      </c>
      <c r="X844" s="3">
        <f t="shared" si="137"/>
        <v>-18875.27</v>
      </c>
      <c r="Y844" t="str">
        <f t="shared" si="138"/>
        <v/>
      </c>
      <c r="Z844">
        <f t="shared" si="139"/>
        <v>-18875.27</v>
      </c>
    </row>
    <row r="845" spans="1:26" x14ac:dyDescent="0.25">
      <c r="A845" s="1">
        <v>45689</v>
      </c>
      <c r="B845" t="s">
        <v>1151</v>
      </c>
      <c r="C845" t="s">
        <v>17</v>
      </c>
      <c r="D845" t="s">
        <v>18</v>
      </c>
      <c r="E845">
        <v>300</v>
      </c>
      <c r="F845">
        <v>0</v>
      </c>
      <c r="G845">
        <v>103.8</v>
      </c>
      <c r="H845">
        <v>31140</v>
      </c>
      <c r="I845" t="s">
        <v>1152</v>
      </c>
      <c r="J845">
        <v>31</v>
      </c>
      <c r="K845">
        <v>11.06</v>
      </c>
      <c r="L845">
        <v>0</v>
      </c>
      <c r="M845">
        <v>0.03</v>
      </c>
      <c r="N845">
        <v>80</v>
      </c>
      <c r="O845">
        <v>16.399999999999999</v>
      </c>
      <c r="P845">
        <v>138.49</v>
      </c>
      <c r="Q845">
        <f t="shared" si="130"/>
        <v>2025</v>
      </c>
      <c r="R845">
        <f t="shared" si="131"/>
        <v>2</v>
      </c>
      <c r="S845">
        <f t="shared" si="132"/>
        <v>2024</v>
      </c>
      <c r="T845">
        <f t="shared" si="133"/>
        <v>11</v>
      </c>
      <c r="U845">
        <f t="shared" si="134"/>
        <v>11</v>
      </c>
      <c r="V845" t="str">
        <f t="shared" si="135"/>
        <v>202411</v>
      </c>
      <c r="W845" t="str">
        <f t="shared" si="136"/>
        <v>Feb-25</v>
      </c>
      <c r="X845" s="3">
        <f t="shared" si="137"/>
        <v>31001.51</v>
      </c>
      <c r="Y845">
        <f t="shared" si="138"/>
        <v>31001.51</v>
      </c>
      <c r="Z845" t="str">
        <f t="shared" si="139"/>
        <v/>
      </c>
    </row>
    <row r="846" spans="1:26" x14ac:dyDescent="0.25">
      <c r="A846" s="1">
        <v>45689</v>
      </c>
      <c r="B846" t="s">
        <v>1151</v>
      </c>
      <c r="C846" t="s">
        <v>17</v>
      </c>
      <c r="D846" t="s">
        <v>22</v>
      </c>
      <c r="E846">
        <v>75</v>
      </c>
      <c r="F846">
        <v>0</v>
      </c>
      <c r="G846">
        <v>215.3</v>
      </c>
      <c r="H846">
        <v>16147.5</v>
      </c>
      <c r="I846" t="s">
        <v>1153</v>
      </c>
      <c r="J846">
        <v>0</v>
      </c>
      <c r="K846">
        <v>5.74</v>
      </c>
      <c r="L846">
        <v>0</v>
      </c>
      <c r="M846">
        <v>0.02</v>
      </c>
      <c r="N846">
        <v>20</v>
      </c>
      <c r="O846">
        <v>4.6399999999999997</v>
      </c>
      <c r="P846">
        <v>30.4</v>
      </c>
      <c r="Q846">
        <f t="shared" si="130"/>
        <v>2025</v>
      </c>
      <c r="R846">
        <f t="shared" si="131"/>
        <v>2</v>
      </c>
      <c r="S846">
        <f t="shared" si="132"/>
        <v>2024</v>
      </c>
      <c r="T846">
        <f t="shared" si="133"/>
        <v>11</v>
      </c>
      <c r="U846">
        <f t="shared" si="134"/>
        <v>11</v>
      </c>
      <c r="V846" t="str">
        <f t="shared" si="135"/>
        <v>202411</v>
      </c>
      <c r="W846" t="str">
        <f t="shared" si="136"/>
        <v>Feb-25</v>
      </c>
      <c r="X846" s="3">
        <f t="shared" si="137"/>
        <v>-16177.9</v>
      </c>
      <c r="Y846" t="str">
        <f t="shared" si="138"/>
        <v/>
      </c>
      <c r="Z846">
        <f t="shared" si="139"/>
        <v>-16177.9</v>
      </c>
    </row>
    <row r="847" spans="1:26" x14ac:dyDescent="0.25">
      <c r="A847" s="1">
        <v>45689</v>
      </c>
      <c r="B847" t="s">
        <v>1151</v>
      </c>
      <c r="C847" t="s">
        <v>17</v>
      </c>
      <c r="D847" t="s">
        <v>22</v>
      </c>
      <c r="E847">
        <v>75</v>
      </c>
      <c r="F847">
        <v>0</v>
      </c>
      <c r="G847">
        <v>241.45</v>
      </c>
      <c r="H847">
        <v>18108.75</v>
      </c>
      <c r="I847" t="s">
        <v>1154</v>
      </c>
      <c r="J847">
        <v>0</v>
      </c>
      <c r="K847">
        <v>6.43</v>
      </c>
      <c r="L847">
        <v>0</v>
      </c>
      <c r="M847">
        <v>0.02</v>
      </c>
      <c r="N847">
        <v>20</v>
      </c>
      <c r="O847">
        <v>4.76</v>
      </c>
      <c r="P847">
        <v>31.21</v>
      </c>
      <c r="Q847">
        <f t="shared" si="130"/>
        <v>2025</v>
      </c>
      <c r="R847">
        <f t="shared" si="131"/>
        <v>2</v>
      </c>
      <c r="S847">
        <f t="shared" si="132"/>
        <v>2024</v>
      </c>
      <c r="T847">
        <f t="shared" si="133"/>
        <v>11</v>
      </c>
      <c r="U847">
        <f t="shared" si="134"/>
        <v>11</v>
      </c>
      <c r="V847" t="str">
        <f t="shared" si="135"/>
        <v>202411</v>
      </c>
      <c r="W847" t="str">
        <f t="shared" si="136"/>
        <v>Feb-25</v>
      </c>
      <c r="X847" s="3">
        <f t="shared" si="137"/>
        <v>-18139.96</v>
      </c>
      <c r="Y847" t="str">
        <f t="shared" si="138"/>
        <v/>
      </c>
      <c r="Z847">
        <f t="shared" si="139"/>
        <v>-18139.96</v>
      </c>
    </row>
    <row r="848" spans="1:26" x14ac:dyDescent="0.25">
      <c r="A848" s="1">
        <v>45689</v>
      </c>
      <c r="B848" t="s">
        <v>1151</v>
      </c>
      <c r="C848" t="s">
        <v>17</v>
      </c>
      <c r="D848" t="s">
        <v>22</v>
      </c>
      <c r="E848">
        <v>75</v>
      </c>
      <c r="F848">
        <v>0</v>
      </c>
      <c r="G848">
        <v>242.1</v>
      </c>
      <c r="H848">
        <v>18157.5</v>
      </c>
      <c r="I848" t="s">
        <v>1155</v>
      </c>
      <c r="J848">
        <v>0</v>
      </c>
      <c r="K848">
        <v>6.45</v>
      </c>
      <c r="L848">
        <v>0</v>
      </c>
      <c r="M848">
        <v>0.02</v>
      </c>
      <c r="N848">
        <v>20</v>
      </c>
      <c r="O848">
        <v>4.76</v>
      </c>
      <c r="P848">
        <v>31.23</v>
      </c>
      <c r="Q848">
        <f t="shared" si="130"/>
        <v>2025</v>
      </c>
      <c r="R848">
        <f t="shared" si="131"/>
        <v>2</v>
      </c>
      <c r="S848">
        <f t="shared" si="132"/>
        <v>2024</v>
      </c>
      <c r="T848">
        <f t="shared" si="133"/>
        <v>11</v>
      </c>
      <c r="U848">
        <f t="shared" si="134"/>
        <v>11</v>
      </c>
      <c r="V848" t="str">
        <f t="shared" si="135"/>
        <v>202411</v>
      </c>
      <c r="W848" t="str">
        <f t="shared" si="136"/>
        <v>Feb-25</v>
      </c>
      <c r="X848" s="3">
        <f t="shared" si="137"/>
        <v>-18188.73</v>
      </c>
      <c r="Y848" t="str">
        <f t="shared" si="138"/>
        <v/>
      </c>
      <c r="Z848">
        <f t="shared" si="139"/>
        <v>-18188.73</v>
      </c>
    </row>
    <row r="849" spans="1:26" x14ac:dyDescent="0.25">
      <c r="A849" s="1">
        <v>45689</v>
      </c>
      <c r="B849" t="s">
        <v>1151</v>
      </c>
      <c r="C849" t="s">
        <v>17</v>
      </c>
      <c r="D849" t="s">
        <v>22</v>
      </c>
      <c r="E849">
        <v>75</v>
      </c>
      <c r="F849">
        <v>0</v>
      </c>
      <c r="G849">
        <v>252</v>
      </c>
      <c r="H849">
        <v>18900</v>
      </c>
      <c r="I849" t="s">
        <v>1156</v>
      </c>
      <c r="J849">
        <v>0</v>
      </c>
      <c r="K849">
        <v>6.72</v>
      </c>
      <c r="L849">
        <v>2</v>
      </c>
      <c r="M849">
        <v>0.02</v>
      </c>
      <c r="N849">
        <v>20</v>
      </c>
      <c r="O849">
        <v>4.82</v>
      </c>
      <c r="P849">
        <v>33.56</v>
      </c>
      <c r="Q849">
        <f t="shared" si="130"/>
        <v>2025</v>
      </c>
      <c r="R849">
        <f t="shared" si="131"/>
        <v>2</v>
      </c>
      <c r="S849">
        <f t="shared" si="132"/>
        <v>2024</v>
      </c>
      <c r="T849">
        <f t="shared" si="133"/>
        <v>11</v>
      </c>
      <c r="U849">
        <f t="shared" si="134"/>
        <v>11</v>
      </c>
      <c r="V849" t="str">
        <f t="shared" si="135"/>
        <v>202411</v>
      </c>
      <c r="W849" t="str">
        <f t="shared" si="136"/>
        <v>Feb-25</v>
      </c>
      <c r="X849" s="3">
        <f t="shared" si="137"/>
        <v>-18933.560000000001</v>
      </c>
      <c r="Y849" t="str">
        <f t="shared" si="138"/>
        <v/>
      </c>
      <c r="Z849">
        <f t="shared" si="139"/>
        <v>-18933.560000000001</v>
      </c>
    </row>
    <row r="850" spans="1:26" x14ac:dyDescent="0.25">
      <c r="A850" s="1">
        <v>45691</v>
      </c>
      <c r="B850" t="s">
        <v>1157</v>
      </c>
      <c r="C850" t="s">
        <v>17</v>
      </c>
      <c r="D850" t="s">
        <v>18</v>
      </c>
      <c r="E850">
        <v>150</v>
      </c>
      <c r="F850">
        <v>0</v>
      </c>
      <c r="G850">
        <v>169.95</v>
      </c>
      <c r="H850">
        <v>25492.5</v>
      </c>
      <c r="I850" t="s">
        <v>1158</v>
      </c>
      <c r="J850">
        <v>25</v>
      </c>
      <c r="K850">
        <v>9.06</v>
      </c>
      <c r="L850">
        <v>0</v>
      </c>
      <c r="M850">
        <v>0.03</v>
      </c>
      <c r="N850">
        <v>40</v>
      </c>
      <c r="O850">
        <v>8.84</v>
      </c>
      <c r="P850">
        <v>82.93</v>
      </c>
      <c r="Q850">
        <f t="shared" si="130"/>
        <v>2025</v>
      </c>
      <c r="R850">
        <f t="shared" si="131"/>
        <v>2</v>
      </c>
      <c r="S850">
        <f t="shared" si="132"/>
        <v>2024</v>
      </c>
      <c r="T850">
        <f t="shared" si="133"/>
        <v>11</v>
      </c>
      <c r="U850">
        <f t="shared" si="134"/>
        <v>11</v>
      </c>
      <c r="V850" t="str">
        <f t="shared" si="135"/>
        <v>202411</v>
      </c>
      <c r="W850" t="str">
        <f t="shared" si="136"/>
        <v>Feb-25</v>
      </c>
      <c r="X850" s="3">
        <f t="shared" si="137"/>
        <v>25409.57</v>
      </c>
      <c r="Y850">
        <f t="shared" si="138"/>
        <v>25409.57</v>
      </c>
      <c r="Z850" t="str">
        <f t="shared" si="139"/>
        <v/>
      </c>
    </row>
    <row r="851" spans="1:26" x14ac:dyDescent="0.25">
      <c r="A851" s="1">
        <v>45691</v>
      </c>
      <c r="B851" t="s">
        <v>1157</v>
      </c>
      <c r="C851" t="s">
        <v>17</v>
      </c>
      <c r="D851" t="s">
        <v>22</v>
      </c>
      <c r="E851">
        <v>75</v>
      </c>
      <c r="F851">
        <v>0</v>
      </c>
      <c r="G851">
        <v>120.15</v>
      </c>
      <c r="H851">
        <v>9011.25</v>
      </c>
      <c r="I851" t="s">
        <v>1159</v>
      </c>
      <c r="J851">
        <v>0</v>
      </c>
      <c r="K851">
        <v>3.2</v>
      </c>
      <c r="L851">
        <v>0</v>
      </c>
      <c r="M851">
        <v>0.01</v>
      </c>
      <c r="N851">
        <v>20</v>
      </c>
      <c r="O851">
        <v>4.18</v>
      </c>
      <c r="P851">
        <v>27.39</v>
      </c>
      <c r="Q851">
        <f t="shared" si="130"/>
        <v>2025</v>
      </c>
      <c r="R851">
        <f t="shared" si="131"/>
        <v>2</v>
      </c>
      <c r="S851">
        <f t="shared" si="132"/>
        <v>2024</v>
      </c>
      <c r="T851">
        <f t="shared" si="133"/>
        <v>11</v>
      </c>
      <c r="U851">
        <f t="shared" si="134"/>
        <v>11</v>
      </c>
      <c r="V851" t="str">
        <f t="shared" si="135"/>
        <v>202411</v>
      </c>
      <c r="W851" t="str">
        <f t="shared" si="136"/>
        <v>Feb-25</v>
      </c>
      <c r="X851" s="3">
        <f t="shared" si="137"/>
        <v>-9038.64</v>
      </c>
      <c r="Y851" t="str">
        <f t="shared" si="138"/>
        <v/>
      </c>
      <c r="Z851">
        <f t="shared" si="139"/>
        <v>-9038.64</v>
      </c>
    </row>
    <row r="852" spans="1:26" x14ac:dyDescent="0.25">
      <c r="A852" s="1">
        <v>45691</v>
      </c>
      <c r="B852" t="s">
        <v>1157</v>
      </c>
      <c r="C852" t="s">
        <v>17</v>
      </c>
      <c r="D852" t="s">
        <v>22</v>
      </c>
      <c r="E852">
        <v>75</v>
      </c>
      <c r="F852">
        <v>0</v>
      </c>
      <c r="G852">
        <v>157.69999999999999</v>
      </c>
      <c r="H852">
        <v>11827.5</v>
      </c>
      <c r="I852" t="s">
        <v>1160</v>
      </c>
      <c r="J852">
        <v>0</v>
      </c>
      <c r="K852">
        <v>4.2</v>
      </c>
      <c r="L852">
        <v>1</v>
      </c>
      <c r="M852">
        <v>0.01</v>
      </c>
      <c r="N852">
        <v>20</v>
      </c>
      <c r="O852">
        <v>4.3600000000000003</v>
      </c>
      <c r="P852">
        <v>29.57</v>
      </c>
      <c r="Q852">
        <f t="shared" si="130"/>
        <v>2025</v>
      </c>
      <c r="R852">
        <f t="shared" si="131"/>
        <v>2</v>
      </c>
      <c r="S852">
        <f t="shared" si="132"/>
        <v>2024</v>
      </c>
      <c r="T852">
        <f t="shared" si="133"/>
        <v>11</v>
      </c>
      <c r="U852">
        <f t="shared" si="134"/>
        <v>11</v>
      </c>
      <c r="V852" t="str">
        <f t="shared" si="135"/>
        <v>202411</v>
      </c>
      <c r="W852" t="str">
        <f t="shared" si="136"/>
        <v>Feb-25</v>
      </c>
      <c r="X852" s="3">
        <f t="shared" si="137"/>
        <v>-11857.07</v>
      </c>
      <c r="Y852" t="str">
        <f t="shared" si="138"/>
        <v/>
      </c>
      <c r="Z852">
        <f t="shared" si="139"/>
        <v>-11857.07</v>
      </c>
    </row>
    <row r="853" spans="1:26" x14ac:dyDescent="0.25">
      <c r="A853" s="1">
        <v>45692</v>
      </c>
      <c r="B853" t="s">
        <v>1161</v>
      </c>
      <c r="C853" t="s">
        <v>17</v>
      </c>
      <c r="D853" t="s">
        <v>18</v>
      </c>
      <c r="E853">
        <v>150</v>
      </c>
      <c r="F853">
        <v>0</v>
      </c>
      <c r="G853">
        <v>169.25</v>
      </c>
      <c r="H853">
        <v>25387.5</v>
      </c>
      <c r="I853" t="s">
        <v>1162</v>
      </c>
      <c r="J853">
        <v>25.39</v>
      </c>
      <c r="K853">
        <v>9.02</v>
      </c>
      <c r="L853">
        <v>0</v>
      </c>
      <c r="M853">
        <v>0.03</v>
      </c>
      <c r="N853">
        <v>40</v>
      </c>
      <c r="O853">
        <v>8.82</v>
      </c>
      <c r="P853">
        <v>83.26</v>
      </c>
      <c r="Q853">
        <f t="shared" si="130"/>
        <v>2025</v>
      </c>
      <c r="R853">
        <f t="shared" si="131"/>
        <v>2</v>
      </c>
      <c r="S853">
        <f t="shared" si="132"/>
        <v>2024</v>
      </c>
      <c r="T853">
        <f t="shared" si="133"/>
        <v>11</v>
      </c>
      <c r="U853">
        <f t="shared" si="134"/>
        <v>11</v>
      </c>
      <c r="V853" t="str">
        <f t="shared" si="135"/>
        <v>202411</v>
      </c>
      <c r="W853" t="str">
        <f t="shared" si="136"/>
        <v>Feb-25</v>
      </c>
      <c r="X853" s="3">
        <f t="shared" si="137"/>
        <v>25304.240000000002</v>
      </c>
      <c r="Y853">
        <f t="shared" si="138"/>
        <v>25304.240000000002</v>
      </c>
      <c r="Z853" t="str">
        <f t="shared" si="139"/>
        <v/>
      </c>
    </row>
    <row r="854" spans="1:26" x14ac:dyDescent="0.25">
      <c r="A854" s="1">
        <v>45692</v>
      </c>
      <c r="B854" t="s">
        <v>1161</v>
      </c>
      <c r="C854" t="s">
        <v>17</v>
      </c>
      <c r="D854" t="s">
        <v>22</v>
      </c>
      <c r="E854">
        <v>75</v>
      </c>
      <c r="F854">
        <v>0</v>
      </c>
      <c r="G854">
        <v>145.69999999999999</v>
      </c>
      <c r="H854">
        <v>10927.5</v>
      </c>
      <c r="I854" t="s">
        <v>1163</v>
      </c>
      <c r="J854">
        <v>0</v>
      </c>
      <c r="K854">
        <v>3.88</v>
      </c>
      <c r="L854">
        <v>0</v>
      </c>
      <c r="M854">
        <v>0.01</v>
      </c>
      <c r="N854">
        <v>20</v>
      </c>
      <c r="O854">
        <v>4.3</v>
      </c>
      <c r="P854">
        <v>28.19</v>
      </c>
      <c r="Q854">
        <f t="shared" si="130"/>
        <v>2025</v>
      </c>
      <c r="R854">
        <f t="shared" si="131"/>
        <v>2</v>
      </c>
      <c r="S854">
        <f t="shared" si="132"/>
        <v>2024</v>
      </c>
      <c r="T854">
        <f t="shared" si="133"/>
        <v>11</v>
      </c>
      <c r="U854">
        <f t="shared" si="134"/>
        <v>11</v>
      </c>
      <c r="V854" t="str">
        <f t="shared" si="135"/>
        <v>202411</v>
      </c>
      <c r="W854" t="str">
        <f t="shared" si="136"/>
        <v>Feb-25</v>
      </c>
      <c r="X854" s="3">
        <f t="shared" si="137"/>
        <v>-10955.69</v>
      </c>
      <c r="Y854" t="str">
        <f t="shared" si="138"/>
        <v/>
      </c>
      <c r="Z854">
        <f t="shared" si="139"/>
        <v>-10955.69</v>
      </c>
    </row>
    <row r="855" spans="1:26" x14ac:dyDescent="0.25">
      <c r="A855" s="1">
        <v>45692</v>
      </c>
      <c r="B855" t="s">
        <v>1161</v>
      </c>
      <c r="C855" t="s">
        <v>17</v>
      </c>
      <c r="D855" t="s">
        <v>22</v>
      </c>
      <c r="E855">
        <v>75</v>
      </c>
      <c r="F855">
        <v>0</v>
      </c>
      <c r="G855">
        <v>157.69999999999999</v>
      </c>
      <c r="H855">
        <v>11827.5</v>
      </c>
      <c r="I855" t="s">
        <v>1164</v>
      </c>
      <c r="J855">
        <v>0</v>
      </c>
      <c r="K855">
        <v>4.2</v>
      </c>
      <c r="L855">
        <v>0.52</v>
      </c>
      <c r="M855">
        <v>0.01</v>
      </c>
      <c r="N855">
        <v>20</v>
      </c>
      <c r="O855">
        <v>4.3600000000000003</v>
      </c>
      <c r="P855">
        <v>29.09</v>
      </c>
      <c r="Q855">
        <f t="shared" si="130"/>
        <v>2025</v>
      </c>
      <c r="R855">
        <f t="shared" si="131"/>
        <v>2</v>
      </c>
      <c r="S855">
        <f t="shared" si="132"/>
        <v>2024</v>
      </c>
      <c r="T855">
        <f t="shared" si="133"/>
        <v>11</v>
      </c>
      <c r="U855">
        <f t="shared" si="134"/>
        <v>11</v>
      </c>
      <c r="V855" t="str">
        <f t="shared" si="135"/>
        <v>202411</v>
      </c>
      <c r="W855" t="str">
        <f t="shared" si="136"/>
        <v>Feb-25</v>
      </c>
      <c r="X855" s="3">
        <f t="shared" si="137"/>
        <v>-11856.59</v>
      </c>
      <c r="Y855" t="str">
        <f t="shared" si="138"/>
        <v/>
      </c>
      <c r="Z855">
        <f t="shared" si="139"/>
        <v>-11856.59</v>
      </c>
    </row>
    <row r="856" spans="1:26" x14ac:dyDescent="0.25">
      <c r="A856" s="1">
        <v>45692</v>
      </c>
      <c r="B856" t="s">
        <v>1165</v>
      </c>
      <c r="C856" t="s">
        <v>17</v>
      </c>
      <c r="D856" t="s">
        <v>18</v>
      </c>
      <c r="E856">
        <v>75</v>
      </c>
      <c r="F856">
        <v>0</v>
      </c>
      <c r="G856">
        <v>72</v>
      </c>
      <c r="H856">
        <v>5400</v>
      </c>
      <c r="I856" t="s">
        <v>1166</v>
      </c>
      <c r="J856">
        <v>5.4</v>
      </c>
      <c r="K856">
        <v>1.92</v>
      </c>
      <c r="L856">
        <v>0</v>
      </c>
      <c r="M856">
        <v>0.01</v>
      </c>
      <c r="N856">
        <v>20</v>
      </c>
      <c r="O856">
        <v>3.94</v>
      </c>
      <c r="P856">
        <v>31.27</v>
      </c>
      <c r="Q856">
        <f t="shared" si="130"/>
        <v>2025</v>
      </c>
      <c r="R856">
        <f t="shared" si="131"/>
        <v>2</v>
      </c>
      <c r="S856">
        <f t="shared" si="132"/>
        <v>2024</v>
      </c>
      <c r="T856">
        <f t="shared" si="133"/>
        <v>11</v>
      </c>
      <c r="U856">
        <f t="shared" si="134"/>
        <v>11</v>
      </c>
      <c r="V856" t="str">
        <f t="shared" si="135"/>
        <v>202411</v>
      </c>
      <c r="W856" t="str">
        <f t="shared" si="136"/>
        <v>Feb-25</v>
      </c>
      <c r="X856" s="3">
        <f t="shared" si="137"/>
        <v>5368.73</v>
      </c>
      <c r="Y856">
        <f t="shared" si="138"/>
        <v>5368.73</v>
      </c>
      <c r="Z856" t="str">
        <f t="shared" si="139"/>
        <v/>
      </c>
    </row>
    <row r="857" spans="1:26" x14ac:dyDescent="0.25">
      <c r="A857" s="1">
        <v>45692</v>
      </c>
      <c r="B857" t="s">
        <v>1167</v>
      </c>
      <c r="C857" t="s">
        <v>17</v>
      </c>
      <c r="D857" t="s">
        <v>18</v>
      </c>
      <c r="E857">
        <v>75</v>
      </c>
      <c r="F857">
        <v>0</v>
      </c>
      <c r="G857">
        <v>169.75</v>
      </c>
      <c r="H857">
        <v>12731.25</v>
      </c>
      <c r="I857" t="s">
        <v>1168</v>
      </c>
      <c r="J857">
        <v>13.21</v>
      </c>
      <c r="K857">
        <v>4.5199999999999996</v>
      </c>
      <c r="L857">
        <v>0</v>
      </c>
      <c r="M857">
        <v>0.01</v>
      </c>
      <c r="N857">
        <v>20</v>
      </c>
      <c r="O857">
        <v>4.42</v>
      </c>
      <c r="P857">
        <v>42.16</v>
      </c>
      <c r="Q857">
        <f t="shared" si="130"/>
        <v>2025</v>
      </c>
      <c r="R857">
        <f t="shared" si="131"/>
        <v>2</v>
      </c>
      <c r="S857">
        <f t="shared" si="132"/>
        <v>2024</v>
      </c>
      <c r="T857">
        <f t="shared" si="133"/>
        <v>11</v>
      </c>
      <c r="U857">
        <f t="shared" si="134"/>
        <v>11</v>
      </c>
      <c r="V857" t="str">
        <f t="shared" si="135"/>
        <v>202411</v>
      </c>
      <c r="W857" t="str">
        <f t="shared" si="136"/>
        <v>Feb-25</v>
      </c>
      <c r="X857" s="3">
        <f t="shared" si="137"/>
        <v>12689.09</v>
      </c>
      <c r="Y857">
        <f t="shared" si="138"/>
        <v>12689.09</v>
      </c>
      <c r="Z857" t="str">
        <f t="shared" si="139"/>
        <v/>
      </c>
    </row>
    <row r="858" spans="1:26" x14ac:dyDescent="0.25">
      <c r="A858" s="1">
        <v>45692</v>
      </c>
      <c r="B858" t="s">
        <v>1167</v>
      </c>
      <c r="C858" t="s">
        <v>17</v>
      </c>
      <c r="D858" t="s">
        <v>22</v>
      </c>
      <c r="E858">
        <v>75</v>
      </c>
      <c r="F858">
        <v>0</v>
      </c>
      <c r="G858">
        <v>150.44999999999999</v>
      </c>
      <c r="H858">
        <v>11283.75</v>
      </c>
      <c r="I858" t="s">
        <v>1169</v>
      </c>
      <c r="J858">
        <v>0</v>
      </c>
      <c r="K858">
        <v>4.01</v>
      </c>
      <c r="L858">
        <v>0.34</v>
      </c>
      <c r="M858">
        <v>0.01</v>
      </c>
      <c r="N858">
        <v>20</v>
      </c>
      <c r="O858">
        <v>4.32</v>
      </c>
      <c r="P858">
        <v>28.68</v>
      </c>
      <c r="Q858">
        <f t="shared" si="130"/>
        <v>2025</v>
      </c>
      <c r="R858">
        <f t="shared" si="131"/>
        <v>2</v>
      </c>
      <c r="S858">
        <f t="shared" si="132"/>
        <v>2024</v>
      </c>
      <c r="T858">
        <f t="shared" si="133"/>
        <v>11</v>
      </c>
      <c r="U858">
        <f t="shared" si="134"/>
        <v>11</v>
      </c>
      <c r="V858" t="str">
        <f t="shared" si="135"/>
        <v>202411</v>
      </c>
      <c r="W858" t="str">
        <f t="shared" si="136"/>
        <v>Feb-25</v>
      </c>
      <c r="X858" s="3">
        <f t="shared" si="137"/>
        <v>-11312.43</v>
      </c>
      <c r="Y858" t="str">
        <f t="shared" si="138"/>
        <v/>
      </c>
      <c r="Z858">
        <f t="shared" si="139"/>
        <v>-11312.43</v>
      </c>
    </row>
    <row r="859" spans="1:26" x14ac:dyDescent="0.25">
      <c r="A859" s="1">
        <v>45692</v>
      </c>
      <c r="B859" t="s">
        <v>1165</v>
      </c>
      <c r="C859" t="s">
        <v>17</v>
      </c>
      <c r="D859" t="s">
        <v>22</v>
      </c>
      <c r="E859">
        <v>75</v>
      </c>
      <c r="F859">
        <v>0</v>
      </c>
      <c r="G859">
        <v>61.25</v>
      </c>
      <c r="H859">
        <v>4593.75</v>
      </c>
      <c r="I859" t="s">
        <v>1170</v>
      </c>
      <c r="J859">
        <v>0</v>
      </c>
      <c r="K859">
        <v>1.63</v>
      </c>
      <c r="L859">
        <v>0.14000000000000001</v>
      </c>
      <c r="M859">
        <v>0</v>
      </c>
      <c r="N859">
        <v>20</v>
      </c>
      <c r="O859">
        <v>3.9</v>
      </c>
      <c r="P859">
        <v>25.67</v>
      </c>
      <c r="Q859">
        <f t="shared" si="130"/>
        <v>2025</v>
      </c>
      <c r="R859">
        <f t="shared" si="131"/>
        <v>2</v>
      </c>
      <c r="S859">
        <f t="shared" si="132"/>
        <v>2024</v>
      </c>
      <c r="T859">
        <f t="shared" si="133"/>
        <v>11</v>
      </c>
      <c r="U859">
        <f t="shared" si="134"/>
        <v>11</v>
      </c>
      <c r="V859" t="str">
        <f t="shared" si="135"/>
        <v>202411</v>
      </c>
      <c r="W859" t="str">
        <f t="shared" si="136"/>
        <v>Feb-25</v>
      </c>
      <c r="X859" s="3">
        <f t="shared" si="137"/>
        <v>-4619.42</v>
      </c>
      <c r="Y859" t="str">
        <f t="shared" si="138"/>
        <v/>
      </c>
      <c r="Z859">
        <f t="shared" si="139"/>
        <v>-4619.42</v>
      </c>
    </row>
    <row r="860" spans="1:26" x14ac:dyDescent="0.25">
      <c r="A860" s="1">
        <v>45693</v>
      </c>
      <c r="B860" t="s">
        <v>1171</v>
      </c>
      <c r="C860" t="s">
        <v>17</v>
      </c>
      <c r="D860" t="s">
        <v>18</v>
      </c>
      <c r="E860">
        <v>375</v>
      </c>
      <c r="F860">
        <v>0</v>
      </c>
      <c r="G860">
        <v>93.25</v>
      </c>
      <c r="H860">
        <v>34968.75</v>
      </c>
      <c r="I860" t="s">
        <v>1172</v>
      </c>
      <c r="J860">
        <v>35</v>
      </c>
      <c r="K860">
        <v>12.42</v>
      </c>
      <c r="L860">
        <v>0</v>
      </c>
      <c r="M860">
        <v>0.03</v>
      </c>
      <c r="N860">
        <v>100</v>
      </c>
      <c r="O860">
        <v>20.239999999999998</v>
      </c>
      <c r="P860">
        <v>167.69</v>
      </c>
      <c r="Q860">
        <f t="shared" si="130"/>
        <v>2025</v>
      </c>
      <c r="R860">
        <f t="shared" si="131"/>
        <v>2</v>
      </c>
      <c r="S860">
        <f t="shared" si="132"/>
        <v>2024</v>
      </c>
      <c r="T860">
        <f t="shared" si="133"/>
        <v>11</v>
      </c>
      <c r="U860">
        <f t="shared" si="134"/>
        <v>11</v>
      </c>
      <c r="V860" t="str">
        <f t="shared" si="135"/>
        <v>202411</v>
      </c>
      <c r="W860" t="str">
        <f t="shared" si="136"/>
        <v>Feb-25</v>
      </c>
      <c r="X860" s="3">
        <f t="shared" si="137"/>
        <v>34801.06</v>
      </c>
      <c r="Y860">
        <f t="shared" si="138"/>
        <v>34801.06</v>
      </c>
      <c r="Z860" t="str">
        <f t="shared" si="139"/>
        <v/>
      </c>
    </row>
    <row r="861" spans="1:26" x14ac:dyDescent="0.25">
      <c r="A861" s="1">
        <v>45693</v>
      </c>
      <c r="B861" t="s">
        <v>1171</v>
      </c>
      <c r="C861" t="s">
        <v>17</v>
      </c>
      <c r="D861" t="s">
        <v>22</v>
      </c>
      <c r="E861">
        <v>75</v>
      </c>
      <c r="F861">
        <v>0</v>
      </c>
      <c r="G861">
        <v>79.55</v>
      </c>
      <c r="H861">
        <v>5966.25</v>
      </c>
      <c r="I861" t="s">
        <v>1173</v>
      </c>
      <c r="J861">
        <v>0</v>
      </c>
      <c r="K861">
        <v>2.12</v>
      </c>
      <c r="L861">
        <v>0</v>
      </c>
      <c r="M861">
        <v>0.01</v>
      </c>
      <c r="N861">
        <v>20</v>
      </c>
      <c r="O861">
        <v>3.98</v>
      </c>
      <c r="P861">
        <v>26.11</v>
      </c>
      <c r="Q861">
        <f t="shared" si="130"/>
        <v>2025</v>
      </c>
      <c r="R861">
        <f t="shared" si="131"/>
        <v>2</v>
      </c>
      <c r="S861">
        <f t="shared" si="132"/>
        <v>2024</v>
      </c>
      <c r="T861">
        <f t="shared" si="133"/>
        <v>11</v>
      </c>
      <c r="U861">
        <f t="shared" si="134"/>
        <v>11</v>
      </c>
      <c r="V861" t="str">
        <f t="shared" si="135"/>
        <v>202411</v>
      </c>
      <c r="W861" t="str">
        <f t="shared" si="136"/>
        <v>Feb-25</v>
      </c>
      <c r="X861" s="3">
        <f t="shared" si="137"/>
        <v>-5992.36</v>
      </c>
      <c r="Y861" t="str">
        <f t="shared" si="138"/>
        <v/>
      </c>
      <c r="Z861">
        <f t="shared" si="139"/>
        <v>-5992.36</v>
      </c>
    </row>
    <row r="862" spans="1:26" x14ac:dyDescent="0.25">
      <c r="A862" s="1">
        <v>45693</v>
      </c>
      <c r="B862" t="s">
        <v>1171</v>
      </c>
      <c r="C862" t="s">
        <v>17</v>
      </c>
      <c r="D862" t="s">
        <v>22</v>
      </c>
      <c r="E862">
        <v>75</v>
      </c>
      <c r="F862">
        <v>0</v>
      </c>
      <c r="G862">
        <v>91.65</v>
      </c>
      <c r="H862">
        <v>6873.75</v>
      </c>
      <c r="I862" t="s">
        <v>1174</v>
      </c>
      <c r="J862">
        <v>0</v>
      </c>
      <c r="K862">
        <v>2.44</v>
      </c>
      <c r="L862">
        <v>0</v>
      </c>
      <c r="M862">
        <v>0.01</v>
      </c>
      <c r="N862">
        <v>20</v>
      </c>
      <c r="O862">
        <v>4.04</v>
      </c>
      <c r="P862">
        <v>26.49</v>
      </c>
      <c r="Q862">
        <f t="shared" si="130"/>
        <v>2025</v>
      </c>
      <c r="R862">
        <f t="shared" si="131"/>
        <v>2</v>
      </c>
      <c r="S862">
        <f t="shared" si="132"/>
        <v>2024</v>
      </c>
      <c r="T862">
        <f t="shared" si="133"/>
        <v>11</v>
      </c>
      <c r="U862">
        <f t="shared" si="134"/>
        <v>11</v>
      </c>
      <c r="V862" t="str">
        <f t="shared" si="135"/>
        <v>202411</v>
      </c>
      <c r="W862" t="str">
        <f t="shared" si="136"/>
        <v>Feb-25</v>
      </c>
      <c r="X862" s="3">
        <f t="shared" si="137"/>
        <v>-6900.24</v>
      </c>
      <c r="Y862" t="str">
        <f t="shared" si="138"/>
        <v/>
      </c>
      <c r="Z862">
        <f t="shared" si="139"/>
        <v>-6900.24</v>
      </c>
    </row>
    <row r="863" spans="1:26" x14ac:dyDescent="0.25">
      <c r="A863" s="1">
        <v>45693</v>
      </c>
      <c r="B863" t="s">
        <v>1171</v>
      </c>
      <c r="C863" t="s">
        <v>17</v>
      </c>
      <c r="D863" t="s">
        <v>22</v>
      </c>
      <c r="E863">
        <v>75</v>
      </c>
      <c r="F863">
        <v>0</v>
      </c>
      <c r="G863">
        <v>83</v>
      </c>
      <c r="H863">
        <v>6225</v>
      </c>
      <c r="I863" t="s">
        <v>1175</v>
      </c>
      <c r="J863">
        <v>0</v>
      </c>
      <c r="K863">
        <v>2.21</v>
      </c>
      <c r="L863">
        <v>0</v>
      </c>
      <c r="M863">
        <v>0.01</v>
      </c>
      <c r="N863">
        <v>20</v>
      </c>
      <c r="O863">
        <v>4</v>
      </c>
      <c r="P863">
        <v>26.22</v>
      </c>
      <c r="Q863">
        <f t="shared" si="130"/>
        <v>2025</v>
      </c>
      <c r="R863">
        <f t="shared" si="131"/>
        <v>2</v>
      </c>
      <c r="S863">
        <f t="shared" si="132"/>
        <v>2024</v>
      </c>
      <c r="T863">
        <f t="shared" si="133"/>
        <v>11</v>
      </c>
      <c r="U863">
        <f t="shared" si="134"/>
        <v>11</v>
      </c>
      <c r="V863" t="str">
        <f t="shared" si="135"/>
        <v>202411</v>
      </c>
      <c r="W863" t="str">
        <f t="shared" si="136"/>
        <v>Feb-25</v>
      </c>
      <c r="X863" s="3">
        <f t="shared" si="137"/>
        <v>-6251.22</v>
      </c>
      <c r="Y863" t="str">
        <f t="shared" si="138"/>
        <v/>
      </c>
      <c r="Z863">
        <f t="shared" si="139"/>
        <v>-6251.22</v>
      </c>
    </row>
    <row r="864" spans="1:26" x14ac:dyDescent="0.25">
      <c r="A864" s="1">
        <v>45693</v>
      </c>
      <c r="B864" t="s">
        <v>1171</v>
      </c>
      <c r="C864" t="s">
        <v>17</v>
      </c>
      <c r="D864" t="s">
        <v>22</v>
      </c>
      <c r="E864">
        <v>75</v>
      </c>
      <c r="F864">
        <v>0</v>
      </c>
      <c r="G864">
        <v>92.25</v>
      </c>
      <c r="H864">
        <v>6918.75</v>
      </c>
      <c r="I864" t="s">
        <v>1176</v>
      </c>
      <c r="J864">
        <v>0</v>
      </c>
      <c r="K864">
        <v>2.46</v>
      </c>
      <c r="L864">
        <v>1</v>
      </c>
      <c r="M864">
        <v>0.01</v>
      </c>
      <c r="N864">
        <v>20</v>
      </c>
      <c r="O864">
        <v>4.04</v>
      </c>
      <c r="P864">
        <v>27.51</v>
      </c>
      <c r="Q864">
        <f t="shared" si="130"/>
        <v>2025</v>
      </c>
      <c r="R864">
        <f t="shared" si="131"/>
        <v>2</v>
      </c>
      <c r="S864">
        <f t="shared" si="132"/>
        <v>2024</v>
      </c>
      <c r="T864">
        <f t="shared" si="133"/>
        <v>11</v>
      </c>
      <c r="U864">
        <f t="shared" si="134"/>
        <v>11</v>
      </c>
      <c r="V864" t="str">
        <f t="shared" si="135"/>
        <v>202411</v>
      </c>
      <c r="W864" t="str">
        <f t="shared" si="136"/>
        <v>Feb-25</v>
      </c>
      <c r="X864" s="3">
        <f t="shared" si="137"/>
        <v>-6946.26</v>
      </c>
      <c r="Y864" t="str">
        <f t="shared" si="138"/>
        <v/>
      </c>
      <c r="Z864">
        <f t="shared" si="139"/>
        <v>-6946.26</v>
      </c>
    </row>
    <row r="865" spans="1:26" x14ac:dyDescent="0.25">
      <c r="A865" s="1">
        <v>45693</v>
      </c>
      <c r="B865" t="s">
        <v>1171</v>
      </c>
      <c r="C865" t="s">
        <v>17</v>
      </c>
      <c r="D865" t="s">
        <v>22</v>
      </c>
      <c r="E865">
        <v>75</v>
      </c>
      <c r="F865">
        <v>0</v>
      </c>
      <c r="G865">
        <v>92</v>
      </c>
      <c r="H865">
        <v>6900</v>
      </c>
      <c r="I865" t="s">
        <v>1177</v>
      </c>
      <c r="J865">
        <v>0</v>
      </c>
      <c r="K865">
        <v>2.4500000000000002</v>
      </c>
      <c r="L865">
        <v>0</v>
      </c>
      <c r="M865">
        <v>0.01</v>
      </c>
      <c r="N865">
        <v>20</v>
      </c>
      <c r="O865">
        <v>4.04</v>
      </c>
      <c r="P865">
        <v>26.5</v>
      </c>
      <c r="Q865">
        <f t="shared" si="130"/>
        <v>2025</v>
      </c>
      <c r="R865">
        <f t="shared" si="131"/>
        <v>2</v>
      </c>
      <c r="S865">
        <f t="shared" si="132"/>
        <v>2024</v>
      </c>
      <c r="T865">
        <f t="shared" si="133"/>
        <v>11</v>
      </c>
      <c r="U865">
        <f t="shared" si="134"/>
        <v>11</v>
      </c>
      <c r="V865" t="str">
        <f t="shared" si="135"/>
        <v>202411</v>
      </c>
      <c r="W865" t="str">
        <f t="shared" si="136"/>
        <v>Feb-25</v>
      </c>
      <c r="X865" s="3">
        <f t="shared" si="137"/>
        <v>-6926.5</v>
      </c>
      <c r="Y865" t="str">
        <f t="shared" si="138"/>
        <v/>
      </c>
      <c r="Z865">
        <f t="shared" si="139"/>
        <v>-6926.5</v>
      </c>
    </row>
    <row r="866" spans="1:26" x14ac:dyDescent="0.25">
      <c r="A866" s="1">
        <v>45694</v>
      </c>
      <c r="B866" t="s">
        <v>1178</v>
      </c>
      <c r="C866" t="s">
        <v>17</v>
      </c>
      <c r="D866" t="s">
        <v>18</v>
      </c>
      <c r="E866">
        <v>750</v>
      </c>
      <c r="F866">
        <v>0</v>
      </c>
      <c r="G866">
        <v>8</v>
      </c>
      <c r="H866">
        <v>6000</v>
      </c>
      <c r="I866" t="s">
        <v>1179</v>
      </c>
      <c r="J866">
        <v>6</v>
      </c>
      <c r="K866">
        <v>2.13</v>
      </c>
      <c r="L866">
        <v>0</v>
      </c>
      <c r="M866">
        <v>0</v>
      </c>
      <c r="N866">
        <v>200</v>
      </c>
      <c r="O866">
        <v>36.380000000000003</v>
      </c>
      <c r="P866">
        <v>244.51</v>
      </c>
      <c r="Q866">
        <f t="shared" si="130"/>
        <v>2025</v>
      </c>
      <c r="R866">
        <f t="shared" si="131"/>
        <v>2</v>
      </c>
      <c r="S866">
        <f t="shared" si="132"/>
        <v>2024</v>
      </c>
      <c r="T866">
        <f t="shared" si="133"/>
        <v>11</v>
      </c>
      <c r="U866">
        <f t="shared" si="134"/>
        <v>11</v>
      </c>
      <c r="V866" t="str">
        <f t="shared" si="135"/>
        <v>202411</v>
      </c>
      <c r="W866" t="str">
        <f t="shared" si="136"/>
        <v>Feb-25</v>
      </c>
      <c r="X866" s="3">
        <f t="shared" si="137"/>
        <v>5755.49</v>
      </c>
      <c r="Y866">
        <f t="shared" si="138"/>
        <v>5755.49</v>
      </c>
      <c r="Z866" t="str">
        <f t="shared" si="139"/>
        <v/>
      </c>
    </row>
    <row r="867" spans="1:26" x14ac:dyDescent="0.25">
      <c r="A867" s="1">
        <v>45694</v>
      </c>
      <c r="B867" t="s">
        <v>1178</v>
      </c>
      <c r="C867" t="s">
        <v>17</v>
      </c>
      <c r="D867" t="s">
        <v>22</v>
      </c>
      <c r="E867">
        <v>750</v>
      </c>
      <c r="F867">
        <v>0</v>
      </c>
      <c r="G867">
        <v>13.7</v>
      </c>
      <c r="H867">
        <v>10275</v>
      </c>
      <c r="I867" t="s">
        <v>1180</v>
      </c>
      <c r="J867">
        <v>0</v>
      </c>
      <c r="K867">
        <v>3.65</v>
      </c>
      <c r="L867">
        <v>1</v>
      </c>
      <c r="M867">
        <v>0.01</v>
      </c>
      <c r="N867">
        <v>200</v>
      </c>
      <c r="O867">
        <v>36.659999999999997</v>
      </c>
      <c r="P867">
        <v>241.32</v>
      </c>
      <c r="Q867">
        <f t="shared" si="130"/>
        <v>2025</v>
      </c>
      <c r="R867">
        <f t="shared" si="131"/>
        <v>2</v>
      </c>
      <c r="S867">
        <f t="shared" si="132"/>
        <v>2024</v>
      </c>
      <c r="T867">
        <f t="shared" si="133"/>
        <v>11</v>
      </c>
      <c r="U867">
        <f t="shared" si="134"/>
        <v>11</v>
      </c>
      <c r="V867" t="str">
        <f t="shared" si="135"/>
        <v>202411</v>
      </c>
      <c r="W867" t="str">
        <f t="shared" si="136"/>
        <v>Feb-25</v>
      </c>
      <c r="X867" s="3">
        <f t="shared" si="137"/>
        <v>-10516.32</v>
      </c>
      <c r="Y867" t="str">
        <f t="shared" si="138"/>
        <v/>
      </c>
      <c r="Z867">
        <f t="shared" si="139"/>
        <v>-10516.32</v>
      </c>
    </row>
    <row r="868" spans="1:26" x14ac:dyDescent="0.25">
      <c r="A868" s="1">
        <v>45694</v>
      </c>
      <c r="B868" t="s">
        <v>1178</v>
      </c>
      <c r="C868" t="s">
        <v>17</v>
      </c>
      <c r="D868" t="s">
        <v>18</v>
      </c>
      <c r="E868">
        <v>600</v>
      </c>
      <c r="F868">
        <v>0</v>
      </c>
      <c r="G868">
        <v>22.25</v>
      </c>
      <c r="H868">
        <v>13350</v>
      </c>
      <c r="I868" t="s">
        <v>1181</v>
      </c>
      <c r="J868">
        <v>13.01</v>
      </c>
      <c r="K868">
        <v>4.74</v>
      </c>
      <c r="L868">
        <v>0</v>
      </c>
      <c r="M868">
        <v>0.02</v>
      </c>
      <c r="N868">
        <v>160</v>
      </c>
      <c r="O868">
        <v>29.64</v>
      </c>
      <c r="P868">
        <v>207.41</v>
      </c>
      <c r="Q868">
        <f t="shared" si="130"/>
        <v>2025</v>
      </c>
      <c r="R868">
        <f t="shared" si="131"/>
        <v>2</v>
      </c>
      <c r="S868">
        <f t="shared" si="132"/>
        <v>2024</v>
      </c>
      <c r="T868">
        <f t="shared" si="133"/>
        <v>11</v>
      </c>
      <c r="U868">
        <f t="shared" si="134"/>
        <v>11</v>
      </c>
      <c r="V868" t="str">
        <f t="shared" si="135"/>
        <v>202411</v>
      </c>
      <c r="W868" t="str">
        <f t="shared" si="136"/>
        <v>Feb-25</v>
      </c>
      <c r="X868" s="3">
        <f t="shared" si="137"/>
        <v>13142.59</v>
      </c>
      <c r="Y868">
        <f t="shared" si="138"/>
        <v>13142.59</v>
      </c>
      <c r="Z868" t="str">
        <f t="shared" si="139"/>
        <v/>
      </c>
    </row>
    <row r="869" spans="1:26" x14ac:dyDescent="0.25">
      <c r="A869" s="1">
        <v>45694</v>
      </c>
      <c r="B869" t="s">
        <v>1178</v>
      </c>
      <c r="C869" t="s">
        <v>17</v>
      </c>
      <c r="D869" t="s">
        <v>22</v>
      </c>
      <c r="E869">
        <v>300</v>
      </c>
      <c r="F869">
        <v>0</v>
      </c>
      <c r="G869">
        <v>26.25</v>
      </c>
      <c r="H869">
        <v>7875</v>
      </c>
      <c r="I869" t="s">
        <v>1182</v>
      </c>
      <c r="J869">
        <v>0</v>
      </c>
      <c r="K869">
        <v>2.8</v>
      </c>
      <c r="L869">
        <v>0</v>
      </c>
      <c r="M869">
        <v>0.01</v>
      </c>
      <c r="N869">
        <v>80</v>
      </c>
      <c r="O869">
        <v>14.9</v>
      </c>
      <c r="P869">
        <v>97.71</v>
      </c>
      <c r="Q869">
        <f t="shared" si="130"/>
        <v>2025</v>
      </c>
      <c r="R869">
        <f t="shared" si="131"/>
        <v>2</v>
      </c>
      <c r="S869">
        <f t="shared" si="132"/>
        <v>2024</v>
      </c>
      <c r="T869">
        <f t="shared" si="133"/>
        <v>11</v>
      </c>
      <c r="U869">
        <f t="shared" si="134"/>
        <v>11</v>
      </c>
      <c r="V869" t="str">
        <f t="shared" si="135"/>
        <v>202411</v>
      </c>
      <c r="W869" t="str">
        <f t="shared" si="136"/>
        <v>Feb-25</v>
      </c>
      <c r="X869" s="3">
        <f t="shared" si="137"/>
        <v>-7972.71</v>
      </c>
      <c r="Y869" t="str">
        <f t="shared" si="138"/>
        <v/>
      </c>
      <c r="Z869">
        <f t="shared" si="139"/>
        <v>-7972.71</v>
      </c>
    </row>
    <row r="870" spans="1:26" x14ac:dyDescent="0.25">
      <c r="A870" s="1">
        <v>45694</v>
      </c>
      <c r="B870" t="s">
        <v>1178</v>
      </c>
      <c r="C870" t="s">
        <v>17</v>
      </c>
      <c r="D870" t="s">
        <v>22</v>
      </c>
      <c r="E870">
        <v>300</v>
      </c>
      <c r="F870">
        <v>0</v>
      </c>
      <c r="G870">
        <v>31.5</v>
      </c>
      <c r="H870">
        <v>9450</v>
      </c>
      <c r="I870" t="s">
        <v>1183</v>
      </c>
      <c r="J870">
        <v>0</v>
      </c>
      <c r="K870">
        <v>3.36</v>
      </c>
      <c r="L870">
        <v>0</v>
      </c>
      <c r="M870">
        <v>0</v>
      </c>
      <c r="N870">
        <v>80</v>
      </c>
      <c r="O870">
        <v>15.02</v>
      </c>
      <c r="P870">
        <v>98.38</v>
      </c>
      <c r="Q870">
        <f t="shared" si="130"/>
        <v>2025</v>
      </c>
      <c r="R870">
        <f t="shared" si="131"/>
        <v>2</v>
      </c>
      <c r="S870">
        <f t="shared" si="132"/>
        <v>2024</v>
      </c>
      <c r="T870">
        <f t="shared" si="133"/>
        <v>11</v>
      </c>
      <c r="U870">
        <f t="shared" si="134"/>
        <v>11</v>
      </c>
      <c r="V870" t="str">
        <f t="shared" si="135"/>
        <v>202411</v>
      </c>
      <c r="W870" t="str">
        <f t="shared" si="136"/>
        <v>Feb-25</v>
      </c>
      <c r="X870" s="3">
        <f t="shared" si="137"/>
        <v>-9548.3799999999992</v>
      </c>
      <c r="Y870" t="str">
        <f t="shared" si="138"/>
        <v/>
      </c>
      <c r="Z870">
        <f t="shared" si="139"/>
        <v>-9548.3799999999992</v>
      </c>
    </row>
    <row r="871" spans="1:26" x14ac:dyDescent="0.25">
      <c r="A871" s="1">
        <v>45695</v>
      </c>
      <c r="B871" t="s">
        <v>1186</v>
      </c>
      <c r="C871" t="s">
        <v>17</v>
      </c>
      <c r="D871" t="s">
        <v>18</v>
      </c>
      <c r="E871">
        <v>150</v>
      </c>
      <c r="F871">
        <v>0</v>
      </c>
      <c r="G871">
        <v>62</v>
      </c>
      <c r="H871">
        <v>9300</v>
      </c>
      <c r="I871" t="s">
        <v>1187</v>
      </c>
      <c r="J871">
        <v>9.3000000000000007</v>
      </c>
      <c r="K871">
        <v>3.3</v>
      </c>
      <c r="L871">
        <v>0</v>
      </c>
      <c r="M871">
        <v>0</v>
      </c>
      <c r="N871">
        <v>40</v>
      </c>
      <c r="O871">
        <v>7.8</v>
      </c>
      <c r="P871">
        <v>60.4</v>
      </c>
      <c r="Q871">
        <f t="shared" si="130"/>
        <v>2025</v>
      </c>
      <c r="R871">
        <f t="shared" si="131"/>
        <v>2</v>
      </c>
      <c r="S871">
        <f t="shared" si="132"/>
        <v>2024</v>
      </c>
      <c r="T871">
        <f t="shared" si="133"/>
        <v>11</v>
      </c>
      <c r="U871">
        <f t="shared" si="134"/>
        <v>11</v>
      </c>
      <c r="V871" t="str">
        <f t="shared" si="135"/>
        <v>202411</v>
      </c>
      <c r="W871" t="str">
        <f t="shared" si="136"/>
        <v>Feb-25</v>
      </c>
      <c r="X871" s="3">
        <f t="shared" si="137"/>
        <v>9239.6</v>
      </c>
      <c r="Y871">
        <f t="shared" si="138"/>
        <v>9239.6</v>
      </c>
      <c r="Z871" t="str">
        <f t="shared" si="139"/>
        <v/>
      </c>
    </row>
    <row r="872" spans="1:26" x14ac:dyDescent="0.25">
      <c r="A872" s="1">
        <v>45695</v>
      </c>
      <c r="B872" t="s">
        <v>1186</v>
      </c>
      <c r="C872" t="s">
        <v>17</v>
      </c>
      <c r="D872" t="s">
        <v>22</v>
      </c>
      <c r="E872">
        <v>75</v>
      </c>
      <c r="F872">
        <v>0</v>
      </c>
      <c r="G872">
        <v>71.900000000000006</v>
      </c>
      <c r="H872">
        <v>5392.5</v>
      </c>
      <c r="I872" t="s">
        <v>1188</v>
      </c>
      <c r="J872">
        <v>0</v>
      </c>
      <c r="K872">
        <v>1.92</v>
      </c>
      <c r="L872">
        <v>0</v>
      </c>
      <c r="M872">
        <v>0.01</v>
      </c>
      <c r="N872">
        <v>20</v>
      </c>
      <c r="O872">
        <v>3.94</v>
      </c>
      <c r="P872">
        <v>25.87</v>
      </c>
      <c r="Q872">
        <f t="shared" si="130"/>
        <v>2025</v>
      </c>
      <c r="R872">
        <f t="shared" si="131"/>
        <v>2</v>
      </c>
      <c r="S872">
        <f t="shared" si="132"/>
        <v>2024</v>
      </c>
      <c r="T872">
        <f t="shared" si="133"/>
        <v>11</v>
      </c>
      <c r="U872">
        <f t="shared" si="134"/>
        <v>11</v>
      </c>
      <c r="V872" t="str">
        <f t="shared" si="135"/>
        <v>202411</v>
      </c>
      <c r="W872" t="str">
        <f t="shared" si="136"/>
        <v>Feb-25</v>
      </c>
      <c r="X872" s="3">
        <f t="shared" si="137"/>
        <v>-5418.37</v>
      </c>
      <c r="Y872" t="str">
        <f t="shared" si="138"/>
        <v/>
      </c>
      <c r="Z872">
        <f t="shared" si="139"/>
        <v>-5418.37</v>
      </c>
    </row>
    <row r="873" spans="1:26" x14ac:dyDescent="0.25">
      <c r="A873" s="1">
        <v>45695</v>
      </c>
      <c r="B873" t="s">
        <v>1186</v>
      </c>
      <c r="C873" t="s">
        <v>17</v>
      </c>
      <c r="D873" t="s">
        <v>22</v>
      </c>
      <c r="E873">
        <v>75</v>
      </c>
      <c r="F873">
        <v>0</v>
      </c>
      <c r="G873">
        <v>92.1</v>
      </c>
      <c r="H873">
        <v>6907.5</v>
      </c>
      <c r="I873" t="s">
        <v>1189</v>
      </c>
      <c r="J873">
        <v>0</v>
      </c>
      <c r="K873">
        <v>2.4500000000000002</v>
      </c>
      <c r="L873">
        <v>0</v>
      </c>
      <c r="M873">
        <v>0.01</v>
      </c>
      <c r="N873">
        <v>20</v>
      </c>
      <c r="O873">
        <v>4.04</v>
      </c>
      <c r="P873">
        <v>26.5</v>
      </c>
      <c r="Q873">
        <f t="shared" si="130"/>
        <v>2025</v>
      </c>
      <c r="R873">
        <f t="shared" si="131"/>
        <v>2</v>
      </c>
      <c r="S873">
        <f t="shared" si="132"/>
        <v>2024</v>
      </c>
      <c r="T873">
        <f t="shared" si="133"/>
        <v>11</v>
      </c>
      <c r="U873">
        <f t="shared" si="134"/>
        <v>11</v>
      </c>
      <c r="V873" t="str">
        <f t="shared" si="135"/>
        <v>202411</v>
      </c>
      <c r="W873" t="str">
        <f t="shared" si="136"/>
        <v>Feb-25</v>
      </c>
      <c r="X873" s="3">
        <f t="shared" si="137"/>
        <v>-6934</v>
      </c>
      <c r="Y873" t="str">
        <f t="shared" si="138"/>
        <v/>
      </c>
      <c r="Z873">
        <f t="shared" si="139"/>
        <v>-6934</v>
      </c>
    </row>
    <row r="874" spans="1:26" x14ac:dyDescent="0.25">
      <c r="A874" s="1">
        <v>45695</v>
      </c>
      <c r="B874" t="s">
        <v>1190</v>
      </c>
      <c r="C874" t="s">
        <v>17</v>
      </c>
      <c r="D874" t="s">
        <v>18</v>
      </c>
      <c r="E874">
        <v>150</v>
      </c>
      <c r="F874">
        <v>0</v>
      </c>
      <c r="G874">
        <v>116.25</v>
      </c>
      <c r="H874">
        <v>17437.5</v>
      </c>
      <c r="I874" t="s">
        <v>1191</v>
      </c>
      <c r="J874">
        <v>17.440000000000001</v>
      </c>
      <c r="K874">
        <v>6.2</v>
      </c>
      <c r="L874">
        <v>0</v>
      </c>
      <c r="M874">
        <v>0.02</v>
      </c>
      <c r="N874">
        <v>40</v>
      </c>
      <c r="O874">
        <v>8.32</v>
      </c>
      <c r="P874">
        <v>71.98</v>
      </c>
      <c r="Q874">
        <f t="shared" si="130"/>
        <v>2025</v>
      </c>
      <c r="R874">
        <f t="shared" si="131"/>
        <v>2</v>
      </c>
      <c r="S874">
        <f t="shared" si="132"/>
        <v>2024</v>
      </c>
      <c r="T874">
        <f t="shared" si="133"/>
        <v>11</v>
      </c>
      <c r="U874">
        <f t="shared" si="134"/>
        <v>11</v>
      </c>
      <c r="V874" t="str">
        <f t="shared" si="135"/>
        <v>202411</v>
      </c>
      <c r="W874" t="str">
        <f t="shared" si="136"/>
        <v>Feb-25</v>
      </c>
      <c r="X874" s="3">
        <f t="shared" si="137"/>
        <v>17365.52</v>
      </c>
      <c r="Y874">
        <f t="shared" si="138"/>
        <v>17365.52</v>
      </c>
      <c r="Z874" t="str">
        <f t="shared" si="139"/>
        <v/>
      </c>
    </row>
    <row r="875" spans="1:26" x14ac:dyDescent="0.25">
      <c r="A875" s="1">
        <v>45695</v>
      </c>
      <c r="B875" t="s">
        <v>1190</v>
      </c>
      <c r="C875" t="s">
        <v>17</v>
      </c>
      <c r="D875" t="s">
        <v>22</v>
      </c>
      <c r="E875">
        <v>150</v>
      </c>
      <c r="F875">
        <v>0</v>
      </c>
      <c r="G875">
        <v>96</v>
      </c>
      <c r="H875">
        <v>14400</v>
      </c>
      <c r="I875" t="s">
        <v>1192</v>
      </c>
      <c r="J875">
        <v>0</v>
      </c>
      <c r="K875">
        <v>5.12</v>
      </c>
      <c r="L875">
        <v>0.43</v>
      </c>
      <c r="M875">
        <v>0.02</v>
      </c>
      <c r="N875">
        <v>40</v>
      </c>
      <c r="O875">
        <v>8.1199999999999992</v>
      </c>
      <c r="P875">
        <v>53.69</v>
      </c>
      <c r="Q875">
        <f t="shared" si="130"/>
        <v>2025</v>
      </c>
      <c r="R875">
        <f t="shared" si="131"/>
        <v>2</v>
      </c>
      <c r="S875">
        <f t="shared" si="132"/>
        <v>2024</v>
      </c>
      <c r="T875">
        <f t="shared" si="133"/>
        <v>11</v>
      </c>
      <c r="U875">
        <f t="shared" si="134"/>
        <v>11</v>
      </c>
      <c r="V875" t="str">
        <f t="shared" si="135"/>
        <v>202411</v>
      </c>
      <c r="W875" t="str">
        <f t="shared" si="136"/>
        <v>Feb-25</v>
      </c>
      <c r="X875" s="3">
        <f t="shared" si="137"/>
        <v>-14453.69</v>
      </c>
      <c r="Y875" t="str">
        <f t="shared" si="138"/>
        <v/>
      </c>
      <c r="Z875">
        <f t="shared" si="139"/>
        <v>-14453.69</v>
      </c>
    </row>
    <row r="876" spans="1:26" x14ac:dyDescent="0.25">
      <c r="A876" s="1">
        <v>45695</v>
      </c>
      <c r="B876" t="s">
        <v>1186</v>
      </c>
      <c r="C876" t="s">
        <v>17</v>
      </c>
      <c r="D876" t="s">
        <v>18</v>
      </c>
      <c r="E876">
        <v>150</v>
      </c>
      <c r="F876">
        <v>0</v>
      </c>
      <c r="G876">
        <v>120</v>
      </c>
      <c r="H876">
        <v>18000</v>
      </c>
      <c r="I876" t="s">
        <v>1193</v>
      </c>
      <c r="J876">
        <v>18</v>
      </c>
      <c r="K876">
        <v>6.4</v>
      </c>
      <c r="L876">
        <v>0</v>
      </c>
      <c r="M876">
        <v>0.02</v>
      </c>
      <c r="N876">
        <v>40</v>
      </c>
      <c r="O876">
        <v>8.36</v>
      </c>
      <c r="P876">
        <v>72.78</v>
      </c>
      <c r="Q876">
        <f t="shared" si="130"/>
        <v>2025</v>
      </c>
      <c r="R876">
        <f t="shared" si="131"/>
        <v>2</v>
      </c>
      <c r="S876">
        <f t="shared" si="132"/>
        <v>2024</v>
      </c>
      <c r="T876">
        <f t="shared" si="133"/>
        <v>11</v>
      </c>
      <c r="U876">
        <f t="shared" si="134"/>
        <v>11</v>
      </c>
      <c r="V876" t="str">
        <f t="shared" si="135"/>
        <v>202411</v>
      </c>
      <c r="W876" t="str">
        <f t="shared" si="136"/>
        <v>Feb-25</v>
      </c>
      <c r="X876" s="3">
        <f t="shared" si="137"/>
        <v>17927.22</v>
      </c>
      <c r="Y876">
        <f t="shared" si="138"/>
        <v>17927.22</v>
      </c>
      <c r="Z876" t="str">
        <f t="shared" si="139"/>
        <v/>
      </c>
    </row>
    <row r="877" spans="1:26" x14ac:dyDescent="0.25">
      <c r="A877" s="1">
        <v>45695</v>
      </c>
      <c r="B877" t="s">
        <v>1186</v>
      </c>
      <c r="C877" t="s">
        <v>17</v>
      </c>
      <c r="D877" t="s">
        <v>22</v>
      </c>
      <c r="E877">
        <v>150</v>
      </c>
      <c r="F877">
        <v>0</v>
      </c>
      <c r="G877">
        <v>133</v>
      </c>
      <c r="H877">
        <v>19950</v>
      </c>
      <c r="I877" t="s">
        <v>1194</v>
      </c>
      <c r="J877">
        <v>0</v>
      </c>
      <c r="K877">
        <v>7.09</v>
      </c>
      <c r="L877">
        <v>1.57</v>
      </c>
      <c r="M877">
        <v>0.02</v>
      </c>
      <c r="N877">
        <v>40</v>
      </c>
      <c r="O877">
        <v>8.48</v>
      </c>
      <c r="P877">
        <v>57.16</v>
      </c>
      <c r="Q877">
        <f t="shared" si="130"/>
        <v>2025</v>
      </c>
      <c r="R877">
        <f t="shared" si="131"/>
        <v>2</v>
      </c>
      <c r="S877">
        <f t="shared" si="132"/>
        <v>2024</v>
      </c>
      <c r="T877">
        <f t="shared" si="133"/>
        <v>11</v>
      </c>
      <c r="U877">
        <f t="shared" si="134"/>
        <v>11</v>
      </c>
      <c r="V877" t="str">
        <f t="shared" si="135"/>
        <v>202411</v>
      </c>
      <c r="W877" t="str">
        <f t="shared" si="136"/>
        <v>Feb-25</v>
      </c>
      <c r="X877" s="3">
        <f t="shared" si="137"/>
        <v>-20007.16</v>
      </c>
      <c r="Y877" t="str">
        <f t="shared" si="138"/>
        <v/>
      </c>
      <c r="Z877">
        <f t="shared" si="139"/>
        <v>-20007.16</v>
      </c>
    </row>
    <row r="878" spans="1:26" x14ac:dyDescent="0.25">
      <c r="A878" s="1">
        <v>45695</v>
      </c>
      <c r="B878" t="s">
        <v>1186</v>
      </c>
      <c r="C878" t="s">
        <v>17</v>
      </c>
      <c r="D878" t="s">
        <v>18</v>
      </c>
      <c r="E878">
        <v>75</v>
      </c>
      <c r="F878">
        <v>0</v>
      </c>
      <c r="G878">
        <v>127.7</v>
      </c>
      <c r="H878">
        <v>9577.5</v>
      </c>
      <c r="I878" t="s">
        <v>1195</v>
      </c>
      <c r="J878">
        <v>9.26</v>
      </c>
      <c r="K878">
        <v>3.4</v>
      </c>
      <c r="L878">
        <v>0</v>
      </c>
      <c r="M878">
        <v>0.01</v>
      </c>
      <c r="N878">
        <v>20</v>
      </c>
      <c r="O878">
        <v>4.22</v>
      </c>
      <c r="P878">
        <v>36.89</v>
      </c>
      <c r="Q878">
        <f t="shared" si="130"/>
        <v>2025</v>
      </c>
      <c r="R878">
        <f t="shared" si="131"/>
        <v>2</v>
      </c>
      <c r="S878">
        <f t="shared" si="132"/>
        <v>2024</v>
      </c>
      <c r="T878">
        <f t="shared" si="133"/>
        <v>11</v>
      </c>
      <c r="U878">
        <f t="shared" si="134"/>
        <v>11</v>
      </c>
      <c r="V878" t="str">
        <f t="shared" si="135"/>
        <v>202411</v>
      </c>
      <c r="W878" t="str">
        <f t="shared" si="136"/>
        <v>Feb-25</v>
      </c>
      <c r="X878" s="3">
        <f t="shared" si="137"/>
        <v>9540.61</v>
      </c>
      <c r="Y878">
        <f t="shared" si="138"/>
        <v>9540.61</v>
      </c>
      <c r="Z878" t="str">
        <f t="shared" si="139"/>
        <v/>
      </c>
    </row>
    <row r="879" spans="1:26" x14ac:dyDescent="0.25">
      <c r="A879" s="1">
        <v>45695</v>
      </c>
      <c r="B879" t="s">
        <v>1186</v>
      </c>
      <c r="C879" t="s">
        <v>17</v>
      </c>
      <c r="D879" t="s">
        <v>22</v>
      </c>
      <c r="E879">
        <v>75</v>
      </c>
      <c r="F879">
        <v>0</v>
      </c>
      <c r="G879">
        <v>132.25</v>
      </c>
      <c r="H879">
        <v>9918.75</v>
      </c>
      <c r="I879" t="s">
        <v>1196</v>
      </c>
      <c r="J879">
        <v>0</v>
      </c>
      <c r="K879">
        <v>3.52</v>
      </c>
      <c r="L879">
        <v>0</v>
      </c>
      <c r="M879">
        <v>0.01</v>
      </c>
      <c r="N879">
        <v>20</v>
      </c>
      <c r="O879">
        <v>4.24</v>
      </c>
      <c r="P879">
        <v>27.77</v>
      </c>
      <c r="Q879">
        <f t="shared" si="130"/>
        <v>2025</v>
      </c>
      <c r="R879">
        <f t="shared" si="131"/>
        <v>2</v>
      </c>
      <c r="S879">
        <f t="shared" si="132"/>
        <v>2024</v>
      </c>
      <c r="T879">
        <f t="shared" si="133"/>
        <v>11</v>
      </c>
      <c r="U879">
        <f t="shared" si="134"/>
        <v>11</v>
      </c>
      <c r="V879" t="str">
        <f t="shared" si="135"/>
        <v>202411</v>
      </c>
      <c r="W879" t="str">
        <f t="shared" si="136"/>
        <v>Feb-25</v>
      </c>
      <c r="X879" s="3">
        <f t="shared" si="137"/>
        <v>-9946.52</v>
      </c>
      <c r="Y879" t="str">
        <f t="shared" si="138"/>
        <v/>
      </c>
      <c r="Z879">
        <f t="shared" si="139"/>
        <v>-9946.52</v>
      </c>
    </row>
    <row r="880" spans="1:26" x14ac:dyDescent="0.25">
      <c r="A880" s="1">
        <v>45699</v>
      </c>
      <c r="B880" t="s">
        <v>1197</v>
      </c>
      <c r="C880" t="s">
        <v>17</v>
      </c>
      <c r="D880" t="s">
        <v>18</v>
      </c>
      <c r="E880">
        <v>75</v>
      </c>
      <c r="F880">
        <v>0</v>
      </c>
      <c r="G880">
        <v>185.1</v>
      </c>
      <c r="H880">
        <v>13882.5</v>
      </c>
      <c r="I880" t="s">
        <v>1198</v>
      </c>
      <c r="J880">
        <v>14</v>
      </c>
      <c r="K880">
        <v>4.93</v>
      </c>
      <c r="L880">
        <v>0</v>
      </c>
      <c r="M880">
        <v>0.01</v>
      </c>
      <c r="N880">
        <v>20</v>
      </c>
      <c r="O880">
        <v>4.4800000000000004</v>
      </c>
      <c r="P880">
        <v>43.42</v>
      </c>
      <c r="Q880">
        <f t="shared" si="130"/>
        <v>2025</v>
      </c>
      <c r="R880">
        <f t="shared" si="131"/>
        <v>2</v>
      </c>
      <c r="S880">
        <f t="shared" si="132"/>
        <v>2024</v>
      </c>
      <c r="T880">
        <f t="shared" si="133"/>
        <v>11</v>
      </c>
      <c r="U880">
        <f t="shared" si="134"/>
        <v>11</v>
      </c>
      <c r="V880" t="str">
        <f t="shared" si="135"/>
        <v>202411</v>
      </c>
      <c r="W880" t="str">
        <f t="shared" si="136"/>
        <v>Feb-25</v>
      </c>
      <c r="X880" s="3">
        <f t="shared" si="137"/>
        <v>13839.08</v>
      </c>
      <c r="Y880">
        <f t="shared" si="138"/>
        <v>13839.08</v>
      </c>
      <c r="Z880" t="str">
        <f t="shared" si="139"/>
        <v/>
      </c>
    </row>
    <row r="881" spans="1:26" x14ac:dyDescent="0.25">
      <c r="A881" s="1">
        <v>45699</v>
      </c>
      <c r="B881" t="s">
        <v>1197</v>
      </c>
      <c r="C881" t="s">
        <v>17</v>
      </c>
      <c r="D881" t="s">
        <v>22</v>
      </c>
      <c r="E881">
        <v>75</v>
      </c>
      <c r="F881">
        <v>0</v>
      </c>
      <c r="G881">
        <v>62.5</v>
      </c>
      <c r="H881">
        <v>4687.5</v>
      </c>
      <c r="I881" t="s">
        <v>1199</v>
      </c>
      <c r="J881">
        <v>0</v>
      </c>
      <c r="K881">
        <v>1.67</v>
      </c>
      <c r="L881">
        <v>0</v>
      </c>
      <c r="M881">
        <v>0</v>
      </c>
      <c r="N881">
        <v>20</v>
      </c>
      <c r="O881">
        <v>3.9</v>
      </c>
      <c r="P881">
        <v>25.57</v>
      </c>
      <c r="Q881">
        <f t="shared" si="130"/>
        <v>2025</v>
      </c>
      <c r="R881">
        <f t="shared" si="131"/>
        <v>2</v>
      </c>
      <c r="S881">
        <f t="shared" si="132"/>
        <v>2024</v>
      </c>
      <c r="T881">
        <f t="shared" si="133"/>
        <v>11</v>
      </c>
      <c r="U881">
        <f t="shared" si="134"/>
        <v>11</v>
      </c>
      <c r="V881" t="str">
        <f t="shared" si="135"/>
        <v>202411</v>
      </c>
      <c r="W881" t="str">
        <f t="shared" si="136"/>
        <v>Feb-25</v>
      </c>
      <c r="X881" s="3">
        <f t="shared" si="137"/>
        <v>-4713.07</v>
      </c>
      <c r="Y881" t="str">
        <f t="shared" si="138"/>
        <v/>
      </c>
      <c r="Z881">
        <f t="shared" si="139"/>
        <v>-4713.07</v>
      </c>
    </row>
    <row r="882" spans="1:26" x14ac:dyDescent="0.25">
      <c r="A882" s="1">
        <v>45700</v>
      </c>
      <c r="B882" t="s">
        <v>1200</v>
      </c>
      <c r="C882" t="s">
        <v>17</v>
      </c>
      <c r="D882" t="s">
        <v>22</v>
      </c>
      <c r="E882">
        <v>300</v>
      </c>
      <c r="F882">
        <v>0</v>
      </c>
      <c r="G882">
        <v>41.5</v>
      </c>
      <c r="H882">
        <v>12450</v>
      </c>
      <c r="I882" t="s">
        <v>1201</v>
      </c>
      <c r="J882">
        <v>0</v>
      </c>
      <c r="K882">
        <v>4.42</v>
      </c>
      <c r="L882">
        <v>0.18</v>
      </c>
      <c r="M882">
        <v>0.01</v>
      </c>
      <c r="N882">
        <v>80</v>
      </c>
      <c r="O882">
        <v>15.2</v>
      </c>
      <c r="P882">
        <v>99.81</v>
      </c>
      <c r="Q882">
        <f t="shared" si="130"/>
        <v>2025</v>
      </c>
      <c r="R882">
        <f t="shared" si="131"/>
        <v>2</v>
      </c>
      <c r="S882">
        <f t="shared" si="132"/>
        <v>2024</v>
      </c>
      <c r="T882">
        <f t="shared" si="133"/>
        <v>11</v>
      </c>
      <c r="U882">
        <f t="shared" si="134"/>
        <v>11</v>
      </c>
      <c r="V882" t="str">
        <f t="shared" si="135"/>
        <v>202411</v>
      </c>
      <c r="W882" t="str">
        <f t="shared" si="136"/>
        <v>Feb-25</v>
      </c>
      <c r="X882" s="3">
        <f t="shared" si="137"/>
        <v>-12549.81</v>
      </c>
      <c r="Y882" t="str">
        <f t="shared" si="138"/>
        <v/>
      </c>
      <c r="Z882">
        <f t="shared" si="139"/>
        <v>-12549.81</v>
      </c>
    </row>
    <row r="883" spans="1:26" x14ac:dyDescent="0.25">
      <c r="A883" s="1">
        <v>45700</v>
      </c>
      <c r="B883" t="s">
        <v>1202</v>
      </c>
      <c r="C883" t="s">
        <v>17</v>
      </c>
      <c r="D883" t="s">
        <v>18</v>
      </c>
      <c r="E883">
        <v>150</v>
      </c>
      <c r="F883">
        <v>0</v>
      </c>
      <c r="G883">
        <v>35</v>
      </c>
      <c r="H883">
        <v>5250</v>
      </c>
      <c r="I883" t="s">
        <v>1203</v>
      </c>
      <c r="J883">
        <v>5.26</v>
      </c>
      <c r="K883">
        <v>1.86</v>
      </c>
      <c r="L883">
        <v>0</v>
      </c>
      <c r="M883">
        <v>0</v>
      </c>
      <c r="N883">
        <v>40</v>
      </c>
      <c r="O883">
        <v>7.52</v>
      </c>
      <c r="P883">
        <v>54.64</v>
      </c>
      <c r="Q883">
        <f t="shared" si="130"/>
        <v>2025</v>
      </c>
      <c r="R883">
        <f t="shared" si="131"/>
        <v>2</v>
      </c>
      <c r="S883">
        <f t="shared" si="132"/>
        <v>2024</v>
      </c>
      <c r="T883">
        <f t="shared" si="133"/>
        <v>11</v>
      </c>
      <c r="U883">
        <f t="shared" si="134"/>
        <v>11</v>
      </c>
      <c r="V883" t="str">
        <f t="shared" si="135"/>
        <v>202411</v>
      </c>
      <c r="W883" t="str">
        <f t="shared" si="136"/>
        <v>Feb-25</v>
      </c>
      <c r="X883" s="3">
        <f t="shared" si="137"/>
        <v>5195.3599999999997</v>
      </c>
      <c r="Y883">
        <f t="shared" si="138"/>
        <v>5195.3599999999997</v>
      </c>
      <c r="Z883" t="str">
        <f t="shared" si="139"/>
        <v/>
      </c>
    </row>
    <row r="884" spans="1:26" x14ac:dyDescent="0.25">
      <c r="A884" s="1">
        <v>45700</v>
      </c>
      <c r="B884" t="s">
        <v>1202</v>
      </c>
      <c r="C884" t="s">
        <v>17</v>
      </c>
      <c r="D884" t="s">
        <v>22</v>
      </c>
      <c r="E884">
        <v>75</v>
      </c>
      <c r="F884">
        <v>0</v>
      </c>
      <c r="G884">
        <v>65</v>
      </c>
      <c r="H884">
        <v>4875</v>
      </c>
      <c r="I884" t="s">
        <v>1204</v>
      </c>
      <c r="J884">
        <v>0</v>
      </c>
      <c r="K884">
        <v>1.73</v>
      </c>
      <c r="L884">
        <v>0</v>
      </c>
      <c r="M884">
        <v>0</v>
      </c>
      <c r="N884">
        <v>20</v>
      </c>
      <c r="O884">
        <v>3.92</v>
      </c>
      <c r="P884">
        <v>25.65</v>
      </c>
      <c r="Q884">
        <f t="shared" si="130"/>
        <v>2025</v>
      </c>
      <c r="R884">
        <f t="shared" si="131"/>
        <v>2</v>
      </c>
      <c r="S884">
        <f t="shared" si="132"/>
        <v>2024</v>
      </c>
      <c r="T884">
        <f t="shared" si="133"/>
        <v>11</v>
      </c>
      <c r="U884">
        <f t="shared" si="134"/>
        <v>11</v>
      </c>
      <c r="V884" t="str">
        <f t="shared" si="135"/>
        <v>202411</v>
      </c>
      <c r="W884" t="str">
        <f t="shared" si="136"/>
        <v>Feb-25</v>
      </c>
      <c r="X884" s="3">
        <f t="shared" si="137"/>
        <v>-4900.6499999999996</v>
      </c>
      <c r="Y884" t="str">
        <f t="shared" si="138"/>
        <v/>
      </c>
      <c r="Z884">
        <f t="shared" si="139"/>
        <v>-4900.6499999999996</v>
      </c>
    </row>
    <row r="885" spans="1:26" x14ac:dyDescent="0.25">
      <c r="A885" s="1">
        <v>45700</v>
      </c>
      <c r="B885" t="s">
        <v>1205</v>
      </c>
      <c r="C885" t="s">
        <v>17</v>
      </c>
      <c r="D885" t="s">
        <v>18</v>
      </c>
      <c r="E885">
        <v>75</v>
      </c>
      <c r="F885">
        <v>0</v>
      </c>
      <c r="G885">
        <v>120.35</v>
      </c>
      <c r="H885">
        <v>9026.25</v>
      </c>
      <c r="I885" t="s">
        <v>1206</v>
      </c>
      <c r="J885">
        <v>9.0299999999999994</v>
      </c>
      <c r="K885">
        <v>3.21</v>
      </c>
      <c r="L885">
        <v>0</v>
      </c>
      <c r="M885">
        <v>0.01</v>
      </c>
      <c r="N885">
        <v>20</v>
      </c>
      <c r="O885">
        <v>4.18</v>
      </c>
      <c r="P885">
        <v>36.43</v>
      </c>
      <c r="Q885">
        <f t="shared" si="130"/>
        <v>2025</v>
      </c>
      <c r="R885">
        <f t="shared" si="131"/>
        <v>2</v>
      </c>
      <c r="S885">
        <f t="shared" si="132"/>
        <v>2024</v>
      </c>
      <c r="T885">
        <f t="shared" si="133"/>
        <v>11</v>
      </c>
      <c r="U885">
        <f t="shared" si="134"/>
        <v>11</v>
      </c>
      <c r="V885" t="str">
        <f t="shared" si="135"/>
        <v>202411</v>
      </c>
      <c r="W885" t="str">
        <f t="shared" si="136"/>
        <v>Feb-25</v>
      </c>
      <c r="X885" s="3">
        <f t="shared" si="137"/>
        <v>8989.82</v>
      </c>
      <c r="Y885">
        <f t="shared" si="138"/>
        <v>8989.82</v>
      </c>
      <c r="Z885" t="str">
        <f t="shared" si="139"/>
        <v/>
      </c>
    </row>
    <row r="886" spans="1:26" x14ac:dyDescent="0.25">
      <c r="A886" s="1">
        <v>45700</v>
      </c>
      <c r="B886" t="s">
        <v>1205</v>
      </c>
      <c r="C886" t="s">
        <v>17</v>
      </c>
      <c r="D886" t="s">
        <v>22</v>
      </c>
      <c r="E886">
        <v>75</v>
      </c>
      <c r="F886">
        <v>0</v>
      </c>
      <c r="G886">
        <v>95.5</v>
      </c>
      <c r="H886">
        <v>7162.5</v>
      </c>
      <c r="I886" t="s">
        <v>1207</v>
      </c>
      <c r="J886">
        <v>0</v>
      </c>
      <c r="K886">
        <v>2.54</v>
      </c>
      <c r="L886">
        <v>0.21</v>
      </c>
      <c r="M886">
        <v>0.01</v>
      </c>
      <c r="N886">
        <v>20</v>
      </c>
      <c r="O886">
        <v>4.0599999999999996</v>
      </c>
      <c r="P886">
        <v>26.82</v>
      </c>
      <c r="Q886">
        <f t="shared" si="130"/>
        <v>2025</v>
      </c>
      <c r="R886">
        <f t="shared" si="131"/>
        <v>2</v>
      </c>
      <c r="S886">
        <f t="shared" si="132"/>
        <v>2024</v>
      </c>
      <c r="T886">
        <f t="shared" si="133"/>
        <v>11</v>
      </c>
      <c r="U886">
        <f t="shared" si="134"/>
        <v>11</v>
      </c>
      <c r="V886" t="str">
        <f t="shared" si="135"/>
        <v>202411</v>
      </c>
      <c r="W886" t="str">
        <f t="shared" si="136"/>
        <v>Feb-25</v>
      </c>
      <c r="X886" s="3">
        <f t="shared" si="137"/>
        <v>-7189.32</v>
      </c>
      <c r="Y886" t="str">
        <f t="shared" si="138"/>
        <v/>
      </c>
      <c r="Z886">
        <f t="shared" si="139"/>
        <v>-7189.32</v>
      </c>
    </row>
    <row r="887" spans="1:26" x14ac:dyDescent="0.25">
      <c r="A887" s="1">
        <v>45700</v>
      </c>
      <c r="B887" t="s">
        <v>1202</v>
      </c>
      <c r="C887" t="s">
        <v>17</v>
      </c>
      <c r="D887" t="s">
        <v>22</v>
      </c>
      <c r="E887">
        <v>75</v>
      </c>
      <c r="F887">
        <v>0</v>
      </c>
      <c r="G887">
        <v>101.25</v>
      </c>
      <c r="H887">
        <v>7593.75</v>
      </c>
      <c r="I887" t="s">
        <v>1208</v>
      </c>
      <c r="J887">
        <v>0</v>
      </c>
      <c r="K887">
        <v>2.7</v>
      </c>
      <c r="L887">
        <v>0.37</v>
      </c>
      <c r="M887">
        <v>0.01</v>
      </c>
      <c r="N887">
        <v>20</v>
      </c>
      <c r="O887">
        <v>4.08</v>
      </c>
      <c r="P887">
        <v>27.16</v>
      </c>
      <c r="Q887">
        <f t="shared" si="130"/>
        <v>2025</v>
      </c>
      <c r="R887">
        <f t="shared" si="131"/>
        <v>2</v>
      </c>
      <c r="S887">
        <f t="shared" si="132"/>
        <v>2024</v>
      </c>
      <c r="T887">
        <f t="shared" si="133"/>
        <v>11</v>
      </c>
      <c r="U887">
        <f t="shared" si="134"/>
        <v>11</v>
      </c>
      <c r="V887" t="str">
        <f t="shared" si="135"/>
        <v>202411</v>
      </c>
      <c r="W887" t="str">
        <f t="shared" si="136"/>
        <v>Feb-25</v>
      </c>
      <c r="X887" s="3">
        <f t="shared" si="137"/>
        <v>-7620.91</v>
      </c>
      <c r="Y887" t="str">
        <f t="shared" si="138"/>
        <v/>
      </c>
      <c r="Z887">
        <f t="shared" si="139"/>
        <v>-7620.91</v>
      </c>
    </row>
    <row r="888" spans="1:26" x14ac:dyDescent="0.25">
      <c r="A888" s="1">
        <v>45700</v>
      </c>
      <c r="B888" t="s">
        <v>1209</v>
      </c>
      <c r="C888" t="s">
        <v>17</v>
      </c>
      <c r="D888" t="s">
        <v>18</v>
      </c>
      <c r="E888">
        <v>75</v>
      </c>
      <c r="F888">
        <v>0</v>
      </c>
      <c r="G888">
        <v>127</v>
      </c>
      <c r="H888">
        <v>9525</v>
      </c>
      <c r="I888" t="s">
        <v>1210</v>
      </c>
      <c r="J888">
        <v>9.7200000000000006</v>
      </c>
      <c r="K888">
        <v>3.38</v>
      </c>
      <c r="L888">
        <v>0</v>
      </c>
      <c r="M888">
        <v>0.01</v>
      </c>
      <c r="N888">
        <v>20</v>
      </c>
      <c r="O888">
        <v>4.22</v>
      </c>
      <c r="P888">
        <v>37.33</v>
      </c>
      <c r="Q888">
        <f t="shared" si="130"/>
        <v>2025</v>
      </c>
      <c r="R888">
        <f t="shared" si="131"/>
        <v>2</v>
      </c>
      <c r="S888">
        <f t="shared" si="132"/>
        <v>2024</v>
      </c>
      <c r="T888">
        <f t="shared" si="133"/>
        <v>11</v>
      </c>
      <c r="U888">
        <f t="shared" si="134"/>
        <v>11</v>
      </c>
      <c r="V888" t="str">
        <f t="shared" si="135"/>
        <v>202411</v>
      </c>
      <c r="W888" t="str">
        <f t="shared" si="136"/>
        <v>Feb-25</v>
      </c>
      <c r="X888" s="3">
        <f t="shared" si="137"/>
        <v>9487.67</v>
      </c>
      <c r="Y888">
        <f t="shared" si="138"/>
        <v>9487.67</v>
      </c>
      <c r="Z888" t="str">
        <f t="shared" si="139"/>
        <v/>
      </c>
    </row>
    <row r="889" spans="1:26" x14ac:dyDescent="0.25">
      <c r="A889" s="1">
        <v>45700</v>
      </c>
      <c r="B889" t="s">
        <v>1209</v>
      </c>
      <c r="C889" t="s">
        <v>17</v>
      </c>
      <c r="D889" t="s">
        <v>22</v>
      </c>
      <c r="E889">
        <v>75</v>
      </c>
      <c r="F889">
        <v>0</v>
      </c>
      <c r="G889">
        <v>107.15</v>
      </c>
      <c r="H889">
        <v>8036.25</v>
      </c>
      <c r="I889" t="s">
        <v>1211</v>
      </c>
      <c r="J889">
        <v>0</v>
      </c>
      <c r="K889">
        <v>2.86</v>
      </c>
      <c r="L889">
        <v>0.24</v>
      </c>
      <c r="M889">
        <v>0.01</v>
      </c>
      <c r="N889">
        <v>20</v>
      </c>
      <c r="O889">
        <v>4.12</v>
      </c>
      <c r="P889">
        <v>27.23</v>
      </c>
      <c r="Q889">
        <f t="shared" si="130"/>
        <v>2025</v>
      </c>
      <c r="R889">
        <f t="shared" si="131"/>
        <v>2</v>
      </c>
      <c r="S889">
        <f t="shared" si="132"/>
        <v>2024</v>
      </c>
      <c r="T889">
        <f t="shared" si="133"/>
        <v>11</v>
      </c>
      <c r="U889">
        <f t="shared" si="134"/>
        <v>11</v>
      </c>
      <c r="V889" t="str">
        <f t="shared" si="135"/>
        <v>202411</v>
      </c>
      <c r="W889" t="str">
        <f t="shared" si="136"/>
        <v>Feb-25</v>
      </c>
      <c r="X889" s="3">
        <f t="shared" si="137"/>
        <v>-8063.48</v>
      </c>
      <c r="Y889" t="str">
        <f t="shared" si="138"/>
        <v/>
      </c>
      <c r="Z889">
        <f t="shared" si="139"/>
        <v>-8063.48</v>
      </c>
    </row>
    <row r="890" spans="1:26" x14ac:dyDescent="0.25">
      <c r="A890" s="1">
        <v>45701</v>
      </c>
      <c r="B890" t="s">
        <v>1200</v>
      </c>
      <c r="C890" t="s">
        <v>17</v>
      </c>
      <c r="D890" t="s">
        <v>18</v>
      </c>
      <c r="E890">
        <v>300</v>
      </c>
      <c r="F890">
        <v>0</v>
      </c>
      <c r="G890">
        <v>3.9</v>
      </c>
      <c r="H890">
        <v>1170</v>
      </c>
      <c r="I890" t="s">
        <v>1212</v>
      </c>
      <c r="J890">
        <v>1</v>
      </c>
      <c r="K890">
        <v>0.42</v>
      </c>
      <c r="L890">
        <v>0</v>
      </c>
      <c r="M890">
        <v>0</v>
      </c>
      <c r="N890">
        <v>80</v>
      </c>
      <c r="O890">
        <v>14.48</v>
      </c>
      <c r="P890">
        <v>95.9</v>
      </c>
      <c r="Q890">
        <f t="shared" si="130"/>
        <v>2025</v>
      </c>
      <c r="R890">
        <f t="shared" si="131"/>
        <v>2</v>
      </c>
      <c r="S890">
        <f t="shared" si="132"/>
        <v>2024</v>
      </c>
      <c r="T890">
        <f t="shared" si="133"/>
        <v>11</v>
      </c>
      <c r="U890">
        <f t="shared" si="134"/>
        <v>11</v>
      </c>
      <c r="V890" t="str">
        <f t="shared" si="135"/>
        <v>202411</v>
      </c>
      <c r="W890" t="str">
        <f t="shared" si="136"/>
        <v>Feb-25</v>
      </c>
      <c r="X890" s="3">
        <f t="shared" si="137"/>
        <v>1074.0999999999999</v>
      </c>
      <c r="Y890">
        <f t="shared" si="138"/>
        <v>1074.0999999999999</v>
      </c>
      <c r="Z890" t="str">
        <f t="shared" si="139"/>
        <v/>
      </c>
    </row>
    <row r="891" spans="1:26" x14ac:dyDescent="0.25">
      <c r="A891" s="1">
        <v>45705</v>
      </c>
      <c r="B891" t="s">
        <v>1213</v>
      </c>
      <c r="C891" t="s">
        <v>17</v>
      </c>
      <c r="D891" t="s">
        <v>18</v>
      </c>
      <c r="E891">
        <v>150</v>
      </c>
      <c r="F891">
        <v>0</v>
      </c>
      <c r="G891">
        <v>147.25</v>
      </c>
      <c r="H891">
        <v>22087.5</v>
      </c>
      <c r="I891" t="s">
        <v>1214</v>
      </c>
      <c r="J891">
        <v>22.09</v>
      </c>
      <c r="K891">
        <v>7.85</v>
      </c>
      <c r="L891">
        <v>0</v>
      </c>
      <c r="M891">
        <v>0.02</v>
      </c>
      <c r="N891">
        <v>40</v>
      </c>
      <c r="O891">
        <v>8.6199999999999992</v>
      </c>
      <c r="P891">
        <v>78.58</v>
      </c>
      <c r="Q891">
        <f t="shared" si="130"/>
        <v>2025</v>
      </c>
      <c r="R891">
        <f t="shared" si="131"/>
        <v>2</v>
      </c>
      <c r="S891">
        <f t="shared" si="132"/>
        <v>2024</v>
      </c>
      <c r="T891">
        <f t="shared" si="133"/>
        <v>11</v>
      </c>
      <c r="U891">
        <f t="shared" si="134"/>
        <v>11</v>
      </c>
      <c r="V891" t="str">
        <f t="shared" si="135"/>
        <v>202411</v>
      </c>
      <c r="W891" t="str">
        <f t="shared" si="136"/>
        <v>Feb-25</v>
      </c>
      <c r="X891" s="3">
        <f t="shared" si="137"/>
        <v>22008.92</v>
      </c>
      <c r="Y891">
        <f t="shared" si="138"/>
        <v>22008.92</v>
      </c>
      <c r="Z891" t="str">
        <f t="shared" si="139"/>
        <v/>
      </c>
    </row>
    <row r="892" spans="1:26" x14ac:dyDescent="0.25">
      <c r="A892" s="1">
        <v>45705</v>
      </c>
      <c r="B892" t="s">
        <v>1213</v>
      </c>
      <c r="C892" t="s">
        <v>17</v>
      </c>
      <c r="D892" t="s">
        <v>22</v>
      </c>
      <c r="E892">
        <v>150</v>
      </c>
      <c r="F892">
        <v>0</v>
      </c>
      <c r="G892">
        <v>142</v>
      </c>
      <c r="H892">
        <v>21300</v>
      </c>
      <c r="I892" t="s">
        <v>1215</v>
      </c>
      <c r="J892">
        <v>0</v>
      </c>
      <c r="K892">
        <v>7.57</v>
      </c>
      <c r="L892">
        <v>0</v>
      </c>
      <c r="M892">
        <v>0.02</v>
      </c>
      <c r="N892">
        <v>40</v>
      </c>
      <c r="O892">
        <v>8.56</v>
      </c>
      <c r="P892">
        <v>56.15</v>
      </c>
      <c r="Q892">
        <f t="shared" si="130"/>
        <v>2025</v>
      </c>
      <c r="R892">
        <f t="shared" si="131"/>
        <v>2</v>
      </c>
      <c r="S892">
        <f t="shared" si="132"/>
        <v>2024</v>
      </c>
      <c r="T892">
        <f t="shared" si="133"/>
        <v>11</v>
      </c>
      <c r="U892">
        <f t="shared" si="134"/>
        <v>11</v>
      </c>
      <c r="V892" t="str">
        <f t="shared" si="135"/>
        <v>202411</v>
      </c>
      <c r="W892" t="str">
        <f t="shared" si="136"/>
        <v>Feb-25</v>
      </c>
      <c r="X892" s="3">
        <f t="shared" si="137"/>
        <v>-21356.15</v>
      </c>
      <c r="Y892" t="str">
        <f t="shared" si="138"/>
        <v/>
      </c>
      <c r="Z892">
        <f t="shared" si="139"/>
        <v>-21356.15</v>
      </c>
    </row>
    <row r="893" spans="1:26" x14ac:dyDescent="0.25">
      <c r="A893" s="1">
        <v>45705</v>
      </c>
      <c r="B893" t="s">
        <v>1213</v>
      </c>
      <c r="C893" t="s">
        <v>17</v>
      </c>
      <c r="D893" t="s">
        <v>18</v>
      </c>
      <c r="E893">
        <v>150</v>
      </c>
      <c r="F893">
        <v>0</v>
      </c>
      <c r="G893">
        <v>130</v>
      </c>
      <c r="H893">
        <v>19500</v>
      </c>
      <c r="I893" t="s">
        <v>1216</v>
      </c>
      <c r="J893">
        <v>19.5</v>
      </c>
      <c r="K893">
        <v>6.93</v>
      </c>
      <c r="L893">
        <v>0</v>
      </c>
      <c r="M893">
        <v>0.02</v>
      </c>
      <c r="N893">
        <v>40</v>
      </c>
      <c r="O893">
        <v>8.4600000000000009</v>
      </c>
      <c r="P893">
        <v>74.91</v>
      </c>
      <c r="Q893">
        <f t="shared" si="130"/>
        <v>2025</v>
      </c>
      <c r="R893">
        <f t="shared" si="131"/>
        <v>2</v>
      </c>
      <c r="S893">
        <f t="shared" si="132"/>
        <v>2024</v>
      </c>
      <c r="T893">
        <f t="shared" si="133"/>
        <v>11</v>
      </c>
      <c r="U893">
        <f t="shared" si="134"/>
        <v>11</v>
      </c>
      <c r="V893" t="str">
        <f t="shared" si="135"/>
        <v>202411</v>
      </c>
      <c r="W893" t="str">
        <f t="shared" si="136"/>
        <v>Feb-25</v>
      </c>
      <c r="X893" s="3">
        <f t="shared" si="137"/>
        <v>19425.09</v>
      </c>
      <c r="Y893">
        <f t="shared" si="138"/>
        <v>19425.09</v>
      </c>
      <c r="Z893" t="str">
        <f t="shared" si="139"/>
        <v/>
      </c>
    </row>
    <row r="894" spans="1:26" x14ac:dyDescent="0.25">
      <c r="A894" s="1">
        <v>45705</v>
      </c>
      <c r="B894" t="s">
        <v>1213</v>
      </c>
      <c r="C894" t="s">
        <v>17</v>
      </c>
      <c r="D894" t="s">
        <v>22</v>
      </c>
      <c r="E894">
        <v>150</v>
      </c>
      <c r="F894">
        <v>0</v>
      </c>
      <c r="G894">
        <v>132.25</v>
      </c>
      <c r="H894">
        <v>19837.5</v>
      </c>
      <c r="I894" t="s">
        <v>1217</v>
      </c>
      <c r="J894">
        <v>0</v>
      </c>
      <c r="K894">
        <v>7.05</v>
      </c>
      <c r="L894">
        <v>1.73</v>
      </c>
      <c r="M894">
        <v>0.02</v>
      </c>
      <c r="N894">
        <v>40</v>
      </c>
      <c r="O894">
        <v>8.48</v>
      </c>
      <c r="P894">
        <v>57.28</v>
      </c>
      <c r="Q894">
        <f t="shared" si="130"/>
        <v>2025</v>
      </c>
      <c r="R894">
        <f t="shared" si="131"/>
        <v>2</v>
      </c>
      <c r="S894">
        <f t="shared" si="132"/>
        <v>2024</v>
      </c>
      <c r="T894">
        <f t="shared" si="133"/>
        <v>11</v>
      </c>
      <c r="U894">
        <f t="shared" si="134"/>
        <v>11</v>
      </c>
      <c r="V894" t="str">
        <f t="shared" si="135"/>
        <v>202411</v>
      </c>
      <c r="W894" t="str">
        <f t="shared" si="136"/>
        <v>Feb-25</v>
      </c>
      <c r="X894" s="3">
        <f t="shared" si="137"/>
        <v>-19894.78</v>
      </c>
      <c r="Y894" t="str">
        <f t="shared" si="138"/>
        <v/>
      </c>
      <c r="Z894">
        <f t="shared" si="139"/>
        <v>-19894.78</v>
      </c>
    </row>
    <row r="895" spans="1:26" x14ac:dyDescent="0.25">
      <c r="A895" s="1">
        <v>45705</v>
      </c>
      <c r="B895" t="s">
        <v>1218</v>
      </c>
      <c r="C895" t="s">
        <v>17</v>
      </c>
      <c r="D895" t="s">
        <v>18</v>
      </c>
      <c r="E895">
        <v>75</v>
      </c>
      <c r="F895">
        <v>0</v>
      </c>
      <c r="G895">
        <v>179.25</v>
      </c>
      <c r="H895">
        <v>13443.75</v>
      </c>
      <c r="I895" t="s">
        <v>1219</v>
      </c>
      <c r="J895">
        <v>13.44</v>
      </c>
      <c r="K895">
        <v>4.78</v>
      </c>
      <c r="L895">
        <v>0</v>
      </c>
      <c r="M895">
        <v>0.01</v>
      </c>
      <c r="N895">
        <v>20</v>
      </c>
      <c r="O895">
        <v>4.46</v>
      </c>
      <c r="P895">
        <v>42.69</v>
      </c>
      <c r="Q895">
        <f t="shared" si="130"/>
        <v>2025</v>
      </c>
      <c r="R895">
        <f t="shared" si="131"/>
        <v>2</v>
      </c>
      <c r="S895">
        <f t="shared" si="132"/>
        <v>2024</v>
      </c>
      <c r="T895">
        <f t="shared" si="133"/>
        <v>11</v>
      </c>
      <c r="U895">
        <f t="shared" si="134"/>
        <v>11</v>
      </c>
      <c r="V895" t="str">
        <f t="shared" si="135"/>
        <v>202411</v>
      </c>
      <c r="W895" t="str">
        <f t="shared" si="136"/>
        <v>Feb-25</v>
      </c>
      <c r="X895" s="3">
        <f t="shared" si="137"/>
        <v>13401.06</v>
      </c>
      <c r="Y895">
        <f t="shared" si="138"/>
        <v>13401.06</v>
      </c>
      <c r="Z895" t="str">
        <f t="shared" si="139"/>
        <v/>
      </c>
    </row>
    <row r="896" spans="1:26" x14ac:dyDescent="0.25">
      <c r="A896" s="1">
        <v>45705</v>
      </c>
      <c r="B896" t="s">
        <v>1218</v>
      </c>
      <c r="C896" t="s">
        <v>17</v>
      </c>
      <c r="D896" t="s">
        <v>22</v>
      </c>
      <c r="E896">
        <v>75</v>
      </c>
      <c r="F896">
        <v>0</v>
      </c>
      <c r="G896">
        <v>156.65</v>
      </c>
      <c r="H896">
        <v>11748.75</v>
      </c>
      <c r="I896" t="s">
        <v>1220</v>
      </c>
      <c r="J896">
        <v>0</v>
      </c>
      <c r="K896">
        <v>4.17</v>
      </c>
      <c r="L896">
        <v>0.35</v>
      </c>
      <c r="M896">
        <v>0.01</v>
      </c>
      <c r="N896">
        <v>20</v>
      </c>
      <c r="O896">
        <v>4.3600000000000003</v>
      </c>
      <c r="P896">
        <v>28.89</v>
      </c>
      <c r="Q896">
        <f t="shared" si="130"/>
        <v>2025</v>
      </c>
      <c r="R896">
        <f t="shared" si="131"/>
        <v>2</v>
      </c>
      <c r="S896">
        <f t="shared" si="132"/>
        <v>2024</v>
      </c>
      <c r="T896">
        <f t="shared" si="133"/>
        <v>11</v>
      </c>
      <c r="U896">
        <f t="shared" si="134"/>
        <v>11</v>
      </c>
      <c r="V896" t="str">
        <f t="shared" si="135"/>
        <v>202411</v>
      </c>
      <c r="W896" t="str">
        <f t="shared" si="136"/>
        <v>Feb-25</v>
      </c>
      <c r="X896" s="3">
        <f t="shared" si="137"/>
        <v>-11777.64</v>
      </c>
      <c r="Y896" t="str">
        <f t="shared" si="138"/>
        <v/>
      </c>
      <c r="Z896">
        <f t="shared" si="139"/>
        <v>-11777.64</v>
      </c>
    </row>
    <row r="897" spans="1:26" x14ac:dyDescent="0.25">
      <c r="A897" s="1">
        <v>45705</v>
      </c>
      <c r="B897" t="s">
        <v>1221</v>
      </c>
      <c r="C897" t="s">
        <v>17</v>
      </c>
      <c r="D897" t="s">
        <v>18</v>
      </c>
      <c r="E897">
        <v>75</v>
      </c>
      <c r="F897">
        <v>0</v>
      </c>
      <c r="G897">
        <v>159</v>
      </c>
      <c r="H897">
        <v>11925</v>
      </c>
      <c r="I897" t="s">
        <v>1222</v>
      </c>
      <c r="J897">
        <v>11.93</v>
      </c>
      <c r="K897">
        <v>4.24</v>
      </c>
      <c r="L897">
        <v>0</v>
      </c>
      <c r="M897">
        <v>0.01</v>
      </c>
      <c r="N897">
        <v>20</v>
      </c>
      <c r="O897">
        <v>4.3600000000000003</v>
      </c>
      <c r="P897">
        <v>40.54</v>
      </c>
      <c r="Q897">
        <f t="shared" si="130"/>
        <v>2025</v>
      </c>
      <c r="R897">
        <f t="shared" si="131"/>
        <v>2</v>
      </c>
      <c r="S897">
        <f t="shared" si="132"/>
        <v>2024</v>
      </c>
      <c r="T897">
        <f t="shared" si="133"/>
        <v>11</v>
      </c>
      <c r="U897">
        <f t="shared" si="134"/>
        <v>11</v>
      </c>
      <c r="V897" t="str">
        <f t="shared" si="135"/>
        <v>202411</v>
      </c>
      <c r="W897" t="str">
        <f t="shared" si="136"/>
        <v>Feb-25</v>
      </c>
      <c r="X897" s="3">
        <f t="shared" si="137"/>
        <v>11884.46</v>
      </c>
      <c r="Y897">
        <f t="shared" si="138"/>
        <v>11884.46</v>
      </c>
      <c r="Z897" t="str">
        <f t="shared" si="139"/>
        <v/>
      </c>
    </row>
    <row r="898" spans="1:26" x14ac:dyDescent="0.25">
      <c r="A898" s="1">
        <v>45705</v>
      </c>
      <c r="B898" t="s">
        <v>1221</v>
      </c>
      <c r="C898" t="s">
        <v>17</v>
      </c>
      <c r="D898" t="s">
        <v>22</v>
      </c>
      <c r="E898">
        <v>75</v>
      </c>
      <c r="F898">
        <v>0</v>
      </c>
      <c r="G898">
        <v>178.7</v>
      </c>
      <c r="H898">
        <v>13402.5</v>
      </c>
      <c r="I898" t="s">
        <v>1223</v>
      </c>
      <c r="J898">
        <v>0</v>
      </c>
      <c r="K898">
        <v>4.76</v>
      </c>
      <c r="L898">
        <v>0.4</v>
      </c>
      <c r="M898">
        <v>0.01</v>
      </c>
      <c r="N898">
        <v>20</v>
      </c>
      <c r="O898">
        <v>4.46</v>
      </c>
      <c r="P898">
        <v>29.63</v>
      </c>
      <c r="Q898">
        <f t="shared" ref="Q898:Q932" si="140">YEAR(A898)</f>
        <v>2025</v>
      </c>
      <c r="R898">
        <f t="shared" ref="R898:R932" si="141">MONTH(A898)</f>
        <v>2</v>
      </c>
      <c r="S898">
        <f t="shared" ref="S898:S932" si="142">IF(R898&lt;4,Q898-1,Q898)</f>
        <v>2024</v>
      </c>
      <c r="T898">
        <f t="shared" ref="T898:T932" si="143">IF(R898&lt;4,R898+9,R898-3)</f>
        <v>11</v>
      </c>
      <c r="U898">
        <f t="shared" ref="U898:U932" si="144">IF(LEN(T898)=1,_xlfn.CONCAT(0,T898),T898)</f>
        <v>11</v>
      </c>
      <c r="V898" t="str">
        <f t="shared" ref="V898:V932" si="145">_xlfn.CONCAT(S898,U898)</f>
        <v>202411</v>
      </c>
      <c r="W898" t="str">
        <f t="shared" ref="W898:W932" si="146">_xlfn.CONCAT(TEXT(A898,"MMM"),"-",MID(Q898,3,2))</f>
        <v>Feb-25</v>
      </c>
      <c r="X898" s="3">
        <f t="shared" ref="X898:X932" si="147">IFERROR(IF(D898="Sell",(H898-P898),-(H898+P898)),0)</f>
        <v>-13432.13</v>
      </c>
      <c r="Y898" t="str">
        <f t="shared" si="138"/>
        <v/>
      </c>
      <c r="Z898">
        <f t="shared" si="139"/>
        <v>-13432.13</v>
      </c>
    </row>
    <row r="899" spans="1:26" x14ac:dyDescent="0.25">
      <c r="A899" s="1">
        <v>45705</v>
      </c>
      <c r="B899" t="s">
        <v>1224</v>
      </c>
      <c r="C899" t="s">
        <v>17</v>
      </c>
      <c r="D899" t="s">
        <v>18</v>
      </c>
      <c r="E899">
        <v>150</v>
      </c>
      <c r="F899">
        <v>0</v>
      </c>
      <c r="G899">
        <v>148.1</v>
      </c>
      <c r="H899">
        <v>22215</v>
      </c>
      <c r="I899" t="s">
        <v>1225</v>
      </c>
      <c r="J899">
        <v>22.56</v>
      </c>
      <c r="K899">
        <v>7.89</v>
      </c>
      <c r="L899">
        <v>0</v>
      </c>
      <c r="M899">
        <v>0.02</v>
      </c>
      <c r="N899">
        <v>40</v>
      </c>
      <c r="O899">
        <v>8.6199999999999992</v>
      </c>
      <c r="P899">
        <v>79.09</v>
      </c>
      <c r="Q899">
        <f t="shared" si="140"/>
        <v>2025</v>
      </c>
      <c r="R899">
        <f t="shared" si="141"/>
        <v>2</v>
      </c>
      <c r="S899">
        <f t="shared" si="142"/>
        <v>2024</v>
      </c>
      <c r="T899">
        <f t="shared" si="143"/>
        <v>11</v>
      </c>
      <c r="U899">
        <f t="shared" si="144"/>
        <v>11</v>
      </c>
      <c r="V899" t="str">
        <f t="shared" si="145"/>
        <v>202411</v>
      </c>
      <c r="W899" t="str">
        <f t="shared" si="146"/>
        <v>Feb-25</v>
      </c>
      <c r="X899" s="3">
        <f t="shared" si="147"/>
        <v>22135.91</v>
      </c>
      <c r="Y899">
        <f t="shared" ref="Y899:Y962" si="148">IF(X899&gt;0,X899,"")</f>
        <v>22135.91</v>
      </c>
      <c r="Z899" t="str">
        <f t="shared" ref="Z899:Z962" si="149">IF(X899&lt;0,X899,"")</f>
        <v/>
      </c>
    </row>
    <row r="900" spans="1:26" x14ac:dyDescent="0.25">
      <c r="A900" s="1">
        <v>45705</v>
      </c>
      <c r="B900" t="s">
        <v>1224</v>
      </c>
      <c r="C900" t="s">
        <v>17</v>
      </c>
      <c r="D900" t="s">
        <v>22</v>
      </c>
      <c r="E900">
        <v>150</v>
      </c>
      <c r="F900">
        <v>0</v>
      </c>
      <c r="G900">
        <v>128</v>
      </c>
      <c r="H900">
        <v>19200</v>
      </c>
      <c r="I900" t="s">
        <v>1226</v>
      </c>
      <c r="J900">
        <v>0</v>
      </c>
      <c r="K900">
        <v>6.82</v>
      </c>
      <c r="L900">
        <v>1.1299999999999999</v>
      </c>
      <c r="M900">
        <v>0.02</v>
      </c>
      <c r="N900">
        <v>40</v>
      </c>
      <c r="O900">
        <v>8.44</v>
      </c>
      <c r="P900">
        <v>56.41</v>
      </c>
      <c r="Q900">
        <f t="shared" si="140"/>
        <v>2025</v>
      </c>
      <c r="R900">
        <f t="shared" si="141"/>
        <v>2</v>
      </c>
      <c r="S900">
        <f t="shared" si="142"/>
        <v>2024</v>
      </c>
      <c r="T900">
        <f t="shared" si="143"/>
        <v>11</v>
      </c>
      <c r="U900">
        <f t="shared" si="144"/>
        <v>11</v>
      </c>
      <c r="V900" t="str">
        <f t="shared" si="145"/>
        <v>202411</v>
      </c>
      <c r="W900" t="str">
        <f t="shared" si="146"/>
        <v>Feb-25</v>
      </c>
      <c r="X900" s="3">
        <f t="shared" si="147"/>
        <v>-19256.41</v>
      </c>
      <c r="Y900" t="str">
        <f t="shared" si="148"/>
        <v/>
      </c>
      <c r="Z900">
        <f t="shared" si="149"/>
        <v>-19256.41</v>
      </c>
    </row>
    <row r="901" spans="1:26" x14ac:dyDescent="0.25">
      <c r="A901" s="1">
        <v>45705</v>
      </c>
      <c r="B901" t="s">
        <v>1224</v>
      </c>
      <c r="C901" t="s">
        <v>17</v>
      </c>
      <c r="D901" t="s">
        <v>18</v>
      </c>
      <c r="E901">
        <v>150</v>
      </c>
      <c r="F901">
        <v>0</v>
      </c>
      <c r="G901">
        <v>135.75</v>
      </c>
      <c r="H901">
        <v>20362.5</v>
      </c>
      <c r="I901" t="s">
        <v>1227</v>
      </c>
      <c r="J901">
        <v>20.36</v>
      </c>
      <c r="K901">
        <v>7.24</v>
      </c>
      <c r="L901">
        <v>0</v>
      </c>
      <c r="M901">
        <v>0.02</v>
      </c>
      <c r="N901">
        <v>40</v>
      </c>
      <c r="O901">
        <v>8.52</v>
      </c>
      <c r="P901">
        <v>76.14</v>
      </c>
      <c r="Q901">
        <f t="shared" si="140"/>
        <v>2025</v>
      </c>
      <c r="R901">
        <f t="shared" si="141"/>
        <v>2</v>
      </c>
      <c r="S901">
        <f t="shared" si="142"/>
        <v>2024</v>
      </c>
      <c r="T901">
        <f t="shared" si="143"/>
        <v>11</v>
      </c>
      <c r="U901">
        <f t="shared" si="144"/>
        <v>11</v>
      </c>
      <c r="V901" t="str">
        <f t="shared" si="145"/>
        <v>202411</v>
      </c>
      <c r="W901" t="str">
        <f t="shared" si="146"/>
        <v>Feb-25</v>
      </c>
      <c r="X901" s="3">
        <f t="shared" si="147"/>
        <v>20286.36</v>
      </c>
      <c r="Y901">
        <f t="shared" si="148"/>
        <v>20286.36</v>
      </c>
      <c r="Z901" t="str">
        <f t="shared" si="149"/>
        <v/>
      </c>
    </row>
    <row r="902" spans="1:26" x14ac:dyDescent="0.25">
      <c r="A902" s="1">
        <v>45705</v>
      </c>
      <c r="B902" t="s">
        <v>1224</v>
      </c>
      <c r="C902" t="s">
        <v>17</v>
      </c>
      <c r="D902" t="s">
        <v>22</v>
      </c>
      <c r="E902">
        <v>150</v>
      </c>
      <c r="F902">
        <v>0</v>
      </c>
      <c r="G902">
        <v>122.65</v>
      </c>
      <c r="H902">
        <v>18397.5</v>
      </c>
      <c r="I902" t="s">
        <v>1228</v>
      </c>
      <c r="J902">
        <v>0</v>
      </c>
      <c r="K902">
        <v>6.54</v>
      </c>
      <c r="L902">
        <v>0</v>
      </c>
      <c r="M902">
        <v>0.02</v>
      </c>
      <c r="N902">
        <v>40</v>
      </c>
      <c r="O902">
        <v>8.3800000000000008</v>
      </c>
      <c r="P902">
        <v>54.94</v>
      </c>
      <c r="Q902">
        <f t="shared" si="140"/>
        <v>2025</v>
      </c>
      <c r="R902">
        <f t="shared" si="141"/>
        <v>2</v>
      </c>
      <c r="S902">
        <f t="shared" si="142"/>
        <v>2024</v>
      </c>
      <c r="T902">
        <f t="shared" si="143"/>
        <v>11</v>
      </c>
      <c r="U902">
        <f t="shared" si="144"/>
        <v>11</v>
      </c>
      <c r="V902" t="str">
        <f t="shared" si="145"/>
        <v>202411</v>
      </c>
      <c r="W902" t="str">
        <f t="shared" si="146"/>
        <v>Feb-25</v>
      </c>
      <c r="X902" s="3">
        <f t="shared" si="147"/>
        <v>-18452.439999999999</v>
      </c>
      <c r="Y902" t="str">
        <f t="shared" si="148"/>
        <v/>
      </c>
      <c r="Z902">
        <f t="shared" si="149"/>
        <v>-18452.439999999999</v>
      </c>
    </row>
    <row r="903" spans="1:26" x14ac:dyDescent="0.25">
      <c r="A903" s="1">
        <v>45705</v>
      </c>
      <c r="B903" t="s">
        <v>1229</v>
      </c>
      <c r="C903" t="s">
        <v>17</v>
      </c>
      <c r="D903" t="s">
        <v>18</v>
      </c>
      <c r="E903">
        <v>75</v>
      </c>
      <c r="F903">
        <v>0</v>
      </c>
      <c r="G903">
        <v>175</v>
      </c>
      <c r="H903">
        <v>13125</v>
      </c>
      <c r="I903" t="s">
        <v>1230</v>
      </c>
      <c r="J903">
        <v>13.13</v>
      </c>
      <c r="K903">
        <v>4.66</v>
      </c>
      <c r="L903">
        <v>0</v>
      </c>
      <c r="M903">
        <v>0.01</v>
      </c>
      <c r="N903">
        <v>20</v>
      </c>
      <c r="O903">
        <v>4.4400000000000004</v>
      </c>
      <c r="P903">
        <v>42.24</v>
      </c>
      <c r="Q903">
        <f t="shared" si="140"/>
        <v>2025</v>
      </c>
      <c r="R903">
        <f t="shared" si="141"/>
        <v>2</v>
      </c>
      <c r="S903">
        <f t="shared" si="142"/>
        <v>2024</v>
      </c>
      <c r="T903">
        <f t="shared" si="143"/>
        <v>11</v>
      </c>
      <c r="U903">
        <f t="shared" si="144"/>
        <v>11</v>
      </c>
      <c r="V903" t="str">
        <f t="shared" si="145"/>
        <v>202411</v>
      </c>
      <c r="W903" t="str">
        <f t="shared" si="146"/>
        <v>Feb-25</v>
      </c>
      <c r="X903" s="3">
        <f t="shared" si="147"/>
        <v>13082.76</v>
      </c>
      <c r="Y903">
        <f t="shared" si="148"/>
        <v>13082.76</v>
      </c>
      <c r="Z903" t="str">
        <f t="shared" si="149"/>
        <v/>
      </c>
    </row>
    <row r="904" spans="1:26" x14ac:dyDescent="0.25">
      <c r="A904" s="1">
        <v>45705</v>
      </c>
      <c r="B904" t="s">
        <v>1229</v>
      </c>
      <c r="C904" t="s">
        <v>17</v>
      </c>
      <c r="D904" t="s">
        <v>22</v>
      </c>
      <c r="E904">
        <v>75</v>
      </c>
      <c r="F904">
        <v>0</v>
      </c>
      <c r="G904">
        <v>173.95</v>
      </c>
      <c r="H904">
        <v>13046.25</v>
      </c>
      <c r="I904" t="s">
        <v>1231</v>
      </c>
      <c r="J904">
        <v>0</v>
      </c>
      <c r="K904">
        <v>4.6399999999999997</v>
      </c>
      <c r="L904">
        <v>0.39</v>
      </c>
      <c r="M904">
        <v>0.01</v>
      </c>
      <c r="N904">
        <v>20</v>
      </c>
      <c r="O904">
        <v>4.4400000000000004</v>
      </c>
      <c r="P904">
        <v>29.48</v>
      </c>
      <c r="Q904">
        <f t="shared" si="140"/>
        <v>2025</v>
      </c>
      <c r="R904">
        <f t="shared" si="141"/>
        <v>2</v>
      </c>
      <c r="S904">
        <f t="shared" si="142"/>
        <v>2024</v>
      </c>
      <c r="T904">
        <f t="shared" si="143"/>
        <v>11</v>
      </c>
      <c r="U904">
        <f t="shared" si="144"/>
        <v>11</v>
      </c>
      <c r="V904" t="str">
        <f t="shared" si="145"/>
        <v>202411</v>
      </c>
      <c r="W904" t="str">
        <f t="shared" si="146"/>
        <v>Feb-25</v>
      </c>
      <c r="X904" s="3">
        <f t="shared" si="147"/>
        <v>-13075.73</v>
      </c>
      <c r="Y904" t="str">
        <f t="shared" si="148"/>
        <v/>
      </c>
      <c r="Z904">
        <f t="shared" si="149"/>
        <v>-13075.73</v>
      </c>
    </row>
    <row r="905" spans="1:26" x14ac:dyDescent="0.25">
      <c r="A905" s="1">
        <v>45706</v>
      </c>
      <c r="B905" t="s">
        <v>1232</v>
      </c>
      <c r="C905" t="s">
        <v>17</v>
      </c>
      <c r="D905" t="s">
        <v>18</v>
      </c>
      <c r="E905">
        <v>225</v>
      </c>
      <c r="F905">
        <v>0</v>
      </c>
      <c r="G905">
        <v>121.35</v>
      </c>
      <c r="H905">
        <v>27303.75</v>
      </c>
      <c r="I905" t="s">
        <v>1233</v>
      </c>
      <c r="J905">
        <v>27.3</v>
      </c>
      <c r="K905">
        <v>9.6999999999999993</v>
      </c>
      <c r="L905">
        <v>0</v>
      </c>
      <c r="M905">
        <v>0.03</v>
      </c>
      <c r="N905">
        <v>60</v>
      </c>
      <c r="O905">
        <v>12.54</v>
      </c>
      <c r="P905">
        <v>109.57</v>
      </c>
      <c r="Q905">
        <f t="shared" si="140"/>
        <v>2025</v>
      </c>
      <c r="R905">
        <f t="shared" si="141"/>
        <v>2</v>
      </c>
      <c r="S905">
        <f t="shared" si="142"/>
        <v>2024</v>
      </c>
      <c r="T905">
        <f t="shared" si="143"/>
        <v>11</v>
      </c>
      <c r="U905">
        <f t="shared" si="144"/>
        <v>11</v>
      </c>
      <c r="V905" t="str">
        <f t="shared" si="145"/>
        <v>202411</v>
      </c>
      <c r="W905" t="str">
        <f t="shared" si="146"/>
        <v>Feb-25</v>
      </c>
      <c r="X905" s="3">
        <f t="shared" si="147"/>
        <v>27194.18</v>
      </c>
      <c r="Y905">
        <f t="shared" si="148"/>
        <v>27194.18</v>
      </c>
      <c r="Z905" t="str">
        <f t="shared" si="149"/>
        <v/>
      </c>
    </row>
    <row r="906" spans="1:26" x14ac:dyDescent="0.25">
      <c r="A906" s="1">
        <v>45706</v>
      </c>
      <c r="B906" t="s">
        <v>1232</v>
      </c>
      <c r="C906" t="s">
        <v>17</v>
      </c>
      <c r="D906" t="s">
        <v>22</v>
      </c>
      <c r="E906">
        <v>75</v>
      </c>
      <c r="F906">
        <v>0</v>
      </c>
      <c r="G906">
        <v>115</v>
      </c>
      <c r="H906">
        <v>8625</v>
      </c>
      <c r="I906" t="s">
        <v>1234</v>
      </c>
      <c r="J906">
        <v>0</v>
      </c>
      <c r="K906">
        <v>3.06</v>
      </c>
      <c r="L906">
        <v>0</v>
      </c>
      <c r="M906">
        <v>0.01</v>
      </c>
      <c r="N906">
        <v>20</v>
      </c>
      <c r="O906">
        <v>4.16</v>
      </c>
      <c r="P906">
        <v>27.23</v>
      </c>
      <c r="Q906">
        <f t="shared" si="140"/>
        <v>2025</v>
      </c>
      <c r="R906">
        <f t="shared" si="141"/>
        <v>2</v>
      </c>
      <c r="S906">
        <f t="shared" si="142"/>
        <v>2024</v>
      </c>
      <c r="T906">
        <f t="shared" si="143"/>
        <v>11</v>
      </c>
      <c r="U906">
        <f t="shared" si="144"/>
        <v>11</v>
      </c>
      <c r="V906" t="str">
        <f t="shared" si="145"/>
        <v>202411</v>
      </c>
      <c r="W906" t="str">
        <f t="shared" si="146"/>
        <v>Feb-25</v>
      </c>
      <c r="X906" s="3">
        <f t="shared" si="147"/>
        <v>-8652.23</v>
      </c>
      <c r="Y906" t="str">
        <f t="shared" si="148"/>
        <v/>
      </c>
      <c r="Z906">
        <f t="shared" si="149"/>
        <v>-8652.23</v>
      </c>
    </row>
    <row r="907" spans="1:26" x14ac:dyDescent="0.25">
      <c r="A907" s="1">
        <v>45706</v>
      </c>
      <c r="B907" t="s">
        <v>1232</v>
      </c>
      <c r="C907" t="s">
        <v>17</v>
      </c>
      <c r="D907" t="s">
        <v>22</v>
      </c>
      <c r="E907">
        <v>75</v>
      </c>
      <c r="F907">
        <v>0</v>
      </c>
      <c r="G907">
        <v>119.25</v>
      </c>
      <c r="H907">
        <v>8943.75</v>
      </c>
      <c r="I907" t="s">
        <v>1235</v>
      </c>
      <c r="J907">
        <v>0</v>
      </c>
      <c r="K907">
        <v>3.18</v>
      </c>
      <c r="L907">
        <v>0</v>
      </c>
      <c r="M907">
        <v>0.01</v>
      </c>
      <c r="N907">
        <v>20</v>
      </c>
      <c r="O907">
        <v>4.18</v>
      </c>
      <c r="P907">
        <v>27.37</v>
      </c>
      <c r="Q907">
        <f t="shared" si="140"/>
        <v>2025</v>
      </c>
      <c r="R907">
        <f t="shared" si="141"/>
        <v>2</v>
      </c>
      <c r="S907">
        <f t="shared" si="142"/>
        <v>2024</v>
      </c>
      <c r="T907">
        <f t="shared" si="143"/>
        <v>11</v>
      </c>
      <c r="U907">
        <f t="shared" si="144"/>
        <v>11</v>
      </c>
      <c r="V907" t="str">
        <f t="shared" si="145"/>
        <v>202411</v>
      </c>
      <c r="W907" t="str">
        <f t="shared" si="146"/>
        <v>Feb-25</v>
      </c>
      <c r="X907" s="3">
        <f t="shared" si="147"/>
        <v>-8971.1200000000008</v>
      </c>
      <c r="Y907" t="str">
        <f t="shared" si="148"/>
        <v/>
      </c>
      <c r="Z907">
        <f t="shared" si="149"/>
        <v>-8971.1200000000008</v>
      </c>
    </row>
    <row r="908" spans="1:26" x14ac:dyDescent="0.25">
      <c r="A908" s="1">
        <v>45706</v>
      </c>
      <c r="B908" t="s">
        <v>1232</v>
      </c>
      <c r="C908" t="s">
        <v>17</v>
      </c>
      <c r="D908" t="s">
        <v>22</v>
      </c>
      <c r="E908">
        <v>75</v>
      </c>
      <c r="F908">
        <v>0</v>
      </c>
      <c r="G908">
        <v>120</v>
      </c>
      <c r="H908">
        <v>9000</v>
      </c>
      <c r="I908" t="s">
        <v>1236</v>
      </c>
      <c r="J908">
        <v>0</v>
      </c>
      <c r="K908">
        <v>3.2</v>
      </c>
      <c r="L908">
        <v>0</v>
      </c>
      <c r="M908">
        <v>0.01</v>
      </c>
      <c r="N908">
        <v>20</v>
      </c>
      <c r="O908">
        <v>4.18</v>
      </c>
      <c r="P908">
        <v>27.39</v>
      </c>
      <c r="Q908">
        <f t="shared" si="140"/>
        <v>2025</v>
      </c>
      <c r="R908">
        <f t="shared" si="141"/>
        <v>2</v>
      </c>
      <c r="S908">
        <f t="shared" si="142"/>
        <v>2024</v>
      </c>
      <c r="T908">
        <f t="shared" si="143"/>
        <v>11</v>
      </c>
      <c r="U908">
        <f t="shared" si="144"/>
        <v>11</v>
      </c>
      <c r="V908" t="str">
        <f t="shared" si="145"/>
        <v>202411</v>
      </c>
      <c r="W908" t="str">
        <f t="shared" si="146"/>
        <v>Feb-25</v>
      </c>
      <c r="X908" s="3">
        <f t="shared" si="147"/>
        <v>-9027.39</v>
      </c>
      <c r="Y908" t="str">
        <f t="shared" si="148"/>
        <v/>
      </c>
      <c r="Z908">
        <f t="shared" si="149"/>
        <v>-9027.39</v>
      </c>
    </row>
    <row r="909" spans="1:26" x14ac:dyDescent="0.25">
      <c r="A909" s="1">
        <v>45706</v>
      </c>
      <c r="B909" t="s">
        <v>1224</v>
      </c>
      <c r="C909" t="s">
        <v>17</v>
      </c>
      <c r="D909" t="s">
        <v>18</v>
      </c>
      <c r="E909">
        <v>150</v>
      </c>
      <c r="F909">
        <v>0</v>
      </c>
      <c r="G909">
        <v>129.1</v>
      </c>
      <c r="H909">
        <v>19365</v>
      </c>
      <c r="I909" t="s">
        <v>1237</v>
      </c>
      <c r="J909">
        <v>19.36</v>
      </c>
      <c r="K909">
        <v>6.88</v>
      </c>
      <c r="L909">
        <v>0</v>
      </c>
      <c r="M909">
        <v>0.02</v>
      </c>
      <c r="N909">
        <v>40</v>
      </c>
      <c r="O909">
        <v>8.44</v>
      </c>
      <c r="P909">
        <v>74.7</v>
      </c>
      <c r="Q909">
        <f t="shared" si="140"/>
        <v>2025</v>
      </c>
      <c r="R909">
        <f t="shared" si="141"/>
        <v>2</v>
      </c>
      <c r="S909">
        <f t="shared" si="142"/>
        <v>2024</v>
      </c>
      <c r="T909">
        <f t="shared" si="143"/>
        <v>11</v>
      </c>
      <c r="U909">
        <f t="shared" si="144"/>
        <v>11</v>
      </c>
      <c r="V909" t="str">
        <f t="shared" si="145"/>
        <v>202411</v>
      </c>
      <c r="W909" t="str">
        <f t="shared" si="146"/>
        <v>Feb-25</v>
      </c>
      <c r="X909" s="3">
        <f t="shared" si="147"/>
        <v>19290.3</v>
      </c>
      <c r="Y909">
        <f t="shared" si="148"/>
        <v>19290.3</v>
      </c>
      <c r="Z909" t="str">
        <f t="shared" si="149"/>
        <v/>
      </c>
    </row>
    <row r="910" spans="1:26" x14ac:dyDescent="0.25">
      <c r="A910" s="1">
        <v>45706</v>
      </c>
      <c r="B910" t="s">
        <v>1224</v>
      </c>
      <c r="C910" t="s">
        <v>17</v>
      </c>
      <c r="D910" t="s">
        <v>22</v>
      </c>
      <c r="E910">
        <v>75</v>
      </c>
      <c r="F910">
        <v>0</v>
      </c>
      <c r="G910">
        <v>133</v>
      </c>
      <c r="H910">
        <v>9975</v>
      </c>
      <c r="I910" t="s">
        <v>1238</v>
      </c>
      <c r="J910">
        <v>0</v>
      </c>
      <c r="K910">
        <v>3.54</v>
      </c>
      <c r="L910">
        <v>0.59</v>
      </c>
      <c r="M910">
        <v>0.01</v>
      </c>
      <c r="N910">
        <v>20</v>
      </c>
      <c r="O910">
        <v>4.24</v>
      </c>
      <c r="P910">
        <v>28.38</v>
      </c>
      <c r="Q910">
        <f t="shared" si="140"/>
        <v>2025</v>
      </c>
      <c r="R910">
        <f t="shared" si="141"/>
        <v>2</v>
      </c>
      <c r="S910">
        <f t="shared" si="142"/>
        <v>2024</v>
      </c>
      <c r="T910">
        <f t="shared" si="143"/>
        <v>11</v>
      </c>
      <c r="U910">
        <f t="shared" si="144"/>
        <v>11</v>
      </c>
      <c r="V910" t="str">
        <f t="shared" si="145"/>
        <v>202411</v>
      </c>
      <c r="W910" t="str">
        <f t="shared" si="146"/>
        <v>Feb-25</v>
      </c>
      <c r="X910" s="3">
        <f t="shared" si="147"/>
        <v>-10003.379999999999</v>
      </c>
      <c r="Y910" t="str">
        <f t="shared" si="148"/>
        <v/>
      </c>
      <c r="Z910">
        <f t="shared" si="149"/>
        <v>-10003.379999999999</v>
      </c>
    </row>
    <row r="911" spans="1:26" x14ac:dyDescent="0.25">
      <c r="A911" s="1">
        <v>45706</v>
      </c>
      <c r="B911" t="s">
        <v>1224</v>
      </c>
      <c r="C911" t="s">
        <v>17</v>
      </c>
      <c r="D911" t="s">
        <v>22</v>
      </c>
      <c r="E911">
        <v>75</v>
      </c>
      <c r="F911">
        <v>0</v>
      </c>
      <c r="G911">
        <v>131</v>
      </c>
      <c r="H911">
        <v>9825</v>
      </c>
      <c r="I911" t="s">
        <v>1239</v>
      </c>
      <c r="J911">
        <v>0</v>
      </c>
      <c r="K911">
        <v>3.49</v>
      </c>
      <c r="L911">
        <v>0</v>
      </c>
      <c r="M911">
        <v>0.01</v>
      </c>
      <c r="N911">
        <v>20</v>
      </c>
      <c r="O911">
        <v>4.24</v>
      </c>
      <c r="P911">
        <v>27.74</v>
      </c>
      <c r="Q911">
        <f t="shared" si="140"/>
        <v>2025</v>
      </c>
      <c r="R911">
        <f t="shared" si="141"/>
        <v>2</v>
      </c>
      <c r="S911">
        <f t="shared" si="142"/>
        <v>2024</v>
      </c>
      <c r="T911">
        <f t="shared" si="143"/>
        <v>11</v>
      </c>
      <c r="U911">
        <f t="shared" si="144"/>
        <v>11</v>
      </c>
      <c r="V911" t="str">
        <f t="shared" si="145"/>
        <v>202411</v>
      </c>
      <c r="W911" t="str">
        <f t="shared" si="146"/>
        <v>Feb-25</v>
      </c>
      <c r="X911" s="3">
        <f t="shared" si="147"/>
        <v>-9852.74</v>
      </c>
      <c r="Y911" t="str">
        <f t="shared" si="148"/>
        <v/>
      </c>
      <c r="Z911">
        <f t="shared" si="149"/>
        <v>-9852.74</v>
      </c>
    </row>
    <row r="912" spans="1:26" x14ac:dyDescent="0.25">
      <c r="A912" s="1">
        <v>45706</v>
      </c>
      <c r="B912" t="s">
        <v>1240</v>
      </c>
      <c r="C912" t="s">
        <v>17</v>
      </c>
      <c r="D912" t="s">
        <v>18</v>
      </c>
      <c r="E912">
        <v>150</v>
      </c>
      <c r="F912">
        <v>0</v>
      </c>
      <c r="G912">
        <v>159.25</v>
      </c>
      <c r="H912">
        <v>23887.5</v>
      </c>
      <c r="I912" t="s">
        <v>1241</v>
      </c>
      <c r="J912">
        <v>23.89</v>
      </c>
      <c r="K912">
        <v>8.49</v>
      </c>
      <c r="L912">
        <v>0</v>
      </c>
      <c r="M912">
        <v>0.02</v>
      </c>
      <c r="N912">
        <v>40</v>
      </c>
      <c r="O912">
        <v>8.74</v>
      </c>
      <c r="P912">
        <v>81.14</v>
      </c>
      <c r="Q912">
        <f t="shared" si="140"/>
        <v>2025</v>
      </c>
      <c r="R912">
        <f t="shared" si="141"/>
        <v>2</v>
      </c>
      <c r="S912">
        <f t="shared" si="142"/>
        <v>2024</v>
      </c>
      <c r="T912">
        <f t="shared" si="143"/>
        <v>11</v>
      </c>
      <c r="U912">
        <f t="shared" si="144"/>
        <v>11</v>
      </c>
      <c r="V912" t="str">
        <f t="shared" si="145"/>
        <v>202411</v>
      </c>
      <c r="W912" t="str">
        <f t="shared" si="146"/>
        <v>Feb-25</v>
      </c>
      <c r="X912" s="3">
        <f t="shared" si="147"/>
        <v>23806.36</v>
      </c>
      <c r="Y912">
        <f t="shared" si="148"/>
        <v>23806.36</v>
      </c>
      <c r="Z912" t="str">
        <f t="shared" si="149"/>
        <v/>
      </c>
    </row>
    <row r="913" spans="1:26" x14ac:dyDescent="0.25">
      <c r="A913" s="1">
        <v>45706</v>
      </c>
      <c r="B913" t="s">
        <v>1240</v>
      </c>
      <c r="C913" t="s">
        <v>17</v>
      </c>
      <c r="D913" t="s">
        <v>22</v>
      </c>
      <c r="E913">
        <v>75</v>
      </c>
      <c r="F913">
        <v>0</v>
      </c>
      <c r="G913">
        <v>142.19999999999999</v>
      </c>
      <c r="H913">
        <v>10665</v>
      </c>
      <c r="I913" t="s">
        <v>1242</v>
      </c>
      <c r="J913">
        <v>0</v>
      </c>
      <c r="K913">
        <v>3.79</v>
      </c>
      <c r="L913">
        <v>0.65</v>
      </c>
      <c r="M913">
        <v>0.01</v>
      </c>
      <c r="N913">
        <v>20</v>
      </c>
      <c r="O913">
        <v>4.28</v>
      </c>
      <c r="P913">
        <v>28.73</v>
      </c>
      <c r="Q913">
        <f t="shared" si="140"/>
        <v>2025</v>
      </c>
      <c r="R913">
        <f t="shared" si="141"/>
        <v>2</v>
      </c>
      <c r="S913">
        <f t="shared" si="142"/>
        <v>2024</v>
      </c>
      <c r="T913">
        <f t="shared" si="143"/>
        <v>11</v>
      </c>
      <c r="U913">
        <f t="shared" si="144"/>
        <v>11</v>
      </c>
      <c r="V913" t="str">
        <f t="shared" si="145"/>
        <v>202411</v>
      </c>
      <c r="W913" t="str">
        <f t="shared" si="146"/>
        <v>Feb-25</v>
      </c>
      <c r="X913" s="3">
        <f t="shared" si="147"/>
        <v>-10693.73</v>
      </c>
      <c r="Y913" t="str">
        <f t="shared" si="148"/>
        <v/>
      </c>
      <c r="Z913">
        <f t="shared" si="149"/>
        <v>-10693.73</v>
      </c>
    </row>
    <row r="914" spans="1:26" x14ac:dyDescent="0.25">
      <c r="A914" s="1">
        <v>45706</v>
      </c>
      <c r="B914" t="s">
        <v>1240</v>
      </c>
      <c r="C914" t="s">
        <v>17</v>
      </c>
      <c r="D914" t="s">
        <v>22</v>
      </c>
      <c r="E914">
        <v>75</v>
      </c>
      <c r="F914">
        <v>0</v>
      </c>
      <c r="G914">
        <v>145.55000000000001</v>
      </c>
      <c r="H914">
        <v>10916.25</v>
      </c>
      <c r="I914" t="s">
        <v>1243</v>
      </c>
      <c r="J914">
        <v>0</v>
      </c>
      <c r="K914">
        <v>3.88</v>
      </c>
      <c r="L914">
        <v>0</v>
      </c>
      <c r="M914">
        <v>0.01</v>
      </c>
      <c r="N914">
        <v>20</v>
      </c>
      <c r="O914">
        <v>4.3</v>
      </c>
      <c r="P914">
        <v>28.19</v>
      </c>
      <c r="Q914">
        <f t="shared" si="140"/>
        <v>2025</v>
      </c>
      <c r="R914">
        <f t="shared" si="141"/>
        <v>2</v>
      </c>
      <c r="S914">
        <f t="shared" si="142"/>
        <v>2024</v>
      </c>
      <c r="T914">
        <f t="shared" si="143"/>
        <v>11</v>
      </c>
      <c r="U914">
        <f t="shared" si="144"/>
        <v>11</v>
      </c>
      <c r="V914" t="str">
        <f t="shared" si="145"/>
        <v>202411</v>
      </c>
      <c r="W914" t="str">
        <f t="shared" si="146"/>
        <v>Feb-25</v>
      </c>
      <c r="X914" s="3">
        <f t="shared" si="147"/>
        <v>-10944.44</v>
      </c>
      <c r="Y914" t="str">
        <f t="shared" si="148"/>
        <v/>
      </c>
      <c r="Z914">
        <f t="shared" si="149"/>
        <v>-10944.44</v>
      </c>
    </row>
    <row r="915" spans="1:26" x14ac:dyDescent="0.25">
      <c r="A915" s="1">
        <v>45706</v>
      </c>
      <c r="B915" t="s">
        <v>1244</v>
      </c>
      <c r="C915" t="s">
        <v>17</v>
      </c>
      <c r="D915" t="s">
        <v>18</v>
      </c>
      <c r="E915">
        <v>150</v>
      </c>
      <c r="F915">
        <v>0</v>
      </c>
      <c r="G915">
        <v>174.25</v>
      </c>
      <c r="H915">
        <v>26137.5</v>
      </c>
      <c r="I915" t="s">
        <v>1245</v>
      </c>
      <c r="J915">
        <v>26.14</v>
      </c>
      <c r="K915">
        <v>9.2799999999999994</v>
      </c>
      <c r="L915">
        <v>0</v>
      </c>
      <c r="M915">
        <v>0.02</v>
      </c>
      <c r="N915">
        <v>40</v>
      </c>
      <c r="O915">
        <v>8.8800000000000008</v>
      </c>
      <c r="P915">
        <v>84.32</v>
      </c>
      <c r="Q915">
        <f t="shared" si="140"/>
        <v>2025</v>
      </c>
      <c r="R915">
        <f t="shared" si="141"/>
        <v>2</v>
      </c>
      <c r="S915">
        <f t="shared" si="142"/>
        <v>2024</v>
      </c>
      <c r="T915">
        <f t="shared" si="143"/>
        <v>11</v>
      </c>
      <c r="U915">
        <f t="shared" si="144"/>
        <v>11</v>
      </c>
      <c r="V915" t="str">
        <f t="shared" si="145"/>
        <v>202411</v>
      </c>
      <c r="W915" t="str">
        <f t="shared" si="146"/>
        <v>Feb-25</v>
      </c>
      <c r="X915" s="3">
        <f t="shared" si="147"/>
        <v>26053.18</v>
      </c>
      <c r="Y915">
        <f t="shared" si="148"/>
        <v>26053.18</v>
      </c>
      <c r="Z915" t="str">
        <f t="shared" si="149"/>
        <v/>
      </c>
    </row>
    <row r="916" spans="1:26" x14ac:dyDescent="0.25">
      <c r="A916" s="1">
        <v>45706</v>
      </c>
      <c r="B916" t="s">
        <v>1244</v>
      </c>
      <c r="C916" t="s">
        <v>17</v>
      </c>
      <c r="D916" t="s">
        <v>22</v>
      </c>
      <c r="E916">
        <v>150</v>
      </c>
      <c r="F916">
        <v>0</v>
      </c>
      <c r="G916">
        <v>154.25</v>
      </c>
      <c r="H916">
        <v>23137.5</v>
      </c>
      <c r="I916" t="s">
        <v>1246</v>
      </c>
      <c r="J916">
        <v>0</v>
      </c>
      <c r="K916">
        <v>8.2200000000000006</v>
      </c>
      <c r="L916">
        <v>0.69</v>
      </c>
      <c r="M916">
        <v>0.02</v>
      </c>
      <c r="N916">
        <v>40</v>
      </c>
      <c r="O916">
        <v>8.68</v>
      </c>
      <c r="P916">
        <v>57.61</v>
      </c>
      <c r="Q916">
        <f t="shared" si="140"/>
        <v>2025</v>
      </c>
      <c r="R916">
        <f t="shared" si="141"/>
        <v>2</v>
      </c>
      <c r="S916">
        <f t="shared" si="142"/>
        <v>2024</v>
      </c>
      <c r="T916">
        <f t="shared" si="143"/>
        <v>11</v>
      </c>
      <c r="U916">
        <f t="shared" si="144"/>
        <v>11</v>
      </c>
      <c r="V916" t="str">
        <f t="shared" si="145"/>
        <v>202411</v>
      </c>
      <c r="W916" t="str">
        <f t="shared" si="146"/>
        <v>Feb-25</v>
      </c>
      <c r="X916" s="3">
        <f t="shared" si="147"/>
        <v>-23195.11</v>
      </c>
      <c r="Y916" t="str">
        <f t="shared" si="148"/>
        <v/>
      </c>
      <c r="Z916">
        <f t="shared" si="149"/>
        <v>-23195.11</v>
      </c>
    </row>
    <row r="917" spans="1:26" x14ac:dyDescent="0.25">
      <c r="A917" s="1">
        <v>45706</v>
      </c>
      <c r="B917" t="s">
        <v>1232</v>
      </c>
      <c r="C917" t="s">
        <v>17</v>
      </c>
      <c r="D917" t="s">
        <v>18</v>
      </c>
      <c r="E917">
        <v>150</v>
      </c>
      <c r="F917">
        <v>0</v>
      </c>
      <c r="G917">
        <v>137</v>
      </c>
      <c r="H917">
        <v>20550</v>
      </c>
      <c r="I917" t="s">
        <v>1247</v>
      </c>
      <c r="J917">
        <v>20.69</v>
      </c>
      <c r="K917">
        <v>7.3</v>
      </c>
      <c r="L917">
        <v>0</v>
      </c>
      <c r="M917">
        <v>0.02</v>
      </c>
      <c r="N917">
        <v>40</v>
      </c>
      <c r="O917">
        <v>8.52</v>
      </c>
      <c r="P917">
        <v>76.53</v>
      </c>
      <c r="Q917">
        <f t="shared" si="140"/>
        <v>2025</v>
      </c>
      <c r="R917">
        <f t="shared" si="141"/>
        <v>2</v>
      </c>
      <c r="S917">
        <f t="shared" si="142"/>
        <v>2024</v>
      </c>
      <c r="T917">
        <f t="shared" si="143"/>
        <v>11</v>
      </c>
      <c r="U917">
        <f t="shared" si="144"/>
        <v>11</v>
      </c>
      <c r="V917" t="str">
        <f t="shared" si="145"/>
        <v>202411</v>
      </c>
      <c r="W917" t="str">
        <f t="shared" si="146"/>
        <v>Feb-25</v>
      </c>
      <c r="X917" s="3">
        <f t="shared" si="147"/>
        <v>20473.47</v>
      </c>
      <c r="Y917">
        <f t="shared" si="148"/>
        <v>20473.47</v>
      </c>
      <c r="Z917" t="str">
        <f t="shared" si="149"/>
        <v/>
      </c>
    </row>
    <row r="918" spans="1:26" x14ac:dyDescent="0.25">
      <c r="A918" s="1">
        <v>45706</v>
      </c>
      <c r="B918" t="s">
        <v>1232</v>
      </c>
      <c r="C918" t="s">
        <v>17</v>
      </c>
      <c r="D918" t="s">
        <v>22</v>
      </c>
      <c r="E918">
        <v>150</v>
      </c>
      <c r="F918">
        <v>0</v>
      </c>
      <c r="G918">
        <v>142.19999999999999</v>
      </c>
      <c r="H918">
        <v>21330</v>
      </c>
      <c r="I918" t="s">
        <v>1248</v>
      </c>
      <c r="J918">
        <v>0</v>
      </c>
      <c r="K918">
        <v>7.58</v>
      </c>
      <c r="L918">
        <v>0</v>
      </c>
      <c r="M918">
        <v>0.02</v>
      </c>
      <c r="N918">
        <v>40</v>
      </c>
      <c r="O918">
        <v>8.56</v>
      </c>
      <c r="P918">
        <v>56.16</v>
      </c>
      <c r="Q918">
        <f t="shared" si="140"/>
        <v>2025</v>
      </c>
      <c r="R918">
        <f t="shared" si="141"/>
        <v>2</v>
      </c>
      <c r="S918">
        <f t="shared" si="142"/>
        <v>2024</v>
      </c>
      <c r="T918">
        <f t="shared" si="143"/>
        <v>11</v>
      </c>
      <c r="U918">
        <f t="shared" si="144"/>
        <v>11</v>
      </c>
      <c r="V918" t="str">
        <f t="shared" si="145"/>
        <v>202411</v>
      </c>
      <c r="W918" t="str">
        <f t="shared" si="146"/>
        <v>Feb-25</v>
      </c>
      <c r="X918" s="3">
        <f t="shared" si="147"/>
        <v>-21386.16</v>
      </c>
      <c r="Y918" t="str">
        <f t="shared" si="148"/>
        <v/>
      </c>
      <c r="Z918">
        <f t="shared" si="149"/>
        <v>-21386.16</v>
      </c>
    </row>
    <row r="919" spans="1:26" x14ac:dyDescent="0.25">
      <c r="A919" s="1">
        <v>45706</v>
      </c>
      <c r="B919" t="s">
        <v>1232</v>
      </c>
      <c r="C919" t="s">
        <v>17</v>
      </c>
      <c r="D919" t="s">
        <v>18</v>
      </c>
      <c r="E919">
        <v>150</v>
      </c>
      <c r="F919">
        <v>0</v>
      </c>
      <c r="G919">
        <v>137.44999999999999</v>
      </c>
      <c r="H919">
        <v>20617.5</v>
      </c>
      <c r="I919" t="s">
        <v>1249</v>
      </c>
      <c r="J919">
        <v>20.62</v>
      </c>
      <c r="K919">
        <v>7.32</v>
      </c>
      <c r="L919">
        <v>0</v>
      </c>
      <c r="M919">
        <v>0.02</v>
      </c>
      <c r="N919">
        <v>40</v>
      </c>
      <c r="O919">
        <v>8.52</v>
      </c>
      <c r="P919">
        <v>76.48</v>
      </c>
      <c r="Q919">
        <f t="shared" si="140"/>
        <v>2025</v>
      </c>
      <c r="R919">
        <f t="shared" si="141"/>
        <v>2</v>
      </c>
      <c r="S919">
        <f t="shared" si="142"/>
        <v>2024</v>
      </c>
      <c r="T919">
        <f t="shared" si="143"/>
        <v>11</v>
      </c>
      <c r="U919">
        <f t="shared" si="144"/>
        <v>11</v>
      </c>
      <c r="V919" t="str">
        <f t="shared" si="145"/>
        <v>202411</v>
      </c>
      <c r="W919" t="str">
        <f t="shared" si="146"/>
        <v>Feb-25</v>
      </c>
      <c r="X919" s="3">
        <f t="shared" si="147"/>
        <v>20541.02</v>
      </c>
      <c r="Y919">
        <f t="shared" si="148"/>
        <v>20541.02</v>
      </c>
      <c r="Z919" t="str">
        <f t="shared" si="149"/>
        <v/>
      </c>
    </row>
    <row r="920" spans="1:26" x14ac:dyDescent="0.25">
      <c r="A920" s="1">
        <v>45706</v>
      </c>
      <c r="B920" t="s">
        <v>1232</v>
      </c>
      <c r="C920" t="s">
        <v>17</v>
      </c>
      <c r="D920" t="s">
        <v>22</v>
      </c>
      <c r="E920">
        <v>75</v>
      </c>
      <c r="F920">
        <v>0</v>
      </c>
      <c r="G920">
        <v>129.80000000000001</v>
      </c>
      <c r="H920">
        <v>9735</v>
      </c>
      <c r="I920" t="s">
        <v>1250</v>
      </c>
      <c r="J920">
        <v>0</v>
      </c>
      <c r="K920">
        <v>3.46</v>
      </c>
      <c r="L920">
        <v>2.0699999999999998</v>
      </c>
      <c r="M920">
        <v>0.01</v>
      </c>
      <c r="N920">
        <v>20</v>
      </c>
      <c r="O920">
        <v>4.22</v>
      </c>
      <c r="P920">
        <v>29.76</v>
      </c>
      <c r="Q920">
        <f t="shared" si="140"/>
        <v>2025</v>
      </c>
      <c r="R920">
        <f t="shared" si="141"/>
        <v>2</v>
      </c>
      <c r="S920">
        <f t="shared" si="142"/>
        <v>2024</v>
      </c>
      <c r="T920">
        <f t="shared" si="143"/>
        <v>11</v>
      </c>
      <c r="U920">
        <f t="shared" si="144"/>
        <v>11</v>
      </c>
      <c r="V920" t="str">
        <f t="shared" si="145"/>
        <v>202411</v>
      </c>
      <c r="W920" t="str">
        <f t="shared" si="146"/>
        <v>Feb-25</v>
      </c>
      <c r="X920" s="3">
        <f t="shared" si="147"/>
        <v>-9764.76</v>
      </c>
      <c r="Y920" t="str">
        <f t="shared" si="148"/>
        <v/>
      </c>
      <c r="Z920">
        <f t="shared" si="149"/>
        <v>-9764.76</v>
      </c>
    </row>
    <row r="921" spans="1:26" x14ac:dyDescent="0.25">
      <c r="A921" s="1">
        <v>45706</v>
      </c>
      <c r="B921" t="s">
        <v>1232</v>
      </c>
      <c r="C921" t="s">
        <v>17</v>
      </c>
      <c r="D921" t="s">
        <v>22</v>
      </c>
      <c r="E921">
        <v>75</v>
      </c>
      <c r="F921">
        <v>0</v>
      </c>
      <c r="G921">
        <v>132.75</v>
      </c>
      <c r="H921">
        <v>9956.25</v>
      </c>
      <c r="I921" t="s">
        <v>1251</v>
      </c>
      <c r="J921">
        <v>0</v>
      </c>
      <c r="K921">
        <v>3.54</v>
      </c>
      <c r="L921">
        <v>0</v>
      </c>
      <c r="M921">
        <v>0.01</v>
      </c>
      <c r="N921">
        <v>20</v>
      </c>
      <c r="O921">
        <v>4.24</v>
      </c>
      <c r="P921">
        <v>27.79</v>
      </c>
      <c r="Q921">
        <f t="shared" si="140"/>
        <v>2025</v>
      </c>
      <c r="R921">
        <f t="shared" si="141"/>
        <v>2</v>
      </c>
      <c r="S921">
        <f t="shared" si="142"/>
        <v>2024</v>
      </c>
      <c r="T921">
        <f t="shared" si="143"/>
        <v>11</v>
      </c>
      <c r="U921">
        <f t="shared" si="144"/>
        <v>11</v>
      </c>
      <c r="V921" t="str">
        <f t="shared" si="145"/>
        <v>202411</v>
      </c>
      <c r="W921" t="str">
        <f t="shared" si="146"/>
        <v>Feb-25</v>
      </c>
      <c r="X921" s="3">
        <f t="shared" si="147"/>
        <v>-9984.0400000000009</v>
      </c>
      <c r="Y921" t="str">
        <f t="shared" si="148"/>
        <v/>
      </c>
      <c r="Z921">
        <f t="shared" si="149"/>
        <v>-9984.0400000000009</v>
      </c>
    </row>
    <row r="922" spans="1:26" x14ac:dyDescent="0.25">
      <c r="A922" s="1">
        <v>45707</v>
      </c>
      <c r="B922" t="s">
        <v>1232</v>
      </c>
      <c r="C922" t="s">
        <v>17</v>
      </c>
      <c r="D922" t="s">
        <v>18</v>
      </c>
      <c r="E922">
        <v>150</v>
      </c>
      <c r="F922">
        <v>0</v>
      </c>
      <c r="G922">
        <v>129.25</v>
      </c>
      <c r="H922">
        <v>19387.5</v>
      </c>
      <c r="I922" t="s">
        <v>1252</v>
      </c>
      <c r="J922">
        <v>19.39</v>
      </c>
      <c r="K922">
        <v>6.89</v>
      </c>
      <c r="L922">
        <v>0</v>
      </c>
      <c r="M922">
        <v>0.02</v>
      </c>
      <c r="N922">
        <v>40</v>
      </c>
      <c r="O922">
        <v>8.44</v>
      </c>
      <c r="P922">
        <v>74.739999999999995</v>
      </c>
      <c r="Q922">
        <f t="shared" si="140"/>
        <v>2025</v>
      </c>
      <c r="R922">
        <f t="shared" si="141"/>
        <v>2</v>
      </c>
      <c r="S922">
        <f t="shared" si="142"/>
        <v>2024</v>
      </c>
      <c r="T922">
        <f t="shared" si="143"/>
        <v>11</v>
      </c>
      <c r="U922">
        <f t="shared" si="144"/>
        <v>11</v>
      </c>
      <c r="V922" t="str">
        <f t="shared" si="145"/>
        <v>202411</v>
      </c>
      <c r="W922" t="str">
        <f t="shared" si="146"/>
        <v>Feb-25</v>
      </c>
      <c r="X922" s="3">
        <f t="shared" si="147"/>
        <v>19312.759999999998</v>
      </c>
      <c r="Y922">
        <f t="shared" si="148"/>
        <v>19312.759999999998</v>
      </c>
      <c r="Z922" t="str">
        <f t="shared" si="149"/>
        <v/>
      </c>
    </row>
    <row r="923" spans="1:26" x14ac:dyDescent="0.25">
      <c r="A923" s="1">
        <v>45707</v>
      </c>
      <c r="B923" t="s">
        <v>1232</v>
      </c>
      <c r="C923" t="s">
        <v>17</v>
      </c>
      <c r="D923" t="s">
        <v>22</v>
      </c>
      <c r="E923">
        <v>150</v>
      </c>
      <c r="F923">
        <v>0</v>
      </c>
      <c r="G923">
        <v>117</v>
      </c>
      <c r="H923">
        <v>17550</v>
      </c>
      <c r="I923" t="s">
        <v>1253</v>
      </c>
      <c r="J923">
        <v>0</v>
      </c>
      <c r="K923">
        <v>6.24</v>
      </c>
      <c r="L923">
        <v>0</v>
      </c>
      <c r="M923">
        <v>0.02</v>
      </c>
      <c r="N923">
        <v>40</v>
      </c>
      <c r="O923">
        <v>8.32</v>
      </c>
      <c r="P923">
        <v>54.58</v>
      </c>
      <c r="Q923">
        <f t="shared" si="140"/>
        <v>2025</v>
      </c>
      <c r="R923">
        <f t="shared" si="141"/>
        <v>2</v>
      </c>
      <c r="S923">
        <f t="shared" si="142"/>
        <v>2024</v>
      </c>
      <c r="T923">
        <f t="shared" si="143"/>
        <v>11</v>
      </c>
      <c r="U923">
        <f t="shared" si="144"/>
        <v>11</v>
      </c>
      <c r="V923" t="str">
        <f t="shared" si="145"/>
        <v>202411</v>
      </c>
      <c r="W923" t="str">
        <f t="shared" si="146"/>
        <v>Feb-25</v>
      </c>
      <c r="X923" s="3">
        <f t="shared" si="147"/>
        <v>-17604.580000000002</v>
      </c>
      <c r="Y923" t="str">
        <f t="shared" si="148"/>
        <v/>
      </c>
      <c r="Z923">
        <f t="shared" si="149"/>
        <v>-17604.580000000002</v>
      </c>
    </row>
    <row r="924" spans="1:26" x14ac:dyDescent="0.25">
      <c r="A924" s="1">
        <v>45707</v>
      </c>
      <c r="B924" t="s">
        <v>1232</v>
      </c>
      <c r="C924" t="s">
        <v>17</v>
      </c>
      <c r="D924" t="s">
        <v>18</v>
      </c>
      <c r="E924">
        <v>225</v>
      </c>
      <c r="F924">
        <v>0</v>
      </c>
      <c r="G924">
        <v>115.9</v>
      </c>
      <c r="H924">
        <v>26077.5</v>
      </c>
      <c r="I924" t="s">
        <v>1254</v>
      </c>
      <c r="J924">
        <v>26.08</v>
      </c>
      <c r="K924">
        <v>9.27</v>
      </c>
      <c r="L924">
        <v>0</v>
      </c>
      <c r="M924">
        <v>0.03</v>
      </c>
      <c r="N924">
        <v>60</v>
      </c>
      <c r="O924">
        <v>12.48</v>
      </c>
      <c r="P924">
        <v>107.86</v>
      </c>
      <c r="Q924">
        <f t="shared" si="140"/>
        <v>2025</v>
      </c>
      <c r="R924">
        <f t="shared" si="141"/>
        <v>2</v>
      </c>
      <c r="S924">
        <f t="shared" si="142"/>
        <v>2024</v>
      </c>
      <c r="T924">
        <f t="shared" si="143"/>
        <v>11</v>
      </c>
      <c r="U924">
        <f t="shared" si="144"/>
        <v>11</v>
      </c>
      <c r="V924" t="str">
        <f t="shared" si="145"/>
        <v>202411</v>
      </c>
      <c r="W924" t="str">
        <f t="shared" si="146"/>
        <v>Feb-25</v>
      </c>
      <c r="X924" s="3">
        <f t="shared" si="147"/>
        <v>25969.64</v>
      </c>
      <c r="Y924">
        <f t="shared" si="148"/>
        <v>25969.64</v>
      </c>
      <c r="Z924" t="str">
        <f t="shared" si="149"/>
        <v/>
      </c>
    </row>
    <row r="925" spans="1:26" x14ac:dyDescent="0.25">
      <c r="A925" s="1">
        <v>45707</v>
      </c>
      <c r="B925" t="s">
        <v>1232</v>
      </c>
      <c r="C925" t="s">
        <v>17</v>
      </c>
      <c r="D925" t="s">
        <v>22</v>
      </c>
      <c r="E925">
        <v>225</v>
      </c>
      <c r="F925">
        <v>0</v>
      </c>
      <c r="G925">
        <v>110.25</v>
      </c>
      <c r="H925">
        <v>24806.25</v>
      </c>
      <c r="I925" t="s">
        <v>1255</v>
      </c>
      <c r="J925">
        <v>0</v>
      </c>
      <c r="K925">
        <v>8.82</v>
      </c>
      <c r="L925">
        <v>0</v>
      </c>
      <c r="M925">
        <v>0.03</v>
      </c>
      <c r="N925">
        <v>60</v>
      </c>
      <c r="O925">
        <v>12.4</v>
      </c>
      <c r="P925">
        <v>81.25</v>
      </c>
      <c r="Q925">
        <f t="shared" si="140"/>
        <v>2025</v>
      </c>
      <c r="R925">
        <f t="shared" si="141"/>
        <v>2</v>
      </c>
      <c r="S925">
        <f t="shared" si="142"/>
        <v>2024</v>
      </c>
      <c r="T925">
        <f t="shared" si="143"/>
        <v>11</v>
      </c>
      <c r="U925">
        <f t="shared" si="144"/>
        <v>11</v>
      </c>
      <c r="V925" t="str">
        <f t="shared" si="145"/>
        <v>202411</v>
      </c>
      <c r="W925" t="str">
        <f t="shared" si="146"/>
        <v>Feb-25</v>
      </c>
      <c r="X925" s="3">
        <f t="shared" si="147"/>
        <v>-24887.5</v>
      </c>
      <c r="Y925" t="str">
        <f t="shared" si="148"/>
        <v/>
      </c>
      <c r="Z925">
        <f t="shared" si="149"/>
        <v>-24887.5</v>
      </c>
    </row>
    <row r="926" spans="1:26" x14ac:dyDescent="0.25">
      <c r="A926" s="1">
        <v>45707</v>
      </c>
      <c r="B926" t="s">
        <v>1232</v>
      </c>
      <c r="C926" t="s">
        <v>17</v>
      </c>
      <c r="D926" t="s">
        <v>18</v>
      </c>
      <c r="E926">
        <v>225</v>
      </c>
      <c r="F926">
        <v>0</v>
      </c>
      <c r="G926">
        <v>107.35</v>
      </c>
      <c r="H926">
        <v>24153.75</v>
      </c>
      <c r="I926" t="s">
        <v>1256</v>
      </c>
      <c r="J926">
        <v>24.15</v>
      </c>
      <c r="K926">
        <v>8.58</v>
      </c>
      <c r="L926">
        <v>0</v>
      </c>
      <c r="M926">
        <v>0.02</v>
      </c>
      <c r="N926">
        <v>60</v>
      </c>
      <c r="O926">
        <v>12.34</v>
      </c>
      <c r="P926">
        <v>105.09</v>
      </c>
      <c r="Q926">
        <f t="shared" si="140"/>
        <v>2025</v>
      </c>
      <c r="R926">
        <f t="shared" si="141"/>
        <v>2</v>
      </c>
      <c r="S926">
        <f t="shared" si="142"/>
        <v>2024</v>
      </c>
      <c r="T926">
        <f t="shared" si="143"/>
        <v>11</v>
      </c>
      <c r="U926">
        <f t="shared" si="144"/>
        <v>11</v>
      </c>
      <c r="V926" t="str">
        <f t="shared" si="145"/>
        <v>202411</v>
      </c>
      <c r="W926" t="str">
        <f t="shared" si="146"/>
        <v>Feb-25</v>
      </c>
      <c r="X926" s="3">
        <f t="shared" si="147"/>
        <v>24048.66</v>
      </c>
      <c r="Y926">
        <f t="shared" si="148"/>
        <v>24048.66</v>
      </c>
      <c r="Z926" t="str">
        <f t="shared" si="149"/>
        <v/>
      </c>
    </row>
    <row r="927" spans="1:26" x14ac:dyDescent="0.25">
      <c r="A927" s="1">
        <v>45707</v>
      </c>
      <c r="B927" t="s">
        <v>1232</v>
      </c>
      <c r="C927" t="s">
        <v>17</v>
      </c>
      <c r="D927" t="s">
        <v>22</v>
      </c>
      <c r="E927">
        <v>75</v>
      </c>
      <c r="F927">
        <v>0</v>
      </c>
      <c r="G927">
        <v>112.55</v>
      </c>
      <c r="H927">
        <v>8441.25</v>
      </c>
      <c r="I927" t="s">
        <v>1257</v>
      </c>
      <c r="J927">
        <v>0</v>
      </c>
      <c r="K927">
        <v>3</v>
      </c>
      <c r="L927">
        <v>0</v>
      </c>
      <c r="M927">
        <v>0.01</v>
      </c>
      <c r="N927">
        <v>20</v>
      </c>
      <c r="O927">
        <v>4.1399999999999997</v>
      </c>
      <c r="P927">
        <v>27.15</v>
      </c>
      <c r="Q927">
        <f t="shared" si="140"/>
        <v>2025</v>
      </c>
      <c r="R927">
        <f t="shared" si="141"/>
        <v>2</v>
      </c>
      <c r="S927">
        <f t="shared" si="142"/>
        <v>2024</v>
      </c>
      <c r="T927">
        <f t="shared" si="143"/>
        <v>11</v>
      </c>
      <c r="U927">
        <f t="shared" si="144"/>
        <v>11</v>
      </c>
      <c r="V927" t="str">
        <f t="shared" si="145"/>
        <v>202411</v>
      </c>
      <c r="W927" t="str">
        <f t="shared" si="146"/>
        <v>Feb-25</v>
      </c>
      <c r="X927" s="3">
        <f t="shared" si="147"/>
        <v>-8468.4</v>
      </c>
      <c r="Y927" t="str">
        <f t="shared" si="148"/>
        <v/>
      </c>
      <c r="Z927">
        <f t="shared" si="149"/>
        <v>-8468.4</v>
      </c>
    </row>
    <row r="928" spans="1:26" x14ac:dyDescent="0.25">
      <c r="A928" s="1">
        <v>45707</v>
      </c>
      <c r="B928" t="s">
        <v>1232</v>
      </c>
      <c r="C928" t="s">
        <v>17</v>
      </c>
      <c r="D928" t="s">
        <v>22</v>
      </c>
      <c r="E928">
        <v>150</v>
      </c>
      <c r="F928">
        <v>0</v>
      </c>
      <c r="G928">
        <v>118.95</v>
      </c>
      <c r="H928">
        <v>17842.5</v>
      </c>
      <c r="I928" t="s">
        <v>1258</v>
      </c>
      <c r="J928">
        <v>0</v>
      </c>
      <c r="K928">
        <v>6.34</v>
      </c>
      <c r="L928">
        <v>1.83</v>
      </c>
      <c r="M928">
        <v>0.02</v>
      </c>
      <c r="N928">
        <v>40</v>
      </c>
      <c r="O928">
        <v>8.34</v>
      </c>
      <c r="P928">
        <v>56.53</v>
      </c>
      <c r="Q928">
        <f t="shared" si="140"/>
        <v>2025</v>
      </c>
      <c r="R928">
        <f t="shared" si="141"/>
        <v>2</v>
      </c>
      <c r="S928">
        <f t="shared" si="142"/>
        <v>2024</v>
      </c>
      <c r="T928">
        <f t="shared" si="143"/>
        <v>11</v>
      </c>
      <c r="U928">
        <f t="shared" si="144"/>
        <v>11</v>
      </c>
      <c r="V928" t="str">
        <f t="shared" si="145"/>
        <v>202411</v>
      </c>
      <c r="W928" t="str">
        <f t="shared" si="146"/>
        <v>Feb-25</v>
      </c>
      <c r="X928" s="3">
        <f t="shared" si="147"/>
        <v>-17899.03</v>
      </c>
      <c r="Y928" t="str">
        <f t="shared" si="148"/>
        <v/>
      </c>
      <c r="Z928">
        <f t="shared" si="149"/>
        <v>-17899.03</v>
      </c>
    </row>
    <row r="929" spans="1:26" x14ac:dyDescent="0.25">
      <c r="A929" s="1">
        <v>45707</v>
      </c>
      <c r="B929" t="s">
        <v>1244</v>
      </c>
      <c r="C929" t="s">
        <v>17</v>
      </c>
      <c r="D929" t="s">
        <v>18</v>
      </c>
      <c r="E929">
        <v>225</v>
      </c>
      <c r="F929">
        <v>0</v>
      </c>
      <c r="G929">
        <v>90</v>
      </c>
      <c r="H929">
        <v>20250</v>
      </c>
      <c r="I929" t="s">
        <v>1259</v>
      </c>
      <c r="J929">
        <v>20.25</v>
      </c>
      <c r="K929">
        <v>7.19</v>
      </c>
      <c r="L929">
        <v>0</v>
      </c>
      <c r="M929">
        <v>0.02</v>
      </c>
      <c r="N929">
        <v>60</v>
      </c>
      <c r="O929">
        <v>12.1</v>
      </c>
      <c r="P929">
        <v>99.56</v>
      </c>
      <c r="Q929">
        <f t="shared" si="140"/>
        <v>2025</v>
      </c>
      <c r="R929">
        <f t="shared" si="141"/>
        <v>2</v>
      </c>
      <c r="S929">
        <f t="shared" si="142"/>
        <v>2024</v>
      </c>
      <c r="T929">
        <f t="shared" si="143"/>
        <v>11</v>
      </c>
      <c r="U929">
        <f t="shared" si="144"/>
        <v>11</v>
      </c>
      <c r="V929" t="str">
        <f t="shared" si="145"/>
        <v>202411</v>
      </c>
      <c r="W929" t="str">
        <f t="shared" si="146"/>
        <v>Feb-25</v>
      </c>
      <c r="X929" s="3">
        <f t="shared" si="147"/>
        <v>20150.439999999999</v>
      </c>
      <c r="Y929">
        <f t="shared" si="148"/>
        <v>20150.439999999999</v>
      </c>
      <c r="Z929" t="str">
        <f t="shared" si="149"/>
        <v/>
      </c>
    </row>
    <row r="930" spans="1:26" x14ac:dyDescent="0.25">
      <c r="A930" s="1">
        <v>45707</v>
      </c>
      <c r="B930" t="s">
        <v>1244</v>
      </c>
      <c r="C930" t="s">
        <v>17</v>
      </c>
      <c r="D930" t="s">
        <v>22</v>
      </c>
      <c r="E930">
        <v>225</v>
      </c>
      <c r="F930">
        <v>0</v>
      </c>
      <c r="G930">
        <v>94</v>
      </c>
      <c r="H930">
        <v>21150</v>
      </c>
      <c r="I930" t="s">
        <v>1260</v>
      </c>
      <c r="J930">
        <v>0</v>
      </c>
      <c r="K930">
        <v>7.51</v>
      </c>
      <c r="L930">
        <v>0.63</v>
      </c>
      <c r="M930">
        <v>0.02</v>
      </c>
      <c r="N930">
        <v>60</v>
      </c>
      <c r="O930">
        <v>12.16</v>
      </c>
      <c r="P930">
        <v>80.319999999999993</v>
      </c>
      <c r="Q930">
        <f t="shared" si="140"/>
        <v>2025</v>
      </c>
      <c r="R930">
        <f t="shared" si="141"/>
        <v>2</v>
      </c>
      <c r="S930">
        <f t="shared" si="142"/>
        <v>2024</v>
      </c>
      <c r="T930">
        <f t="shared" si="143"/>
        <v>11</v>
      </c>
      <c r="U930">
        <f t="shared" si="144"/>
        <v>11</v>
      </c>
      <c r="V930" t="str">
        <f t="shared" si="145"/>
        <v>202411</v>
      </c>
      <c r="W930" t="str">
        <f t="shared" si="146"/>
        <v>Feb-25</v>
      </c>
      <c r="X930" s="3">
        <f t="shared" si="147"/>
        <v>-21230.32</v>
      </c>
      <c r="Y930" t="str">
        <f t="shared" si="148"/>
        <v/>
      </c>
      <c r="Z930">
        <f t="shared" si="149"/>
        <v>-21230.32</v>
      </c>
    </row>
    <row r="931" spans="1:26" x14ac:dyDescent="0.25">
      <c r="A931" s="1">
        <v>45707</v>
      </c>
      <c r="B931" t="s">
        <v>1221</v>
      </c>
      <c r="C931" t="s">
        <v>17</v>
      </c>
      <c r="D931" t="s">
        <v>18</v>
      </c>
      <c r="E931">
        <v>150</v>
      </c>
      <c r="F931">
        <v>0</v>
      </c>
      <c r="G931">
        <v>139</v>
      </c>
      <c r="H931">
        <v>20850</v>
      </c>
      <c r="I931" t="s">
        <v>1261</v>
      </c>
      <c r="J931">
        <v>21.13</v>
      </c>
      <c r="K931">
        <v>7.41</v>
      </c>
      <c r="L931">
        <v>0</v>
      </c>
      <c r="M931">
        <v>0.02</v>
      </c>
      <c r="N931">
        <v>40</v>
      </c>
      <c r="O931">
        <v>8.5399999999999991</v>
      </c>
      <c r="P931">
        <v>77.099999999999994</v>
      </c>
      <c r="Q931">
        <f t="shared" si="140"/>
        <v>2025</v>
      </c>
      <c r="R931">
        <f t="shared" si="141"/>
        <v>2</v>
      </c>
      <c r="S931">
        <f t="shared" si="142"/>
        <v>2024</v>
      </c>
      <c r="T931">
        <f t="shared" si="143"/>
        <v>11</v>
      </c>
      <c r="U931">
        <f t="shared" si="144"/>
        <v>11</v>
      </c>
      <c r="V931" t="str">
        <f t="shared" si="145"/>
        <v>202411</v>
      </c>
      <c r="W931" t="str">
        <f t="shared" si="146"/>
        <v>Feb-25</v>
      </c>
      <c r="X931" s="3">
        <f t="shared" si="147"/>
        <v>20772.900000000001</v>
      </c>
      <c r="Y931">
        <f t="shared" si="148"/>
        <v>20772.900000000001</v>
      </c>
      <c r="Z931" t="str">
        <f t="shared" si="149"/>
        <v/>
      </c>
    </row>
    <row r="932" spans="1:26" x14ac:dyDescent="0.25">
      <c r="A932" s="1">
        <v>45707</v>
      </c>
      <c r="B932" t="s">
        <v>1221</v>
      </c>
      <c r="C932" t="s">
        <v>17</v>
      </c>
      <c r="D932" t="s">
        <v>22</v>
      </c>
      <c r="E932">
        <v>150</v>
      </c>
      <c r="F932">
        <v>0</v>
      </c>
      <c r="G932">
        <v>120.55</v>
      </c>
      <c r="H932">
        <v>18082.5</v>
      </c>
      <c r="I932" t="s">
        <v>1262</v>
      </c>
      <c r="J932">
        <v>0</v>
      </c>
      <c r="K932">
        <v>6.42</v>
      </c>
      <c r="L932">
        <v>0.54</v>
      </c>
      <c r="M932">
        <v>0.02</v>
      </c>
      <c r="N932">
        <v>40</v>
      </c>
      <c r="O932">
        <v>8.36</v>
      </c>
      <c r="P932">
        <v>55.34</v>
      </c>
      <c r="Q932">
        <f t="shared" si="140"/>
        <v>2025</v>
      </c>
      <c r="R932">
        <f t="shared" si="141"/>
        <v>2</v>
      </c>
      <c r="S932">
        <f t="shared" si="142"/>
        <v>2024</v>
      </c>
      <c r="T932">
        <f t="shared" si="143"/>
        <v>11</v>
      </c>
      <c r="U932">
        <f t="shared" si="144"/>
        <v>11</v>
      </c>
      <c r="V932" t="str">
        <f t="shared" si="145"/>
        <v>202411</v>
      </c>
      <c r="W932" t="str">
        <f t="shared" si="146"/>
        <v>Feb-25</v>
      </c>
      <c r="X932" s="3">
        <f t="shared" si="147"/>
        <v>-18137.84</v>
      </c>
      <c r="Y932" t="str">
        <f t="shared" si="148"/>
        <v/>
      </c>
      <c r="Z932">
        <f t="shared" si="149"/>
        <v>-18137.84</v>
      </c>
    </row>
    <row r="933" spans="1:26" x14ac:dyDescent="0.25">
      <c r="A933" s="1">
        <v>45708</v>
      </c>
      <c r="B933" t="s">
        <v>1224</v>
      </c>
      <c r="C933" t="s">
        <v>17</v>
      </c>
      <c r="D933" t="s">
        <v>18</v>
      </c>
      <c r="E933">
        <v>675</v>
      </c>
      <c r="F933">
        <v>0</v>
      </c>
      <c r="G933">
        <v>14.1</v>
      </c>
      <c r="H933">
        <v>9517.5</v>
      </c>
      <c r="I933" t="s">
        <v>1263</v>
      </c>
      <c r="J933">
        <v>9.52</v>
      </c>
      <c r="K933">
        <v>3.38</v>
      </c>
      <c r="L933">
        <v>0</v>
      </c>
      <c r="M933">
        <v>0.01</v>
      </c>
      <c r="N933">
        <v>180</v>
      </c>
      <c r="O933">
        <v>33.020000000000003</v>
      </c>
      <c r="P933">
        <v>225.93</v>
      </c>
      <c r="Q933">
        <f t="shared" ref="Q933:Q996" si="150">YEAR(A933)</f>
        <v>2025</v>
      </c>
      <c r="R933">
        <f t="shared" ref="R933:R996" si="151">MONTH(A933)</f>
        <v>2</v>
      </c>
      <c r="S933">
        <f t="shared" ref="S933:S996" si="152">IF(R933&lt;4,Q933-1,Q933)</f>
        <v>2024</v>
      </c>
      <c r="T933">
        <f t="shared" ref="T933:T996" si="153">IF(R933&lt;4,R933+9,R933-3)</f>
        <v>11</v>
      </c>
      <c r="U933">
        <f t="shared" ref="U933:U996" si="154">IF(LEN(T933)=1,_xlfn.CONCAT(0,T933),T933)</f>
        <v>11</v>
      </c>
      <c r="V933" t="str">
        <f t="shared" ref="V933:V996" si="155">_xlfn.CONCAT(S933,U933)</f>
        <v>202411</v>
      </c>
      <c r="W933" t="str">
        <f t="shared" ref="W933:W996" si="156">_xlfn.CONCAT(TEXT(A933,"MMM"),"-",MID(Q933,3,2))</f>
        <v>Feb-25</v>
      </c>
      <c r="X933" s="3">
        <f t="shared" ref="X933:X996" si="157">IFERROR(IF(D933="Sell",(H933-P933),-(H933+P933)),0)</f>
        <v>9291.57</v>
      </c>
      <c r="Y933">
        <f t="shared" si="148"/>
        <v>9291.57</v>
      </c>
      <c r="Z933" t="str">
        <f t="shared" si="149"/>
        <v/>
      </c>
    </row>
    <row r="934" spans="1:26" x14ac:dyDescent="0.25">
      <c r="A934" s="1">
        <v>45708</v>
      </c>
      <c r="B934" t="s">
        <v>1224</v>
      </c>
      <c r="C934" t="s">
        <v>17</v>
      </c>
      <c r="D934" t="s">
        <v>22</v>
      </c>
      <c r="E934">
        <v>675</v>
      </c>
      <c r="F934">
        <v>0</v>
      </c>
      <c r="G934">
        <v>20.05</v>
      </c>
      <c r="H934">
        <v>13533.75</v>
      </c>
      <c r="I934" t="s">
        <v>1264</v>
      </c>
      <c r="J934">
        <v>0</v>
      </c>
      <c r="K934">
        <v>4.8</v>
      </c>
      <c r="L934">
        <v>1.08</v>
      </c>
      <c r="M934">
        <v>0.01</v>
      </c>
      <c r="N934">
        <v>180</v>
      </c>
      <c r="O934">
        <v>33.28</v>
      </c>
      <c r="P934">
        <v>219.17</v>
      </c>
      <c r="Q934">
        <f t="shared" si="150"/>
        <v>2025</v>
      </c>
      <c r="R934">
        <f t="shared" si="151"/>
        <v>2</v>
      </c>
      <c r="S934">
        <f t="shared" si="152"/>
        <v>2024</v>
      </c>
      <c r="T934">
        <f t="shared" si="153"/>
        <v>11</v>
      </c>
      <c r="U934">
        <f t="shared" si="154"/>
        <v>11</v>
      </c>
      <c r="V934" t="str">
        <f t="shared" si="155"/>
        <v>202411</v>
      </c>
      <c r="W934" t="str">
        <f t="shared" si="156"/>
        <v>Feb-25</v>
      </c>
      <c r="X934" s="3">
        <f t="shared" si="157"/>
        <v>-13752.92</v>
      </c>
      <c r="Y934" t="str">
        <f t="shared" si="148"/>
        <v/>
      </c>
      <c r="Z934">
        <f t="shared" si="149"/>
        <v>-13752.92</v>
      </c>
    </row>
    <row r="935" spans="1:26" x14ac:dyDescent="0.25">
      <c r="A935" s="1">
        <v>45708</v>
      </c>
      <c r="B935" t="s">
        <v>1224</v>
      </c>
      <c r="C935" t="s">
        <v>17</v>
      </c>
      <c r="D935" t="s">
        <v>18</v>
      </c>
      <c r="E935">
        <v>750</v>
      </c>
      <c r="F935">
        <v>0</v>
      </c>
      <c r="G935">
        <v>16</v>
      </c>
      <c r="H935">
        <v>12000</v>
      </c>
      <c r="I935" t="s">
        <v>1265</v>
      </c>
      <c r="J935">
        <v>12</v>
      </c>
      <c r="K935">
        <v>4.2699999999999996</v>
      </c>
      <c r="L935">
        <v>0</v>
      </c>
      <c r="M935">
        <v>0</v>
      </c>
      <c r="N935">
        <v>200</v>
      </c>
      <c r="O935">
        <v>36.799999999999997</v>
      </c>
      <c r="P935">
        <v>253.07</v>
      </c>
      <c r="Q935">
        <f t="shared" si="150"/>
        <v>2025</v>
      </c>
      <c r="R935">
        <f t="shared" si="151"/>
        <v>2</v>
      </c>
      <c r="S935">
        <f t="shared" si="152"/>
        <v>2024</v>
      </c>
      <c r="T935">
        <f t="shared" si="153"/>
        <v>11</v>
      </c>
      <c r="U935">
        <f t="shared" si="154"/>
        <v>11</v>
      </c>
      <c r="V935" t="str">
        <f t="shared" si="155"/>
        <v>202411</v>
      </c>
      <c r="W935" t="str">
        <f t="shared" si="156"/>
        <v>Feb-25</v>
      </c>
      <c r="X935" s="3">
        <f t="shared" si="157"/>
        <v>11746.93</v>
      </c>
      <c r="Y935">
        <f t="shared" si="148"/>
        <v>11746.93</v>
      </c>
      <c r="Z935" t="str">
        <f t="shared" si="149"/>
        <v/>
      </c>
    </row>
    <row r="936" spans="1:26" x14ac:dyDescent="0.25">
      <c r="A936" s="1">
        <v>45708</v>
      </c>
      <c r="B936" t="s">
        <v>1224</v>
      </c>
      <c r="C936" t="s">
        <v>17</v>
      </c>
      <c r="D936" t="s">
        <v>22</v>
      </c>
      <c r="E936">
        <v>750</v>
      </c>
      <c r="F936">
        <v>0</v>
      </c>
      <c r="G936">
        <v>30.18</v>
      </c>
      <c r="H936">
        <v>22631.25</v>
      </c>
      <c r="I936" t="s">
        <v>1266</v>
      </c>
      <c r="J936">
        <v>0</v>
      </c>
      <c r="K936">
        <v>8.0299999999999994</v>
      </c>
      <c r="L936">
        <v>0</v>
      </c>
      <c r="M936">
        <v>0.01</v>
      </c>
      <c r="N936">
        <v>200</v>
      </c>
      <c r="O936">
        <v>37.42</v>
      </c>
      <c r="P936">
        <v>245.46</v>
      </c>
      <c r="Q936">
        <f t="shared" si="150"/>
        <v>2025</v>
      </c>
      <c r="R936">
        <f t="shared" si="151"/>
        <v>2</v>
      </c>
      <c r="S936">
        <f t="shared" si="152"/>
        <v>2024</v>
      </c>
      <c r="T936">
        <f t="shared" si="153"/>
        <v>11</v>
      </c>
      <c r="U936">
        <f t="shared" si="154"/>
        <v>11</v>
      </c>
      <c r="V936" t="str">
        <f t="shared" si="155"/>
        <v>202411</v>
      </c>
      <c r="W936" t="str">
        <f t="shared" si="156"/>
        <v>Feb-25</v>
      </c>
      <c r="X936" s="3">
        <f t="shared" si="157"/>
        <v>-22876.71</v>
      </c>
      <c r="Y936" t="str">
        <f t="shared" si="148"/>
        <v/>
      </c>
      <c r="Z936">
        <f t="shared" si="149"/>
        <v>-22876.71</v>
      </c>
    </row>
    <row r="937" spans="1:26" x14ac:dyDescent="0.25">
      <c r="A937" s="1">
        <v>45708</v>
      </c>
      <c r="B937" t="s">
        <v>1240</v>
      </c>
      <c r="C937" t="s">
        <v>17</v>
      </c>
      <c r="D937" t="s">
        <v>18</v>
      </c>
      <c r="E937">
        <v>375</v>
      </c>
      <c r="F937">
        <v>0</v>
      </c>
      <c r="G937">
        <v>62</v>
      </c>
      <c r="H937">
        <v>23250</v>
      </c>
      <c r="I937" t="s">
        <v>1267</v>
      </c>
      <c r="J937">
        <v>23.48</v>
      </c>
      <c r="K937">
        <v>8.25</v>
      </c>
      <c r="L937">
        <v>0</v>
      </c>
      <c r="M937">
        <v>0</v>
      </c>
      <c r="N937">
        <v>100</v>
      </c>
      <c r="O937">
        <v>19.5</v>
      </c>
      <c r="P937">
        <v>151.22999999999999</v>
      </c>
      <c r="Q937">
        <f t="shared" si="150"/>
        <v>2025</v>
      </c>
      <c r="R937">
        <f t="shared" si="151"/>
        <v>2</v>
      </c>
      <c r="S937">
        <f t="shared" si="152"/>
        <v>2024</v>
      </c>
      <c r="T937">
        <f t="shared" si="153"/>
        <v>11</v>
      </c>
      <c r="U937">
        <f t="shared" si="154"/>
        <v>11</v>
      </c>
      <c r="V937" t="str">
        <f t="shared" si="155"/>
        <v>202411</v>
      </c>
      <c r="W937" t="str">
        <f t="shared" si="156"/>
        <v>Feb-25</v>
      </c>
      <c r="X937" s="3">
        <f t="shared" si="157"/>
        <v>23098.77</v>
      </c>
      <c r="Y937">
        <f t="shared" si="148"/>
        <v>23098.77</v>
      </c>
      <c r="Z937" t="str">
        <f t="shared" si="149"/>
        <v/>
      </c>
    </row>
    <row r="938" spans="1:26" x14ac:dyDescent="0.25">
      <c r="A938" s="1">
        <v>45708</v>
      </c>
      <c r="B938" t="s">
        <v>1240</v>
      </c>
      <c r="C938" t="s">
        <v>17</v>
      </c>
      <c r="D938" t="s">
        <v>22</v>
      </c>
      <c r="E938">
        <v>75</v>
      </c>
      <c r="F938">
        <v>0</v>
      </c>
      <c r="G938">
        <v>50.8</v>
      </c>
      <c r="H938">
        <v>3810</v>
      </c>
      <c r="I938" t="s">
        <v>1268</v>
      </c>
      <c r="J938">
        <v>0</v>
      </c>
      <c r="K938">
        <v>1.35</v>
      </c>
      <c r="L938">
        <v>0</v>
      </c>
      <c r="M938">
        <v>0</v>
      </c>
      <c r="N938">
        <v>20</v>
      </c>
      <c r="O938">
        <v>3.84</v>
      </c>
      <c r="P938">
        <v>25.19</v>
      </c>
      <c r="Q938">
        <f t="shared" si="150"/>
        <v>2025</v>
      </c>
      <c r="R938">
        <f t="shared" si="151"/>
        <v>2</v>
      </c>
      <c r="S938">
        <f t="shared" si="152"/>
        <v>2024</v>
      </c>
      <c r="T938">
        <f t="shared" si="153"/>
        <v>11</v>
      </c>
      <c r="U938">
        <f t="shared" si="154"/>
        <v>11</v>
      </c>
      <c r="V938" t="str">
        <f t="shared" si="155"/>
        <v>202411</v>
      </c>
      <c r="W938" t="str">
        <f t="shared" si="156"/>
        <v>Feb-25</v>
      </c>
      <c r="X938" s="3">
        <f t="shared" si="157"/>
        <v>-3835.19</v>
      </c>
      <c r="Y938" t="str">
        <f t="shared" si="148"/>
        <v/>
      </c>
      <c r="Z938">
        <f t="shared" si="149"/>
        <v>-3835.19</v>
      </c>
    </row>
    <row r="939" spans="1:26" x14ac:dyDescent="0.25">
      <c r="A939" s="1">
        <v>45708</v>
      </c>
      <c r="B939" t="s">
        <v>1240</v>
      </c>
      <c r="C939" t="s">
        <v>17</v>
      </c>
      <c r="D939" t="s">
        <v>22</v>
      </c>
      <c r="E939">
        <v>75</v>
      </c>
      <c r="F939">
        <v>0</v>
      </c>
      <c r="G939">
        <v>83.6</v>
      </c>
      <c r="H939">
        <v>6270</v>
      </c>
      <c r="I939" t="s">
        <v>1269</v>
      </c>
      <c r="J939">
        <v>0</v>
      </c>
      <c r="K939">
        <v>2.23</v>
      </c>
      <c r="L939">
        <v>0</v>
      </c>
      <c r="M939">
        <v>0.01</v>
      </c>
      <c r="N939">
        <v>20</v>
      </c>
      <c r="O939">
        <v>4</v>
      </c>
      <c r="P939">
        <v>26.24</v>
      </c>
      <c r="Q939">
        <f t="shared" si="150"/>
        <v>2025</v>
      </c>
      <c r="R939">
        <f t="shared" si="151"/>
        <v>2</v>
      </c>
      <c r="S939">
        <f t="shared" si="152"/>
        <v>2024</v>
      </c>
      <c r="T939">
        <f t="shared" si="153"/>
        <v>11</v>
      </c>
      <c r="U939">
        <f t="shared" si="154"/>
        <v>11</v>
      </c>
      <c r="V939" t="str">
        <f t="shared" si="155"/>
        <v>202411</v>
      </c>
      <c r="W939" t="str">
        <f t="shared" si="156"/>
        <v>Feb-25</v>
      </c>
      <c r="X939" s="3">
        <f t="shared" si="157"/>
        <v>-6296.24</v>
      </c>
      <c r="Y939" t="str">
        <f t="shared" si="148"/>
        <v/>
      </c>
      <c r="Z939">
        <f t="shared" si="149"/>
        <v>-6296.24</v>
      </c>
    </row>
    <row r="940" spans="1:26" x14ac:dyDescent="0.25">
      <c r="A940" s="1">
        <v>45708</v>
      </c>
      <c r="B940" t="s">
        <v>1240</v>
      </c>
      <c r="C940" t="s">
        <v>17</v>
      </c>
      <c r="D940" t="s">
        <v>22</v>
      </c>
      <c r="E940">
        <v>225</v>
      </c>
      <c r="F940">
        <v>0</v>
      </c>
      <c r="G940">
        <v>91</v>
      </c>
      <c r="H940">
        <v>20475</v>
      </c>
      <c r="I940" t="s">
        <v>1270</v>
      </c>
      <c r="J940">
        <v>0</v>
      </c>
      <c r="K940">
        <v>7.27</v>
      </c>
      <c r="L940">
        <v>0.92</v>
      </c>
      <c r="M940">
        <v>0.02</v>
      </c>
      <c r="N940">
        <v>60</v>
      </c>
      <c r="O940">
        <v>12.12</v>
      </c>
      <c r="P940">
        <v>80.33</v>
      </c>
      <c r="Q940">
        <f t="shared" si="150"/>
        <v>2025</v>
      </c>
      <c r="R940">
        <f t="shared" si="151"/>
        <v>2</v>
      </c>
      <c r="S940">
        <f t="shared" si="152"/>
        <v>2024</v>
      </c>
      <c r="T940">
        <f t="shared" si="153"/>
        <v>11</v>
      </c>
      <c r="U940">
        <f t="shared" si="154"/>
        <v>11</v>
      </c>
      <c r="V940" t="str">
        <f t="shared" si="155"/>
        <v>202411</v>
      </c>
      <c r="W940" t="str">
        <f t="shared" si="156"/>
        <v>Feb-25</v>
      </c>
      <c r="X940" s="3">
        <f t="shared" si="157"/>
        <v>-20555.330000000002</v>
      </c>
      <c r="Y940" t="str">
        <f t="shared" si="148"/>
        <v/>
      </c>
      <c r="Z940">
        <f t="shared" si="149"/>
        <v>-20555.330000000002</v>
      </c>
    </row>
    <row r="941" spans="1:26" x14ac:dyDescent="0.25">
      <c r="A941" s="1">
        <v>45713</v>
      </c>
      <c r="B941" t="s">
        <v>1271</v>
      </c>
      <c r="C941" t="s">
        <v>17</v>
      </c>
      <c r="D941" t="s">
        <v>18</v>
      </c>
      <c r="E941">
        <v>75</v>
      </c>
      <c r="F941">
        <v>0</v>
      </c>
      <c r="G941">
        <v>50.25</v>
      </c>
      <c r="H941">
        <v>3768.75</v>
      </c>
      <c r="I941" t="s">
        <v>1272</v>
      </c>
      <c r="J941">
        <v>3.88</v>
      </c>
      <c r="K941">
        <v>1.34</v>
      </c>
      <c r="L941">
        <v>0</v>
      </c>
      <c r="M941">
        <v>0</v>
      </c>
      <c r="N941">
        <v>29</v>
      </c>
      <c r="O941">
        <v>5.46</v>
      </c>
      <c r="P941">
        <v>39.68</v>
      </c>
      <c r="Q941">
        <f t="shared" si="150"/>
        <v>2025</v>
      </c>
      <c r="R941">
        <f t="shared" si="151"/>
        <v>2</v>
      </c>
      <c r="S941">
        <f t="shared" si="152"/>
        <v>2024</v>
      </c>
      <c r="T941">
        <f t="shared" si="153"/>
        <v>11</v>
      </c>
      <c r="U941">
        <f t="shared" si="154"/>
        <v>11</v>
      </c>
      <c r="V941" t="str">
        <f t="shared" si="155"/>
        <v>202411</v>
      </c>
      <c r="W941" t="str">
        <f t="shared" si="156"/>
        <v>Feb-25</v>
      </c>
      <c r="X941" s="3">
        <f t="shared" si="157"/>
        <v>3729.07</v>
      </c>
      <c r="Y941">
        <f t="shared" si="148"/>
        <v>3729.07</v>
      </c>
      <c r="Z941" t="str">
        <f t="shared" si="149"/>
        <v/>
      </c>
    </row>
    <row r="942" spans="1:26" x14ac:dyDescent="0.25">
      <c r="A942" s="1">
        <v>45713</v>
      </c>
      <c r="B942" t="s">
        <v>1271</v>
      </c>
      <c r="C942" t="s">
        <v>17</v>
      </c>
      <c r="D942" t="s">
        <v>22</v>
      </c>
      <c r="E942">
        <v>75</v>
      </c>
      <c r="F942">
        <v>0</v>
      </c>
      <c r="G942">
        <v>68.25</v>
      </c>
      <c r="H942">
        <v>5118.75</v>
      </c>
      <c r="I942" t="s">
        <v>1273</v>
      </c>
      <c r="J942">
        <v>0</v>
      </c>
      <c r="K942">
        <v>1.82</v>
      </c>
      <c r="L942">
        <v>0</v>
      </c>
      <c r="M942">
        <v>0.01</v>
      </c>
      <c r="N942">
        <v>29</v>
      </c>
      <c r="O942">
        <v>5.54</v>
      </c>
      <c r="P942">
        <v>36.369999999999997</v>
      </c>
      <c r="Q942">
        <f t="shared" si="150"/>
        <v>2025</v>
      </c>
      <c r="R942">
        <f t="shared" si="151"/>
        <v>2</v>
      </c>
      <c r="S942">
        <f t="shared" si="152"/>
        <v>2024</v>
      </c>
      <c r="T942">
        <f t="shared" si="153"/>
        <v>11</v>
      </c>
      <c r="U942">
        <f t="shared" si="154"/>
        <v>11</v>
      </c>
      <c r="V942" t="str">
        <f t="shared" si="155"/>
        <v>202411</v>
      </c>
      <c r="W942" t="str">
        <f t="shared" si="156"/>
        <v>Feb-25</v>
      </c>
      <c r="X942" s="3">
        <f t="shared" si="157"/>
        <v>-5155.12</v>
      </c>
      <c r="Y942" t="str">
        <f t="shared" si="148"/>
        <v/>
      </c>
      <c r="Z942">
        <f t="shared" si="149"/>
        <v>-5155.12</v>
      </c>
    </row>
    <row r="943" spans="1:26" x14ac:dyDescent="0.25">
      <c r="A943" s="1">
        <v>45713</v>
      </c>
      <c r="B943" t="s">
        <v>1274</v>
      </c>
      <c r="C943" t="s">
        <v>17</v>
      </c>
      <c r="D943" t="s">
        <v>18</v>
      </c>
      <c r="E943">
        <v>75</v>
      </c>
      <c r="F943">
        <v>0</v>
      </c>
      <c r="G943">
        <v>68.25</v>
      </c>
      <c r="H943">
        <v>5118.75</v>
      </c>
      <c r="I943" t="s">
        <v>1275</v>
      </c>
      <c r="J943">
        <v>5.12</v>
      </c>
      <c r="K943">
        <v>1.82</v>
      </c>
      <c r="L943">
        <v>0</v>
      </c>
      <c r="M943">
        <v>0.01</v>
      </c>
      <c r="N943">
        <v>29</v>
      </c>
      <c r="O943">
        <v>5.54</v>
      </c>
      <c r="P943">
        <v>41.49</v>
      </c>
      <c r="Q943">
        <f t="shared" si="150"/>
        <v>2025</v>
      </c>
      <c r="R943">
        <f t="shared" si="151"/>
        <v>2</v>
      </c>
      <c r="S943">
        <f t="shared" si="152"/>
        <v>2024</v>
      </c>
      <c r="T943">
        <f t="shared" si="153"/>
        <v>11</v>
      </c>
      <c r="U943">
        <f t="shared" si="154"/>
        <v>11</v>
      </c>
      <c r="V943" t="str">
        <f t="shared" si="155"/>
        <v>202411</v>
      </c>
      <c r="W943" t="str">
        <f t="shared" si="156"/>
        <v>Feb-25</v>
      </c>
      <c r="X943" s="3">
        <f t="shared" si="157"/>
        <v>5077.26</v>
      </c>
      <c r="Y943">
        <f t="shared" si="148"/>
        <v>5077.26</v>
      </c>
      <c r="Z943" t="str">
        <f t="shared" si="149"/>
        <v/>
      </c>
    </row>
    <row r="944" spans="1:26" x14ac:dyDescent="0.25">
      <c r="A944" s="1">
        <v>45713</v>
      </c>
      <c r="B944" t="s">
        <v>1274</v>
      </c>
      <c r="C944" t="s">
        <v>17</v>
      </c>
      <c r="D944" t="s">
        <v>22</v>
      </c>
      <c r="E944">
        <v>75</v>
      </c>
      <c r="F944">
        <v>0</v>
      </c>
      <c r="G944">
        <v>70</v>
      </c>
      <c r="H944">
        <v>5250</v>
      </c>
      <c r="I944" t="s">
        <v>1276</v>
      </c>
      <c r="J944">
        <v>0</v>
      </c>
      <c r="K944">
        <v>1.87</v>
      </c>
      <c r="L944">
        <v>0</v>
      </c>
      <c r="M944">
        <v>0.01</v>
      </c>
      <c r="N944">
        <v>29</v>
      </c>
      <c r="O944">
        <v>5.56</v>
      </c>
      <c r="P944">
        <v>36.44</v>
      </c>
      <c r="Q944">
        <f t="shared" si="150"/>
        <v>2025</v>
      </c>
      <c r="R944">
        <f t="shared" si="151"/>
        <v>2</v>
      </c>
      <c r="S944">
        <f t="shared" si="152"/>
        <v>2024</v>
      </c>
      <c r="T944">
        <f t="shared" si="153"/>
        <v>11</v>
      </c>
      <c r="U944">
        <f t="shared" si="154"/>
        <v>11</v>
      </c>
      <c r="V944" t="str">
        <f t="shared" si="155"/>
        <v>202411</v>
      </c>
      <c r="W944" t="str">
        <f t="shared" si="156"/>
        <v>Feb-25</v>
      </c>
      <c r="X944" s="3">
        <f t="shared" si="157"/>
        <v>-5286.44</v>
      </c>
      <c r="Y944" t="str">
        <f t="shared" si="148"/>
        <v/>
      </c>
      <c r="Z944">
        <f t="shared" si="149"/>
        <v>-5286.44</v>
      </c>
    </row>
    <row r="945" spans="1:26" x14ac:dyDescent="0.25">
      <c r="A945" s="1">
        <v>45715</v>
      </c>
      <c r="B945" t="s">
        <v>1408</v>
      </c>
      <c r="C945" t="s">
        <v>17</v>
      </c>
      <c r="D945" t="s">
        <v>18</v>
      </c>
      <c r="E945">
        <v>750</v>
      </c>
      <c r="F945">
        <v>0</v>
      </c>
      <c r="G945">
        <v>24.25</v>
      </c>
      <c r="H945">
        <v>18187.5</v>
      </c>
      <c r="I945" t="s">
        <v>1409</v>
      </c>
      <c r="J945">
        <v>18</v>
      </c>
      <c r="K945">
        <v>6.46</v>
      </c>
      <c r="L945">
        <v>0</v>
      </c>
      <c r="M945">
        <v>0.01</v>
      </c>
      <c r="N945">
        <v>290</v>
      </c>
      <c r="O945">
        <v>53.38</v>
      </c>
      <c r="P945">
        <v>367.85</v>
      </c>
      <c r="Q945">
        <f t="shared" si="150"/>
        <v>2025</v>
      </c>
      <c r="R945">
        <f t="shared" si="151"/>
        <v>2</v>
      </c>
      <c r="S945">
        <f t="shared" si="152"/>
        <v>2024</v>
      </c>
      <c r="T945">
        <f t="shared" si="153"/>
        <v>11</v>
      </c>
      <c r="U945">
        <f t="shared" si="154"/>
        <v>11</v>
      </c>
      <c r="V945" t="str">
        <f t="shared" si="155"/>
        <v>202411</v>
      </c>
      <c r="W945" t="str">
        <f t="shared" si="156"/>
        <v>Feb-25</v>
      </c>
      <c r="X945" s="3">
        <f t="shared" si="157"/>
        <v>17819.650000000001</v>
      </c>
      <c r="Y945">
        <f t="shared" si="148"/>
        <v>17819.650000000001</v>
      </c>
      <c r="Z945" t="str">
        <f t="shared" si="149"/>
        <v/>
      </c>
    </row>
    <row r="946" spans="1:26" x14ac:dyDescent="0.25">
      <c r="A946" s="1">
        <v>45715</v>
      </c>
      <c r="B946" t="s">
        <v>1408</v>
      </c>
      <c r="C946" t="s">
        <v>17</v>
      </c>
      <c r="D946" t="s">
        <v>22</v>
      </c>
      <c r="E946">
        <v>150</v>
      </c>
      <c r="F946">
        <v>0</v>
      </c>
      <c r="G946">
        <v>15.25</v>
      </c>
      <c r="H946">
        <v>2287.5</v>
      </c>
      <c r="I946" t="s">
        <v>1410</v>
      </c>
      <c r="J946">
        <v>0</v>
      </c>
      <c r="K946">
        <v>0.81</v>
      </c>
      <c r="L946">
        <v>0</v>
      </c>
      <c r="M946">
        <v>0</v>
      </c>
      <c r="N946">
        <v>58</v>
      </c>
      <c r="O946">
        <v>10.58</v>
      </c>
      <c r="P946">
        <v>69.39</v>
      </c>
      <c r="Q946">
        <f t="shared" si="150"/>
        <v>2025</v>
      </c>
      <c r="R946">
        <f t="shared" si="151"/>
        <v>2</v>
      </c>
      <c r="S946">
        <f t="shared" si="152"/>
        <v>2024</v>
      </c>
      <c r="T946">
        <f t="shared" si="153"/>
        <v>11</v>
      </c>
      <c r="U946">
        <f t="shared" si="154"/>
        <v>11</v>
      </c>
      <c r="V946" t="str">
        <f t="shared" si="155"/>
        <v>202411</v>
      </c>
      <c r="W946" t="str">
        <f t="shared" si="156"/>
        <v>Feb-25</v>
      </c>
      <c r="X946" s="3">
        <f t="shared" si="157"/>
        <v>-2356.89</v>
      </c>
      <c r="Y946" t="str">
        <f t="shared" si="148"/>
        <v/>
      </c>
      <c r="Z946">
        <f t="shared" si="149"/>
        <v>-2356.89</v>
      </c>
    </row>
    <row r="947" spans="1:26" x14ac:dyDescent="0.25">
      <c r="A947" s="1">
        <v>45715</v>
      </c>
      <c r="B947" t="s">
        <v>1408</v>
      </c>
      <c r="C947" t="s">
        <v>17</v>
      </c>
      <c r="D947" t="s">
        <v>22</v>
      </c>
      <c r="E947">
        <v>150</v>
      </c>
      <c r="F947">
        <v>0</v>
      </c>
      <c r="G947">
        <v>17.05</v>
      </c>
      <c r="H947">
        <v>2557.5</v>
      </c>
      <c r="I947" t="s">
        <v>1411</v>
      </c>
      <c r="J947">
        <v>0</v>
      </c>
      <c r="K947">
        <v>0.91</v>
      </c>
      <c r="L947">
        <v>0</v>
      </c>
      <c r="M947">
        <v>0</v>
      </c>
      <c r="N947">
        <v>58</v>
      </c>
      <c r="O947">
        <v>10.6</v>
      </c>
      <c r="P947">
        <v>69.510000000000005</v>
      </c>
      <c r="Q947">
        <f t="shared" si="150"/>
        <v>2025</v>
      </c>
      <c r="R947">
        <f t="shared" si="151"/>
        <v>2</v>
      </c>
      <c r="S947">
        <f t="shared" si="152"/>
        <v>2024</v>
      </c>
      <c r="T947">
        <f t="shared" si="153"/>
        <v>11</v>
      </c>
      <c r="U947">
        <f t="shared" si="154"/>
        <v>11</v>
      </c>
      <c r="V947" t="str">
        <f t="shared" si="155"/>
        <v>202411</v>
      </c>
      <c r="W947" t="str">
        <f t="shared" si="156"/>
        <v>Feb-25</v>
      </c>
      <c r="X947" s="3">
        <f t="shared" si="157"/>
        <v>-2627.01</v>
      </c>
      <c r="Y947" t="str">
        <f t="shared" si="148"/>
        <v/>
      </c>
      <c r="Z947">
        <f t="shared" si="149"/>
        <v>-2627.01</v>
      </c>
    </row>
    <row r="948" spans="1:26" x14ac:dyDescent="0.25">
      <c r="A948" s="1">
        <v>45715</v>
      </c>
      <c r="B948" t="s">
        <v>1408</v>
      </c>
      <c r="C948" t="s">
        <v>17</v>
      </c>
      <c r="D948" t="s">
        <v>22</v>
      </c>
      <c r="E948">
        <v>150</v>
      </c>
      <c r="F948">
        <v>0</v>
      </c>
      <c r="G948">
        <v>20.149999999999999</v>
      </c>
      <c r="H948">
        <v>3022.5</v>
      </c>
      <c r="I948" t="s">
        <v>1412</v>
      </c>
      <c r="J948">
        <v>0</v>
      </c>
      <c r="K948">
        <v>1.08</v>
      </c>
      <c r="L948">
        <v>0</v>
      </c>
      <c r="M948">
        <v>0</v>
      </c>
      <c r="N948">
        <v>58</v>
      </c>
      <c r="O948">
        <v>10.64</v>
      </c>
      <c r="P948">
        <v>69.72</v>
      </c>
      <c r="Q948">
        <f t="shared" si="150"/>
        <v>2025</v>
      </c>
      <c r="R948">
        <f t="shared" si="151"/>
        <v>2</v>
      </c>
      <c r="S948">
        <f t="shared" si="152"/>
        <v>2024</v>
      </c>
      <c r="T948">
        <f t="shared" si="153"/>
        <v>11</v>
      </c>
      <c r="U948">
        <f t="shared" si="154"/>
        <v>11</v>
      </c>
      <c r="V948" t="str">
        <f t="shared" si="155"/>
        <v>202411</v>
      </c>
      <c r="W948" t="str">
        <f t="shared" si="156"/>
        <v>Feb-25</v>
      </c>
      <c r="X948" s="3">
        <f t="shared" si="157"/>
        <v>-3092.22</v>
      </c>
      <c r="Y948" t="str">
        <f t="shared" si="148"/>
        <v/>
      </c>
      <c r="Z948">
        <f t="shared" si="149"/>
        <v>-3092.22</v>
      </c>
    </row>
    <row r="949" spans="1:26" x14ac:dyDescent="0.25">
      <c r="A949" s="1">
        <v>45715</v>
      </c>
      <c r="B949" t="s">
        <v>1408</v>
      </c>
      <c r="C949" t="s">
        <v>17</v>
      </c>
      <c r="D949" t="s">
        <v>22</v>
      </c>
      <c r="E949">
        <v>75</v>
      </c>
      <c r="F949">
        <v>0</v>
      </c>
      <c r="G949">
        <v>24.25</v>
      </c>
      <c r="H949">
        <v>1818.75</v>
      </c>
      <c r="I949" t="s">
        <v>1413</v>
      </c>
      <c r="J949">
        <v>0</v>
      </c>
      <c r="K949">
        <v>0.65</v>
      </c>
      <c r="L949">
        <v>0</v>
      </c>
      <c r="M949">
        <v>0</v>
      </c>
      <c r="N949">
        <v>29</v>
      </c>
      <c r="O949">
        <v>5.34</v>
      </c>
      <c r="P949">
        <v>34.99</v>
      </c>
      <c r="Q949">
        <f t="shared" si="150"/>
        <v>2025</v>
      </c>
      <c r="R949">
        <f t="shared" si="151"/>
        <v>2</v>
      </c>
      <c r="S949">
        <f t="shared" si="152"/>
        <v>2024</v>
      </c>
      <c r="T949">
        <f t="shared" si="153"/>
        <v>11</v>
      </c>
      <c r="U949">
        <f t="shared" si="154"/>
        <v>11</v>
      </c>
      <c r="V949" t="str">
        <f t="shared" si="155"/>
        <v>202411</v>
      </c>
      <c r="W949" t="str">
        <f t="shared" si="156"/>
        <v>Feb-25</v>
      </c>
      <c r="X949" s="3">
        <f t="shared" si="157"/>
        <v>-1853.74</v>
      </c>
      <c r="Y949" t="str">
        <f t="shared" si="148"/>
        <v/>
      </c>
      <c r="Z949">
        <f t="shared" si="149"/>
        <v>-1853.74</v>
      </c>
    </row>
    <row r="950" spans="1:26" x14ac:dyDescent="0.25">
      <c r="A950" s="1">
        <v>45715</v>
      </c>
      <c r="B950" t="s">
        <v>1408</v>
      </c>
      <c r="C950" t="s">
        <v>17</v>
      </c>
      <c r="D950" t="s">
        <v>22</v>
      </c>
      <c r="E950">
        <v>75</v>
      </c>
      <c r="F950">
        <v>0</v>
      </c>
      <c r="G950">
        <v>24.25</v>
      </c>
      <c r="H950">
        <v>1818.75</v>
      </c>
      <c r="I950" t="s">
        <v>1414</v>
      </c>
      <c r="J950">
        <v>0</v>
      </c>
      <c r="K950">
        <v>0.65</v>
      </c>
      <c r="L950">
        <v>0</v>
      </c>
      <c r="M950">
        <v>0</v>
      </c>
      <c r="N950">
        <v>29</v>
      </c>
      <c r="O950">
        <v>5.34</v>
      </c>
      <c r="P950">
        <v>34.99</v>
      </c>
      <c r="Q950">
        <f t="shared" si="150"/>
        <v>2025</v>
      </c>
      <c r="R950">
        <f t="shared" si="151"/>
        <v>2</v>
      </c>
      <c r="S950">
        <f t="shared" si="152"/>
        <v>2024</v>
      </c>
      <c r="T950">
        <f t="shared" si="153"/>
        <v>11</v>
      </c>
      <c r="U950">
        <f t="shared" si="154"/>
        <v>11</v>
      </c>
      <c r="V950" t="str">
        <f t="shared" si="155"/>
        <v>202411</v>
      </c>
      <c r="W950" t="str">
        <f t="shared" si="156"/>
        <v>Feb-25</v>
      </c>
      <c r="X950" s="3">
        <f t="shared" si="157"/>
        <v>-1853.74</v>
      </c>
      <c r="Y950" t="str">
        <f t="shared" si="148"/>
        <v/>
      </c>
      <c r="Z950">
        <f t="shared" si="149"/>
        <v>-1853.74</v>
      </c>
    </row>
    <row r="951" spans="1:26" x14ac:dyDescent="0.25">
      <c r="A951" s="1">
        <v>45715</v>
      </c>
      <c r="B951" t="s">
        <v>1408</v>
      </c>
      <c r="C951" t="s">
        <v>17</v>
      </c>
      <c r="D951" t="s">
        <v>22</v>
      </c>
      <c r="E951">
        <v>75</v>
      </c>
      <c r="F951">
        <v>0</v>
      </c>
      <c r="G951">
        <v>24.15</v>
      </c>
      <c r="H951">
        <v>1811.25</v>
      </c>
      <c r="I951" t="s">
        <v>1415</v>
      </c>
      <c r="J951">
        <v>0</v>
      </c>
      <c r="K951">
        <v>0.64</v>
      </c>
      <c r="L951">
        <v>0</v>
      </c>
      <c r="M951">
        <v>0</v>
      </c>
      <c r="N951">
        <v>29</v>
      </c>
      <c r="O951">
        <v>5.34</v>
      </c>
      <c r="P951">
        <v>34.979999999999997</v>
      </c>
      <c r="Q951">
        <f t="shared" si="150"/>
        <v>2025</v>
      </c>
      <c r="R951">
        <f t="shared" si="151"/>
        <v>2</v>
      </c>
      <c r="S951">
        <f t="shared" si="152"/>
        <v>2024</v>
      </c>
      <c r="T951">
        <f t="shared" si="153"/>
        <v>11</v>
      </c>
      <c r="U951">
        <f t="shared" si="154"/>
        <v>11</v>
      </c>
      <c r="V951" t="str">
        <f t="shared" si="155"/>
        <v>202411</v>
      </c>
      <c r="W951" t="str">
        <f t="shared" si="156"/>
        <v>Feb-25</v>
      </c>
      <c r="X951" s="3">
        <f t="shared" si="157"/>
        <v>-1846.23</v>
      </c>
      <c r="Y951" t="str">
        <f t="shared" si="148"/>
        <v/>
      </c>
      <c r="Z951">
        <f t="shared" si="149"/>
        <v>-1846.23</v>
      </c>
    </row>
    <row r="952" spans="1:26" x14ac:dyDescent="0.25">
      <c r="A952" s="1">
        <v>45715</v>
      </c>
      <c r="B952" t="s">
        <v>1408</v>
      </c>
      <c r="C952" t="s">
        <v>17</v>
      </c>
      <c r="D952" t="s">
        <v>22</v>
      </c>
      <c r="E952">
        <v>75</v>
      </c>
      <c r="F952">
        <v>0</v>
      </c>
      <c r="G952">
        <v>25</v>
      </c>
      <c r="H952">
        <v>1875</v>
      </c>
      <c r="I952" t="s">
        <v>1416</v>
      </c>
      <c r="J952">
        <v>0</v>
      </c>
      <c r="K952">
        <v>0.67</v>
      </c>
      <c r="L952">
        <v>0</v>
      </c>
      <c r="M952">
        <v>0</v>
      </c>
      <c r="N952">
        <v>29</v>
      </c>
      <c r="O952">
        <v>5.34</v>
      </c>
      <c r="P952">
        <v>35.01</v>
      </c>
      <c r="Q952">
        <f t="shared" si="150"/>
        <v>2025</v>
      </c>
      <c r="R952">
        <f t="shared" si="151"/>
        <v>2</v>
      </c>
      <c r="S952">
        <f t="shared" si="152"/>
        <v>2024</v>
      </c>
      <c r="T952">
        <f t="shared" si="153"/>
        <v>11</v>
      </c>
      <c r="U952">
        <f t="shared" si="154"/>
        <v>11</v>
      </c>
      <c r="V952" t="str">
        <f t="shared" si="155"/>
        <v>202411</v>
      </c>
      <c r="W952" t="str">
        <f t="shared" si="156"/>
        <v>Feb-25</v>
      </c>
      <c r="X952" s="3">
        <f t="shared" si="157"/>
        <v>-1910.01</v>
      </c>
      <c r="Y952" t="str">
        <f t="shared" si="148"/>
        <v/>
      </c>
      <c r="Z952">
        <f t="shared" si="149"/>
        <v>-1910.01</v>
      </c>
    </row>
    <row r="953" spans="1:26" x14ac:dyDescent="0.25">
      <c r="A953" s="1">
        <v>45716</v>
      </c>
      <c r="B953" t="s">
        <v>1396</v>
      </c>
      <c r="C953" t="s">
        <v>17</v>
      </c>
      <c r="D953" t="s">
        <v>18</v>
      </c>
      <c r="E953">
        <v>450</v>
      </c>
      <c r="F953">
        <v>0</v>
      </c>
      <c r="G953">
        <v>90</v>
      </c>
      <c r="H953">
        <v>40500</v>
      </c>
      <c r="I953" t="s">
        <v>1397</v>
      </c>
      <c r="J953">
        <v>40.5</v>
      </c>
      <c r="K953">
        <v>14.39</v>
      </c>
      <c r="L953">
        <v>0</v>
      </c>
      <c r="M953">
        <v>0.04</v>
      </c>
      <c r="N953">
        <v>174</v>
      </c>
      <c r="O953">
        <v>33.92</v>
      </c>
      <c r="P953">
        <v>262.85000000000002</v>
      </c>
      <c r="Q953">
        <f t="shared" si="150"/>
        <v>2025</v>
      </c>
      <c r="R953">
        <f t="shared" si="151"/>
        <v>2</v>
      </c>
      <c r="S953">
        <f t="shared" si="152"/>
        <v>2024</v>
      </c>
      <c r="T953">
        <f t="shared" si="153"/>
        <v>11</v>
      </c>
      <c r="U953">
        <f t="shared" si="154"/>
        <v>11</v>
      </c>
      <c r="V953" t="str">
        <f t="shared" si="155"/>
        <v>202411</v>
      </c>
      <c r="W953" t="str">
        <f t="shared" si="156"/>
        <v>Feb-25</v>
      </c>
      <c r="X953" s="3">
        <f t="shared" si="157"/>
        <v>40237.15</v>
      </c>
      <c r="Y953">
        <f t="shared" si="148"/>
        <v>40237.15</v>
      </c>
      <c r="Z953" t="str">
        <f t="shared" si="149"/>
        <v/>
      </c>
    </row>
    <row r="954" spans="1:26" x14ac:dyDescent="0.25">
      <c r="A954" s="1">
        <v>45716</v>
      </c>
      <c r="B954" t="s">
        <v>1396</v>
      </c>
      <c r="C954" t="s">
        <v>17</v>
      </c>
      <c r="D954" t="s">
        <v>22</v>
      </c>
      <c r="E954">
        <v>450</v>
      </c>
      <c r="F954">
        <v>0</v>
      </c>
      <c r="G954">
        <v>107.95</v>
      </c>
      <c r="H954">
        <v>48577.5</v>
      </c>
      <c r="I954" t="s">
        <v>1398</v>
      </c>
      <c r="J954">
        <v>0</v>
      </c>
      <c r="K954">
        <v>17.28</v>
      </c>
      <c r="L954">
        <v>0</v>
      </c>
      <c r="M954">
        <v>0.06</v>
      </c>
      <c r="N954">
        <v>174</v>
      </c>
      <c r="O954">
        <v>34.44</v>
      </c>
      <c r="P954">
        <v>225.78</v>
      </c>
      <c r="Q954">
        <f t="shared" si="150"/>
        <v>2025</v>
      </c>
      <c r="R954">
        <f t="shared" si="151"/>
        <v>2</v>
      </c>
      <c r="S954">
        <f t="shared" si="152"/>
        <v>2024</v>
      </c>
      <c r="T954">
        <f t="shared" si="153"/>
        <v>11</v>
      </c>
      <c r="U954">
        <f t="shared" si="154"/>
        <v>11</v>
      </c>
      <c r="V954" t="str">
        <f t="shared" si="155"/>
        <v>202411</v>
      </c>
      <c r="W954" t="str">
        <f t="shared" si="156"/>
        <v>Feb-25</v>
      </c>
      <c r="X954" s="3">
        <f t="shared" si="157"/>
        <v>-48803.28</v>
      </c>
      <c r="Y954" t="str">
        <f t="shared" si="148"/>
        <v/>
      </c>
      <c r="Z954">
        <f t="shared" si="149"/>
        <v>-48803.28</v>
      </c>
    </row>
    <row r="955" spans="1:26" x14ac:dyDescent="0.25">
      <c r="A955" s="1">
        <v>45716</v>
      </c>
      <c r="B955" t="s">
        <v>1387</v>
      </c>
      <c r="C955" t="s">
        <v>17</v>
      </c>
      <c r="D955" t="s">
        <v>18</v>
      </c>
      <c r="E955">
        <v>300</v>
      </c>
      <c r="F955">
        <v>0</v>
      </c>
      <c r="G955">
        <v>169.25</v>
      </c>
      <c r="H955">
        <v>50775</v>
      </c>
      <c r="I955" t="s">
        <v>1399</v>
      </c>
      <c r="J955">
        <v>50.65</v>
      </c>
      <c r="K955">
        <v>18.04</v>
      </c>
      <c r="L955">
        <v>0</v>
      </c>
      <c r="M955">
        <v>0.05</v>
      </c>
      <c r="N955">
        <v>116</v>
      </c>
      <c r="O955">
        <v>24.14</v>
      </c>
      <c r="P955">
        <v>208.88</v>
      </c>
      <c r="Q955">
        <f t="shared" si="150"/>
        <v>2025</v>
      </c>
      <c r="R955">
        <f t="shared" si="151"/>
        <v>2</v>
      </c>
      <c r="S955">
        <f t="shared" si="152"/>
        <v>2024</v>
      </c>
      <c r="T955">
        <f t="shared" si="153"/>
        <v>11</v>
      </c>
      <c r="U955">
        <f t="shared" si="154"/>
        <v>11</v>
      </c>
      <c r="V955" t="str">
        <f t="shared" si="155"/>
        <v>202411</v>
      </c>
      <c r="W955" t="str">
        <f t="shared" si="156"/>
        <v>Feb-25</v>
      </c>
      <c r="X955" s="3">
        <f t="shared" si="157"/>
        <v>50566.12</v>
      </c>
      <c r="Y955">
        <f t="shared" si="148"/>
        <v>50566.12</v>
      </c>
      <c r="Z955" t="str">
        <f t="shared" si="149"/>
        <v/>
      </c>
    </row>
    <row r="956" spans="1:26" x14ac:dyDescent="0.25">
      <c r="A956" s="1">
        <v>45716</v>
      </c>
      <c r="B956" t="s">
        <v>1387</v>
      </c>
      <c r="C956" t="s">
        <v>17</v>
      </c>
      <c r="D956" t="s">
        <v>22</v>
      </c>
      <c r="E956">
        <v>300</v>
      </c>
      <c r="F956">
        <v>0</v>
      </c>
      <c r="G956">
        <v>148.71</v>
      </c>
      <c r="H956">
        <v>44613.75</v>
      </c>
      <c r="I956" t="s">
        <v>1400</v>
      </c>
      <c r="J956">
        <v>0</v>
      </c>
      <c r="K956">
        <v>15.85</v>
      </c>
      <c r="L956">
        <v>2.34</v>
      </c>
      <c r="M956">
        <v>0.04</v>
      </c>
      <c r="N956">
        <v>116</v>
      </c>
      <c r="O956">
        <v>23.74</v>
      </c>
      <c r="P956">
        <v>157.97</v>
      </c>
      <c r="Q956">
        <f t="shared" si="150"/>
        <v>2025</v>
      </c>
      <c r="R956">
        <f t="shared" si="151"/>
        <v>2</v>
      </c>
      <c r="S956">
        <f t="shared" si="152"/>
        <v>2024</v>
      </c>
      <c r="T956">
        <f t="shared" si="153"/>
        <v>11</v>
      </c>
      <c r="U956">
        <f t="shared" si="154"/>
        <v>11</v>
      </c>
      <c r="V956" t="str">
        <f t="shared" si="155"/>
        <v>202411</v>
      </c>
      <c r="W956" t="str">
        <f t="shared" si="156"/>
        <v>Feb-25</v>
      </c>
      <c r="X956" s="3">
        <f t="shared" si="157"/>
        <v>-44771.72</v>
      </c>
      <c r="Y956" t="str">
        <f t="shared" si="148"/>
        <v/>
      </c>
      <c r="Z956">
        <f t="shared" si="149"/>
        <v>-44771.72</v>
      </c>
    </row>
    <row r="957" spans="1:26" x14ac:dyDescent="0.25">
      <c r="A957" s="1">
        <v>45716</v>
      </c>
      <c r="B957" t="s">
        <v>1396</v>
      </c>
      <c r="C957" t="s">
        <v>17</v>
      </c>
      <c r="D957" t="s">
        <v>18</v>
      </c>
      <c r="E957">
        <v>300</v>
      </c>
      <c r="F957">
        <v>0</v>
      </c>
      <c r="G957">
        <v>127.25</v>
      </c>
      <c r="H957">
        <v>38175</v>
      </c>
      <c r="I957" t="s">
        <v>1401</v>
      </c>
      <c r="J957">
        <v>38.18</v>
      </c>
      <c r="K957">
        <v>13.56</v>
      </c>
      <c r="L957">
        <v>0</v>
      </c>
      <c r="M957">
        <v>0.04</v>
      </c>
      <c r="N957">
        <v>116</v>
      </c>
      <c r="O957">
        <v>23.32</v>
      </c>
      <c r="P957">
        <v>191.1</v>
      </c>
      <c r="Q957">
        <f t="shared" si="150"/>
        <v>2025</v>
      </c>
      <c r="R957">
        <f t="shared" si="151"/>
        <v>2</v>
      </c>
      <c r="S957">
        <f t="shared" si="152"/>
        <v>2024</v>
      </c>
      <c r="T957">
        <f t="shared" si="153"/>
        <v>11</v>
      </c>
      <c r="U957">
        <f t="shared" si="154"/>
        <v>11</v>
      </c>
      <c r="V957" t="str">
        <f t="shared" si="155"/>
        <v>202411</v>
      </c>
      <c r="W957" t="str">
        <f t="shared" si="156"/>
        <v>Feb-25</v>
      </c>
      <c r="X957" s="3">
        <f t="shared" si="157"/>
        <v>37983.9</v>
      </c>
      <c r="Y957">
        <f t="shared" si="148"/>
        <v>37983.9</v>
      </c>
      <c r="Z957" t="str">
        <f t="shared" si="149"/>
        <v/>
      </c>
    </row>
    <row r="958" spans="1:26" x14ac:dyDescent="0.25">
      <c r="A958" s="1">
        <v>45716</v>
      </c>
      <c r="B958" t="s">
        <v>1396</v>
      </c>
      <c r="C958" t="s">
        <v>17</v>
      </c>
      <c r="D958" t="s">
        <v>22</v>
      </c>
      <c r="E958">
        <v>300</v>
      </c>
      <c r="F958">
        <v>0</v>
      </c>
      <c r="G958">
        <v>126.25</v>
      </c>
      <c r="H958">
        <v>37875</v>
      </c>
      <c r="I958" t="s">
        <v>1402</v>
      </c>
      <c r="J958">
        <v>0</v>
      </c>
      <c r="K958">
        <v>13.46</v>
      </c>
      <c r="L958">
        <v>0</v>
      </c>
      <c r="M958">
        <v>0.04</v>
      </c>
      <c r="N958">
        <v>116</v>
      </c>
      <c r="O958">
        <v>23.32</v>
      </c>
      <c r="P958">
        <v>152.82</v>
      </c>
      <c r="Q958">
        <f t="shared" si="150"/>
        <v>2025</v>
      </c>
      <c r="R958">
        <f t="shared" si="151"/>
        <v>2</v>
      </c>
      <c r="S958">
        <f t="shared" si="152"/>
        <v>2024</v>
      </c>
      <c r="T958">
        <f t="shared" si="153"/>
        <v>11</v>
      </c>
      <c r="U958">
        <f t="shared" si="154"/>
        <v>11</v>
      </c>
      <c r="V958" t="str">
        <f t="shared" si="155"/>
        <v>202411</v>
      </c>
      <c r="W958" t="str">
        <f t="shared" si="156"/>
        <v>Feb-25</v>
      </c>
      <c r="X958" s="3">
        <f t="shared" si="157"/>
        <v>-38027.82</v>
      </c>
      <c r="Y958" t="str">
        <f t="shared" si="148"/>
        <v/>
      </c>
      <c r="Z958">
        <f t="shared" si="149"/>
        <v>-38027.82</v>
      </c>
    </row>
    <row r="959" spans="1:26" x14ac:dyDescent="0.25">
      <c r="A959" s="1">
        <v>45716</v>
      </c>
      <c r="B959" t="s">
        <v>1387</v>
      </c>
      <c r="C959" t="s">
        <v>17</v>
      </c>
      <c r="D959" t="s">
        <v>18</v>
      </c>
      <c r="E959">
        <v>300</v>
      </c>
      <c r="F959">
        <v>0</v>
      </c>
      <c r="G959">
        <v>122.25</v>
      </c>
      <c r="H959">
        <v>36675</v>
      </c>
      <c r="I959" t="s">
        <v>1403</v>
      </c>
      <c r="J959">
        <v>36.68</v>
      </c>
      <c r="K959">
        <v>13.03</v>
      </c>
      <c r="L959">
        <v>0</v>
      </c>
      <c r="M959">
        <v>0.04</v>
      </c>
      <c r="N959">
        <v>116</v>
      </c>
      <c r="O959">
        <v>23.22</v>
      </c>
      <c r="P959">
        <v>188.97</v>
      </c>
      <c r="Q959">
        <f t="shared" si="150"/>
        <v>2025</v>
      </c>
      <c r="R959">
        <f t="shared" si="151"/>
        <v>2</v>
      </c>
      <c r="S959">
        <f t="shared" si="152"/>
        <v>2024</v>
      </c>
      <c r="T959">
        <f t="shared" si="153"/>
        <v>11</v>
      </c>
      <c r="U959">
        <f t="shared" si="154"/>
        <v>11</v>
      </c>
      <c r="V959" t="str">
        <f t="shared" si="155"/>
        <v>202411</v>
      </c>
      <c r="W959" t="str">
        <f t="shared" si="156"/>
        <v>Feb-25</v>
      </c>
      <c r="X959" s="3">
        <f t="shared" si="157"/>
        <v>36486.03</v>
      </c>
      <c r="Y959">
        <f t="shared" si="148"/>
        <v>36486.03</v>
      </c>
      <c r="Z959" t="str">
        <f t="shared" si="149"/>
        <v/>
      </c>
    </row>
    <row r="960" spans="1:26" x14ac:dyDescent="0.25">
      <c r="A960" s="1">
        <v>45716</v>
      </c>
      <c r="B960" t="s">
        <v>1387</v>
      </c>
      <c r="C960" t="s">
        <v>17</v>
      </c>
      <c r="D960" t="s">
        <v>22</v>
      </c>
      <c r="E960">
        <v>300</v>
      </c>
      <c r="F960">
        <v>0</v>
      </c>
      <c r="G960">
        <v>111.78</v>
      </c>
      <c r="H960">
        <v>33532.5</v>
      </c>
      <c r="I960" t="s">
        <v>1404</v>
      </c>
      <c r="J960">
        <v>0</v>
      </c>
      <c r="K960">
        <v>11.92</v>
      </c>
      <c r="L960">
        <v>0</v>
      </c>
      <c r="M960">
        <v>0.04</v>
      </c>
      <c r="N960">
        <v>116</v>
      </c>
      <c r="O960">
        <v>23.04</v>
      </c>
      <c r="P960">
        <v>151</v>
      </c>
      <c r="Q960">
        <f t="shared" si="150"/>
        <v>2025</v>
      </c>
      <c r="R960">
        <f t="shared" si="151"/>
        <v>2</v>
      </c>
      <c r="S960">
        <f t="shared" si="152"/>
        <v>2024</v>
      </c>
      <c r="T960">
        <f t="shared" si="153"/>
        <v>11</v>
      </c>
      <c r="U960">
        <f t="shared" si="154"/>
        <v>11</v>
      </c>
      <c r="V960" t="str">
        <f t="shared" si="155"/>
        <v>202411</v>
      </c>
      <c r="W960" t="str">
        <f t="shared" si="156"/>
        <v>Feb-25</v>
      </c>
      <c r="X960" s="3">
        <f t="shared" si="157"/>
        <v>-33683.5</v>
      </c>
      <c r="Y960" t="str">
        <f t="shared" si="148"/>
        <v/>
      </c>
      <c r="Z960">
        <f t="shared" si="149"/>
        <v>-33683.5</v>
      </c>
    </row>
    <row r="961" spans="1:26" x14ac:dyDescent="0.25">
      <c r="A961" s="1">
        <v>45716</v>
      </c>
      <c r="B961" t="s">
        <v>1396</v>
      </c>
      <c r="C961" t="s">
        <v>17</v>
      </c>
      <c r="D961" t="s">
        <v>18</v>
      </c>
      <c r="E961">
        <v>375</v>
      </c>
      <c r="F961">
        <v>0</v>
      </c>
      <c r="G961">
        <v>128</v>
      </c>
      <c r="H961">
        <v>48000</v>
      </c>
      <c r="I961" t="s">
        <v>1405</v>
      </c>
      <c r="J961">
        <v>48</v>
      </c>
      <c r="K961">
        <v>17.05</v>
      </c>
      <c r="L961">
        <v>0</v>
      </c>
      <c r="M961">
        <v>0.05</v>
      </c>
      <c r="N961">
        <v>145</v>
      </c>
      <c r="O961">
        <v>29.18</v>
      </c>
      <c r="P961">
        <v>239.28</v>
      </c>
      <c r="Q961">
        <f t="shared" si="150"/>
        <v>2025</v>
      </c>
      <c r="R961">
        <f t="shared" si="151"/>
        <v>2</v>
      </c>
      <c r="S961">
        <f t="shared" si="152"/>
        <v>2024</v>
      </c>
      <c r="T961">
        <f t="shared" si="153"/>
        <v>11</v>
      </c>
      <c r="U961">
        <f t="shared" si="154"/>
        <v>11</v>
      </c>
      <c r="V961" t="str">
        <f t="shared" si="155"/>
        <v>202411</v>
      </c>
      <c r="W961" t="str">
        <f t="shared" si="156"/>
        <v>Feb-25</v>
      </c>
      <c r="X961" s="3">
        <f t="shared" si="157"/>
        <v>47760.72</v>
      </c>
      <c r="Y961">
        <f t="shared" si="148"/>
        <v>47760.72</v>
      </c>
      <c r="Z961" t="str">
        <f t="shared" si="149"/>
        <v/>
      </c>
    </row>
    <row r="962" spans="1:26" x14ac:dyDescent="0.25">
      <c r="A962" s="1">
        <v>45716</v>
      </c>
      <c r="B962" t="s">
        <v>1396</v>
      </c>
      <c r="C962" t="s">
        <v>17</v>
      </c>
      <c r="D962" t="s">
        <v>22</v>
      </c>
      <c r="E962">
        <v>300</v>
      </c>
      <c r="F962">
        <v>0</v>
      </c>
      <c r="G962">
        <v>145.25</v>
      </c>
      <c r="H962">
        <v>43575</v>
      </c>
      <c r="I962" t="s">
        <v>1406</v>
      </c>
      <c r="J962">
        <v>0</v>
      </c>
      <c r="K962">
        <v>15.48</v>
      </c>
      <c r="L962">
        <v>4.66</v>
      </c>
      <c r="M962">
        <v>0.04</v>
      </c>
      <c r="N962">
        <v>116</v>
      </c>
      <c r="O962">
        <v>23.68</v>
      </c>
      <c r="P962">
        <v>159.86000000000001</v>
      </c>
      <c r="Q962">
        <f t="shared" si="150"/>
        <v>2025</v>
      </c>
      <c r="R962">
        <f t="shared" si="151"/>
        <v>2</v>
      </c>
      <c r="S962">
        <f t="shared" si="152"/>
        <v>2024</v>
      </c>
      <c r="T962">
        <f t="shared" si="153"/>
        <v>11</v>
      </c>
      <c r="U962">
        <f t="shared" si="154"/>
        <v>11</v>
      </c>
      <c r="V962" t="str">
        <f t="shared" si="155"/>
        <v>202411</v>
      </c>
      <c r="W962" t="str">
        <f t="shared" si="156"/>
        <v>Feb-25</v>
      </c>
      <c r="X962" s="3">
        <f t="shared" si="157"/>
        <v>-43734.86</v>
      </c>
      <c r="Y962" t="str">
        <f t="shared" si="148"/>
        <v/>
      </c>
      <c r="Z962">
        <f t="shared" si="149"/>
        <v>-43734.86</v>
      </c>
    </row>
    <row r="963" spans="1:26" x14ac:dyDescent="0.25">
      <c r="A963" s="1">
        <v>45716</v>
      </c>
      <c r="B963" t="s">
        <v>1396</v>
      </c>
      <c r="C963" t="s">
        <v>17</v>
      </c>
      <c r="D963" t="s">
        <v>22</v>
      </c>
      <c r="E963">
        <v>75</v>
      </c>
      <c r="F963">
        <v>0</v>
      </c>
      <c r="G963">
        <v>205.2</v>
      </c>
      <c r="H963">
        <v>15390</v>
      </c>
      <c r="I963" t="s">
        <v>1407</v>
      </c>
      <c r="J963">
        <v>0</v>
      </c>
      <c r="K963">
        <v>5.47</v>
      </c>
      <c r="L963">
        <v>0</v>
      </c>
      <c r="M963">
        <v>0.02</v>
      </c>
      <c r="N963">
        <v>29</v>
      </c>
      <c r="O963">
        <v>6.2</v>
      </c>
      <c r="P963">
        <v>40.69</v>
      </c>
      <c r="Q963">
        <f t="shared" si="150"/>
        <v>2025</v>
      </c>
      <c r="R963">
        <f t="shared" si="151"/>
        <v>2</v>
      </c>
      <c r="S963">
        <f t="shared" si="152"/>
        <v>2024</v>
      </c>
      <c r="T963">
        <f t="shared" si="153"/>
        <v>11</v>
      </c>
      <c r="U963">
        <f t="shared" si="154"/>
        <v>11</v>
      </c>
      <c r="V963" t="str">
        <f t="shared" si="155"/>
        <v>202411</v>
      </c>
      <c r="W963" t="str">
        <f t="shared" si="156"/>
        <v>Feb-25</v>
      </c>
      <c r="X963" s="3">
        <f t="shared" si="157"/>
        <v>-15430.69</v>
      </c>
      <c r="Y963" t="str">
        <f t="shared" ref="Y963:Y1026" si="158">IF(X963&gt;0,X963,"")</f>
        <v/>
      </c>
      <c r="Z963">
        <f t="shared" ref="Z963:Z1026" si="159">IF(X963&lt;0,X963,"")</f>
        <v>-15430.69</v>
      </c>
    </row>
    <row r="964" spans="1:26" x14ac:dyDescent="0.25">
      <c r="A964" s="1">
        <v>45719</v>
      </c>
      <c r="B964" t="s">
        <v>1387</v>
      </c>
      <c r="C964" t="s">
        <v>17</v>
      </c>
      <c r="D964" t="s">
        <v>18</v>
      </c>
      <c r="E964">
        <v>75</v>
      </c>
      <c r="F964">
        <v>0</v>
      </c>
      <c r="G964">
        <v>174.25</v>
      </c>
      <c r="H964">
        <v>13068.75</v>
      </c>
      <c r="I964" t="s">
        <v>1388</v>
      </c>
      <c r="J964">
        <v>13.07</v>
      </c>
      <c r="K964">
        <v>4.6399999999999997</v>
      </c>
      <c r="L964">
        <v>0</v>
      </c>
      <c r="M964">
        <v>0.01</v>
      </c>
      <c r="N964">
        <v>29</v>
      </c>
      <c r="O964">
        <v>6.06</v>
      </c>
      <c r="P964">
        <v>52.78</v>
      </c>
      <c r="Q964">
        <f t="shared" si="150"/>
        <v>2025</v>
      </c>
      <c r="R964">
        <f t="shared" si="151"/>
        <v>3</v>
      </c>
      <c r="S964">
        <f t="shared" si="152"/>
        <v>2024</v>
      </c>
      <c r="T964">
        <f t="shared" si="153"/>
        <v>12</v>
      </c>
      <c r="U964">
        <f t="shared" si="154"/>
        <v>12</v>
      </c>
      <c r="V964" t="str">
        <f t="shared" si="155"/>
        <v>202412</v>
      </c>
      <c r="W964" t="str">
        <f t="shared" si="156"/>
        <v>Mar-25</v>
      </c>
      <c r="X964" s="3">
        <f t="shared" si="157"/>
        <v>13015.97</v>
      </c>
      <c r="Y964">
        <f t="shared" si="158"/>
        <v>13015.97</v>
      </c>
      <c r="Z964" t="str">
        <f t="shared" si="159"/>
        <v/>
      </c>
    </row>
    <row r="965" spans="1:26" x14ac:dyDescent="0.25">
      <c r="A965" s="1">
        <v>45719</v>
      </c>
      <c r="B965" t="s">
        <v>1387</v>
      </c>
      <c r="C965" t="s">
        <v>17</v>
      </c>
      <c r="D965" t="s">
        <v>22</v>
      </c>
      <c r="E965">
        <v>75</v>
      </c>
      <c r="F965">
        <v>0</v>
      </c>
      <c r="G965">
        <v>152.5</v>
      </c>
      <c r="H965">
        <v>11437.5</v>
      </c>
      <c r="I965" t="s">
        <v>1389</v>
      </c>
      <c r="J965">
        <v>0</v>
      </c>
      <c r="K965">
        <v>4.0599999999999996</v>
      </c>
      <c r="L965">
        <v>0.34</v>
      </c>
      <c r="M965">
        <v>0.01</v>
      </c>
      <c r="N965">
        <v>29</v>
      </c>
      <c r="O965">
        <v>5.96</v>
      </c>
      <c r="P965">
        <v>39.369999999999997</v>
      </c>
      <c r="Q965">
        <f t="shared" si="150"/>
        <v>2025</v>
      </c>
      <c r="R965">
        <f t="shared" si="151"/>
        <v>3</v>
      </c>
      <c r="S965">
        <f t="shared" si="152"/>
        <v>2024</v>
      </c>
      <c r="T965">
        <f t="shared" si="153"/>
        <v>12</v>
      </c>
      <c r="U965">
        <f t="shared" si="154"/>
        <v>12</v>
      </c>
      <c r="V965" t="str">
        <f t="shared" si="155"/>
        <v>202412</v>
      </c>
      <c r="W965" t="str">
        <f t="shared" si="156"/>
        <v>Mar-25</v>
      </c>
      <c r="X965" s="3">
        <f t="shared" si="157"/>
        <v>-11476.87</v>
      </c>
      <c r="Y965" t="str">
        <f t="shared" si="158"/>
        <v/>
      </c>
      <c r="Z965">
        <f t="shared" si="159"/>
        <v>-11476.87</v>
      </c>
    </row>
    <row r="966" spans="1:26" x14ac:dyDescent="0.25">
      <c r="A966" s="1">
        <v>45719</v>
      </c>
      <c r="B966" t="s">
        <v>1384</v>
      </c>
      <c r="C966" t="s">
        <v>17</v>
      </c>
      <c r="D966" t="s">
        <v>18</v>
      </c>
      <c r="E966">
        <v>300</v>
      </c>
      <c r="F966">
        <v>0</v>
      </c>
      <c r="G966">
        <v>51.25</v>
      </c>
      <c r="H966">
        <v>15375</v>
      </c>
      <c r="I966" t="s">
        <v>1390</v>
      </c>
      <c r="J966">
        <v>15.43</v>
      </c>
      <c r="K966">
        <v>5.46</v>
      </c>
      <c r="L966">
        <v>0</v>
      </c>
      <c r="M966">
        <v>0.02</v>
      </c>
      <c r="N966">
        <v>116</v>
      </c>
      <c r="O966">
        <v>21.86</v>
      </c>
      <c r="P966">
        <v>158.77000000000001</v>
      </c>
      <c r="Q966">
        <f t="shared" si="150"/>
        <v>2025</v>
      </c>
      <c r="R966">
        <f t="shared" si="151"/>
        <v>3</v>
      </c>
      <c r="S966">
        <f t="shared" si="152"/>
        <v>2024</v>
      </c>
      <c r="T966">
        <f t="shared" si="153"/>
        <v>12</v>
      </c>
      <c r="U966">
        <f t="shared" si="154"/>
        <v>12</v>
      </c>
      <c r="V966" t="str">
        <f t="shared" si="155"/>
        <v>202412</v>
      </c>
      <c r="W966" t="str">
        <f t="shared" si="156"/>
        <v>Mar-25</v>
      </c>
      <c r="X966" s="3">
        <f t="shared" si="157"/>
        <v>15216.23</v>
      </c>
      <c r="Y966">
        <f t="shared" si="158"/>
        <v>15216.23</v>
      </c>
      <c r="Z966" t="str">
        <f t="shared" si="159"/>
        <v/>
      </c>
    </row>
    <row r="967" spans="1:26" x14ac:dyDescent="0.25">
      <c r="A967" s="1">
        <v>45719</v>
      </c>
      <c r="B967" t="s">
        <v>1384</v>
      </c>
      <c r="C967" t="s">
        <v>17</v>
      </c>
      <c r="D967" t="s">
        <v>22</v>
      </c>
      <c r="E967">
        <v>300</v>
      </c>
      <c r="F967">
        <v>0</v>
      </c>
      <c r="G967">
        <v>53.2</v>
      </c>
      <c r="H967">
        <v>15960</v>
      </c>
      <c r="I967" t="s">
        <v>1391</v>
      </c>
      <c r="J967">
        <v>0</v>
      </c>
      <c r="K967">
        <v>5.67</v>
      </c>
      <c r="L967">
        <v>0.66</v>
      </c>
      <c r="M967">
        <v>0.02</v>
      </c>
      <c r="N967">
        <v>116</v>
      </c>
      <c r="O967">
        <v>21.9</v>
      </c>
      <c r="P967">
        <v>144.25</v>
      </c>
      <c r="Q967">
        <f t="shared" si="150"/>
        <v>2025</v>
      </c>
      <c r="R967">
        <f t="shared" si="151"/>
        <v>3</v>
      </c>
      <c r="S967">
        <f t="shared" si="152"/>
        <v>2024</v>
      </c>
      <c r="T967">
        <f t="shared" si="153"/>
        <v>12</v>
      </c>
      <c r="U967">
        <f t="shared" si="154"/>
        <v>12</v>
      </c>
      <c r="V967" t="str">
        <f t="shared" si="155"/>
        <v>202412</v>
      </c>
      <c r="W967" t="str">
        <f t="shared" si="156"/>
        <v>Mar-25</v>
      </c>
      <c r="X967" s="3">
        <f t="shared" si="157"/>
        <v>-16104.25</v>
      </c>
      <c r="Y967" t="str">
        <f t="shared" si="158"/>
        <v/>
      </c>
      <c r="Z967">
        <f t="shared" si="159"/>
        <v>-16104.25</v>
      </c>
    </row>
    <row r="968" spans="1:26" x14ac:dyDescent="0.25">
      <c r="A968" s="1">
        <v>45719</v>
      </c>
      <c r="B968" t="s">
        <v>1384</v>
      </c>
      <c r="C968" t="s">
        <v>17</v>
      </c>
      <c r="D968" t="s">
        <v>18</v>
      </c>
      <c r="E968">
        <v>225</v>
      </c>
      <c r="F968">
        <v>0</v>
      </c>
      <c r="G968">
        <v>60</v>
      </c>
      <c r="H968">
        <v>13500</v>
      </c>
      <c r="I968" t="s">
        <v>1392</v>
      </c>
      <c r="J968">
        <v>13.5</v>
      </c>
      <c r="K968">
        <v>4.8</v>
      </c>
      <c r="L968">
        <v>0</v>
      </c>
      <c r="M968">
        <v>0.01</v>
      </c>
      <c r="N968">
        <v>87</v>
      </c>
      <c r="O968">
        <v>16.52</v>
      </c>
      <c r="P968">
        <v>121.83</v>
      </c>
      <c r="Q968">
        <f t="shared" si="150"/>
        <v>2025</v>
      </c>
      <c r="R968">
        <f t="shared" si="151"/>
        <v>3</v>
      </c>
      <c r="S968">
        <f t="shared" si="152"/>
        <v>2024</v>
      </c>
      <c r="T968">
        <f t="shared" si="153"/>
        <v>12</v>
      </c>
      <c r="U968">
        <f t="shared" si="154"/>
        <v>12</v>
      </c>
      <c r="V968" t="str">
        <f t="shared" si="155"/>
        <v>202412</v>
      </c>
      <c r="W968" t="str">
        <f t="shared" si="156"/>
        <v>Mar-25</v>
      </c>
      <c r="X968" s="3">
        <f t="shared" si="157"/>
        <v>13378.17</v>
      </c>
      <c r="Y968">
        <f t="shared" si="158"/>
        <v>13378.17</v>
      </c>
      <c r="Z968" t="str">
        <f t="shared" si="159"/>
        <v/>
      </c>
    </row>
    <row r="969" spans="1:26" x14ac:dyDescent="0.25">
      <c r="A969" s="1">
        <v>45719</v>
      </c>
      <c r="B969" t="s">
        <v>1384</v>
      </c>
      <c r="C969" t="s">
        <v>17</v>
      </c>
      <c r="D969" t="s">
        <v>22</v>
      </c>
      <c r="E969">
        <v>75</v>
      </c>
      <c r="F969">
        <v>0</v>
      </c>
      <c r="G969">
        <v>65.25</v>
      </c>
      <c r="H969">
        <v>4893.75</v>
      </c>
      <c r="I969" t="s">
        <v>1393</v>
      </c>
      <c r="J969">
        <v>0</v>
      </c>
      <c r="K969">
        <v>1.74</v>
      </c>
      <c r="L969">
        <v>0</v>
      </c>
      <c r="M969">
        <v>0</v>
      </c>
      <c r="N969">
        <v>29</v>
      </c>
      <c r="O969">
        <v>5.54</v>
      </c>
      <c r="P969">
        <v>36.28</v>
      </c>
      <c r="Q969">
        <f t="shared" si="150"/>
        <v>2025</v>
      </c>
      <c r="R969">
        <f t="shared" si="151"/>
        <v>3</v>
      </c>
      <c r="S969">
        <f t="shared" si="152"/>
        <v>2024</v>
      </c>
      <c r="T969">
        <f t="shared" si="153"/>
        <v>12</v>
      </c>
      <c r="U969">
        <f t="shared" si="154"/>
        <v>12</v>
      </c>
      <c r="V969" t="str">
        <f t="shared" si="155"/>
        <v>202412</v>
      </c>
      <c r="W969" t="str">
        <f t="shared" si="156"/>
        <v>Mar-25</v>
      </c>
      <c r="X969" s="3">
        <f t="shared" si="157"/>
        <v>-4930.03</v>
      </c>
      <c r="Y969" t="str">
        <f t="shared" si="158"/>
        <v/>
      </c>
      <c r="Z969">
        <f t="shared" si="159"/>
        <v>-4930.03</v>
      </c>
    </row>
    <row r="970" spans="1:26" x14ac:dyDescent="0.25">
      <c r="A970" s="1">
        <v>45719</v>
      </c>
      <c r="B970" t="s">
        <v>1384</v>
      </c>
      <c r="C970" t="s">
        <v>17</v>
      </c>
      <c r="D970" t="s">
        <v>22</v>
      </c>
      <c r="E970">
        <v>75</v>
      </c>
      <c r="F970">
        <v>0</v>
      </c>
      <c r="G970">
        <v>63.35</v>
      </c>
      <c r="H970">
        <v>4751.25</v>
      </c>
      <c r="I970" t="s">
        <v>1394</v>
      </c>
      <c r="J970">
        <v>0</v>
      </c>
      <c r="K970">
        <v>1.69</v>
      </c>
      <c r="L970">
        <v>0</v>
      </c>
      <c r="M970">
        <v>0</v>
      </c>
      <c r="N970">
        <v>29</v>
      </c>
      <c r="O970">
        <v>5.52</v>
      </c>
      <c r="P970">
        <v>36.21</v>
      </c>
      <c r="Q970">
        <f t="shared" si="150"/>
        <v>2025</v>
      </c>
      <c r="R970">
        <f t="shared" si="151"/>
        <v>3</v>
      </c>
      <c r="S970">
        <f t="shared" si="152"/>
        <v>2024</v>
      </c>
      <c r="T970">
        <f t="shared" si="153"/>
        <v>12</v>
      </c>
      <c r="U970">
        <f t="shared" si="154"/>
        <v>12</v>
      </c>
      <c r="V970" t="str">
        <f t="shared" si="155"/>
        <v>202412</v>
      </c>
      <c r="W970" t="str">
        <f t="shared" si="156"/>
        <v>Mar-25</v>
      </c>
      <c r="X970" s="3">
        <f t="shared" si="157"/>
        <v>-4787.46</v>
      </c>
      <c r="Y970" t="str">
        <f t="shared" si="158"/>
        <v/>
      </c>
      <c r="Z970">
        <f t="shared" si="159"/>
        <v>-4787.46</v>
      </c>
    </row>
    <row r="971" spans="1:26" x14ac:dyDescent="0.25">
      <c r="A971" s="1">
        <v>45719</v>
      </c>
      <c r="B971" t="s">
        <v>1384</v>
      </c>
      <c r="C971" t="s">
        <v>17</v>
      </c>
      <c r="D971" t="s">
        <v>22</v>
      </c>
      <c r="E971">
        <v>75</v>
      </c>
      <c r="F971">
        <v>0</v>
      </c>
      <c r="G971">
        <v>109.6</v>
      </c>
      <c r="H971">
        <v>8220</v>
      </c>
      <c r="I971" t="s">
        <v>1395</v>
      </c>
      <c r="J971">
        <v>0</v>
      </c>
      <c r="K971">
        <v>2.92</v>
      </c>
      <c r="L971">
        <v>0</v>
      </c>
      <c r="M971">
        <v>0.01</v>
      </c>
      <c r="N971">
        <v>29</v>
      </c>
      <c r="O971">
        <v>5.74</v>
      </c>
      <c r="P971">
        <v>37.67</v>
      </c>
      <c r="Q971">
        <f t="shared" si="150"/>
        <v>2025</v>
      </c>
      <c r="R971">
        <f t="shared" si="151"/>
        <v>3</v>
      </c>
      <c r="S971">
        <f t="shared" si="152"/>
        <v>2024</v>
      </c>
      <c r="T971">
        <f t="shared" si="153"/>
        <v>12</v>
      </c>
      <c r="U971">
        <f t="shared" si="154"/>
        <v>12</v>
      </c>
      <c r="V971" t="str">
        <f t="shared" si="155"/>
        <v>202412</v>
      </c>
      <c r="W971" t="str">
        <f t="shared" si="156"/>
        <v>Mar-25</v>
      </c>
      <c r="X971" s="3">
        <f t="shared" si="157"/>
        <v>-8257.67</v>
      </c>
      <c r="Y971" t="str">
        <f t="shared" si="158"/>
        <v/>
      </c>
      <c r="Z971">
        <f t="shared" si="159"/>
        <v>-8257.67</v>
      </c>
    </row>
    <row r="972" spans="1:26" x14ac:dyDescent="0.25">
      <c r="A972" s="1">
        <v>45720</v>
      </c>
      <c r="B972" t="s">
        <v>1380</v>
      </c>
      <c r="C972" t="s">
        <v>17</v>
      </c>
      <c r="D972" t="s">
        <v>18</v>
      </c>
      <c r="E972">
        <v>225</v>
      </c>
      <c r="F972">
        <v>0</v>
      </c>
      <c r="G972">
        <v>81.2</v>
      </c>
      <c r="H972">
        <v>18270</v>
      </c>
      <c r="I972" t="s">
        <v>1381</v>
      </c>
      <c r="J972">
        <v>18.32</v>
      </c>
      <c r="K972">
        <v>6.49</v>
      </c>
      <c r="L972">
        <v>0</v>
      </c>
      <c r="M972">
        <v>0.02</v>
      </c>
      <c r="N972">
        <v>87</v>
      </c>
      <c r="O972">
        <v>16.84</v>
      </c>
      <c r="P972">
        <v>128.66999999999999</v>
      </c>
      <c r="Q972">
        <f t="shared" si="150"/>
        <v>2025</v>
      </c>
      <c r="R972">
        <f t="shared" si="151"/>
        <v>3</v>
      </c>
      <c r="S972">
        <f t="shared" si="152"/>
        <v>2024</v>
      </c>
      <c r="T972">
        <f t="shared" si="153"/>
        <v>12</v>
      </c>
      <c r="U972">
        <f t="shared" si="154"/>
        <v>12</v>
      </c>
      <c r="V972" t="str">
        <f t="shared" si="155"/>
        <v>202412</v>
      </c>
      <c r="W972" t="str">
        <f t="shared" si="156"/>
        <v>Mar-25</v>
      </c>
      <c r="X972" s="3">
        <f t="shared" si="157"/>
        <v>18141.330000000002</v>
      </c>
      <c r="Y972">
        <f t="shared" si="158"/>
        <v>18141.330000000002</v>
      </c>
      <c r="Z972" t="str">
        <f t="shared" si="159"/>
        <v/>
      </c>
    </row>
    <row r="973" spans="1:26" x14ac:dyDescent="0.25">
      <c r="A973" s="1">
        <v>45720</v>
      </c>
      <c r="B973" t="s">
        <v>1380</v>
      </c>
      <c r="C973" t="s">
        <v>17</v>
      </c>
      <c r="D973" t="s">
        <v>22</v>
      </c>
      <c r="E973">
        <v>150</v>
      </c>
      <c r="F973">
        <v>0</v>
      </c>
      <c r="G973">
        <v>77.05</v>
      </c>
      <c r="H973">
        <v>11557.5</v>
      </c>
      <c r="I973" t="s">
        <v>1382</v>
      </c>
      <c r="J973">
        <v>0</v>
      </c>
      <c r="K973">
        <v>4.0999999999999996</v>
      </c>
      <c r="L973">
        <v>0.72</v>
      </c>
      <c r="M973">
        <v>0.02</v>
      </c>
      <c r="N973">
        <v>58</v>
      </c>
      <c r="O973">
        <v>11.2</v>
      </c>
      <c r="P973">
        <v>74.040000000000006</v>
      </c>
      <c r="Q973">
        <f t="shared" si="150"/>
        <v>2025</v>
      </c>
      <c r="R973">
        <f t="shared" si="151"/>
        <v>3</v>
      </c>
      <c r="S973">
        <f t="shared" si="152"/>
        <v>2024</v>
      </c>
      <c r="T973">
        <f t="shared" si="153"/>
        <v>12</v>
      </c>
      <c r="U973">
        <f t="shared" si="154"/>
        <v>12</v>
      </c>
      <c r="V973" t="str">
        <f t="shared" si="155"/>
        <v>202412</v>
      </c>
      <c r="W973" t="str">
        <f t="shared" si="156"/>
        <v>Mar-25</v>
      </c>
      <c r="X973" s="3">
        <f t="shared" si="157"/>
        <v>-11631.54</v>
      </c>
      <c r="Y973" t="str">
        <f t="shared" si="158"/>
        <v/>
      </c>
      <c r="Z973">
        <f t="shared" si="159"/>
        <v>-11631.54</v>
      </c>
    </row>
    <row r="974" spans="1:26" x14ac:dyDescent="0.25">
      <c r="A974" s="1">
        <v>45720</v>
      </c>
      <c r="B974" t="s">
        <v>1380</v>
      </c>
      <c r="C974" t="s">
        <v>17</v>
      </c>
      <c r="D974" t="s">
        <v>22</v>
      </c>
      <c r="E974">
        <v>75</v>
      </c>
      <c r="F974">
        <v>0</v>
      </c>
      <c r="G974">
        <v>76</v>
      </c>
      <c r="H974">
        <v>5700</v>
      </c>
      <c r="I974" t="s">
        <v>1383</v>
      </c>
      <c r="J974">
        <v>0</v>
      </c>
      <c r="K974">
        <v>2.0299999999999998</v>
      </c>
      <c r="L974">
        <v>0</v>
      </c>
      <c r="M974">
        <v>0.01</v>
      </c>
      <c r="N974">
        <v>29</v>
      </c>
      <c r="O974">
        <v>5.58</v>
      </c>
      <c r="P974">
        <v>36.619999999999997</v>
      </c>
      <c r="Q974">
        <f t="shared" si="150"/>
        <v>2025</v>
      </c>
      <c r="R974">
        <f t="shared" si="151"/>
        <v>3</v>
      </c>
      <c r="S974">
        <f t="shared" si="152"/>
        <v>2024</v>
      </c>
      <c r="T974">
        <f t="shared" si="153"/>
        <v>12</v>
      </c>
      <c r="U974">
        <f t="shared" si="154"/>
        <v>12</v>
      </c>
      <c r="V974" t="str">
        <f t="shared" si="155"/>
        <v>202412</v>
      </c>
      <c r="W974" t="str">
        <f t="shared" si="156"/>
        <v>Mar-25</v>
      </c>
      <c r="X974" s="3">
        <f t="shared" si="157"/>
        <v>-5736.62</v>
      </c>
      <c r="Y974" t="str">
        <f t="shared" si="158"/>
        <v/>
      </c>
      <c r="Z974">
        <f t="shared" si="159"/>
        <v>-5736.62</v>
      </c>
    </row>
    <row r="975" spans="1:26" x14ac:dyDescent="0.25">
      <c r="A975" s="1">
        <v>45720</v>
      </c>
      <c r="B975" t="s">
        <v>1384</v>
      </c>
      <c r="C975" t="s">
        <v>17</v>
      </c>
      <c r="D975" t="s">
        <v>18</v>
      </c>
      <c r="E975">
        <v>300</v>
      </c>
      <c r="F975">
        <v>0</v>
      </c>
      <c r="G975">
        <v>42.25</v>
      </c>
      <c r="H975">
        <v>12675</v>
      </c>
      <c r="I975" t="s">
        <v>1385</v>
      </c>
      <c r="J975">
        <v>12.68</v>
      </c>
      <c r="K975">
        <v>4.51</v>
      </c>
      <c r="L975">
        <v>0</v>
      </c>
      <c r="M975">
        <v>0.01</v>
      </c>
      <c r="N975">
        <v>116</v>
      </c>
      <c r="O975">
        <v>21.68</v>
      </c>
      <c r="P975">
        <v>154.88</v>
      </c>
      <c r="Q975">
        <f t="shared" si="150"/>
        <v>2025</v>
      </c>
      <c r="R975">
        <f t="shared" si="151"/>
        <v>3</v>
      </c>
      <c r="S975">
        <f t="shared" si="152"/>
        <v>2024</v>
      </c>
      <c r="T975">
        <f t="shared" si="153"/>
        <v>12</v>
      </c>
      <c r="U975">
        <f t="shared" si="154"/>
        <v>12</v>
      </c>
      <c r="V975" t="str">
        <f t="shared" si="155"/>
        <v>202412</v>
      </c>
      <c r="W975" t="str">
        <f t="shared" si="156"/>
        <v>Mar-25</v>
      </c>
      <c r="X975" s="3">
        <f t="shared" si="157"/>
        <v>12520.12</v>
      </c>
      <c r="Y975">
        <f t="shared" si="158"/>
        <v>12520.12</v>
      </c>
      <c r="Z975" t="str">
        <f t="shared" si="159"/>
        <v/>
      </c>
    </row>
    <row r="976" spans="1:26" x14ac:dyDescent="0.25">
      <c r="A976" s="1">
        <v>45720</v>
      </c>
      <c r="B976" t="s">
        <v>1384</v>
      </c>
      <c r="C976" t="s">
        <v>17</v>
      </c>
      <c r="D976" t="s">
        <v>22</v>
      </c>
      <c r="E976">
        <v>300</v>
      </c>
      <c r="F976">
        <v>0</v>
      </c>
      <c r="G976">
        <v>31.25</v>
      </c>
      <c r="H976">
        <v>9375</v>
      </c>
      <c r="I976" t="s">
        <v>1386</v>
      </c>
      <c r="J976">
        <v>0</v>
      </c>
      <c r="K976">
        <v>3.33</v>
      </c>
      <c r="L976">
        <v>0.28000000000000003</v>
      </c>
      <c r="M976">
        <v>0.01</v>
      </c>
      <c r="N976">
        <v>116</v>
      </c>
      <c r="O976">
        <v>21.48</v>
      </c>
      <c r="P976">
        <v>141.1</v>
      </c>
      <c r="Q976">
        <f t="shared" si="150"/>
        <v>2025</v>
      </c>
      <c r="R976">
        <f t="shared" si="151"/>
        <v>3</v>
      </c>
      <c r="S976">
        <f t="shared" si="152"/>
        <v>2024</v>
      </c>
      <c r="T976">
        <f t="shared" si="153"/>
        <v>12</v>
      </c>
      <c r="U976">
        <f t="shared" si="154"/>
        <v>12</v>
      </c>
      <c r="V976" t="str">
        <f t="shared" si="155"/>
        <v>202412</v>
      </c>
      <c r="W976" t="str">
        <f t="shared" si="156"/>
        <v>Mar-25</v>
      </c>
      <c r="X976" s="3">
        <f t="shared" si="157"/>
        <v>-9516.1</v>
      </c>
      <c r="Y976" t="str">
        <f t="shared" si="158"/>
        <v/>
      </c>
      <c r="Z976">
        <f t="shared" si="159"/>
        <v>-9516.1</v>
      </c>
    </row>
    <row r="977" spans="1:26" x14ac:dyDescent="0.25">
      <c r="A977" s="1">
        <v>45722</v>
      </c>
      <c r="B977" t="s">
        <v>1374</v>
      </c>
      <c r="C977" t="s">
        <v>17</v>
      </c>
      <c r="D977" t="s">
        <v>18</v>
      </c>
      <c r="E977">
        <v>375</v>
      </c>
      <c r="F977">
        <v>0</v>
      </c>
      <c r="G977">
        <v>24.25</v>
      </c>
      <c r="H977">
        <v>9093.75</v>
      </c>
      <c r="I977" t="s">
        <v>1375</v>
      </c>
      <c r="J977">
        <v>9.09</v>
      </c>
      <c r="K977">
        <v>3.23</v>
      </c>
      <c r="L977">
        <v>0</v>
      </c>
      <c r="M977">
        <v>0.01</v>
      </c>
      <c r="N977">
        <v>145</v>
      </c>
      <c r="O977">
        <v>26.68</v>
      </c>
      <c r="P977">
        <v>184.01</v>
      </c>
      <c r="Q977">
        <f t="shared" si="150"/>
        <v>2025</v>
      </c>
      <c r="R977">
        <f t="shared" si="151"/>
        <v>3</v>
      </c>
      <c r="S977">
        <f t="shared" si="152"/>
        <v>2024</v>
      </c>
      <c r="T977">
        <f t="shared" si="153"/>
        <v>12</v>
      </c>
      <c r="U977">
        <f t="shared" si="154"/>
        <v>12</v>
      </c>
      <c r="V977" t="str">
        <f t="shared" si="155"/>
        <v>202412</v>
      </c>
      <c r="W977" t="str">
        <f t="shared" si="156"/>
        <v>Mar-25</v>
      </c>
      <c r="X977" s="3">
        <f t="shared" si="157"/>
        <v>8909.74</v>
      </c>
      <c r="Y977">
        <f t="shared" si="158"/>
        <v>8909.74</v>
      </c>
      <c r="Z977" t="str">
        <f t="shared" si="159"/>
        <v/>
      </c>
    </row>
    <row r="978" spans="1:26" x14ac:dyDescent="0.25">
      <c r="A978" s="1">
        <v>45722</v>
      </c>
      <c r="B978" t="s">
        <v>1374</v>
      </c>
      <c r="C978" t="s">
        <v>17</v>
      </c>
      <c r="D978" t="s">
        <v>22</v>
      </c>
      <c r="E978">
        <v>375</v>
      </c>
      <c r="F978">
        <v>0</v>
      </c>
      <c r="G978">
        <v>13.25</v>
      </c>
      <c r="H978">
        <v>4968.75</v>
      </c>
      <c r="I978" t="s">
        <v>1376</v>
      </c>
      <c r="J978">
        <v>0</v>
      </c>
      <c r="K978">
        <v>1.77</v>
      </c>
      <c r="L978">
        <v>0</v>
      </c>
      <c r="M978">
        <v>0</v>
      </c>
      <c r="N978">
        <v>145</v>
      </c>
      <c r="O978">
        <v>26.42</v>
      </c>
      <c r="P978">
        <v>173.19</v>
      </c>
      <c r="Q978">
        <f t="shared" si="150"/>
        <v>2025</v>
      </c>
      <c r="R978">
        <f t="shared" si="151"/>
        <v>3</v>
      </c>
      <c r="S978">
        <f t="shared" si="152"/>
        <v>2024</v>
      </c>
      <c r="T978">
        <f t="shared" si="153"/>
        <v>12</v>
      </c>
      <c r="U978">
        <f t="shared" si="154"/>
        <v>12</v>
      </c>
      <c r="V978" t="str">
        <f t="shared" si="155"/>
        <v>202412</v>
      </c>
      <c r="W978" t="str">
        <f t="shared" si="156"/>
        <v>Mar-25</v>
      </c>
      <c r="X978" s="3">
        <f t="shared" si="157"/>
        <v>-5141.9399999999996</v>
      </c>
      <c r="Y978" t="str">
        <f t="shared" si="158"/>
        <v/>
      </c>
      <c r="Z978">
        <f t="shared" si="159"/>
        <v>-5141.9399999999996</v>
      </c>
    </row>
    <row r="979" spans="1:26" x14ac:dyDescent="0.25">
      <c r="A979" s="1">
        <v>45722</v>
      </c>
      <c r="B979" t="s">
        <v>1377</v>
      </c>
      <c r="C979" t="s">
        <v>17</v>
      </c>
      <c r="D979" t="s">
        <v>18</v>
      </c>
      <c r="E979">
        <v>375</v>
      </c>
      <c r="F979">
        <v>0</v>
      </c>
      <c r="G979">
        <v>23.73</v>
      </c>
      <c r="H979">
        <v>8898.75</v>
      </c>
      <c r="I979" t="s">
        <v>1378</v>
      </c>
      <c r="J979">
        <v>8.91</v>
      </c>
      <c r="K979">
        <v>3.16</v>
      </c>
      <c r="L979">
        <v>0</v>
      </c>
      <c r="M979">
        <v>0</v>
      </c>
      <c r="N979">
        <v>145</v>
      </c>
      <c r="O979">
        <v>26.66</v>
      </c>
      <c r="P979">
        <v>183.73</v>
      </c>
      <c r="Q979">
        <f t="shared" si="150"/>
        <v>2025</v>
      </c>
      <c r="R979">
        <f t="shared" si="151"/>
        <v>3</v>
      </c>
      <c r="S979">
        <f t="shared" si="152"/>
        <v>2024</v>
      </c>
      <c r="T979">
        <f t="shared" si="153"/>
        <v>12</v>
      </c>
      <c r="U979">
        <f t="shared" si="154"/>
        <v>12</v>
      </c>
      <c r="V979" t="str">
        <f t="shared" si="155"/>
        <v>202412</v>
      </c>
      <c r="W979" t="str">
        <f t="shared" si="156"/>
        <v>Mar-25</v>
      </c>
      <c r="X979" s="3">
        <f t="shared" si="157"/>
        <v>8715.02</v>
      </c>
      <c r="Y979">
        <f t="shared" si="158"/>
        <v>8715.02</v>
      </c>
      <c r="Z979" t="str">
        <f t="shared" si="159"/>
        <v/>
      </c>
    </row>
    <row r="980" spans="1:26" x14ac:dyDescent="0.25">
      <c r="A980" s="1">
        <v>45722</v>
      </c>
      <c r="B980" t="s">
        <v>1377</v>
      </c>
      <c r="C980" t="s">
        <v>17</v>
      </c>
      <c r="D980" t="s">
        <v>22</v>
      </c>
      <c r="E980">
        <v>375</v>
      </c>
      <c r="F980">
        <v>0</v>
      </c>
      <c r="G980">
        <v>11.15</v>
      </c>
      <c r="H980">
        <v>4181.25</v>
      </c>
      <c r="I980" t="s">
        <v>1379</v>
      </c>
      <c r="J980">
        <v>0</v>
      </c>
      <c r="K980">
        <v>1.49</v>
      </c>
      <c r="L980">
        <v>0</v>
      </c>
      <c r="M980">
        <v>0</v>
      </c>
      <c r="N980">
        <v>145</v>
      </c>
      <c r="O980">
        <v>26.36</v>
      </c>
      <c r="P980">
        <v>172.85</v>
      </c>
      <c r="Q980">
        <f t="shared" si="150"/>
        <v>2025</v>
      </c>
      <c r="R980">
        <f t="shared" si="151"/>
        <v>3</v>
      </c>
      <c r="S980">
        <f t="shared" si="152"/>
        <v>2024</v>
      </c>
      <c r="T980">
        <f t="shared" si="153"/>
        <v>12</v>
      </c>
      <c r="U980">
        <f t="shared" si="154"/>
        <v>12</v>
      </c>
      <c r="V980" t="str">
        <f t="shared" si="155"/>
        <v>202412</v>
      </c>
      <c r="W980" t="str">
        <f t="shared" si="156"/>
        <v>Mar-25</v>
      </c>
      <c r="X980" s="3">
        <f t="shared" si="157"/>
        <v>-4354.1000000000004</v>
      </c>
      <c r="Y980" t="str">
        <f t="shared" si="158"/>
        <v/>
      </c>
      <c r="Z980">
        <f t="shared" si="159"/>
        <v>-4354.1000000000004</v>
      </c>
    </row>
    <row r="981" spans="1:26" x14ac:dyDescent="0.25">
      <c r="A981" s="1">
        <v>45723</v>
      </c>
      <c r="B981" t="s">
        <v>1357</v>
      </c>
      <c r="C981" t="s">
        <v>17</v>
      </c>
      <c r="D981" t="s">
        <v>18</v>
      </c>
      <c r="E981">
        <v>150</v>
      </c>
      <c r="F981">
        <v>0</v>
      </c>
      <c r="G981">
        <v>90.3</v>
      </c>
      <c r="H981">
        <v>13545</v>
      </c>
      <c r="I981" t="s">
        <v>1358</v>
      </c>
      <c r="J981">
        <v>13.55</v>
      </c>
      <c r="K981">
        <v>4.8099999999999996</v>
      </c>
      <c r="L981">
        <v>0</v>
      </c>
      <c r="M981">
        <v>0.01</v>
      </c>
      <c r="N981">
        <v>58</v>
      </c>
      <c r="O981">
        <v>11.3</v>
      </c>
      <c r="P981">
        <v>87.67</v>
      </c>
      <c r="Q981">
        <f t="shared" si="150"/>
        <v>2025</v>
      </c>
      <c r="R981">
        <f t="shared" si="151"/>
        <v>3</v>
      </c>
      <c r="S981">
        <f t="shared" si="152"/>
        <v>2024</v>
      </c>
      <c r="T981">
        <f t="shared" si="153"/>
        <v>12</v>
      </c>
      <c r="U981">
        <f t="shared" si="154"/>
        <v>12</v>
      </c>
      <c r="V981" t="str">
        <f t="shared" si="155"/>
        <v>202412</v>
      </c>
      <c r="W981" t="str">
        <f t="shared" si="156"/>
        <v>Mar-25</v>
      </c>
      <c r="X981" s="3">
        <f t="shared" si="157"/>
        <v>13457.33</v>
      </c>
      <c r="Y981">
        <f t="shared" si="158"/>
        <v>13457.33</v>
      </c>
      <c r="Z981" t="str">
        <f t="shared" si="159"/>
        <v/>
      </c>
    </row>
    <row r="982" spans="1:26" x14ac:dyDescent="0.25">
      <c r="A982" s="1">
        <v>45723</v>
      </c>
      <c r="B982" t="s">
        <v>1357</v>
      </c>
      <c r="C982" t="s">
        <v>17</v>
      </c>
      <c r="D982" t="s">
        <v>22</v>
      </c>
      <c r="E982">
        <v>150</v>
      </c>
      <c r="F982">
        <v>0</v>
      </c>
      <c r="G982">
        <v>87.65</v>
      </c>
      <c r="H982">
        <v>13147.5</v>
      </c>
      <c r="I982" t="s">
        <v>1359</v>
      </c>
      <c r="J982">
        <v>0</v>
      </c>
      <c r="K982">
        <v>4.67</v>
      </c>
      <c r="L982">
        <v>1.55</v>
      </c>
      <c r="M982">
        <v>0.01</v>
      </c>
      <c r="N982">
        <v>58</v>
      </c>
      <c r="O982">
        <v>11.28</v>
      </c>
      <c r="P982">
        <v>75.510000000000005</v>
      </c>
      <c r="Q982">
        <f t="shared" si="150"/>
        <v>2025</v>
      </c>
      <c r="R982">
        <f t="shared" si="151"/>
        <v>3</v>
      </c>
      <c r="S982">
        <f t="shared" si="152"/>
        <v>2024</v>
      </c>
      <c r="T982">
        <f t="shared" si="153"/>
        <v>12</v>
      </c>
      <c r="U982">
        <f t="shared" si="154"/>
        <v>12</v>
      </c>
      <c r="V982" t="str">
        <f t="shared" si="155"/>
        <v>202412</v>
      </c>
      <c r="W982" t="str">
        <f t="shared" si="156"/>
        <v>Mar-25</v>
      </c>
      <c r="X982" s="3">
        <f t="shared" si="157"/>
        <v>-13223.01</v>
      </c>
      <c r="Y982" t="str">
        <f t="shared" si="158"/>
        <v/>
      </c>
      <c r="Z982">
        <f t="shared" si="159"/>
        <v>-13223.01</v>
      </c>
    </row>
    <row r="983" spans="1:26" x14ac:dyDescent="0.25">
      <c r="A983" s="1">
        <v>45723</v>
      </c>
      <c r="B983" t="s">
        <v>1357</v>
      </c>
      <c r="C983" t="s">
        <v>17</v>
      </c>
      <c r="D983" t="s">
        <v>18</v>
      </c>
      <c r="E983">
        <v>150</v>
      </c>
      <c r="F983">
        <v>0</v>
      </c>
      <c r="G983">
        <v>78.5</v>
      </c>
      <c r="H983">
        <v>11775</v>
      </c>
      <c r="I983" t="s">
        <v>1360</v>
      </c>
      <c r="J983">
        <v>11.78</v>
      </c>
      <c r="K983">
        <v>4.18</v>
      </c>
      <c r="L983">
        <v>0</v>
      </c>
      <c r="M983">
        <v>0.01</v>
      </c>
      <c r="N983">
        <v>58</v>
      </c>
      <c r="O983">
        <v>11.2</v>
      </c>
      <c r="P983">
        <v>85.17</v>
      </c>
      <c r="Q983">
        <f t="shared" si="150"/>
        <v>2025</v>
      </c>
      <c r="R983">
        <f t="shared" si="151"/>
        <v>3</v>
      </c>
      <c r="S983">
        <f t="shared" si="152"/>
        <v>2024</v>
      </c>
      <c r="T983">
        <f t="shared" si="153"/>
        <v>12</v>
      </c>
      <c r="U983">
        <f t="shared" si="154"/>
        <v>12</v>
      </c>
      <c r="V983" t="str">
        <f t="shared" si="155"/>
        <v>202412</v>
      </c>
      <c r="W983" t="str">
        <f t="shared" si="156"/>
        <v>Mar-25</v>
      </c>
      <c r="X983" s="3">
        <f t="shared" si="157"/>
        <v>11689.83</v>
      </c>
      <c r="Y983">
        <f t="shared" si="158"/>
        <v>11689.83</v>
      </c>
      <c r="Z983" t="str">
        <f t="shared" si="159"/>
        <v/>
      </c>
    </row>
    <row r="984" spans="1:26" x14ac:dyDescent="0.25">
      <c r="A984" s="1">
        <v>45723</v>
      </c>
      <c r="B984" t="s">
        <v>1357</v>
      </c>
      <c r="C984" t="s">
        <v>17</v>
      </c>
      <c r="D984" t="s">
        <v>22</v>
      </c>
      <c r="E984">
        <v>75</v>
      </c>
      <c r="F984">
        <v>0</v>
      </c>
      <c r="G984">
        <v>103.35</v>
      </c>
      <c r="H984">
        <v>7751.25</v>
      </c>
      <c r="I984" t="s">
        <v>1361</v>
      </c>
      <c r="J984">
        <v>0</v>
      </c>
      <c r="K984">
        <v>2.75</v>
      </c>
      <c r="L984">
        <v>0</v>
      </c>
      <c r="M984">
        <v>0.01</v>
      </c>
      <c r="N984">
        <v>29</v>
      </c>
      <c r="O984">
        <v>5.72</v>
      </c>
      <c r="P984">
        <v>37.479999999999997</v>
      </c>
      <c r="Q984">
        <f t="shared" si="150"/>
        <v>2025</v>
      </c>
      <c r="R984">
        <f t="shared" si="151"/>
        <v>3</v>
      </c>
      <c r="S984">
        <f t="shared" si="152"/>
        <v>2024</v>
      </c>
      <c r="T984">
        <f t="shared" si="153"/>
        <v>12</v>
      </c>
      <c r="U984">
        <f t="shared" si="154"/>
        <v>12</v>
      </c>
      <c r="V984" t="str">
        <f t="shared" si="155"/>
        <v>202412</v>
      </c>
      <c r="W984" t="str">
        <f t="shared" si="156"/>
        <v>Mar-25</v>
      </c>
      <c r="X984" s="3">
        <f t="shared" si="157"/>
        <v>-7788.73</v>
      </c>
      <c r="Y984" t="str">
        <f t="shared" si="158"/>
        <v/>
      </c>
      <c r="Z984">
        <f t="shared" si="159"/>
        <v>-7788.73</v>
      </c>
    </row>
    <row r="985" spans="1:26" x14ac:dyDescent="0.25">
      <c r="A985" s="1">
        <v>45723</v>
      </c>
      <c r="B985" t="s">
        <v>1357</v>
      </c>
      <c r="C985" t="s">
        <v>17</v>
      </c>
      <c r="D985" t="s">
        <v>22</v>
      </c>
      <c r="E985">
        <v>75</v>
      </c>
      <c r="F985">
        <v>0</v>
      </c>
      <c r="G985">
        <v>102</v>
      </c>
      <c r="H985">
        <v>7650</v>
      </c>
      <c r="I985" t="s">
        <v>1362</v>
      </c>
      <c r="J985">
        <v>0</v>
      </c>
      <c r="K985">
        <v>2.72</v>
      </c>
      <c r="L985">
        <v>0</v>
      </c>
      <c r="M985">
        <v>0.01</v>
      </c>
      <c r="N985">
        <v>29</v>
      </c>
      <c r="O985">
        <v>5.72</v>
      </c>
      <c r="P985">
        <v>37.450000000000003</v>
      </c>
      <c r="Q985">
        <f t="shared" si="150"/>
        <v>2025</v>
      </c>
      <c r="R985">
        <f t="shared" si="151"/>
        <v>3</v>
      </c>
      <c r="S985">
        <f t="shared" si="152"/>
        <v>2024</v>
      </c>
      <c r="T985">
        <f t="shared" si="153"/>
        <v>12</v>
      </c>
      <c r="U985">
        <f t="shared" si="154"/>
        <v>12</v>
      </c>
      <c r="V985" t="str">
        <f t="shared" si="155"/>
        <v>202412</v>
      </c>
      <c r="W985" t="str">
        <f t="shared" si="156"/>
        <v>Mar-25</v>
      </c>
      <c r="X985" s="3">
        <f t="shared" si="157"/>
        <v>-7687.45</v>
      </c>
      <c r="Y985" t="str">
        <f t="shared" si="158"/>
        <v/>
      </c>
      <c r="Z985">
        <f t="shared" si="159"/>
        <v>-7687.45</v>
      </c>
    </row>
    <row r="986" spans="1:26" x14ac:dyDescent="0.25">
      <c r="A986" s="1">
        <v>45723</v>
      </c>
      <c r="B986" t="s">
        <v>1357</v>
      </c>
      <c r="C986" t="s">
        <v>17</v>
      </c>
      <c r="D986" t="s">
        <v>18</v>
      </c>
      <c r="E986">
        <v>75</v>
      </c>
      <c r="F986">
        <v>0</v>
      </c>
      <c r="G986">
        <v>105.7</v>
      </c>
      <c r="H986">
        <v>7927.5</v>
      </c>
      <c r="I986" t="s">
        <v>1363</v>
      </c>
      <c r="J986">
        <v>7.93</v>
      </c>
      <c r="K986">
        <v>2.82</v>
      </c>
      <c r="L986">
        <v>0</v>
      </c>
      <c r="M986">
        <v>0.01</v>
      </c>
      <c r="N986">
        <v>29</v>
      </c>
      <c r="O986">
        <v>5.72</v>
      </c>
      <c r="P986">
        <v>45.48</v>
      </c>
      <c r="Q986">
        <f t="shared" si="150"/>
        <v>2025</v>
      </c>
      <c r="R986">
        <f t="shared" si="151"/>
        <v>3</v>
      </c>
      <c r="S986">
        <f t="shared" si="152"/>
        <v>2024</v>
      </c>
      <c r="T986">
        <f t="shared" si="153"/>
        <v>12</v>
      </c>
      <c r="U986">
        <f t="shared" si="154"/>
        <v>12</v>
      </c>
      <c r="V986" t="str">
        <f t="shared" si="155"/>
        <v>202412</v>
      </c>
      <c r="W986" t="str">
        <f t="shared" si="156"/>
        <v>Mar-25</v>
      </c>
      <c r="X986" s="3">
        <f t="shared" si="157"/>
        <v>7882.02</v>
      </c>
      <c r="Y986">
        <f t="shared" si="158"/>
        <v>7882.02</v>
      </c>
      <c r="Z986" t="str">
        <f t="shared" si="159"/>
        <v/>
      </c>
    </row>
    <row r="987" spans="1:26" x14ac:dyDescent="0.25">
      <c r="A987" s="1">
        <v>45723</v>
      </c>
      <c r="B987" t="s">
        <v>1357</v>
      </c>
      <c r="C987" t="s">
        <v>17</v>
      </c>
      <c r="D987" t="s">
        <v>22</v>
      </c>
      <c r="E987">
        <v>75</v>
      </c>
      <c r="F987">
        <v>0</v>
      </c>
      <c r="G987">
        <v>110.05</v>
      </c>
      <c r="H987">
        <v>8253.75</v>
      </c>
      <c r="I987" t="s">
        <v>1364</v>
      </c>
      <c r="J987">
        <v>0</v>
      </c>
      <c r="K987">
        <v>2.93</v>
      </c>
      <c r="L987">
        <v>0</v>
      </c>
      <c r="M987">
        <v>0.01</v>
      </c>
      <c r="N987">
        <v>29</v>
      </c>
      <c r="O987">
        <v>5.74</v>
      </c>
      <c r="P987">
        <v>37.68</v>
      </c>
      <c r="Q987">
        <f t="shared" si="150"/>
        <v>2025</v>
      </c>
      <c r="R987">
        <f t="shared" si="151"/>
        <v>3</v>
      </c>
      <c r="S987">
        <f t="shared" si="152"/>
        <v>2024</v>
      </c>
      <c r="T987">
        <f t="shared" si="153"/>
        <v>12</v>
      </c>
      <c r="U987">
        <f t="shared" si="154"/>
        <v>12</v>
      </c>
      <c r="V987" t="str">
        <f t="shared" si="155"/>
        <v>202412</v>
      </c>
      <c r="W987" t="str">
        <f t="shared" si="156"/>
        <v>Mar-25</v>
      </c>
      <c r="X987" s="3">
        <f t="shared" si="157"/>
        <v>-8291.43</v>
      </c>
      <c r="Y987" t="str">
        <f t="shared" si="158"/>
        <v/>
      </c>
      <c r="Z987">
        <f t="shared" si="159"/>
        <v>-8291.43</v>
      </c>
    </row>
    <row r="988" spans="1:26" x14ac:dyDescent="0.25">
      <c r="A988" s="1">
        <v>45723</v>
      </c>
      <c r="B988" t="s">
        <v>1353</v>
      </c>
      <c r="C988" t="s">
        <v>17</v>
      </c>
      <c r="D988" t="s">
        <v>18</v>
      </c>
      <c r="E988">
        <v>150</v>
      </c>
      <c r="F988">
        <v>0</v>
      </c>
      <c r="G988">
        <v>54.68</v>
      </c>
      <c r="H988">
        <v>8201.25</v>
      </c>
      <c r="I988" t="s">
        <v>1365</v>
      </c>
      <c r="J988">
        <v>8</v>
      </c>
      <c r="K988">
        <v>2.92</v>
      </c>
      <c r="L988">
        <v>0</v>
      </c>
      <c r="M988">
        <v>0</v>
      </c>
      <c r="N988">
        <v>58</v>
      </c>
      <c r="O988">
        <v>10.96</v>
      </c>
      <c r="P988">
        <v>79.88</v>
      </c>
      <c r="Q988">
        <f t="shared" si="150"/>
        <v>2025</v>
      </c>
      <c r="R988">
        <f t="shared" si="151"/>
        <v>3</v>
      </c>
      <c r="S988">
        <f t="shared" si="152"/>
        <v>2024</v>
      </c>
      <c r="T988">
        <f t="shared" si="153"/>
        <v>12</v>
      </c>
      <c r="U988">
        <f t="shared" si="154"/>
        <v>12</v>
      </c>
      <c r="V988" t="str">
        <f t="shared" si="155"/>
        <v>202412</v>
      </c>
      <c r="W988" t="str">
        <f t="shared" si="156"/>
        <v>Mar-25</v>
      </c>
      <c r="X988" s="3">
        <f t="shared" si="157"/>
        <v>8121.37</v>
      </c>
      <c r="Y988">
        <f t="shared" si="158"/>
        <v>8121.37</v>
      </c>
      <c r="Z988" t="str">
        <f t="shared" si="159"/>
        <v/>
      </c>
    </row>
    <row r="989" spans="1:26" x14ac:dyDescent="0.25">
      <c r="A989" s="1">
        <v>45723</v>
      </c>
      <c r="B989" t="s">
        <v>1353</v>
      </c>
      <c r="C989" t="s">
        <v>17</v>
      </c>
      <c r="D989" t="s">
        <v>22</v>
      </c>
      <c r="E989">
        <v>150</v>
      </c>
      <c r="F989">
        <v>0</v>
      </c>
      <c r="G989">
        <v>58.8</v>
      </c>
      <c r="H989">
        <v>8820</v>
      </c>
      <c r="I989" t="s">
        <v>1366</v>
      </c>
      <c r="J989">
        <v>0</v>
      </c>
      <c r="K989">
        <v>3.13</v>
      </c>
      <c r="L989">
        <v>0.45</v>
      </c>
      <c r="M989">
        <v>0.01</v>
      </c>
      <c r="N989">
        <v>58</v>
      </c>
      <c r="O989">
        <v>11</v>
      </c>
      <c r="P989">
        <v>72.59</v>
      </c>
      <c r="Q989">
        <f t="shared" si="150"/>
        <v>2025</v>
      </c>
      <c r="R989">
        <f t="shared" si="151"/>
        <v>3</v>
      </c>
      <c r="S989">
        <f t="shared" si="152"/>
        <v>2024</v>
      </c>
      <c r="T989">
        <f t="shared" si="153"/>
        <v>12</v>
      </c>
      <c r="U989">
        <f t="shared" si="154"/>
        <v>12</v>
      </c>
      <c r="V989" t="str">
        <f t="shared" si="155"/>
        <v>202412</v>
      </c>
      <c r="W989" t="str">
        <f t="shared" si="156"/>
        <v>Mar-25</v>
      </c>
      <c r="X989" s="3">
        <f t="shared" si="157"/>
        <v>-8892.59</v>
      </c>
      <c r="Y989" t="str">
        <f t="shared" si="158"/>
        <v/>
      </c>
      <c r="Z989">
        <f t="shared" si="159"/>
        <v>-8892.59</v>
      </c>
    </row>
    <row r="990" spans="1:26" x14ac:dyDescent="0.25">
      <c r="A990" s="1">
        <v>45723</v>
      </c>
      <c r="B990" t="s">
        <v>1357</v>
      </c>
      <c r="C990" t="s">
        <v>17</v>
      </c>
      <c r="D990" t="s">
        <v>18</v>
      </c>
      <c r="E990">
        <v>150</v>
      </c>
      <c r="F990">
        <v>0</v>
      </c>
      <c r="G990">
        <v>98.75</v>
      </c>
      <c r="H990">
        <v>14812.5</v>
      </c>
      <c r="I990" t="s">
        <v>1367</v>
      </c>
      <c r="J990">
        <v>14.81</v>
      </c>
      <c r="K990">
        <v>5.26</v>
      </c>
      <c r="L990">
        <v>0</v>
      </c>
      <c r="M990">
        <v>0.01</v>
      </c>
      <c r="N990">
        <v>58</v>
      </c>
      <c r="O990">
        <v>11.38</v>
      </c>
      <c r="P990">
        <v>89.46</v>
      </c>
      <c r="Q990">
        <f t="shared" si="150"/>
        <v>2025</v>
      </c>
      <c r="R990">
        <f t="shared" si="151"/>
        <v>3</v>
      </c>
      <c r="S990">
        <f t="shared" si="152"/>
        <v>2024</v>
      </c>
      <c r="T990">
        <f t="shared" si="153"/>
        <v>12</v>
      </c>
      <c r="U990">
        <f t="shared" si="154"/>
        <v>12</v>
      </c>
      <c r="V990" t="str">
        <f t="shared" si="155"/>
        <v>202412</v>
      </c>
      <c r="W990" t="str">
        <f t="shared" si="156"/>
        <v>Mar-25</v>
      </c>
      <c r="X990" s="3">
        <f t="shared" si="157"/>
        <v>14723.04</v>
      </c>
      <c r="Y990">
        <f t="shared" si="158"/>
        <v>14723.04</v>
      </c>
      <c r="Z990" t="str">
        <f t="shared" si="159"/>
        <v/>
      </c>
    </row>
    <row r="991" spans="1:26" x14ac:dyDescent="0.25">
      <c r="A991" s="1">
        <v>45723</v>
      </c>
      <c r="B991" t="s">
        <v>1357</v>
      </c>
      <c r="C991" t="s">
        <v>17</v>
      </c>
      <c r="D991" t="s">
        <v>22</v>
      </c>
      <c r="E991">
        <v>75</v>
      </c>
      <c r="F991">
        <v>0</v>
      </c>
      <c r="G991">
        <v>81.400000000000006</v>
      </c>
      <c r="H991">
        <v>6105</v>
      </c>
      <c r="I991" t="s">
        <v>1368</v>
      </c>
      <c r="J991">
        <v>0</v>
      </c>
      <c r="K991">
        <v>2.17</v>
      </c>
      <c r="L991">
        <v>0</v>
      </c>
      <c r="M991">
        <v>0.01</v>
      </c>
      <c r="N991">
        <v>29</v>
      </c>
      <c r="O991">
        <v>5.62</v>
      </c>
      <c r="P991">
        <v>36.799999999999997</v>
      </c>
      <c r="Q991">
        <f t="shared" si="150"/>
        <v>2025</v>
      </c>
      <c r="R991">
        <f t="shared" si="151"/>
        <v>3</v>
      </c>
      <c r="S991">
        <f t="shared" si="152"/>
        <v>2024</v>
      </c>
      <c r="T991">
        <f t="shared" si="153"/>
        <v>12</v>
      </c>
      <c r="U991">
        <f t="shared" si="154"/>
        <v>12</v>
      </c>
      <c r="V991" t="str">
        <f t="shared" si="155"/>
        <v>202412</v>
      </c>
      <c r="W991" t="str">
        <f t="shared" si="156"/>
        <v>Mar-25</v>
      </c>
      <c r="X991" s="3">
        <f t="shared" si="157"/>
        <v>-6141.8</v>
      </c>
      <c r="Y991" t="str">
        <f t="shared" si="158"/>
        <v/>
      </c>
      <c r="Z991">
        <f t="shared" si="159"/>
        <v>-6141.8</v>
      </c>
    </row>
    <row r="992" spans="1:26" x14ac:dyDescent="0.25">
      <c r="A992" s="1">
        <v>45723</v>
      </c>
      <c r="B992" t="s">
        <v>1353</v>
      </c>
      <c r="C992" t="s">
        <v>17</v>
      </c>
      <c r="D992" t="s">
        <v>18</v>
      </c>
      <c r="E992">
        <v>75</v>
      </c>
      <c r="F992">
        <v>0</v>
      </c>
      <c r="G992">
        <v>70.400000000000006</v>
      </c>
      <c r="H992">
        <v>5280</v>
      </c>
      <c r="I992" t="s">
        <v>1369</v>
      </c>
      <c r="J992">
        <v>5.28</v>
      </c>
      <c r="K992">
        <v>1.88</v>
      </c>
      <c r="L992">
        <v>0</v>
      </c>
      <c r="M992">
        <v>0.01</v>
      </c>
      <c r="N992">
        <v>29</v>
      </c>
      <c r="O992">
        <v>5.56</v>
      </c>
      <c r="P992">
        <v>41.73</v>
      </c>
      <c r="Q992">
        <f t="shared" si="150"/>
        <v>2025</v>
      </c>
      <c r="R992">
        <f t="shared" si="151"/>
        <v>3</v>
      </c>
      <c r="S992">
        <f t="shared" si="152"/>
        <v>2024</v>
      </c>
      <c r="T992">
        <f t="shared" si="153"/>
        <v>12</v>
      </c>
      <c r="U992">
        <f t="shared" si="154"/>
        <v>12</v>
      </c>
      <c r="V992" t="str">
        <f t="shared" si="155"/>
        <v>202412</v>
      </c>
      <c r="W992" t="str">
        <f t="shared" si="156"/>
        <v>Mar-25</v>
      </c>
      <c r="X992" s="3">
        <f t="shared" si="157"/>
        <v>5238.2700000000004</v>
      </c>
      <c r="Y992">
        <f t="shared" si="158"/>
        <v>5238.2700000000004</v>
      </c>
      <c r="Z992" t="str">
        <f t="shared" si="159"/>
        <v/>
      </c>
    </row>
    <row r="993" spans="1:26" x14ac:dyDescent="0.25">
      <c r="A993" s="1">
        <v>45723</v>
      </c>
      <c r="B993" t="s">
        <v>1357</v>
      </c>
      <c r="C993" t="s">
        <v>17</v>
      </c>
      <c r="D993" t="s">
        <v>22</v>
      </c>
      <c r="E993">
        <v>75</v>
      </c>
      <c r="F993">
        <v>0</v>
      </c>
      <c r="G993">
        <v>81.25</v>
      </c>
      <c r="H993">
        <v>6093.75</v>
      </c>
      <c r="I993" t="s">
        <v>1370</v>
      </c>
      <c r="J993">
        <v>0</v>
      </c>
      <c r="K993">
        <v>2.17</v>
      </c>
      <c r="L993">
        <v>0</v>
      </c>
      <c r="M993">
        <v>0.01</v>
      </c>
      <c r="N993">
        <v>29</v>
      </c>
      <c r="O993">
        <v>5.62</v>
      </c>
      <c r="P993">
        <v>36.799999999999997</v>
      </c>
      <c r="Q993">
        <f t="shared" si="150"/>
        <v>2025</v>
      </c>
      <c r="R993">
        <f t="shared" si="151"/>
        <v>3</v>
      </c>
      <c r="S993">
        <f t="shared" si="152"/>
        <v>2024</v>
      </c>
      <c r="T993">
        <f t="shared" si="153"/>
        <v>12</v>
      </c>
      <c r="U993">
        <f t="shared" si="154"/>
        <v>12</v>
      </c>
      <c r="V993" t="str">
        <f t="shared" si="155"/>
        <v>202412</v>
      </c>
      <c r="W993" t="str">
        <f t="shared" si="156"/>
        <v>Mar-25</v>
      </c>
      <c r="X993" s="3">
        <f t="shared" si="157"/>
        <v>-6130.55</v>
      </c>
      <c r="Y993" t="str">
        <f t="shared" si="158"/>
        <v/>
      </c>
      <c r="Z993">
        <f t="shared" si="159"/>
        <v>-6130.55</v>
      </c>
    </row>
    <row r="994" spans="1:26" x14ac:dyDescent="0.25">
      <c r="A994" s="1">
        <v>45723</v>
      </c>
      <c r="B994" t="s">
        <v>1357</v>
      </c>
      <c r="C994" t="s">
        <v>17</v>
      </c>
      <c r="D994" t="s">
        <v>18</v>
      </c>
      <c r="E994">
        <v>75</v>
      </c>
      <c r="F994">
        <v>0</v>
      </c>
      <c r="G994">
        <v>75.5</v>
      </c>
      <c r="H994">
        <v>5662.5</v>
      </c>
      <c r="I994" t="s">
        <v>1371</v>
      </c>
      <c r="J994">
        <v>5.66</v>
      </c>
      <c r="K994">
        <v>2.0099999999999998</v>
      </c>
      <c r="L994">
        <v>0</v>
      </c>
      <c r="M994">
        <v>0.01</v>
      </c>
      <c r="N994">
        <v>29</v>
      </c>
      <c r="O994">
        <v>5.58</v>
      </c>
      <c r="P994">
        <v>42.26</v>
      </c>
      <c r="Q994">
        <f t="shared" si="150"/>
        <v>2025</v>
      </c>
      <c r="R994">
        <f t="shared" si="151"/>
        <v>3</v>
      </c>
      <c r="S994">
        <f t="shared" si="152"/>
        <v>2024</v>
      </c>
      <c r="T994">
        <f t="shared" si="153"/>
        <v>12</v>
      </c>
      <c r="U994">
        <f t="shared" si="154"/>
        <v>12</v>
      </c>
      <c r="V994" t="str">
        <f t="shared" si="155"/>
        <v>202412</v>
      </c>
      <c r="W994" t="str">
        <f t="shared" si="156"/>
        <v>Mar-25</v>
      </c>
      <c r="X994" s="3">
        <f t="shared" si="157"/>
        <v>5620.24</v>
      </c>
      <c r="Y994">
        <f t="shared" si="158"/>
        <v>5620.24</v>
      </c>
      <c r="Z994" t="str">
        <f t="shared" si="159"/>
        <v/>
      </c>
    </row>
    <row r="995" spans="1:26" x14ac:dyDescent="0.25">
      <c r="A995" s="1">
        <v>45723</v>
      </c>
      <c r="B995" t="s">
        <v>1353</v>
      </c>
      <c r="C995" t="s">
        <v>17</v>
      </c>
      <c r="D995" t="s">
        <v>22</v>
      </c>
      <c r="E995">
        <v>75</v>
      </c>
      <c r="F995">
        <v>0</v>
      </c>
      <c r="G995">
        <v>81</v>
      </c>
      <c r="H995">
        <v>6075</v>
      </c>
      <c r="I995" t="s">
        <v>1372</v>
      </c>
      <c r="J995">
        <v>0</v>
      </c>
      <c r="K995">
        <v>2.16</v>
      </c>
      <c r="L995">
        <v>0</v>
      </c>
      <c r="M995">
        <v>0.01</v>
      </c>
      <c r="N995">
        <v>29</v>
      </c>
      <c r="O995">
        <v>5.62</v>
      </c>
      <c r="P995">
        <v>36.79</v>
      </c>
      <c r="Q995">
        <f t="shared" si="150"/>
        <v>2025</v>
      </c>
      <c r="R995">
        <f t="shared" si="151"/>
        <v>3</v>
      </c>
      <c r="S995">
        <f t="shared" si="152"/>
        <v>2024</v>
      </c>
      <c r="T995">
        <f t="shared" si="153"/>
        <v>12</v>
      </c>
      <c r="U995">
        <f t="shared" si="154"/>
        <v>12</v>
      </c>
      <c r="V995" t="str">
        <f t="shared" si="155"/>
        <v>202412</v>
      </c>
      <c r="W995" t="str">
        <f t="shared" si="156"/>
        <v>Mar-25</v>
      </c>
      <c r="X995" s="3">
        <f t="shared" si="157"/>
        <v>-6111.79</v>
      </c>
      <c r="Y995" t="str">
        <f t="shared" si="158"/>
        <v/>
      </c>
      <c r="Z995">
        <f t="shared" si="159"/>
        <v>-6111.79</v>
      </c>
    </row>
    <row r="996" spans="1:26" x14ac:dyDescent="0.25">
      <c r="A996" s="1">
        <v>45723</v>
      </c>
      <c r="B996" t="s">
        <v>1357</v>
      </c>
      <c r="C996" t="s">
        <v>17</v>
      </c>
      <c r="D996" t="s">
        <v>22</v>
      </c>
      <c r="E996">
        <v>75</v>
      </c>
      <c r="F996">
        <v>0</v>
      </c>
      <c r="G996">
        <v>89.5</v>
      </c>
      <c r="H996">
        <v>6712.5</v>
      </c>
      <c r="I996" t="s">
        <v>1373</v>
      </c>
      <c r="J996">
        <v>0</v>
      </c>
      <c r="K996">
        <v>2.38</v>
      </c>
      <c r="L996">
        <v>0</v>
      </c>
      <c r="M996">
        <v>0.01</v>
      </c>
      <c r="N996">
        <v>29</v>
      </c>
      <c r="O996">
        <v>5.66</v>
      </c>
      <c r="P996">
        <v>37.049999999999997</v>
      </c>
      <c r="Q996">
        <f t="shared" si="150"/>
        <v>2025</v>
      </c>
      <c r="R996">
        <f t="shared" si="151"/>
        <v>3</v>
      </c>
      <c r="S996">
        <f t="shared" si="152"/>
        <v>2024</v>
      </c>
      <c r="T996">
        <f t="shared" si="153"/>
        <v>12</v>
      </c>
      <c r="U996">
        <f t="shared" si="154"/>
        <v>12</v>
      </c>
      <c r="V996" t="str">
        <f t="shared" si="155"/>
        <v>202412</v>
      </c>
      <c r="W996" t="str">
        <f t="shared" si="156"/>
        <v>Mar-25</v>
      </c>
      <c r="X996" s="3">
        <f t="shared" si="157"/>
        <v>-6749.55</v>
      </c>
      <c r="Y996" t="str">
        <f t="shared" si="158"/>
        <v/>
      </c>
      <c r="Z996">
        <f t="shared" si="159"/>
        <v>-6749.55</v>
      </c>
    </row>
    <row r="997" spans="1:26" x14ac:dyDescent="0.25">
      <c r="A997" s="1">
        <v>45727</v>
      </c>
      <c r="B997" t="s">
        <v>1351</v>
      </c>
      <c r="C997" t="s">
        <v>17</v>
      </c>
      <c r="D997" t="s">
        <v>22</v>
      </c>
      <c r="E997">
        <v>75</v>
      </c>
      <c r="F997">
        <v>0</v>
      </c>
      <c r="G997">
        <v>127.15</v>
      </c>
      <c r="H997">
        <v>9536.25</v>
      </c>
      <c r="I997" t="s">
        <v>1356</v>
      </c>
      <c r="J997">
        <v>0</v>
      </c>
      <c r="K997">
        <v>3.39</v>
      </c>
      <c r="L997">
        <v>0</v>
      </c>
      <c r="M997">
        <v>0.01</v>
      </c>
      <c r="N997">
        <v>29</v>
      </c>
      <c r="O997">
        <v>5.84</v>
      </c>
      <c r="P997">
        <v>38.24</v>
      </c>
      <c r="Q997">
        <f t="shared" ref="Q997:Q1051" si="160">YEAR(A997)</f>
        <v>2025</v>
      </c>
      <c r="R997">
        <f t="shared" ref="R997:R1051" si="161">MONTH(A997)</f>
        <v>3</v>
      </c>
      <c r="S997">
        <f t="shared" ref="S997:S1051" si="162">IF(R997&lt;4,Q997-1,Q997)</f>
        <v>2024</v>
      </c>
      <c r="T997">
        <f t="shared" ref="T997:T1051" si="163">IF(R997&lt;4,R997+9,R997-3)</f>
        <v>12</v>
      </c>
      <c r="U997">
        <f t="shared" ref="U997:U1051" si="164">IF(LEN(T997)=1,_xlfn.CONCAT(0,T997),T997)</f>
        <v>12</v>
      </c>
      <c r="V997" t="str">
        <f t="shared" ref="V997:V1051" si="165">_xlfn.CONCAT(S997,U997)</f>
        <v>202412</v>
      </c>
      <c r="W997" t="str">
        <f t="shared" ref="W997:W1051" si="166">_xlfn.CONCAT(TEXT(A997,"MMM"),"-",MID(Q997,3,2))</f>
        <v>Mar-25</v>
      </c>
      <c r="X997" s="3">
        <f t="shared" ref="X997:X1051" si="167">IFERROR(IF(D997="Sell",(H997-P997),-(H997+P997)),0)</f>
        <v>-9574.49</v>
      </c>
      <c r="Y997" t="str">
        <f t="shared" si="158"/>
        <v/>
      </c>
      <c r="Z997">
        <f t="shared" si="159"/>
        <v>-9574.49</v>
      </c>
    </row>
    <row r="998" spans="1:26" x14ac:dyDescent="0.25">
      <c r="A998" s="1">
        <v>45728</v>
      </c>
      <c r="B998" t="s">
        <v>1348</v>
      </c>
      <c r="C998" t="s">
        <v>17</v>
      </c>
      <c r="D998" t="s">
        <v>18</v>
      </c>
      <c r="E998">
        <v>300</v>
      </c>
      <c r="F998">
        <v>0</v>
      </c>
      <c r="G998">
        <v>72.25</v>
      </c>
      <c r="H998">
        <v>21675</v>
      </c>
      <c r="I998" t="s">
        <v>1349</v>
      </c>
      <c r="J998">
        <v>21.68</v>
      </c>
      <c r="K998">
        <v>7.72</v>
      </c>
      <c r="L998">
        <v>0</v>
      </c>
      <c r="M998">
        <v>0.04</v>
      </c>
      <c r="N998">
        <v>116</v>
      </c>
      <c r="O998">
        <v>22.24</v>
      </c>
      <c r="P998">
        <v>167.68</v>
      </c>
      <c r="Q998">
        <f t="shared" si="160"/>
        <v>2025</v>
      </c>
      <c r="R998">
        <f t="shared" si="161"/>
        <v>3</v>
      </c>
      <c r="S998">
        <f t="shared" si="162"/>
        <v>2024</v>
      </c>
      <c r="T998">
        <f t="shared" si="163"/>
        <v>12</v>
      </c>
      <c r="U998">
        <f t="shared" si="164"/>
        <v>12</v>
      </c>
      <c r="V998" t="str">
        <f t="shared" si="165"/>
        <v>202412</v>
      </c>
      <c r="W998" t="str">
        <f t="shared" si="166"/>
        <v>Mar-25</v>
      </c>
      <c r="X998" s="3">
        <f t="shared" si="167"/>
        <v>21507.32</v>
      </c>
      <c r="Y998">
        <f t="shared" si="158"/>
        <v>21507.32</v>
      </c>
      <c r="Z998" t="str">
        <f t="shared" si="159"/>
        <v/>
      </c>
    </row>
    <row r="999" spans="1:26" x14ac:dyDescent="0.25">
      <c r="A999" s="1">
        <v>45728</v>
      </c>
      <c r="B999" t="s">
        <v>1348</v>
      </c>
      <c r="C999" t="s">
        <v>17</v>
      </c>
      <c r="D999" t="s">
        <v>22</v>
      </c>
      <c r="E999">
        <v>300</v>
      </c>
      <c r="F999">
        <v>0</v>
      </c>
      <c r="G999">
        <v>79.5</v>
      </c>
      <c r="H999">
        <v>23850</v>
      </c>
      <c r="I999" t="s">
        <v>1350</v>
      </c>
      <c r="J999">
        <v>0</v>
      </c>
      <c r="K999">
        <v>8.4700000000000006</v>
      </c>
      <c r="L999">
        <v>0.72</v>
      </c>
      <c r="M999">
        <v>0.02</v>
      </c>
      <c r="N999">
        <v>116</v>
      </c>
      <c r="O999">
        <v>22.4</v>
      </c>
      <c r="P999">
        <v>147.61000000000001</v>
      </c>
      <c r="Q999">
        <f t="shared" si="160"/>
        <v>2025</v>
      </c>
      <c r="R999">
        <f t="shared" si="161"/>
        <v>3</v>
      </c>
      <c r="S999">
        <f t="shared" si="162"/>
        <v>2024</v>
      </c>
      <c r="T999">
        <f t="shared" si="163"/>
        <v>12</v>
      </c>
      <c r="U999">
        <f t="shared" si="164"/>
        <v>12</v>
      </c>
      <c r="V999" t="str">
        <f t="shared" si="165"/>
        <v>202412</v>
      </c>
      <c r="W999" t="str">
        <f t="shared" si="166"/>
        <v>Mar-25</v>
      </c>
      <c r="X999" s="3">
        <f t="shared" si="167"/>
        <v>-23997.61</v>
      </c>
      <c r="Y999" t="str">
        <f t="shared" si="158"/>
        <v/>
      </c>
      <c r="Z999">
        <f t="shared" si="159"/>
        <v>-23997.61</v>
      </c>
    </row>
    <row r="1000" spans="1:26" x14ac:dyDescent="0.25">
      <c r="A1000" s="1">
        <v>45728</v>
      </c>
      <c r="B1000" t="s">
        <v>1351</v>
      </c>
      <c r="C1000" t="s">
        <v>17</v>
      </c>
      <c r="D1000" t="s">
        <v>18</v>
      </c>
      <c r="E1000">
        <v>75</v>
      </c>
      <c r="F1000">
        <v>0</v>
      </c>
      <c r="G1000">
        <v>147.25</v>
      </c>
      <c r="H1000">
        <v>11043.75</v>
      </c>
      <c r="I1000" t="s">
        <v>1352</v>
      </c>
      <c r="J1000">
        <v>11.04</v>
      </c>
      <c r="K1000">
        <v>3.92</v>
      </c>
      <c r="L1000">
        <v>0</v>
      </c>
      <c r="M1000">
        <v>0.01</v>
      </c>
      <c r="N1000">
        <v>29</v>
      </c>
      <c r="O1000">
        <v>5.92</v>
      </c>
      <c r="P1000">
        <v>49.89</v>
      </c>
      <c r="Q1000">
        <f t="shared" si="160"/>
        <v>2025</v>
      </c>
      <c r="R1000">
        <f t="shared" si="161"/>
        <v>3</v>
      </c>
      <c r="S1000">
        <f t="shared" si="162"/>
        <v>2024</v>
      </c>
      <c r="T1000">
        <f t="shared" si="163"/>
        <v>12</v>
      </c>
      <c r="U1000">
        <f t="shared" si="164"/>
        <v>12</v>
      </c>
      <c r="V1000" t="str">
        <f t="shared" si="165"/>
        <v>202412</v>
      </c>
      <c r="W1000" t="str">
        <f t="shared" si="166"/>
        <v>Mar-25</v>
      </c>
      <c r="X1000" s="3">
        <f t="shared" si="167"/>
        <v>10993.86</v>
      </c>
      <c r="Y1000">
        <f t="shared" si="158"/>
        <v>10993.86</v>
      </c>
      <c r="Z1000" t="str">
        <f t="shared" si="159"/>
        <v/>
      </c>
    </row>
    <row r="1001" spans="1:26" x14ac:dyDescent="0.25">
      <c r="A1001" s="1">
        <v>45728</v>
      </c>
      <c r="B1001" t="s">
        <v>1353</v>
      </c>
      <c r="C1001" t="s">
        <v>17</v>
      </c>
      <c r="D1001" t="s">
        <v>18</v>
      </c>
      <c r="E1001">
        <v>525</v>
      </c>
      <c r="F1001">
        <v>0</v>
      </c>
      <c r="G1001">
        <v>59.25</v>
      </c>
      <c r="H1001">
        <v>31106.25</v>
      </c>
      <c r="I1001" t="s">
        <v>1354</v>
      </c>
      <c r="J1001">
        <v>31.28</v>
      </c>
      <c r="K1001">
        <v>11.05</v>
      </c>
      <c r="L1001">
        <v>0</v>
      </c>
      <c r="M1001">
        <v>0.03</v>
      </c>
      <c r="N1001">
        <v>203</v>
      </c>
      <c r="O1001">
        <v>38.54</v>
      </c>
      <c r="P1001">
        <v>283.89999999999998</v>
      </c>
      <c r="Q1001">
        <f t="shared" si="160"/>
        <v>2025</v>
      </c>
      <c r="R1001">
        <f t="shared" si="161"/>
        <v>3</v>
      </c>
      <c r="S1001">
        <f t="shared" si="162"/>
        <v>2024</v>
      </c>
      <c r="T1001">
        <f t="shared" si="163"/>
        <v>12</v>
      </c>
      <c r="U1001">
        <f t="shared" si="164"/>
        <v>12</v>
      </c>
      <c r="V1001" t="str">
        <f t="shared" si="165"/>
        <v>202412</v>
      </c>
      <c r="W1001" t="str">
        <f t="shared" si="166"/>
        <v>Mar-25</v>
      </c>
      <c r="X1001" s="3">
        <f t="shared" si="167"/>
        <v>30822.35</v>
      </c>
      <c r="Y1001">
        <f t="shared" si="158"/>
        <v>30822.35</v>
      </c>
      <c r="Z1001" t="str">
        <f t="shared" si="159"/>
        <v/>
      </c>
    </row>
    <row r="1002" spans="1:26" x14ac:dyDescent="0.25">
      <c r="A1002" s="1">
        <v>45728</v>
      </c>
      <c r="B1002" t="s">
        <v>1353</v>
      </c>
      <c r="C1002" t="s">
        <v>17</v>
      </c>
      <c r="D1002" t="s">
        <v>22</v>
      </c>
      <c r="E1002">
        <v>525</v>
      </c>
      <c r="F1002">
        <v>0</v>
      </c>
      <c r="G1002">
        <v>50.25</v>
      </c>
      <c r="H1002">
        <v>26381.25</v>
      </c>
      <c r="I1002" t="s">
        <v>1355</v>
      </c>
      <c r="J1002">
        <v>0</v>
      </c>
      <c r="K1002">
        <v>9.3699999999999992</v>
      </c>
      <c r="L1002">
        <v>1.28</v>
      </c>
      <c r="M1002">
        <v>0.02</v>
      </c>
      <c r="N1002">
        <v>203</v>
      </c>
      <c r="O1002">
        <v>38.22</v>
      </c>
      <c r="P1002">
        <v>251.89</v>
      </c>
      <c r="Q1002">
        <f t="shared" si="160"/>
        <v>2025</v>
      </c>
      <c r="R1002">
        <f t="shared" si="161"/>
        <v>3</v>
      </c>
      <c r="S1002">
        <f t="shared" si="162"/>
        <v>2024</v>
      </c>
      <c r="T1002">
        <f t="shared" si="163"/>
        <v>12</v>
      </c>
      <c r="U1002">
        <f t="shared" si="164"/>
        <v>12</v>
      </c>
      <c r="V1002" t="str">
        <f t="shared" si="165"/>
        <v>202412</v>
      </c>
      <c r="W1002" t="str">
        <f t="shared" si="166"/>
        <v>Mar-25</v>
      </c>
      <c r="X1002" s="3">
        <f t="shared" si="167"/>
        <v>-26633.14</v>
      </c>
      <c r="Y1002" t="str">
        <f t="shared" si="158"/>
        <v/>
      </c>
      <c r="Z1002">
        <f t="shared" si="159"/>
        <v>-26633.14</v>
      </c>
    </row>
    <row r="1003" spans="1:26" x14ac:dyDescent="0.25">
      <c r="A1003" s="1">
        <v>45733</v>
      </c>
      <c r="B1003" t="s">
        <v>1343</v>
      </c>
      <c r="C1003" t="s">
        <v>17</v>
      </c>
      <c r="D1003" t="s">
        <v>18</v>
      </c>
      <c r="E1003">
        <v>75</v>
      </c>
      <c r="F1003">
        <v>0</v>
      </c>
      <c r="G1003">
        <v>101.75</v>
      </c>
      <c r="H1003">
        <v>7631.25</v>
      </c>
      <c r="I1003" t="s">
        <v>1344</v>
      </c>
      <c r="J1003">
        <v>7.63</v>
      </c>
      <c r="K1003">
        <v>2.71</v>
      </c>
      <c r="L1003">
        <v>0</v>
      </c>
      <c r="M1003">
        <v>0.01</v>
      </c>
      <c r="N1003">
        <v>29</v>
      </c>
      <c r="O1003">
        <v>5.7</v>
      </c>
      <c r="P1003">
        <v>45.05</v>
      </c>
      <c r="Q1003">
        <f t="shared" si="160"/>
        <v>2025</v>
      </c>
      <c r="R1003">
        <f t="shared" si="161"/>
        <v>3</v>
      </c>
      <c r="S1003">
        <f t="shared" si="162"/>
        <v>2024</v>
      </c>
      <c r="T1003">
        <f t="shared" si="163"/>
        <v>12</v>
      </c>
      <c r="U1003">
        <f t="shared" si="164"/>
        <v>12</v>
      </c>
      <c r="V1003" t="str">
        <f t="shared" si="165"/>
        <v>202412</v>
      </c>
      <c r="W1003" t="str">
        <f t="shared" si="166"/>
        <v>Mar-25</v>
      </c>
      <c r="X1003" s="3">
        <f t="shared" si="167"/>
        <v>7586.2</v>
      </c>
      <c r="Y1003">
        <f t="shared" si="158"/>
        <v>7586.2</v>
      </c>
      <c r="Z1003" t="str">
        <f t="shared" si="159"/>
        <v/>
      </c>
    </row>
    <row r="1004" spans="1:26" x14ac:dyDescent="0.25">
      <c r="A1004" s="1">
        <v>45733</v>
      </c>
      <c r="B1004" t="s">
        <v>1343</v>
      </c>
      <c r="C1004" t="s">
        <v>17</v>
      </c>
      <c r="D1004" t="s">
        <v>22</v>
      </c>
      <c r="E1004">
        <v>75</v>
      </c>
      <c r="F1004">
        <v>0</v>
      </c>
      <c r="G1004">
        <v>104.55</v>
      </c>
      <c r="H1004">
        <v>7841.25</v>
      </c>
      <c r="I1004" t="s">
        <v>1345</v>
      </c>
      <c r="J1004">
        <v>0</v>
      </c>
      <c r="K1004">
        <v>2.79</v>
      </c>
      <c r="L1004">
        <v>0</v>
      </c>
      <c r="M1004">
        <v>0.01</v>
      </c>
      <c r="N1004">
        <v>29</v>
      </c>
      <c r="O1004">
        <v>5.72</v>
      </c>
      <c r="P1004">
        <v>37.520000000000003</v>
      </c>
      <c r="Q1004">
        <f t="shared" si="160"/>
        <v>2025</v>
      </c>
      <c r="R1004">
        <f t="shared" si="161"/>
        <v>3</v>
      </c>
      <c r="S1004">
        <f t="shared" si="162"/>
        <v>2024</v>
      </c>
      <c r="T1004">
        <f t="shared" si="163"/>
        <v>12</v>
      </c>
      <c r="U1004">
        <f t="shared" si="164"/>
        <v>12</v>
      </c>
      <c r="V1004" t="str">
        <f t="shared" si="165"/>
        <v>202412</v>
      </c>
      <c r="W1004" t="str">
        <f t="shared" si="166"/>
        <v>Mar-25</v>
      </c>
      <c r="X1004" s="3">
        <f t="shared" si="167"/>
        <v>-7878.77</v>
      </c>
      <c r="Y1004" t="str">
        <f t="shared" si="158"/>
        <v/>
      </c>
      <c r="Z1004">
        <f t="shared" si="159"/>
        <v>-7878.77</v>
      </c>
    </row>
    <row r="1005" spans="1:26" x14ac:dyDescent="0.25">
      <c r="A1005" s="1">
        <v>45733</v>
      </c>
      <c r="B1005" t="s">
        <v>1343</v>
      </c>
      <c r="C1005" t="s">
        <v>17</v>
      </c>
      <c r="D1005" t="s">
        <v>18</v>
      </c>
      <c r="E1005">
        <v>75</v>
      </c>
      <c r="F1005">
        <v>0</v>
      </c>
      <c r="G1005">
        <v>105.25</v>
      </c>
      <c r="H1005">
        <v>7893.75</v>
      </c>
      <c r="I1005" t="s">
        <v>1346</v>
      </c>
      <c r="J1005">
        <v>8.3699999999999992</v>
      </c>
      <c r="K1005">
        <v>2.8</v>
      </c>
      <c r="L1005">
        <v>0</v>
      </c>
      <c r="M1005">
        <v>0.01</v>
      </c>
      <c r="N1005">
        <v>29</v>
      </c>
      <c r="O1005">
        <v>5.72</v>
      </c>
      <c r="P1005">
        <v>45.9</v>
      </c>
      <c r="Q1005">
        <f t="shared" si="160"/>
        <v>2025</v>
      </c>
      <c r="R1005">
        <f t="shared" si="161"/>
        <v>3</v>
      </c>
      <c r="S1005">
        <f t="shared" si="162"/>
        <v>2024</v>
      </c>
      <c r="T1005">
        <f t="shared" si="163"/>
        <v>12</v>
      </c>
      <c r="U1005">
        <f t="shared" si="164"/>
        <v>12</v>
      </c>
      <c r="V1005" t="str">
        <f t="shared" si="165"/>
        <v>202412</v>
      </c>
      <c r="W1005" t="str">
        <f t="shared" si="166"/>
        <v>Mar-25</v>
      </c>
      <c r="X1005" s="3">
        <f t="shared" si="167"/>
        <v>7847.85</v>
      </c>
      <c r="Y1005">
        <f t="shared" si="158"/>
        <v>7847.85</v>
      </c>
      <c r="Z1005" t="str">
        <f t="shared" si="159"/>
        <v/>
      </c>
    </row>
    <row r="1006" spans="1:26" x14ac:dyDescent="0.25">
      <c r="A1006" s="1">
        <v>45733</v>
      </c>
      <c r="B1006" t="s">
        <v>1343</v>
      </c>
      <c r="C1006" t="s">
        <v>17</v>
      </c>
      <c r="D1006" t="s">
        <v>22</v>
      </c>
      <c r="E1006">
        <v>75</v>
      </c>
      <c r="F1006">
        <v>0</v>
      </c>
      <c r="G1006">
        <v>102.85</v>
      </c>
      <c r="H1006">
        <v>7713.75</v>
      </c>
      <c r="I1006" t="s">
        <v>1347</v>
      </c>
      <c r="J1006">
        <v>0</v>
      </c>
      <c r="K1006">
        <v>2.74</v>
      </c>
      <c r="L1006">
        <v>0</v>
      </c>
      <c r="M1006">
        <v>0.01</v>
      </c>
      <c r="N1006">
        <v>29</v>
      </c>
      <c r="O1006">
        <v>5.72</v>
      </c>
      <c r="P1006">
        <v>37.47</v>
      </c>
      <c r="Q1006">
        <f t="shared" si="160"/>
        <v>2025</v>
      </c>
      <c r="R1006">
        <f t="shared" si="161"/>
        <v>3</v>
      </c>
      <c r="S1006">
        <f t="shared" si="162"/>
        <v>2024</v>
      </c>
      <c r="T1006">
        <f t="shared" si="163"/>
        <v>12</v>
      </c>
      <c r="U1006">
        <f t="shared" si="164"/>
        <v>12</v>
      </c>
      <c r="V1006" t="str">
        <f t="shared" si="165"/>
        <v>202412</v>
      </c>
      <c r="W1006" t="str">
        <f t="shared" si="166"/>
        <v>Mar-25</v>
      </c>
      <c r="X1006" s="3">
        <f t="shared" si="167"/>
        <v>-7751.22</v>
      </c>
      <c r="Y1006" t="str">
        <f t="shared" si="158"/>
        <v/>
      </c>
      <c r="Z1006">
        <f t="shared" si="159"/>
        <v>-7751.22</v>
      </c>
    </row>
    <row r="1007" spans="1:26" x14ac:dyDescent="0.25">
      <c r="A1007" s="1">
        <v>45735</v>
      </c>
      <c r="B1007" t="s">
        <v>1340</v>
      </c>
      <c r="C1007" t="s">
        <v>17</v>
      </c>
      <c r="D1007" t="s">
        <v>18</v>
      </c>
      <c r="E1007">
        <v>75</v>
      </c>
      <c r="F1007">
        <v>0</v>
      </c>
      <c r="G1007">
        <v>76.25</v>
      </c>
      <c r="H1007">
        <v>5718.75</v>
      </c>
      <c r="I1007" t="s">
        <v>1341</v>
      </c>
      <c r="J1007">
        <v>6</v>
      </c>
      <c r="K1007">
        <v>2.0299999999999998</v>
      </c>
      <c r="L1007">
        <v>0</v>
      </c>
      <c r="M1007">
        <v>0.01</v>
      </c>
      <c r="N1007">
        <v>29</v>
      </c>
      <c r="O1007">
        <v>5.58</v>
      </c>
      <c r="P1007">
        <v>42.62</v>
      </c>
      <c r="Q1007">
        <f t="shared" si="160"/>
        <v>2025</v>
      </c>
      <c r="R1007">
        <f t="shared" si="161"/>
        <v>3</v>
      </c>
      <c r="S1007">
        <f t="shared" si="162"/>
        <v>2024</v>
      </c>
      <c r="T1007">
        <f t="shared" si="163"/>
        <v>12</v>
      </c>
      <c r="U1007">
        <f t="shared" si="164"/>
        <v>12</v>
      </c>
      <c r="V1007" t="str">
        <f t="shared" si="165"/>
        <v>202412</v>
      </c>
      <c r="W1007" t="str">
        <f t="shared" si="166"/>
        <v>Mar-25</v>
      </c>
      <c r="X1007" s="3">
        <f t="shared" si="167"/>
        <v>5676.13</v>
      </c>
      <c r="Y1007">
        <f t="shared" si="158"/>
        <v>5676.13</v>
      </c>
      <c r="Z1007" t="str">
        <f t="shared" si="159"/>
        <v/>
      </c>
    </row>
    <row r="1008" spans="1:26" x14ac:dyDescent="0.25">
      <c r="A1008" s="1">
        <v>45735</v>
      </c>
      <c r="B1008" t="s">
        <v>1340</v>
      </c>
      <c r="C1008" t="s">
        <v>17</v>
      </c>
      <c r="D1008" t="s">
        <v>22</v>
      </c>
      <c r="E1008">
        <v>75</v>
      </c>
      <c r="F1008">
        <v>0</v>
      </c>
      <c r="G1008">
        <v>65.7</v>
      </c>
      <c r="H1008">
        <v>4927.5</v>
      </c>
      <c r="I1008" t="s">
        <v>1342</v>
      </c>
      <c r="J1008">
        <v>0</v>
      </c>
      <c r="K1008">
        <v>1.75</v>
      </c>
      <c r="L1008">
        <v>0</v>
      </c>
      <c r="M1008">
        <v>0</v>
      </c>
      <c r="N1008">
        <v>29</v>
      </c>
      <c r="O1008">
        <v>5.54</v>
      </c>
      <c r="P1008">
        <v>36.29</v>
      </c>
      <c r="Q1008">
        <f t="shared" si="160"/>
        <v>2025</v>
      </c>
      <c r="R1008">
        <f t="shared" si="161"/>
        <v>3</v>
      </c>
      <c r="S1008">
        <f t="shared" si="162"/>
        <v>2024</v>
      </c>
      <c r="T1008">
        <f t="shared" si="163"/>
        <v>12</v>
      </c>
      <c r="U1008">
        <f t="shared" si="164"/>
        <v>12</v>
      </c>
      <c r="V1008" t="str">
        <f t="shared" si="165"/>
        <v>202412</v>
      </c>
      <c r="W1008" t="str">
        <f t="shared" si="166"/>
        <v>Mar-25</v>
      </c>
      <c r="X1008" s="3">
        <f t="shared" si="167"/>
        <v>-4963.79</v>
      </c>
      <c r="Y1008" t="str">
        <f t="shared" si="158"/>
        <v/>
      </c>
      <c r="Z1008">
        <f t="shared" si="159"/>
        <v>-4963.79</v>
      </c>
    </row>
    <row r="1009" spans="1:26" x14ac:dyDescent="0.25">
      <c r="A1009" s="1">
        <v>45736</v>
      </c>
      <c r="B1009" t="s">
        <v>1336</v>
      </c>
      <c r="C1009" t="s">
        <v>17</v>
      </c>
      <c r="D1009" t="s">
        <v>18</v>
      </c>
      <c r="E1009">
        <v>300</v>
      </c>
      <c r="F1009">
        <v>0</v>
      </c>
      <c r="G1009">
        <v>26.75</v>
      </c>
      <c r="H1009">
        <v>8025</v>
      </c>
      <c r="I1009" t="s">
        <v>1337</v>
      </c>
      <c r="J1009">
        <v>8</v>
      </c>
      <c r="K1009">
        <v>2.85</v>
      </c>
      <c r="L1009">
        <v>0</v>
      </c>
      <c r="M1009">
        <v>0.01</v>
      </c>
      <c r="N1009">
        <v>116</v>
      </c>
      <c r="O1009">
        <v>21.4</v>
      </c>
      <c r="P1009">
        <v>148.26</v>
      </c>
      <c r="Q1009">
        <f t="shared" si="160"/>
        <v>2025</v>
      </c>
      <c r="R1009">
        <f t="shared" si="161"/>
        <v>3</v>
      </c>
      <c r="S1009">
        <f t="shared" si="162"/>
        <v>2024</v>
      </c>
      <c r="T1009">
        <f t="shared" si="163"/>
        <v>12</v>
      </c>
      <c r="U1009">
        <f t="shared" si="164"/>
        <v>12</v>
      </c>
      <c r="V1009" t="str">
        <f t="shared" si="165"/>
        <v>202412</v>
      </c>
      <c r="W1009" t="str">
        <f t="shared" si="166"/>
        <v>Mar-25</v>
      </c>
      <c r="X1009" s="3">
        <f t="shared" si="167"/>
        <v>7876.74</v>
      </c>
      <c r="Y1009">
        <f t="shared" si="158"/>
        <v>7876.74</v>
      </c>
      <c r="Z1009" t="str">
        <f t="shared" si="159"/>
        <v/>
      </c>
    </row>
    <row r="1010" spans="1:26" x14ac:dyDescent="0.25">
      <c r="A1010" s="1">
        <v>45736</v>
      </c>
      <c r="B1010" t="s">
        <v>1336</v>
      </c>
      <c r="C1010" t="s">
        <v>17</v>
      </c>
      <c r="D1010" t="s">
        <v>22</v>
      </c>
      <c r="E1010">
        <v>75</v>
      </c>
      <c r="F1010">
        <v>0</v>
      </c>
      <c r="G1010">
        <v>14.15</v>
      </c>
      <c r="H1010">
        <v>1061.25</v>
      </c>
      <c r="I1010" t="s">
        <v>1338</v>
      </c>
      <c r="J1010">
        <v>0</v>
      </c>
      <c r="K1010">
        <v>0.38</v>
      </c>
      <c r="L1010">
        <v>0</v>
      </c>
      <c r="M1010">
        <v>0</v>
      </c>
      <c r="N1010">
        <v>29</v>
      </c>
      <c r="O1010">
        <v>5.28</v>
      </c>
      <c r="P1010">
        <v>34.659999999999997</v>
      </c>
      <c r="Q1010">
        <f t="shared" si="160"/>
        <v>2025</v>
      </c>
      <c r="R1010">
        <f t="shared" si="161"/>
        <v>3</v>
      </c>
      <c r="S1010">
        <f t="shared" si="162"/>
        <v>2024</v>
      </c>
      <c r="T1010">
        <f t="shared" si="163"/>
        <v>12</v>
      </c>
      <c r="U1010">
        <f t="shared" si="164"/>
        <v>12</v>
      </c>
      <c r="V1010" t="str">
        <f t="shared" si="165"/>
        <v>202412</v>
      </c>
      <c r="W1010" t="str">
        <f t="shared" si="166"/>
        <v>Mar-25</v>
      </c>
      <c r="X1010" s="3">
        <f t="shared" si="167"/>
        <v>-1095.9100000000001</v>
      </c>
      <c r="Y1010" t="str">
        <f t="shared" si="158"/>
        <v/>
      </c>
      <c r="Z1010">
        <f t="shared" si="159"/>
        <v>-1095.9100000000001</v>
      </c>
    </row>
    <row r="1011" spans="1:26" x14ac:dyDescent="0.25">
      <c r="A1011" s="1">
        <v>45736</v>
      </c>
      <c r="B1011" t="s">
        <v>1336</v>
      </c>
      <c r="C1011" t="s">
        <v>17</v>
      </c>
      <c r="D1011" t="s">
        <v>22</v>
      </c>
      <c r="E1011">
        <v>225</v>
      </c>
      <c r="F1011">
        <v>0</v>
      </c>
      <c r="G1011">
        <v>17.25</v>
      </c>
      <c r="H1011">
        <v>3881.25</v>
      </c>
      <c r="I1011" t="s">
        <v>1339</v>
      </c>
      <c r="J1011">
        <v>0</v>
      </c>
      <c r="K1011">
        <v>1.38</v>
      </c>
      <c r="L1011">
        <v>0</v>
      </c>
      <c r="M1011">
        <v>0</v>
      </c>
      <c r="N1011">
        <v>87</v>
      </c>
      <c r="O1011">
        <v>15.9</v>
      </c>
      <c r="P1011">
        <v>104.28</v>
      </c>
      <c r="Q1011">
        <f t="shared" si="160"/>
        <v>2025</v>
      </c>
      <c r="R1011">
        <f t="shared" si="161"/>
        <v>3</v>
      </c>
      <c r="S1011">
        <f t="shared" si="162"/>
        <v>2024</v>
      </c>
      <c r="T1011">
        <f t="shared" si="163"/>
        <v>12</v>
      </c>
      <c r="U1011">
        <f t="shared" si="164"/>
        <v>12</v>
      </c>
      <c r="V1011" t="str">
        <f t="shared" si="165"/>
        <v>202412</v>
      </c>
      <c r="W1011" t="str">
        <f t="shared" si="166"/>
        <v>Mar-25</v>
      </c>
      <c r="X1011" s="3">
        <f t="shared" si="167"/>
        <v>-3985.53</v>
      </c>
      <c r="Y1011" t="str">
        <f t="shared" si="158"/>
        <v/>
      </c>
      <c r="Z1011">
        <f t="shared" si="159"/>
        <v>-3985.53</v>
      </c>
    </row>
    <row r="1012" spans="1:26" x14ac:dyDescent="0.25">
      <c r="A1012" s="1">
        <v>45742</v>
      </c>
      <c r="B1012" t="s">
        <v>1330</v>
      </c>
      <c r="C1012" t="s">
        <v>17</v>
      </c>
      <c r="D1012" t="s">
        <v>18</v>
      </c>
      <c r="E1012">
        <v>75</v>
      </c>
      <c r="F1012">
        <v>0</v>
      </c>
      <c r="G1012">
        <v>49.25</v>
      </c>
      <c r="H1012">
        <v>3693.75</v>
      </c>
      <c r="I1012" t="s">
        <v>1331</v>
      </c>
      <c r="J1012">
        <v>3.96</v>
      </c>
      <c r="K1012">
        <v>1.31</v>
      </c>
      <c r="L1012">
        <v>0</v>
      </c>
      <c r="M1012">
        <v>0</v>
      </c>
      <c r="N1012">
        <v>29</v>
      </c>
      <c r="O1012">
        <v>5.46</v>
      </c>
      <c r="P1012">
        <v>39.729999999999997</v>
      </c>
      <c r="Q1012">
        <f t="shared" si="160"/>
        <v>2025</v>
      </c>
      <c r="R1012">
        <f t="shared" si="161"/>
        <v>3</v>
      </c>
      <c r="S1012">
        <f t="shared" si="162"/>
        <v>2024</v>
      </c>
      <c r="T1012">
        <f t="shared" si="163"/>
        <v>12</v>
      </c>
      <c r="U1012">
        <f t="shared" si="164"/>
        <v>12</v>
      </c>
      <c r="V1012" t="str">
        <f t="shared" si="165"/>
        <v>202412</v>
      </c>
      <c r="W1012" t="str">
        <f t="shared" si="166"/>
        <v>Mar-25</v>
      </c>
      <c r="X1012" s="3">
        <f t="shared" si="167"/>
        <v>3654.02</v>
      </c>
      <c r="Y1012">
        <f t="shared" si="158"/>
        <v>3654.02</v>
      </c>
      <c r="Z1012" t="str">
        <f t="shared" si="159"/>
        <v/>
      </c>
    </row>
    <row r="1013" spans="1:26" x14ac:dyDescent="0.25">
      <c r="A1013" s="1">
        <v>45742</v>
      </c>
      <c r="B1013" t="s">
        <v>1330</v>
      </c>
      <c r="C1013" t="s">
        <v>17</v>
      </c>
      <c r="D1013" t="s">
        <v>22</v>
      </c>
      <c r="E1013">
        <v>75</v>
      </c>
      <c r="F1013">
        <v>0</v>
      </c>
      <c r="G1013">
        <v>41.1</v>
      </c>
      <c r="H1013">
        <v>3082.5</v>
      </c>
      <c r="I1013" t="s">
        <v>1332</v>
      </c>
      <c r="J1013">
        <v>0</v>
      </c>
      <c r="K1013">
        <v>1.1000000000000001</v>
      </c>
      <c r="L1013">
        <v>0</v>
      </c>
      <c r="M1013">
        <v>0</v>
      </c>
      <c r="N1013">
        <v>29</v>
      </c>
      <c r="O1013">
        <v>5.42</v>
      </c>
      <c r="P1013">
        <v>35.520000000000003</v>
      </c>
      <c r="Q1013">
        <f t="shared" si="160"/>
        <v>2025</v>
      </c>
      <c r="R1013">
        <f t="shared" si="161"/>
        <v>3</v>
      </c>
      <c r="S1013">
        <f t="shared" si="162"/>
        <v>2024</v>
      </c>
      <c r="T1013">
        <f t="shared" si="163"/>
        <v>12</v>
      </c>
      <c r="U1013">
        <f t="shared" si="164"/>
        <v>12</v>
      </c>
      <c r="V1013" t="str">
        <f t="shared" si="165"/>
        <v>202412</v>
      </c>
      <c r="W1013" t="str">
        <f t="shared" si="166"/>
        <v>Mar-25</v>
      </c>
      <c r="X1013" s="3">
        <f t="shared" si="167"/>
        <v>-3118.02</v>
      </c>
      <c r="Y1013" t="str">
        <f t="shared" si="158"/>
        <v/>
      </c>
      <c r="Z1013">
        <f t="shared" si="159"/>
        <v>-3118.02</v>
      </c>
    </row>
    <row r="1014" spans="1:26" x14ac:dyDescent="0.25">
      <c r="A1014" s="1">
        <v>45742</v>
      </c>
      <c r="B1014" t="s">
        <v>1333</v>
      </c>
      <c r="C1014" t="s">
        <v>17</v>
      </c>
      <c r="D1014" t="s">
        <v>18</v>
      </c>
      <c r="E1014">
        <v>75</v>
      </c>
      <c r="F1014">
        <v>0</v>
      </c>
      <c r="G1014">
        <v>107.25</v>
      </c>
      <c r="H1014">
        <v>8043.75</v>
      </c>
      <c r="I1014" t="s">
        <v>1334</v>
      </c>
      <c r="J1014">
        <v>8.0399999999999991</v>
      </c>
      <c r="K1014">
        <v>2.86</v>
      </c>
      <c r="L1014">
        <v>0</v>
      </c>
      <c r="M1014">
        <v>0.01</v>
      </c>
      <c r="N1014">
        <v>29</v>
      </c>
      <c r="O1014">
        <v>5.74</v>
      </c>
      <c r="P1014">
        <v>45.65</v>
      </c>
      <c r="Q1014">
        <f t="shared" si="160"/>
        <v>2025</v>
      </c>
      <c r="R1014">
        <f t="shared" si="161"/>
        <v>3</v>
      </c>
      <c r="S1014">
        <f t="shared" si="162"/>
        <v>2024</v>
      </c>
      <c r="T1014">
        <f t="shared" si="163"/>
        <v>12</v>
      </c>
      <c r="U1014">
        <f t="shared" si="164"/>
        <v>12</v>
      </c>
      <c r="V1014" t="str">
        <f t="shared" si="165"/>
        <v>202412</v>
      </c>
      <c r="W1014" t="str">
        <f t="shared" si="166"/>
        <v>Mar-25</v>
      </c>
      <c r="X1014" s="3">
        <f t="shared" si="167"/>
        <v>7998.1</v>
      </c>
      <c r="Y1014">
        <f t="shared" si="158"/>
        <v>7998.1</v>
      </c>
      <c r="Z1014" t="str">
        <f t="shared" si="159"/>
        <v/>
      </c>
    </row>
    <row r="1015" spans="1:26" x14ac:dyDescent="0.25">
      <c r="A1015" s="1">
        <v>45742</v>
      </c>
      <c r="B1015" t="s">
        <v>1333</v>
      </c>
      <c r="C1015" t="s">
        <v>17</v>
      </c>
      <c r="D1015" t="s">
        <v>22</v>
      </c>
      <c r="E1015">
        <v>75</v>
      </c>
      <c r="F1015">
        <v>0</v>
      </c>
      <c r="G1015">
        <v>87.9</v>
      </c>
      <c r="H1015">
        <v>6592.5</v>
      </c>
      <c r="I1015" t="s">
        <v>1335</v>
      </c>
      <c r="J1015">
        <v>0</v>
      </c>
      <c r="K1015">
        <v>2.34</v>
      </c>
      <c r="L1015">
        <v>0</v>
      </c>
      <c r="M1015">
        <v>0.01</v>
      </c>
      <c r="N1015">
        <v>29</v>
      </c>
      <c r="O1015">
        <v>5.64</v>
      </c>
      <c r="P1015">
        <v>36.99</v>
      </c>
      <c r="Q1015">
        <f t="shared" si="160"/>
        <v>2025</v>
      </c>
      <c r="R1015">
        <f t="shared" si="161"/>
        <v>3</v>
      </c>
      <c r="S1015">
        <f t="shared" si="162"/>
        <v>2024</v>
      </c>
      <c r="T1015">
        <f t="shared" si="163"/>
        <v>12</v>
      </c>
      <c r="U1015">
        <f t="shared" si="164"/>
        <v>12</v>
      </c>
      <c r="V1015" t="str">
        <f t="shared" si="165"/>
        <v>202412</v>
      </c>
      <c r="W1015" t="str">
        <f t="shared" si="166"/>
        <v>Mar-25</v>
      </c>
      <c r="X1015" s="3">
        <f t="shared" si="167"/>
        <v>-6629.49</v>
      </c>
      <c r="Y1015" t="str">
        <f t="shared" si="158"/>
        <v/>
      </c>
      <c r="Z1015">
        <f t="shared" si="159"/>
        <v>-6629.49</v>
      </c>
    </row>
    <row r="1016" spans="1:26" x14ac:dyDescent="0.25">
      <c r="A1016" s="1">
        <v>45743</v>
      </c>
      <c r="B1016" t="s">
        <v>1323</v>
      </c>
      <c r="C1016" t="s">
        <v>17</v>
      </c>
      <c r="D1016" t="s">
        <v>18</v>
      </c>
      <c r="E1016">
        <v>525</v>
      </c>
      <c r="F1016">
        <v>0</v>
      </c>
      <c r="G1016">
        <v>5.25</v>
      </c>
      <c r="H1016">
        <v>2756.25</v>
      </c>
      <c r="I1016" t="s">
        <v>1324</v>
      </c>
      <c r="J1016">
        <v>2.76</v>
      </c>
      <c r="K1016">
        <v>0.98</v>
      </c>
      <c r="L1016">
        <v>0</v>
      </c>
      <c r="M1016">
        <v>0</v>
      </c>
      <c r="N1016">
        <v>203</v>
      </c>
      <c r="O1016">
        <v>36.72</v>
      </c>
      <c r="P1016">
        <v>243.46</v>
      </c>
      <c r="Q1016">
        <f t="shared" si="160"/>
        <v>2025</v>
      </c>
      <c r="R1016">
        <f t="shared" si="161"/>
        <v>3</v>
      </c>
      <c r="S1016">
        <f t="shared" si="162"/>
        <v>2024</v>
      </c>
      <c r="T1016">
        <f t="shared" si="163"/>
        <v>12</v>
      </c>
      <c r="U1016">
        <f t="shared" si="164"/>
        <v>12</v>
      </c>
      <c r="V1016" t="str">
        <f t="shared" si="165"/>
        <v>202412</v>
      </c>
      <c r="W1016" t="str">
        <f t="shared" si="166"/>
        <v>Mar-25</v>
      </c>
      <c r="X1016" s="3">
        <f t="shared" si="167"/>
        <v>2512.79</v>
      </c>
      <c r="Y1016">
        <f t="shared" si="158"/>
        <v>2512.79</v>
      </c>
      <c r="Z1016" t="str">
        <f t="shared" si="159"/>
        <v/>
      </c>
    </row>
    <row r="1017" spans="1:26" x14ac:dyDescent="0.25">
      <c r="A1017" s="1">
        <v>45743</v>
      </c>
      <c r="B1017" t="s">
        <v>1323</v>
      </c>
      <c r="C1017" t="s">
        <v>17</v>
      </c>
      <c r="D1017" t="s">
        <v>22</v>
      </c>
      <c r="E1017">
        <v>75</v>
      </c>
      <c r="F1017">
        <v>0</v>
      </c>
      <c r="G1017">
        <v>15.15</v>
      </c>
      <c r="H1017">
        <v>1136.25</v>
      </c>
      <c r="I1017" t="s">
        <v>1325</v>
      </c>
      <c r="J1017">
        <v>0</v>
      </c>
      <c r="K1017">
        <v>0.4</v>
      </c>
      <c r="L1017">
        <v>0</v>
      </c>
      <c r="M1017">
        <v>0</v>
      </c>
      <c r="N1017">
        <v>29</v>
      </c>
      <c r="O1017">
        <v>5.3</v>
      </c>
      <c r="P1017">
        <v>34.700000000000003</v>
      </c>
      <c r="Q1017">
        <f t="shared" si="160"/>
        <v>2025</v>
      </c>
      <c r="R1017">
        <f t="shared" si="161"/>
        <v>3</v>
      </c>
      <c r="S1017">
        <f t="shared" si="162"/>
        <v>2024</v>
      </c>
      <c r="T1017">
        <f t="shared" si="163"/>
        <v>12</v>
      </c>
      <c r="U1017">
        <f t="shared" si="164"/>
        <v>12</v>
      </c>
      <c r="V1017" t="str">
        <f t="shared" si="165"/>
        <v>202412</v>
      </c>
      <c r="W1017" t="str">
        <f t="shared" si="166"/>
        <v>Mar-25</v>
      </c>
      <c r="X1017" s="3">
        <f t="shared" si="167"/>
        <v>-1170.95</v>
      </c>
      <c r="Y1017" t="str">
        <f t="shared" si="158"/>
        <v/>
      </c>
      <c r="Z1017">
        <f t="shared" si="159"/>
        <v>-1170.95</v>
      </c>
    </row>
    <row r="1018" spans="1:26" x14ac:dyDescent="0.25">
      <c r="A1018" s="1">
        <v>45743</v>
      </c>
      <c r="B1018" t="s">
        <v>1323</v>
      </c>
      <c r="C1018" t="s">
        <v>17</v>
      </c>
      <c r="D1018" t="s">
        <v>22</v>
      </c>
      <c r="E1018">
        <v>450</v>
      </c>
      <c r="F1018">
        <v>0</v>
      </c>
      <c r="G1018">
        <v>16.600000000000001</v>
      </c>
      <c r="H1018">
        <v>7470</v>
      </c>
      <c r="I1018" t="s">
        <v>1326</v>
      </c>
      <c r="J1018">
        <v>0</v>
      </c>
      <c r="K1018">
        <v>2.65</v>
      </c>
      <c r="L1018">
        <v>0</v>
      </c>
      <c r="M1018">
        <v>0.01</v>
      </c>
      <c r="N1018">
        <v>174</v>
      </c>
      <c r="O1018">
        <v>31.8</v>
      </c>
      <c r="P1018">
        <v>208.46</v>
      </c>
      <c r="Q1018">
        <f t="shared" si="160"/>
        <v>2025</v>
      </c>
      <c r="R1018">
        <f t="shared" si="161"/>
        <v>3</v>
      </c>
      <c r="S1018">
        <f t="shared" si="162"/>
        <v>2024</v>
      </c>
      <c r="T1018">
        <f t="shared" si="163"/>
        <v>12</v>
      </c>
      <c r="U1018">
        <f t="shared" si="164"/>
        <v>12</v>
      </c>
      <c r="V1018" t="str">
        <f t="shared" si="165"/>
        <v>202412</v>
      </c>
      <c r="W1018" t="str">
        <f t="shared" si="166"/>
        <v>Mar-25</v>
      </c>
      <c r="X1018" s="3">
        <f t="shared" si="167"/>
        <v>-7678.46</v>
      </c>
      <c r="Y1018" t="str">
        <f t="shared" si="158"/>
        <v/>
      </c>
      <c r="Z1018">
        <f t="shared" si="159"/>
        <v>-7678.46</v>
      </c>
    </row>
    <row r="1019" spans="1:26" x14ac:dyDescent="0.25">
      <c r="A1019" s="1">
        <v>45743</v>
      </c>
      <c r="B1019" t="s">
        <v>1327</v>
      </c>
      <c r="C1019" t="s">
        <v>17</v>
      </c>
      <c r="D1019" t="s">
        <v>18</v>
      </c>
      <c r="E1019">
        <v>75</v>
      </c>
      <c r="F1019">
        <v>0</v>
      </c>
      <c r="G1019">
        <v>83.65</v>
      </c>
      <c r="H1019">
        <v>6273.75</v>
      </c>
      <c r="I1019" t="s">
        <v>1328</v>
      </c>
      <c r="J1019">
        <v>6.24</v>
      </c>
      <c r="K1019">
        <v>2.23</v>
      </c>
      <c r="L1019">
        <v>0</v>
      </c>
      <c r="M1019">
        <v>0.01</v>
      </c>
      <c r="N1019">
        <v>29</v>
      </c>
      <c r="O1019">
        <v>5.62</v>
      </c>
      <c r="P1019">
        <v>43.1</v>
      </c>
      <c r="Q1019">
        <f t="shared" si="160"/>
        <v>2025</v>
      </c>
      <c r="R1019">
        <f t="shared" si="161"/>
        <v>3</v>
      </c>
      <c r="S1019">
        <f t="shared" si="162"/>
        <v>2024</v>
      </c>
      <c r="T1019">
        <f t="shared" si="163"/>
        <v>12</v>
      </c>
      <c r="U1019">
        <f t="shared" si="164"/>
        <v>12</v>
      </c>
      <c r="V1019" t="str">
        <f t="shared" si="165"/>
        <v>202412</v>
      </c>
      <c r="W1019" t="str">
        <f t="shared" si="166"/>
        <v>Mar-25</v>
      </c>
      <c r="X1019" s="3">
        <f t="shared" si="167"/>
        <v>6230.65</v>
      </c>
      <c r="Y1019">
        <f t="shared" si="158"/>
        <v>6230.65</v>
      </c>
      <c r="Z1019" t="str">
        <f t="shared" si="159"/>
        <v/>
      </c>
    </row>
    <row r="1020" spans="1:26" x14ac:dyDescent="0.25">
      <c r="A1020" s="1">
        <v>45743</v>
      </c>
      <c r="B1020" t="s">
        <v>1327</v>
      </c>
      <c r="C1020" t="s">
        <v>17</v>
      </c>
      <c r="D1020" t="s">
        <v>22</v>
      </c>
      <c r="E1020">
        <v>75</v>
      </c>
      <c r="F1020">
        <v>0</v>
      </c>
      <c r="G1020">
        <v>65.8</v>
      </c>
      <c r="H1020">
        <v>4935</v>
      </c>
      <c r="I1020" t="s">
        <v>1329</v>
      </c>
      <c r="J1020">
        <v>0</v>
      </c>
      <c r="K1020">
        <v>1.75</v>
      </c>
      <c r="L1020">
        <v>0</v>
      </c>
      <c r="M1020">
        <v>0</v>
      </c>
      <c r="N1020">
        <v>29</v>
      </c>
      <c r="O1020">
        <v>5.54</v>
      </c>
      <c r="P1020">
        <v>36.29</v>
      </c>
      <c r="Q1020">
        <f t="shared" si="160"/>
        <v>2025</v>
      </c>
      <c r="R1020">
        <f t="shared" si="161"/>
        <v>3</v>
      </c>
      <c r="S1020">
        <f t="shared" si="162"/>
        <v>2024</v>
      </c>
      <c r="T1020">
        <f t="shared" si="163"/>
        <v>12</v>
      </c>
      <c r="U1020">
        <f t="shared" si="164"/>
        <v>12</v>
      </c>
      <c r="V1020" t="str">
        <f t="shared" si="165"/>
        <v>202412</v>
      </c>
      <c r="W1020" t="str">
        <f t="shared" si="166"/>
        <v>Mar-25</v>
      </c>
      <c r="X1020" s="3">
        <f t="shared" si="167"/>
        <v>-4971.29</v>
      </c>
      <c r="Y1020" t="str">
        <f t="shared" si="158"/>
        <v/>
      </c>
      <c r="Z1020">
        <f t="shared" si="159"/>
        <v>-4971.29</v>
      </c>
    </row>
    <row r="1021" spans="1:26" x14ac:dyDescent="0.25">
      <c r="A1021" s="1">
        <v>45744</v>
      </c>
      <c r="B1021" t="s">
        <v>1318</v>
      </c>
      <c r="C1021" t="s">
        <v>17</v>
      </c>
      <c r="D1021" t="s">
        <v>18</v>
      </c>
      <c r="E1021">
        <v>150</v>
      </c>
      <c r="F1021">
        <v>0</v>
      </c>
      <c r="G1021">
        <v>39.25</v>
      </c>
      <c r="H1021">
        <v>5887.5</v>
      </c>
      <c r="I1021" t="s">
        <v>1319</v>
      </c>
      <c r="J1021">
        <v>5.89</v>
      </c>
      <c r="K1021">
        <v>2.09</v>
      </c>
      <c r="L1021">
        <v>0</v>
      </c>
      <c r="M1021">
        <v>0.01</v>
      </c>
      <c r="N1021">
        <v>58</v>
      </c>
      <c r="O1021">
        <v>10.82</v>
      </c>
      <c r="P1021">
        <v>76.81</v>
      </c>
      <c r="Q1021">
        <f t="shared" si="160"/>
        <v>2025</v>
      </c>
      <c r="R1021">
        <f t="shared" si="161"/>
        <v>3</v>
      </c>
      <c r="S1021">
        <f t="shared" si="162"/>
        <v>2024</v>
      </c>
      <c r="T1021">
        <f t="shared" si="163"/>
        <v>12</v>
      </c>
      <c r="U1021">
        <f t="shared" si="164"/>
        <v>12</v>
      </c>
      <c r="V1021" t="str">
        <f t="shared" si="165"/>
        <v>202412</v>
      </c>
      <c r="W1021" t="str">
        <f t="shared" si="166"/>
        <v>Mar-25</v>
      </c>
      <c r="X1021" s="3">
        <f t="shared" si="167"/>
        <v>5810.69</v>
      </c>
      <c r="Y1021">
        <f t="shared" si="158"/>
        <v>5810.69</v>
      </c>
      <c r="Z1021" t="str">
        <f t="shared" si="159"/>
        <v/>
      </c>
    </row>
    <row r="1022" spans="1:26" x14ac:dyDescent="0.25">
      <c r="A1022" s="1">
        <v>45744</v>
      </c>
      <c r="B1022" t="s">
        <v>1318</v>
      </c>
      <c r="C1022" t="s">
        <v>17</v>
      </c>
      <c r="D1022" t="s">
        <v>22</v>
      </c>
      <c r="E1022">
        <v>150</v>
      </c>
      <c r="F1022">
        <v>0</v>
      </c>
      <c r="G1022">
        <v>33.450000000000003</v>
      </c>
      <c r="H1022">
        <v>5017.5</v>
      </c>
      <c r="I1022" t="s">
        <v>1320</v>
      </c>
      <c r="J1022">
        <v>0</v>
      </c>
      <c r="K1022">
        <v>1.78</v>
      </c>
      <c r="L1022">
        <v>0</v>
      </c>
      <c r="M1022">
        <v>0.01</v>
      </c>
      <c r="N1022">
        <v>58</v>
      </c>
      <c r="O1022">
        <v>10.76</v>
      </c>
      <c r="P1022">
        <v>70.55</v>
      </c>
      <c r="Q1022">
        <f t="shared" si="160"/>
        <v>2025</v>
      </c>
      <c r="R1022">
        <f t="shared" si="161"/>
        <v>3</v>
      </c>
      <c r="S1022">
        <f t="shared" si="162"/>
        <v>2024</v>
      </c>
      <c r="T1022">
        <f t="shared" si="163"/>
        <v>12</v>
      </c>
      <c r="U1022">
        <f t="shared" si="164"/>
        <v>12</v>
      </c>
      <c r="V1022" t="str">
        <f t="shared" si="165"/>
        <v>202412</v>
      </c>
      <c r="W1022" t="str">
        <f t="shared" si="166"/>
        <v>Mar-25</v>
      </c>
      <c r="X1022" s="3">
        <f t="shared" si="167"/>
        <v>-5088.05</v>
      </c>
      <c r="Y1022" t="str">
        <f t="shared" si="158"/>
        <v/>
      </c>
      <c r="Z1022">
        <f t="shared" si="159"/>
        <v>-5088.05</v>
      </c>
    </row>
    <row r="1023" spans="1:26" x14ac:dyDescent="0.25">
      <c r="A1023" s="1">
        <v>45744</v>
      </c>
      <c r="B1023" t="s">
        <v>1318</v>
      </c>
      <c r="C1023" t="s">
        <v>17</v>
      </c>
      <c r="D1023" t="s">
        <v>18</v>
      </c>
      <c r="E1023">
        <v>75</v>
      </c>
      <c r="F1023">
        <v>0</v>
      </c>
      <c r="G1023">
        <v>40.5</v>
      </c>
      <c r="H1023">
        <v>3037.5</v>
      </c>
      <c r="I1023" t="s">
        <v>1321</v>
      </c>
      <c r="J1023">
        <v>3.11</v>
      </c>
      <c r="K1023">
        <v>1.08</v>
      </c>
      <c r="L1023">
        <v>0</v>
      </c>
      <c r="M1023">
        <v>0</v>
      </c>
      <c r="N1023">
        <v>29</v>
      </c>
      <c r="O1023">
        <v>5.42</v>
      </c>
      <c r="P1023">
        <v>38.61</v>
      </c>
      <c r="Q1023">
        <f t="shared" si="160"/>
        <v>2025</v>
      </c>
      <c r="R1023">
        <f t="shared" si="161"/>
        <v>3</v>
      </c>
      <c r="S1023">
        <f t="shared" si="162"/>
        <v>2024</v>
      </c>
      <c r="T1023">
        <f t="shared" si="163"/>
        <v>12</v>
      </c>
      <c r="U1023">
        <f t="shared" si="164"/>
        <v>12</v>
      </c>
      <c r="V1023" t="str">
        <f t="shared" si="165"/>
        <v>202412</v>
      </c>
      <c r="W1023" t="str">
        <f t="shared" si="166"/>
        <v>Mar-25</v>
      </c>
      <c r="X1023" s="3">
        <f t="shared" si="167"/>
        <v>2998.89</v>
      </c>
      <c r="Y1023">
        <f t="shared" si="158"/>
        <v>2998.89</v>
      </c>
      <c r="Z1023" t="str">
        <f t="shared" si="159"/>
        <v/>
      </c>
    </row>
    <row r="1024" spans="1:26" x14ac:dyDescent="0.25">
      <c r="A1024" s="1">
        <v>45744</v>
      </c>
      <c r="B1024" t="s">
        <v>1318</v>
      </c>
      <c r="C1024" t="s">
        <v>17</v>
      </c>
      <c r="D1024" t="s">
        <v>22</v>
      </c>
      <c r="E1024">
        <v>75</v>
      </c>
      <c r="F1024">
        <v>0</v>
      </c>
      <c r="G1024">
        <v>42.5</v>
      </c>
      <c r="H1024">
        <v>3187.5</v>
      </c>
      <c r="I1024" t="s">
        <v>1322</v>
      </c>
      <c r="J1024">
        <v>0</v>
      </c>
      <c r="K1024">
        <v>1.1299999999999999</v>
      </c>
      <c r="L1024">
        <v>0</v>
      </c>
      <c r="M1024">
        <v>0</v>
      </c>
      <c r="N1024">
        <v>29</v>
      </c>
      <c r="O1024">
        <v>5.42</v>
      </c>
      <c r="P1024">
        <v>35.549999999999997</v>
      </c>
      <c r="Q1024">
        <f t="shared" si="160"/>
        <v>2025</v>
      </c>
      <c r="R1024">
        <f t="shared" si="161"/>
        <v>3</v>
      </c>
      <c r="S1024">
        <f t="shared" si="162"/>
        <v>2024</v>
      </c>
      <c r="T1024">
        <f t="shared" si="163"/>
        <v>12</v>
      </c>
      <c r="U1024">
        <f t="shared" si="164"/>
        <v>12</v>
      </c>
      <c r="V1024" t="str">
        <f t="shared" si="165"/>
        <v>202412</v>
      </c>
      <c r="W1024" t="str">
        <f t="shared" si="166"/>
        <v>Mar-25</v>
      </c>
      <c r="X1024" s="3">
        <f t="shared" si="167"/>
        <v>-3223.05</v>
      </c>
      <c r="Y1024" t="str">
        <f t="shared" si="158"/>
        <v/>
      </c>
      <c r="Z1024">
        <f t="shared" si="159"/>
        <v>-3223.05</v>
      </c>
    </row>
    <row r="1025" spans="1:26" x14ac:dyDescent="0.25">
      <c r="A1025" s="1">
        <v>45748</v>
      </c>
      <c r="B1025" t="s">
        <v>1294</v>
      </c>
      <c r="C1025" t="s">
        <v>17</v>
      </c>
      <c r="D1025" t="s">
        <v>22</v>
      </c>
      <c r="E1025">
        <v>525</v>
      </c>
      <c r="F1025">
        <v>0</v>
      </c>
      <c r="G1025">
        <v>6.05</v>
      </c>
      <c r="H1025">
        <v>3176.25</v>
      </c>
      <c r="I1025" t="s">
        <v>1308</v>
      </c>
      <c r="J1025">
        <v>0</v>
      </c>
      <c r="K1025">
        <v>1.1200000000000001</v>
      </c>
      <c r="L1025">
        <v>0.1</v>
      </c>
      <c r="M1025">
        <v>0</v>
      </c>
      <c r="N1025">
        <v>203</v>
      </c>
      <c r="O1025">
        <v>36.700000000000003</v>
      </c>
      <c r="P1025">
        <v>240.92</v>
      </c>
      <c r="Q1025">
        <f t="shared" si="160"/>
        <v>2025</v>
      </c>
      <c r="R1025">
        <f t="shared" si="161"/>
        <v>4</v>
      </c>
      <c r="S1025">
        <f t="shared" si="162"/>
        <v>2025</v>
      </c>
      <c r="T1025">
        <f t="shared" si="163"/>
        <v>1</v>
      </c>
      <c r="U1025" t="str">
        <f t="shared" si="164"/>
        <v>01</v>
      </c>
      <c r="V1025" t="str">
        <f t="shared" si="165"/>
        <v>202501</v>
      </c>
      <c r="W1025" t="str">
        <f t="shared" si="166"/>
        <v>Apr-25</v>
      </c>
      <c r="X1025" s="3">
        <f t="shared" si="167"/>
        <v>-3417.17</v>
      </c>
      <c r="Y1025" t="str">
        <f t="shared" si="158"/>
        <v/>
      </c>
      <c r="Z1025">
        <f t="shared" si="159"/>
        <v>-3417.17</v>
      </c>
    </row>
    <row r="1026" spans="1:26" x14ac:dyDescent="0.25">
      <c r="A1026" s="1">
        <v>45748</v>
      </c>
      <c r="B1026" t="s">
        <v>1309</v>
      </c>
      <c r="C1026" t="s">
        <v>17</v>
      </c>
      <c r="D1026" t="s">
        <v>18</v>
      </c>
      <c r="E1026">
        <v>450</v>
      </c>
      <c r="F1026">
        <v>0</v>
      </c>
      <c r="G1026">
        <v>136.30000000000001</v>
      </c>
      <c r="H1026">
        <v>61335</v>
      </c>
      <c r="I1026" t="s">
        <v>1310</v>
      </c>
      <c r="J1026">
        <v>61.34</v>
      </c>
      <c r="K1026">
        <v>21.79</v>
      </c>
      <c r="L1026">
        <v>0</v>
      </c>
      <c r="M1026">
        <v>0.06</v>
      </c>
      <c r="N1026">
        <v>174</v>
      </c>
      <c r="O1026">
        <v>35.26</v>
      </c>
      <c r="P1026">
        <v>292.45</v>
      </c>
      <c r="Q1026">
        <f t="shared" si="160"/>
        <v>2025</v>
      </c>
      <c r="R1026">
        <f t="shared" si="161"/>
        <v>4</v>
      </c>
      <c r="S1026">
        <f t="shared" si="162"/>
        <v>2025</v>
      </c>
      <c r="T1026">
        <f t="shared" si="163"/>
        <v>1</v>
      </c>
      <c r="U1026" t="str">
        <f t="shared" si="164"/>
        <v>01</v>
      </c>
      <c r="V1026" t="str">
        <f t="shared" si="165"/>
        <v>202501</v>
      </c>
      <c r="W1026" t="str">
        <f t="shared" si="166"/>
        <v>Apr-25</v>
      </c>
      <c r="X1026" s="3">
        <f t="shared" si="167"/>
        <v>61042.55</v>
      </c>
      <c r="Y1026">
        <f t="shared" si="158"/>
        <v>61042.55</v>
      </c>
      <c r="Z1026" t="str">
        <f t="shared" si="159"/>
        <v/>
      </c>
    </row>
    <row r="1027" spans="1:26" x14ac:dyDescent="0.25">
      <c r="A1027" s="1">
        <v>45748</v>
      </c>
      <c r="B1027" t="s">
        <v>1309</v>
      </c>
      <c r="C1027" t="s">
        <v>17</v>
      </c>
      <c r="D1027" t="s">
        <v>22</v>
      </c>
      <c r="E1027">
        <v>225</v>
      </c>
      <c r="F1027">
        <v>0</v>
      </c>
      <c r="G1027">
        <v>112.85</v>
      </c>
      <c r="H1027">
        <v>25391.25</v>
      </c>
      <c r="I1027" t="s">
        <v>1311</v>
      </c>
      <c r="J1027">
        <v>0</v>
      </c>
      <c r="K1027">
        <v>9.02</v>
      </c>
      <c r="L1027">
        <v>0</v>
      </c>
      <c r="M1027">
        <v>0.03</v>
      </c>
      <c r="N1027">
        <v>87</v>
      </c>
      <c r="O1027">
        <v>17.28</v>
      </c>
      <c r="P1027">
        <v>113.33</v>
      </c>
      <c r="Q1027">
        <f t="shared" si="160"/>
        <v>2025</v>
      </c>
      <c r="R1027">
        <f t="shared" si="161"/>
        <v>4</v>
      </c>
      <c r="S1027">
        <f t="shared" si="162"/>
        <v>2025</v>
      </c>
      <c r="T1027">
        <f t="shared" si="163"/>
        <v>1</v>
      </c>
      <c r="U1027" t="str">
        <f t="shared" si="164"/>
        <v>01</v>
      </c>
      <c r="V1027" t="str">
        <f t="shared" si="165"/>
        <v>202501</v>
      </c>
      <c r="W1027" t="str">
        <f t="shared" si="166"/>
        <v>Apr-25</v>
      </c>
      <c r="X1027" s="3">
        <f t="shared" si="167"/>
        <v>-25504.58</v>
      </c>
      <c r="Y1027" t="str">
        <f t="shared" ref="Y1027:Y1090" si="168">IF(X1027&gt;0,X1027,"")</f>
        <v/>
      </c>
      <c r="Z1027">
        <f t="shared" ref="Z1027:Z1090" si="169">IF(X1027&lt;0,X1027,"")</f>
        <v>-25504.58</v>
      </c>
    </row>
    <row r="1028" spans="1:26" x14ac:dyDescent="0.25">
      <c r="A1028" s="1">
        <v>45748</v>
      </c>
      <c r="B1028" t="s">
        <v>1309</v>
      </c>
      <c r="C1028" t="s">
        <v>17</v>
      </c>
      <c r="D1028" t="s">
        <v>22</v>
      </c>
      <c r="E1028">
        <v>225</v>
      </c>
      <c r="F1028">
        <v>0</v>
      </c>
      <c r="G1028">
        <v>104.6</v>
      </c>
      <c r="H1028">
        <v>23535</v>
      </c>
      <c r="I1028" t="s">
        <v>1312</v>
      </c>
      <c r="J1028">
        <v>0</v>
      </c>
      <c r="K1028">
        <v>8.36</v>
      </c>
      <c r="L1028">
        <v>2.14</v>
      </c>
      <c r="M1028">
        <v>0.03</v>
      </c>
      <c r="N1028">
        <v>87</v>
      </c>
      <c r="O1028">
        <v>17.16</v>
      </c>
      <c r="P1028">
        <v>114.69</v>
      </c>
      <c r="Q1028">
        <f t="shared" si="160"/>
        <v>2025</v>
      </c>
      <c r="R1028">
        <f t="shared" si="161"/>
        <v>4</v>
      </c>
      <c r="S1028">
        <f t="shared" si="162"/>
        <v>2025</v>
      </c>
      <c r="T1028">
        <f t="shared" si="163"/>
        <v>1</v>
      </c>
      <c r="U1028" t="str">
        <f t="shared" si="164"/>
        <v>01</v>
      </c>
      <c r="V1028" t="str">
        <f t="shared" si="165"/>
        <v>202501</v>
      </c>
      <c r="W1028" t="str">
        <f t="shared" si="166"/>
        <v>Apr-25</v>
      </c>
      <c r="X1028" s="3">
        <f t="shared" si="167"/>
        <v>-23649.69</v>
      </c>
      <c r="Y1028" t="str">
        <f t="shared" si="168"/>
        <v/>
      </c>
      <c r="Z1028">
        <f t="shared" si="169"/>
        <v>-23649.69</v>
      </c>
    </row>
    <row r="1029" spans="1:26" x14ac:dyDescent="0.25">
      <c r="A1029" s="1">
        <v>45748</v>
      </c>
      <c r="B1029" t="s">
        <v>1309</v>
      </c>
      <c r="C1029" t="s">
        <v>17</v>
      </c>
      <c r="D1029" t="s">
        <v>18</v>
      </c>
      <c r="E1029">
        <v>225</v>
      </c>
      <c r="F1029">
        <v>0</v>
      </c>
      <c r="G1029">
        <v>92.3</v>
      </c>
      <c r="H1029">
        <v>20767.5</v>
      </c>
      <c r="I1029" t="s">
        <v>1313</v>
      </c>
      <c r="J1029">
        <v>20.76</v>
      </c>
      <c r="K1029">
        <v>7.38</v>
      </c>
      <c r="L1029">
        <v>0</v>
      </c>
      <c r="M1029">
        <v>0.03</v>
      </c>
      <c r="N1029">
        <v>87</v>
      </c>
      <c r="O1029">
        <v>16.98</v>
      </c>
      <c r="P1029">
        <v>132.15</v>
      </c>
      <c r="Q1029">
        <f t="shared" si="160"/>
        <v>2025</v>
      </c>
      <c r="R1029">
        <f t="shared" si="161"/>
        <v>4</v>
      </c>
      <c r="S1029">
        <f t="shared" si="162"/>
        <v>2025</v>
      </c>
      <c r="T1029">
        <f t="shared" si="163"/>
        <v>1</v>
      </c>
      <c r="U1029" t="str">
        <f t="shared" si="164"/>
        <v>01</v>
      </c>
      <c r="V1029" t="str">
        <f t="shared" si="165"/>
        <v>202501</v>
      </c>
      <c r="W1029" t="str">
        <f t="shared" si="166"/>
        <v>Apr-25</v>
      </c>
      <c r="X1029" s="3">
        <f t="shared" si="167"/>
        <v>20635.349999999999</v>
      </c>
      <c r="Y1029">
        <f t="shared" si="168"/>
        <v>20635.349999999999</v>
      </c>
      <c r="Z1029" t="str">
        <f t="shared" si="169"/>
        <v/>
      </c>
    </row>
    <row r="1030" spans="1:26" x14ac:dyDescent="0.25">
      <c r="A1030" s="1">
        <v>45748</v>
      </c>
      <c r="B1030" t="s">
        <v>1309</v>
      </c>
      <c r="C1030" t="s">
        <v>17</v>
      </c>
      <c r="D1030" t="s">
        <v>22</v>
      </c>
      <c r="E1030">
        <v>225</v>
      </c>
      <c r="F1030">
        <v>0</v>
      </c>
      <c r="G1030">
        <v>95.3</v>
      </c>
      <c r="H1030">
        <v>21442.5</v>
      </c>
      <c r="I1030" t="s">
        <v>1314</v>
      </c>
      <c r="J1030">
        <v>0</v>
      </c>
      <c r="K1030">
        <v>7.62</v>
      </c>
      <c r="L1030">
        <v>0</v>
      </c>
      <c r="M1030">
        <v>0.02</v>
      </c>
      <c r="N1030">
        <v>87</v>
      </c>
      <c r="O1030">
        <v>17.04</v>
      </c>
      <c r="P1030">
        <v>111.68</v>
      </c>
      <c r="Q1030">
        <f t="shared" si="160"/>
        <v>2025</v>
      </c>
      <c r="R1030">
        <f t="shared" si="161"/>
        <v>4</v>
      </c>
      <c r="S1030">
        <f t="shared" si="162"/>
        <v>2025</v>
      </c>
      <c r="T1030">
        <f t="shared" si="163"/>
        <v>1</v>
      </c>
      <c r="U1030" t="str">
        <f t="shared" si="164"/>
        <v>01</v>
      </c>
      <c r="V1030" t="str">
        <f t="shared" si="165"/>
        <v>202501</v>
      </c>
      <c r="W1030" t="str">
        <f t="shared" si="166"/>
        <v>Apr-25</v>
      </c>
      <c r="X1030" s="3">
        <f t="shared" si="167"/>
        <v>-21554.18</v>
      </c>
      <c r="Y1030" t="str">
        <f t="shared" si="168"/>
        <v/>
      </c>
      <c r="Z1030">
        <f t="shared" si="169"/>
        <v>-21554.18</v>
      </c>
    </row>
    <row r="1031" spans="1:26" x14ac:dyDescent="0.25">
      <c r="A1031" s="1">
        <v>45748</v>
      </c>
      <c r="B1031" t="s">
        <v>1315</v>
      </c>
      <c r="C1031" t="s">
        <v>17</v>
      </c>
      <c r="D1031" t="s">
        <v>18</v>
      </c>
      <c r="E1031">
        <v>225</v>
      </c>
      <c r="F1031">
        <v>0</v>
      </c>
      <c r="G1031">
        <v>143.25</v>
      </c>
      <c r="H1031">
        <v>32231.25</v>
      </c>
      <c r="I1031" t="s">
        <v>1316</v>
      </c>
      <c r="J1031">
        <v>31.9</v>
      </c>
      <c r="K1031">
        <v>11.45</v>
      </c>
      <c r="L1031">
        <v>0</v>
      </c>
      <c r="M1031">
        <v>0.03</v>
      </c>
      <c r="N1031">
        <v>87</v>
      </c>
      <c r="O1031">
        <v>17.72</v>
      </c>
      <c r="P1031">
        <v>148.1</v>
      </c>
      <c r="Q1031">
        <f t="shared" si="160"/>
        <v>2025</v>
      </c>
      <c r="R1031">
        <f t="shared" si="161"/>
        <v>4</v>
      </c>
      <c r="S1031">
        <f t="shared" si="162"/>
        <v>2025</v>
      </c>
      <c r="T1031">
        <f t="shared" si="163"/>
        <v>1</v>
      </c>
      <c r="U1031" t="str">
        <f t="shared" si="164"/>
        <v>01</v>
      </c>
      <c r="V1031" t="str">
        <f t="shared" si="165"/>
        <v>202501</v>
      </c>
      <c r="W1031" t="str">
        <f t="shared" si="166"/>
        <v>Apr-25</v>
      </c>
      <c r="X1031" s="3">
        <f t="shared" si="167"/>
        <v>32083.15</v>
      </c>
      <c r="Y1031">
        <f t="shared" si="168"/>
        <v>32083.15</v>
      </c>
      <c r="Z1031" t="str">
        <f t="shared" si="169"/>
        <v/>
      </c>
    </row>
    <row r="1032" spans="1:26" x14ac:dyDescent="0.25">
      <c r="A1032" s="1">
        <v>45748</v>
      </c>
      <c r="B1032" t="s">
        <v>1315</v>
      </c>
      <c r="C1032" t="s">
        <v>17</v>
      </c>
      <c r="D1032" t="s">
        <v>22</v>
      </c>
      <c r="E1032">
        <v>225</v>
      </c>
      <c r="F1032">
        <v>0</v>
      </c>
      <c r="G1032">
        <v>112.75</v>
      </c>
      <c r="H1032">
        <v>25368.75</v>
      </c>
      <c r="I1032" t="s">
        <v>1317</v>
      </c>
      <c r="J1032">
        <v>0</v>
      </c>
      <c r="K1032">
        <v>9</v>
      </c>
      <c r="L1032">
        <v>0.76</v>
      </c>
      <c r="M1032">
        <v>0.03</v>
      </c>
      <c r="N1032">
        <v>87</v>
      </c>
      <c r="O1032">
        <v>17.28</v>
      </c>
      <c r="P1032">
        <v>114.07</v>
      </c>
      <c r="Q1032">
        <f t="shared" si="160"/>
        <v>2025</v>
      </c>
      <c r="R1032">
        <f t="shared" si="161"/>
        <v>4</v>
      </c>
      <c r="S1032">
        <f t="shared" si="162"/>
        <v>2025</v>
      </c>
      <c r="T1032">
        <f t="shared" si="163"/>
        <v>1</v>
      </c>
      <c r="U1032" t="str">
        <f t="shared" si="164"/>
        <v>01</v>
      </c>
      <c r="V1032" t="str">
        <f t="shared" si="165"/>
        <v>202501</v>
      </c>
      <c r="W1032" t="str">
        <f t="shared" si="166"/>
        <v>Apr-25</v>
      </c>
      <c r="X1032" s="3">
        <f t="shared" si="167"/>
        <v>-25482.82</v>
      </c>
      <c r="Y1032" t="str">
        <f t="shared" si="168"/>
        <v/>
      </c>
      <c r="Z1032">
        <f t="shared" si="169"/>
        <v>-25482.82</v>
      </c>
    </row>
    <row r="1033" spans="1:26" x14ac:dyDescent="0.25">
      <c r="A1033" s="1">
        <v>45749</v>
      </c>
      <c r="B1033" t="s">
        <v>1294</v>
      </c>
      <c r="C1033" t="s">
        <v>17</v>
      </c>
      <c r="D1033" t="s">
        <v>18</v>
      </c>
      <c r="E1033">
        <v>525</v>
      </c>
      <c r="F1033">
        <v>0</v>
      </c>
      <c r="G1033">
        <v>3.5</v>
      </c>
      <c r="H1033">
        <v>1837.5</v>
      </c>
      <c r="I1033" t="s">
        <v>1295</v>
      </c>
      <c r="J1033">
        <v>1.87</v>
      </c>
      <c r="K1033">
        <v>0.65</v>
      </c>
      <c r="L1033">
        <v>0</v>
      </c>
      <c r="M1033">
        <v>0</v>
      </c>
      <c r="N1033">
        <v>203</v>
      </c>
      <c r="O1033">
        <v>36.659999999999997</v>
      </c>
      <c r="P1033">
        <v>242.18</v>
      </c>
      <c r="Q1033">
        <f t="shared" si="160"/>
        <v>2025</v>
      </c>
      <c r="R1033">
        <f t="shared" si="161"/>
        <v>4</v>
      </c>
      <c r="S1033">
        <f t="shared" si="162"/>
        <v>2025</v>
      </c>
      <c r="T1033">
        <f t="shared" si="163"/>
        <v>1</v>
      </c>
      <c r="U1033" t="str">
        <f t="shared" si="164"/>
        <v>01</v>
      </c>
      <c r="V1033" t="str">
        <f t="shared" si="165"/>
        <v>202501</v>
      </c>
      <c r="W1033" t="str">
        <f t="shared" si="166"/>
        <v>Apr-25</v>
      </c>
      <c r="X1033" s="3">
        <f t="shared" si="167"/>
        <v>1595.32</v>
      </c>
      <c r="Y1033">
        <f t="shared" si="168"/>
        <v>1595.32</v>
      </c>
      <c r="Z1033" t="str">
        <f t="shared" si="169"/>
        <v/>
      </c>
    </row>
    <row r="1034" spans="1:26" x14ac:dyDescent="0.25">
      <c r="A1034" s="1">
        <v>45749</v>
      </c>
      <c r="B1034" t="s">
        <v>1296</v>
      </c>
      <c r="C1034" t="s">
        <v>17</v>
      </c>
      <c r="D1034" t="s">
        <v>18</v>
      </c>
      <c r="E1034">
        <v>1500</v>
      </c>
      <c r="F1034">
        <v>0</v>
      </c>
      <c r="G1034">
        <v>29</v>
      </c>
      <c r="H1034">
        <v>43500</v>
      </c>
      <c r="I1034" t="s">
        <v>1297</v>
      </c>
      <c r="J1034">
        <v>43.5</v>
      </c>
      <c r="K1034">
        <v>15.46</v>
      </c>
      <c r="L1034">
        <v>0</v>
      </c>
      <c r="M1034">
        <v>0.04</v>
      </c>
      <c r="N1034">
        <v>580</v>
      </c>
      <c r="O1034">
        <v>107.2</v>
      </c>
      <c r="P1034">
        <v>746.2</v>
      </c>
      <c r="Q1034">
        <f t="shared" si="160"/>
        <v>2025</v>
      </c>
      <c r="R1034">
        <f t="shared" si="161"/>
        <v>4</v>
      </c>
      <c r="S1034">
        <f t="shared" si="162"/>
        <v>2025</v>
      </c>
      <c r="T1034">
        <f t="shared" si="163"/>
        <v>1</v>
      </c>
      <c r="U1034" t="str">
        <f t="shared" si="164"/>
        <v>01</v>
      </c>
      <c r="V1034" t="str">
        <f t="shared" si="165"/>
        <v>202501</v>
      </c>
      <c r="W1034" t="str">
        <f t="shared" si="166"/>
        <v>Apr-25</v>
      </c>
      <c r="X1034" s="3">
        <f t="shared" si="167"/>
        <v>42753.8</v>
      </c>
      <c r="Y1034">
        <f t="shared" si="168"/>
        <v>42753.8</v>
      </c>
      <c r="Z1034" t="str">
        <f t="shared" si="169"/>
        <v/>
      </c>
    </row>
    <row r="1035" spans="1:26" x14ac:dyDescent="0.25">
      <c r="A1035" s="1">
        <v>45749</v>
      </c>
      <c r="B1035" t="s">
        <v>1296</v>
      </c>
      <c r="C1035" t="s">
        <v>17</v>
      </c>
      <c r="D1035" t="s">
        <v>22</v>
      </c>
      <c r="E1035">
        <v>750</v>
      </c>
      <c r="F1035">
        <v>0</v>
      </c>
      <c r="G1035">
        <v>51.66</v>
      </c>
      <c r="H1035">
        <v>38745</v>
      </c>
      <c r="I1035" t="s">
        <v>1298</v>
      </c>
      <c r="J1035">
        <v>0</v>
      </c>
      <c r="K1035">
        <v>13.77</v>
      </c>
      <c r="L1035">
        <v>0</v>
      </c>
      <c r="M1035">
        <v>0.04</v>
      </c>
      <c r="N1035">
        <v>290</v>
      </c>
      <c r="O1035">
        <v>54.68</v>
      </c>
      <c r="P1035">
        <v>358.49</v>
      </c>
      <c r="Q1035">
        <f t="shared" si="160"/>
        <v>2025</v>
      </c>
      <c r="R1035">
        <f t="shared" si="161"/>
        <v>4</v>
      </c>
      <c r="S1035">
        <f t="shared" si="162"/>
        <v>2025</v>
      </c>
      <c r="T1035">
        <f t="shared" si="163"/>
        <v>1</v>
      </c>
      <c r="U1035" t="str">
        <f t="shared" si="164"/>
        <v>01</v>
      </c>
      <c r="V1035" t="str">
        <f t="shared" si="165"/>
        <v>202501</v>
      </c>
      <c r="W1035" t="str">
        <f t="shared" si="166"/>
        <v>Apr-25</v>
      </c>
      <c r="X1035" s="3">
        <f t="shared" si="167"/>
        <v>-39103.49</v>
      </c>
      <c r="Y1035" t="str">
        <f t="shared" si="168"/>
        <v/>
      </c>
      <c r="Z1035">
        <f t="shared" si="169"/>
        <v>-39103.49</v>
      </c>
    </row>
    <row r="1036" spans="1:26" x14ac:dyDescent="0.25">
      <c r="A1036" s="1">
        <v>45749</v>
      </c>
      <c r="B1036" t="s">
        <v>1296</v>
      </c>
      <c r="C1036" t="s">
        <v>17</v>
      </c>
      <c r="D1036" t="s">
        <v>22</v>
      </c>
      <c r="E1036">
        <v>750</v>
      </c>
      <c r="F1036">
        <v>0</v>
      </c>
      <c r="G1036">
        <v>56.7</v>
      </c>
      <c r="H1036">
        <v>42525</v>
      </c>
      <c r="I1036" t="s">
        <v>1299</v>
      </c>
      <c r="J1036">
        <v>0</v>
      </c>
      <c r="K1036">
        <v>15.11</v>
      </c>
      <c r="L1036">
        <v>5.17</v>
      </c>
      <c r="M1036">
        <v>0.04</v>
      </c>
      <c r="N1036">
        <v>290</v>
      </c>
      <c r="O1036">
        <v>54.94</v>
      </c>
      <c r="P1036">
        <v>365.26</v>
      </c>
      <c r="Q1036">
        <f t="shared" si="160"/>
        <v>2025</v>
      </c>
      <c r="R1036">
        <f t="shared" si="161"/>
        <v>4</v>
      </c>
      <c r="S1036">
        <f t="shared" si="162"/>
        <v>2025</v>
      </c>
      <c r="T1036">
        <f t="shared" si="163"/>
        <v>1</v>
      </c>
      <c r="U1036" t="str">
        <f t="shared" si="164"/>
        <v>01</v>
      </c>
      <c r="V1036" t="str">
        <f t="shared" si="165"/>
        <v>202501</v>
      </c>
      <c r="W1036" t="str">
        <f t="shared" si="166"/>
        <v>Apr-25</v>
      </c>
      <c r="X1036" s="3">
        <f t="shared" si="167"/>
        <v>-42890.26</v>
      </c>
      <c r="Y1036" t="str">
        <f t="shared" si="168"/>
        <v/>
      </c>
      <c r="Z1036">
        <f t="shared" si="169"/>
        <v>-42890.26</v>
      </c>
    </row>
    <row r="1037" spans="1:26" x14ac:dyDescent="0.25">
      <c r="A1037" s="1">
        <v>45749</v>
      </c>
      <c r="B1037" t="s">
        <v>1296</v>
      </c>
      <c r="C1037" t="s">
        <v>17</v>
      </c>
      <c r="D1037" t="s">
        <v>18</v>
      </c>
      <c r="E1037">
        <v>1200</v>
      </c>
      <c r="F1037">
        <v>0</v>
      </c>
      <c r="G1037">
        <v>60.08</v>
      </c>
      <c r="H1037">
        <v>72097.5</v>
      </c>
      <c r="I1037" t="s">
        <v>1300</v>
      </c>
      <c r="J1037">
        <v>72.11</v>
      </c>
      <c r="K1037">
        <v>25.6</v>
      </c>
      <c r="L1037">
        <v>0</v>
      </c>
      <c r="M1037">
        <v>0.06</v>
      </c>
      <c r="N1037">
        <v>464</v>
      </c>
      <c r="O1037">
        <v>88.12</v>
      </c>
      <c r="P1037">
        <v>649.89</v>
      </c>
      <c r="Q1037">
        <f t="shared" si="160"/>
        <v>2025</v>
      </c>
      <c r="R1037">
        <f t="shared" si="161"/>
        <v>4</v>
      </c>
      <c r="S1037">
        <f t="shared" si="162"/>
        <v>2025</v>
      </c>
      <c r="T1037">
        <f t="shared" si="163"/>
        <v>1</v>
      </c>
      <c r="U1037" t="str">
        <f t="shared" si="164"/>
        <v>01</v>
      </c>
      <c r="V1037" t="str">
        <f t="shared" si="165"/>
        <v>202501</v>
      </c>
      <c r="W1037" t="str">
        <f t="shared" si="166"/>
        <v>Apr-25</v>
      </c>
      <c r="X1037" s="3">
        <f t="shared" si="167"/>
        <v>71447.61</v>
      </c>
      <c r="Y1037">
        <f t="shared" si="168"/>
        <v>71447.61</v>
      </c>
      <c r="Z1037" t="str">
        <f t="shared" si="169"/>
        <v/>
      </c>
    </row>
    <row r="1038" spans="1:26" x14ac:dyDescent="0.25">
      <c r="A1038" s="1">
        <v>45749</v>
      </c>
      <c r="B1038" t="s">
        <v>1296</v>
      </c>
      <c r="C1038" t="s">
        <v>17</v>
      </c>
      <c r="D1038" t="s">
        <v>22</v>
      </c>
      <c r="E1038">
        <v>300</v>
      </c>
      <c r="F1038">
        <v>0</v>
      </c>
      <c r="G1038">
        <v>52.85</v>
      </c>
      <c r="H1038">
        <v>15855</v>
      </c>
      <c r="I1038" t="s">
        <v>1301</v>
      </c>
      <c r="J1038">
        <v>0</v>
      </c>
      <c r="K1038">
        <v>5.64</v>
      </c>
      <c r="L1038">
        <v>0</v>
      </c>
      <c r="M1038">
        <v>0.01</v>
      </c>
      <c r="N1038">
        <v>116</v>
      </c>
      <c r="O1038">
        <v>21.9</v>
      </c>
      <c r="P1038">
        <v>143.55000000000001</v>
      </c>
      <c r="Q1038">
        <f t="shared" si="160"/>
        <v>2025</v>
      </c>
      <c r="R1038">
        <f t="shared" si="161"/>
        <v>4</v>
      </c>
      <c r="S1038">
        <f t="shared" si="162"/>
        <v>2025</v>
      </c>
      <c r="T1038">
        <f t="shared" si="163"/>
        <v>1</v>
      </c>
      <c r="U1038" t="str">
        <f t="shared" si="164"/>
        <v>01</v>
      </c>
      <c r="V1038" t="str">
        <f t="shared" si="165"/>
        <v>202501</v>
      </c>
      <c r="W1038" t="str">
        <f t="shared" si="166"/>
        <v>Apr-25</v>
      </c>
      <c r="X1038" s="3">
        <f t="shared" si="167"/>
        <v>-15998.55</v>
      </c>
      <c r="Y1038" t="str">
        <f t="shared" si="168"/>
        <v/>
      </c>
      <c r="Z1038">
        <f t="shared" si="169"/>
        <v>-15998.55</v>
      </c>
    </row>
    <row r="1039" spans="1:26" x14ac:dyDescent="0.25">
      <c r="A1039" s="1">
        <v>45749</v>
      </c>
      <c r="B1039" t="s">
        <v>1296</v>
      </c>
      <c r="C1039" t="s">
        <v>17</v>
      </c>
      <c r="D1039" t="s">
        <v>22</v>
      </c>
      <c r="E1039">
        <v>300</v>
      </c>
      <c r="F1039">
        <v>0</v>
      </c>
      <c r="G1039">
        <v>58.1</v>
      </c>
      <c r="H1039">
        <v>17430</v>
      </c>
      <c r="I1039" t="s">
        <v>1302</v>
      </c>
      <c r="J1039">
        <v>0</v>
      </c>
      <c r="K1039">
        <v>6.19</v>
      </c>
      <c r="L1039">
        <v>0</v>
      </c>
      <c r="M1039">
        <v>0.01</v>
      </c>
      <c r="N1039">
        <v>116</v>
      </c>
      <c r="O1039">
        <v>22</v>
      </c>
      <c r="P1039">
        <v>144.19999999999999</v>
      </c>
      <c r="Q1039">
        <f t="shared" si="160"/>
        <v>2025</v>
      </c>
      <c r="R1039">
        <f t="shared" si="161"/>
        <v>4</v>
      </c>
      <c r="S1039">
        <f t="shared" si="162"/>
        <v>2025</v>
      </c>
      <c r="T1039">
        <f t="shared" si="163"/>
        <v>1</v>
      </c>
      <c r="U1039" t="str">
        <f t="shared" si="164"/>
        <v>01</v>
      </c>
      <c r="V1039" t="str">
        <f t="shared" si="165"/>
        <v>202501</v>
      </c>
      <c r="W1039" t="str">
        <f t="shared" si="166"/>
        <v>Apr-25</v>
      </c>
      <c r="X1039" s="3">
        <f t="shared" si="167"/>
        <v>-17574.2</v>
      </c>
      <c r="Y1039" t="str">
        <f t="shared" si="168"/>
        <v/>
      </c>
      <c r="Z1039">
        <f t="shared" si="169"/>
        <v>-17574.2</v>
      </c>
    </row>
    <row r="1040" spans="1:26" x14ac:dyDescent="0.25">
      <c r="A1040" s="1">
        <v>45749</v>
      </c>
      <c r="B1040" t="s">
        <v>1296</v>
      </c>
      <c r="C1040" t="s">
        <v>17</v>
      </c>
      <c r="D1040" t="s">
        <v>22</v>
      </c>
      <c r="E1040">
        <v>300</v>
      </c>
      <c r="F1040">
        <v>0</v>
      </c>
      <c r="G1040">
        <v>70.56</v>
      </c>
      <c r="H1040">
        <v>21168.75</v>
      </c>
      <c r="I1040" t="s">
        <v>1303</v>
      </c>
      <c r="J1040">
        <v>0</v>
      </c>
      <c r="K1040">
        <v>7.52</v>
      </c>
      <c r="L1040">
        <v>0</v>
      </c>
      <c r="M1040">
        <v>0.03</v>
      </c>
      <c r="N1040">
        <v>116</v>
      </c>
      <c r="O1040">
        <v>22.24</v>
      </c>
      <c r="P1040">
        <v>145.79</v>
      </c>
      <c r="Q1040">
        <f t="shared" si="160"/>
        <v>2025</v>
      </c>
      <c r="R1040">
        <f t="shared" si="161"/>
        <v>4</v>
      </c>
      <c r="S1040">
        <f t="shared" si="162"/>
        <v>2025</v>
      </c>
      <c r="T1040">
        <f t="shared" si="163"/>
        <v>1</v>
      </c>
      <c r="U1040" t="str">
        <f t="shared" si="164"/>
        <v>01</v>
      </c>
      <c r="V1040" t="str">
        <f t="shared" si="165"/>
        <v>202501</v>
      </c>
      <c r="W1040" t="str">
        <f t="shared" si="166"/>
        <v>Apr-25</v>
      </c>
      <c r="X1040" s="3">
        <f t="shared" si="167"/>
        <v>-21314.54</v>
      </c>
      <c r="Y1040" t="str">
        <f t="shared" si="168"/>
        <v/>
      </c>
      <c r="Z1040">
        <f t="shared" si="169"/>
        <v>-21314.54</v>
      </c>
    </row>
    <row r="1041" spans="1:26" x14ac:dyDescent="0.25">
      <c r="A1041" s="1">
        <v>45749</v>
      </c>
      <c r="B1041" t="s">
        <v>1296</v>
      </c>
      <c r="C1041" t="s">
        <v>17</v>
      </c>
      <c r="D1041" t="s">
        <v>22</v>
      </c>
      <c r="E1041">
        <v>300</v>
      </c>
      <c r="F1041">
        <v>0</v>
      </c>
      <c r="G1041">
        <v>88.15</v>
      </c>
      <c r="H1041">
        <v>26445</v>
      </c>
      <c r="I1041" t="s">
        <v>1304</v>
      </c>
      <c r="J1041">
        <v>0</v>
      </c>
      <c r="K1041">
        <v>9.4</v>
      </c>
      <c r="L1041">
        <v>0</v>
      </c>
      <c r="M1041">
        <v>0.03</v>
      </c>
      <c r="N1041">
        <v>116</v>
      </c>
      <c r="O1041">
        <v>22.58</v>
      </c>
      <c r="P1041">
        <v>148.01</v>
      </c>
      <c r="Q1041">
        <f t="shared" si="160"/>
        <v>2025</v>
      </c>
      <c r="R1041">
        <f t="shared" si="161"/>
        <v>4</v>
      </c>
      <c r="S1041">
        <f t="shared" si="162"/>
        <v>2025</v>
      </c>
      <c r="T1041">
        <f t="shared" si="163"/>
        <v>1</v>
      </c>
      <c r="U1041" t="str">
        <f t="shared" si="164"/>
        <v>01</v>
      </c>
      <c r="V1041" t="str">
        <f t="shared" si="165"/>
        <v>202501</v>
      </c>
      <c r="W1041" t="str">
        <f t="shared" si="166"/>
        <v>Apr-25</v>
      </c>
      <c r="X1041" s="3">
        <f t="shared" si="167"/>
        <v>-26593.01</v>
      </c>
      <c r="Y1041" t="str">
        <f t="shared" si="168"/>
        <v/>
      </c>
      <c r="Z1041">
        <f t="shared" si="169"/>
        <v>-26593.01</v>
      </c>
    </row>
    <row r="1042" spans="1:26" x14ac:dyDescent="0.25">
      <c r="A1042" s="1">
        <v>45749</v>
      </c>
      <c r="B1042" t="s">
        <v>1305</v>
      </c>
      <c r="C1042" t="s">
        <v>17</v>
      </c>
      <c r="D1042" t="s">
        <v>18</v>
      </c>
      <c r="E1042">
        <v>300</v>
      </c>
      <c r="F1042">
        <v>0</v>
      </c>
      <c r="G1042">
        <v>85.1</v>
      </c>
      <c r="H1042">
        <v>25530</v>
      </c>
      <c r="I1042" t="s">
        <v>1306</v>
      </c>
      <c r="J1042">
        <v>25.53</v>
      </c>
      <c r="K1042">
        <v>9.08</v>
      </c>
      <c r="L1042">
        <v>0</v>
      </c>
      <c r="M1042">
        <v>0.03</v>
      </c>
      <c r="N1042">
        <v>116</v>
      </c>
      <c r="O1042">
        <v>22.54</v>
      </c>
      <c r="P1042">
        <v>173.18</v>
      </c>
      <c r="Q1042">
        <f t="shared" si="160"/>
        <v>2025</v>
      </c>
      <c r="R1042">
        <f t="shared" si="161"/>
        <v>4</v>
      </c>
      <c r="S1042">
        <f t="shared" si="162"/>
        <v>2025</v>
      </c>
      <c r="T1042">
        <f t="shared" si="163"/>
        <v>1</v>
      </c>
      <c r="U1042" t="str">
        <f t="shared" si="164"/>
        <v>01</v>
      </c>
      <c r="V1042" t="str">
        <f t="shared" si="165"/>
        <v>202501</v>
      </c>
      <c r="W1042" t="str">
        <f t="shared" si="166"/>
        <v>Apr-25</v>
      </c>
      <c r="X1042" s="3">
        <f t="shared" si="167"/>
        <v>25356.82</v>
      </c>
      <c r="Y1042">
        <f t="shared" si="168"/>
        <v>25356.82</v>
      </c>
      <c r="Z1042" t="str">
        <f t="shared" si="169"/>
        <v/>
      </c>
    </row>
    <row r="1043" spans="1:26" x14ac:dyDescent="0.25">
      <c r="A1043" s="1">
        <v>45749</v>
      </c>
      <c r="B1043" t="s">
        <v>1305</v>
      </c>
      <c r="C1043" t="s">
        <v>17</v>
      </c>
      <c r="D1043" t="s">
        <v>22</v>
      </c>
      <c r="E1043">
        <v>300</v>
      </c>
      <c r="F1043">
        <v>0</v>
      </c>
      <c r="G1043">
        <v>92.45</v>
      </c>
      <c r="H1043">
        <v>27735</v>
      </c>
      <c r="I1043" t="s">
        <v>1307</v>
      </c>
      <c r="J1043">
        <v>0</v>
      </c>
      <c r="K1043">
        <v>9.85</v>
      </c>
      <c r="L1043">
        <v>0.83</v>
      </c>
      <c r="M1043">
        <v>0.03</v>
      </c>
      <c r="N1043">
        <v>116</v>
      </c>
      <c r="O1043">
        <v>22.64</v>
      </c>
      <c r="P1043">
        <v>149.35</v>
      </c>
      <c r="Q1043">
        <f t="shared" si="160"/>
        <v>2025</v>
      </c>
      <c r="R1043">
        <f t="shared" si="161"/>
        <v>4</v>
      </c>
      <c r="S1043">
        <f t="shared" si="162"/>
        <v>2025</v>
      </c>
      <c r="T1043">
        <f t="shared" si="163"/>
        <v>1</v>
      </c>
      <c r="U1043" t="str">
        <f t="shared" si="164"/>
        <v>01</v>
      </c>
      <c r="V1043" t="str">
        <f t="shared" si="165"/>
        <v>202501</v>
      </c>
      <c r="W1043" t="str">
        <f t="shared" si="166"/>
        <v>Apr-25</v>
      </c>
      <c r="X1043" s="3">
        <f t="shared" si="167"/>
        <v>-27884.35</v>
      </c>
      <c r="Y1043" t="str">
        <f t="shared" si="168"/>
        <v/>
      </c>
      <c r="Z1043">
        <f t="shared" si="169"/>
        <v>-27884.35</v>
      </c>
    </row>
    <row r="1044" spans="1:26" x14ac:dyDescent="0.25">
      <c r="A1044" s="1">
        <v>45750</v>
      </c>
      <c r="B1044" t="s">
        <v>1284</v>
      </c>
      <c r="C1044" t="s">
        <v>17</v>
      </c>
      <c r="D1044" t="s">
        <v>18</v>
      </c>
      <c r="E1044">
        <v>75</v>
      </c>
      <c r="F1044">
        <v>0</v>
      </c>
      <c r="G1044">
        <v>44.45</v>
      </c>
      <c r="H1044">
        <v>3333.75</v>
      </c>
      <c r="I1044" t="s">
        <v>1285</v>
      </c>
      <c r="J1044">
        <v>3.33</v>
      </c>
      <c r="K1044">
        <v>1.18</v>
      </c>
      <c r="L1044">
        <v>0</v>
      </c>
      <c r="M1044">
        <v>0</v>
      </c>
      <c r="N1044">
        <v>29</v>
      </c>
      <c r="O1044">
        <v>5.44</v>
      </c>
      <c r="P1044">
        <v>38.950000000000003</v>
      </c>
      <c r="Q1044">
        <f t="shared" si="160"/>
        <v>2025</v>
      </c>
      <c r="R1044">
        <f t="shared" si="161"/>
        <v>4</v>
      </c>
      <c r="S1044">
        <f t="shared" si="162"/>
        <v>2025</v>
      </c>
      <c r="T1044">
        <f t="shared" si="163"/>
        <v>1</v>
      </c>
      <c r="U1044" t="str">
        <f t="shared" si="164"/>
        <v>01</v>
      </c>
      <c r="V1044" t="str">
        <f t="shared" si="165"/>
        <v>202501</v>
      </c>
      <c r="W1044" t="str">
        <f t="shared" si="166"/>
        <v>Apr-25</v>
      </c>
      <c r="X1044" s="3">
        <f t="shared" si="167"/>
        <v>3294.8</v>
      </c>
      <c r="Y1044">
        <f t="shared" si="168"/>
        <v>3294.8</v>
      </c>
      <c r="Z1044" t="str">
        <f t="shared" si="169"/>
        <v/>
      </c>
    </row>
    <row r="1045" spans="1:26" x14ac:dyDescent="0.25">
      <c r="A1045" s="1">
        <v>45750</v>
      </c>
      <c r="B1045" t="s">
        <v>1284</v>
      </c>
      <c r="C1045" t="s">
        <v>17</v>
      </c>
      <c r="D1045" t="s">
        <v>22</v>
      </c>
      <c r="E1045">
        <v>75</v>
      </c>
      <c r="F1045">
        <v>0</v>
      </c>
      <c r="G1045">
        <v>45</v>
      </c>
      <c r="H1045">
        <v>3375</v>
      </c>
      <c r="I1045" t="s">
        <v>1286</v>
      </c>
      <c r="J1045">
        <v>0</v>
      </c>
      <c r="K1045">
        <v>1.2</v>
      </c>
      <c r="L1045">
        <v>0</v>
      </c>
      <c r="M1045">
        <v>0</v>
      </c>
      <c r="N1045">
        <v>29</v>
      </c>
      <c r="O1045">
        <v>5.44</v>
      </c>
      <c r="P1045">
        <v>35.64</v>
      </c>
      <c r="Q1045">
        <f t="shared" si="160"/>
        <v>2025</v>
      </c>
      <c r="R1045">
        <f t="shared" si="161"/>
        <v>4</v>
      </c>
      <c r="S1045">
        <f t="shared" si="162"/>
        <v>2025</v>
      </c>
      <c r="T1045">
        <f t="shared" si="163"/>
        <v>1</v>
      </c>
      <c r="U1045" t="str">
        <f t="shared" si="164"/>
        <v>01</v>
      </c>
      <c r="V1045" t="str">
        <f t="shared" si="165"/>
        <v>202501</v>
      </c>
      <c r="W1045" t="str">
        <f t="shared" si="166"/>
        <v>Apr-25</v>
      </c>
      <c r="X1045" s="3">
        <f t="shared" si="167"/>
        <v>-3410.64</v>
      </c>
      <c r="Y1045" t="str">
        <f t="shared" si="168"/>
        <v/>
      </c>
      <c r="Z1045">
        <f t="shared" si="169"/>
        <v>-3410.64</v>
      </c>
    </row>
    <row r="1046" spans="1:26" x14ac:dyDescent="0.25">
      <c r="A1046" s="1">
        <v>45750</v>
      </c>
      <c r="B1046" t="s">
        <v>1284</v>
      </c>
      <c r="C1046" t="s">
        <v>17</v>
      </c>
      <c r="D1046" t="s">
        <v>18</v>
      </c>
      <c r="E1046">
        <v>75</v>
      </c>
      <c r="F1046">
        <v>0</v>
      </c>
      <c r="G1046">
        <v>47.85</v>
      </c>
      <c r="H1046">
        <v>3588.75</v>
      </c>
      <c r="I1046" t="s">
        <v>1287</v>
      </c>
      <c r="J1046">
        <v>3.65</v>
      </c>
      <c r="K1046">
        <v>1.28</v>
      </c>
      <c r="L1046">
        <v>0</v>
      </c>
      <c r="M1046">
        <v>0</v>
      </c>
      <c r="N1046">
        <v>29</v>
      </c>
      <c r="O1046">
        <v>5.46</v>
      </c>
      <c r="P1046">
        <v>39.39</v>
      </c>
      <c r="Q1046">
        <f t="shared" si="160"/>
        <v>2025</v>
      </c>
      <c r="R1046">
        <f t="shared" si="161"/>
        <v>4</v>
      </c>
      <c r="S1046">
        <f t="shared" si="162"/>
        <v>2025</v>
      </c>
      <c r="T1046">
        <f t="shared" si="163"/>
        <v>1</v>
      </c>
      <c r="U1046" t="str">
        <f t="shared" si="164"/>
        <v>01</v>
      </c>
      <c r="V1046" t="str">
        <f t="shared" si="165"/>
        <v>202501</v>
      </c>
      <c r="W1046" t="str">
        <f t="shared" si="166"/>
        <v>Apr-25</v>
      </c>
      <c r="X1046" s="3">
        <f t="shared" si="167"/>
        <v>3549.36</v>
      </c>
      <c r="Y1046">
        <f t="shared" si="168"/>
        <v>3549.36</v>
      </c>
      <c r="Z1046" t="str">
        <f t="shared" si="169"/>
        <v/>
      </c>
    </row>
    <row r="1047" spans="1:26" x14ac:dyDescent="0.25">
      <c r="A1047" s="1">
        <v>45750</v>
      </c>
      <c r="B1047" t="s">
        <v>1284</v>
      </c>
      <c r="C1047" t="s">
        <v>17</v>
      </c>
      <c r="D1047" t="s">
        <v>22</v>
      </c>
      <c r="E1047">
        <v>75</v>
      </c>
      <c r="F1047">
        <v>0</v>
      </c>
      <c r="G1047">
        <v>49.05</v>
      </c>
      <c r="H1047">
        <v>3678.75</v>
      </c>
      <c r="I1047" t="s">
        <v>1288</v>
      </c>
      <c r="J1047">
        <v>0</v>
      </c>
      <c r="K1047">
        <v>1.31</v>
      </c>
      <c r="L1047">
        <v>0</v>
      </c>
      <c r="M1047">
        <v>0</v>
      </c>
      <c r="N1047">
        <v>29</v>
      </c>
      <c r="O1047">
        <v>5.46</v>
      </c>
      <c r="P1047">
        <v>35.770000000000003</v>
      </c>
      <c r="Q1047">
        <f t="shared" si="160"/>
        <v>2025</v>
      </c>
      <c r="R1047">
        <f t="shared" si="161"/>
        <v>4</v>
      </c>
      <c r="S1047">
        <f t="shared" si="162"/>
        <v>2025</v>
      </c>
      <c r="T1047">
        <f t="shared" si="163"/>
        <v>1</v>
      </c>
      <c r="U1047" t="str">
        <f t="shared" si="164"/>
        <v>01</v>
      </c>
      <c r="V1047" t="str">
        <f t="shared" si="165"/>
        <v>202501</v>
      </c>
      <c r="W1047" t="str">
        <f t="shared" si="166"/>
        <v>Apr-25</v>
      </c>
      <c r="X1047" s="3">
        <f t="shared" si="167"/>
        <v>-3714.52</v>
      </c>
      <c r="Y1047" t="str">
        <f t="shared" si="168"/>
        <v/>
      </c>
      <c r="Z1047">
        <f t="shared" si="169"/>
        <v>-3714.52</v>
      </c>
    </row>
    <row r="1048" spans="1:26" x14ac:dyDescent="0.25">
      <c r="A1048" s="1">
        <v>45750</v>
      </c>
      <c r="B1048" t="s">
        <v>1284</v>
      </c>
      <c r="C1048" t="s">
        <v>17</v>
      </c>
      <c r="D1048" t="s">
        <v>18</v>
      </c>
      <c r="E1048">
        <v>300</v>
      </c>
      <c r="F1048">
        <v>0</v>
      </c>
      <c r="G1048">
        <v>47.75</v>
      </c>
      <c r="H1048">
        <v>14325</v>
      </c>
      <c r="I1048" t="s">
        <v>1289</v>
      </c>
      <c r="J1048">
        <v>14.33</v>
      </c>
      <c r="K1048">
        <v>5.09</v>
      </c>
      <c r="L1048">
        <v>0</v>
      </c>
      <c r="M1048">
        <v>0.01</v>
      </c>
      <c r="N1048">
        <v>116</v>
      </c>
      <c r="O1048">
        <v>21.8</v>
      </c>
      <c r="P1048">
        <v>157.22999999999999</v>
      </c>
      <c r="Q1048">
        <f t="shared" si="160"/>
        <v>2025</v>
      </c>
      <c r="R1048">
        <f t="shared" si="161"/>
        <v>4</v>
      </c>
      <c r="S1048">
        <f t="shared" si="162"/>
        <v>2025</v>
      </c>
      <c r="T1048">
        <f t="shared" si="163"/>
        <v>1</v>
      </c>
      <c r="U1048" t="str">
        <f t="shared" si="164"/>
        <v>01</v>
      </c>
      <c r="V1048" t="str">
        <f t="shared" si="165"/>
        <v>202501</v>
      </c>
      <c r="W1048" t="str">
        <f t="shared" si="166"/>
        <v>Apr-25</v>
      </c>
      <c r="X1048" s="3">
        <f t="shared" si="167"/>
        <v>14167.77</v>
      </c>
      <c r="Y1048">
        <f t="shared" si="168"/>
        <v>14167.77</v>
      </c>
      <c r="Z1048" t="str">
        <f t="shared" si="169"/>
        <v/>
      </c>
    </row>
    <row r="1049" spans="1:26" x14ac:dyDescent="0.25">
      <c r="A1049" s="1">
        <v>45750</v>
      </c>
      <c r="B1049" t="s">
        <v>1284</v>
      </c>
      <c r="C1049" t="s">
        <v>17</v>
      </c>
      <c r="D1049" t="s">
        <v>22</v>
      </c>
      <c r="E1049">
        <v>300</v>
      </c>
      <c r="F1049">
        <v>0</v>
      </c>
      <c r="G1049">
        <v>37.5</v>
      </c>
      <c r="H1049">
        <v>11250</v>
      </c>
      <c r="I1049" t="s">
        <v>1290</v>
      </c>
      <c r="J1049">
        <v>0</v>
      </c>
      <c r="K1049">
        <v>4</v>
      </c>
      <c r="L1049">
        <v>0.76</v>
      </c>
      <c r="M1049">
        <v>0.01</v>
      </c>
      <c r="N1049">
        <v>116</v>
      </c>
      <c r="O1049">
        <v>21.6</v>
      </c>
      <c r="P1049">
        <v>142.37</v>
      </c>
      <c r="Q1049">
        <f t="shared" si="160"/>
        <v>2025</v>
      </c>
      <c r="R1049">
        <f t="shared" si="161"/>
        <v>4</v>
      </c>
      <c r="S1049">
        <f t="shared" si="162"/>
        <v>2025</v>
      </c>
      <c r="T1049">
        <f t="shared" si="163"/>
        <v>1</v>
      </c>
      <c r="U1049" t="str">
        <f t="shared" si="164"/>
        <v>01</v>
      </c>
      <c r="V1049" t="str">
        <f t="shared" si="165"/>
        <v>202501</v>
      </c>
      <c r="W1049" t="str">
        <f t="shared" si="166"/>
        <v>Apr-25</v>
      </c>
      <c r="X1049" s="3">
        <f t="shared" si="167"/>
        <v>-11392.37</v>
      </c>
      <c r="Y1049" t="str">
        <f t="shared" si="168"/>
        <v/>
      </c>
      <c r="Z1049">
        <f t="shared" si="169"/>
        <v>-11392.37</v>
      </c>
    </row>
    <row r="1050" spans="1:26" x14ac:dyDescent="0.25">
      <c r="A1050" s="1">
        <v>45750</v>
      </c>
      <c r="B1050" t="s">
        <v>1291</v>
      </c>
      <c r="C1050" t="s">
        <v>17</v>
      </c>
      <c r="D1050" t="s">
        <v>18</v>
      </c>
      <c r="E1050">
        <v>750</v>
      </c>
      <c r="F1050">
        <v>0</v>
      </c>
      <c r="G1050">
        <v>10.25</v>
      </c>
      <c r="H1050">
        <v>7687.5</v>
      </c>
      <c r="I1050" t="s">
        <v>1292</v>
      </c>
      <c r="J1050">
        <v>7.69</v>
      </c>
      <c r="K1050">
        <v>2.73</v>
      </c>
      <c r="L1050">
        <v>0</v>
      </c>
      <c r="M1050">
        <v>0.01</v>
      </c>
      <c r="N1050">
        <v>29</v>
      </c>
      <c r="O1050">
        <v>5.72</v>
      </c>
      <c r="P1050">
        <v>45.15</v>
      </c>
      <c r="Q1050">
        <f t="shared" si="160"/>
        <v>2025</v>
      </c>
      <c r="R1050">
        <f t="shared" si="161"/>
        <v>4</v>
      </c>
      <c r="S1050">
        <f t="shared" si="162"/>
        <v>2025</v>
      </c>
      <c r="T1050">
        <f t="shared" si="163"/>
        <v>1</v>
      </c>
      <c r="U1050" t="str">
        <f t="shared" si="164"/>
        <v>01</v>
      </c>
      <c r="V1050" t="str">
        <f t="shared" si="165"/>
        <v>202501</v>
      </c>
      <c r="W1050" t="str">
        <f t="shared" si="166"/>
        <v>Apr-25</v>
      </c>
      <c r="X1050" s="3">
        <f t="shared" si="167"/>
        <v>7642.35</v>
      </c>
      <c r="Y1050">
        <f t="shared" si="168"/>
        <v>7642.35</v>
      </c>
      <c r="Z1050" t="str">
        <f t="shared" si="169"/>
        <v/>
      </c>
    </row>
    <row r="1051" spans="1:26" x14ac:dyDescent="0.25">
      <c r="A1051" s="1">
        <v>45750</v>
      </c>
      <c r="B1051" t="s">
        <v>1291</v>
      </c>
      <c r="C1051" t="s">
        <v>17</v>
      </c>
      <c r="D1051" t="s">
        <v>22</v>
      </c>
      <c r="E1051">
        <v>750</v>
      </c>
      <c r="F1051">
        <v>0</v>
      </c>
      <c r="G1051">
        <v>10.45</v>
      </c>
      <c r="H1051">
        <v>7837.5</v>
      </c>
      <c r="I1051" t="s">
        <v>1293</v>
      </c>
      <c r="J1051">
        <v>0</v>
      </c>
      <c r="K1051">
        <v>2.78</v>
      </c>
      <c r="L1051">
        <v>0.24</v>
      </c>
      <c r="M1051">
        <v>0.01</v>
      </c>
      <c r="N1051">
        <v>29</v>
      </c>
      <c r="O1051">
        <v>5.72</v>
      </c>
      <c r="P1051">
        <v>37.75</v>
      </c>
      <c r="Q1051">
        <f t="shared" si="160"/>
        <v>2025</v>
      </c>
      <c r="R1051">
        <f t="shared" si="161"/>
        <v>4</v>
      </c>
      <c r="S1051">
        <f t="shared" si="162"/>
        <v>2025</v>
      </c>
      <c r="T1051">
        <f t="shared" si="163"/>
        <v>1</v>
      </c>
      <c r="U1051" t="str">
        <f t="shared" si="164"/>
        <v>01</v>
      </c>
      <c r="V1051" t="str">
        <f t="shared" si="165"/>
        <v>202501</v>
      </c>
      <c r="W1051" t="str">
        <f t="shared" si="166"/>
        <v>Apr-25</v>
      </c>
      <c r="X1051" s="3">
        <f t="shared" si="167"/>
        <v>-7875.25</v>
      </c>
      <c r="Y1051" t="str">
        <f t="shared" si="168"/>
        <v/>
      </c>
      <c r="Z1051">
        <f t="shared" si="169"/>
        <v>-7875.25</v>
      </c>
    </row>
    <row r="1052" spans="1:26" x14ac:dyDescent="0.25">
      <c r="A1052" s="1">
        <v>45751</v>
      </c>
      <c r="B1052" t="s">
        <v>1426</v>
      </c>
      <c r="C1052" t="s">
        <v>17</v>
      </c>
      <c r="D1052" t="s">
        <v>18</v>
      </c>
      <c r="E1052">
        <v>75</v>
      </c>
      <c r="F1052">
        <v>0</v>
      </c>
      <c r="G1052">
        <v>112.45</v>
      </c>
      <c r="H1052">
        <v>8433.75</v>
      </c>
      <c r="I1052" t="s">
        <v>1427</v>
      </c>
      <c r="J1052">
        <v>8.43</v>
      </c>
      <c r="K1052">
        <v>3</v>
      </c>
      <c r="L1052">
        <v>0</v>
      </c>
      <c r="M1052">
        <v>0.01</v>
      </c>
      <c r="N1052">
        <v>29</v>
      </c>
      <c r="O1052">
        <v>5.76</v>
      </c>
      <c r="P1052">
        <v>46.2</v>
      </c>
      <c r="Q1052">
        <f t="shared" ref="Q1052:Q1115" si="170">YEAR(A1052)</f>
        <v>2025</v>
      </c>
      <c r="R1052">
        <f t="shared" ref="R1052:R1115" si="171">MONTH(A1052)</f>
        <v>4</v>
      </c>
      <c r="S1052">
        <f t="shared" ref="S1052:S1115" si="172">IF(R1052&lt;4,Q1052-1,Q1052)</f>
        <v>2025</v>
      </c>
      <c r="T1052">
        <f t="shared" ref="T1052:T1115" si="173">IF(R1052&lt;4,R1052+9,R1052-3)</f>
        <v>1</v>
      </c>
      <c r="U1052" t="str">
        <f t="shared" ref="U1052:U1115" si="174">IF(LEN(T1052)=1,_xlfn.CONCAT(0,T1052),T1052)</f>
        <v>01</v>
      </c>
      <c r="V1052" t="str">
        <f t="shared" ref="V1052:V1115" si="175">_xlfn.CONCAT(S1052,U1052)</f>
        <v>202501</v>
      </c>
      <c r="W1052" t="str">
        <f t="shared" ref="W1052:W1115" si="176">_xlfn.CONCAT(TEXT(A1052,"MMM"),"-",MID(Q1052,3,2))</f>
        <v>Apr-25</v>
      </c>
      <c r="X1052" s="3">
        <f t="shared" ref="X1052:X1115" si="177">IFERROR(IF(D1052="Sell",(H1052-P1052),-(H1052+P1052)),0)</f>
        <v>8387.5499999999993</v>
      </c>
      <c r="Y1052">
        <f t="shared" si="168"/>
        <v>8387.5499999999993</v>
      </c>
      <c r="Z1052" t="str">
        <f t="shared" si="169"/>
        <v/>
      </c>
    </row>
    <row r="1053" spans="1:26" x14ac:dyDescent="0.25">
      <c r="A1053" s="1">
        <v>45751</v>
      </c>
      <c r="B1053" t="s">
        <v>1426</v>
      </c>
      <c r="C1053" t="s">
        <v>17</v>
      </c>
      <c r="D1053" t="s">
        <v>22</v>
      </c>
      <c r="E1053">
        <v>75</v>
      </c>
      <c r="F1053">
        <v>0</v>
      </c>
      <c r="G1053">
        <v>114.25</v>
      </c>
      <c r="H1053">
        <v>8568.75</v>
      </c>
      <c r="I1053" t="s">
        <v>1428</v>
      </c>
      <c r="J1053">
        <v>0</v>
      </c>
      <c r="K1053">
        <v>3.04</v>
      </c>
      <c r="L1053">
        <v>0.26</v>
      </c>
      <c r="M1053">
        <v>0.01</v>
      </c>
      <c r="N1053">
        <v>29</v>
      </c>
      <c r="O1053">
        <v>5.76</v>
      </c>
      <c r="P1053">
        <v>38.07</v>
      </c>
      <c r="Q1053">
        <f t="shared" si="170"/>
        <v>2025</v>
      </c>
      <c r="R1053">
        <f t="shared" si="171"/>
        <v>4</v>
      </c>
      <c r="S1053">
        <f t="shared" si="172"/>
        <v>2025</v>
      </c>
      <c r="T1053">
        <f t="shared" si="173"/>
        <v>1</v>
      </c>
      <c r="U1053" t="str">
        <f t="shared" si="174"/>
        <v>01</v>
      </c>
      <c r="V1053" t="str">
        <f t="shared" si="175"/>
        <v>202501</v>
      </c>
      <c r="W1053" t="str">
        <f t="shared" si="176"/>
        <v>Apr-25</v>
      </c>
      <c r="X1053" s="3">
        <f t="shared" si="177"/>
        <v>-8606.82</v>
      </c>
      <c r="Y1053" t="str">
        <f t="shared" si="168"/>
        <v/>
      </c>
      <c r="Z1053">
        <f t="shared" si="169"/>
        <v>-8606.82</v>
      </c>
    </row>
    <row r="1054" spans="1:26" x14ac:dyDescent="0.25">
      <c r="A1054" s="1">
        <v>45751</v>
      </c>
      <c r="B1054" t="s">
        <v>1429</v>
      </c>
      <c r="C1054" t="s">
        <v>17</v>
      </c>
      <c r="D1054" t="s">
        <v>18</v>
      </c>
      <c r="E1054">
        <v>75</v>
      </c>
      <c r="F1054">
        <v>0</v>
      </c>
      <c r="G1054">
        <v>125.25</v>
      </c>
      <c r="H1054">
        <v>9393.75</v>
      </c>
      <c r="I1054" t="s">
        <v>1430</v>
      </c>
      <c r="J1054">
        <v>9.39</v>
      </c>
      <c r="K1054">
        <v>3.34</v>
      </c>
      <c r="L1054">
        <v>0</v>
      </c>
      <c r="M1054">
        <v>0.01</v>
      </c>
      <c r="N1054">
        <v>29</v>
      </c>
      <c r="O1054">
        <v>5.82</v>
      </c>
      <c r="P1054">
        <v>47.56</v>
      </c>
      <c r="Q1054">
        <f t="shared" si="170"/>
        <v>2025</v>
      </c>
      <c r="R1054">
        <f t="shared" si="171"/>
        <v>4</v>
      </c>
      <c r="S1054">
        <f t="shared" si="172"/>
        <v>2025</v>
      </c>
      <c r="T1054">
        <f t="shared" si="173"/>
        <v>1</v>
      </c>
      <c r="U1054" t="str">
        <f t="shared" si="174"/>
        <v>01</v>
      </c>
      <c r="V1054" t="str">
        <f t="shared" si="175"/>
        <v>202501</v>
      </c>
      <c r="W1054" t="str">
        <f t="shared" si="176"/>
        <v>Apr-25</v>
      </c>
      <c r="X1054" s="3">
        <f t="shared" si="177"/>
        <v>9346.19</v>
      </c>
      <c r="Y1054">
        <f t="shared" si="168"/>
        <v>9346.19</v>
      </c>
      <c r="Z1054" t="str">
        <f t="shared" si="169"/>
        <v/>
      </c>
    </row>
    <row r="1055" spans="1:26" x14ac:dyDescent="0.25">
      <c r="A1055" s="1">
        <v>45751</v>
      </c>
      <c r="B1055" t="s">
        <v>1429</v>
      </c>
      <c r="C1055" t="s">
        <v>17</v>
      </c>
      <c r="D1055" t="s">
        <v>18</v>
      </c>
      <c r="E1055">
        <v>75</v>
      </c>
      <c r="F1055">
        <v>0</v>
      </c>
      <c r="G1055">
        <v>137.25</v>
      </c>
      <c r="H1055">
        <v>10293.75</v>
      </c>
      <c r="I1055" t="s">
        <v>1431</v>
      </c>
      <c r="J1055">
        <v>10.29</v>
      </c>
      <c r="K1055">
        <v>3.66</v>
      </c>
      <c r="L1055">
        <v>0</v>
      </c>
      <c r="M1055">
        <v>0.01</v>
      </c>
      <c r="N1055">
        <v>29</v>
      </c>
      <c r="O1055">
        <v>5.88</v>
      </c>
      <c r="P1055">
        <v>48.84</v>
      </c>
      <c r="Q1055">
        <f t="shared" si="170"/>
        <v>2025</v>
      </c>
      <c r="R1055">
        <f t="shared" si="171"/>
        <v>4</v>
      </c>
      <c r="S1055">
        <f t="shared" si="172"/>
        <v>2025</v>
      </c>
      <c r="T1055">
        <f t="shared" si="173"/>
        <v>1</v>
      </c>
      <c r="U1055" t="str">
        <f t="shared" si="174"/>
        <v>01</v>
      </c>
      <c r="V1055" t="str">
        <f t="shared" si="175"/>
        <v>202501</v>
      </c>
      <c r="W1055" t="str">
        <f t="shared" si="176"/>
        <v>Apr-25</v>
      </c>
      <c r="X1055" s="3">
        <f t="shared" si="177"/>
        <v>10244.91</v>
      </c>
      <c r="Y1055">
        <f t="shared" si="168"/>
        <v>10244.91</v>
      </c>
      <c r="Z1055" t="str">
        <f t="shared" si="169"/>
        <v/>
      </c>
    </row>
    <row r="1056" spans="1:26" x14ac:dyDescent="0.25">
      <c r="A1056" s="1">
        <v>45751</v>
      </c>
      <c r="B1056" t="s">
        <v>1429</v>
      </c>
      <c r="C1056" t="s">
        <v>17</v>
      </c>
      <c r="D1056" t="s">
        <v>22</v>
      </c>
      <c r="E1056">
        <v>75</v>
      </c>
      <c r="F1056">
        <v>0</v>
      </c>
      <c r="G1056">
        <v>119.15</v>
      </c>
      <c r="H1056">
        <v>8936.25</v>
      </c>
      <c r="I1056" t="s">
        <v>1432</v>
      </c>
      <c r="J1056">
        <v>0</v>
      </c>
      <c r="K1056">
        <v>3.18</v>
      </c>
      <c r="L1056">
        <v>0</v>
      </c>
      <c r="M1056">
        <v>0.01</v>
      </c>
      <c r="N1056">
        <v>29</v>
      </c>
      <c r="O1056">
        <v>5.8</v>
      </c>
      <c r="P1056">
        <v>37.99</v>
      </c>
      <c r="Q1056">
        <f t="shared" si="170"/>
        <v>2025</v>
      </c>
      <c r="R1056">
        <f t="shared" si="171"/>
        <v>4</v>
      </c>
      <c r="S1056">
        <f t="shared" si="172"/>
        <v>2025</v>
      </c>
      <c r="T1056">
        <f t="shared" si="173"/>
        <v>1</v>
      </c>
      <c r="U1056" t="str">
        <f t="shared" si="174"/>
        <v>01</v>
      </c>
      <c r="V1056" t="str">
        <f t="shared" si="175"/>
        <v>202501</v>
      </c>
      <c r="W1056" t="str">
        <f t="shared" si="176"/>
        <v>Apr-25</v>
      </c>
      <c r="X1056" s="3">
        <f t="shared" si="177"/>
        <v>-8974.24</v>
      </c>
      <c r="Y1056" t="str">
        <f t="shared" si="168"/>
        <v/>
      </c>
      <c r="Z1056">
        <f t="shared" si="169"/>
        <v>-8974.24</v>
      </c>
    </row>
    <row r="1057" spans="1:26" x14ac:dyDescent="0.25">
      <c r="A1057" s="1">
        <v>45751</v>
      </c>
      <c r="B1057" t="s">
        <v>1429</v>
      </c>
      <c r="C1057" t="s">
        <v>17</v>
      </c>
      <c r="D1057" t="s">
        <v>22</v>
      </c>
      <c r="E1057">
        <v>75</v>
      </c>
      <c r="F1057">
        <v>0</v>
      </c>
      <c r="G1057">
        <v>133.94999999999999</v>
      </c>
      <c r="H1057">
        <v>10046.25</v>
      </c>
      <c r="I1057" t="s">
        <v>1433</v>
      </c>
      <c r="J1057">
        <v>0</v>
      </c>
      <c r="K1057">
        <v>3.57</v>
      </c>
      <c r="L1057">
        <v>0</v>
      </c>
      <c r="M1057">
        <v>0.01</v>
      </c>
      <c r="N1057">
        <v>29</v>
      </c>
      <c r="O1057">
        <v>5.86</v>
      </c>
      <c r="P1057">
        <v>38.44</v>
      </c>
      <c r="Q1057">
        <f t="shared" si="170"/>
        <v>2025</v>
      </c>
      <c r="R1057">
        <f t="shared" si="171"/>
        <v>4</v>
      </c>
      <c r="S1057">
        <f t="shared" si="172"/>
        <v>2025</v>
      </c>
      <c r="T1057">
        <f t="shared" si="173"/>
        <v>1</v>
      </c>
      <c r="U1057" t="str">
        <f t="shared" si="174"/>
        <v>01</v>
      </c>
      <c r="V1057" t="str">
        <f t="shared" si="175"/>
        <v>202501</v>
      </c>
      <c r="W1057" t="str">
        <f t="shared" si="176"/>
        <v>Apr-25</v>
      </c>
      <c r="X1057" s="3">
        <f t="shared" si="177"/>
        <v>-10084.69</v>
      </c>
      <c r="Y1057" t="str">
        <f t="shared" si="168"/>
        <v/>
      </c>
      <c r="Z1057">
        <f t="shared" si="169"/>
        <v>-10084.69</v>
      </c>
    </row>
    <row r="1058" spans="1:26" x14ac:dyDescent="0.25">
      <c r="A1058" s="1">
        <v>45751</v>
      </c>
      <c r="B1058" t="s">
        <v>1429</v>
      </c>
      <c r="C1058" t="s">
        <v>17</v>
      </c>
      <c r="D1058" t="s">
        <v>18</v>
      </c>
      <c r="E1058">
        <v>75</v>
      </c>
      <c r="F1058">
        <v>0</v>
      </c>
      <c r="G1058">
        <v>127.25</v>
      </c>
      <c r="H1058">
        <v>9543.75</v>
      </c>
      <c r="I1058" t="s">
        <v>1434</v>
      </c>
      <c r="J1058">
        <v>9.9</v>
      </c>
      <c r="K1058">
        <v>3.39</v>
      </c>
      <c r="L1058">
        <v>0</v>
      </c>
      <c r="M1058">
        <v>0.01</v>
      </c>
      <c r="N1058">
        <v>29</v>
      </c>
      <c r="O1058">
        <v>5.84</v>
      </c>
      <c r="P1058">
        <v>48.14</v>
      </c>
      <c r="Q1058">
        <f t="shared" si="170"/>
        <v>2025</v>
      </c>
      <c r="R1058">
        <f t="shared" si="171"/>
        <v>4</v>
      </c>
      <c r="S1058">
        <f t="shared" si="172"/>
        <v>2025</v>
      </c>
      <c r="T1058">
        <f t="shared" si="173"/>
        <v>1</v>
      </c>
      <c r="U1058" t="str">
        <f t="shared" si="174"/>
        <v>01</v>
      </c>
      <c r="V1058" t="str">
        <f t="shared" si="175"/>
        <v>202501</v>
      </c>
      <c r="W1058" t="str">
        <f t="shared" si="176"/>
        <v>Apr-25</v>
      </c>
      <c r="X1058" s="3">
        <f t="shared" si="177"/>
        <v>9495.61</v>
      </c>
      <c r="Y1058">
        <f t="shared" si="168"/>
        <v>9495.61</v>
      </c>
      <c r="Z1058" t="str">
        <f t="shared" si="169"/>
        <v/>
      </c>
    </row>
    <row r="1059" spans="1:26" x14ac:dyDescent="0.25">
      <c r="A1059" s="1">
        <v>45751</v>
      </c>
      <c r="B1059" t="s">
        <v>1429</v>
      </c>
      <c r="C1059" t="s">
        <v>17</v>
      </c>
      <c r="D1059" t="s">
        <v>22</v>
      </c>
      <c r="E1059">
        <v>75</v>
      </c>
      <c r="F1059">
        <v>0</v>
      </c>
      <c r="G1059">
        <v>121.55</v>
      </c>
      <c r="H1059">
        <v>9116.25</v>
      </c>
      <c r="I1059" t="s">
        <v>1435</v>
      </c>
      <c r="J1059">
        <v>0</v>
      </c>
      <c r="K1059">
        <v>3.24</v>
      </c>
      <c r="L1059">
        <v>0.46</v>
      </c>
      <c r="M1059">
        <v>0.01</v>
      </c>
      <c r="N1059">
        <v>29</v>
      </c>
      <c r="O1059">
        <v>5.8</v>
      </c>
      <c r="P1059">
        <v>38.51</v>
      </c>
      <c r="Q1059">
        <f t="shared" si="170"/>
        <v>2025</v>
      </c>
      <c r="R1059">
        <f t="shared" si="171"/>
        <v>4</v>
      </c>
      <c r="S1059">
        <f t="shared" si="172"/>
        <v>2025</v>
      </c>
      <c r="T1059">
        <f t="shared" si="173"/>
        <v>1</v>
      </c>
      <c r="U1059" t="str">
        <f t="shared" si="174"/>
        <v>01</v>
      </c>
      <c r="V1059" t="str">
        <f t="shared" si="175"/>
        <v>202501</v>
      </c>
      <c r="W1059" t="str">
        <f t="shared" si="176"/>
        <v>Apr-25</v>
      </c>
      <c r="X1059" s="3">
        <f t="shared" si="177"/>
        <v>-9154.76</v>
      </c>
      <c r="Y1059" t="str">
        <f t="shared" si="168"/>
        <v/>
      </c>
      <c r="Z1059">
        <f t="shared" si="169"/>
        <v>-9154.76</v>
      </c>
    </row>
    <row r="1060" spans="1:26" x14ac:dyDescent="0.25">
      <c r="A1060" s="1">
        <v>45751</v>
      </c>
      <c r="B1060" t="s">
        <v>1436</v>
      </c>
      <c r="C1060" t="s">
        <v>17</v>
      </c>
      <c r="D1060" t="s">
        <v>18</v>
      </c>
      <c r="E1060">
        <v>75</v>
      </c>
      <c r="F1060">
        <v>0</v>
      </c>
      <c r="G1060">
        <v>133.05000000000001</v>
      </c>
      <c r="H1060">
        <v>9978.75</v>
      </c>
      <c r="I1060" t="s">
        <v>1437</v>
      </c>
      <c r="J1060">
        <v>9.98</v>
      </c>
      <c r="K1060">
        <v>3.55</v>
      </c>
      <c r="L1060">
        <v>0</v>
      </c>
      <c r="M1060">
        <v>0.01</v>
      </c>
      <c r="N1060">
        <v>29</v>
      </c>
      <c r="O1060">
        <v>5.86</v>
      </c>
      <c r="P1060">
        <v>48.4</v>
      </c>
      <c r="Q1060">
        <f t="shared" si="170"/>
        <v>2025</v>
      </c>
      <c r="R1060">
        <f t="shared" si="171"/>
        <v>4</v>
      </c>
      <c r="S1060">
        <f t="shared" si="172"/>
        <v>2025</v>
      </c>
      <c r="T1060">
        <f t="shared" si="173"/>
        <v>1</v>
      </c>
      <c r="U1060" t="str">
        <f t="shared" si="174"/>
        <v>01</v>
      </c>
      <c r="V1060" t="str">
        <f t="shared" si="175"/>
        <v>202501</v>
      </c>
      <c r="W1060" t="str">
        <f t="shared" si="176"/>
        <v>Apr-25</v>
      </c>
      <c r="X1060" s="3">
        <f t="shared" si="177"/>
        <v>9930.35</v>
      </c>
      <c r="Y1060">
        <f t="shared" si="168"/>
        <v>9930.35</v>
      </c>
      <c r="Z1060" t="str">
        <f t="shared" si="169"/>
        <v/>
      </c>
    </row>
    <row r="1061" spans="1:26" x14ac:dyDescent="0.25">
      <c r="A1061" s="1">
        <v>45751</v>
      </c>
      <c r="B1061" t="s">
        <v>1436</v>
      </c>
      <c r="C1061" t="s">
        <v>17</v>
      </c>
      <c r="D1061" t="s">
        <v>22</v>
      </c>
      <c r="E1061">
        <v>75</v>
      </c>
      <c r="F1061">
        <v>0</v>
      </c>
      <c r="G1061">
        <v>124.75</v>
      </c>
      <c r="H1061">
        <v>9356.25</v>
      </c>
      <c r="I1061" t="s">
        <v>1438</v>
      </c>
      <c r="J1061">
        <v>0</v>
      </c>
      <c r="K1061">
        <v>3.32</v>
      </c>
      <c r="L1061">
        <v>0.28000000000000003</v>
      </c>
      <c r="M1061">
        <v>0.01</v>
      </c>
      <c r="N1061">
        <v>29</v>
      </c>
      <c r="O1061">
        <v>5.82</v>
      </c>
      <c r="P1061">
        <v>38.43</v>
      </c>
      <c r="Q1061">
        <f t="shared" si="170"/>
        <v>2025</v>
      </c>
      <c r="R1061">
        <f t="shared" si="171"/>
        <v>4</v>
      </c>
      <c r="S1061">
        <f t="shared" si="172"/>
        <v>2025</v>
      </c>
      <c r="T1061">
        <f t="shared" si="173"/>
        <v>1</v>
      </c>
      <c r="U1061" t="str">
        <f t="shared" si="174"/>
        <v>01</v>
      </c>
      <c r="V1061" t="str">
        <f t="shared" si="175"/>
        <v>202501</v>
      </c>
      <c r="W1061" t="str">
        <f t="shared" si="176"/>
        <v>Apr-25</v>
      </c>
      <c r="X1061" s="3">
        <f t="shared" si="177"/>
        <v>-9394.68</v>
      </c>
      <c r="Y1061" t="str">
        <f t="shared" si="168"/>
        <v/>
      </c>
      <c r="Z1061">
        <f t="shared" si="169"/>
        <v>-9394.68</v>
      </c>
    </row>
    <row r="1062" spans="1:26" x14ac:dyDescent="0.25">
      <c r="A1062" s="1">
        <v>45754</v>
      </c>
      <c r="B1062" t="s">
        <v>1439</v>
      </c>
      <c r="C1062" t="s">
        <v>17</v>
      </c>
      <c r="D1062" t="s">
        <v>18</v>
      </c>
      <c r="E1062">
        <v>150</v>
      </c>
      <c r="F1062">
        <v>0</v>
      </c>
      <c r="G1062">
        <v>156.85</v>
      </c>
      <c r="H1062">
        <v>23527.5</v>
      </c>
      <c r="I1062" t="s">
        <v>1440</v>
      </c>
      <c r="J1062">
        <v>23.24</v>
      </c>
      <c r="K1062">
        <v>8.36</v>
      </c>
      <c r="L1062">
        <v>0</v>
      </c>
      <c r="M1062">
        <v>0.02</v>
      </c>
      <c r="N1062">
        <v>58</v>
      </c>
      <c r="O1062">
        <v>11.94</v>
      </c>
      <c r="P1062">
        <v>101.56</v>
      </c>
      <c r="Q1062">
        <f t="shared" si="170"/>
        <v>2025</v>
      </c>
      <c r="R1062">
        <f t="shared" si="171"/>
        <v>4</v>
      </c>
      <c r="S1062">
        <f t="shared" si="172"/>
        <v>2025</v>
      </c>
      <c r="T1062">
        <f t="shared" si="173"/>
        <v>1</v>
      </c>
      <c r="U1062" t="str">
        <f t="shared" si="174"/>
        <v>01</v>
      </c>
      <c r="V1062" t="str">
        <f t="shared" si="175"/>
        <v>202501</v>
      </c>
      <c r="W1062" t="str">
        <f t="shared" si="176"/>
        <v>Apr-25</v>
      </c>
      <c r="X1062" s="3">
        <f t="shared" si="177"/>
        <v>23425.94</v>
      </c>
      <c r="Y1062">
        <f t="shared" si="168"/>
        <v>23425.94</v>
      </c>
      <c r="Z1062" t="str">
        <f t="shared" si="169"/>
        <v/>
      </c>
    </row>
    <row r="1063" spans="1:26" x14ac:dyDescent="0.25">
      <c r="A1063" s="1">
        <v>45754</v>
      </c>
      <c r="B1063" t="s">
        <v>1439</v>
      </c>
      <c r="C1063" t="s">
        <v>17</v>
      </c>
      <c r="D1063" t="s">
        <v>22</v>
      </c>
      <c r="E1063">
        <v>75</v>
      </c>
      <c r="F1063">
        <v>0</v>
      </c>
      <c r="G1063">
        <v>142.80000000000001</v>
      </c>
      <c r="H1063">
        <v>10710</v>
      </c>
      <c r="I1063" t="s">
        <v>1441</v>
      </c>
      <c r="J1063">
        <v>0</v>
      </c>
      <c r="K1063">
        <v>3.81</v>
      </c>
      <c r="L1063">
        <v>0</v>
      </c>
      <c r="M1063">
        <v>0.01</v>
      </c>
      <c r="N1063">
        <v>29</v>
      </c>
      <c r="O1063">
        <v>5.9</v>
      </c>
      <c r="P1063">
        <v>38.72</v>
      </c>
      <c r="Q1063">
        <f t="shared" si="170"/>
        <v>2025</v>
      </c>
      <c r="R1063">
        <f t="shared" si="171"/>
        <v>4</v>
      </c>
      <c r="S1063">
        <f t="shared" si="172"/>
        <v>2025</v>
      </c>
      <c r="T1063">
        <f t="shared" si="173"/>
        <v>1</v>
      </c>
      <c r="U1063" t="str">
        <f t="shared" si="174"/>
        <v>01</v>
      </c>
      <c r="V1063" t="str">
        <f t="shared" si="175"/>
        <v>202501</v>
      </c>
      <c r="W1063" t="str">
        <f t="shared" si="176"/>
        <v>Apr-25</v>
      </c>
      <c r="X1063" s="3">
        <f t="shared" si="177"/>
        <v>-10748.72</v>
      </c>
      <c r="Y1063" t="str">
        <f t="shared" si="168"/>
        <v/>
      </c>
      <c r="Z1063">
        <f t="shared" si="169"/>
        <v>-10748.72</v>
      </c>
    </row>
    <row r="1064" spans="1:26" x14ac:dyDescent="0.25">
      <c r="A1064" s="1">
        <v>45754</v>
      </c>
      <c r="B1064" t="s">
        <v>1442</v>
      </c>
      <c r="C1064" t="s">
        <v>17</v>
      </c>
      <c r="D1064" t="s">
        <v>18</v>
      </c>
      <c r="E1064">
        <v>525</v>
      </c>
      <c r="F1064">
        <v>0</v>
      </c>
      <c r="G1064">
        <v>24.15</v>
      </c>
      <c r="H1064">
        <v>12678.75</v>
      </c>
      <c r="I1064" t="s">
        <v>1443</v>
      </c>
      <c r="J1064">
        <v>12.67</v>
      </c>
      <c r="K1064">
        <v>4.51</v>
      </c>
      <c r="L1064">
        <v>0</v>
      </c>
      <c r="M1064">
        <v>0.01</v>
      </c>
      <c r="N1064">
        <v>203</v>
      </c>
      <c r="O1064">
        <v>37.36</v>
      </c>
      <c r="P1064">
        <v>257.55</v>
      </c>
      <c r="Q1064">
        <f t="shared" si="170"/>
        <v>2025</v>
      </c>
      <c r="R1064">
        <f t="shared" si="171"/>
        <v>4</v>
      </c>
      <c r="S1064">
        <f t="shared" si="172"/>
        <v>2025</v>
      </c>
      <c r="T1064">
        <f t="shared" si="173"/>
        <v>1</v>
      </c>
      <c r="U1064" t="str">
        <f t="shared" si="174"/>
        <v>01</v>
      </c>
      <c r="V1064" t="str">
        <f t="shared" si="175"/>
        <v>202501</v>
      </c>
      <c r="W1064" t="str">
        <f t="shared" si="176"/>
        <v>Apr-25</v>
      </c>
      <c r="X1064" s="3">
        <f t="shared" si="177"/>
        <v>12421.2</v>
      </c>
      <c r="Y1064">
        <f t="shared" si="168"/>
        <v>12421.2</v>
      </c>
      <c r="Z1064" t="str">
        <f t="shared" si="169"/>
        <v/>
      </c>
    </row>
    <row r="1065" spans="1:26" x14ac:dyDescent="0.25">
      <c r="A1065" s="1">
        <v>45754</v>
      </c>
      <c r="B1065" t="s">
        <v>1442</v>
      </c>
      <c r="C1065" t="s">
        <v>17</v>
      </c>
      <c r="D1065" t="s">
        <v>22</v>
      </c>
      <c r="E1065">
        <v>525</v>
      </c>
      <c r="F1065">
        <v>0</v>
      </c>
      <c r="G1065">
        <v>25.04</v>
      </c>
      <c r="H1065">
        <v>13147.5</v>
      </c>
      <c r="I1065" t="s">
        <v>1444</v>
      </c>
      <c r="J1065">
        <v>0</v>
      </c>
      <c r="K1065">
        <v>4.68</v>
      </c>
      <c r="L1065">
        <v>1.02</v>
      </c>
      <c r="M1065">
        <v>0.01</v>
      </c>
      <c r="N1065">
        <v>203</v>
      </c>
      <c r="O1065">
        <v>37.380000000000003</v>
      </c>
      <c r="P1065">
        <v>246.09</v>
      </c>
      <c r="Q1065">
        <f t="shared" si="170"/>
        <v>2025</v>
      </c>
      <c r="R1065">
        <f t="shared" si="171"/>
        <v>4</v>
      </c>
      <c r="S1065">
        <f t="shared" si="172"/>
        <v>2025</v>
      </c>
      <c r="T1065">
        <f t="shared" si="173"/>
        <v>1</v>
      </c>
      <c r="U1065" t="str">
        <f t="shared" si="174"/>
        <v>01</v>
      </c>
      <c r="V1065" t="str">
        <f t="shared" si="175"/>
        <v>202501</v>
      </c>
      <c r="W1065" t="str">
        <f t="shared" si="176"/>
        <v>Apr-25</v>
      </c>
      <c r="X1065" s="3">
        <f t="shared" si="177"/>
        <v>-13393.59</v>
      </c>
      <c r="Y1065" t="str">
        <f t="shared" si="168"/>
        <v/>
      </c>
      <c r="Z1065">
        <f t="shared" si="169"/>
        <v>-13393.59</v>
      </c>
    </row>
    <row r="1066" spans="1:26" x14ac:dyDescent="0.25">
      <c r="A1066" s="1">
        <v>45754</v>
      </c>
      <c r="B1066" t="s">
        <v>1439</v>
      </c>
      <c r="C1066" t="s">
        <v>17</v>
      </c>
      <c r="D1066" t="s">
        <v>22</v>
      </c>
      <c r="E1066">
        <v>75</v>
      </c>
      <c r="F1066">
        <v>0</v>
      </c>
      <c r="G1066">
        <v>160.25</v>
      </c>
      <c r="H1066">
        <v>12018.75</v>
      </c>
      <c r="I1066" t="s">
        <v>1445</v>
      </c>
      <c r="J1066">
        <v>0</v>
      </c>
      <c r="K1066">
        <v>4.2699999999999996</v>
      </c>
      <c r="L1066">
        <v>0</v>
      </c>
      <c r="M1066">
        <v>0.01</v>
      </c>
      <c r="N1066">
        <v>29</v>
      </c>
      <c r="O1066">
        <v>6</v>
      </c>
      <c r="P1066">
        <v>39.28</v>
      </c>
      <c r="Q1066">
        <f t="shared" si="170"/>
        <v>2025</v>
      </c>
      <c r="R1066">
        <f t="shared" si="171"/>
        <v>4</v>
      </c>
      <c r="S1066">
        <f t="shared" si="172"/>
        <v>2025</v>
      </c>
      <c r="T1066">
        <f t="shared" si="173"/>
        <v>1</v>
      </c>
      <c r="U1066" t="str">
        <f t="shared" si="174"/>
        <v>01</v>
      </c>
      <c r="V1066" t="str">
        <f t="shared" si="175"/>
        <v>202501</v>
      </c>
      <c r="W1066" t="str">
        <f t="shared" si="176"/>
        <v>Apr-25</v>
      </c>
      <c r="X1066" s="3">
        <f t="shared" si="177"/>
        <v>-12058.03</v>
      </c>
      <c r="Y1066" t="str">
        <f t="shared" si="168"/>
        <v/>
      </c>
      <c r="Z1066">
        <f t="shared" si="169"/>
        <v>-12058.03</v>
      </c>
    </row>
    <row r="1067" spans="1:26" x14ac:dyDescent="0.25">
      <c r="A1067" s="1">
        <v>45754</v>
      </c>
      <c r="B1067" t="s">
        <v>1439</v>
      </c>
      <c r="C1067" t="s">
        <v>17</v>
      </c>
      <c r="D1067" t="s">
        <v>18</v>
      </c>
      <c r="E1067">
        <v>75</v>
      </c>
      <c r="F1067">
        <v>0</v>
      </c>
      <c r="G1067">
        <v>139.44999999999999</v>
      </c>
      <c r="H1067">
        <v>10458.75</v>
      </c>
      <c r="I1067" t="s">
        <v>1446</v>
      </c>
      <c r="J1067">
        <v>10.46</v>
      </c>
      <c r="K1067">
        <v>3.72</v>
      </c>
      <c r="L1067">
        <v>0</v>
      </c>
      <c r="M1067">
        <v>0.01</v>
      </c>
      <c r="N1067">
        <v>29</v>
      </c>
      <c r="O1067">
        <v>5.9</v>
      </c>
      <c r="P1067">
        <v>49.09</v>
      </c>
      <c r="Q1067">
        <f t="shared" si="170"/>
        <v>2025</v>
      </c>
      <c r="R1067">
        <f t="shared" si="171"/>
        <v>4</v>
      </c>
      <c r="S1067">
        <f t="shared" si="172"/>
        <v>2025</v>
      </c>
      <c r="T1067">
        <f t="shared" si="173"/>
        <v>1</v>
      </c>
      <c r="U1067" t="str">
        <f t="shared" si="174"/>
        <v>01</v>
      </c>
      <c r="V1067" t="str">
        <f t="shared" si="175"/>
        <v>202501</v>
      </c>
      <c r="W1067" t="str">
        <f t="shared" si="176"/>
        <v>Apr-25</v>
      </c>
      <c r="X1067" s="3">
        <f t="shared" si="177"/>
        <v>10409.66</v>
      </c>
      <c r="Y1067">
        <f t="shared" si="168"/>
        <v>10409.66</v>
      </c>
      <c r="Z1067" t="str">
        <f t="shared" si="169"/>
        <v/>
      </c>
    </row>
    <row r="1068" spans="1:26" x14ac:dyDescent="0.25">
      <c r="A1068" s="1">
        <v>45754</v>
      </c>
      <c r="B1068" t="s">
        <v>1439</v>
      </c>
      <c r="C1068" t="s">
        <v>17</v>
      </c>
      <c r="D1068" t="s">
        <v>22</v>
      </c>
      <c r="E1068">
        <v>75</v>
      </c>
      <c r="F1068">
        <v>0</v>
      </c>
      <c r="G1068">
        <v>131.69999999999999</v>
      </c>
      <c r="H1068">
        <v>9877.5</v>
      </c>
      <c r="I1068" t="s">
        <v>1447</v>
      </c>
      <c r="J1068">
        <v>0</v>
      </c>
      <c r="K1068">
        <v>3.51</v>
      </c>
      <c r="L1068">
        <v>0.98</v>
      </c>
      <c r="M1068">
        <v>0.01</v>
      </c>
      <c r="N1068">
        <v>29</v>
      </c>
      <c r="O1068">
        <v>5.86</v>
      </c>
      <c r="P1068">
        <v>39.36</v>
      </c>
      <c r="Q1068">
        <f t="shared" si="170"/>
        <v>2025</v>
      </c>
      <c r="R1068">
        <f t="shared" si="171"/>
        <v>4</v>
      </c>
      <c r="S1068">
        <f t="shared" si="172"/>
        <v>2025</v>
      </c>
      <c r="T1068">
        <f t="shared" si="173"/>
        <v>1</v>
      </c>
      <c r="U1068" t="str">
        <f t="shared" si="174"/>
        <v>01</v>
      </c>
      <c r="V1068" t="str">
        <f t="shared" si="175"/>
        <v>202501</v>
      </c>
      <c r="W1068" t="str">
        <f t="shared" si="176"/>
        <v>Apr-25</v>
      </c>
      <c r="X1068" s="3">
        <f t="shared" si="177"/>
        <v>-9916.86</v>
      </c>
      <c r="Y1068" t="str">
        <f t="shared" si="168"/>
        <v/>
      </c>
      <c r="Z1068">
        <f t="shared" si="169"/>
        <v>-9916.86</v>
      </c>
    </row>
    <row r="1069" spans="1:26" x14ac:dyDescent="0.25">
      <c r="A1069" s="1">
        <v>45754</v>
      </c>
      <c r="B1069" t="s">
        <v>1442</v>
      </c>
      <c r="C1069" t="s">
        <v>17</v>
      </c>
      <c r="D1069" t="s">
        <v>18</v>
      </c>
      <c r="E1069">
        <v>525</v>
      </c>
      <c r="F1069">
        <v>0</v>
      </c>
      <c r="G1069">
        <v>26.1</v>
      </c>
      <c r="H1069">
        <v>13702.5</v>
      </c>
      <c r="I1069" t="s">
        <v>1448</v>
      </c>
      <c r="J1069">
        <v>13.72</v>
      </c>
      <c r="K1069">
        <v>4.8899999999999997</v>
      </c>
      <c r="L1069">
        <v>0</v>
      </c>
      <c r="M1069">
        <v>0</v>
      </c>
      <c r="N1069">
        <v>203</v>
      </c>
      <c r="O1069">
        <v>37.4</v>
      </c>
      <c r="P1069">
        <v>259.01</v>
      </c>
      <c r="Q1069">
        <f t="shared" si="170"/>
        <v>2025</v>
      </c>
      <c r="R1069">
        <f t="shared" si="171"/>
        <v>4</v>
      </c>
      <c r="S1069">
        <f t="shared" si="172"/>
        <v>2025</v>
      </c>
      <c r="T1069">
        <f t="shared" si="173"/>
        <v>1</v>
      </c>
      <c r="U1069" t="str">
        <f t="shared" si="174"/>
        <v>01</v>
      </c>
      <c r="V1069" t="str">
        <f t="shared" si="175"/>
        <v>202501</v>
      </c>
      <c r="W1069" t="str">
        <f t="shared" si="176"/>
        <v>Apr-25</v>
      </c>
      <c r="X1069" s="3">
        <f t="shared" si="177"/>
        <v>13443.49</v>
      </c>
      <c r="Y1069">
        <f t="shared" si="168"/>
        <v>13443.49</v>
      </c>
      <c r="Z1069" t="str">
        <f t="shared" si="169"/>
        <v/>
      </c>
    </row>
    <row r="1070" spans="1:26" x14ac:dyDescent="0.25">
      <c r="A1070" s="1">
        <v>45754</v>
      </c>
      <c r="B1070" t="s">
        <v>1442</v>
      </c>
      <c r="C1070" t="s">
        <v>17</v>
      </c>
      <c r="D1070" t="s">
        <v>18</v>
      </c>
      <c r="E1070">
        <v>525</v>
      </c>
      <c r="F1070">
        <v>0</v>
      </c>
      <c r="G1070">
        <v>37.950000000000003</v>
      </c>
      <c r="H1070">
        <v>19923.75</v>
      </c>
      <c r="I1070" t="s">
        <v>1449</v>
      </c>
      <c r="J1070">
        <v>19.93</v>
      </c>
      <c r="K1070">
        <v>7.07</v>
      </c>
      <c r="L1070">
        <v>0</v>
      </c>
      <c r="M1070">
        <v>0.02</v>
      </c>
      <c r="N1070">
        <v>203</v>
      </c>
      <c r="O1070">
        <v>37.799999999999997</v>
      </c>
      <c r="P1070">
        <v>267.82</v>
      </c>
      <c r="Q1070">
        <f t="shared" si="170"/>
        <v>2025</v>
      </c>
      <c r="R1070">
        <f t="shared" si="171"/>
        <v>4</v>
      </c>
      <c r="S1070">
        <f t="shared" si="172"/>
        <v>2025</v>
      </c>
      <c r="T1070">
        <f t="shared" si="173"/>
        <v>1</v>
      </c>
      <c r="U1070" t="str">
        <f t="shared" si="174"/>
        <v>01</v>
      </c>
      <c r="V1070" t="str">
        <f t="shared" si="175"/>
        <v>202501</v>
      </c>
      <c r="W1070" t="str">
        <f t="shared" si="176"/>
        <v>Apr-25</v>
      </c>
      <c r="X1070" s="3">
        <f t="shared" si="177"/>
        <v>19655.93</v>
      </c>
      <c r="Y1070">
        <f t="shared" si="168"/>
        <v>19655.93</v>
      </c>
      <c r="Z1070" t="str">
        <f t="shared" si="169"/>
        <v/>
      </c>
    </row>
    <row r="1071" spans="1:26" x14ac:dyDescent="0.25">
      <c r="A1071" s="1">
        <v>45754</v>
      </c>
      <c r="B1071" t="s">
        <v>1442</v>
      </c>
      <c r="C1071" t="s">
        <v>17</v>
      </c>
      <c r="D1071" t="s">
        <v>22</v>
      </c>
      <c r="E1071">
        <v>525</v>
      </c>
      <c r="F1071">
        <v>0</v>
      </c>
      <c r="G1071">
        <v>18.25</v>
      </c>
      <c r="H1071">
        <v>9581.25</v>
      </c>
      <c r="I1071" t="s">
        <v>1450</v>
      </c>
      <c r="J1071">
        <v>0</v>
      </c>
      <c r="K1071">
        <v>3.41</v>
      </c>
      <c r="L1071">
        <v>0</v>
      </c>
      <c r="M1071">
        <v>0.01</v>
      </c>
      <c r="N1071">
        <v>203</v>
      </c>
      <c r="O1071">
        <v>37.14</v>
      </c>
      <c r="P1071">
        <v>243.56</v>
      </c>
      <c r="Q1071">
        <f t="shared" si="170"/>
        <v>2025</v>
      </c>
      <c r="R1071">
        <f t="shared" si="171"/>
        <v>4</v>
      </c>
      <c r="S1071">
        <f t="shared" si="172"/>
        <v>2025</v>
      </c>
      <c r="T1071">
        <f t="shared" si="173"/>
        <v>1</v>
      </c>
      <c r="U1071" t="str">
        <f t="shared" si="174"/>
        <v>01</v>
      </c>
      <c r="V1071" t="str">
        <f t="shared" si="175"/>
        <v>202501</v>
      </c>
      <c r="W1071" t="str">
        <f t="shared" si="176"/>
        <v>Apr-25</v>
      </c>
      <c r="X1071" s="3">
        <f t="shared" si="177"/>
        <v>-9824.81</v>
      </c>
      <c r="Y1071" t="str">
        <f t="shared" si="168"/>
        <v/>
      </c>
      <c r="Z1071">
        <f t="shared" si="169"/>
        <v>-9824.81</v>
      </c>
    </row>
    <row r="1072" spans="1:26" x14ac:dyDescent="0.25">
      <c r="A1072" s="1">
        <v>45754</v>
      </c>
      <c r="B1072" t="s">
        <v>1442</v>
      </c>
      <c r="C1072" t="s">
        <v>17</v>
      </c>
      <c r="D1072" t="s">
        <v>22</v>
      </c>
      <c r="E1072">
        <v>525</v>
      </c>
      <c r="F1072">
        <v>0</v>
      </c>
      <c r="G1072">
        <v>33.26</v>
      </c>
      <c r="H1072">
        <v>17463.75</v>
      </c>
      <c r="I1072" t="s">
        <v>1451</v>
      </c>
      <c r="J1072">
        <v>0</v>
      </c>
      <c r="K1072">
        <v>6.22</v>
      </c>
      <c r="L1072">
        <v>0</v>
      </c>
      <c r="M1072">
        <v>0</v>
      </c>
      <c r="N1072">
        <v>203</v>
      </c>
      <c r="O1072">
        <v>37.659999999999997</v>
      </c>
      <c r="P1072">
        <v>246.88</v>
      </c>
      <c r="Q1072">
        <f t="shared" si="170"/>
        <v>2025</v>
      </c>
      <c r="R1072">
        <f t="shared" si="171"/>
        <v>4</v>
      </c>
      <c r="S1072">
        <f t="shared" si="172"/>
        <v>2025</v>
      </c>
      <c r="T1072">
        <f t="shared" si="173"/>
        <v>1</v>
      </c>
      <c r="U1072" t="str">
        <f t="shared" si="174"/>
        <v>01</v>
      </c>
      <c r="V1072" t="str">
        <f t="shared" si="175"/>
        <v>202501</v>
      </c>
      <c r="W1072" t="str">
        <f t="shared" si="176"/>
        <v>Apr-25</v>
      </c>
      <c r="X1072" s="3">
        <f t="shared" si="177"/>
        <v>-17710.63</v>
      </c>
      <c r="Y1072" t="str">
        <f t="shared" si="168"/>
        <v/>
      </c>
      <c r="Z1072">
        <f t="shared" si="169"/>
        <v>-17710.63</v>
      </c>
    </row>
    <row r="1073" spans="1:26" x14ac:dyDescent="0.25">
      <c r="A1073" s="1">
        <v>45755</v>
      </c>
      <c r="B1073" t="s">
        <v>1452</v>
      </c>
      <c r="C1073" t="s">
        <v>17</v>
      </c>
      <c r="D1073" t="s">
        <v>18</v>
      </c>
      <c r="E1073">
        <v>75</v>
      </c>
      <c r="F1073">
        <v>0</v>
      </c>
      <c r="G1073">
        <v>86.7</v>
      </c>
      <c r="H1073">
        <v>6502.5</v>
      </c>
      <c r="I1073" t="s">
        <v>1453</v>
      </c>
      <c r="J1073">
        <v>6.5</v>
      </c>
      <c r="K1073">
        <v>2.31</v>
      </c>
      <c r="L1073">
        <v>0</v>
      </c>
      <c r="M1073">
        <v>0.01</v>
      </c>
      <c r="N1073">
        <v>29</v>
      </c>
      <c r="O1073">
        <v>5.64</v>
      </c>
      <c r="P1073">
        <v>43.46</v>
      </c>
      <c r="Q1073">
        <f t="shared" si="170"/>
        <v>2025</v>
      </c>
      <c r="R1073">
        <f t="shared" si="171"/>
        <v>4</v>
      </c>
      <c r="S1073">
        <f t="shared" si="172"/>
        <v>2025</v>
      </c>
      <c r="T1073">
        <f t="shared" si="173"/>
        <v>1</v>
      </c>
      <c r="U1073" t="str">
        <f t="shared" si="174"/>
        <v>01</v>
      </c>
      <c r="V1073" t="str">
        <f t="shared" si="175"/>
        <v>202501</v>
      </c>
      <c r="W1073" t="str">
        <f t="shared" si="176"/>
        <v>Apr-25</v>
      </c>
      <c r="X1073" s="3">
        <f t="shared" si="177"/>
        <v>6459.04</v>
      </c>
      <c r="Y1073">
        <f t="shared" si="168"/>
        <v>6459.04</v>
      </c>
      <c r="Z1073" t="str">
        <f t="shared" si="169"/>
        <v/>
      </c>
    </row>
    <row r="1074" spans="1:26" x14ac:dyDescent="0.25">
      <c r="A1074" s="1">
        <v>45755</v>
      </c>
      <c r="B1074" t="s">
        <v>1452</v>
      </c>
      <c r="C1074" t="s">
        <v>17</v>
      </c>
      <c r="D1074" t="s">
        <v>22</v>
      </c>
      <c r="E1074">
        <v>75</v>
      </c>
      <c r="F1074">
        <v>0</v>
      </c>
      <c r="G1074">
        <v>92.25</v>
      </c>
      <c r="H1074">
        <v>6918.75</v>
      </c>
      <c r="I1074" t="s">
        <v>1454</v>
      </c>
      <c r="J1074">
        <v>0</v>
      </c>
      <c r="K1074">
        <v>2.46</v>
      </c>
      <c r="L1074">
        <v>0</v>
      </c>
      <c r="M1074">
        <v>0.01</v>
      </c>
      <c r="N1074">
        <v>29</v>
      </c>
      <c r="O1074">
        <v>5.66</v>
      </c>
      <c r="P1074">
        <v>37.130000000000003</v>
      </c>
      <c r="Q1074">
        <f t="shared" si="170"/>
        <v>2025</v>
      </c>
      <c r="R1074">
        <f t="shared" si="171"/>
        <v>4</v>
      </c>
      <c r="S1074">
        <f t="shared" si="172"/>
        <v>2025</v>
      </c>
      <c r="T1074">
        <f t="shared" si="173"/>
        <v>1</v>
      </c>
      <c r="U1074" t="str">
        <f t="shared" si="174"/>
        <v>01</v>
      </c>
      <c r="V1074" t="str">
        <f t="shared" si="175"/>
        <v>202501</v>
      </c>
      <c r="W1074" t="str">
        <f t="shared" si="176"/>
        <v>Apr-25</v>
      </c>
      <c r="X1074" s="3">
        <f t="shared" si="177"/>
        <v>-6955.88</v>
      </c>
      <c r="Y1074" t="str">
        <f t="shared" si="168"/>
        <v/>
      </c>
      <c r="Z1074">
        <f t="shared" si="169"/>
        <v>-6955.88</v>
      </c>
    </row>
    <row r="1075" spans="1:26" x14ac:dyDescent="0.25">
      <c r="A1075" s="1">
        <v>45755</v>
      </c>
      <c r="B1075" t="s">
        <v>1455</v>
      </c>
      <c r="C1075" t="s">
        <v>17</v>
      </c>
      <c r="D1075" t="s">
        <v>18</v>
      </c>
      <c r="E1075">
        <v>75</v>
      </c>
      <c r="F1075">
        <v>0</v>
      </c>
      <c r="G1075">
        <v>139.69999999999999</v>
      </c>
      <c r="H1075">
        <v>10477.5</v>
      </c>
      <c r="I1075" t="s">
        <v>1456</v>
      </c>
      <c r="J1075">
        <v>10.48</v>
      </c>
      <c r="K1075">
        <v>3.72</v>
      </c>
      <c r="L1075">
        <v>0</v>
      </c>
      <c r="M1075">
        <v>0.01</v>
      </c>
      <c r="N1075">
        <v>29</v>
      </c>
      <c r="O1075">
        <v>5.9</v>
      </c>
      <c r="P1075">
        <v>49.11</v>
      </c>
      <c r="Q1075">
        <f t="shared" si="170"/>
        <v>2025</v>
      </c>
      <c r="R1075">
        <f t="shared" si="171"/>
        <v>4</v>
      </c>
      <c r="S1075">
        <f t="shared" si="172"/>
        <v>2025</v>
      </c>
      <c r="T1075">
        <f t="shared" si="173"/>
        <v>1</v>
      </c>
      <c r="U1075" t="str">
        <f t="shared" si="174"/>
        <v>01</v>
      </c>
      <c r="V1075" t="str">
        <f t="shared" si="175"/>
        <v>202501</v>
      </c>
      <c r="W1075" t="str">
        <f t="shared" si="176"/>
        <v>Apr-25</v>
      </c>
      <c r="X1075" s="3">
        <f t="shared" si="177"/>
        <v>10428.39</v>
      </c>
      <c r="Y1075">
        <f t="shared" si="168"/>
        <v>10428.39</v>
      </c>
      <c r="Z1075" t="str">
        <f t="shared" si="169"/>
        <v/>
      </c>
    </row>
    <row r="1076" spans="1:26" x14ac:dyDescent="0.25">
      <c r="A1076" s="1">
        <v>45755</v>
      </c>
      <c r="B1076" t="s">
        <v>1455</v>
      </c>
      <c r="C1076" t="s">
        <v>17</v>
      </c>
      <c r="D1076" t="s">
        <v>22</v>
      </c>
      <c r="E1076">
        <v>75</v>
      </c>
      <c r="F1076">
        <v>0</v>
      </c>
      <c r="G1076">
        <v>122.7</v>
      </c>
      <c r="H1076">
        <v>9202.5</v>
      </c>
      <c r="I1076" t="s">
        <v>1457</v>
      </c>
      <c r="J1076">
        <v>0</v>
      </c>
      <c r="K1076">
        <v>3.27</v>
      </c>
      <c r="L1076">
        <v>0.28000000000000003</v>
      </c>
      <c r="M1076">
        <v>0.01</v>
      </c>
      <c r="N1076">
        <v>29</v>
      </c>
      <c r="O1076">
        <v>5.82</v>
      </c>
      <c r="P1076">
        <v>38.380000000000003</v>
      </c>
      <c r="Q1076">
        <f t="shared" si="170"/>
        <v>2025</v>
      </c>
      <c r="R1076">
        <f t="shared" si="171"/>
        <v>4</v>
      </c>
      <c r="S1076">
        <f t="shared" si="172"/>
        <v>2025</v>
      </c>
      <c r="T1076">
        <f t="shared" si="173"/>
        <v>1</v>
      </c>
      <c r="U1076" t="str">
        <f t="shared" si="174"/>
        <v>01</v>
      </c>
      <c r="V1076" t="str">
        <f t="shared" si="175"/>
        <v>202501</v>
      </c>
      <c r="W1076" t="str">
        <f t="shared" si="176"/>
        <v>Apr-25</v>
      </c>
      <c r="X1076" s="3">
        <f t="shared" si="177"/>
        <v>-9240.8799999999992</v>
      </c>
      <c r="Y1076" t="str">
        <f t="shared" si="168"/>
        <v/>
      </c>
      <c r="Z1076">
        <f t="shared" si="169"/>
        <v>-9240.8799999999992</v>
      </c>
    </row>
    <row r="1077" spans="1:26" x14ac:dyDescent="0.25">
      <c r="A1077" s="1">
        <v>45755</v>
      </c>
      <c r="B1077" t="s">
        <v>1452</v>
      </c>
      <c r="C1077" t="s">
        <v>17</v>
      </c>
      <c r="D1077" t="s">
        <v>18</v>
      </c>
      <c r="E1077">
        <v>75</v>
      </c>
      <c r="F1077">
        <v>0</v>
      </c>
      <c r="G1077">
        <v>131.25</v>
      </c>
      <c r="H1077">
        <v>9843.75</v>
      </c>
      <c r="I1077" t="s">
        <v>1458</v>
      </c>
      <c r="J1077">
        <v>9.84</v>
      </c>
      <c r="K1077">
        <v>3.5</v>
      </c>
      <c r="L1077">
        <v>0</v>
      </c>
      <c r="M1077">
        <v>0.01</v>
      </c>
      <c r="N1077">
        <v>29</v>
      </c>
      <c r="O1077">
        <v>5.86</v>
      </c>
      <c r="P1077">
        <v>48.21</v>
      </c>
      <c r="Q1077">
        <f t="shared" si="170"/>
        <v>2025</v>
      </c>
      <c r="R1077">
        <f t="shared" si="171"/>
        <v>4</v>
      </c>
      <c r="S1077">
        <f t="shared" si="172"/>
        <v>2025</v>
      </c>
      <c r="T1077">
        <f t="shared" si="173"/>
        <v>1</v>
      </c>
      <c r="U1077" t="str">
        <f t="shared" si="174"/>
        <v>01</v>
      </c>
      <c r="V1077" t="str">
        <f t="shared" si="175"/>
        <v>202501</v>
      </c>
      <c r="W1077" t="str">
        <f t="shared" si="176"/>
        <v>Apr-25</v>
      </c>
      <c r="X1077" s="3">
        <f t="shared" si="177"/>
        <v>9795.5400000000009</v>
      </c>
      <c r="Y1077">
        <f t="shared" si="168"/>
        <v>9795.5400000000009</v>
      </c>
      <c r="Z1077" t="str">
        <f t="shared" si="169"/>
        <v/>
      </c>
    </row>
    <row r="1078" spans="1:26" x14ac:dyDescent="0.25">
      <c r="A1078" s="1">
        <v>45755</v>
      </c>
      <c r="B1078" t="s">
        <v>1452</v>
      </c>
      <c r="C1078" t="s">
        <v>17</v>
      </c>
      <c r="D1078" t="s">
        <v>22</v>
      </c>
      <c r="E1078">
        <v>75</v>
      </c>
      <c r="F1078">
        <v>0</v>
      </c>
      <c r="G1078">
        <v>101.25</v>
      </c>
      <c r="H1078">
        <v>7593.75</v>
      </c>
      <c r="I1078" t="s">
        <v>1459</v>
      </c>
      <c r="J1078">
        <v>0</v>
      </c>
      <c r="K1078">
        <v>2.7</v>
      </c>
      <c r="L1078">
        <v>0</v>
      </c>
      <c r="M1078">
        <v>0.01</v>
      </c>
      <c r="N1078">
        <v>29</v>
      </c>
      <c r="O1078">
        <v>5.7</v>
      </c>
      <c r="P1078">
        <v>37.409999999999997</v>
      </c>
      <c r="Q1078">
        <f t="shared" si="170"/>
        <v>2025</v>
      </c>
      <c r="R1078">
        <f t="shared" si="171"/>
        <v>4</v>
      </c>
      <c r="S1078">
        <f t="shared" si="172"/>
        <v>2025</v>
      </c>
      <c r="T1078">
        <f t="shared" si="173"/>
        <v>1</v>
      </c>
      <c r="U1078" t="str">
        <f t="shared" si="174"/>
        <v>01</v>
      </c>
      <c r="V1078" t="str">
        <f t="shared" si="175"/>
        <v>202501</v>
      </c>
      <c r="W1078" t="str">
        <f t="shared" si="176"/>
        <v>Apr-25</v>
      </c>
      <c r="X1078" s="3">
        <f t="shared" si="177"/>
        <v>-7631.16</v>
      </c>
      <c r="Y1078" t="str">
        <f t="shared" si="168"/>
        <v/>
      </c>
      <c r="Z1078">
        <f t="shared" si="169"/>
        <v>-7631.16</v>
      </c>
    </row>
    <row r="1079" spans="1:26" x14ac:dyDescent="0.25">
      <c r="A1079" s="1">
        <v>45755</v>
      </c>
      <c r="B1079" t="s">
        <v>1452</v>
      </c>
      <c r="C1079" t="s">
        <v>17</v>
      </c>
      <c r="D1079" t="s">
        <v>18</v>
      </c>
      <c r="E1079">
        <v>75</v>
      </c>
      <c r="F1079">
        <v>0</v>
      </c>
      <c r="G1079">
        <v>98.65</v>
      </c>
      <c r="H1079">
        <v>7398.75</v>
      </c>
      <c r="I1079" t="s">
        <v>1460</v>
      </c>
      <c r="J1079">
        <v>7.4</v>
      </c>
      <c r="K1079">
        <v>2.63</v>
      </c>
      <c r="L1079">
        <v>0</v>
      </c>
      <c r="M1079">
        <v>0.01</v>
      </c>
      <c r="N1079">
        <v>29</v>
      </c>
      <c r="O1079">
        <v>5.7</v>
      </c>
      <c r="P1079">
        <v>44.74</v>
      </c>
      <c r="Q1079">
        <f t="shared" si="170"/>
        <v>2025</v>
      </c>
      <c r="R1079">
        <f t="shared" si="171"/>
        <v>4</v>
      </c>
      <c r="S1079">
        <f t="shared" si="172"/>
        <v>2025</v>
      </c>
      <c r="T1079">
        <f t="shared" si="173"/>
        <v>1</v>
      </c>
      <c r="U1079" t="str">
        <f t="shared" si="174"/>
        <v>01</v>
      </c>
      <c r="V1079" t="str">
        <f t="shared" si="175"/>
        <v>202501</v>
      </c>
      <c r="W1079" t="str">
        <f t="shared" si="176"/>
        <v>Apr-25</v>
      </c>
      <c r="X1079" s="3">
        <f t="shared" si="177"/>
        <v>7354.01</v>
      </c>
      <c r="Y1079">
        <f t="shared" si="168"/>
        <v>7354.01</v>
      </c>
      <c r="Z1079" t="str">
        <f t="shared" si="169"/>
        <v/>
      </c>
    </row>
    <row r="1080" spans="1:26" x14ac:dyDescent="0.25">
      <c r="A1080" s="1">
        <v>45755</v>
      </c>
      <c r="B1080" t="s">
        <v>1452</v>
      </c>
      <c r="C1080" t="s">
        <v>17</v>
      </c>
      <c r="D1080" t="s">
        <v>22</v>
      </c>
      <c r="E1080">
        <v>75</v>
      </c>
      <c r="F1080">
        <v>0</v>
      </c>
      <c r="G1080">
        <v>102.1</v>
      </c>
      <c r="H1080">
        <v>7657.5</v>
      </c>
      <c r="I1080" t="s">
        <v>1461</v>
      </c>
      <c r="J1080">
        <v>0</v>
      </c>
      <c r="K1080">
        <v>2.72</v>
      </c>
      <c r="L1080">
        <v>0</v>
      </c>
      <c r="M1080">
        <v>0.01</v>
      </c>
      <c r="N1080">
        <v>29</v>
      </c>
      <c r="O1080">
        <v>5.72</v>
      </c>
      <c r="P1080">
        <v>37.450000000000003</v>
      </c>
      <c r="Q1080">
        <f t="shared" si="170"/>
        <v>2025</v>
      </c>
      <c r="R1080">
        <f t="shared" si="171"/>
        <v>4</v>
      </c>
      <c r="S1080">
        <f t="shared" si="172"/>
        <v>2025</v>
      </c>
      <c r="T1080">
        <f t="shared" si="173"/>
        <v>1</v>
      </c>
      <c r="U1080" t="str">
        <f t="shared" si="174"/>
        <v>01</v>
      </c>
      <c r="V1080" t="str">
        <f t="shared" si="175"/>
        <v>202501</v>
      </c>
      <c r="W1080" t="str">
        <f t="shared" si="176"/>
        <v>Apr-25</v>
      </c>
      <c r="X1080" s="3">
        <f t="shared" si="177"/>
        <v>-7694.95</v>
      </c>
      <c r="Y1080" t="str">
        <f t="shared" si="168"/>
        <v/>
      </c>
      <c r="Z1080">
        <f t="shared" si="169"/>
        <v>-7694.95</v>
      </c>
    </row>
    <row r="1081" spans="1:26" x14ac:dyDescent="0.25">
      <c r="A1081" s="1">
        <v>45755</v>
      </c>
      <c r="B1081" t="s">
        <v>1452</v>
      </c>
      <c r="C1081" t="s">
        <v>17</v>
      </c>
      <c r="D1081" t="s">
        <v>18</v>
      </c>
      <c r="E1081">
        <v>75</v>
      </c>
      <c r="F1081">
        <v>0</v>
      </c>
      <c r="G1081">
        <v>90.1</v>
      </c>
      <c r="H1081">
        <v>6757.5</v>
      </c>
      <c r="I1081" t="s">
        <v>1462</v>
      </c>
      <c r="J1081">
        <v>6.76</v>
      </c>
      <c r="K1081">
        <v>2.4</v>
      </c>
      <c r="L1081">
        <v>0</v>
      </c>
      <c r="M1081">
        <v>0.01</v>
      </c>
      <c r="N1081">
        <v>29</v>
      </c>
      <c r="O1081">
        <v>5.66</v>
      </c>
      <c r="P1081">
        <v>43.83</v>
      </c>
      <c r="Q1081">
        <f t="shared" si="170"/>
        <v>2025</v>
      </c>
      <c r="R1081">
        <f t="shared" si="171"/>
        <v>4</v>
      </c>
      <c r="S1081">
        <f t="shared" si="172"/>
        <v>2025</v>
      </c>
      <c r="T1081">
        <f t="shared" si="173"/>
        <v>1</v>
      </c>
      <c r="U1081" t="str">
        <f t="shared" si="174"/>
        <v>01</v>
      </c>
      <c r="V1081" t="str">
        <f t="shared" si="175"/>
        <v>202501</v>
      </c>
      <c r="W1081" t="str">
        <f t="shared" si="176"/>
        <v>Apr-25</v>
      </c>
      <c r="X1081" s="3">
        <f t="shared" si="177"/>
        <v>6713.67</v>
      </c>
      <c r="Y1081">
        <f t="shared" si="168"/>
        <v>6713.67</v>
      </c>
      <c r="Z1081" t="str">
        <f t="shared" si="169"/>
        <v/>
      </c>
    </row>
    <row r="1082" spans="1:26" x14ac:dyDescent="0.25">
      <c r="A1082" s="1">
        <v>45755</v>
      </c>
      <c r="B1082" t="s">
        <v>1452</v>
      </c>
      <c r="C1082" t="s">
        <v>17</v>
      </c>
      <c r="D1082" t="s">
        <v>22</v>
      </c>
      <c r="E1082">
        <v>75</v>
      </c>
      <c r="F1082">
        <v>0</v>
      </c>
      <c r="G1082">
        <v>160.25</v>
      </c>
      <c r="H1082">
        <v>12018.75</v>
      </c>
      <c r="I1082" t="s">
        <v>1463</v>
      </c>
      <c r="J1082">
        <v>0</v>
      </c>
      <c r="K1082">
        <v>4.2699999999999996</v>
      </c>
      <c r="L1082">
        <v>0</v>
      </c>
      <c r="M1082">
        <v>0.01</v>
      </c>
      <c r="N1082">
        <v>29</v>
      </c>
      <c r="O1082">
        <v>6</v>
      </c>
      <c r="P1082">
        <v>39.28</v>
      </c>
      <c r="Q1082">
        <f t="shared" si="170"/>
        <v>2025</v>
      </c>
      <c r="R1082">
        <f t="shared" si="171"/>
        <v>4</v>
      </c>
      <c r="S1082">
        <f t="shared" si="172"/>
        <v>2025</v>
      </c>
      <c r="T1082">
        <f t="shared" si="173"/>
        <v>1</v>
      </c>
      <c r="U1082" t="str">
        <f t="shared" si="174"/>
        <v>01</v>
      </c>
      <c r="V1082" t="str">
        <f t="shared" si="175"/>
        <v>202501</v>
      </c>
      <c r="W1082" t="str">
        <f t="shared" si="176"/>
        <v>Apr-25</v>
      </c>
      <c r="X1082" s="3">
        <f t="shared" si="177"/>
        <v>-12058.03</v>
      </c>
      <c r="Y1082" t="str">
        <f t="shared" si="168"/>
        <v/>
      </c>
      <c r="Z1082">
        <f t="shared" si="169"/>
        <v>-12058.03</v>
      </c>
    </row>
    <row r="1083" spans="1:26" x14ac:dyDescent="0.25">
      <c r="A1083" s="1">
        <v>45755</v>
      </c>
      <c r="B1083" t="s">
        <v>1464</v>
      </c>
      <c r="C1083" t="s">
        <v>17</v>
      </c>
      <c r="D1083" t="s">
        <v>18</v>
      </c>
      <c r="E1083">
        <v>75</v>
      </c>
      <c r="F1083">
        <v>0</v>
      </c>
      <c r="G1083">
        <v>228.5</v>
      </c>
      <c r="H1083">
        <v>17137.5</v>
      </c>
      <c r="I1083" t="s">
        <v>1465</v>
      </c>
      <c r="J1083">
        <v>17.14</v>
      </c>
      <c r="K1083">
        <v>6.09</v>
      </c>
      <c r="L1083">
        <v>0</v>
      </c>
      <c r="M1083">
        <v>0.02</v>
      </c>
      <c r="N1083">
        <v>29</v>
      </c>
      <c r="O1083">
        <v>6.32</v>
      </c>
      <c r="P1083">
        <v>58.57</v>
      </c>
      <c r="Q1083">
        <f t="shared" si="170"/>
        <v>2025</v>
      </c>
      <c r="R1083">
        <f t="shared" si="171"/>
        <v>4</v>
      </c>
      <c r="S1083">
        <f t="shared" si="172"/>
        <v>2025</v>
      </c>
      <c r="T1083">
        <f t="shared" si="173"/>
        <v>1</v>
      </c>
      <c r="U1083" t="str">
        <f t="shared" si="174"/>
        <v>01</v>
      </c>
      <c r="V1083" t="str">
        <f t="shared" si="175"/>
        <v>202501</v>
      </c>
      <c r="W1083" t="str">
        <f t="shared" si="176"/>
        <v>Apr-25</v>
      </c>
      <c r="X1083" s="3">
        <f t="shared" si="177"/>
        <v>17078.93</v>
      </c>
      <c r="Y1083">
        <f t="shared" si="168"/>
        <v>17078.93</v>
      </c>
      <c r="Z1083" t="str">
        <f t="shared" si="169"/>
        <v/>
      </c>
    </row>
    <row r="1084" spans="1:26" x14ac:dyDescent="0.25">
      <c r="A1084" s="1">
        <v>45755</v>
      </c>
      <c r="B1084" t="s">
        <v>1464</v>
      </c>
      <c r="C1084" t="s">
        <v>17</v>
      </c>
      <c r="D1084" t="s">
        <v>22</v>
      </c>
      <c r="E1084">
        <v>75</v>
      </c>
      <c r="F1084">
        <v>0</v>
      </c>
      <c r="G1084">
        <v>215.85</v>
      </c>
      <c r="H1084">
        <v>16188.75</v>
      </c>
      <c r="I1084" t="s">
        <v>1466</v>
      </c>
      <c r="J1084">
        <v>0</v>
      </c>
      <c r="K1084">
        <v>5.75</v>
      </c>
      <c r="L1084">
        <v>0.83</v>
      </c>
      <c r="M1084">
        <v>0.02</v>
      </c>
      <c r="N1084">
        <v>29</v>
      </c>
      <c r="O1084">
        <v>6.26</v>
      </c>
      <c r="P1084">
        <v>41.86</v>
      </c>
      <c r="Q1084">
        <f t="shared" si="170"/>
        <v>2025</v>
      </c>
      <c r="R1084">
        <f t="shared" si="171"/>
        <v>4</v>
      </c>
      <c r="S1084">
        <f t="shared" si="172"/>
        <v>2025</v>
      </c>
      <c r="T1084">
        <f t="shared" si="173"/>
        <v>1</v>
      </c>
      <c r="U1084" t="str">
        <f t="shared" si="174"/>
        <v>01</v>
      </c>
      <c r="V1084" t="str">
        <f t="shared" si="175"/>
        <v>202501</v>
      </c>
      <c r="W1084" t="str">
        <f t="shared" si="176"/>
        <v>Apr-25</v>
      </c>
      <c r="X1084" s="3">
        <f t="shared" si="177"/>
        <v>-16230.61</v>
      </c>
      <c r="Y1084" t="str">
        <f t="shared" si="168"/>
        <v/>
      </c>
      <c r="Z1084">
        <f t="shared" si="169"/>
        <v>-16230.61</v>
      </c>
    </row>
    <row r="1085" spans="1:26" x14ac:dyDescent="0.25">
      <c r="A1085" s="1">
        <v>45755</v>
      </c>
      <c r="B1085" t="s">
        <v>1452</v>
      </c>
      <c r="C1085" t="s">
        <v>17</v>
      </c>
      <c r="D1085" t="s">
        <v>18</v>
      </c>
      <c r="E1085">
        <v>75</v>
      </c>
      <c r="F1085">
        <v>0</v>
      </c>
      <c r="G1085">
        <v>149.80000000000001</v>
      </c>
      <c r="H1085">
        <v>11235</v>
      </c>
      <c r="I1085" t="s">
        <v>1467</v>
      </c>
      <c r="J1085">
        <v>11.24</v>
      </c>
      <c r="K1085">
        <v>3.99</v>
      </c>
      <c r="L1085">
        <v>0</v>
      </c>
      <c r="M1085">
        <v>0.01</v>
      </c>
      <c r="N1085">
        <v>29</v>
      </c>
      <c r="O1085">
        <v>5.94</v>
      </c>
      <c r="P1085">
        <v>50.18</v>
      </c>
      <c r="Q1085">
        <f t="shared" si="170"/>
        <v>2025</v>
      </c>
      <c r="R1085">
        <f t="shared" si="171"/>
        <v>4</v>
      </c>
      <c r="S1085">
        <f t="shared" si="172"/>
        <v>2025</v>
      </c>
      <c r="T1085">
        <f t="shared" si="173"/>
        <v>1</v>
      </c>
      <c r="U1085" t="str">
        <f t="shared" si="174"/>
        <v>01</v>
      </c>
      <c r="V1085" t="str">
        <f t="shared" si="175"/>
        <v>202501</v>
      </c>
      <c r="W1085" t="str">
        <f t="shared" si="176"/>
        <v>Apr-25</v>
      </c>
      <c r="X1085" s="3">
        <f t="shared" si="177"/>
        <v>11184.82</v>
      </c>
      <c r="Y1085">
        <f t="shared" si="168"/>
        <v>11184.82</v>
      </c>
      <c r="Z1085" t="str">
        <f t="shared" si="169"/>
        <v/>
      </c>
    </row>
    <row r="1086" spans="1:26" x14ac:dyDescent="0.25">
      <c r="A1086" s="1">
        <v>45755</v>
      </c>
      <c r="B1086" t="s">
        <v>1452</v>
      </c>
      <c r="C1086" t="s">
        <v>17</v>
      </c>
      <c r="D1086" t="s">
        <v>22</v>
      </c>
      <c r="E1086">
        <v>75</v>
      </c>
      <c r="F1086">
        <v>0</v>
      </c>
      <c r="G1086">
        <v>138.5</v>
      </c>
      <c r="H1086">
        <v>10387.5</v>
      </c>
      <c r="I1086" t="s">
        <v>1468</v>
      </c>
      <c r="J1086">
        <v>0</v>
      </c>
      <c r="K1086">
        <v>3.69</v>
      </c>
      <c r="L1086">
        <v>0.89</v>
      </c>
      <c r="M1086">
        <v>0.01</v>
      </c>
      <c r="N1086">
        <v>29</v>
      </c>
      <c r="O1086">
        <v>5.88</v>
      </c>
      <c r="P1086">
        <v>39.47</v>
      </c>
      <c r="Q1086">
        <f t="shared" si="170"/>
        <v>2025</v>
      </c>
      <c r="R1086">
        <f t="shared" si="171"/>
        <v>4</v>
      </c>
      <c r="S1086">
        <f t="shared" si="172"/>
        <v>2025</v>
      </c>
      <c r="T1086">
        <f t="shared" si="173"/>
        <v>1</v>
      </c>
      <c r="U1086" t="str">
        <f t="shared" si="174"/>
        <v>01</v>
      </c>
      <c r="V1086" t="str">
        <f t="shared" si="175"/>
        <v>202501</v>
      </c>
      <c r="W1086" t="str">
        <f t="shared" si="176"/>
        <v>Apr-25</v>
      </c>
      <c r="X1086" s="3">
        <f t="shared" si="177"/>
        <v>-10426.969999999999</v>
      </c>
      <c r="Y1086" t="str">
        <f t="shared" si="168"/>
        <v/>
      </c>
      <c r="Z1086">
        <f t="shared" si="169"/>
        <v>-10426.969999999999</v>
      </c>
    </row>
    <row r="1087" spans="1:26" x14ac:dyDescent="0.25">
      <c r="A1087" s="1">
        <v>45755</v>
      </c>
      <c r="B1087" t="s">
        <v>1464</v>
      </c>
      <c r="C1087" t="s">
        <v>17</v>
      </c>
      <c r="D1087" t="s">
        <v>18</v>
      </c>
      <c r="E1087">
        <v>75</v>
      </c>
      <c r="F1087">
        <v>0</v>
      </c>
      <c r="G1087">
        <v>167.95</v>
      </c>
      <c r="H1087">
        <v>12596.25</v>
      </c>
      <c r="I1087" t="s">
        <v>1469</v>
      </c>
      <c r="J1087">
        <v>12.65</v>
      </c>
      <c r="K1087">
        <v>4.4800000000000004</v>
      </c>
      <c r="L1087">
        <v>0</v>
      </c>
      <c r="M1087">
        <v>0.01</v>
      </c>
      <c r="N1087">
        <v>29</v>
      </c>
      <c r="O1087">
        <v>6.02</v>
      </c>
      <c r="P1087">
        <v>52.16</v>
      </c>
      <c r="Q1087">
        <f t="shared" si="170"/>
        <v>2025</v>
      </c>
      <c r="R1087">
        <f t="shared" si="171"/>
        <v>4</v>
      </c>
      <c r="S1087">
        <f t="shared" si="172"/>
        <v>2025</v>
      </c>
      <c r="T1087">
        <f t="shared" si="173"/>
        <v>1</v>
      </c>
      <c r="U1087" t="str">
        <f t="shared" si="174"/>
        <v>01</v>
      </c>
      <c r="V1087" t="str">
        <f t="shared" si="175"/>
        <v>202501</v>
      </c>
      <c r="W1087" t="str">
        <f t="shared" si="176"/>
        <v>Apr-25</v>
      </c>
      <c r="X1087" s="3">
        <f t="shared" si="177"/>
        <v>12544.09</v>
      </c>
      <c r="Y1087">
        <f t="shared" si="168"/>
        <v>12544.09</v>
      </c>
      <c r="Z1087" t="str">
        <f t="shared" si="169"/>
        <v/>
      </c>
    </row>
    <row r="1088" spans="1:26" x14ac:dyDescent="0.25">
      <c r="A1088" s="1">
        <v>45755</v>
      </c>
      <c r="B1088" t="s">
        <v>1464</v>
      </c>
      <c r="C1088" t="s">
        <v>17</v>
      </c>
      <c r="D1088" t="s">
        <v>22</v>
      </c>
      <c r="E1088">
        <v>75</v>
      </c>
      <c r="F1088">
        <v>0</v>
      </c>
      <c r="G1088">
        <v>154.19999999999999</v>
      </c>
      <c r="H1088">
        <v>11565</v>
      </c>
      <c r="I1088" t="s">
        <v>1470</v>
      </c>
      <c r="J1088">
        <v>0</v>
      </c>
      <c r="K1088">
        <v>4.1100000000000003</v>
      </c>
      <c r="L1088">
        <v>0</v>
      </c>
      <c r="M1088">
        <v>0.01</v>
      </c>
      <c r="N1088">
        <v>29</v>
      </c>
      <c r="O1088">
        <v>5.96</v>
      </c>
      <c r="P1088">
        <v>39.08</v>
      </c>
      <c r="Q1088">
        <f t="shared" si="170"/>
        <v>2025</v>
      </c>
      <c r="R1088">
        <f t="shared" si="171"/>
        <v>4</v>
      </c>
      <c r="S1088">
        <f t="shared" si="172"/>
        <v>2025</v>
      </c>
      <c r="T1088">
        <f t="shared" si="173"/>
        <v>1</v>
      </c>
      <c r="U1088" t="str">
        <f t="shared" si="174"/>
        <v>01</v>
      </c>
      <c r="V1088" t="str">
        <f t="shared" si="175"/>
        <v>202501</v>
      </c>
      <c r="W1088" t="str">
        <f t="shared" si="176"/>
        <v>Apr-25</v>
      </c>
      <c r="X1088" s="3">
        <f t="shared" si="177"/>
        <v>-11604.08</v>
      </c>
      <c r="Y1088" t="str">
        <f t="shared" si="168"/>
        <v/>
      </c>
      <c r="Z1088">
        <f t="shared" si="169"/>
        <v>-11604.08</v>
      </c>
    </row>
    <row r="1089" spans="1:26" x14ac:dyDescent="0.25">
      <c r="A1089" s="1">
        <v>45756</v>
      </c>
      <c r="B1089" t="s">
        <v>1471</v>
      </c>
      <c r="C1089" t="s">
        <v>17</v>
      </c>
      <c r="D1089" t="s">
        <v>18</v>
      </c>
      <c r="E1089">
        <v>900</v>
      </c>
      <c r="F1089">
        <v>0</v>
      </c>
      <c r="G1089">
        <v>4.1500000000000004</v>
      </c>
      <c r="H1089">
        <v>3735</v>
      </c>
      <c r="I1089" t="s">
        <v>1472</v>
      </c>
      <c r="J1089">
        <v>3.74</v>
      </c>
      <c r="K1089">
        <v>1.32</v>
      </c>
      <c r="L1089">
        <v>0</v>
      </c>
      <c r="M1089">
        <v>0</v>
      </c>
      <c r="N1089">
        <v>348</v>
      </c>
      <c r="O1089">
        <v>62.88</v>
      </c>
      <c r="P1089">
        <v>415.94</v>
      </c>
      <c r="Q1089">
        <f t="shared" si="170"/>
        <v>2025</v>
      </c>
      <c r="R1089">
        <f t="shared" si="171"/>
        <v>4</v>
      </c>
      <c r="S1089">
        <f t="shared" si="172"/>
        <v>2025</v>
      </c>
      <c r="T1089">
        <f t="shared" si="173"/>
        <v>1</v>
      </c>
      <c r="U1089" t="str">
        <f t="shared" si="174"/>
        <v>01</v>
      </c>
      <c r="V1089" t="str">
        <f t="shared" si="175"/>
        <v>202501</v>
      </c>
      <c r="W1089" t="str">
        <f t="shared" si="176"/>
        <v>Apr-25</v>
      </c>
      <c r="X1089" s="3">
        <f t="shared" si="177"/>
        <v>3319.06</v>
      </c>
      <c r="Y1089">
        <f t="shared" si="168"/>
        <v>3319.06</v>
      </c>
      <c r="Z1089" t="str">
        <f t="shared" si="169"/>
        <v/>
      </c>
    </row>
    <row r="1090" spans="1:26" x14ac:dyDescent="0.25">
      <c r="A1090" s="1">
        <v>45756</v>
      </c>
      <c r="B1090" t="s">
        <v>1471</v>
      </c>
      <c r="C1090" t="s">
        <v>17</v>
      </c>
      <c r="D1090" t="s">
        <v>22</v>
      </c>
      <c r="E1090">
        <v>450</v>
      </c>
      <c r="F1090">
        <v>0</v>
      </c>
      <c r="G1090">
        <v>8.75</v>
      </c>
      <c r="H1090">
        <v>3937.5</v>
      </c>
      <c r="I1090" t="s">
        <v>1473</v>
      </c>
      <c r="J1090">
        <v>0</v>
      </c>
      <c r="K1090">
        <v>1.4</v>
      </c>
      <c r="L1090">
        <v>0.55000000000000004</v>
      </c>
      <c r="M1090">
        <v>0</v>
      </c>
      <c r="N1090">
        <v>174</v>
      </c>
      <c r="O1090">
        <v>31.58</v>
      </c>
      <c r="P1090">
        <v>207.53</v>
      </c>
      <c r="Q1090">
        <f t="shared" si="170"/>
        <v>2025</v>
      </c>
      <c r="R1090">
        <f t="shared" si="171"/>
        <v>4</v>
      </c>
      <c r="S1090">
        <f t="shared" si="172"/>
        <v>2025</v>
      </c>
      <c r="T1090">
        <f t="shared" si="173"/>
        <v>1</v>
      </c>
      <c r="U1090" t="str">
        <f t="shared" si="174"/>
        <v>01</v>
      </c>
      <c r="V1090" t="str">
        <f t="shared" si="175"/>
        <v>202501</v>
      </c>
      <c r="W1090" t="str">
        <f t="shared" si="176"/>
        <v>Apr-25</v>
      </c>
      <c r="X1090" s="3">
        <f t="shared" si="177"/>
        <v>-4145.03</v>
      </c>
      <c r="Y1090" t="str">
        <f t="shared" si="168"/>
        <v/>
      </c>
      <c r="Z1090">
        <f t="shared" si="169"/>
        <v>-4145.03</v>
      </c>
    </row>
    <row r="1091" spans="1:26" x14ac:dyDescent="0.25">
      <c r="A1091" s="1">
        <v>45756</v>
      </c>
      <c r="B1091" t="s">
        <v>1474</v>
      </c>
      <c r="C1091" t="s">
        <v>17</v>
      </c>
      <c r="D1091" t="s">
        <v>18</v>
      </c>
      <c r="E1091">
        <v>750</v>
      </c>
      <c r="F1091">
        <v>0</v>
      </c>
      <c r="G1091">
        <v>7.25</v>
      </c>
      <c r="H1091">
        <v>5437.5</v>
      </c>
      <c r="I1091" t="s">
        <v>1475</v>
      </c>
      <c r="J1091">
        <v>5.44</v>
      </c>
      <c r="K1091">
        <v>1.93</v>
      </c>
      <c r="L1091">
        <v>0</v>
      </c>
      <c r="M1091">
        <v>0.01</v>
      </c>
      <c r="N1091">
        <v>290</v>
      </c>
      <c r="O1091">
        <v>52.54</v>
      </c>
      <c r="P1091">
        <v>349.92</v>
      </c>
      <c r="Q1091">
        <f t="shared" si="170"/>
        <v>2025</v>
      </c>
      <c r="R1091">
        <f t="shared" si="171"/>
        <v>4</v>
      </c>
      <c r="S1091">
        <f t="shared" si="172"/>
        <v>2025</v>
      </c>
      <c r="T1091">
        <f t="shared" si="173"/>
        <v>1</v>
      </c>
      <c r="U1091" t="str">
        <f t="shared" si="174"/>
        <v>01</v>
      </c>
      <c r="V1091" t="str">
        <f t="shared" si="175"/>
        <v>202501</v>
      </c>
      <c r="W1091" t="str">
        <f t="shared" si="176"/>
        <v>Apr-25</v>
      </c>
      <c r="X1091" s="3">
        <f t="shared" si="177"/>
        <v>5087.58</v>
      </c>
      <c r="Y1091">
        <f t="shared" ref="Y1091:Y1154" si="178">IF(X1091&gt;0,X1091,"")</f>
        <v>5087.58</v>
      </c>
      <c r="Z1091" t="str">
        <f t="shared" ref="Z1091:Z1154" si="179">IF(X1091&lt;0,X1091,"")</f>
        <v/>
      </c>
    </row>
    <row r="1092" spans="1:26" x14ac:dyDescent="0.25">
      <c r="A1092" s="1">
        <v>45756</v>
      </c>
      <c r="B1092" t="s">
        <v>1474</v>
      </c>
      <c r="C1092" t="s">
        <v>17</v>
      </c>
      <c r="D1092" t="s">
        <v>22</v>
      </c>
      <c r="E1092">
        <v>750</v>
      </c>
      <c r="F1092">
        <v>0</v>
      </c>
      <c r="G1092">
        <v>9.6</v>
      </c>
      <c r="H1092">
        <v>7200</v>
      </c>
      <c r="I1092" t="s">
        <v>1476</v>
      </c>
      <c r="J1092">
        <v>0</v>
      </c>
      <c r="K1092">
        <v>2.5499999999999998</v>
      </c>
      <c r="L1092">
        <v>0.22</v>
      </c>
      <c r="M1092">
        <v>0</v>
      </c>
      <c r="N1092">
        <v>290</v>
      </c>
      <c r="O1092">
        <v>52.66</v>
      </c>
      <c r="P1092">
        <v>345.43</v>
      </c>
      <c r="Q1092">
        <f t="shared" si="170"/>
        <v>2025</v>
      </c>
      <c r="R1092">
        <f t="shared" si="171"/>
        <v>4</v>
      </c>
      <c r="S1092">
        <f t="shared" si="172"/>
        <v>2025</v>
      </c>
      <c r="T1092">
        <f t="shared" si="173"/>
        <v>1</v>
      </c>
      <c r="U1092" t="str">
        <f t="shared" si="174"/>
        <v>01</v>
      </c>
      <c r="V1092" t="str">
        <f t="shared" si="175"/>
        <v>202501</v>
      </c>
      <c r="W1092" t="str">
        <f t="shared" si="176"/>
        <v>Apr-25</v>
      </c>
      <c r="X1092" s="3">
        <f t="shared" si="177"/>
        <v>-7545.43</v>
      </c>
      <c r="Y1092" t="str">
        <f t="shared" si="178"/>
        <v/>
      </c>
      <c r="Z1092">
        <f t="shared" si="179"/>
        <v>-7545.43</v>
      </c>
    </row>
    <row r="1093" spans="1:26" x14ac:dyDescent="0.25">
      <c r="A1093" s="1">
        <v>45756</v>
      </c>
      <c r="B1093" t="s">
        <v>1471</v>
      </c>
      <c r="C1093" t="s">
        <v>17</v>
      </c>
      <c r="D1093" t="s">
        <v>22</v>
      </c>
      <c r="E1093">
        <v>75</v>
      </c>
      <c r="F1093">
        <v>0</v>
      </c>
      <c r="G1093">
        <v>9.25</v>
      </c>
      <c r="H1093">
        <v>693.75</v>
      </c>
      <c r="I1093" t="s">
        <v>1477</v>
      </c>
      <c r="J1093">
        <v>0</v>
      </c>
      <c r="K1093">
        <v>0.25</v>
      </c>
      <c r="L1093">
        <v>0</v>
      </c>
      <c r="M1093">
        <v>0</v>
      </c>
      <c r="N1093">
        <v>29</v>
      </c>
      <c r="O1093">
        <v>5.26</v>
      </c>
      <c r="P1093">
        <v>34.51</v>
      </c>
      <c r="Q1093">
        <f t="shared" si="170"/>
        <v>2025</v>
      </c>
      <c r="R1093">
        <f t="shared" si="171"/>
        <v>4</v>
      </c>
      <c r="S1093">
        <f t="shared" si="172"/>
        <v>2025</v>
      </c>
      <c r="T1093">
        <f t="shared" si="173"/>
        <v>1</v>
      </c>
      <c r="U1093" t="str">
        <f t="shared" si="174"/>
        <v>01</v>
      </c>
      <c r="V1093" t="str">
        <f t="shared" si="175"/>
        <v>202501</v>
      </c>
      <c r="W1093" t="str">
        <f t="shared" si="176"/>
        <v>Apr-25</v>
      </c>
      <c r="X1093" s="3">
        <f t="shared" si="177"/>
        <v>-728.26</v>
      </c>
      <c r="Y1093" t="str">
        <f t="shared" si="178"/>
        <v/>
      </c>
      <c r="Z1093">
        <f t="shared" si="179"/>
        <v>-728.26</v>
      </c>
    </row>
    <row r="1094" spans="1:26" x14ac:dyDescent="0.25">
      <c r="A1094" s="1">
        <v>45756</v>
      </c>
      <c r="B1094" t="s">
        <v>1471</v>
      </c>
      <c r="C1094" t="s">
        <v>17</v>
      </c>
      <c r="D1094" t="s">
        <v>22</v>
      </c>
      <c r="E1094">
        <v>75</v>
      </c>
      <c r="F1094">
        <v>0</v>
      </c>
      <c r="G1094">
        <v>13.15</v>
      </c>
      <c r="H1094">
        <v>986.25</v>
      </c>
      <c r="I1094" t="s">
        <v>1478</v>
      </c>
      <c r="J1094">
        <v>0</v>
      </c>
      <c r="K1094">
        <v>0.35</v>
      </c>
      <c r="L1094">
        <v>0</v>
      </c>
      <c r="M1094">
        <v>0</v>
      </c>
      <c r="N1094">
        <v>29</v>
      </c>
      <c r="O1094">
        <v>5.28</v>
      </c>
      <c r="P1094">
        <v>34.630000000000003</v>
      </c>
      <c r="Q1094">
        <f t="shared" si="170"/>
        <v>2025</v>
      </c>
      <c r="R1094">
        <f t="shared" si="171"/>
        <v>4</v>
      </c>
      <c r="S1094">
        <f t="shared" si="172"/>
        <v>2025</v>
      </c>
      <c r="T1094">
        <f t="shared" si="173"/>
        <v>1</v>
      </c>
      <c r="U1094" t="str">
        <f t="shared" si="174"/>
        <v>01</v>
      </c>
      <c r="V1094" t="str">
        <f t="shared" si="175"/>
        <v>202501</v>
      </c>
      <c r="W1094" t="str">
        <f t="shared" si="176"/>
        <v>Apr-25</v>
      </c>
      <c r="X1094" s="3">
        <f t="shared" si="177"/>
        <v>-1020.88</v>
      </c>
      <c r="Y1094" t="str">
        <f t="shared" si="178"/>
        <v/>
      </c>
      <c r="Z1094">
        <f t="shared" si="179"/>
        <v>-1020.88</v>
      </c>
    </row>
    <row r="1095" spans="1:26" x14ac:dyDescent="0.25">
      <c r="A1095" s="1">
        <v>45756</v>
      </c>
      <c r="B1095" t="s">
        <v>1471</v>
      </c>
      <c r="C1095" t="s">
        <v>17</v>
      </c>
      <c r="D1095" t="s">
        <v>22</v>
      </c>
      <c r="E1095">
        <v>75</v>
      </c>
      <c r="F1095">
        <v>0</v>
      </c>
      <c r="G1095">
        <v>19.3</v>
      </c>
      <c r="H1095">
        <v>1447.5</v>
      </c>
      <c r="I1095" t="s">
        <v>1479</v>
      </c>
      <c r="J1095">
        <v>0</v>
      </c>
      <c r="K1095">
        <v>0.51</v>
      </c>
      <c r="L1095">
        <v>0</v>
      </c>
      <c r="M1095">
        <v>0</v>
      </c>
      <c r="N1095">
        <v>29</v>
      </c>
      <c r="O1095">
        <v>5.32</v>
      </c>
      <c r="P1095">
        <v>34.83</v>
      </c>
      <c r="Q1095">
        <f t="shared" si="170"/>
        <v>2025</v>
      </c>
      <c r="R1095">
        <f t="shared" si="171"/>
        <v>4</v>
      </c>
      <c r="S1095">
        <f t="shared" si="172"/>
        <v>2025</v>
      </c>
      <c r="T1095">
        <f t="shared" si="173"/>
        <v>1</v>
      </c>
      <c r="U1095" t="str">
        <f t="shared" si="174"/>
        <v>01</v>
      </c>
      <c r="V1095" t="str">
        <f t="shared" si="175"/>
        <v>202501</v>
      </c>
      <c r="W1095" t="str">
        <f t="shared" si="176"/>
        <v>Apr-25</v>
      </c>
      <c r="X1095" s="3">
        <f t="shared" si="177"/>
        <v>-1482.33</v>
      </c>
      <c r="Y1095" t="str">
        <f t="shared" si="178"/>
        <v/>
      </c>
      <c r="Z1095">
        <f t="shared" si="179"/>
        <v>-1482.33</v>
      </c>
    </row>
    <row r="1096" spans="1:26" x14ac:dyDescent="0.25">
      <c r="A1096" s="1">
        <v>45756</v>
      </c>
      <c r="B1096" t="s">
        <v>1480</v>
      </c>
      <c r="C1096" t="s">
        <v>17</v>
      </c>
      <c r="D1096" t="s">
        <v>18</v>
      </c>
      <c r="E1096">
        <v>75</v>
      </c>
      <c r="F1096">
        <v>0</v>
      </c>
      <c r="G1096">
        <v>28.15</v>
      </c>
      <c r="H1096">
        <v>2111.25</v>
      </c>
      <c r="I1096" t="s">
        <v>1481</v>
      </c>
      <c r="J1096">
        <v>2.11</v>
      </c>
      <c r="K1096">
        <v>0.75</v>
      </c>
      <c r="L1096">
        <v>0</v>
      </c>
      <c r="M1096">
        <v>0</v>
      </c>
      <c r="N1096">
        <v>29</v>
      </c>
      <c r="O1096">
        <v>5.36</v>
      </c>
      <c r="P1096">
        <v>37.22</v>
      </c>
      <c r="Q1096">
        <f t="shared" si="170"/>
        <v>2025</v>
      </c>
      <c r="R1096">
        <f t="shared" si="171"/>
        <v>4</v>
      </c>
      <c r="S1096">
        <f t="shared" si="172"/>
        <v>2025</v>
      </c>
      <c r="T1096">
        <f t="shared" si="173"/>
        <v>1</v>
      </c>
      <c r="U1096" t="str">
        <f t="shared" si="174"/>
        <v>01</v>
      </c>
      <c r="V1096" t="str">
        <f t="shared" si="175"/>
        <v>202501</v>
      </c>
      <c r="W1096" t="str">
        <f t="shared" si="176"/>
        <v>Apr-25</v>
      </c>
      <c r="X1096" s="3">
        <f t="shared" si="177"/>
        <v>2074.0300000000002</v>
      </c>
      <c r="Y1096">
        <f t="shared" si="178"/>
        <v>2074.0300000000002</v>
      </c>
      <c r="Z1096" t="str">
        <f t="shared" si="179"/>
        <v/>
      </c>
    </row>
    <row r="1097" spans="1:26" x14ac:dyDescent="0.25">
      <c r="A1097" s="1">
        <v>45756</v>
      </c>
      <c r="B1097" t="s">
        <v>1480</v>
      </c>
      <c r="C1097" t="s">
        <v>17</v>
      </c>
      <c r="D1097" t="s">
        <v>22</v>
      </c>
      <c r="E1097">
        <v>75</v>
      </c>
      <c r="F1097">
        <v>0</v>
      </c>
      <c r="G1097">
        <v>32.200000000000003</v>
      </c>
      <c r="H1097">
        <v>2415</v>
      </c>
      <c r="I1097" t="s">
        <v>1482</v>
      </c>
      <c r="J1097">
        <v>0</v>
      </c>
      <c r="K1097">
        <v>0.86</v>
      </c>
      <c r="L1097">
        <v>0</v>
      </c>
      <c r="M1097">
        <v>0</v>
      </c>
      <c r="N1097">
        <v>29</v>
      </c>
      <c r="O1097">
        <v>5.38</v>
      </c>
      <c r="P1097">
        <v>35.24</v>
      </c>
      <c r="Q1097">
        <f t="shared" si="170"/>
        <v>2025</v>
      </c>
      <c r="R1097">
        <f t="shared" si="171"/>
        <v>4</v>
      </c>
      <c r="S1097">
        <f t="shared" si="172"/>
        <v>2025</v>
      </c>
      <c r="T1097">
        <f t="shared" si="173"/>
        <v>1</v>
      </c>
      <c r="U1097" t="str">
        <f t="shared" si="174"/>
        <v>01</v>
      </c>
      <c r="V1097" t="str">
        <f t="shared" si="175"/>
        <v>202501</v>
      </c>
      <c r="W1097" t="str">
        <f t="shared" si="176"/>
        <v>Apr-25</v>
      </c>
      <c r="X1097" s="3">
        <f t="shared" si="177"/>
        <v>-2450.2399999999998</v>
      </c>
      <c r="Y1097" t="str">
        <f t="shared" si="178"/>
        <v/>
      </c>
      <c r="Z1097">
        <f t="shared" si="179"/>
        <v>-2450.2399999999998</v>
      </c>
    </row>
    <row r="1098" spans="1:26" x14ac:dyDescent="0.25">
      <c r="A1098" s="1">
        <v>45756</v>
      </c>
      <c r="B1098" t="s">
        <v>1471</v>
      </c>
      <c r="C1098" t="s">
        <v>17</v>
      </c>
      <c r="D1098" t="s">
        <v>22</v>
      </c>
      <c r="E1098">
        <v>75</v>
      </c>
      <c r="F1098">
        <v>0</v>
      </c>
      <c r="G1098">
        <v>23.4</v>
      </c>
      <c r="H1098">
        <v>1755</v>
      </c>
      <c r="I1098" t="s">
        <v>1483</v>
      </c>
      <c r="J1098">
        <v>0</v>
      </c>
      <c r="K1098">
        <v>0.62</v>
      </c>
      <c r="L1098">
        <v>0</v>
      </c>
      <c r="M1098">
        <v>0</v>
      </c>
      <c r="N1098">
        <v>29</v>
      </c>
      <c r="O1098">
        <v>5.34</v>
      </c>
      <c r="P1098">
        <v>34.96</v>
      </c>
      <c r="Q1098">
        <f t="shared" si="170"/>
        <v>2025</v>
      </c>
      <c r="R1098">
        <f t="shared" si="171"/>
        <v>4</v>
      </c>
      <c r="S1098">
        <f t="shared" si="172"/>
        <v>2025</v>
      </c>
      <c r="T1098">
        <f t="shared" si="173"/>
        <v>1</v>
      </c>
      <c r="U1098" t="str">
        <f t="shared" si="174"/>
        <v>01</v>
      </c>
      <c r="V1098" t="str">
        <f t="shared" si="175"/>
        <v>202501</v>
      </c>
      <c r="W1098" t="str">
        <f t="shared" si="176"/>
        <v>Apr-25</v>
      </c>
      <c r="X1098" s="3">
        <f t="shared" si="177"/>
        <v>-1789.96</v>
      </c>
      <c r="Y1098" t="str">
        <f t="shared" si="178"/>
        <v/>
      </c>
      <c r="Z1098">
        <f t="shared" si="179"/>
        <v>-1789.96</v>
      </c>
    </row>
    <row r="1099" spans="1:26" x14ac:dyDescent="0.25">
      <c r="A1099" s="1">
        <v>45756</v>
      </c>
      <c r="B1099" t="s">
        <v>1471</v>
      </c>
      <c r="C1099" t="s">
        <v>17</v>
      </c>
      <c r="D1099" t="s">
        <v>22</v>
      </c>
      <c r="E1099">
        <v>75</v>
      </c>
      <c r="F1099">
        <v>0</v>
      </c>
      <c r="G1099">
        <v>28.15</v>
      </c>
      <c r="H1099">
        <v>2111.25</v>
      </c>
      <c r="I1099" t="s">
        <v>1484</v>
      </c>
      <c r="J1099">
        <v>0</v>
      </c>
      <c r="K1099">
        <v>0.75</v>
      </c>
      <c r="L1099">
        <v>0</v>
      </c>
      <c r="M1099">
        <v>0</v>
      </c>
      <c r="N1099">
        <v>29</v>
      </c>
      <c r="O1099">
        <v>5.36</v>
      </c>
      <c r="P1099">
        <v>35.11</v>
      </c>
      <c r="Q1099">
        <f t="shared" si="170"/>
        <v>2025</v>
      </c>
      <c r="R1099">
        <f t="shared" si="171"/>
        <v>4</v>
      </c>
      <c r="S1099">
        <f t="shared" si="172"/>
        <v>2025</v>
      </c>
      <c r="T1099">
        <f t="shared" si="173"/>
        <v>1</v>
      </c>
      <c r="U1099" t="str">
        <f t="shared" si="174"/>
        <v>01</v>
      </c>
      <c r="V1099" t="str">
        <f t="shared" si="175"/>
        <v>202501</v>
      </c>
      <c r="W1099" t="str">
        <f t="shared" si="176"/>
        <v>Apr-25</v>
      </c>
      <c r="X1099" s="3">
        <f t="shared" si="177"/>
        <v>-2146.36</v>
      </c>
      <c r="Y1099" t="str">
        <f t="shared" si="178"/>
        <v/>
      </c>
      <c r="Z1099">
        <f t="shared" si="179"/>
        <v>-2146.36</v>
      </c>
    </row>
    <row r="1100" spans="1:26" x14ac:dyDescent="0.25">
      <c r="A1100" s="1">
        <v>45756</v>
      </c>
      <c r="B1100" t="s">
        <v>1471</v>
      </c>
      <c r="C1100" t="s">
        <v>17</v>
      </c>
      <c r="D1100" t="s">
        <v>22</v>
      </c>
      <c r="E1100">
        <v>75</v>
      </c>
      <c r="F1100">
        <v>0</v>
      </c>
      <c r="G1100">
        <v>69.05</v>
      </c>
      <c r="H1100">
        <v>5178.75</v>
      </c>
      <c r="I1100" t="s">
        <v>1485</v>
      </c>
      <c r="J1100">
        <v>0</v>
      </c>
      <c r="K1100">
        <v>1.84</v>
      </c>
      <c r="L1100">
        <v>0</v>
      </c>
      <c r="M1100">
        <v>0.01</v>
      </c>
      <c r="N1100">
        <v>29</v>
      </c>
      <c r="O1100">
        <v>5.56</v>
      </c>
      <c r="P1100">
        <v>36.409999999999997</v>
      </c>
      <c r="Q1100">
        <f t="shared" si="170"/>
        <v>2025</v>
      </c>
      <c r="R1100">
        <f t="shared" si="171"/>
        <v>4</v>
      </c>
      <c r="S1100">
        <f t="shared" si="172"/>
        <v>2025</v>
      </c>
      <c r="T1100">
        <f t="shared" si="173"/>
        <v>1</v>
      </c>
      <c r="U1100" t="str">
        <f t="shared" si="174"/>
        <v>01</v>
      </c>
      <c r="V1100" t="str">
        <f t="shared" si="175"/>
        <v>202501</v>
      </c>
      <c r="W1100" t="str">
        <f t="shared" si="176"/>
        <v>Apr-25</v>
      </c>
      <c r="X1100" s="3">
        <f t="shared" si="177"/>
        <v>-5215.16</v>
      </c>
      <c r="Y1100" t="str">
        <f t="shared" si="178"/>
        <v/>
      </c>
      <c r="Z1100">
        <f t="shared" si="179"/>
        <v>-5215.16</v>
      </c>
    </row>
    <row r="1101" spans="1:26" x14ac:dyDescent="0.25">
      <c r="A1101" s="1">
        <v>45756</v>
      </c>
      <c r="B1101" t="s">
        <v>1480</v>
      </c>
      <c r="C1101" t="s">
        <v>17</v>
      </c>
      <c r="D1101" t="s">
        <v>18</v>
      </c>
      <c r="E1101">
        <v>75</v>
      </c>
      <c r="F1101">
        <v>0</v>
      </c>
      <c r="G1101">
        <v>83.25</v>
      </c>
      <c r="H1101">
        <v>6243.75</v>
      </c>
      <c r="I1101" t="s">
        <v>1486</v>
      </c>
      <c r="J1101">
        <v>6.24</v>
      </c>
      <c r="K1101">
        <v>2.2200000000000002</v>
      </c>
      <c r="L1101">
        <v>0</v>
      </c>
      <c r="M1101">
        <v>0.01</v>
      </c>
      <c r="N1101">
        <v>29</v>
      </c>
      <c r="O1101">
        <v>5.62</v>
      </c>
      <c r="P1101">
        <v>43.09</v>
      </c>
      <c r="Q1101">
        <f t="shared" si="170"/>
        <v>2025</v>
      </c>
      <c r="R1101">
        <f t="shared" si="171"/>
        <v>4</v>
      </c>
      <c r="S1101">
        <f t="shared" si="172"/>
        <v>2025</v>
      </c>
      <c r="T1101">
        <f t="shared" si="173"/>
        <v>1</v>
      </c>
      <c r="U1101" t="str">
        <f t="shared" si="174"/>
        <v>01</v>
      </c>
      <c r="V1101" t="str">
        <f t="shared" si="175"/>
        <v>202501</v>
      </c>
      <c r="W1101" t="str">
        <f t="shared" si="176"/>
        <v>Apr-25</v>
      </c>
      <c r="X1101" s="3">
        <f t="shared" si="177"/>
        <v>6200.66</v>
      </c>
      <c r="Y1101">
        <f t="shared" si="178"/>
        <v>6200.66</v>
      </c>
      <c r="Z1101" t="str">
        <f t="shared" si="179"/>
        <v/>
      </c>
    </row>
    <row r="1102" spans="1:26" x14ac:dyDescent="0.25">
      <c r="A1102" s="1">
        <v>45756</v>
      </c>
      <c r="B1102" t="s">
        <v>1480</v>
      </c>
      <c r="C1102" t="s">
        <v>17</v>
      </c>
      <c r="D1102" t="s">
        <v>22</v>
      </c>
      <c r="E1102">
        <v>75</v>
      </c>
      <c r="F1102">
        <v>0</v>
      </c>
      <c r="G1102">
        <v>68.099999999999994</v>
      </c>
      <c r="H1102">
        <v>5107.5</v>
      </c>
      <c r="I1102" t="s">
        <v>1487</v>
      </c>
      <c r="J1102">
        <v>0</v>
      </c>
      <c r="K1102">
        <v>1.81</v>
      </c>
      <c r="L1102">
        <v>0.23</v>
      </c>
      <c r="M1102">
        <v>0.01</v>
      </c>
      <c r="N1102">
        <v>29</v>
      </c>
      <c r="O1102">
        <v>5.54</v>
      </c>
      <c r="P1102">
        <v>36.590000000000003</v>
      </c>
      <c r="Q1102">
        <f t="shared" si="170"/>
        <v>2025</v>
      </c>
      <c r="R1102">
        <f t="shared" si="171"/>
        <v>4</v>
      </c>
      <c r="S1102">
        <f t="shared" si="172"/>
        <v>2025</v>
      </c>
      <c r="T1102">
        <f t="shared" si="173"/>
        <v>1</v>
      </c>
      <c r="U1102" t="str">
        <f t="shared" si="174"/>
        <v>01</v>
      </c>
      <c r="V1102" t="str">
        <f t="shared" si="175"/>
        <v>202501</v>
      </c>
      <c r="W1102" t="str">
        <f t="shared" si="176"/>
        <v>Apr-25</v>
      </c>
      <c r="X1102" s="3">
        <f t="shared" si="177"/>
        <v>-5144.09</v>
      </c>
      <c r="Y1102" t="str">
        <f t="shared" si="178"/>
        <v/>
      </c>
      <c r="Z1102">
        <f t="shared" si="179"/>
        <v>-5144.09</v>
      </c>
    </row>
    <row r="1103" spans="1:26" x14ac:dyDescent="0.25">
      <c r="A1103" s="1">
        <v>45756</v>
      </c>
      <c r="B1103" t="s">
        <v>1471</v>
      </c>
      <c r="C1103" t="s">
        <v>17</v>
      </c>
      <c r="D1103" t="s">
        <v>18</v>
      </c>
      <c r="E1103">
        <v>75</v>
      </c>
      <c r="F1103">
        <v>0</v>
      </c>
      <c r="G1103">
        <v>81</v>
      </c>
      <c r="H1103">
        <v>6075</v>
      </c>
      <c r="I1103" t="s">
        <v>1488</v>
      </c>
      <c r="J1103">
        <v>6.47</v>
      </c>
      <c r="K1103">
        <v>2.16</v>
      </c>
      <c r="L1103">
        <v>0</v>
      </c>
      <c r="M1103">
        <v>0.01</v>
      </c>
      <c r="N1103">
        <v>29</v>
      </c>
      <c r="O1103">
        <v>5.62</v>
      </c>
      <c r="P1103">
        <v>43.26</v>
      </c>
      <c r="Q1103">
        <f t="shared" si="170"/>
        <v>2025</v>
      </c>
      <c r="R1103">
        <f t="shared" si="171"/>
        <v>4</v>
      </c>
      <c r="S1103">
        <f t="shared" si="172"/>
        <v>2025</v>
      </c>
      <c r="T1103">
        <f t="shared" si="173"/>
        <v>1</v>
      </c>
      <c r="U1103" t="str">
        <f t="shared" si="174"/>
        <v>01</v>
      </c>
      <c r="V1103" t="str">
        <f t="shared" si="175"/>
        <v>202501</v>
      </c>
      <c r="W1103" t="str">
        <f t="shared" si="176"/>
        <v>Apr-25</v>
      </c>
      <c r="X1103" s="3">
        <f t="shared" si="177"/>
        <v>6031.74</v>
      </c>
      <c r="Y1103">
        <f t="shared" si="178"/>
        <v>6031.74</v>
      </c>
      <c r="Z1103" t="str">
        <f t="shared" si="179"/>
        <v/>
      </c>
    </row>
    <row r="1104" spans="1:26" x14ac:dyDescent="0.25">
      <c r="A1104" s="1">
        <v>45756</v>
      </c>
      <c r="B1104" t="s">
        <v>1471</v>
      </c>
      <c r="C1104" t="s">
        <v>17</v>
      </c>
      <c r="D1104" t="s">
        <v>22</v>
      </c>
      <c r="E1104">
        <v>75</v>
      </c>
      <c r="F1104">
        <v>0</v>
      </c>
      <c r="G1104">
        <v>83.3</v>
      </c>
      <c r="H1104">
        <v>6247.5</v>
      </c>
      <c r="I1104" t="s">
        <v>1489</v>
      </c>
      <c r="J1104">
        <v>0</v>
      </c>
      <c r="K1104">
        <v>2.2200000000000002</v>
      </c>
      <c r="L1104">
        <v>0</v>
      </c>
      <c r="M1104">
        <v>0.01</v>
      </c>
      <c r="N1104">
        <v>29</v>
      </c>
      <c r="O1104">
        <v>5.62</v>
      </c>
      <c r="P1104">
        <v>36.85</v>
      </c>
      <c r="Q1104">
        <f t="shared" si="170"/>
        <v>2025</v>
      </c>
      <c r="R1104">
        <f t="shared" si="171"/>
        <v>4</v>
      </c>
      <c r="S1104">
        <f t="shared" si="172"/>
        <v>2025</v>
      </c>
      <c r="T1104">
        <f t="shared" si="173"/>
        <v>1</v>
      </c>
      <c r="U1104" t="str">
        <f t="shared" si="174"/>
        <v>01</v>
      </c>
      <c r="V1104" t="str">
        <f t="shared" si="175"/>
        <v>202501</v>
      </c>
      <c r="W1104" t="str">
        <f t="shared" si="176"/>
        <v>Apr-25</v>
      </c>
      <c r="X1104" s="3">
        <f t="shared" si="177"/>
        <v>-6284.35</v>
      </c>
      <c r="Y1104" t="str">
        <f t="shared" si="178"/>
        <v/>
      </c>
      <c r="Z1104">
        <f t="shared" si="179"/>
        <v>-6284.35</v>
      </c>
    </row>
    <row r="1105" spans="1:26" x14ac:dyDescent="0.25">
      <c r="A1105" s="1">
        <v>45762</v>
      </c>
      <c r="B1105" t="s">
        <v>1490</v>
      </c>
      <c r="C1105" t="s">
        <v>17</v>
      </c>
      <c r="D1105" t="s">
        <v>18</v>
      </c>
      <c r="E1105">
        <v>150</v>
      </c>
      <c r="F1105">
        <v>0</v>
      </c>
      <c r="G1105">
        <v>17.7</v>
      </c>
      <c r="H1105">
        <v>2655</v>
      </c>
      <c r="I1105" t="s">
        <v>1491</v>
      </c>
      <c r="J1105">
        <v>3</v>
      </c>
      <c r="K1105">
        <v>0.94</v>
      </c>
      <c r="L1105">
        <v>0</v>
      </c>
      <c r="M1105">
        <v>0</v>
      </c>
      <c r="N1105">
        <v>58</v>
      </c>
      <c r="O1105">
        <v>10.6</v>
      </c>
      <c r="P1105">
        <v>72.540000000000006</v>
      </c>
      <c r="Q1105">
        <f t="shared" si="170"/>
        <v>2025</v>
      </c>
      <c r="R1105">
        <f t="shared" si="171"/>
        <v>4</v>
      </c>
      <c r="S1105">
        <f t="shared" si="172"/>
        <v>2025</v>
      </c>
      <c r="T1105">
        <f t="shared" si="173"/>
        <v>1</v>
      </c>
      <c r="U1105" t="str">
        <f t="shared" si="174"/>
        <v>01</v>
      </c>
      <c r="V1105" t="str">
        <f t="shared" si="175"/>
        <v>202501</v>
      </c>
      <c r="W1105" t="str">
        <f t="shared" si="176"/>
        <v>Apr-25</v>
      </c>
      <c r="X1105" s="3">
        <f t="shared" si="177"/>
        <v>2582.46</v>
      </c>
      <c r="Y1105">
        <f t="shared" si="178"/>
        <v>2582.46</v>
      </c>
      <c r="Z1105" t="str">
        <f t="shared" si="179"/>
        <v/>
      </c>
    </row>
    <row r="1106" spans="1:26" x14ac:dyDescent="0.25">
      <c r="A1106" s="1">
        <v>45762</v>
      </c>
      <c r="B1106" t="s">
        <v>1490</v>
      </c>
      <c r="C1106" t="s">
        <v>17</v>
      </c>
      <c r="D1106" t="s">
        <v>22</v>
      </c>
      <c r="E1106">
        <v>75</v>
      </c>
      <c r="F1106">
        <v>0</v>
      </c>
      <c r="G1106">
        <v>23</v>
      </c>
      <c r="H1106">
        <v>1725</v>
      </c>
      <c r="I1106" t="s">
        <v>1492</v>
      </c>
      <c r="J1106">
        <v>0</v>
      </c>
      <c r="K1106">
        <v>0.61</v>
      </c>
      <c r="L1106">
        <v>0</v>
      </c>
      <c r="M1106">
        <v>0</v>
      </c>
      <c r="N1106">
        <v>29</v>
      </c>
      <c r="O1106">
        <v>5.32</v>
      </c>
      <c r="P1106">
        <v>34.93</v>
      </c>
      <c r="Q1106">
        <f t="shared" si="170"/>
        <v>2025</v>
      </c>
      <c r="R1106">
        <f t="shared" si="171"/>
        <v>4</v>
      </c>
      <c r="S1106">
        <f t="shared" si="172"/>
        <v>2025</v>
      </c>
      <c r="T1106">
        <f t="shared" si="173"/>
        <v>1</v>
      </c>
      <c r="U1106" t="str">
        <f t="shared" si="174"/>
        <v>01</v>
      </c>
      <c r="V1106" t="str">
        <f t="shared" si="175"/>
        <v>202501</v>
      </c>
      <c r="W1106" t="str">
        <f t="shared" si="176"/>
        <v>Apr-25</v>
      </c>
      <c r="X1106" s="3">
        <f t="shared" si="177"/>
        <v>-1759.93</v>
      </c>
      <c r="Y1106" t="str">
        <f t="shared" si="178"/>
        <v/>
      </c>
      <c r="Z1106">
        <f t="shared" si="179"/>
        <v>-1759.93</v>
      </c>
    </row>
    <row r="1107" spans="1:26" x14ac:dyDescent="0.25">
      <c r="A1107" s="1">
        <v>45762</v>
      </c>
      <c r="B1107" t="s">
        <v>1490</v>
      </c>
      <c r="C1107" t="s">
        <v>17</v>
      </c>
      <c r="D1107" t="s">
        <v>22</v>
      </c>
      <c r="E1107">
        <v>75</v>
      </c>
      <c r="F1107">
        <v>0</v>
      </c>
      <c r="G1107">
        <v>23.5</v>
      </c>
      <c r="H1107">
        <v>1762.5</v>
      </c>
      <c r="I1107" t="s">
        <v>1493</v>
      </c>
      <c r="J1107">
        <v>0</v>
      </c>
      <c r="K1107">
        <v>0.63</v>
      </c>
      <c r="L1107">
        <v>0</v>
      </c>
      <c r="M1107">
        <v>0</v>
      </c>
      <c r="N1107">
        <v>29</v>
      </c>
      <c r="O1107">
        <v>5.34</v>
      </c>
      <c r="P1107">
        <v>34.97</v>
      </c>
      <c r="Q1107">
        <f t="shared" si="170"/>
        <v>2025</v>
      </c>
      <c r="R1107">
        <f t="shared" si="171"/>
        <v>4</v>
      </c>
      <c r="S1107">
        <f t="shared" si="172"/>
        <v>2025</v>
      </c>
      <c r="T1107">
        <f t="shared" si="173"/>
        <v>1</v>
      </c>
      <c r="U1107" t="str">
        <f t="shared" si="174"/>
        <v>01</v>
      </c>
      <c r="V1107" t="str">
        <f t="shared" si="175"/>
        <v>202501</v>
      </c>
      <c r="W1107" t="str">
        <f t="shared" si="176"/>
        <v>Apr-25</v>
      </c>
      <c r="X1107" s="3">
        <f t="shared" si="177"/>
        <v>-1797.47</v>
      </c>
      <c r="Y1107" t="str">
        <f t="shared" si="178"/>
        <v/>
      </c>
      <c r="Z1107">
        <f t="shared" si="179"/>
        <v>-1797.47</v>
      </c>
    </row>
    <row r="1108" spans="1:26" x14ac:dyDescent="0.25">
      <c r="A1108" s="1">
        <v>45779</v>
      </c>
      <c r="B1108" t="s">
        <v>1494</v>
      </c>
      <c r="C1108" t="s">
        <v>17</v>
      </c>
      <c r="D1108" t="s">
        <v>18</v>
      </c>
      <c r="E1108">
        <v>150</v>
      </c>
      <c r="F1108">
        <v>0</v>
      </c>
      <c r="G1108">
        <v>145.80000000000001</v>
      </c>
      <c r="H1108">
        <v>21870</v>
      </c>
      <c r="I1108" t="s">
        <v>1495</v>
      </c>
      <c r="J1108">
        <v>21.87</v>
      </c>
      <c r="K1108">
        <v>7.77</v>
      </c>
      <c r="L1108">
        <v>0</v>
      </c>
      <c r="M1108">
        <v>0.02</v>
      </c>
      <c r="N1108">
        <v>58</v>
      </c>
      <c r="O1108">
        <v>11.84</v>
      </c>
      <c r="P1108">
        <v>99.5</v>
      </c>
      <c r="Q1108">
        <f t="shared" si="170"/>
        <v>2025</v>
      </c>
      <c r="R1108">
        <f t="shared" si="171"/>
        <v>5</v>
      </c>
      <c r="S1108">
        <f t="shared" si="172"/>
        <v>2025</v>
      </c>
      <c r="T1108">
        <f t="shared" si="173"/>
        <v>2</v>
      </c>
      <c r="U1108" t="str">
        <f t="shared" si="174"/>
        <v>02</v>
      </c>
      <c r="V1108" t="str">
        <f t="shared" si="175"/>
        <v>202502</v>
      </c>
      <c r="W1108" t="str">
        <f t="shared" si="176"/>
        <v>May-25</v>
      </c>
      <c r="X1108" s="3">
        <f t="shared" si="177"/>
        <v>21770.5</v>
      </c>
      <c r="Y1108">
        <f t="shared" si="178"/>
        <v>21770.5</v>
      </c>
      <c r="Z1108" t="str">
        <f t="shared" si="179"/>
        <v/>
      </c>
    </row>
    <row r="1109" spans="1:26" x14ac:dyDescent="0.25">
      <c r="A1109" s="1">
        <v>45779</v>
      </c>
      <c r="B1109" t="s">
        <v>1494</v>
      </c>
      <c r="C1109" t="s">
        <v>17</v>
      </c>
      <c r="D1109" t="s">
        <v>22</v>
      </c>
      <c r="E1109">
        <v>150</v>
      </c>
      <c r="F1109">
        <v>0</v>
      </c>
      <c r="G1109">
        <v>152.69999999999999</v>
      </c>
      <c r="H1109">
        <v>22905</v>
      </c>
      <c r="I1109" t="s">
        <v>1496</v>
      </c>
      <c r="J1109">
        <v>0</v>
      </c>
      <c r="K1109">
        <v>8.14</v>
      </c>
      <c r="L1109">
        <v>2.44</v>
      </c>
      <c r="M1109">
        <v>0.02</v>
      </c>
      <c r="N1109">
        <v>58</v>
      </c>
      <c r="O1109">
        <v>11.92</v>
      </c>
      <c r="P1109">
        <v>80.52</v>
      </c>
      <c r="Q1109">
        <f t="shared" si="170"/>
        <v>2025</v>
      </c>
      <c r="R1109">
        <f t="shared" si="171"/>
        <v>5</v>
      </c>
      <c r="S1109">
        <f t="shared" si="172"/>
        <v>2025</v>
      </c>
      <c r="T1109">
        <f t="shared" si="173"/>
        <v>2</v>
      </c>
      <c r="U1109" t="str">
        <f t="shared" si="174"/>
        <v>02</v>
      </c>
      <c r="V1109" t="str">
        <f t="shared" si="175"/>
        <v>202502</v>
      </c>
      <c r="W1109" t="str">
        <f t="shared" si="176"/>
        <v>May-25</v>
      </c>
      <c r="X1109" s="3">
        <f t="shared" si="177"/>
        <v>-22985.52</v>
      </c>
      <c r="Y1109" t="str">
        <f t="shared" si="178"/>
        <v/>
      </c>
      <c r="Z1109">
        <f t="shared" si="179"/>
        <v>-22985.52</v>
      </c>
    </row>
    <row r="1110" spans="1:26" x14ac:dyDescent="0.25">
      <c r="A1110" s="1">
        <v>45779</v>
      </c>
      <c r="B1110" t="s">
        <v>1494</v>
      </c>
      <c r="C1110" t="s">
        <v>17</v>
      </c>
      <c r="D1110" t="s">
        <v>18</v>
      </c>
      <c r="E1110">
        <v>75</v>
      </c>
      <c r="F1110">
        <v>0</v>
      </c>
      <c r="G1110">
        <v>146.9</v>
      </c>
      <c r="H1110">
        <v>11017.5</v>
      </c>
      <c r="I1110" t="s">
        <v>1497</v>
      </c>
      <c r="J1110">
        <v>11.02</v>
      </c>
      <c r="K1110">
        <v>3.91</v>
      </c>
      <c r="L1110">
        <v>0</v>
      </c>
      <c r="M1110">
        <v>0.01</v>
      </c>
      <c r="N1110">
        <v>29</v>
      </c>
      <c r="O1110">
        <v>5.92</v>
      </c>
      <c r="P1110">
        <v>49.86</v>
      </c>
      <c r="Q1110">
        <f t="shared" si="170"/>
        <v>2025</v>
      </c>
      <c r="R1110">
        <f t="shared" si="171"/>
        <v>5</v>
      </c>
      <c r="S1110">
        <f t="shared" si="172"/>
        <v>2025</v>
      </c>
      <c r="T1110">
        <f t="shared" si="173"/>
        <v>2</v>
      </c>
      <c r="U1110" t="str">
        <f t="shared" si="174"/>
        <v>02</v>
      </c>
      <c r="V1110" t="str">
        <f t="shared" si="175"/>
        <v>202502</v>
      </c>
      <c r="W1110" t="str">
        <f t="shared" si="176"/>
        <v>May-25</v>
      </c>
      <c r="X1110" s="3">
        <f t="shared" si="177"/>
        <v>10967.64</v>
      </c>
      <c r="Y1110">
        <f t="shared" si="178"/>
        <v>10967.64</v>
      </c>
      <c r="Z1110" t="str">
        <f t="shared" si="179"/>
        <v/>
      </c>
    </row>
    <row r="1111" spans="1:26" x14ac:dyDescent="0.25">
      <c r="A1111" s="1">
        <v>45779</v>
      </c>
      <c r="B1111" t="s">
        <v>1494</v>
      </c>
      <c r="C1111" t="s">
        <v>17</v>
      </c>
      <c r="D1111" t="s">
        <v>22</v>
      </c>
      <c r="E1111">
        <v>75</v>
      </c>
      <c r="F1111">
        <v>0</v>
      </c>
      <c r="G1111">
        <v>156.44999999999999</v>
      </c>
      <c r="H1111">
        <v>11733.75</v>
      </c>
      <c r="I1111" t="s">
        <v>1498</v>
      </c>
      <c r="J1111">
        <v>0</v>
      </c>
      <c r="K1111">
        <v>4.17</v>
      </c>
      <c r="L1111">
        <v>0</v>
      </c>
      <c r="M1111">
        <v>0.01</v>
      </c>
      <c r="N1111">
        <v>29</v>
      </c>
      <c r="O1111">
        <v>5.98</v>
      </c>
      <c r="P1111">
        <v>39.159999999999997</v>
      </c>
      <c r="Q1111">
        <f t="shared" si="170"/>
        <v>2025</v>
      </c>
      <c r="R1111">
        <f t="shared" si="171"/>
        <v>5</v>
      </c>
      <c r="S1111">
        <f t="shared" si="172"/>
        <v>2025</v>
      </c>
      <c r="T1111">
        <f t="shared" si="173"/>
        <v>2</v>
      </c>
      <c r="U1111" t="str">
        <f t="shared" si="174"/>
        <v>02</v>
      </c>
      <c r="V1111" t="str">
        <f t="shared" si="175"/>
        <v>202502</v>
      </c>
      <c r="W1111" t="str">
        <f t="shared" si="176"/>
        <v>May-25</v>
      </c>
      <c r="X1111" s="3">
        <f t="shared" si="177"/>
        <v>-11772.91</v>
      </c>
      <c r="Y1111" t="str">
        <f t="shared" si="178"/>
        <v/>
      </c>
      <c r="Z1111">
        <f t="shared" si="179"/>
        <v>-11772.91</v>
      </c>
    </row>
    <row r="1112" spans="1:26" x14ac:dyDescent="0.25">
      <c r="A1112" s="1">
        <v>45779</v>
      </c>
      <c r="B1112" t="s">
        <v>1499</v>
      </c>
      <c r="C1112" t="s">
        <v>17</v>
      </c>
      <c r="D1112" t="s">
        <v>18</v>
      </c>
      <c r="E1112">
        <v>150</v>
      </c>
      <c r="F1112">
        <v>0</v>
      </c>
      <c r="G1112">
        <v>209.15</v>
      </c>
      <c r="H1112">
        <v>31372.5</v>
      </c>
      <c r="I1112" t="s">
        <v>1500</v>
      </c>
      <c r="J1112">
        <v>31.37</v>
      </c>
      <c r="K1112">
        <v>11.15</v>
      </c>
      <c r="L1112">
        <v>0</v>
      </c>
      <c r="M1112">
        <v>0.03</v>
      </c>
      <c r="N1112">
        <v>58</v>
      </c>
      <c r="O1112">
        <v>12.46</v>
      </c>
      <c r="P1112">
        <v>113.01</v>
      </c>
      <c r="Q1112">
        <f t="shared" si="170"/>
        <v>2025</v>
      </c>
      <c r="R1112">
        <f t="shared" si="171"/>
        <v>5</v>
      </c>
      <c r="S1112">
        <f t="shared" si="172"/>
        <v>2025</v>
      </c>
      <c r="T1112">
        <f t="shared" si="173"/>
        <v>2</v>
      </c>
      <c r="U1112" t="str">
        <f t="shared" si="174"/>
        <v>02</v>
      </c>
      <c r="V1112" t="str">
        <f t="shared" si="175"/>
        <v>202502</v>
      </c>
      <c r="W1112" t="str">
        <f t="shared" si="176"/>
        <v>May-25</v>
      </c>
      <c r="X1112" s="3">
        <f t="shared" si="177"/>
        <v>31259.49</v>
      </c>
      <c r="Y1112">
        <f t="shared" si="178"/>
        <v>31259.49</v>
      </c>
      <c r="Z1112" t="str">
        <f t="shared" si="179"/>
        <v/>
      </c>
    </row>
    <row r="1113" spans="1:26" x14ac:dyDescent="0.25">
      <c r="A1113" s="1">
        <v>45779</v>
      </c>
      <c r="B1113" t="s">
        <v>1499</v>
      </c>
      <c r="C1113" t="s">
        <v>17</v>
      </c>
      <c r="D1113" t="s">
        <v>22</v>
      </c>
      <c r="E1113">
        <v>75</v>
      </c>
      <c r="F1113">
        <v>0</v>
      </c>
      <c r="G1113">
        <v>203</v>
      </c>
      <c r="H1113">
        <v>15225</v>
      </c>
      <c r="I1113" t="s">
        <v>1501</v>
      </c>
      <c r="J1113">
        <v>0</v>
      </c>
      <c r="K1113">
        <v>5.41</v>
      </c>
      <c r="L1113">
        <v>0</v>
      </c>
      <c r="M1113">
        <v>0.02</v>
      </c>
      <c r="N1113">
        <v>29</v>
      </c>
      <c r="O1113">
        <v>6.2</v>
      </c>
      <c r="P1113">
        <v>40.630000000000003</v>
      </c>
      <c r="Q1113">
        <f t="shared" si="170"/>
        <v>2025</v>
      </c>
      <c r="R1113">
        <f t="shared" si="171"/>
        <v>5</v>
      </c>
      <c r="S1113">
        <f t="shared" si="172"/>
        <v>2025</v>
      </c>
      <c r="T1113">
        <f t="shared" si="173"/>
        <v>2</v>
      </c>
      <c r="U1113" t="str">
        <f t="shared" si="174"/>
        <v>02</v>
      </c>
      <c r="V1113" t="str">
        <f t="shared" si="175"/>
        <v>202502</v>
      </c>
      <c r="W1113" t="str">
        <f t="shared" si="176"/>
        <v>May-25</v>
      </c>
      <c r="X1113" s="3">
        <f t="shared" si="177"/>
        <v>-15265.63</v>
      </c>
      <c r="Y1113" t="str">
        <f t="shared" si="178"/>
        <v/>
      </c>
      <c r="Z1113">
        <f t="shared" si="179"/>
        <v>-15265.63</v>
      </c>
    </row>
    <row r="1114" spans="1:26" x14ac:dyDescent="0.25">
      <c r="A1114" s="1">
        <v>45779</v>
      </c>
      <c r="B1114" t="s">
        <v>1499</v>
      </c>
      <c r="C1114" t="s">
        <v>17</v>
      </c>
      <c r="D1114" t="s">
        <v>22</v>
      </c>
      <c r="E1114">
        <v>75</v>
      </c>
      <c r="F1114">
        <v>0</v>
      </c>
      <c r="G1114">
        <v>199.6</v>
      </c>
      <c r="H1114">
        <v>14970</v>
      </c>
      <c r="I1114" t="s">
        <v>1502</v>
      </c>
      <c r="J1114">
        <v>0</v>
      </c>
      <c r="K1114">
        <v>5.32</v>
      </c>
      <c r="L1114">
        <v>0.91</v>
      </c>
      <c r="M1114">
        <v>0.01</v>
      </c>
      <c r="N1114">
        <v>29</v>
      </c>
      <c r="O1114">
        <v>6.18</v>
      </c>
      <c r="P1114">
        <v>41.42</v>
      </c>
      <c r="Q1114">
        <f t="shared" si="170"/>
        <v>2025</v>
      </c>
      <c r="R1114">
        <f t="shared" si="171"/>
        <v>5</v>
      </c>
      <c r="S1114">
        <f t="shared" si="172"/>
        <v>2025</v>
      </c>
      <c r="T1114">
        <f t="shared" si="173"/>
        <v>2</v>
      </c>
      <c r="U1114" t="str">
        <f t="shared" si="174"/>
        <v>02</v>
      </c>
      <c r="V1114" t="str">
        <f t="shared" si="175"/>
        <v>202502</v>
      </c>
      <c r="W1114" t="str">
        <f t="shared" si="176"/>
        <v>May-25</v>
      </c>
      <c r="X1114" s="3">
        <f t="shared" si="177"/>
        <v>-15011.42</v>
      </c>
      <c r="Y1114" t="str">
        <f t="shared" si="178"/>
        <v/>
      </c>
      <c r="Z1114">
        <f t="shared" si="179"/>
        <v>-15011.42</v>
      </c>
    </row>
    <row r="1115" spans="1:26" x14ac:dyDescent="0.25">
      <c r="A1115" s="1">
        <v>45779</v>
      </c>
      <c r="B1115" t="s">
        <v>1494</v>
      </c>
      <c r="C1115" t="s">
        <v>17</v>
      </c>
      <c r="D1115" t="s">
        <v>18</v>
      </c>
      <c r="E1115">
        <v>150</v>
      </c>
      <c r="F1115">
        <v>0</v>
      </c>
      <c r="G1115">
        <v>217.25</v>
      </c>
      <c r="H1115">
        <v>32587.5</v>
      </c>
      <c r="I1115" t="s">
        <v>1503</v>
      </c>
      <c r="J1115">
        <v>32.58</v>
      </c>
      <c r="K1115">
        <v>11.58</v>
      </c>
      <c r="L1115">
        <v>0</v>
      </c>
      <c r="M1115">
        <v>0.04</v>
      </c>
      <c r="N1115">
        <v>58</v>
      </c>
      <c r="O1115">
        <v>12.52</v>
      </c>
      <c r="P1115">
        <v>114.72</v>
      </c>
      <c r="Q1115">
        <f t="shared" si="170"/>
        <v>2025</v>
      </c>
      <c r="R1115">
        <f t="shared" si="171"/>
        <v>5</v>
      </c>
      <c r="S1115">
        <f t="shared" si="172"/>
        <v>2025</v>
      </c>
      <c r="T1115">
        <f t="shared" si="173"/>
        <v>2</v>
      </c>
      <c r="U1115" t="str">
        <f t="shared" si="174"/>
        <v>02</v>
      </c>
      <c r="V1115" t="str">
        <f t="shared" si="175"/>
        <v>202502</v>
      </c>
      <c r="W1115" t="str">
        <f t="shared" si="176"/>
        <v>May-25</v>
      </c>
      <c r="X1115" s="3">
        <f t="shared" si="177"/>
        <v>32472.78</v>
      </c>
      <c r="Y1115">
        <f t="shared" si="178"/>
        <v>32472.78</v>
      </c>
      <c r="Z1115" t="str">
        <f t="shared" si="179"/>
        <v/>
      </c>
    </row>
    <row r="1116" spans="1:26" x14ac:dyDescent="0.25">
      <c r="A1116" s="1">
        <v>45779</v>
      </c>
      <c r="B1116" t="s">
        <v>1494</v>
      </c>
      <c r="C1116" t="s">
        <v>17</v>
      </c>
      <c r="D1116" t="s">
        <v>22</v>
      </c>
      <c r="E1116">
        <v>150</v>
      </c>
      <c r="F1116">
        <v>0</v>
      </c>
      <c r="G1116">
        <v>204</v>
      </c>
      <c r="H1116">
        <v>30600</v>
      </c>
      <c r="I1116" t="s">
        <v>1504</v>
      </c>
      <c r="J1116">
        <v>0</v>
      </c>
      <c r="K1116">
        <v>10.88</v>
      </c>
      <c r="L1116">
        <v>0</v>
      </c>
      <c r="M1116">
        <v>0.04</v>
      </c>
      <c r="N1116">
        <v>58</v>
      </c>
      <c r="O1116">
        <v>12.4</v>
      </c>
      <c r="P1116">
        <v>81.319999999999993</v>
      </c>
      <c r="Q1116">
        <f t="shared" ref="Q1116:Q1179" si="180">YEAR(A1116)</f>
        <v>2025</v>
      </c>
      <c r="R1116">
        <f t="shared" ref="R1116:R1179" si="181">MONTH(A1116)</f>
        <v>5</v>
      </c>
      <c r="S1116">
        <f t="shared" ref="S1116:S1179" si="182">IF(R1116&lt;4,Q1116-1,Q1116)</f>
        <v>2025</v>
      </c>
      <c r="T1116">
        <f t="shared" ref="T1116:T1179" si="183">IF(R1116&lt;4,R1116+9,R1116-3)</f>
        <v>2</v>
      </c>
      <c r="U1116" t="str">
        <f t="shared" ref="U1116:U1179" si="184">IF(LEN(T1116)=1,_xlfn.CONCAT(0,T1116),T1116)</f>
        <v>02</v>
      </c>
      <c r="V1116" t="str">
        <f t="shared" ref="V1116:V1179" si="185">_xlfn.CONCAT(S1116,U1116)</f>
        <v>202502</v>
      </c>
      <c r="W1116" t="str">
        <f t="shared" ref="W1116:W1179" si="186">_xlfn.CONCAT(TEXT(A1116,"MMM"),"-",MID(Q1116,3,2))</f>
        <v>May-25</v>
      </c>
      <c r="X1116" s="3">
        <f t="shared" ref="X1116:X1179" si="187">IFERROR(IF(D1116="Sell",(H1116-P1116),-(H1116+P1116)),0)</f>
        <v>-30681.32</v>
      </c>
      <c r="Y1116" t="str">
        <f t="shared" si="178"/>
        <v/>
      </c>
      <c r="Z1116">
        <f t="shared" si="179"/>
        <v>-30681.32</v>
      </c>
    </row>
    <row r="1117" spans="1:26" x14ac:dyDescent="0.25">
      <c r="A1117" s="1">
        <v>45779</v>
      </c>
      <c r="B1117" t="s">
        <v>1505</v>
      </c>
      <c r="C1117" t="s">
        <v>17</v>
      </c>
      <c r="D1117" t="s">
        <v>18</v>
      </c>
      <c r="E1117">
        <v>150</v>
      </c>
      <c r="F1117">
        <v>0</v>
      </c>
      <c r="G1117">
        <v>215.45</v>
      </c>
      <c r="H1117">
        <v>32317.5</v>
      </c>
      <c r="I1117" t="s">
        <v>1506</v>
      </c>
      <c r="J1117">
        <v>32.32</v>
      </c>
      <c r="K1117">
        <v>11.48</v>
      </c>
      <c r="L1117">
        <v>0</v>
      </c>
      <c r="M1117">
        <v>0.04</v>
      </c>
      <c r="N1117">
        <v>58</v>
      </c>
      <c r="O1117">
        <v>12.52</v>
      </c>
      <c r="P1117">
        <v>114.36</v>
      </c>
      <c r="Q1117">
        <f t="shared" si="180"/>
        <v>2025</v>
      </c>
      <c r="R1117">
        <f t="shared" si="181"/>
        <v>5</v>
      </c>
      <c r="S1117">
        <f t="shared" si="182"/>
        <v>2025</v>
      </c>
      <c r="T1117">
        <f t="shared" si="183"/>
        <v>2</v>
      </c>
      <c r="U1117" t="str">
        <f t="shared" si="184"/>
        <v>02</v>
      </c>
      <c r="V1117" t="str">
        <f t="shared" si="185"/>
        <v>202502</v>
      </c>
      <c r="W1117" t="str">
        <f t="shared" si="186"/>
        <v>May-25</v>
      </c>
      <c r="X1117" s="3">
        <f t="shared" si="187"/>
        <v>32203.14</v>
      </c>
      <c r="Y1117">
        <f t="shared" si="178"/>
        <v>32203.14</v>
      </c>
      <c r="Z1117" t="str">
        <f t="shared" si="179"/>
        <v/>
      </c>
    </row>
    <row r="1118" spans="1:26" x14ac:dyDescent="0.25">
      <c r="A1118" s="1">
        <v>45779</v>
      </c>
      <c r="B1118" t="s">
        <v>1505</v>
      </c>
      <c r="C1118" t="s">
        <v>17</v>
      </c>
      <c r="D1118" t="s">
        <v>22</v>
      </c>
      <c r="E1118">
        <v>150</v>
      </c>
      <c r="F1118">
        <v>0</v>
      </c>
      <c r="G1118">
        <v>203.3</v>
      </c>
      <c r="H1118">
        <v>30495</v>
      </c>
      <c r="I1118" t="s">
        <v>1507</v>
      </c>
      <c r="J1118">
        <v>0</v>
      </c>
      <c r="K1118">
        <v>10.84</v>
      </c>
      <c r="L1118">
        <v>0</v>
      </c>
      <c r="M1118">
        <v>0.04</v>
      </c>
      <c r="N1118">
        <v>58</v>
      </c>
      <c r="O1118">
        <v>12.4</v>
      </c>
      <c r="P1118">
        <v>81.28</v>
      </c>
      <c r="Q1118">
        <f t="shared" si="180"/>
        <v>2025</v>
      </c>
      <c r="R1118">
        <f t="shared" si="181"/>
        <v>5</v>
      </c>
      <c r="S1118">
        <f t="shared" si="182"/>
        <v>2025</v>
      </c>
      <c r="T1118">
        <f t="shared" si="183"/>
        <v>2</v>
      </c>
      <c r="U1118" t="str">
        <f t="shared" si="184"/>
        <v>02</v>
      </c>
      <c r="V1118" t="str">
        <f t="shared" si="185"/>
        <v>202502</v>
      </c>
      <c r="W1118" t="str">
        <f t="shared" si="186"/>
        <v>May-25</v>
      </c>
      <c r="X1118" s="3">
        <f t="shared" si="187"/>
        <v>-30576.28</v>
      </c>
      <c r="Y1118" t="str">
        <f t="shared" si="178"/>
        <v/>
      </c>
      <c r="Z1118">
        <f t="shared" si="179"/>
        <v>-30576.28</v>
      </c>
    </row>
    <row r="1119" spans="1:26" x14ac:dyDescent="0.25">
      <c r="A1119" s="1">
        <v>45779</v>
      </c>
      <c r="B1119" t="s">
        <v>1508</v>
      </c>
      <c r="C1119" t="s">
        <v>17</v>
      </c>
      <c r="D1119" t="s">
        <v>18</v>
      </c>
      <c r="E1119">
        <v>75</v>
      </c>
      <c r="F1119">
        <v>0</v>
      </c>
      <c r="G1119">
        <v>204.55</v>
      </c>
      <c r="H1119">
        <v>15341.25</v>
      </c>
      <c r="I1119" t="s">
        <v>1509</v>
      </c>
      <c r="J1119">
        <v>15.34</v>
      </c>
      <c r="K1119">
        <v>5.45</v>
      </c>
      <c r="L1119">
        <v>0</v>
      </c>
      <c r="M1119">
        <v>0.02</v>
      </c>
      <c r="N1119">
        <v>29</v>
      </c>
      <c r="O1119">
        <v>6.2</v>
      </c>
      <c r="P1119">
        <v>56.01</v>
      </c>
      <c r="Q1119">
        <f t="shared" si="180"/>
        <v>2025</v>
      </c>
      <c r="R1119">
        <f t="shared" si="181"/>
        <v>5</v>
      </c>
      <c r="S1119">
        <f t="shared" si="182"/>
        <v>2025</v>
      </c>
      <c r="T1119">
        <f t="shared" si="183"/>
        <v>2</v>
      </c>
      <c r="U1119" t="str">
        <f t="shared" si="184"/>
        <v>02</v>
      </c>
      <c r="V1119" t="str">
        <f t="shared" si="185"/>
        <v>202502</v>
      </c>
      <c r="W1119" t="str">
        <f t="shared" si="186"/>
        <v>May-25</v>
      </c>
      <c r="X1119" s="3">
        <f t="shared" si="187"/>
        <v>15285.24</v>
      </c>
      <c r="Y1119">
        <f t="shared" si="178"/>
        <v>15285.24</v>
      </c>
      <c r="Z1119" t="str">
        <f t="shared" si="179"/>
        <v/>
      </c>
    </row>
    <row r="1120" spans="1:26" x14ac:dyDescent="0.25">
      <c r="A1120" s="1">
        <v>45779</v>
      </c>
      <c r="B1120" t="s">
        <v>1508</v>
      </c>
      <c r="C1120" t="s">
        <v>17</v>
      </c>
      <c r="D1120" t="s">
        <v>22</v>
      </c>
      <c r="E1120">
        <v>75</v>
      </c>
      <c r="F1120">
        <v>0</v>
      </c>
      <c r="G1120">
        <v>202.1</v>
      </c>
      <c r="H1120">
        <v>15157.5</v>
      </c>
      <c r="I1120" t="s">
        <v>1510</v>
      </c>
      <c r="J1120">
        <v>0</v>
      </c>
      <c r="K1120">
        <v>5.39</v>
      </c>
      <c r="L1120">
        <v>0.45</v>
      </c>
      <c r="M1120">
        <v>0.02</v>
      </c>
      <c r="N1120">
        <v>29</v>
      </c>
      <c r="O1120">
        <v>6.2</v>
      </c>
      <c r="P1120">
        <v>41.06</v>
      </c>
      <c r="Q1120">
        <f t="shared" si="180"/>
        <v>2025</v>
      </c>
      <c r="R1120">
        <f t="shared" si="181"/>
        <v>5</v>
      </c>
      <c r="S1120">
        <f t="shared" si="182"/>
        <v>2025</v>
      </c>
      <c r="T1120">
        <f t="shared" si="183"/>
        <v>2</v>
      </c>
      <c r="U1120" t="str">
        <f t="shared" si="184"/>
        <v>02</v>
      </c>
      <c r="V1120" t="str">
        <f t="shared" si="185"/>
        <v>202502</v>
      </c>
      <c r="W1120" t="str">
        <f t="shared" si="186"/>
        <v>May-25</v>
      </c>
      <c r="X1120" s="3">
        <f t="shared" si="187"/>
        <v>-15198.56</v>
      </c>
      <c r="Y1120" t="str">
        <f t="shared" si="178"/>
        <v/>
      </c>
      <c r="Z1120">
        <f t="shared" si="179"/>
        <v>-15198.56</v>
      </c>
    </row>
    <row r="1121" spans="1:26" x14ac:dyDescent="0.25">
      <c r="A1121" s="1">
        <v>45779</v>
      </c>
      <c r="B1121" t="s">
        <v>1505</v>
      </c>
      <c r="C1121" t="s">
        <v>17</v>
      </c>
      <c r="D1121" t="s">
        <v>18</v>
      </c>
      <c r="E1121">
        <v>75</v>
      </c>
      <c r="F1121">
        <v>0</v>
      </c>
      <c r="G1121">
        <v>159.25</v>
      </c>
      <c r="H1121">
        <v>11943.75</v>
      </c>
      <c r="I1121" t="s">
        <v>1511</v>
      </c>
      <c r="J1121">
        <v>11.94</v>
      </c>
      <c r="K1121">
        <v>4.24</v>
      </c>
      <c r="L1121">
        <v>0</v>
      </c>
      <c r="M1121">
        <v>0.01</v>
      </c>
      <c r="N1121">
        <v>29</v>
      </c>
      <c r="O1121">
        <v>5.98</v>
      </c>
      <c r="P1121">
        <v>51.17</v>
      </c>
      <c r="Q1121">
        <f t="shared" si="180"/>
        <v>2025</v>
      </c>
      <c r="R1121">
        <f t="shared" si="181"/>
        <v>5</v>
      </c>
      <c r="S1121">
        <f t="shared" si="182"/>
        <v>2025</v>
      </c>
      <c r="T1121">
        <f t="shared" si="183"/>
        <v>2</v>
      </c>
      <c r="U1121" t="str">
        <f t="shared" si="184"/>
        <v>02</v>
      </c>
      <c r="V1121" t="str">
        <f t="shared" si="185"/>
        <v>202502</v>
      </c>
      <c r="W1121" t="str">
        <f t="shared" si="186"/>
        <v>May-25</v>
      </c>
      <c r="X1121" s="3">
        <f t="shared" si="187"/>
        <v>11892.58</v>
      </c>
      <c r="Y1121">
        <f t="shared" si="178"/>
        <v>11892.58</v>
      </c>
      <c r="Z1121" t="str">
        <f t="shared" si="179"/>
        <v/>
      </c>
    </row>
    <row r="1122" spans="1:26" x14ac:dyDescent="0.25">
      <c r="A1122" s="1">
        <v>45779</v>
      </c>
      <c r="B1122" t="s">
        <v>1505</v>
      </c>
      <c r="C1122" t="s">
        <v>17</v>
      </c>
      <c r="D1122" t="s">
        <v>22</v>
      </c>
      <c r="E1122">
        <v>75</v>
      </c>
      <c r="F1122">
        <v>0</v>
      </c>
      <c r="G1122">
        <v>151.25</v>
      </c>
      <c r="H1122">
        <v>11343.75</v>
      </c>
      <c r="I1122" t="s">
        <v>1512</v>
      </c>
      <c r="J1122">
        <v>0</v>
      </c>
      <c r="K1122">
        <v>4.03</v>
      </c>
      <c r="L1122">
        <v>1.26</v>
      </c>
      <c r="M1122">
        <v>0.01</v>
      </c>
      <c r="N1122">
        <v>29</v>
      </c>
      <c r="O1122">
        <v>5.94</v>
      </c>
      <c r="P1122">
        <v>40.24</v>
      </c>
      <c r="Q1122">
        <f t="shared" si="180"/>
        <v>2025</v>
      </c>
      <c r="R1122">
        <f t="shared" si="181"/>
        <v>5</v>
      </c>
      <c r="S1122">
        <f t="shared" si="182"/>
        <v>2025</v>
      </c>
      <c r="T1122">
        <f t="shared" si="183"/>
        <v>2</v>
      </c>
      <c r="U1122" t="str">
        <f t="shared" si="184"/>
        <v>02</v>
      </c>
      <c r="V1122" t="str">
        <f t="shared" si="185"/>
        <v>202502</v>
      </c>
      <c r="W1122" t="str">
        <f t="shared" si="186"/>
        <v>May-25</v>
      </c>
      <c r="X1122" s="3">
        <f t="shared" si="187"/>
        <v>-11383.99</v>
      </c>
      <c r="Y1122" t="str">
        <f t="shared" si="178"/>
        <v/>
      </c>
      <c r="Z1122">
        <f t="shared" si="179"/>
        <v>-11383.99</v>
      </c>
    </row>
    <row r="1123" spans="1:26" x14ac:dyDescent="0.25">
      <c r="A1123" s="1">
        <v>45779</v>
      </c>
      <c r="B1123" t="s">
        <v>1513</v>
      </c>
      <c r="C1123" t="s">
        <v>17</v>
      </c>
      <c r="D1123" t="s">
        <v>18</v>
      </c>
      <c r="E1123">
        <v>150</v>
      </c>
      <c r="F1123">
        <v>0</v>
      </c>
      <c r="G1123">
        <v>227.25</v>
      </c>
      <c r="H1123">
        <v>34087.5</v>
      </c>
      <c r="I1123" t="s">
        <v>1514</v>
      </c>
      <c r="J1123">
        <v>34.549999999999997</v>
      </c>
      <c r="K1123">
        <v>12.11</v>
      </c>
      <c r="L1123">
        <v>0</v>
      </c>
      <c r="M1123">
        <v>0.03</v>
      </c>
      <c r="N1123">
        <v>58</v>
      </c>
      <c r="O1123">
        <v>12.62</v>
      </c>
      <c r="P1123">
        <v>117.31</v>
      </c>
      <c r="Q1123">
        <f t="shared" si="180"/>
        <v>2025</v>
      </c>
      <c r="R1123">
        <f t="shared" si="181"/>
        <v>5</v>
      </c>
      <c r="S1123">
        <f t="shared" si="182"/>
        <v>2025</v>
      </c>
      <c r="T1123">
        <f t="shared" si="183"/>
        <v>2</v>
      </c>
      <c r="U1123" t="str">
        <f t="shared" si="184"/>
        <v>02</v>
      </c>
      <c r="V1123" t="str">
        <f t="shared" si="185"/>
        <v>202502</v>
      </c>
      <c r="W1123" t="str">
        <f t="shared" si="186"/>
        <v>May-25</v>
      </c>
      <c r="X1123" s="3">
        <f t="shared" si="187"/>
        <v>33970.19</v>
      </c>
      <c r="Y1123">
        <f t="shared" si="178"/>
        <v>33970.19</v>
      </c>
      <c r="Z1123" t="str">
        <f t="shared" si="179"/>
        <v/>
      </c>
    </row>
    <row r="1124" spans="1:26" x14ac:dyDescent="0.25">
      <c r="A1124" s="1">
        <v>45779</v>
      </c>
      <c r="B1124" t="s">
        <v>1513</v>
      </c>
      <c r="C1124" t="s">
        <v>17</v>
      </c>
      <c r="D1124" t="s">
        <v>22</v>
      </c>
      <c r="E1124">
        <v>150</v>
      </c>
      <c r="F1124">
        <v>0</v>
      </c>
      <c r="G1124">
        <v>208.78</v>
      </c>
      <c r="H1124">
        <v>31316.25</v>
      </c>
      <c r="I1124" t="s">
        <v>1515</v>
      </c>
      <c r="J1124">
        <v>0</v>
      </c>
      <c r="K1124">
        <v>11.12</v>
      </c>
      <c r="L1124">
        <v>0.94</v>
      </c>
      <c r="M1124">
        <v>0.04</v>
      </c>
      <c r="N1124">
        <v>58</v>
      </c>
      <c r="O1124">
        <v>12.44</v>
      </c>
      <c r="P1124">
        <v>82.54</v>
      </c>
      <c r="Q1124">
        <f t="shared" si="180"/>
        <v>2025</v>
      </c>
      <c r="R1124">
        <f t="shared" si="181"/>
        <v>5</v>
      </c>
      <c r="S1124">
        <f t="shared" si="182"/>
        <v>2025</v>
      </c>
      <c r="T1124">
        <f t="shared" si="183"/>
        <v>2</v>
      </c>
      <c r="U1124" t="str">
        <f t="shared" si="184"/>
        <v>02</v>
      </c>
      <c r="V1124" t="str">
        <f t="shared" si="185"/>
        <v>202502</v>
      </c>
      <c r="W1124" t="str">
        <f t="shared" si="186"/>
        <v>May-25</v>
      </c>
      <c r="X1124" s="3">
        <f t="shared" si="187"/>
        <v>-31398.79</v>
      </c>
      <c r="Y1124" t="str">
        <f t="shared" si="178"/>
        <v/>
      </c>
      <c r="Z1124">
        <f t="shared" si="179"/>
        <v>-31398.79</v>
      </c>
    </row>
    <row r="1125" spans="1:26" x14ac:dyDescent="0.25">
      <c r="A1125" s="1">
        <v>45784</v>
      </c>
      <c r="B1125" t="s">
        <v>1516</v>
      </c>
      <c r="C1125" t="s">
        <v>17</v>
      </c>
      <c r="D1125" t="s">
        <v>18</v>
      </c>
      <c r="E1125">
        <v>150</v>
      </c>
      <c r="F1125">
        <v>0</v>
      </c>
      <c r="G1125">
        <v>103.45</v>
      </c>
      <c r="H1125">
        <v>15517.5</v>
      </c>
      <c r="I1125" t="s">
        <v>1517</v>
      </c>
      <c r="J1125">
        <v>15.52</v>
      </c>
      <c r="K1125">
        <v>5.51</v>
      </c>
      <c r="L1125">
        <v>0</v>
      </c>
      <c r="M1125">
        <v>0.02</v>
      </c>
      <c r="N1125">
        <v>58</v>
      </c>
      <c r="O1125">
        <v>11.44</v>
      </c>
      <c r="P1125">
        <v>90.49</v>
      </c>
      <c r="Q1125">
        <f t="shared" si="180"/>
        <v>2025</v>
      </c>
      <c r="R1125">
        <f t="shared" si="181"/>
        <v>5</v>
      </c>
      <c r="S1125">
        <f t="shared" si="182"/>
        <v>2025</v>
      </c>
      <c r="T1125">
        <f t="shared" si="183"/>
        <v>2</v>
      </c>
      <c r="U1125" t="str">
        <f t="shared" si="184"/>
        <v>02</v>
      </c>
      <c r="V1125" t="str">
        <f t="shared" si="185"/>
        <v>202502</v>
      </c>
      <c r="W1125" t="str">
        <f t="shared" si="186"/>
        <v>May-25</v>
      </c>
      <c r="X1125" s="3">
        <f t="shared" si="187"/>
        <v>15427.01</v>
      </c>
      <c r="Y1125">
        <f t="shared" si="178"/>
        <v>15427.01</v>
      </c>
      <c r="Z1125" t="str">
        <f t="shared" si="179"/>
        <v/>
      </c>
    </row>
    <row r="1126" spans="1:26" x14ac:dyDescent="0.25">
      <c r="A1126" s="1">
        <v>45784</v>
      </c>
      <c r="B1126" t="s">
        <v>1516</v>
      </c>
      <c r="C1126" t="s">
        <v>17</v>
      </c>
      <c r="D1126" t="s">
        <v>22</v>
      </c>
      <c r="E1126">
        <v>150</v>
      </c>
      <c r="F1126">
        <v>0</v>
      </c>
      <c r="G1126">
        <v>99.75</v>
      </c>
      <c r="H1126">
        <v>14962.5</v>
      </c>
      <c r="I1126" t="s">
        <v>1518</v>
      </c>
      <c r="J1126">
        <v>0</v>
      </c>
      <c r="K1126">
        <v>5.32</v>
      </c>
      <c r="L1126">
        <v>0</v>
      </c>
      <c r="M1126">
        <v>0.01</v>
      </c>
      <c r="N1126">
        <v>58</v>
      </c>
      <c r="O1126">
        <v>11.4</v>
      </c>
      <c r="P1126">
        <v>74.73</v>
      </c>
      <c r="Q1126">
        <f t="shared" si="180"/>
        <v>2025</v>
      </c>
      <c r="R1126">
        <f t="shared" si="181"/>
        <v>5</v>
      </c>
      <c r="S1126">
        <f t="shared" si="182"/>
        <v>2025</v>
      </c>
      <c r="T1126">
        <f t="shared" si="183"/>
        <v>2</v>
      </c>
      <c r="U1126" t="str">
        <f t="shared" si="184"/>
        <v>02</v>
      </c>
      <c r="V1126" t="str">
        <f t="shared" si="185"/>
        <v>202502</v>
      </c>
      <c r="W1126" t="str">
        <f t="shared" si="186"/>
        <v>May-25</v>
      </c>
      <c r="X1126" s="3">
        <f t="shared" si="187"/>
        <v>-15037.23</v>
      </c>
      <c r="Y1126" t="str">
        <f t="shared" si="178"/>
        <v/>
      </c>
      <c r="Z1126">
        <f t="shared" si="179"/>
        <v>-15037.23</v>
      </c>
    </row>
    <row r="1127" spans="1:26" x14ac:dyDescent="0.25">
      <c r="A1127" s="1">
        <v>45784</v>
      </c>
      <c r="B1127" t="s">
        <v>1516</v>
      </c>
      <c r="C1127" t="s">
        <v>17</v>
      </c>
      <c r="D1127" t="s">
        <v>18</v>
      </c>
      <c r="E1127">
        <v>150</v>
      </c>
      <c r="F1127">
        <v>0</v>
      </c>
      <c r="G1127">
        <v>91.4</v>
      </c>
      <c r="H1127">
        <v>13710</v>
      </c>
      <c r="I1127" t="s">
        <v>1519</v>
      </c>
      <c r="J1127">
        <v>13.72</v>
      </c>
      <c r="K1127">
        <v>4.88</v>
      </c>
      <c r="L1127">
        <v>0</v>
      </c>
      <c r="M1127">
        <v>0.02</v>
      </c>
      <c r="N1127">
        <v>58</v>
      </c>
      <c r="O1127">
        <v>11.32</v>
      </c>
      <c r="P1127">
        <v>87.94</v>
      </c>
      <c r="Q1127">
        <f t="shared" si="180"/>
        <v>2025</v>
      </c>
      <c r="R1127">
        <f t="shared" si="181"/>
        <v>5</v>
      </c>
      <c r="S1127">
        <f t="shared" si="182"/>
        <v>2025</v>
      </c>
      <c r="T1127">
        <f t="shared" si="183"/>
        <v>2</v>
      </c>
      <c r="U1127" t="str">
        <f t="shared" si="184"/>
        <v>02</v>
      </c>
      <c r="V1127" t="str">
        <f t="shared" si="185"/>
        <v>202502</v>
      </c>
      <c r="W1127" t="str">
        <f t="shared" si="186"/>
        <v>May-25</v>
      </c>
      <c r="X1127" s="3">
        <f t="shared" si="187"/>
        <v>13622.06</v>
      </c>
      <c r="Y1127">
        <f t="shared" si="178"/>
        <v>13622.06</v>
      </c>
      <c r="Z1127" t="str">
        <f t="shared" si="179"/>
        <v/>
      </c>
    </row>
    <row r="1128" spans="1:26" x14ac:dyDescent="0.25">
      <c r="A1128" s="1">
        <v>45784</v>
      </c>
      <c r="B1128" t="s">
        <v>1516</v>
      </c>
      <c r="C1128" t="s">
        <v>17</v>
      </c>
      <c r="D1128" t="s">
        <v>22</v>
      </c>
      <c r="E1128">
        <v>150</v>
      </c>
      <c r="F1128">
        <v>0</v>
      </c>
      <c r="G1128">
        <v>91.6</v>
      </c>
      <c r="H1128">
        <v>13740</v>
      </c>
      <c r="I1128" t="s">
        <v>1520</v>
      </c>
      <c r="J1128">
        <v>0</v>
      </c>
      <c r="K1128">
        <v>4.88</v>
      </c>
      <c r="L1128">
        <v>1</v>
      </c>
      <c r="M1128">
        <v>0.01</v>
      </c>
      <c r="N1128">
        <v>58</v>
      </c>
      <c r="O1128">
        <v>11.32</v>
      </c>
      <c r="P1128">
        <v>75.209999999999994</v>
      </c>
      <c r="Q1128">
        <f t="shared" si="180"/>
        <v>2025</v>
      </c>
      <c r="R1128">
        <f t="shared" si="181"/>
        <v>5</v>
      </c>
      <c r="S1128">
        <f t="shared" si="182"/>
        <v>2025</v>
      </c>
      <c r="T1128">
        <f t="shared" si="183"/>
        <v>2</v>
      </c>
      <c r="U1128" t="str">
        <f t="shared" si="184"/>
        <v>02</v>
      </c>
      <c r="V1128" t="str">
        <f t="shared" si="185"/>
        <v>202502</v>
      </c>
      <c r="W1128" t="str">
        <f t="shared" si="186"/>
        <v>May-25</v>
      </c>
      <c r="X1128" s="3">
        <f t="shared" si="187"/>
        <v>-13815.21</v>
      </c>
      <c r="Y1128" t="str">
        <f t="shared" si="178"/>
        <v/>
      </c>
      <c r="Z1128">
        <f t="shared" si="179"/>
        <v>-13815.21</v>
      </c>
    </row>
    <row r="1129" spans="1:26" x14ac:dyDescent="0.25">
      <c r="A1129" s="1">
        <v>45784</v>
      </c>
      <c r="B1129" t="s">
        <v>1516</v>
      </c>
      <c r="C1129" t="s">
        <v>17</v>
      </c>
      <c r="D1129" t="s">
        <v>18</v>
      </c>
      <c r="E1129">
        <v>150</v>
      </c>
      <c r="F1129">
        <v>0</v>
      </c>
      <c r="G1129">
        <v>78.05</v>
      </c>
      <c r="H1129">
        <v>11707.5</v>
      </c>
      <c r="I1129" t="s">
        <v>1521</v>
      </c>
      <c r="J1129">
        <v>11.77</v>
      </c>
      <c r="K1129">
        <v>4.16</v>
      </c>
      <c r="L1129">
        <v>0</v>
      </c>
      <c r="M1129">
        <v>0.02</v>
      </c>
      <c r="N1129">
        <v>58</v>
      </c>
      <c r="O1129">
        <v>11.2</v>
      </c>
      <c r="P1129">
        <v>85.15</v>
      </c>
      <c r="Q1129">
        <f t="shared" si="180"/>
        <v>2025</v>
      </c>
      <c r="R1129">
        <f t="shared" si="181"/>
        <v>5</v>
      </c>
      <c r="S1129">
        <f t="shared" si="182"/>
        <v>2025</v>
      </c>
      <c r="T1129">
        <f t="shared" si="183"/>
        <v>2</v>
      </c>
      <c r="U1129" t="str">
        <f t="shared" si="184"/>
        <v>02</v>
      </c>
      <c r="V1129" t="str">
        <f t="shared" si="185"/>
        <v>202502</v>
      </c>
      <c r="W1129" t="str">
        <f t="shared" si="186"/>
        <v>May-25</v>
      </c>
      <c r="X1129" s="3">
        <f t="shared" si="187"/>
        <v>11622.35</v>
      </c>
      <c r="Y1129">
        <f t="shared" si="178"/>
        <v>11622.35</v>
      </c>
      <c r="Z1129" t="str">
        <f t="shared" si="179"/>
        <v/>
      </c>
    </row>
    <row r="1130" spans="1:26" x14ac:dyDescent="0.25">
      <c r="A1130" s="1">
        <v>45784</v>
      </c>
      <c r="B1130" t="s">
        <v>1516</v>
      </c>
      <c r="C1130" t="s">
        <v>17</v>
      </c>
      <c r="D1130" t="s">
        <v>22</v>
      </c>
      <c r="E1130">
        <v>75</v>
      </c>
      <c r="F1130">
        <v>0</v>
      </c>
      <c r="G1130">
        <v>85.2</v>
      </c>
      <c r="H1130">
        <v>6390</v>
      </c>
      <c r="I1130" t="s">
        <v>1522</v>
      </c>
      <c r="J1130">
        <v>0</v>
      </c>
      <c r="K1130">
        <v>2.27</v>
      </c>
      <c r="L1130">
        <v>0</v>
      </c>
      <c r="M1130">
        <v>0.01</v>
      </c>
      <c r="N1130">
        <v>29</v>
      </c>
      <c r="O1130">
        <v>5.64</v>
      </c>
      <c r="P1130">
        <v>36.92</v>
      </c>
      <c r="Q1130">
        <f t="shared" si="180"/>
        <v>2025</v>
      </c>
      <c r="R1130">
        <f t="shared" si="181"/>
        <v>5</v>
      </c>
      <c r="S1130">
        <f t="shared" si="182"/>
        <v>2025</v>
      </c>
      <c r="T1130">
        <f t="shared" si="183"/>
        <v>2</v>
      </c>
      <c r="U1130" t="str">
        <f t="shared" si="184"/>
        <v>02</v>
      </c>
      <c r="V1130" t="str">
        <f t="shared" si="185"/>
        <v>202502</v>
      </c>
      <c r="W1130" t="str">
        <f t="shared" si="186"/>
        <v>May-25</v>
      </c>
      <c r="X1130" s="3">
        <f t="shared" si="187"/>
        <v>-6426.92</v>
      </c>
      <c r="Y1130" t="str">
        <f t="shared" si="178"/>
        <v/>
      </c>
      <c r="Z1130">
        <f t="shared" si="179"/>
        <v>-6426.92</v>
      </c>
    </row>
    <row r="1131" spans="1:26" x14ac:dyDescent="0.25">
      <c r="A1131" s="1">
        <v>45784</v>
      </c>
      <c r="B1131" t="s">
        <v>1516</v>
      </c>
      <c r="C1131" t="s">
        <v>17</v>
      </c>
      <c r="D1131" t="s">
        <v>22</v>
      </c>
      <c r="E1131">
        <v>75</v>
      </c>
      <c r="F1131">
        <v>0</v>
      </c>
      <c r="G1131">
        <v>118</v>
      </c>
      <c r="H1131">
        <v>8850</v>
      </c>
      <c r="I1131" t="s">
        <v>1523</v>
      </c>
      <c r="J1131">
        <v>0</v>
      </c>
      <c r="K1131">
        <v>3.14</v>
      </c>
      <c r="L1131">
        <v>0</v>
      </c>
      <c r="M1131">
        <v>0.01</v>
      </c>
      <c r="N1131">
        <v>29</v>
      </c>
      <c r="O1131">
        <v>5.78</v>
      </c>
      <c r="P1131">
        <v>37.93</v>
      </c>
      <c r="Q1131">
        <f t="shared" si="180"/>
        <v>2025</v>
      </c>
      <c r="R1131">
        <f t="shared" si="181"/>
        <v>5</v>
      </c>
      <c r="S1131">
        <f t="shared" si="182"/>
        <v>2025</v>
      </c>
      <c r="T1131">
        <f t="shared" si="183"/>
        <v>2</v>
      </c>
      <c r="U1131" t="str">
        <f t="shared" si="184"/>
        <v>02</v>
      </c>
      <c r="V1131" t="str">
        <f t="shared" si="185"/>
        <v>202502</v>
      </c>
      <c r="W1131" t="str">
        <f t="shared" si="186"/>
        <v>May-25</v>
      </c>
      <c r="X1131" s="3">
        <f t="shared" si="187"/>
        <v>-8887.93</v>
      </c>
      <c r="Y1131" t="str">
        <f t="shared" si="178"/>
        <v/>
      </c>
      <c r="Z1131">
        <f t="shared" si="179"/>
        <v>-8887.93</v>
      </c>
    </row>
    <row r="1132" spans="1:26" x14ac:dyDescent="0.25">
      <c r="A1132" s="1">
        <v>45785</v>
      </c>
      <c r="B1132" t="s">
        <v>1524</v>
      </c>
      <c r="C1132" t="s">
        <v>17</v>
      </c>
      <c r="D1132" t="s">
        <v>18</v>
      </c>
      <c r="E1132">
        <v>225</v>
      </c>
      <c r="F1132">
        <v>0</v>
      </c>
      <c r="G1132">
        <v>10.199999999999999</v>
      </c>
      <c r="H1132">
        <v>2295</v>
      </c>
      <c r="I1132" t="s">
        <v>1525</v>
      </c>
      <c r="J1132">
        <v>2.2999999999999998</v>
      </c>
      <c r="K1132">
        <v>0.81</v>
      </c>
      <c r="L1132">
        <v>0</v>
      </c>
      <c r="M1132">
        <v>0</v>
      </c>
      <c r="N1132">
        <v>87</v>
      </c>
      <c r="O1132">
        <v>15.8</v>
      </c>
      <c r="P1132">
        <v>105.91</v>
      </c>
      <c r="Q1132">
        <f t="shared" si="180"/>
        <v>2025</v>
      </c>
      <c r="R1132">
        <f t="shared" si="181"/>
        <v>5</v>
      </c>
      <c r="S1132">
        <f t="shared" si="182"/>
        <v>2025</v>
      </c>
      <c r="T1132">
        <f t="shared" si="183"/>
        <v>2</v>
      </c>
      <c r="U1132" t="str">
        <f t="shared" si="184"/>
        <v>02</v>
      </c>
      <c r="V1132" t="str">
        <f t="shared" si="185"/>
        <v>202502</v>
      </c>
      <c r="W1132" t="str">
        <f t="shared" si="186"/>
        <v>May-25</v>
      </c>
      <c r="X1132" s="3">
        <f t="shared" si="187"/>
        <v>2189.09</v>
      </c>
      <c r="Y1132">
        <f t="shared" si="178"/>
        <v>2189.09</v>
      </c>
      <c r="Z1132" t="str">
        <f t="shared" si="179"/>
        <v/>
      </c>
    </row>
    <row r="1133" spans="1:26" x14ac:dyDescent="0.25">
      <c r="A1133" s="1">
        <v>45785</v>
      </c>
      <c r="B1133" t="s">
        <v>1524</v>
      </c>
      <c r="C1133" t="s">
        <v>17</v>
      </c>
      <c r="D1133" t="s">
        <v>22</v>
      </c>
      <c r="E1133">
        <v>225</v>
      </c>
      <c r="F1133">
        <v>0</v>
      </c>
      <c r="G1133">
        <v>11.65</v>
      </c>
      <c r="H1133">
        <v>2621.25</v>
      </c>
      <c r="I1133" t="s">
        <v>1526</v>
      </c>
      <c r="J1133">
        <v>0</v>
      </c>
      <c r="K1133">
        <v>0.93</v>
      </c>
      <c r="L1133">
        <v>0</v>
      </c>
      <c r="M1133">
        <v>0</v>
      </c>
      <c r="N1133">
        <v>87</v>
      </c>
      <c r="O1133">
        <v>15.82</v>
      </c>
      <c r="P1133">
        <v>103.75</v>
      </c>
      <c r="Q1133">
        <f t="shared" si="180"/>
        <v>2025</v>
      </c>
      <c r="R1133">
        <f t="shared" si="181"/>
        <v>5</v>
      </c>
      <c r="S1133">
        <f t="shared" si="182"/>
        <v>2025</v>
      </c>
      <c r="T1133">
        <f t="shared" si="183"/>
        <v>2</v>
      </c>
      <c r="U1133" t="str">
        <f t="shared" si="184"/>
        <v>02</v>
      </c>
      <c r="V1133" t="str">
        <f t="shared" si="185"/>
        <v>202502</v>
      </c>
      <c r="W1133" t="str">
        <f t="shared" si="186"/>
        <v>May-25</v>
      </c>
      <c r="X1133" s="3">
        <f t="shared" si="187"/>
        <v>-2725</v>
      </c>
      <c r="Y1133" t="str">
        <f t="shared" si="178"/>
        <v/>
      </c>
      <c r="Z1133">
        <f t="shared" si="179"/>
        <v>-2725</v>
      </c>
    </row>
    <row r="1134" spans="1:26" x14ac:dyDescent="0.25">
      <c r="A1134" s="1">
        <v>45785</v>
      </c>
      <c r="B1134" t="s">
        <v>1524</v>
      </c>
      <c r="C1134" t="s">
        <v>17</v>
      </c>
      <c r="D1134" t="s">
        <v>18</v>
      </c>
      <c r="E1134">
        <v>300</v>
      </c>
      <c r="F1134">
        <v>0</v>
      </c>
      <c r="G1134">
        <v>11.35</v>
      </c>
      <c r="H1134">
        <v>3405</v>
      </c>
      <c r="I1134" t="s">
        <v>1527</v>
      </c>
      <c r="J1134">
        <v>3.7</v>
      </c>
      <c r="K1134">
        <v>1.2</v>
      </c>
      <c r="L1134">
        <v>0</v>
      </c>
      <c r="M1134">
        <v>0</v>
      </c>
      <c r="N1134">
        <v>116</v>
      </c>
      <c r="O1134">
        <v>21.1</v>
      </c>
      <c r="P1134">
        <v>142</v>
      </c>
      <c r="Q1134">
        <f t="shared" si="180"/>
        <v>2025</v>
      </c>
      <c r="R1134">
        <f t="shared" si="181"/>
        <v>5</v>
      </c>
      <c r="S1134">
        <f t="shared" si="182"/>
        <v>2025</v>
      </c>
      <c r="T1134">
        <f t="shared" si="183"/>
        <v>2</v>
      </c>
      <c r="U1134" t="str">
        <f t="shared" si="184"/>
        <v>02</v>
      </c>
      <c r="V1134" t="str">
        <f t="shared" si="185"/>
        <v>202502</v>
      </c>
      <c r="W1134" t="str">
        <f t="shared" si="186"/>
        <v>May-25</v>
      </c>
      <c r="X1134" s="3">
        <f t="shared" si="187"/>
        <v>3263</v>
      </c>
      <c r="Y1134">
        <f t="shared" si="178"/>
        <v>3263</v>
      </c>
      <c r="Z1134" t="str">
        <f t="shared" si="179"/>
        <v/>
      </c>
    </row>
    <row r="1135" spans="1:26" x14ac:dyDescent="0.25">
      <c r="A1135" s="1">
        <v>45785</v>
      </c>
      <c r="B1135" t="s">
        <v>1524</v>
      </c>
      <c r="C1135" t="s">
        <v>17</v>
      </c>
      <c r="D1135" t="s">
        <v>22</v>
      </c>
      <c r="E1135">
        <v>75</v>
      </c>
      <c r="F1135">
        <v>0</v>
      </c>
      <c r="G1135">
        <v>16.350000000000001</v>
      </c>
      <c r="H1135">
        <v>1226.25</v>
      </c>
      <c r="I1135" t="s">
        <v>1528</v>
      </c>
      <c r="J1135">
        <v>0</v>
      </c>
      <c r="K1135">
        <v>0.44</v>
      </c>
      <c r="L1135">
        <v>0</v>
      </c>
      <c r="M1135">
        <v>0</v>
      </c>
      <c r="N1135">
        <v>29</v>
      </c>
      <c r="O1135">
        <v>5.3</v>
      </c>
      <c r="P1135">
        <v>34.74</v>
      </c>
      <c r="Q1135">
        <f t="shared" si="180"/>
        <v>2025</v>
      </c>
      <c r="R1135">
        <f t="shared" si="181"/>
        <v>5</v>
      </c>
      <c r="S1135">
        <f t="shared" si="182"/>
        <v>2025</v>
      </c>
      <c r="T1135">
        <f t="shared" si="183"/>
        <v>2</v>
      </c>
      <c r="U1135" t="str">
        <f t="shared" si="184"/>
        <v>02</v>
      </c>
      <c r="V1135" t="str">
        <f t="shared" si="185"/>
        <v>202502</v>
      </c>
      <c r="W1135" t="str">
        <f t="shared" si="186"/>
        <v>May-25</v>
      </c>
      <c r="X1135" s="3">
        <f t="shared" si="187"/>
        <v>-1260.99</v>
      </c>
      <c r="Y1135" t="str">
        <f t="shared" si="178"/>
        <v/>
      </c>
      <c r="Z1135">
        <f t="shared" si="179"/>
        <v>-1260.99</v>
      </c>
    </row>
    <row r="1136" spans="1:26" x14ac:dyDescent="0.25">
      <c r="A1136" s="1">
        <v>45785</v>
      </c>
      <c r="B1136" t="s">
        <v>1524</v>
      </c>
      <c r="C1136" t="s">
        <v>17</v>
      </c>
      <c r="D1136" t="s">
        <v>22</v>
      </c>
      <c r="E1136">
        <v>75</v>
      </c>
      <c r="F1136">
        <v>0</v>
      </c>
      <c r="G1136">
        <v>24.85</v>
      </c>
      <c r="H1136">
        <v>1863.75</v>
      </c>
      <c r="I1136" t="s">
        <v>1529</v>
      </c>
      <c r="J1136">
        <v>0</v>
      </c>
      <c r="K1136">
        <v>0.66</v>
      </c>
      <c r="L1136">
        <v>0</v>
      </c>
      <c r="M1136">
        <v>0</v>
      </c>
      <c r="N1136">
        <v>29</v>
      </c>
      <c r="O1136">
        <v>5.34</v>
      </c>
      <c r="P1136">
        <v>35</v>
      </c>
      <c r="Q1136">
        <f t="shared" si="180"/>
        <v>2025</v>
      </c>
      <c r="R1136">
        <f t="shared" si="181"/>
        <v>5</v>
      </c>
      <c r="S1136">
        <f t="shared" si="182"/>
        <v>2025</v>
      </c>
      <c r="T1136">
        <f t="shared" si="183"/>
        <v>2</v>
      </c>
      <c r="U1136" t="str">
        <f t="shared" si="184"/>
        <v>02</v>
      </c>
      <c r="V1136" t="str">
        <f t="shared" si="185"/>
        <v>202502</v>
      </c>
      <c r="W1136" t="str">
        <f t="shared" si="186"/>
        <v>May-25</v>
      </c>
      <c r="X1136" s="3">
        <f t="shared" si="187"/>
        <v>-1898.75</v>
      </c>
      <c r="Y1136" t="str">
        <f t="shared" si="178"/>
        <v/>
      </c>
      <c r="Z1136">
        <f t="shared" si="179"/>
        <v>-1898.75</v>
      </c>
    </row>
    <row r="1137" spans="1:26" x14ac:dyDescent="0.25">
      <c r="A1137" s="1">
        <v>45785</v>
      </c>
      <c r="B1137" t="s">
        <v>1524</v>
      </c>
      <c r="C1137" t="s">
        <v>17</v>
      </c>
      <c r="D1137" t="s">
        <v>22</v>
      </c>
      <c r="E1137">
        <v>150</v>
      </c>
      <c r="F1137">
        <v>0</v>
      </c>
      <c r="G1137">
        <v>37.450000000000003</v>
      </c>
      <c r="H1137">
        <v>5617.5</v>
      </c>
      <c r="I1137" t="s">
        <v>1530</v>
      </c>
      <c r="J1137">
        <v>0</v>
      </c>
      <c r="K1137">
        <v>2</v>
      </c>
      <c r="L1137">
        <v>0</v>
      </c>
      <c r="M1137">
        <v>0.01</v>
      </c>
      <c r="N1137">
        <v>58</v>
      </c>
      <c r="O1137">
        <v>10.8</v>
      </c>
      <c r="P1137">
        <v>70.81</v>
      </c>
      <c r="Q1137">
        <f t="shared" si="180"/>
        <v>2025</v>
      </c>
      <c r="R1137">
        <f t="shared" si="181"/>
        <v>5</v>
      </c>
      <c r="S1137">
        <f t="shared" si="182"/>
        <v>2025</v>
      </c>
      <c r="T1137">
        <f t="shared" si="183"/>
        <v>2</v>
      </c>
      <c r="U1137" t="str">
        <f t="shared" si="184"/>
        <v>02</v>
      </c>
      <c r="V1137" t="str">
        <f t="shared" si="185"/>
        <v>202502</v>
      </c>
      <c r="W1137" t="str">
        <f t="shared" si="186"/>
        <v>May-25</v>
      </c>
      <c r="X1137" s="3">
        <f t="shared" si="187"/>
        <v>-5688.31</v>
      </c>
      <c r="Y1137" t="str">
        <f t="shared" si="178"/>
        <v/>
      </c>
      <c r="Z1137">
        <f t="shared" si="179"/>
        <v>-5688.31</v>
      </c>
    </row>
    <row r="1138" spans="1:26" x14ac:dyDescent="0.25">
      <c r="A1138" s="1">
        <v>45792</v>
      </c>
      <c r="B1138" t="s">
        <v>1531</v>
      </c>
      <c r="C1138" t="s">
        <v>17</v>
      </c>
      <c r="D1138" t="s">
        <v>18</v>
      </c>
      <c r="E1138">
        <v>750</v>
      </c>
      <c r="F1138">
        <v>0</v>
      </c>
      <c r="G1138">
        <v>16.25</v>
      </c>
      <c r="H1138">
        <v>12187.5</v>
      </c>
      <c r="I1138" t="s">
        <v>1532</v>
      </c>
      <c r="J1138">
        <v>12.19</v>
      </c>
      <c r="K1138">
        <v>4.33</v>
      </c>
      <c r="L1138">
        <v>0</v>
      </c>
      <c r="M1138">
        <v>0.01</v>
      </c>
      <c r="N1138">
        <v>290</v>
      </c>
      <c r="O1138">
        <v>52.98</v>
      </c>
      <c r="P1138">
        <v>359.51</v>
      </c>
      <c r="Q1138">
        <f t="shared" si="180"/>
        <v>2025</v>
      </c>
      <c r="R1138">
        <f t="shared" si="181"/>
        <v>5</v>
      </c>
      <c r="S1138">
        <f t="shared" si="182"/>
        <v>2025</v>
      </c>
      <c r="T1138">
        <f t="shared" si="183"/>
        <v>2</v>
      </c>
      <c r="U1138" t="str">
        <f t="shared" si="184"/>
        <v>02</v>
      </c>
      <c r="V1138" t="str">
        <f t="shared" si="185"/>
        <v>202502</v>
      </c>
      <c r="W1138" t="str">
        <f t="shared" si="186"/>
        <v>May-25</v>
      </c>
      <c r="X1138" s="3">
        <f t="shared" si="187"/>
        <v>11827.99</v>
      </c>
      <c r="Y1138">
        <f t="shared" si="178"/>
        <v>11827.99</v>
      </c>
      <c r="Z1138" t="str">
        <f t="shared" si="179"/>
        <v/>
      </c>
    </row>
    <row r="1139" spans="1:26" x14ac:dyDescent="0.25">
      <c r="A1139" s="1">
        <v>45792</v>
      </c>
      <c r="B1139" t="s">
        <v>1531</v>
      </c>
      <c r="C1139" t="s">
        <v>17</v>
      </c>
      <c r="D1139" t="s">
        <v>22</v>
      </c>
      <c r="E1139">
        <v>750</v>
      </c>
      <c r="F1139">
        <v>0</v>
      </c>
      <c r="G1139">
        <v>21.25</v>
      </c>
      <c r="H1139">
        <v>15937.5</v>
      </c>
      <c r="I1139" t="s">
        <v>1533</v>
      </c>
      <c r="J1139">
        <v>0</v>
      </c>
      <c r="K1139">
        <v>5.67</v>
      </c>
      <c r="L1139">
        <v>1.74</v>
      </c>
      <c r="M1139">
        <v>0.02</v>
      </c>
      <c r="N1139">
        <v>290</v>
      </c>
      <c r="O1139">
        <v>53.24</v>
      </c>
      <c r="P1139">
        <v>350.67</v>
      </c>
      <c r="Q1139">
        <f t="shared" si="180"/>
        <v>2025</v>
      </c>
      <c r="R1139">
        <f t="shared" si="181"/>
        <v>5</v>
      </c>
      <c r="S1139">
        <f t="shared" si="182"/>
        <v>2025</v>
      </c>
      <c r="T1139">
        <f t="shared" si="183"/>
        <v>2</v>
      </c>
      <c r="U1139" t="str">
        <f t="shared" si="184"/>
        <v>02</v>
      </c>
      <c r="V1139" t="str">
        <f t="shared" si="185"/>
        <v>202502</v>
      </c>
      <c r="W1139" t="str">
        <f t="shared" si="186"/>
        <v>May-25</v>
      </c>
      <c r="X1139" s="3">
        <f t="shared" si="187"/>
        <v>-16288.17</v>
      </c>
      <c r="Y1139" t="str">
        <f t="shared" si="178"/>
        <v/>
      </c>
      <c r="Z1139">
        <f t="shared" si="179"/>
        <v>-16288.17</v>
      </c>
    </row>
    <row r="1140" spans="1:26" x14ac:dyDescent="0.25">
      <c r="A1140" s="1">
        <v>45792</v>
      </c>
      <c r="B1140" t="s">
        <v>1531</v>
      </c>
      <c r="C1140" t="s">
        <v>17</v>
      </c>
      <c r="D1140" t="s">
        <v>18</v>
      </c>
      <c r="E1140">
        <v>300</v>
      </c>
      <c r="F1140">
        <v>0</v>
      </c>
      <c r="G1140">
        <v>18.850000000000001</v>
      </c>
      <c r="H1140">
        <v>5655</v>
      </c>
      <c r="I1140" t="s">
        <v>1534</v>
      </c>
      <c r="J1140">
        <v>5.65</v>
      </c>
      <c r="K1140">
        <v>2</v>
      </c>
      <c r="L1140">
        <v>0</v>
      </c>
      <c r="M1140">
        <v>0</v>
      </c>
      <c r="N1140">
        <v>116</v>
      </c>
      <c r="O1140">
        <v>21.26</v>
      </c>
      <c r="P1140">
        <v>144.91</v>
      </c>
      <c r="Q1140">
        <f t="shared" si="180"/>
        <v>2025</v>
      </c>
      <c r="R1140">
        <f t="shared" si="181"/>
        <v>5</v>
      </c>
      <c r="S1140">
        <f t="shared" si="182"/>
        <v>2025</v>
      </c>
      <c r="T1140">
        <f t="shared" si="183"/>
        <v>2</v>
      </c>
      <c r="U1140" t="str">
        <f t="shared" si="184"/>
        <v>02</v>
      </c>
      <c r="V1140" t="str">
        <f t="shared" si="185"/>
        <v>202502</v>
      </c>
      <c r="W1140" t="str">
        <f t="shared" si="186"/>
        <v>May-25</v>
      </c>
      <c r="X1140" s="3">
        <f t="shared" si="187"/>
        <v>5510.09</v>
      </c>
      <c r="Y1140">
        <f t="shared" si="178"/>
        <v>5510.09</v>
      </c>
      <c r="Z1140" t="str">
        <f t="shared" si="179"/>
        <v/>
      </c>
    </row>
    <row r="1141" spans="1:26" x14ac:dyDescent="0.25">
      <c r="A1141" s="1">
        <v>45792</v>
      </c>
      <c r="B1141" t="s">
        <v>1531</v>
      </c>
      <c r="C1141" t="s">
        <v>17</v>
      </c>
      <c r="D1141" t="s">
        <v>22</v>
      </c>
      <c r="E1141">
        <v>150</v>
      </c>
      <c r="F1141">
        <v>0</v>
      </c>
      <c r="G1141">
        <v>38.25</v>
      </c>
      <c r="H1141">
        <v>5737.5</v>
      </c>
      <c r="I1141" t="s">
        <v>1535</v>
      </c>
      <c r="J1141">
        <v>0</v>
      </c>
      <c r="K1141">
        <v>2.04</v>
      </c>
      <c r="L1141">
        <v>0</v>
      </c>
      <c r="M1141">
        <v>0.01</v>
      </c>
      <c r="N1141">
        <v>58</v>
      </c>
      <c r="O1141">
        <v>10.8</v>
      </c>
      <c r="P1141">
        <v>70.849999999999994</v>
      </c>
      <c r="Q1141">
        <f t="shared" si="180"/>
        <v>2025</v>
      </c>
      <c r="R1141">
        <f t="shared" si="181"/>
        <v>5</v>
      </c>
      <c r="S1141">
        <f t="shared" si="182"/>
        <v>2025</v>
      </c>
      <c r="T1141">
        <f t="shared" si="183"/>
        <v>2</v>
      </c>
      <c r="U1141" t="str">
        <f t="shared" si="184"/>
        <v>02</v>
      </c>
      <c r="V1141" t="str">
        <f t="shared" si="185"/>
        <v>202502</v>
      </c>
      <c r="W1141" t="str">
        <f t="shared" si="186"/>
        <v>May-25</v>
      </c>
      <c r="X1141" s="3">
        <f t="shared" si="187"/>
        <v>-5808.35</v>
      </c>
      <c r="Y1141" t="str">
        <f t="shared" si="178"/>
        <v/>
      </c>
      <c r="Z1141">
        <f t="shared" si="179"/>
        <v>-5808.35</v>
      </c>
    </row>
    <row r="1142" spans="1:26" x14ac:dyDescent="0.25">
      <c r="A1142" s="1">
        <v>45792</v>
      </c>
      <c r="B1142" t="s">
        <v>1531</v>
      </c>
      <c r="C1142" t="s">
        <v>17</v>
      </c>
      <c r="D1142" t="s">
        <v>22</v>
      </c>
      <c r="E1142">
        <v>150</v>
      </c>
      <c r="F1142">
        <v>0</v>
      </c>
      <c r="G1142">
        <v>81</v>
      </c>
      <c r="H1142">
        <v>12150</v>
      </c>
      <c r="I1142" t="s">
        <v>1536</v>
      </c>
      <c r="J1142">
        <v>0</v>
      </c>
      <c r="K1142">
        <v>4.32</v>
      </c>
      <c r="L1142">
        <v>0</v>
      </c>
      <c r="M1142">
        <v>0.01</v>
      </c>
      <c r="N1142">
        <v>58</v>
      </c>
      <c r="O1142">
        <v>11.22</v>
      </c>
      <c r="P1142">
        <v>73.55</v>
      </c>
      <c r="Q1142">
        <f t="shared" si="180"/>
        <v>2025</v>
      </c>
      <c r="R1142">
        <f t="shared" si="181"/>
        <v>5</v>
      </c>
      <c r="S1142">
        <f t="shared" si="182"/>
        <v>2025</v>
      </c>
      <c r="T1142">
        <f t="shared" si="183"/>
        <v>2</v>
      </c>
      <c r="U1142" t="str">
        <f t="shared" si="184"/>
        <v>02</v>
      </c>
      <c r="V1142" t="str">
        <f t="shared" si="185"/>
        <v>202502</v>
      </c>
      <c r="W1142" t="str">
        <f t="shared" si="186"/>
        <v>May-25</v>
      </c>
      <c r="X1142" s="3">
        <f t="shared" si="187"/>
        <v>-12223.55</v>
      </c>
      <c r="Y1142" t="str">
        <f t="shared" si="178"/>
        <v/>
      </c>
      <c r="Z1142">
        <f t="shared" si="179"/>
        <v>-12223.55</v>
      </c>
    </row>
    <row r="1143" spans="1:26" x14ac:dyDescent="0.25">
      <c r="A1143" s="1">
        <v>45792</v>
      </c>
      <c r="B1143" t="s">
        <v>1531</v>
      </c>
      <c r="C1143" t="s">
        <v>17</v>
      </c>
      <c r="D1143" t="s">
        <v>18</v>
      </c>
      <c r="E1143">
        <v>150</v>
      </c>
      <c r="F1143">
        <v>0</v>
      </c>
      <c r="G1143">
        <v>95.25</v>
      </c>
      <c r="H1143">
        <v>14287.5</v>
      </c>
      <c r="I1143" t="s">
        <v>1537</v>
      </c>
      <c r="J1143">
        <v>14.29</v>
      </c>
      <c r="K1143">
        <v>5.08</v>
      </c>
      <c r="L1143">
        <v>0</v>
      </c>
      <c r="M1143">
        <v>0.01</v>
      </c>
      <c r="N1143">
        <v>58</v>
      </c>
      <c r="O1143">
        <v>11.36</v>
      </c>
      <c r="P1143">
        <v>88.74</v>
      </c>
      <c r="Q1143">
        <f t="shared" si="180"/>
        <v>2025</v>
      </c>
      <c r="R1143">
        <f t="shared" si="181"/>
        <v>5</v>
      </c>
      <c r="S1143">
        <f t="shared" si="182"/>
        <v>2025</v>
      </c>
      <c r="T1143">
        <f t="shared" si="183"/>
        <v>2</v>
      </c>
      <c r="U1143" t="str">
        <f t="shared" si="184"/>
        <v>02</v>
      </c>
      <c r="V1143" t="str">
        <f t="shared" si="185"/>
        <v>202502</v>
      </c>
      <c r="W1143" t="str">
        <f t="shared" si="186"/>
        <v>May-25</v>
      </c>
      <c r="X1143" s="3">
        <f t="shared" si="187"/>
        <v>14198.76</v>
      </c>
      <c r="Y1143">
        <f t="shared" si="178"/>
        <v>14198.76</v>
      </c>
      <c r="Z1143" t="str">
        <f t="shared" si="179"/>
        <v/>
      </c>
    </row>
    <row r="1144" spans="1:26" x14ac:dyDescent="0.25">
      <c r="A1144" s="1">
        <v>45792</v>
      </c>
      <c r="B1144" t="s">
        <v>1531</v>
      </c>
      <c r="C1144" t="s">
        <v>17</v>
      </c>
      <c r="D1144" t="s">
        <v>22</v>
      </c>
      <c r="E1144">
        <v>75</v>
      </c>
      <c r="F1144">
        <v>0</v>
      </c>
      <c r="G1144">
        <v>73</v>
      </c>
      <c r="H1144">
        <v>5475</v>
      </c>
      <c r="I1144" t="s">
        <v>1538</v>
      </c>
      <c r="J1144">
        <v>0</v>
      </c>
      <c r="K1144">
        <v>1.95</v>
      </c>
      <c r="L1144">
        <v>0</v>
      </c>
      <c r="M1144">
        <v>0.01</v>
      </c>
      <c r="N1144">
        <v>29</v>
      </c>
      <c r="O1144">
        <v>5.58</v>
      </c>
      <c r="P1144">
        <v>36.54</v>
      </c>
      <c r="Q1144">
        <f t="shared" si="180"/>
        <v>2025</v>
      </c>
      <c r="R1144">
        <f t="shared" si="181"/>
        <v>5</v>
      </c>
      <c r="S1144">
        <f t="shared" si="182"/>
        <v>2025</v>
      </c>
      <c r="T1144">
        <f t="shared" si="183"/>
        <v>2</v>
      </c>
      <c r="U1144" t="str">
        <f t="shared" si="184"/>
        <v>02</v>
      </c>
      <c r="V1144" t="str">
        <f t="shared" si="185"/>
        <v>202502</v>
      </c>
      <c r="W1144" t="str">
        <f t="shared" si="186"/>
        <v>May-25</v>
      </c>
      <c r="X1144" s="3">
        <f t="shared" si="187"/>
        <v>-5511.54</v>
      </c>
      <c r="Y1144" t="str">
        <f t="shared" si="178"/>
        <v/>
      </c>
      <c r="Z1144">
        <f t="shared" si="179"/>
        <v>-5511.54</v>
      </c>
    </row>
    <row r="1145" spans="1:26" x14ac:dyDescent="0.25">
      <c r="A1145" s="1">
        <v>45792</v>
      </c>
      <c r="B1145" t="s">
        <v>1531</v>
      </c>
      <c r="C1145" t="s">
        <v>17</v>
      </c>
      <c r="D1145" t="s">
        <v>22</v>
      </c>
      <c r="E1145">
        <v>75</v>
      </c>
      <c r="F1145">
        <v>0</v>
      </c>
      <c r="G1145">
        <v>99.2</v>
      </c>
      <c r="H1145">
        <v>7440</v>
      </c>
      <c r="I1145" t="s">
        <v>1539</v>
      </c>
      <c r="J1145">
        <v>0</v>
      </c>
      <c r="K1145">
        <v>2.64</v>
      </c>
      <c r="L1145">
        <v>0</v>
      </c>
      <c r="M1145">
        <v>0.01</v>
      </c>
      <c r="N1145">
        <v>29</v>
      </c>
      <c r="O1145">
        <v>5.7</v>
      </c>
      <c r="P1145">
        <v>37.35</v>
      </c>
      <c r="Q1145">
        <f t="shared" si="180"/>
        <v>2025</v>
      </c>
      <c r="R1145">
        <f t="shared" si="181"/>
        <v>5</v>
      </c>
      <c r="S1145">
        <f t="shared" si="182"/>
        <v>2025</v>
      </c>
      <c r="T1145">
        <f t="shared" si="183"/>
        <v>2</v>
      </c>
      <c r="U1145" t="str">
        <f t="shared" si="184"/>
        <v>02</v>
      </c>
      <c r="V1145" t="str">
        <f t="shared" si="185"/>
        <v>202502</v>
      </c>
      <c r="W1145" t="str">
        <f t="shared" si="186"/>
        <v>May-25</v>
      </c>
      <c r="X1145" s="3">
        <f t="shared" si="187"/>
        <v>-7477.35</v>
      </c>
      <c r="Y1145" t="str">
        <f t="shared" si="178"/>
        <v/>
      </c>
      <c r="Z1145">
        <f t="shared" si="179"/>
        <v>-7477.35</v>
      </c>
    </row>
    <row r="1146" spans="1:26" x14ac:dyDescent="0.25">
      <c r="A1146" s="1">
        <v>45792</v>
      </c>
      <c r="B1146" t="s">
        <v>1540</v>
      </c>
      <c r="C1146" t="s">
        <v>17</v>
      </c>
      <c r="D1146" t="s">
        <v>18</v>
      </c>
      <c r="E1146">
        <v>75</v>
      </c>
      <c r="F1146">
        <v>0</v>
      </c>
      <c r="G1146">
        <v>131.5</v>
      </c>
      <c r="H1146">
        <v>9862.5</v>
      </c>
      <c r="I1146" t="s">
        <v>1541</v>
      </c>
      <c r="J1146">
        <v>9.8699999999999992</v>
      </c>
      <c r="K1146">
        <v>3.5</v>
      </c>
      <c r="L1146">
        <v>0</v>
      </c>
      <c r="M1146">
        <v>0.01</v>
      </c>
      <c r="N1146">
        <v>29</v>
      </c>
      <c r="O1146">
        <v>5.86</v>
      </c>
      <c r="P1146">
        <v>48.24</v>
      </c>
      <c r="Q1146">
        <f t="shared" si="180"/>
        <v>2025</v>
      </c>
      <c r="R1146">
        <f t="shared" si="181"/>
        <v>5</v>
      </c>
      <c r="S1146">
        <f t="shared" si="182"/>
        <v>2025</v>
      </c>
      <c r="T1146">
        <f t="shared" si="183"/>
        <v>2</v>
      </c>
      <c r="U1146" t="str">
        <f t="shared" si="184"/>
        <v>02</v>
      </c>
      <c r="V1146" t="str">
        <f t="shared" si="185"/>
        <v>202502</v>
      </c>
      <c r="W1146" t="str">
        <f t="shared" si="186"/>
        <v>May-25</v>
      </c>
      <c r="X1146" s="3">
        <f t="shared" si="187"/>
        <v>9814.26</v>
      </c>
      <c r="Y1146">
        <f t="shared" si="178"/>
        <v>9814.26</v>
      </c>
      <c r="Z1146" t="str">
        <f t="shared" si="179"/>
        <v/>
      </c>
    </row>
    <row r="1147" spans="1:26" x14ac:dyDescent="0.25">
      <c r="A1147" s="1">
        <v>45792</v>
      </c>
      <c r="B1147" t="s">
        <v>1540</v>
      </c>
      <c r="C1147" t="s">
        <v>17</v>
      </c>
      <c r="D1147" t="s">
        <v>22</v>
      </c>
      <c r="E1147">
        <v>75</v>
      </c>
      <c r="F1147">
        <v>0</v>
      </c>
      <c r="G1147">
        <v>114.9</v>
      </c>
      <c r="H1147">
        <v>8617.5</v>
      </c>
      <c r="I1147" t="s">
        <v>1542</v>
      </c>
      <c r="J1147">
        <v>0</v>
      </c>
      <c r="K1147">
        <v>3.06</v>
      </c>
      <c r="L1147">
        <v>0.26</v>
      </c>
      <c r="M1147">
        <v>0.01</v>
      </c>
      <c r="N1147">
        <v>29</v>
      </c>
      <c r="O1147">
        <v>5.78</v>
      </c>
      <c r="P1147">
        <v>38.11</v>
      </c>
      <c r="Q1147">
        <f t="shared" si="180"/>
        <v>2025</v>
      </c>
      <c r="R1147">
        <f t="shared" si="181"/>
        <v>5</v>
      </c>
      <c r="S1147">
        <f t="shared" si="182"/>
        <v>2025</v>
      </c>
      <c r="T1147">
        <f t="shared" si="183"/>
        <v>2</v>
      </c>
      <c r="U1147" t="str">
        <f t="shared" si="184"/>
        <v>02</v>
      </c>
      <c r="V1147" t="str">
        <f t="shared" si="185"/>
        <v>202502</v>
      </c>
      <c r="W1147" t="str">
        <f t="shared" si="186"/>
        <v>May-25</v>
      </c>
      <c r="X1147" s="3">
        <f t="shared" si="187"/>
        <v>-8655.61</v>
      </c>
      <c r="Y1147" t="str">
        <f t="shared" si="178"/>
        <v/>
      </c>
      <c r="Z1147">
        <f t="shared" si="179"/>
        <v>-8655.61</v>
      </c>
    </row>
    <row r="1148" spans="1:26" x14ac:dyDescent="0.25">
      <c r="A1148" s="1">
        <v>45798</v>
      </c>
      <c r="B1148" t="s">
        <v>1543</v>
      </c>
      <c r="C1148" t="s">
        <v>17</v>
      </c>
      <c r="D1148" t="s">
        <v>18</v>
      </c>
      <c r="E1148">
        <v>150</v>
      </c>
      <c r="F1148">
        <v>0</v>
      </c>
      <c r="G1148">
        <v>77.349999999999994</v>
      </c>
      <c r="H1148">
        <v>11602.5</v>
      </c>
      <c r="I1148" t="s">
        <v>1544</v>
      </c>
      <c r="J1148">
        <v>12</v>
      </c>
      <c r="K1148">
        <v>4.12</v>
      </c>
      <c r="L1148">
        <v>0</v>
      </c>
      <c r="M1148">
        <v>0.01</v>
      </c>
      <c r="N1148">
        <v>58</v>
      </c>
      <c r="O1148">
        <v>11.18</v>
      </c>
      <c r="P1148">
        <v>85.31</v>
      </c>
      <c r="Q1148">
        <f t="shared" si="180"/>
        <v>2025</v>
      </c>
      <c r="R1148">
        <f t="shared" si="181"/>
        <v>5</v>
      </c>
      <c r="S1148">
        <f t="shared" si="182"/>
        <v>2025</v>
      </c>
      <c r="T1148">
        <f t="shared" si="183"/>
        <v>2</v>
      </c>
      <c r="U1148" t="str">
        <f t="shared" si="184"/>
        <v>02</v>
      </c>
      <c r="V1148" t="str">
        <f t="shared" si="185"/>
        <v>202502</v>
      </c>
      <c r="W1148" t="str">
        <f t="shared" si="186"/>
        <v>May-25</v>
      </c>
      <c r="X1148" s="3">
        <f t="shared" si="187"/>
        <v>11517.19</v>
      </c>
      <c r="Y1148">
        <f t="shared" si="178"/>
        <v>11517.19</v>
      </c>
      <c r="Z1148" t="str">
        <f t="shared" si="179"/>
        <v/>
      </c>
    </row>
    <row r="1149" spans="1:26" x14ac:dyDescent="0.25">
      <c r="A1149" s="1">
        <v>45798</v>
      </c>
      <c r="B1149" t="s">
        <v>1543</v>
      </c>
      <c r="C1149" t="s">
        <v>17</v>
      </c>
      <c r="D1149" t="s">
        <v>22</v>
      </c>
      <c r="E1149">
        <v>150</v>
      </c>
      <c r="F1149">
        <v>0</v>
      </c>
      <c r="G1149">
        <v>125.6</v>
      </c>
      <c r="H1149">
        <v>18840</v>
      </c>
      <c r="I1149" t="s">
        <v>1545</v>
      </c>
      <c r="J1149">
        <v>0</v>
      </c>
      <c r="K1149">
        <v>6.69</v>
      </c>
      <c r="L1149">
        <v>1</v>
      </c>
      <c r="M1149">
        <v>0.02</v>
      </c>
      <c r="N1149">
        <v>58</v>
      </c>
      <c r="O1149">
        <v>11.64</v>
      </c>
      <c r="P1149">
        <v>77.349999999999994</v>
      </c>
      <c r="Q1149">
        <f t="shared" si="180"/>
        <v>2025</v>
      </c>
      <c r="R1149">
        <f t="shared" si="181"/>
        <v>5</v>
      </c>
      <c r="S1149">
        <f t="shared" si="182"/>
        <v>2025</v>
      </c>
      <c r="T1149">
        <f t="shared" si="183"/>
        <v>2</v>
      </c>
      <c r="U1149" t="str">
        <f t="shared" si="184"/>
        <v>02</v>
      </c>
      <c r="V1149" t="str">
        <f t="shared" si="185"/>
        <v>202502</v>
      </c>
      <c r="W1149" t="str">
        <f t="shared" si="186"/>
        <v>May-25</v>
      </c>
      <c r="X1149" s="3">
        <f t="shared" si="187"/>
        <v>-18917.349999999999</v>
      </c>
      <c r="Y1149" t="str">
        <f t="shared" si="178"/>
        <v/>
      </c>
      <c r="Z1149">
        <f t="shared" si="179"/>
        <v>-18917.349999999999</v>
      </c>
    </row>
    <row r="1150" spans="1:26" x14ac:dyDescent="0.25">
      <c r="A1150" s="1">
        <v>45800</v>
      </c>
      <c r="B1150" t="s">
        <v>1546</v>
      </c>
      <c r="C1150" t="s">
        <v>17</v>
      </c>
      <c r="D1150" t="s">
        <v>22</v>
      </c>
      <c r="E1150">
        <v>75</v>
      </c>
      <c r="F1150">
        <v>0</v>
      </c>
      <c r="G1150">
        <v>24.65</v>
      </c>
      <c r="H1150">
        <v>1848.75</v>
      </c>
      <c r="I1150" t="s">
        <v>1547</v>
      </c>
      <c r="J1150">
        <v>0</v>
      </c>
      <c r="K1150">
        <v>0.66</v>
      </c>
      <c r="L1150">
        <v>0</v>
      </c>
      <c r="M1150">
        <v>0</v>
      </c>
      <c r="N1150">
        <v>29</v>
      </c>
      <c r="O1150">
        <v>5.34</v>
      </c>
      <c r="P1150">
        <v>35</v>
      </c>
      <c r="Q1150">
        <f t="shared" si="180"/>
        <v>2025</v>
      </c>
      <c r="R1150">
        <f t="shared" si="181"/>
        <v>5</v>
      </c>
      <c r="S1150">
        <f t="shared" si="182"/>
        <v>2025</v>
      </c>
      <c r="T1150">
        <f t="shared" si="183"/>
        <v>2</v>
      </c>
      <c r="U1150" t="str">
        <f t="shared" si="184"/>
        <v>02</v>
      </c>
      <c r="V1150" t="str">
        <f t="shared" si="185"/>
        <v>202502</v>
      </c>
      <c r="W1150" t="str">
        <f t="shared" si="186"/>
        <v>May-25</v>
      </c>
      <c r="X1150" s="3">
        <f t="shared" si="187"/>
        <v>-1883.75</v>
      </c>
      <c r="Y1150" t="str">
        <f t="shared" si="178"/>
        <v/>
      </c>
      <c r="Z1150">
        <f t="shared" si="179"/>
        <v>-1883.75</v>
      </c>
    </row>
    <row r="1151" spans="1:26" x14ac:dyDescent="0.25">
      <c r="A1151" s="1">
        <v>45806</v>
      </c>
      <c r="B1151" t="s">
        <v>1548</v>
      </c>
      <c r="C1151" t="s">
        <v>17</v>
      </c>
      <c r="D1151" t="s">
        <v>18</v>
      </c>
      <c r="E1151">
        <v>150</v>
      </c>
      <c r="F1151">
        <v>0</v>
      </c>
      <c r="G1151">
        <v>29.25</v>
      </c>
      <c r="H1151">
        <v>4387.5</v>
      </c>
      <c r="I1151" t="s">
        <v>1549</v>
      </c>
      <c r="J1151">
        <v>4.38</v>
      </c>
      <c r="K1151">
        <v>1.56</v>
      </c>
      <c r="L1151">
        <v>0</v>
      </c>
      <c r="M1151">
        <v>0</v>
      </c>
      <c r="N1151">
        <v>58</v>
      </c>
      <c r="O1151">
        <v>10.72</v>
      </c>
      <c r="P1151">
        <v>74.66</v>
      </c>
      <c r="Q1151">
        <f t="shared" si="180"/>
        <v>2025</v>
      </c>
      <c r="R1151">
        <f t="shared" si="181"/>
        <v>5</v>
      </c>
      <c r="S1151">
        <f t="shared" si="182"/>
        <v>2025</v>
      </c>
      <c r="T1151">
        <f t="shared" si="183"/>
        <v>2</v>
      </c>
      <c r="U1151" t="str">
        <f t="shared" si="184"/>
        <v>02</v>
      </c>
      <c r="V1151" t="str">
        <f t="shared" si="185"/>
        <v>202502</v>
      </c>
      <c r="W1151" t="str">
        <f t="shared" si="186"/>
        <v>May-25</v>
      </c>
      <c r="X1151" s="3">
        <f t="shared" si="187"/>
        <v>4312.84</v>
      </c>
      <c r="Y1151">
        <f t="shared" si="178"/>
        <v>4312.84</v>
      </c>
      <c r="Z1151" t="str">
        <f t="shared" si="179"/>
        <v/>
      </c>
    </row>
    <row r="1152" spans="1:26" x14ac:dyDescent="0.25">
      <c r="A1152" s="1">
        <v>45806</v>
      </c>
      <c r="B1152" t="s">
        <v>1548</v>
      </c>
      <c r="C1152" t="s">
        <v>17</v>
      </c>
      <c r="D1152" t="s">
        <v>22</v>
      </c>
      <c r="E1152">
        <v>150</v>
      </c>
      <c r="F1152">
        <v>0</v>
      </c>
      <c r="G1152">
        <v>28.15</v>
      </c>
      <c r="H1152">
        <v>4222.5</v>
      </c>
      <c r="I1152" t="s">
        <v>1550</v>
      </c>
      <c r="J1152">
        <v>0</v>
      </c>
      <c r="K1152">
        <v>1.5</v>
      </c>
      <c r="L1152">
        <v>0</v>
      </c>
      <c r="M1152">
        <v>0</v>
      </c>
      <c r="N1152">
        <v>58</v>
      </c>
      <c r="O1152">
        <v>10.72</v>
      </c>
      <c r="P1152">
        <v>70.22</v>
      </c>
      <c r="Q1152">
        <f t="shared" si="180"/>
        <v>2025</v>
      </c>
      <c r="R1152">
        <f t="shared" si="181"/>
        <v>5</v>
      </c>
      <c r="S1152">
        <f t="shared" si="182"/>
        <v>2025</v>
      </c>
      <c r="T1152">
        <f t="shared" si="183"/>
        <v>2</v>
      </c>
      <c r="U1152" t="str">
        <f t="shared" si="184"/>
        <v>02</v>
      </c>
      <c r="V1152" t="str">
        <f t="shared" si="185"/>
        <v>202502</v>
      </c>
      <c r="W1152" t="str">
        <f t="shared" si="186"/>
        <v>May-25</v>
      </c>
      <c r="X1152" s="3">
        <f t="shared" si="187"/>
        <v>-4292.72</v>
      </c>
      <c r="Y1152" t="str">
        <f t="shared" si="178"/>
        <v/>
      </c>
      <c r="Z1152">
        <f t="shared" si="179"/>
        <v>-4292.72</v>
      </c>
    </row>
    <row r="1153" spans="1:26" x14ac:dyDescent="0.25">
      <c r="A1153" s="1">
        <v>45806</v>
      </c>
      <c r="B1153" t="s">
        <v>1546</v>
      </c>
      <c r="C1153" t="s">
        <v>17</v>
      </c>
      <c r="D1153" t="s">
        <v>18</v>
      </c>
      <c r="E1153">
        <v>75</v>
      </c>
      <c r="F1153">
        <v>0</v>
      </c>
      <c r="G1153">
        <v>1.5</v>
      </c>
      <c r="H1153">
        <v>112.5</v>
      </c>
      <c r="I1153" t="s">
        <v>1551</v>
      </c>
      <c r="J1153">
        <v>0.61</v>
      </c>
      <c r="K1153">
        <v>0.04</v>
      </c>
      <c r="L1153">
        <v>0</v>
      </c>
      <c r="M1153">
        <v>0</v>
      </c>
      <c r="N1153">
        <v>29</v>
      </c>
      <c r="O1153">
        <v>5.22</v>
      </c>
      <c r="P1153">
        <v>34.869999999999997</v>
      </c>
      <c r="Q1153">
        <f t="shared" si="180"/>
        <v>2025</v>
      </c>
      <c r="R1153">
        <f t="shared" si="181"/>
        <v>5</v>
      </c>
      <c r="S1153">
        <f t="shared" si="182"/>
        <v>2025</v>
      </c>
      <c r="T1153">
        <f t="shared" si="183"/>
        <v>2</v>
      </c>
      <c r="U1153" t="str">
        <f t="shared" si="184"/>
        <v>02</v>
      </c>
      <c r="V1153" t="str">
        <f t="shared" si="185"/>
        <v>202502</v>
      </c>
      <c r="W1153" t="str">
        <f t="shared" si="186"/>
        <v>May-25</v>
      </c>
      <c r="X1153" s="3">
        <f t="shared" si="187"/>
        <v>77.63</v>
      </c>
      <c r="Y1153">
        <f t="shared" si="178"/>
        <v>77.63</v>
      </c>
      <c r="Z1153" t="str">
        <f t="shared" si="179"/>
        <v/>
      </c>
    </row>
    <row r="1154" spans="1:26" x14ac:dyDescent="0.25">
      <c r="A1154" s="1">
        <v>45813</v>
      </c>
      <c r="B1154" t="s">
        <v>1552</v>
      </c>
      <c r="C1154" t="s">
        <v>17</v>
      </c>
      <c r="D1154" t="s">
        <v>18</v>
      </c>
      <c r="E1154">
        <v>150</v>
      </c>
      <c r="F1154">
        <v>0</v>
      </c>
      <c r="G1154">
        <v>5</v>
      </c>
      <c r="H1154">
        <v>750</v>
      </c>
      <c r="I1154" t="s">
        <v>1553</v>
      </c>
      <c r="J1154">
        <v>1</v>
      </c>
      <c r="K1154">
        <v>0.27</v>
      </c>
      <c r="L1154">
        <v>0</v>
      </c>
      <c r="M1154">
        <v>0</v>
      </c>
      <c r="N1154">
        <v>58</v>
      </c>
      <c r="O1154">
        <v>10.48</v>
      </c>
      <c r="P1154">
        <v>69.75</v>
      </c>
      <c r="Q1154">
        <f t="shared" si="180"/>
        <v>2025</v>
      </c>
      <c r="R1154">
        <f t="shared" si="181"/>
        <v>6</v>
      </c>
      <c r="S1154">
        <f t="shared" si="182"/>
        <v>2025</v>
      </c>
      <c r="T1154">
        <f t="shared" si="183"/>
        <v>3</v>
      </c>
      <c r="U1154" t="str">
        <f t="shared" si="184"/>
        <v>03</v>
      </c>
      <c r="V1154" t="str">
        <f t="shared" si="185"/>
        <v>202503</v>
      </c>
      <c r="W1154" t="str">
        <f t="shared" si="186"/>
        <v>Jun-25</v>
      </c>
      <c r="X1154" s="3">
        <f t="shared" si="187"/>
        <v>680.25</v>
      </c>
      <c r="Y1154">
        <f t="shared" si="178"/>
        <v>680.25</v>
      </c>
      <c r="Z1154" t="str">
        <f t="shared" si="179"/>
        <v/>
      </c>
    </row>
    <row r="1155" spans="1:26" x14ac:dyDescent="0.25">
      <c r="A1155" s="1">
        <v>45813</v>
      </c>
      <c r="B1155" t="s">
        <v>1552</v>
      </c>
      <c r="C1155" t="s">
        <v>17</v>
      </c>
      <c r="D1155" t="s">
        <v>22</v>
      </c>
      <c r="E1155">
        <v>150</v>
      </c>
      <c r="F1155">
        <v>0</v>
      </c>
      <c r="G1155">
        <v>22</v>
      </c>
      <c r="H1155">
        <v>3300</v>
      </c>
      <c r="I1155" t="s">
        <v>1554</v>
      </c>
      <c r="J1155">
        <v>0</v>
      </c>
      <c r="K1155">
        <v>1.17</v>
      </c>
      <c r="L1155">
        <v>0</v>
      </c>
      <c r="M1155">
        <v>0</v>
      </c>
      <c r="N1155">
        <v>58</v>
      </c>
      <c r="O1155">
        <v>10.66</v>
      </c>
      <c r="P1155">
        <v>69.83</v>
      </c>
      <c r="Q1155">
        <f t="shared" si="180"/>
        <v>2025</v>
      </c>
      <c r="R1155">
        <f t="shared" si="181"/>
        <v>6</v>
      </c>
      <c r="S1155">
        <f t="shared" si="182"/>
        <v>2025</v>
      </c>
      <c r="T1155">
        <f t="shared" si="183"/>
        <v>3</v>
      </c>
      <c r="U1155" t="str">
        <f t="shared" si="184"/>
        <v>03</v>
      </c>
      <c r="V1155" t="str">
        <f t="shared" si="185"/>
        <v>202503</v>
      </c>
      <c r="W1155" t="str">
        <f t="shared" si="186"/>
        <v>Jun-25</v>
      </c>
      <c r="X1155" s="3">
        <f t="shared" si="187"/>
        <v>-3369.83</v>
      </c>
      <c r="Y1155" t="str">
        <f t="shared" ref="Y1155:Y1218" si="188">IF(X1155&gt;0,X1155,"")</f>
        <v/>
      </c>
      <c r="Z1155">
        <f t="shared" ref="Z1155:Z1218" si="189">IF(X1155&lt;0,X1155,"")</f>
        <v>-3369.83</v>
      </c>
    </row>
    <row r="1156" spans="1:26" x14ac:dyDescent="0.25">
      <c r="A1156" s="1">
        <v>45842</v>
      </c>
      <c r="B1156" t="s">
        <v>1555</v>
      </c>
      <c r="C1156" t="s">
        <v>17</v>
      </c>
      <c r="D1156" t="s">
        <v>18</v>
      </c>
      <c r="E1156">
        <v>375</v>
      </c>
      <c r="F1156">
        <v>0</v>
      </c>
      <c r="G1156">
        <v>152.25</v>
      </c>
      <c r="H1156">
        <v>57093.75</v>
      </c>
      <c r="I1156" t="s">
        <v>1556</v>
      </c>
      <c r="J1156">
        <v>56.97</v>
      </c>
      <c r="K1156">
        <v>20.28</v>
      </c>
      <c r="L1156">
        <v>0</v>
      </c>
      <c r="M1156">
        <v>0.05</v>
      </c>
      <c r="N1156">
        <v>145</v>
      </c>
      <c r="O1156">
        <v>29.76</v>
      </c>
      <c r="P1156">
        <v>252.06</v>
      </c>
      <c r="Q1156">
        <f t="shared" si="180"/>
        <v>2025</v>
      </c>
      <c r="R1156">
        <f t="shared" si="181"/>
        <v>7</v>
      </c>
      <c r="S1156">
        <f t="shared" si="182"/>
        <v>2025</v>
      </c>
      <c r="T1156">
        <f t="shared" si="183"/>
        <v>4</v>
      </c>
      <c r="U1156" t="str">
        <f t="shared" si="184"/>
        <v>04</v>
      </c>
      <c r="V1156" t="str">
        <f t="shared" si="185"/>
        <v>202504</v>
      </c>
      <c r="W1156" t="str">
        <f t="shared" si="186"/>
        <v>Jul-25</v>
      </c>
      <c r="X1156" s="3">
        <f t="shared" si="187"/>
        <v>56841.69</v>
      </c>
      <c r="Y1156">
        <f t="shared" si="188"/>
        <v>56841.69</v>
      </c>
      <c r="Z1156" t="str">
        <f t="shared" si="189"/>
        <v/>
      </c>
    </row>
    <row r="1157" spans="1:26" x14ac:dyDescent="0.25">
      <c r="A1157" s="1">
        <v>45842</v>
      </c>
      <c r="B1157" t="s">
        <v>1555</v>
      </c>
      <c r="C1157" t="s">
        <v>17</v>
      </c>
      <c r="D1157" t="s">
        <v>22</v>
      </c>
      <c r="E1157">
        <v>375</v>
      </c>
      <c r="F1157">
        <v>0</v>
      </c>
      <c r="G1157">
        <v>157.1</v>
      </c>
      <c r="H1157">
        <v>58912.5</v>
      </c>
      <c r="I1157" t="s">
        <v>1557</v>
      </c>
      <c r="J1157">
        <v>0</v>
      </c>
      <c r="K1157">
        <v>20.94</v>
      </c>
      <c r="L1157">
        <v>3</v>
      </c>
      <c r="M1157">
        <v>0.06</v>
      </c>
      <c r="N1157">
        <v>145</v>
      </c>
      <c r="O1157">
        <v>29.88</v>
      </c>
      <c r="P1157">
        <v>198.88</v>
      </c>
      <c r="Q1157">
        <f t="shared" si="180"/>
        <v>2025</v>
      </c>
      <c r="R1157">
        <f t="shared" si="181"/>
        <v>7</v>
      </c>
      <c r="S1157">
        <f t="shared" si="182"/>
        <v>2025</v>
      </c>
      <c r="T1157">
        <f t="shared" si="183"/>
        <v>4</v>
      </c>
      <c r="U1157" t="str">
        <f t="shared" si="184"/>
        <v>04</v>
      </c>
      <c r="V1157" t="str">
        <f t="shared" si="185"/>
        <v>202504</v>
      </c>
      <c r="W1157" t="str">
        <f t="shared" si="186"/>
        <v>Jul-25</v>
      </c>
      <c r="X1157" s="3">
        <f t="shared" si="187"/>
        <v>-59111.38</v>
      </c>
      <c r="Y1157" t="str">
        <f t="shared" si="188"/>
        <v/>
      </c>
      <c r="Z1157">
        <f t="shared" si="189"/>
        <v>-59111.38</v>
      </c>
    </row>
    <row r="1158" spans="1:26" x14ac:dyDescent="0.25">
      <c r="A1158" s="1">
        <v>45842</v>
      </c>
      <c r="B1158" t="s">
        <v>1555</v>
      </c>
      <c r="C1158" t="s">
        <v>17</v>
      </c>
      <c r="D1158" t="s">
        <v>18</v>
      </c>
      <c r="E1158">
        <v>300</v>
      </c>
      <c r="F1158">
        <v>0</v>
      </c>
      <c r="G1158">
        <v>153.44999999999999</v>
      </c>
      <c r="H1158">
        <v>46035</v>
      </c>
      <c r="I1158" t="s">
        <v>1558</v>
      </c>
      <c r="J1158">
        <v>46.04</v>
      </c>
      <c r="K1158">
        <v>16.36</v>
      </c>
      <c r="L1158">
        <v>0</v>
      </c>
      <c r="M1158">
        <v>0.04</v>
      </c>
      <c r="N1158">
        <v>116</v>
      </c>
      <c r="O1158">
        <v>23.84</v>
      </c>
      <c r="P1158">
        <v>202.28</v>
      </c>
      <c r="Q1158">
        <f t="shared" si="180"/>
        <v>2025</v>
      </c>
      <c r="R1158">
        <f t="shared" si="181"/>
        <v>7</v>
      </c>
      <c r="S1158">
        <f t="shared" si="182"/>
        <v>2025</v>
      </c>
      <c r="T1158">
        <f t="shared" si="183"/>
        <v>4</v>
      </c>
      <c r="U1158" t="str">
        <f t="shared" si="184"/>
        <v>04</v>
      </c>
      <c r="V1158" t="str">
        <f t="shared" si="185"/>
        <v>202504</v>
      </c>
      <c r="W1158" t="str">
        <f t="shared" si="186"/>
        <v>Jul-25</v>
      </c>
      <c r="X1158" s="3">
        <f t="shared" si="187"/>
        <v>45832.72</v>
      </c>
      <c r="Y1158">
        <f t="shared" si="188"/>
        <v>45832.72</v>
      </c>
      <c r="Z1158" t="str">
        <f t="shared" si="189"/>
        <v/>
      </c>
    </row>
    <row r="1159" spans="1:26" x14ac:dyDescent="0.25">
      <c r="A1159" s="1">
        <v>45842</v>
      </c>
      <c r="B1159" t="s">
        <v>1555</v>
      </c>
      <c r="C1159" t="s">
        <v>17</v>
      </c>
      <c r="D1159" t="s">
        <v>22</v>
      </c>
      <c r="E1159">
        <v>300</v>
      </c>
      <c r="F1159">
        <v>0</v>
      </c>
      <c r="G1159">
        <v>157.69999999999999</v>
      </c>
      <c r="H1159">
        <v>47310</v>
      </c>
      <c r="I1159" t="s">
        <v>1559</v>
      </c>
      <c r="J1159">
        <v>0</v>
      </c>
      <c r="K1159">
        <v>16.8</v>
      </c>
      <c r="L1159">
        <v>0</v>
      </c>
      <c r="M1159">
        <v>0.04</v>
      </c>
      <c r="N1159">
        <v>116</v>
      </c>
      <c r="O1159">
        <v>23.92</v>
      </c>
      <c r="P1159">
        <v>156.76</v>
      </c>
      <c r="Q1159">
        <f t="shared" si="180"/>
        <v>2025</v>
      </c>
      <c r="R1159">
        <f t="shared" si="181"/>
        <v>7</v>
      </c>
      <c r="S1159">
        <f t="shared" si="182"/>
        <v>2025</v>
      </c>
      <c r="T1159">
        <f t="shared" si="183"/>
        <v>4</v>
      </c>
      <c r="U1159" t="str">
        <f t="shared" si="184"/>
        <v>04</v>
      </c>
      <c r="V1159" t="str">
        <f t="shared" si="185"/>
        <v>202504</v>
      </c>
      <c r="W1159" t="str">
        <f t="shared" si="186"/>
        <v>Jul-25</v>
      </c>
      <c r="X1159" s="3">
        <f t="shared" si="187"/>
        <v>-47466.76</v>
      </c>
      <c r="Y1159" t="str">
        <f t="shared" si="188"/>
        <v/>
      </c>
      <c r="Z1159">
        <f t="shared" si="189"/>
        <v>-47466.76</v>
      </c>
    </row>
    <row r="1160" spans="1:26" x14ac:dyDescent="0.25">
      <c r="A1160" s="1">
        <v>45881</v>
      </c>
      <c r="B1160" t="s">
        <v>1560</v>
      </c>
      <c r="C1160" t="s">
        <v>17</v>
      </c>
      <c r="D1160" t="s">
        <v>18</v>
      </c>
      <c r="E1160">
        <v>450</v>
      </c>
      <c r="F1160">
        <v>0</v>
      </c>
      <c r="G1160">
        <v>59.65</v>
      </c>
      <c r="H1160">
        <v>26842.5</v>
      </c>
      <c r="I1160" t="s">
        <v>1561</v>
      </c>
      <c r="J1160">
        <v>27</v>
      </c>
      <c r="K1160">
        <v>9.5399999999999991</v>
      </c>
      <c r="L1160">
        <v>0</v>
      </c>
      <c r="M1160">
        <v>0.02</v>
      </c>
      <c r="N1160">
        <v>174</v>
      </c>
      <c r="O1160">
        <v>33.04</v>
      </c>
      <c r="P1160">
        <v>243.6</v>
      </c>
      <c r="Q1160">
        <f t="shared" si="180"/>
        <v>2025</v>
      </c>
      <c r="R1160">
        <f t="shared" si="181"/>
        <v>8</v>
      </c>
      <c r="S1160">
        <f t="shared" si="182"/>
        <v>2025</v>
      </c>
      <c r="T1160">
        <f t="shared" si="183"/>
        <v>5</v>
      </c>
      <c r="U1160" t="str">
        <f t="shared" si="184"/>
        <v>05</v>
      </c>
      <c r="V1160" t="str">
        <f t="shared" si="185"/>
        <v>202505</v>
      </c>
      <c r="W1160" t="str">
        <f t="shared" si="186"/>
        <v>Aug-25</v>
      </c>
      <c r="X1160" s="3">
        <f t="shared" si="187"/>
        <v>26598.9</v>
      </c>
      <c r="Y1160">
        <f t="shared" si="188"/>
        <v>26598.9</v>
      </c>
      <c r="Z1160" t="str">
        <f t="shared" si="189"/>
        <v/>
      </c>
    </row>
    <row r="1161" spans="1:26" x14ac:dyDescent="0.25">
      <c r="A1161" s="1">
        <v>45881</v>
      </c>
      <c r="B1161" t="s">
        <v>1560</v>
      </c>
      <c r="C1161" t="s">
        <v>17</v>
      </c>
      <c r="D1161" t="s">
        <v>22</v>
      </c>
      <c r="E1161">
        <v>225</v>
      </c>
      <c r="F1161">
        <v>0</v>
      </c>
      <c r="G1161">
        <v>44.3</v>
      </c>
      <c r="H1161">
        <v>9967.5</v>
      </c>
      <c r="I1161" t="s">
        <v>1562</v>
      </c>
      <c r="J1161">
        <v>0</v>
      </c>
      <c r="K1161">
        <v>3.54</v>
      </c>
      <c r="L1161">
        <v>0</v>
      </c>
      <c r="M1161">
        <v>0.01</v>
      </c>
      <c r="N1161">
        <v>87</v>
      </c>
      <c r="O1161">
        <v>16.3</v>
      </c>
      <c r="P1161">
        <v>106.85</v>
      </c>
      <c r="Q1161">
        <f t="shared" si="180"/>
        <v>2025</v>
      </c>
      <c r="R1161">
        <f t="shared" si="181"/>
        <v>8</v>
      </c>
      <c r="S1161">
        <f t="shared" si="182"/>
        <v>2025</v>
      </c>
      <c r="T1161">
        <f t="shared" si="183"/>
        <v>5</v>
      </c>
      <c r="U1161" t="str">
        <f t="shared" si="184"/>
        <v>05</v>
      </c>
      <c r="V1161" t="str">
        <f t="shared" si="185"/>
        <v>202505</v>
      </c>
      <c r="W1161" t="str">
        <f t="shared" si="186"/>
        <v>Aug-25</v>
      </c>
      <c r="X1161" s="3">
        <f t="shared" si="187"/>
        <v>-10074.35</v>
      </c>
      <c r="Y1161" t="str">
        <f t="shared" si="188"/>
        <v/>
      </c>
      <c r="Z1161">
        <f t="shared" si="189"/>
        <v>-10074.35</v>
      </c>
    </row>
    <row r="1162" spans="1:26" x14ac:dyDescent="0.25">
      <c r="A1162" s="1">
        <v>45881</v>
      </c>
      <c r="B1162" t="s">
        <v>1560</v>
      </c>
      <c r="C1162" t="s">
        <v>17</v>
      </c>
      <c r="D1162" t="s">
        <v>22</v>
      </c>
      <c r="E1162">
        <v>150</v>
      </c>
      <c r="F1162">
        <v>0</v>
      </c>
      <c r="G1162">
        <v>66.05</v>
      </c>
      <c r="H1162">
        <v>9907.5</v>
      </c>
      <c r="I1162" t="s">
        <v>1563</v>
      </c>
      <c r="J1162">
        <v>0</v>
      </c>
      <c r="K1162">
        <v>3.52</v>
      </c>
      <c r="L1162">
        <v>1</v>
      </c>
      <c r="M1162">
        <v>0.01</v>
      </c>
      <c r="N1162">
        <v>58</v>
      </c>
      <c r="O1162">
        <v>11.08</v>
      </c>
      <c r="P1162">
        <v>73.61</v>
      </c>
      <c r="Q1162">
        <f t="shared" si="180"/>
        <v>2025</v>
      </c>
      <c r="R1162">
        <f t="shared" si="181"/>
        <v>8</v>
      </c>
      <c r="S1162">
        <f t="shared" si="182"/>
        <v>2025</v>
      </c>
      <c r="T1162">
        <f t="shared" si="183"/>
        <v>5</v>
      </c>
      <c r="U1162" t="str">
        <f t="shared" si="184"/>
        <v>05</v>
      </c>
      <c r="V1162" t="str">
        <f t="shared" si="185"/>
        <v>202505</v>
      </c>
      <c r="W1162" t="str">
        <f t="shared" si="186"/>
        <v>Aug-25</v>
      </c>
      <c r="X1162" s="3">
        <f t="shared" si="187"/>
        <v>-9981.11</v>
      </c>
      <c r="Y1162" t="str">
        <f t="shared" si="188"/>
        <v/>
      </c>
      <c r="Z1162">
        <f t="shared" si="189"/>
        <v>-9981.11</v>
      </c>
    </row>
    <row r="1163" spans="1:26" x14ac:dyDescent="0.25">
      <c r="A1163" s="1">
        <v>45881</v>
      </c>
      <c r="B1163" t="s">
        <v>1560</v>
      </c>
      <c r="C1163" t="s">
        <v>17</v>
      </c>
      <c r="D1163" t="s">
        <v>22</v>
      </c>
      <c r="E1163">
        <v>75</v>
      </c>
      <c r="F1163">
        <v>0</v>
      </c>
      <c r="G1163">
        <v>82.3</v>
      </c>
      <c r="H1163">
        <v>6172.5</v>
      </c>
      <c r="I1163" t="s">
        <v>1564</v>
      </c>
      <c r="J1163">
        <v>0</v>
      </c>
      <c r="K1163">
        <v>2.19</v>
      </c>
      <c r="L1163">
        <v>0</v>
      </c>
      <c r="M1163">
        <v>0.01</v>
      </c>
      <c r="N1163">
        <v>29</v>
      </c>
      <c r="O1163">
        <v>5.62</v>
      </c>
      <c r="P1163">
        <v>36.82</v>
      </c>
      <c r="Q1163">
        <f t="shared" si="180"/>
        <v>2025</v>
      </c>
      <c r="R1163">
        <f t="shared" si="181"/>
        <v>8</v>
      </c>
      <c r="S1163">
        <f t="shared" si="182"/>
        <v>2025</v>
      </c>
      <c r="T1163">
        <f t="shared" si="183"/>
        <v>5</v>
      </c>
      <c r="U1163" t="str">
        <f t="shared" si="184"/>
        <v>05</v>
      </c>
      <c r="V1163" t="str">
        <f t="shared" si="185"/>
        <v>202505</v>
      </c>
      <c r="W1163" t="str">
        <f t="shared" si="186"/>
        <v>Aug-25</v>
      </c>
      <c r="X1163" s="3">
        <f t="shared" si="187"/>
        <v>-6209.32</v>
      </c>
      <c r="Y1163" t="str">
        <f t="shared" si="188"/>
        <v/>
      </c>
      <c r="Z1163">
        <f t="shared" si="189"/>
        <v>-6209.32</v>
      </c>
    </row>
    <row r="1164" spans="1:26" x14ac:dyDescent="0.25">
      <c r="A1164" s="1">
        <v>45890</v>
      </c>
      <c r="B1164" t="s">
        <v>1565</v>
      </c>
      <c r="C1164" t="s">
        <v>17</v>
      </c>
      <c r="D1164" t="s">
        <v>18</v>
      </c>
      <c r="E1164">
        <v>900</v>
      </c>
      <c r="F1164">
        <v>0</v>
      </c>
      <c r="G1164">
        <v>4.1500000000000004</v>
      </c>
      <c r="H1164">
        <v>3735</v>
      </c>
      <c r="I1164" t="s">
        <v>1566</v>
      </c>
      <c r="J1164">
        <v>3.73</v>
      </c>
      <c r="K1164">
        <v>1.33</v>
      </c>
      <c r="L1164">
        <v>0</v>
      </c>
      <c r="M1164">
        <v>0</v>
      </c>
      <c r="N1164">
        <v>348</v>
      </c>
      <c r="O1164">
        <v>62.88</v>
      </c>
      <c r="P1164">
        <v>415.94</v>
      </c>
      <c r="Q1164">
        <f t="shared" si="180"/>
        <v>2025</v>
      </c>
      <c r="R1164">
        <f t="shared" si="181"/>
        <v>8</v>
      </c>
      <c r="S1164">
        <f t="shared" si="182"/>
        <v>2025</v>
      </c>
      <c r="T1164">
        <f t="shared" si="183"/>
        <v>5</v>
      </c>
      <c r="U1164" t="str">
        <f t="shared" si="184"/>
        <v>05</v>
      </c>
      <c r="V1164" t="str">
        <f t="shared" si="185"/>
        <v>202505</v>
      </c>
      <c r="W1164" t="str">
        <f t="shared" si="186"/>
        <v>Aug-25</v>
      </c>
      <c r="X1164" s="3">
        <f t="shared" si="187"/>
        <v>3319.06</v>
      </c>
      <c r="Y1164">
        <f t="shared" si="188"/>
        <v>3319.06</v>
      </c>
      <c r="Z1164" t="str">
        <f t="shared" si="189"/>
        <v/>
      </c>
    </row>
    <row r="1165" spans="1:26" x14ac:dyDescent="0.25">
      <c r="A1165" s="1">
        <v>45890</v>
      </c>
      <c r="B1165" t="s">
        <v>1565</v>
      </c>
      <c r="C1165" t="s">
        <v>17</v>
      </c>
      <c r="D1165" t="s">
        <v>18</v>
      </c>
      <c r="E1165">
        <v>1500</v>
      </c>
      <c r="F1165">
        <v>0</v>
      </c>
      <c r="G1165">
        <v>3.8</v>
      </c>
      <c r="H1165">
        <v>5700</v>
      </c>
      <c r="I1165" t="s">
        <v>1567</v>
      </c>
      <c r="J1165">
        <v>5.72</v>
      </c>
      <c r="K1165">
        <v>2.02</v>
      </c>
      <c r="L1165">
        <v>0</v>
      </c>
      <c r="M1165">
        <v>0</v>
      </c>
      <c r="N1165">
        <v>580</v>
      </c>
      <c r="O1165">
        <v>104.76</v>
      </c>
      <c r="P1165">
        <v>692.5</v>
      </c>
      <c r="Q1165">
        <f t="shared" si="180"/>
        <v>2025</v>
      </c>
      <c r="R1165">
        <f t="shared" si="181"/>
        <v>8</v>
      </c>
      <c r="S1165">
        <f t="shared" si="182"/>
        <v>2025</v>
      </c>
      <c r="T1165">
        <f t="shared" si="183"/>
        <v>5</v>
      </c>
      <c r="U1165" t="str">
        <f t="shared" si="184"/>
        <v>05</v>
      </c>
      <c r="V1165" t="str">
        <f t="shared" si="185"/>
        <v>202505</v>
      </c>
      <c r="W1165" t="str">
        <f t="shared" si="186"/>
        <v>Aug-25</v>
      </c>
      <c r="X1165" s="3">
        <f t="shared" si="187"/>
        <v>5007.5</v>
      </c>
      <c r="Y1165">
        <f t="shared" si="188"/>
        <v>5007.5</v>
      </c>
      <c r="Z1165" t="str">
        <f t="shared" si="189"/>
        <v/>
      </c>
    </row>
    <row r="1166" spans="1:26" x14ac:dyDescent="0.25">
      <c r="A1166" s="1">
        <v>45890</v>
      </c>
      <c r="B1166" t="s">
        <v>1565</v>
      </c>
      <c r="C1166" t="s">
        <v>17</v>
      </c>
      <c r="D1166" t="s">
        <v>18</v>
      </c>
      <c r="E1166">
        <v>450</v>
      </c>
      <c r="F1166">
        <v>0</v>
      </c>
      <c r="G1166">
        <v>3.8</v>
      </c>
      <c r="H1166">
        <v>1710</v>
      </c>
      <c r="I1166" t="s">
        <v>1568</v>
      </c>
      <c r="J1166">
        <v>1.71</v>
      </c>
      <c r="K1166">
        <v>0.61</v>
      </c>
      <c r="L1166">
        <v>0</v>
      </c>
      <c r="M1166">
        <v>0</v>
      </c>
      <c r="N1166">
        <v>174</v>
      </c>
      <c r="O1166">
        <v>31.42</v>
      </c>
      <c r="P1166">
        <v>207.74</v>
      </c>
      <c r="Q1166">
        <f t="shared" si="180"/>
        <v>2025</v>
      </c>
      <c r="R1166">
        <f t="shared" si="181"/>
        <v>8</v>
      </c>
      <c r="S1166">
        <f t="shared" si="182"/>
        <v>2025</v>
      </c>
      <c r="T1166">
        <f t="shared" si="183"/>
        <v>5</v>
      </c>
      <c r="U1166" t="str">
        <f t="shared" si="184"/>
        <v>05</v>
      </c>
      <c r="V1166" t="str">
        <f t="shared" si="185"/>
        <v>202505</v>
      </c>
      <c r="W1166" t="str">
        <f t="shared" si="186"/>
        <v>Aug-25</v>
      </c>
      <c r="X1166" s="3">
        <f t="shared" si="187"/>
        <v>1502.26</v>
      </c>
      <c r="Y1166">
        <f t="shared" si="188"/>
        <v>1502.26</v>
      </c>
      <c r="Z1166" t="str">
        <f t="shared" si="189"/>
        <v/>
      </c>
    </row>
    <row r="1167" spans="1:26" x14ac:dyDescent="0.25">
      <c r="A1167" s="1">
        <v>45890</v>
      </c>
      <c r="B1167" t="s">
        <v>1565</v>
      </c>
      <c r="C1167" t="s">
        <v>17</v>
      </c>
      <c r="D1167" t="s">
        <v>18</v>
      </c>
      <c r="E1167">
        <v>150</v>
      </c>
      <c r="F1167">
        <v>0</v>
      </c>
      <c r="G1167">
        <v>12.05</v>
      </c>
      <c r="H1167">
        <v>1807.5</v>
      </c>
      <c r="I1167" t="s">
        <v>1569</v>
      </c>
      <c r="J1167">
        <v>1.86</v>
      </c>
      <c r="K1167">
        <v>0.64</v>
      </c>
      <c r="L1167">
        <v>0</v>
      </c>
      <c r="M1167">
        <v>0</v>
      </c>
      <c r="N1167">
        <v>58</v>
      </c>
      <c r="O1167">
        <v>10.56</v>
      </c>
      <c r="P1167">
        <v>71.06</v>
      </c>
      <c r="Q1167">
        <f t="shared" si="180"/>
        <v>2025</v>
      </c>
      <c r="R1167">
        <f t="shared" si="181"/>
        <v>8</v>
      </c>
      <c r="S1167">
        <f t="shared" si="182"/>
        <v>2025</v>
      </c>
      <c r="T1167">
        <f t="shared" si="183"/>
        <v>5</v>
      </c>
      <c r="U1167" t="str">
        <f t="shared" si="184"/>
        <v>05</v>
      </c>
      <c r="V1167" t="str">
        <f t="shared" si="185"/>
        <v>202505</v>
      </c>
      <c r="W1167" t="str">
        <f t="shared" si="186"/>
        <v>Aug-25</v>
      </c>
      <c r="X1167" s="3">
        <f t="shared" si="187"/>
        <v>1736.44</v>
      </c>
      <c r="Y1167">
        <f t="shared" si="188"/>
        <v>1736.44</v>
      </c>
      <c r="Z1167" t="str">
        <f t="shared" si="189"/>
        <v/>
      </c>
    </row>
    <row r="1168" spans="1:26" x14ac:dyDescent="0.25">
      <c r="A1168" s="1">
        <v>45890</v>
      </c>
      <c r="B1168" t="s">
        <v>1565</v>
      </c>
      <c r="C1168" t="s">
        <v>17</v>
      </c>
      <c r="D1168" t="s">
        <v>22</v>
      </c>
      <c r="E1168">
        <v>1500</v>
      </c>
      <c r="F1168">
        <v>0</v>
      </c>
      <c r="G1168">
        <v>9.9</v>
      </c>
      <c r="H1168">
        <v>14850</v>
      </c>
      <c r="I1168" t="s">
        <v>1570</v>
      </c>
      <c r="J1168">
        <v>0</v>
      </c>
      <c r="K1168">
        <v>5.28</v>
      </c>
      <c r="L1168">
        <v>1</v>
      </c>
      <c r="M1168">
        <v>0.01</v>
      </c>
      <c r="N1168">
        <v>580</v>
      </c>
      <c r="O1168">
        <v>105.36</v>
      </c>
      <c r="P1168">
        <v>691.65</v>
      </c>
      <c r="Q1168">
        <f t="shared" si="180"/>
        <v>2025</v>
      </c>
      <c r="R1168">
        <f t="shared" si="181"/>
        <v>8</v>
      </c>
      <c r="S1168">
        <f t="shared" si="182"/>
        <v>2025</v>
      </c>
      <c r="T1168">
        <f t="shared" si="183"/>
        <v>5</v>
      </c>
      <c r="U1168" t="str">
        <f t="shared" si="184"/>
        <v>05</v>
      </c>
      <c r="V1168" t="str">
        <f t="shared" si="185"/>
        <v>202505</v>
      </c>
      <c r="W1168" t="str">
        <f t="shared" si="186"/>
        <v>Aug-25</v>
      </c>
      <c r="X1168" s="3">
        <f t="shared" si="187"/>
        <v>-15541.65</v>
      </c>
      <c r="Y1168" t="str">
        <f t="shared" si="188"/>
        <v/>
      </c>
      <c r="Z1168">
        <f t="shared" si="189"/>
        <v>-15541.65</v>
      </c>
    </row>
    <row r="1169" spans="1:26" x14ac:dyDescent="0.25">
      <c r="A1169" s="1">
        <v>45890</v>
      </c>
      <c r="B1169" t="s">
        <v>1565</v>
      </c>
      <c r="C1169" t="s">
        <v>17</v>
      </c>
      <c r="D1169" t="s">
        <v>22</v>
      </c>
      <c r="E1169">
        <v>750</v>
      </c>
      <c r="F1169">
        <v>0</v>
      </c>
      <c r="G1169">
        <v>14.69</v>
      </c>
      <c r="H1169">
        <v>11017.5</v>
      </c>
      <c r="I1169" t="s">
        <v>1571</v>
      </c>
      <c r="J1169">
        <v>0</v>
      </c>
      <c r="K1169">
        <v>3.91</v>
      </c>
      <c r="L1169">
        <v>0</v>
      </c>
      <c r="M1169">
        <v>0.01</v>
      </c>
      <c r="N1169">
        <v>290</v>
      </c>
      <c r="O1169">
        <v>52.92</v>
      </c>
      <c r="P1169">
        <v>346.84</v>
      </c>
      <c r="Q1169">
        <f t="shared" si="180"/>
        <v>2025</v>
      </c>
      <c r="R1169">
        <f t="shared" si="181"/>
        <v>8</v>
      </c>
      <c r="S1169">
        <f t="shared" si="182"/>
        <v>2025</v>
      </c>
      <c r="T1169">
        <f t="shared" si="183"/>
        <v>5</v>
      </c>
      <c r="U1169" t="str">
        <f t="shared" si="184"/>
        <v>05</v>
      </c>
      <c r="V1169" t="str">
        <f t="shared" si="185"/>
        <v>202505</v>
      </c>
      <c r="W1169" t="str">
        <f t="shared" si="186"/>
        <v>Aug-25</v>
      </c>
      <c r="X1169" s="3">
        <f t="shared" si="187"/>
        <v>-11364.34</v>
      </c>
      <c r="Y1169" t="str">
        <f t="shared" si="188"/>
        <v/>
      </c>
      <c r="Z1169">
        <f t="shared" si="189"/>
        <v>-11364.34</v>
      </c>
    </row>
    <row r="1170" spans="1:26" x14ac:dyDescent="0.25">
      <c r="A1170" s="1">
        <v>45890</v>
      </c>
      <c r="B1170" t="s">
        <v>1565</v>
      </c>
      <c r="C1170" t="s">
        <v>17</v>
      </c>
      <c r="D1170" t="s">
        <v>22</v>
      </c>
      <c r="E1170">
        <v>750</v>
      </c>
      <c r="F1170">
        <v>0</v>
      </c>
      <c r="G1170">
        <v>13.45</v>
      </c>
      <c r="H1170">
        <v>10087.5</v>
      </c>
      <c r="I1170" t="s">
        <v>1572</v>
      </c>
      <c r="J1170">
        <v>0</v>
      </c>
      <c r="K1170">
        <v>3.58</v>
      </c>
      <c r="L1170">
        <v>0</v>
      </c>
      <c r="M1170">
        <v>0.01</v>
      </c>
      <c r="N1170">
        <v>290</v>
      </c>
      <c r="O1170">
        <v>52.84</v>
      </c>
      <c r="P1170">
        <v>346.43</v>
      </c>
      <c r="Q1170">
        <f t="shared" si="180"/>
        <v>2025</v>
      </c>
      <c r="R1170">
        <f t="shared" si="181"/>
        <v>8</v>
      </c>
      <c r="S1170">
        <f t="shared" si="182"/>
        <v>2025</v>
      </c>
      <c r="T1170">
        <f t="shared" si="183"/>
        <v>5</v>
      </c>
      <c r="U1170" t="str">
        <f t="shared" si="184"/>
        <v>05</v>
      </c>
      <c r="V1170" t="str">
        <f t="shared" si="185"/>
        <v>202505</v>
      </c>
      <c r="W1170" t="str">
        <f t="shared" si="186"/>
        <v>Aug-25</v>
      </c>
      <c r="X1170" s="3">
        <f t="shared" si="187"/>
        <v>-10433.93</v>
      </c>
      <c r="Y1170" t="str">
        <f t="shared" si="188"/>
        <v/>
      </c>
      <c r="Z1170">
        <f t="shared" si="189"/>
        <v>-10433.93</v>
      </c>
    </row>
    <row r="1171" spans="1:26" x14ac:dyDescent="0.25">
      <c r="A1171" s="1">
        <v>45897</v>
      </c>
      <c r="B1171" t="s">
        <v>1573</v>
      </c>
      <c r="C1171" t="s">
        <v>17</v>
      </c>
      <c r="D1171" t="s">
        <v>18</v>
      </c>
      <c r="E1171">
        <v>1200</v>
      </c>
      <c r="F1171">
        <v>0</v>
      </c>
      <c r="G1171">
        <v>17.649999999999999</v>
      </c>
      <c r="H1171">
        <v>21180</v>
      </c>
      <c r="I1171" t="s">
        <v>1574</v>
      </c>
      <c r="J1171">
        <v>21.55</v>
      </c>
      <c r="K1171">
        <v>7.53</v>
      </c>
      <c r="L1171">
        <v>0</v>
      </c>
      <c r="M1171">
        <v>0.02</v>
      </c>
      <c r="N1171">
        <v>464</v>
      </c>
      <c r="O1171">
        <v>84.88</v>
      </c>
      <c r="P1171">
        <v>577.98</v>
      </c>
      <c r="Q1171">
        <f t="shared" si="180"/>
        <v>2025</v>
      </c>
      <c r="R1171">
        <f t="shared" si="181"/>
        <v>8</v>
      </c>
      <c r="S1171">
        <f t="shared" si="182"/>
        <v>2025</v>
      </c>
      <c r="T1171">
        <f t="shared" si="183"/>
        <v>5</v>
      </c>
      <c r="U1171" t="str">
        <f t="shared" si="184"/>
        <v>05</v>
      </c>
      <c r="V1171" t="str">
        <f t="shared" si="185"/>
        <v>202505</v>
      </c>
      <c r="W1171" t="str">
        <f t="shared" si="186"/>
        <v>Aug-25</v>
      </c>
      <c r="X1171" s="3">
        <f t="shared" si="187"/>
        <v>20602.02</v>
      </c>
      <c r="Y1171">
        <f t="shared" si="188"/>
        <v>20602.02</v>
      </c>
      <c r="Z1171" t="str">
        <f t="shared" si="189"/>
        <v/>
      </c>
    </row>
    <row r="1172" spans="1:26" x14ac:dyDescent="0.25">
      <c r="A1172" s="1">
        <v>45897</v>
      </c>
      <c r="B1172" t="s">
        <v>1573</v>
      </c>
      <c r="C1172" t="s">
        <v>17</v>
      </c>
      <c r="D1172" t="s">
        <v>22</v>
      </c>
      <c r="E1172">
        <v>600</v>
      </c>
      <c r="F1172">
        <v>0</v>
      </c>
      <c r="G1172">
        <v>8.25</v>
      </c>
      <c r="H1172">
        <v>4950</v>
      </c>
      <c r="I1172" t="s">
        <v>1575</v>
      </c>
      <c r="J1172">
        <v>0</v>
      </c>
      <c r="K1172">
        <v>1.76</v>
      </c>
      <c r="L1172">
        <v>0.32</v>
      </c>
      <c r="M1172">
        <v>0</v>
      </c>
      <c r="N1172">
        <v>232</v>
      </c>
      <c r="O1172">
        <v>42.08</v>
      </c>
      <c r="P1172">
        <v>276.16000000000003</v>
      </c>
      <c r="Q1172">
        <f t="shared" si="180"/>
        <v>2025</v>
      </c>
      <c r="R1172">
        <f t="shared" si="181"/>
        <v>8</v>
      </c>
      <c r="S1172">
        <f t="shared" si="182"/>
        <v>2025</v>
      </c>
      <c r="T1172">
        <f t="shared" si="183"/>
        <v>5</v>
      </c>
      <c r="U1172" t="str">
        <f t="shared" si="184"/>
        <v>05</v>
      </c>
      <c r="V1172" t="str">
        <f t="shared" si="185"/>
        <v>202505</v>
      </c>
      <c r="W1172" t="str">
        <f t="shared" si="186"/>
        <v>Aug-25</v>
      </c>
      <c r="X1172" s="3">
        <f t="shared" si="187"/>
        <v>-5226.16</v>
      </c>
      <c r="Y1172" t="str">
        <f t="shared" si="188"/>
        <v/>
      </c>
      <c r="Z1172">
        <f t="shared" si="189"/>
        <v>-5226.16</v>
      </c>
    </row>
    <row r="1173" spans="1:26" x14ac:dyDescent="0.25">
      <c r="A1173" s="1">
        <v>45897</v>
      </c>
      <c r="B1173" t="s">
        <v>1573</v>
      </c>
      <c r="C1173" t="s">
        <v>17</v>
      </c>
      <c r="D1173" t="s">
        <v>22</v>
      </c>
      <c r="E1173">
        <v>600</v>
      </c>
      <c r="F1173">
        <v>0</v>
      </c>
      <c r="G1173">
        <v>9.6</v>
      </c>
      <c r="H1173">
        <v>5760</v>
      </c>
      <c r="I1173" t="s">
        <v>1576</v>
      </c>
      <c r="J1173">
        <v>0</v>
      </c>
      <c r="K1173">
        <v>2.0499999999999998</v>
      </c>
      <c r="L1173">
        <v>0</v>
      </c>
      <c r="M1173">
        <v>0</v>
      </c>
      <c r="N1173">
        <v>232</v>
      </c>
      <c r="O1173">
        <v>42.12</v>
      </c>
      <c r="P1173">
        <v>276.17</v>
      </c>
      <c r="Q1173">
        <f t="shared" si="180"/>
        <v>2025</v>
      </c>
      <c r="R1173">
        <f t="shared" si="181"/>
        <v>8</v>
      </c>
      <c r="S1173">
        <f t="shared" si="182"/>
        <v>2025</v>
      </c>
      <c r="T1173">
        <f t="shared" si="183"/>
        <v>5</v>
      </c>
      <c r="U1173" t="str">
        <f t="shared" si="184"/>
        <v>05</v>
      </c>
      <c r="V1173" t="str">
        <f t="shared" si="185"/>
        <v>202505</v>
      </c>
      <c r="W1173" t="str">
        <f t="shared" si="186"/>
        <v>Aug-25</v>
      </c>
      <c r="X1173" s="3">
        <f t="shared" si="187"/>
        <v>-6036.17</v>
      </c>
      <c r="Y1173" t="str">
        <f t="shared" si="188"/>
        <v/>
      </c>
      <c r="Z1173">
        <f t="shared" si="189"/>
        <v>-6036.17</v>
      </c>
    </row>
    <row r="1174" spans="1:26" x14ac:dyDescent="0.25">
      <c r="A1174" s="1">
        <v>45897</v>
      </c>
      <c r="B1174" t="s">
        <v>1577</v>
      </c>
      <c r="C1174" t="s">
        <v>17</v>
      </c>
      <c r="D1174" t="s">
        <v>18</v>
      </c>
      <c r="E1174">
        <v>675</v>
      </c>
      <c r="F1174">
        <v>0</v>
      </c>
      <c r="G1174">
        <v>49.55</v>
      </c>
      <c r="H1174">
        <v>33446.25</v>
      </c>
      <c r="I1174" t="s">
        <v>1578</v>
      </c>
      <c r="J1174">
        <v>33.450000000000003</v>
      </c>
      <c r="K1174">
        <v>11.88</v>
      </c>
      <c r="L1174">
        <v>0</v>
      </c>
      <c r="M1174">
        <v>0.03</v>
      </c>
      <c r="N1174">
        <v>261</v>
      </c>
      <c r="O1174">
        <v>49.14</v>
      </c>
      <c r="P1174">
        <v>355.5</v>
      </c>
      <c r="Q1174">
        <f t="shared" si="180"/>
        <v>2025</v>
      </c>
      <c r="R1174">
        <f t="shared" si="181"/>
        <v>8</v>
      </c>
      <c r="S1174">
        <f t="shared" si="182"/>
        <v>2025</v>
      </c>
      <c r="T1174">
        <f t="shared" si="183"/>
        <v>5</v>
      </c>
      <c r="U1174" t="str">
        <f t="shared" si="184"/>
        <v>05</v>
      </c>
      <c r="V1174" t="str">
        <f t="shared" si="185"/>
        <v>202505</v>
      </c>
      <c r="W1174" t="str">
        <f t="shared" si="186"/>
        <v>Aug-25</v>
      </c>
      <c r="X1174" s="3">
        <f t="shared" si="187"/>
        <v>33090.75</v>
      </c>
      <c r="Y1174">
        <f t="shared" si="188"/>
        <v>33090.75</v>
      </c>
      <c r="Z1174" t="str">
        <f t="shared" si="189"/>
        <v/>
      </c>
    </row>
    <row r="1175" spans="1:26" x14ac:dyDescent="0.25">
      <c r="A1175" s="1">
        <v>45897</v>
      </c>
      <c r="B1175" t="s">
        <v>1577</v>
      </c>
      <c r="C1175" t="s">
        <v>17</v>
      </c>
      <c r="D1175" t="s">
        <v>22</v>
      </c>
      <c r="E1175">
        <v>675</v>
      </c>
      <c r="F1175">
        <v>0</v>
      </c>
      <c r="G1175">
        <v>40.07</v>
      </c>
      <c r="H1175">
        <v>27048.75</v>
      </c>
      <c r="I1175" t="s">
        <v>1579</v>
      </c>
      <c r="J1175">
        <v>0</v>
      </c>
      <c r="K1175">
        <v>9.6199999999999992</v>
      </c>
      <c r="L1175">
        <v>0.68</v>
      </c>
      <c r="M1175">
        <v>0.01</v>
      </c>
      <c r="N1175">
        <v>261</v>
      </c>
      <c r="O1175">
        <v>48.76</v>
      </c>
      <c r="P1175">
        <v>320.07</v>
      </c>
      <c r="Q1175">
        <f t="shared" si="180"/>
        <v>2025</v>
      </c>
      <c r="R1175">
        <f t="shared" si="181"/>
        <v>8</v>
      </c>
      <c r="S1175">
        <f t="shared" si="182"/>
        <v>2025</v>
      </c>
      <c r="T1175">
        <f t="shared" si="183"/>
        <v>5</v>
      </c>
      <c r="U1175" t="str">
        <f t="shared" si="184"/>
        <v>05</v>
      </c>
      <c r="V1175" t="str">
        <f t="shared" si="185"/>
        <v>202505</v>
      </c>
      <c r="W1175" t="str">
        <f t="shared" si="186"/>
        <v>Aug-25</v>
      </c>
      <c r="X1175" s="3">
        <f t="shared" si="187"/>
        <v>-27368.82</v>
      </c>
      <c r="Y1175" t="str">
        <f t="shared" si="188"/>
        <v/>
      </c>
      <c r="Z1175">
        <f t="shared" si="189"/>
        <v>-27368.82</v>
      </c>
    </row>
    <row r="1176" spans="1:26" x14ac:dyDescent="0.25">
      <c r="A1176" s="1">
        <v>45902</v>
      </c>
      <c r="B1176" t="s">
        <v>1580</v>
      </c>
      <c r="C1176" t="s">
        <v>17</v>
      </c>
      <c r="D1176" t="s">
        <v>18</v>
      </c>
      <c r="E1176">
        <v>750</v>
      </c>
      <c r="F1176">
        <v>0</v>
      </c>
      <c r="G1176">
        <v>40.25</v>
      </c>
      <c r="H1176">
        <v>30187.5</v>
      </c>
      <c r="I1176" t="s">
        <v>1581</v>
      </c>
      <c r="J1176">
        <v>30</v>
      </c>
      <c r="K1176">
        <v>10.73</v>
      </c>
      <c r="L1176">
        <v>0</v>
      </c>
      <c r="M1176">
        <v>0.03</v>
      </c>
      <c r="N1176">
        <v>290</v>
      </c>
      <c r="O1176">
        <v>54.14</v>
      </c>
      <c r="P1176">
        <v>384.9</v>
      </c>
      <c r="Q1176">
        <f t="shared" si="180"/>
        <v>2025</v>
      </c>
      <c r="R1176">
        <f t="shared" si="181"/>
        <v>9</v>
      </c>
      <c r="S1176">
        <f t="shared" si="182"/>
        <v>2025</v>
      </c>
      <c r="T1176">
        <f t="shared" si="183"/>
        <v>6</v>
      </c>
      <c r="U1176" t="str">
        <f t="shared" si="184"/>
        <v>06</v>
      </c>
      <c r="V1176" t="str">
        <f t="shared" si="185"/>
        <v>202506</v>
      </c>
      <c r="W1176" t="str">
        <f t="shared" si="186"/>
        <v>Sep-25</v>
      </c>
      <c r="X1176" s="3">
        <f t="shared" si="187"/>
        <v>29802.6</v>
      </c>
      <c r="Y1176">
        <f t="shared" si="188"/>
        <v>29802.6</v>
      </c>
      <c r="Z1176" t="str">
        <f t="shared" si="189"/>
        <v/>
      </c>
    </row>
    <row r="1177" spans="1:26" x14ac:dyDescent="0.25">
      <c r="A1177" s="1">
        <v>45902</v>
      </c>
      <c r="B1177" t="s">
        <v>1580</v>
      </c>
      <c r="C1177" t="s">
        <v>17</v>
      </c>
      <c r="D1177" t="s">
        <v>22</v>
      </c>
      <c r="E1177">
        <v>375</v>
      </c>
      <c r="F1177">
        <v>0</v>
      </c>
      <c r="G1177">
        <v>24.25</v>
      </c>
      <c r="H1177">
        <v>9093.75</v>
      </c>
      <c r="I1177" t="s">
        <v>1582</v>
      </c>
      <c r="J1177">
        <v>0</v>
      </c>
      <c r="K1177">
        <v>3.23</v>
      </c>
      <c r="L1177">
        <v>1</v>
      </c>
      <c r="M1177">
        <v>0.01</v>
      </c>
      <c r="N1177">
        <v>145</v>
      </c>
      <c r="O1177">
        <v>26.68</v>
      </c>
      <c r="P1177">
        <v>175.92</v>
      </c>
      <c r="Q1177">
        <f t="shared" si="180"/>
        <v>2025</v>
      </c>
      <c r="R1177">
        <f t="shared" si="181"/>
        <v>9</v>
      </c>
      <c r="S1177">
        <f t="shared" si="182"/>
        <v>2025</v>
      </c>
      <c r="T1177">
        <f t="shared" si="183"/>
        <v>6</v>
      </c>
      <c r="U1177" t="str">
        <f t="shared" si="184"/>
        <v>06</v>
      </c>
      <c r="V1177" t="str">
        <f t="shared" si="185"/>
        <v>202506</v>
      </c>
      <c r="W1177" t="str">
        <f t="shared" si="186"/>
        <v>Sep-25</v>
      </c>
      <c r="X1177" s="3">
        <f t="shared" si="187"/>
        <v>-9269.67</v>
      </c>
      <c r="Y1177" t="str">
        <f t="shared" si="188"/>
        <v/>
      </c>
      <c r="Z1177">
        <f t="shared" si="189"/>
        <v>-9269.67</v>
      </c>
    </row>
    <row r="1178" spans="1:26" x14ac:dyDescent="0.25">
      <c r="A1178" s="1">
        <v>45902</v>
      </c>
      <c r="B1178" t="s">
        <v>1580</v>
      </c>
      <c r="C1178" t="s">
        <v>17</v>
      </c>
      <c r="D1178" t="s">
        <v>22</v>
      </c>
      <c r="E1178">
        <v>375</v>
      </c>
      <c r="F1178">
        <v>0</v>
      </c>
      <c r="G1178">
        <v>24.5</v>
      </c>
      <c r="H1178">
        <v>9187.5</v>
      </c>
      <c r="I1178" t="s">
        <v>1583</v>
      </c>
      <c r="J1178">
        <v>0</v>
      </c>
      <c r="K1178">
        <v>3.26</v>
      </c>
      <c r="L1178">
        <v>0</v>
      </c>
      <c r="M1178">
        <v>0.01</v>
      </c>
      <c r="N1178">
        <v>145</v>
      </c>
      <c r="O1178">
        <v>26.7</v>
      </c>
      <c r="P1178">
        <v>174.97</v>
      </c>
      <c r="Q1178">
        <f t="shared" si="180"/>
        <v>2025</v>
      </c>
      <c r="R1178">
        <f t="shared" si="181"/>
        <v>9</v>
      </c>
      <c r="S1178">
        <f t="shared" si="182"/>
        <v>2025</v>
      </c>
      <c r="T1178">
        <f t="shared" si="183"/>
        <v>6</v>
      </c>
      <c r="U1178" t="str">
        <f t="shared" si="184"/>
        <v>06</v>
      </c>
      <c r="V1178" t="str">
        <f t="shared" si="185"/>
        <v>202506</v>
      </c>
      <c r="W1178" t="str">
        <f t="shared" si="186"/>
        <v>Sep-25</v>
      </c>
      <c r="X1178" s="3">
        <f t="shared" si="187"/>
        <v>-9362.4699999999993</v>
      </c>
      <c r="Y1178" t="str">
        <f t="shared" si="188"/>
        <v/>
      </c>
      <c r="Z1178">
        <f t="shared" si="189"/>
        <v>-9362.4699999999993</v>
      </c>
    </row>
    <row r="1179" spans="1:26" x14ac:dyDescent="0.25">
      <c r="A1179" s="1">
        <v>45903</v>
      </c>
      <c r="B1179" t="s">
        <v>1584</v>
      </c>
      <c r="C1179" t="s">
        <v>17</v>
      </c>
      <c r="D1179" t="s">
        <v>18</v>
      </c>
      <c r="E1179">
        <v>375</v>
      </c>
      <c r="F1179">
        <v>0</v>
      </c>
      <c r="G1179">
        <v>94.8</v>
      </c>
      <c r="H1179">
        <v>35550</v>
      </c>
      <c r="I1179" t="s">
        <v>1585</v>
      </c>
      <c r="J1179">
        <v>35.69</v>
      </c>
      <c r="K1179">
        <v>12.63</v>
      </c>
      <c r="L1179">
        <v>0</v>
      </c>
      <c r="M1179">
        <v>0.03</v>
      </c>
      <c r="N1179">
        <v>145</v>
      </c>
      <c r="O1179">
        <v>28.4</v>
      </c>
      <c r="P1179">
        <v>221.75</v>
      </c>
      <c r="Q1179">
        <f t="shared" si="180"/>
        <v>2025</v>
      </c>
      <c r="R1179">
        <f t="shared" si="181"/>
        <v>9</v>
      </c>
      <c r="S1179">
        <f t="shared" si="182"/>
        <v>2025</v>
      </c>
      <c r="T1179">
        <f t="shared" si="183"/>
        <v>6</v>
      </c>
      <c r="U1179" t="str">
        <f t="shared" si="184"/>
        <v>06</v>
      </c>
      <c r="V1179" t="str">
        <f t="shared" si="185"/>
        <v>202506</v>
      </c>
      <c r="W1179" t="str">
        <f t="shared" si="186"/>
        <v>Sep-25</v>
      </c>
      <c r="X1179" s="3">
        <f t="shared" si="187"/>
        <v>35328.25</v>
      </c>
      <c r="Y1179">
        <f t="shared" si="188"/>
        <v>35328.25</v>
      </c>
      <c r="Z1179" t="str">
        <f t="shared" si="189"/>
        <v/>
      </c>
    </row>
    <row r="1180" spans="1:26" x14ac:dyDescent="0.25">
      <c r="A1180" s="1">
        <v>45903</v>
      </c>
      <c r="B1180" t="s">
        <v>1584</v>
      </c>
      <c r="C1180" t="s">
        <v>17</v>
      </c>
      <c r="D1180" t="s">
        <v>22</v>
      </c>
      <c r="E1180">
        <v>375</v>
      </c>
      <c r="F1180">
        <v>0</v>
      </c>
      <c r="G1180">
        <v>97.15</v>
      </c>
      <c r="H1180">
        <v>36431.25</v>
      </c>
      <c r="I1180" t="s">
        <v>1586</v>
      </c>
      <c r="J1180">
        <v>0</v>
      </c>
      <c r="K1180">
        <v>12.95</v>
      </c>
      <c r="L1180">
        <v>3</v>
      </c>
      <c r="M1180">
        <v>0.04</v>
      </c>
      <c r="N1180">
        <v>145</v>
      </c>
      <c r="O1180">
        <v>28.44</v>
      </c>
      <c r="P1180">
        <v>189.43</v>
      </c>
      <c r="Q1180">
        <f t="shared" ref="Q1180:Q1195" si="190">YEAR(A1180)</f>
        <v>2025</v>
      </c>
      <c r="R1180">
        <f t="shared" ref="R1180:R1195" si="191">MONTH(A1180)</f>
        <v>9</v>
      </c>
      <c r="S1180">
        <f t="shared" ref="S1180:S1195" si="192">IF(R1180&lt;4,Q1180-1,Q1180)</f>
        <v>2025</v>
      </c>
      <c r="T1180">
        <f t="shared" ref="T1180:T1195" si="193">IF(R1180&lt;4,R1180+9,R1180-3)</f>
        <v>6</v>
      </c>
      <c r="U1180" t="str">
        <f t="shared" ref="U1180:U1195" si="194">IF(LEN(T1180)=1,_xlfn.CONCAT(0,T1180),T1180)</f>
        <v>06</v>
      </c>
      <c r="V1180" t="str">
        <f t="shared" ref="V1180:V1195" si="195">_xlfn.CONCAT(S1180,U1180)</f>
        <v>202506</v>
      </c>
      <c r="W1180" t="str">
        <f t="shared" ref="W1180:W1195" si="196">_xlfn.CONCAT(TEXT(A1180,"MMM"),"-",MID(Q1180,3,2))</f>
        <v>Sep-25</v>
      </c>
      <c r="X1180" s="3">
        <f t="shared" ref="X1180:X1195" si="197">IFERROR(IF(D1180="Sell",(H1180-P1180),-(H1180+P1180)),0)</f>
        <v>-36620.68</v>
      </c>
      <c r="Y1180" t="str">
        <f t="shared" si="188"/>
        <v/>
      </c>
      <c r="Z1180">
        <f t="shared" si="189"/>
        <v>-36620.68</v>
      </c>
    </row>
    <row r="1181" spans="1:26" x14ac:dyDescent="0.25">
      <c r="A1181" s="1">
        <v>45903</v>
      </c>
      <c r="B1181" t="s">
        <v>1584</v>
      </c>
      <c r="C1181" t="s">
        <v>17</v>
      </c>
      <c r="D1181" t="s">
        <v>18</v>
      </c>
      <c r="E1181">
        <v>300</v>
      </c>
      <c r="F1181">
        <v>0</v>
      </c>
      <c r="G1181">
        <v>94.33</v>
      </c>
      <c r="H1181">
        <v>28297.5</v>
      </c>
      <c r="I1181" t="s">
        <v>1587</v>
      </c>
      <c r="J1181">
        <v>28.3</v>
      </c>
      <c r="K1181">
        <v>10.06</v>
      </c>
      <c r="L1181">
        <v>0</v>
      </c>
      <c r="M1181">
        <v>0.02</v>
      </c>
      <c r="N1181">
        <v>116</v>
      </c>
      <c r="O1181">
        <v>22.68</v>
      </c>
      <c r="P1181">
        <v>177.06</v>
      </c>
      <c r="Q1181">
        <f t="shared" si="190"/>
        <v>2025</v>
      </c>
      <c r="R1181">
        <f t="shared" si="191"/>
        <v>9</v>
      </c>
      <c r="S1181">
        <f t="shared" si="192"/>
        <v>2025</v>
      </c>
      <c r="T1181">
        <f t="shared" si="193"/>
        <v>6</v>
      </c>
      <c r="U1181" t="str">
        <f t="shared" si="194"/>
        <v>06</v>
      </c>
      <c r="V1181" t="str">
        <f t="shared" si="195"/>
        <v>202506</v>
      </c>
      <c r="W1181" t="str">
        <f t="shared" si="196"/>
        <v>Sep-25</v>
      </c>
      <c r="X1181" s="3">
        <f t="shared" si="197"/>
        <v>28120.44</v>
      </c>
      <c r="Y1181">
        <f t="shared" si="188"/>
        <v>28120.44</v>
      </c>
      <c r="Z1181" t="str">
        <f t="shared" si="189"/>
        <v/>
      </c>
    </row>
    <row r="1182" spans="1:26" x14ac:dyDescent="0.25">
      <c r="A1182" s="1">
        <v>45903</v>
      </c>
      <c r="B1182" t="s">
        <v>1584</v>
      </c>
      <c r="C1182" t="s">
        <v>17</v>
      </c>
      <c r="D1182" t="s">
        <v>22</v>
      </c>
      <c r="E1182">
        <v>300</v>
      </c>
      <c r="F1182">
        <v>0</v>
      </c>
      <c r="G1182">
        <v>97.45</v>
      </c>
      <c r="H1182">
        <v>29235</v>
      </c>
      <c r="I1182" t="s">
        <v>1588</v>
      </c>
      <c r="J1182">
        <v>0</v>
      </c>
      <c r="K1182">
        <v>10.38</v>
      </c>
      <c r="L1182">
        <v>0</v>
      </c>
      <c r="M1182">
        <v>0.02</v>
      </c>
      <c r="N1182">
        <v>116</v>
      </c>
      <c r="O1182">
        <v>22.76</v>
      </c>
      <c r="P1182">
        <v>149.16</v>
      </c>
      <c r="Q1182">
        <f t="shared" si="190"/>
        <v>2025</v>
      </c>
      <c r="R1182">
        <f t="shared" si="191"/>
        <v>9</v>
      </c>
      <c r="S1182">
        <f t="shared" si="192"/>
        <v>2025</v>
      </c>
      <c r="T1182">
        <f t="shared" si="193"/>
        <v>6</v>
      </c>
      <c r="U1182" t="str">
        <f t="shared" si="194"/>
        <v>06</v>
      </c>
      <c r="V1182" t="str">
        <f t="shared" si="195"/>
        <v>202506</v>
      </c>
      <c r="W1182" t="str">
        <f t="shared" si="196"/>
        <v>Sep-25</v>
      </c>
      <c r="X1182" s="3">
        <f t="shared" si="197"/>
        <v>-29384.16</v>
      </c>
      <c r="Y1182" t="str">
        <f t="shared" si="188"/>
        <v/>
      </c>
      <c r="Z1182">
        <f t="shared" si="189"/>
        <v>-29384.16</v>
      </c>
    </row>
    <row r="1183" spans="1:26" x14ac:dyDescent="0.25">
      <c r="A1183" s="1">
        <v>45903</v>
      </c>
      <c r="B1183" t="s">
        <v>1584</v>
      </c>
      <c r="C1183" t="s">
        <v>17</v>
      </c>
      <c r="D1183" t="s">
        <v>18</v>
      </c>
      <c r="E1183">
        <v>300</v>
      </c>
      <c r="F1183">
        <v>0</v>
      </c>
      <c r="G1183">
        <v>94.6</v>
      </c>
      <c r="H1183">
        <v>28380</v>
      </c>
      <c r="I1183" t="s">
        <v>1589</v>
      </c>
      <c r="J1183">
        <v>28.39</v>
      </c>
      <c r="K1183">
        <v>10.08</v>
      </c>
      <c r="L1183">
        <v>0</v>
      </c>
      <c r="M1183">
        <v>0.03</v>
      </c>
      <c r="N1183">
        <v>116</v>
      </c>
      <c r="O1183">
        <v>22.7</v>
      </c>
      <c r="P1183">
        <v>177.2</v>
      </c>
      <c r="Q1183">
        <f t="shared" si="190"/>
        <v>2025</v>
      </c>
      <c r="R1183">
        <f t="shared" si="191"/>
        <v>9</v>
      </c>
      <c r="S1183">
        <f t="shared" si="192"/>
        <v>2025</v>
      </c>
      <c r="T1183">
        <f t="shared" si="193"/>
        <v>6</v>
      </c>
      <c r="U1183" t="str">
        <f t="shared" si="194"/>
        <v>06</v>
      </c>
      <c r="V1183" t="str">
        <f t="shared" si="195"/>
        <v>202506</v>
      </c>
      <c r="W1183" t="str">
        <f t="shared" si="196"/>
        <v>Sep-25</v>
      </c>
      <c r="X1183" s="3">
        <f t="shared" si="197"/>
        <v>28202.799999999999</v>
      </c>
      <c r="Y1183">
        <f t="shared" si="188"/>
        <v>28202.799999999999</v>
      </c>
      <c r="Z1183" t="str">
        <f t="shared" si="189"/>
        <v/>
      </c>
    </row>
    <row r="1184" spans="1:26" x14ac:dyDescent="0.25">
      <c r="A1184" s="1">
        <v>45903</v>
      </c>
      <c r="B1184" t="s">
        <v>1584</v>
      </c>
      <c r="C1184" t="s">
        <v>17</v>
      </c>
      <c r="D1184" t="s">
        <v>22</v>
      </c>
      <c r="E1184">
        <v>300</v>
      </c>
      <c r="F1184">
        <v>0</v>
      </c>
      <c r="G1184">
        <v>97.55</v>
      </c>
      <c r="H1184">
        <v>29265</v>
      </c>
      <c r="I1184" t="s">
        <v>1590</v>
      </c>
      <c r="J1184">
        <v>0</v>
      </c>
      <c r="K1184">
        <v>10.4</v>
      </c>
      <c r="L1184">
        <v>0</v>
      </c>
      <c r="M1184">
        <v>0.04</v>
      </c>
      <c r="N1184">
        <v>116</v>
      </c>
      <c r="O1184">
        <v>22.72</v>
      </c>
      <c r="P1184">
        <v>149.16</v>
      </c>
      <c r="Q1184">
        <f t="shared" si="190"/>
        <v>2025</v>
      </c>
      <c r="R1184">
        <f t="shared" si="191"/>
        <v>9</v>
      </c>
      <c r="S1184">
        <f t="shared" si="192"/>
        <v>2025</v>
      </c>
      <c r="T1184">
        <f t="shared" si="193"/>
        <v>6</v>
      </c>
      <c r="U1184" t="str">
        <f t="shared" si="194"/>
        <v>06</v>
      </c>
      <c r="V1184" t="str">
        <f t="shared" si="195"/>
        <v>202506</v>
      </c>
      <c r="W1184" t="str">
        <f t="shared" si="196"/>
        <v>Sep-25</v>
      </c>
      <c r="X1184" s="3">
        <f t="shared" si="197"/>
        <v>-29414.16</v>
      </c>
      <c r="Y1184" t="str">
        <f t="shared" si="188"/>
        <v/>
      </c>
      <c r="Z1184">
        <f t="shared" si="189"/>
        <v>-29414.16</v>
      </c>
    </row>
    <row r="1185" spans="1:26" x14ac:dyDescent="0.25">
      <c r="A1185" s="1">
        <v>45903</v>
      </c>
      <c r="B1185" t="s">
        <v>1584</v>
      </c>
      <c r="C1185" t="s">
        <v>17</v>
      </c>
      <c r="D1185" t="s">
        <v>18</v>
      </c>
      <c r="E1185">
        <v>150</v>
      </c>
      <c r="F1185">
        <v>0</v>
      </c>
      <c r="G1185">
        <v>97.58</v>
      </c>
      <c r="H1185">
        <v>14636.25</v>
      </c>
      <c r="I1185" t="s">
        <v>1591</v>
      </c>
      <c r="J1185">
        <v>14.64</v>
      </c>
      <c r="K1185">
        <v>5.2</v>
      </c>
      <c r="L1185">
        <v>0</v>
      </c>
      <c r="M1185">
        <v>0.02</v>
      </c>
      <c r="N1185">
        <v>58</v>
      </c>
      <c r="O1185">
        <v>11.36</v>
      </c>
      <c r="P1185">
        <v>89.22</v>
      </c>
      <c r="Q1185">
        <f t="shared" si="190"/>
        <v>2025</v>
      </c>
      <c r="R1185">
        <f t="shared" si="191"/>
        <v>9</v>
      </c>
      <c r="S1185">
        <f t="shared" si="192"/>
        <v>2025</v>
      </c>
      <c r="T1185">
        <f t="shared" si="193"/>
        <v>6</v>
      </c>
      <c r="U1185" t="str">
        <f t="shared" si="194"/>
        <v>06</v>
      </c>
      <c r="V1185" t="str">
        <f t="shared" si="195"/>
        <v>202506</v>
      </c>
      <c r="W1185" t="str">
        <f t="shared" si="196"/>
        <v>Sep-25</v>
      </c>
      <c r="X1185" s="3">
        <f t="shared" si="197"/>
        <v>14547.03</v>
      </c>
      <c r="Y1185">
        <f t="shared" si="188"/>
        <v>14547.03</v>
      </c>
      <c r="Z1185" t="str">
        <f t="shared" si="189"/>
        <v/>
      </c>
    </row>
    <row r="1186" spans="1:26" x14ac:dyDescent="0.25">
      <c r="A1186" s="1">
        <v>45903</v>
      </c>
      <c r="B1186" t="s">
        <v>1584</v>
      </c>
      <c r="C1186" t="s">
        <v>17</v>
      </c>
      <c r="D1186" t="s">
        <v>22</v>
      </c>
      <c r="E1186">
        <v>75</v>
      </c>
      <c r="F1186">
        <v>0</v>
      </c>
      <c r="G1186">
        <v>101.8</v>
      </c>
      <c r="H1186">
        <v>7635</v>
      </c>
      <c r="I1186" t="s">
        <v>1592</v>
      </c>
      <c r="J1186">
        <v>0</v>
      </c>
      <c r="K1186">
        <v>2.71</v>
      </c>
      <c r="L1186">
        <v>0</v>
      </c>
      <c r="M1186">
        <v>0.01</v>
      </c>
      <c r="N1186">
        <v>29</v>
      </c>
      <c r="O1186">
        <v>5.7</v>
      </c>
      <c r="P1186">
        <v>37.42</v>
      </c>
      <c r="Q1186">
        <f t="shared" si="190"/>
        <v>2025</v>
      </c>
      <c r="R1186">
        <f t="shared" si="191"/>
        <v>9</v>
      </c>
      <c r="S1186">
        <f t="shared" si="192"/>
        <v>2025</v>
      </c>
      <c r="T1186">
        <f t="shared" si="193"/>
        <v>6</v>
      </c>
      <c r="U1186" t="str">
        <f t="shared" si="194"/>
        <v>06</v>
      </c>
      <c r="V1186" t="str">
        <f t="shared" si="195"/>
        <v>202506</v>
      </c>
      <c r="W1186" t="str">
        <f t="shared" si="196"/>
        <v>Sep-25</v>
      </c>
      <c r="X1186" s="3">
        <f t="shared" si="197"/>
        <v>-7672.42</v>
      </c>
      <c r="Y1186" t="str">
        <f t="shared" si="188"/>
        <v/>
      </c>
      <c r="Z1186">
        <f t="shared" si="189"/>
        <v>-7672.42</v>
      </c>
    </row>
    <row r="1187" spans="1:26" x14ac:dyDescent="0.25">
      <c r="A1187" s="1">
        <v>45903</v>
      </c>
      <c r="B1187" t="s">
        <v>1584</v>
      </c>
      <c r="C1187" t="s">
        <v>17</v>
      </c>
      <c r="D1187" t="s">
        <v>22</v>
      </c>
      <c r="E1187">
        <v>75</v>
      </c>
      <c r="F1187">
        <v>0</v>
      </c>
      <c r="G1187">
        <v>102.65</v>
      </c>
      <c r="H1187">
        <v>7698.75</v>
      </c>
      <c r="I1187" t="s">
        <v>1593</v>
      </c>
      <c r="J1187">
        <v>0</v>
      </c>
      <c r="K1187">
        <v>2.74</v>
      </c>
      <c r="L1187">
        <v>0</v>
      </c>
      <c r="M1187">
        <v>0.01</v>
      </c>
      <c r="N1187">
        <v>29</v>
      </c>
      <c r="O1187">
        <v>5.72</v>
      </c>
      <c r="P1187">
        <v>37.47</v>
      </c>
      <c r="Q1187">
        <f t="shared" si="190"/>
        <v>2025</v>
      </c>
      <c r="R1187">
        <f t="shared" si="191"/>
        <v>9</v>
      </c>
      <c r="S1187">
        <f t="shared" si="192"/>
        <v>2025</v>
      </c>
      <c r="T1187">
        <f t="shared" si="193"/>
        <v>6</v>
      </c>
      <c r="U1187" t="str">
        <f t="shared" si="194"/>
        <v>06</v>
      </c>
      <c r="V1187" t="str">
        <f t="shared" si="195"/>
        <v>202506</v>
      </c>
      <c r="W1187" t="str">
        <f t="shared" si="196"/>
        <v>Sep-25</v>
      </c>
      <c r="X1187" s="3">
        <f t="shared" si="197"/>
        <v>-7736.22</v>
      </c>
      <c r="Y1187" t="str">
        <f t="shared" si="188"/>
        <v/>
      </c>
      <c r="Z1187">
        <f t="shared" si="189"/>
        <v>-7736.22</v>
      </c>
    </row>
    <row r="1188" spans="1:26" x14ac:dyDescent="0.25">
      <c r="A1188" s="1">
        <v>45904</v>
      </c>
      <c r="B1188" t="s">
        <v>1594</v>
      </c>
      <c r="C1188" t="s">
        <v>17</v>
      </c>
      <c r="D1188" t="s">
        <v>18</v>
      </c>
      <c r="E1188">
        <v>900</v>
      </c>
      <c r="F1188">
        <v>0</v>
      </c>
      <c r="G1188">
        <v>63.25</v>
      </c>
      <c r="H1188">
        <v>56925</v>
      </c>
      <c r="I1188" t="s">
        <v>1595</v>
      </c>
      <c r="J1188">
        <v>56.93</v>
      </c>
      <c r="K1188">
        <v>20.23</v>
      </c>
      <c r="L1188">
        <v>0</v>
      </c>
      <c r="M1188">
        <v>0.05</v>
      </c>
      <c r="N1188">
        <v>348</v>
      </c>
      <c r="O1188">
        <v>66.28</v>
      </c>
      <c r="P1188">
        <v>491.49</v>
      </c>
      <c r="Q1188">
        <f t="shared" si="190"/>
        <v>2025</v>
      </c>
      <c r="R1188">
        <f t="shared" si="191"/>
        <v>9</v>
      </c>
      <c r="S1188">
        <f t="shared" si="192"/>
        <v>2025</v>
      </c>
      <c r="T1188">
        <f t="shared" si="193"/>
        <v>6</v>
      </c>
      <c r="U1188" t="str">
        <f t="shared" si="194"/>
        <v>06</v>
      </c>
      <c r="V1188" t="str">
        <f t="shared" si="195"/>
        <v>202506</v>
      </c>
      <c r="W1188" t="str">
        <f t="shared" si="196"/>
        <v>Sep-25</v>
      </c>
      <c r="X1188" s="3">
        <f t="shared" si="197"/>
        <v>56433.51</v>
      </c>
      <c r="Y1188">
        <f t="shared" si="188"/>
        <v>56433.51</v>
      </c>
      <c r="Z1188" t="str">
        <f t="shared" si="189"/>
        <v/>
      </c>
    </row>
    <row r="1189" spans="1:26" x14ac:dyDescent="0.25">
      <c r="A1189" s="1">
        <v>45904</v>
      </c>
      <c r="B1189" t="s">
        <v>1594</v>
      </c>
      <c r="C1189" t="s">
        <v>17</v>
      </c>
      <c r="D1189" t="s">
        <v>22</v>
      </c>
      <c r="E1189">
        <v>450</v>
      </c>
      <c r="F1189">
        <v>0</v>
      </c>
      <c r="G1189">
        <v>49.05</v>
      </c>
      <c r="H1189">
        <v>22072.5</v>
      </c>
      <c r="I1189" t="s">
        <v>1596</v>
      </c>
      <c r="J1189">
        <v>0</v>
      </c>
      <c r="K1189">
        <v>7.84</v>
      </c>
      <c r="L1189">
        <v>1.08</v>
      </c>
      <c r="M1189">
        <v>0.02</v>
      </c>
      <c r="N1189">
        <v>174</v>
      </c>
      <c r="O1189">
        <v>32.74</v>
      </c>
      <c r="P1189">
        <v>215.68</v>
      </c>
      <c r="Q1189">
        <f t="shared" si="190"/>
        <v>2025</v>
      </c>
      <c r="R1189">
        <f t="shared" si="191"/>
        <v>9</v>
      </c>
      <c r="S1189">
        <f t="shared" si="192"/>
        <v>2025</v>
      </c>
      <c r="T1189">
        <f t="shared" si="193"/>
        <v>6</v>
      </c>
      <c r="U1189" t="str">
        <f t="shared" si="194"/>
        <v>06</v>
      </c>
      <c r="V1189" t="str">
        <f t="shared" si="195"/>
        <v>202506</v>
      </c>
      <c r="W1189" t="str">
        <f t="shared" si="196"/>
        <v>Sep-25</v>
      </c>
      <c r="X1189" s="3">
        <f t="shared" si="197"/>
        <v>-22288.18</v>
      </c>
      <c r="Y1189" t="str">
        <f t="shared" si="188"/>
        <v/>
      </c>
      <c r="Z1189">
        <f t="shared" si="189"/>
        <v>-22288.18</v>
      </c>
    </row>
    <row r="1190" spans="1:26" x14ac:dyDescent="0.25">
      <c r="A1190" s="1">
        <v>45904</v>
      </c>
      <c r="B1190" t="s">
        <v>1594</v>
      </c>
      <c r="C1190" t="s">
        <v>17</v>
      </c>
      <c r="D1190" t="s">
        <v>22</v>
      </c>
      <c r="E1190">
        <v>450</v>
      </c>
      <c r="F1190">
        <v>0</v>
      </c>
      <c r="G1190">
        <v>52.35</v>
      </c>
      <c r="H1190">
        <v>23557.5</v>
      </c>
      <c r="I1190" t="s">
        <v>1597</v>
      </c>
      <c r="J1190">
        <v>0</v>
      </c>
      <c r="K1190">
        <v>8.35</v>
      </c>
      <c r="L1190">
        <v>0</v>
      </c>
      <c r="M1190">
        <v>0.01</v>
      </c>
      <c r="N1190">
        <v>174</v>
      </c>
      <c r="O1190">
        <v>32.86</v>
      </c>
      <c r="P1190">
        <v>215.22</v>
      </c>
      <c r="Q1190">
        <f t="shared" si="190"/>
        <v>2025</v>
      </c>
      <c r="R1190">
        <f t="shared" si="191"/>
        <v>9</v>
      </c>
      <c r="S1190">
        <f t="shared" si="192"/>
        <v>2025</v>
      </c>
      <c r="T1190">
        <f t="shared" si="193"/>
        <v>6</v>
      </c>
      <c r="U1190" t="str">
        <f t="shared" si="194"/>
        <v>06</v>
      </c>
      <c r="V1190" t="str">
        <f t="shared" si="195"/>
        <v>202506</v>
      </c>
      <c r="W1190" t="str">
        <f t="shared" si="196"/>
        <v>Sep-25</v>
      </c>
      <c r="X1190" s="3">
        <f t="shared" si="197"/>
        <v>-23772.720000000001</v>
      </c>
      <c r="Y1190" t="str">
        <f t="shared" si="188"/>
        <v/>
      </c>
      <c r="Z1190">
        <f t="shared" si="189"/>
        <v>-23772.720000000001</v>
      </c>
    </row>
    <row r="1191" spans="1:26" x14ac:dyDescent="0.25">
      <c r="A1191" s="1">
        <v>45904</v>
      </c>
      <c r="B1191" t="s">
        <v>1584</v>
      </c>
      <c r="C1191" t="s">
        <v>17</v>
      </c>
      <c r="D1191" t="s">
        <v>18</v>
      </c>
      <c r="E1191">
        <v>750</v>
      </c>
      <c r="F1191">
        <v>0</v>
      </c>
      <c r="G1191">
        <v>39.950000000000003</v>
      </c>
      <c r="H1191">
        <v>29962.5</v>
      </c>
      <c r="I1191" t="s">
        <v>1598</v>
      </c>
      <c r="J1191">
        <v>30.08</v>
      </c>
      <c r="K1191">
        <v>10.64</v>
      </c>
      <c r="L1191">
        <v>0</v>
      </c>
      <c r="M1191">
        <v>0.03</v>
      </c>
      <c r="N1191">
        <v>290</v>
      </c>
      <c r="O1191">
        <v>54.14</v>
      </c>
      <c r="P1191">
        <v>384.89</v>
      </c>
      <c r="Q1191">
        <f t="shared" si="190"/>
        <v>2025</v>
      </c>
      <c r="R1191">
        <f t="shared" si="191"/>
        <v>9</v>
      </c>
      <c r="S1191">
        <f t="shared" si="192"/>
        <v>2025</v>
      </c>
      <c r="T1191">
        <f t="shared" si="193"/>
        <v>6</v>
      </c>
      <c r="U1191" t="str">
        <f t="shared" si="194"/>
        <v>06</v>
      </c>
      <c r="V1191" t="str">
        <f t="shared" si="195"/>
        <v>202506</v>
      </c>
      <c r="W1191" t="str">
        <f t="shared" si="196"/>
        <v>Sep-25</v>
      </c>
      <c r="X1191" s="3">
        <f t="shared" si="197"/>
        <v>29577.61</v>
      </c>
      <c r="Y1191">
        <f t="shared" si="188"/>
        <v>29577.61</v>
      </c>
      <c r="Z1191" t="str">
        <f t="shared" si="189"/>
        <v/>
      </c>
    </row>
    <row r="1192" spans="1:26" x14ac:dyDescent="0.25">
      <c r="A1192" s="1">
        <v>45904</v>
      </c>
      <c r="B1192" t="s">
        <v>1584</v>
      </c>
      <c r="C1192" t="s">
        <v>17</v>
      </c>
      <c r="D1192" t="s">
        <v>22</v>
      </c>
      <c r="E1192">
        <v>375</v>
      </c>
      <c r="F1192">
        <v>0</v>
      </c>
      <c r="G1192">
        <v>40.450000000000003</v>
      </c>
      <c r="H1192">
        <v>15168.75</v>
      </c>
      <c r="I1192" t="s">
        <v>1599</v>
      </c>
      <c r="J1192">
        <v>0</v>
      </c>
      <c r="K1192">
        <v>5.39</v>
      </c>
      <c r="L1192">
        <v>0.92</v>
      </c>
      <c r="M1192">
        <v>0.01</v>
      </c>
      <c r="N1192">
        <v>145</v>
      </c>
      <c r="O1192">
        <v>27.08</v>
      </c>
      <c r="P1192">
        <v>178.4</v>
      </c>
      <c r="Q1192">
        <f t="shared" si="190"/>
        <v>2025</v>
      </c>
      <c r="R1192">
        <f t="shared" si="191"/>
        <v>9</v>
      </c>
      <c r="S1192">
        <f t="shared" si="192"/>
        <v>2025</v>
      </c>
      <c r="T1192">
        <f t="shared" si="193"/>
        <v>6</v>
      </c>
      <c r="U1192" t="str">
        <f t="shared" si="194"/>
        <v>06</v>
      </c>
      <c r="V1192" t="str">
        <f t="shared" si="195"/>
        <v>202506</v>
      </c>
      <c r="W1192" t="str">
        <f t="shared" si="196"/>
        <v>Sep-25</v>
      </c>
      <c r="X1192" s="3">
        <f t="shared" si="197"/>
        <v>-15347.15</v>
      </c>
      <c r="Y1192" t="str">
        <f t="shared" si="188"/>
        <v/>
      </c>
      <c r="Z1192">
        <f t="shared" si="189"/>
        <v>-15347.15</v>
      </c>
    </row>
    <row r="1193" spans="1:26" x14ac:dyDescent="0.25">
      <c r="A1193" s="1">
        <v>45904</v>
      </c>
      <c r="B1193" t="s">
        <v>1584</v>
      </c>
      <c r="C1193" t="s">
        <v>17</v>
      </c>
      <c r="D1193" t="s">
        <v>22</v>
      </c>
      <c r="E1193">
        <v>225</v>
      </c>
      <c r="F1193">
        <v>0</v>
      </c>
      <c r="G1193">
        <v>41.55</v>
      </c>
      <c r="H1193">
        <v>9348.75</v>
      </c>
      <c r="I1193" t="s">
        <v>1600</v>
      </c>
      <c r="J1193">
        <v>0</v>
      </c>
      <c r="K1193">
        <v>3.32</v>
      </c>
      <c r="L1193">
        <v>0</v>
      </c>
      <c r="M1193">
        <v>0.01</v>
      </c>
      <c r="N1193">
        <v>87</v>
      </c>
      <c r="O1193">
        <v>16.260000000000002</v>
      </c>
      <c r="P1193">
        <v>106.59</v>
      </c>
      <c r="Q1193">
        <f t="shared" si="190"/>
        <v>2025</v>
      </c>
      <c r="R1193">
        <f t="shared" si="191"/>
        <v>9</v>
      </c>
      <c r="S1193">
        <f t="shared" si="192"/>
        <v>2025</v>
      </c>
      <c r="T1193">
        <f t="shared" si="193"/>
        <v>6</v>
      </c>
      <c r="U1193" t="str">
        <f t="shared" si="194"/>
        <v>06</v>
      </c>
      <c r="V1193" t="str">
        <f t="shared" si="195"/>
        <v>202506</v>
      </c>
      <c r="W1193" t="str">
        <f t="shared" si="196"/>
        <v>Sep-25</v>
      </c>
      <c r="X1193" s="3">
        <f t="shared" si="197"/>
        <v>-9455.34</v>
      </c>
      <c r="Y1193" t="str">
        <f t="shared" si="188"/>
        <v/>
      </c>
      <c r="Z1193">
        <f t="shared" si="189"/>
        <v>-9455.34</v>
      </c>
    </row>
    <row r="1194" spans="1:26" x14ac:dyDescent="0.25">
      <c r="A1194" s="1">
        <v>45904</v>
      </c>
      <c r="B1194" t="s">
        <v>1584</v>
      </c>
      <c r="C1194" t="s">
        <v>17</v>
      </c>
      <c r="D1194" t="s">
        <v>22</v>
      </c>
      <c r="E1194">
        <v>150</v>
      </c>
      <c r="F1194">
        <v>0</v>
      </c>
      <c r="G1194">
        <v>41</v>
      </c>
      <c r="H1194">
        <v>6150</v>
      </c>
      <c r="I1194" t="s">
        <v>1601</v>
      </c>
      <c r="J1194">
        <v>0</v>
      </c>
      <c r="K1194">
        <v>2.19</v>
      </c>
      <c r="L1194">
        <v>0</v>
      </c>
      <c r="M1194">
        <v>0.01</v>
      </c>
      <c r="N1194">
        <v>58</v>
      </c>
      <c r="O1194">
        <v>10.84</v>
      </c>
      <c r="P1194">
        <v>71.040000000000006</v>
      </c>
      <c r="Q1194">
        <f t="shared" si="190"/>
        <v>2025</v>
      </c>
      <c r="R1194">
        <f t="shared" si="191"/>
        <v>9</v>
      </c>
      <c r="S1194">
        <f t="shared" si="192"/>
        <v>2025</v>
      </c>
      <c r="T1194">
        <f t="shared" si="193"/>
        <v>6</v>
      </c>
      <c r="U1194" t="str">
        <f t="shared" si="194"/>
        <v>06</v>
      </c>
      <c r="V1194" t="str">
        <f t="shared" si="195"/>
        <v>202506</v>
      </c>
      <c r="W1194" t="str">
        <f t="shared" si="196"/>
        <v>Sep-25</v>
      </c>
      <c r="X1194" s="3">
        <f t="shared" si="197"/>
        <v>-6221.04</v>
      </c>
      <c r="Y1194" t="str">
        <f t="shared" si="188"/>
        <v/>
      </c>
      <c r="Z1194">
        <f t="shared" si="189"/>
        <v>-6221.04</v>
      </c>
    </row>
    <row r="1195" spans="1:26" x14ac:dyDescent="0.25">
      <c r="A1195" s="1">
        <v>45905</v>
      </c>
      <c r="B1195" t="s">
        <v>1602</v>
      </c>
      <c r="C1195" t="s">
        <v>17</v>
      </c>
      <c r="D1195" t="s">
        <v>18</v>
      </c>
      <c r="E1195">
        <v>150</v>
      </c>
      <c r="F1195">
        <v>0</v>
      </c>
      <c r="G1195">
        <v>139.25</v>
      </c>
      <c r="H1195">
        <v>20887.5</v>
      </c>
      <c r="I1195" t="s">
        <v>1603</v>
      </c>
      <c r="J1195">
        <v>20.89</v>
      </c>
      <c r="K1195">
        <v>7.42</v>
      </c>
      <c r="L1195">
        <v>0</v>
      </c>
      <c r="M1195">
        <v>0.02</v>
      </c>
      <c r="N1195">
        <v>58</v>
      </c>
      <c r="O1195">
        <v>11.78</v>
      </c>
      <c r="P1195">
        <v>98.11</v>
      </c>
      <c r="Q1195">
        <f t="shared" si="190"/>
        <v>2025</v>
      </c>
      <c r="R1195">
        <f t="shared" si="191"/>
        <v>9</v>
      </c>
      <c r="S1195">
        <f t="shared" si="192"/>
        <v>2025</v>
      </c>
      <c r="T1195">
        <f t="shared" si="193"/>
        <v>6</v>
      </c>
      <c r="U1195" t="str">
        <f t="shared" si="194"/>
        <v>06</v>
      </c>
      <c r="V1195" t="str">
        <f t="shared" si="195"/>
        <v>202506</v>
      </c>
      <c r="W1195" t="str">
        <f t="shared" si="196"/>
        <v>Sep-25</v>
      </c>
      <c r="X1195" s="3">
        <f t="shared" si="197"/>
        <v>20789.39</v>
      </c>
      <c r="Y1195">
        <f t="shared" si="188"/>
        <v>20789.39</v>
      </c>
      <c r="Z1195" t="str">
        <f t="shared" si="189"/>
        <v/>
      </c>
    </row>
    <row r="1196" spans="1:26" x14ac:dyDescent="0.25">
      <c r="A1196" s="1">
        <v>45905</v>
      </c>
      <c r="B1196" t="s">
        <v>1602</v>
      </c>
      <c r="C1196" t="s">
        <v>17</v>
      </c>
      <c r="D1196" t="s">
        <v>22</v>
      </c>
      <c r="E1196">
        <v>150</v>
      </c>
      <c r="F1196">
        <v>0</v>
      </c>
      <c r="G1196">
        <v>132.19999999999999</v>
      </c>
      <c r="H1196">
        <v>19830</v>
      </c>
      <c r="I1196" t="s">
        <v>1604</v>
      </c>
      <c r="J1196">
        <v>0</v>
      </c>
      <c r="K1196">
        <v>7.04</v>
      </c>
      <c r="L1196">
        <v>0.59</v>
      </c>
      <c r="M1196">
        <v>0.02</v>
      </c>
      <c r="N1196">
        <v>58</v>
      </c>
      <c r="O1196">
        <v>11.72</v>
      </c>
      <c r="P1196">
        <v>77.37</v>
      </c>
      <c r="Q1196">
        <f t="shared" ref="Q1196:Q1259" si="198">YEAR(A1196)</f>
        <v>2025</v>
      </c>
      <c r="R1196">
        <f t="shared" ref="R1196:R1259" si="199">MONTH(A1196)</f>
        <v>9</v>
      </c>
      <c r="S1196">
        <f t="shared" ref="S1196:S1259" si="200">IF(R1196&lt;4,Q1196-1,Q1196)</f>
        <v>2025</v>
      </c>
      <c r="T1196">
        <f t="shared" ref="T1196:T1259" si="201">IF(R1196&lt;4,R1196+9,R1196-3)</f>
        <v>6</v>
      </c>
      <c r="U1196" t="str">
        <f t="shared" ref="U1196:U1259" si="202">IF(LEN(T1196)=1,_xlfn.CONCAT(0,T1196),T1196)</f>
        <v>06</v>
      </c>
      <c r="V1196" t="str">
        <f t="shared" ref="V1196:V1259" si="203">_xlfn.CONCAT(S1196,U1196)</f>
        <v>202506</v>
      </c>
      <c r="W1196" t="str">
        <f t="shared" ref="W1196:W1259" si="204">_xlfn.CONCAT(TEXT(A1196,"MMM"),"-",MID(Q1196,3,2))</f>
        <v>Sep-25</v>
      </c>
      <c r="X1196" s="3">
        <f t="shared" ref="X1196:X1259" si="205">IFERROR(IF(D1196="Sell",(H1196-P1196),-(H1196+P1196)),0)</f>
        <v>-19907.37</v>
      </c>
      <c r="Y1196" t="str">
        <f t="shared" si="188"/>
        <v/>
      </c>
      <c r="Z1196">
        <f t="shared" si="189"/>
        <v>-19907.37</v>
      </c>
    </row>
    <row r="1197" spans="1:26" x14ac:dyDescent="0.25">
      <c r="A1197" s="1">
        <v>45905</v>
      </c>
      <c r="B1197" t="s">
        <v>1584</v>
      </c>
      <c r="C1197" t="s">
        <v>17</v>
      </c>
      <c r="D1197" t="s">
        <v>18</v>
      </c>
      <c r="E1197">
        <v>975</v>
      </c>
      <c r="F1197">
        <v>0</v>
      </c>
      <c r="G1197">
        <v>69.45</v>
      </c>
      <c r="H1197">
        <v>67713.75</v>
      </c>
      <c r="I1197" t="s">
        <v>1605</v>
      </c>
      <c r="J1197">
        <v>68.12</v>
      </c>
      <c r="K1197">
        <v>24.05</v>
      </c>
      <c r="L1197">
        <v>0</v>
      </c>
      <c r="M1197">
        <v>7.0000000000000007E-2</v>
      </c>
      <c r="N1197">
        <v>377</v>
      </c>
      <c r="O1197">
        <v>72.2</v>
      </c>
      <c r="P1197">
        <v>541.44000000000005</v>
      </c>
      <c r="Q1197">
        <f t="shared" si="198"/>
        <v>2025</v>
      </c>
      <c r="R1197">
        <f t="shared" si="199"/>
        <v>9</v>
      </c>
      <c r="S1197">
        <f t="shared" si="200"/>
        <v>2025</v>
      </c>
      <c r="T1197">
        <f t="shared" si="201"/>
        <v>6</v>
      </c>
      <c r="U1197" t="str">
        <f t="shared" si="202"/>
        <v>06</v>
      </c>
      <c r="V1197" t="str">
        <f t="shared" si="203"/>
        <v>202506</v>
      </c>
      <c r="W1197" t="str">
        <f t="shared" si="204"/>
        <v>Sep-25</v>
      </c>
      <c r="X1197" s="3">
        <f t="shared" si="205"/>
        <v>67172.31</v>
      </c>
      <c r="Y1197">
        <f t="shared" si="188"/>
        <v>67172.31</v>
      </c>
      <c r="Z1197" t="str">
        <f t="shared" si="189"/>
        <v/>
      </c>
    </row>
    <row r="1198" spans="1:26" x14ac:dyDescent="0.25">
      <c r="A1198" s="1">
        <v>45905</v>
      </c>
      <c r="B1198" t="s">
        <v>1584</v>
      </c>
      <c r="C1198" t="s">
        <v>17</v>
      </c>
      <c r="D1198" t="s">
        <v>22</v>
      </c>
      <c r="E1198">
        <v>225</v>
      </c>
      <c r="F1198">
        <v>0</v>
      </c>
      <c r="G1198">
        <v>60.9</v>
      </c>
      <c r="H1198">
        <v>13702.5</v>
      </c>
      <c r="I1198" t="s">
        <v>1606</v>
      </c>
      <c r="J1198">
        <v>0</v>
      </c>
      <c r="K1198">
        <v>4.87</v>
      </c>
      <c r="L1198">
        <v>0</v>
      </c>
      <c r="M1198">
        <v>0.01</v>
      </c>
      <c r="N1198">
        <v>87</v>
      </c>
      <c r="O1198">
        <v>16.54</v>
      </c>
      <c r="P1198">
        <v>108.42</v>
      </c>
      <c r="Q1198">
        <f t="shared" si="198"/>
        <v>2025</v>
      </c>
      <c r="R1198">
        <f t="shared" si="199"/>
        <v>9</v>
      </c>
      <c r="S1198">
        <f t="shared" si="200"/>
        <v>2025</v>
      </c>
      <c r="T1198">
        <f t="shared" si="201"/>
        <v>6</v>
      </c>
      <c r="U1198" t="str">
        <f t="shared" si="202"/>
        <v>06</v>
      </c>
      <c r="V1198" t="str">
        <f t="shared" si="203"/>
        <v>202506</v>
      </c>
      <c r="W1198" t="str">
        <f t="shared" si="204"/>
        <v>Sep-25</v>
      </c>
      <c r="X1198" s="3">
        <f t="shared" si="205"/>
        <v>-13810.92</v>
      </c>
      <c r="Y1198" t="str">
        <f t="shared" si="188"/>
        <v/>
      </c>
      <c r="Z1198">
        <f t="shared" si="189"/>
        <v>-13810.92</v>
      </c>
    </row>
    <row r="1199" spans="1:26" x14ac:dyDescent="0.25">
      <c r="A1199" s="1">
        <v>45905</v>
      </c>
      <c r="B1199" t="s">
        <v>1584</v>
      </c>
      <c r="C1199" t="s">
        <v>17</v>
      </c>
      <c r="D1199" t="s">
        <v>22</v>
      </c>
      <c r="E1199">
        <v>300</v>
      </c>
      <c r="F1199">
        <v>0</v>
      </c>
      <c r="G1199">
        <v>63.8</v>
      </c>
      <c r="H1199">
        <v>19140</v>
      </c>
      <c r="I1199" t="s">
        <v>1607</v>
      </c>
      <c r="J1199">
        <v>0</v>
      </c>
      <c r="K1199">
        <v>6.8</v>
      </c>
      <c r="L1199">
        <v>0</v>
      </c>
      <c r="M1199">
        <v>0</v>
      </c>
      <c r="N1199">
        <v>116</v>
      </c>
      <c r="O1199">
        <v>22.08</v>
      </c>
      <c r="P1199">
        <v>144.88</v>
      </c>
      <c r="Q1199">
        <f t="shared" si="198"/>
        <v>2025</v>
      </c>
      <c r="R1199">
        <f t="shared" si="199"/>
        <v>9</v>
      </c>
      <c r="S1199">
        <f t="shared" si="200"/>
        <v>2025</v>
      </c>
      <c r="T1199">
        <f t="shared" si="201"/>
        <v>6</v>
      </c>
      <c r="U1199" t="str">
        <f t="shared" si="202"/>
        <v>06</v>
      </c>
      <c r="V1199" t="str">
        <f t="shared" si="203"/>
        <v>202506</v>
      </c>
      <c r="W1199" t="str">
        <f t="shared" si="204"/>
        <v>Sep-25</v>
      </c>
      <c r="X1199" s="3">
        <f t="shared" si="205"/>
        <v>-19284.88</v>
      </c>
      <c r="Y1199" t="str">
        <f t="shared" si="188"/>
        <v/>
      </c>
      <c r="Z1199">
        <f t="shared" si="189"/>
        <v>-19284.88</v>
      </c>
    </row>
    <row r="1200" spans="1:26" x14ac:dyDescent="0.25">
      <c r="A1200" s="1">
        <v>45905</v>
      </c>
      <c r="B1200" t="s">
        <v>1584</v>
      </c>
      <c r="C1200" t="s">
        <v>17</v>
      </c>
      <c r="D1200" t="s">
        <v>22</v>
      </c>
      <c r="E1200">
        <v>450</v>
      </c>
      <c r="F1200">
        <v>0</v>
      </c>
      <c r="G1200">
        <v>68.3</v>
      </c>
      <c r="H1200">
        <v>30735</v>
      </c>
      <c r="I1200" t="s">
        <v>1608</v>
      </c>
      <c r="J1200">
        <v>0</v>
      </c>
      <c r="K1200">
        <v>10.92</v>
      </c>
      <c r="L1200">
        <v>2.41</v>
      </c>
      <c r="M1200">
        <v>0.04</v>
      </c>
      <c r="N1200">
        <v>174</v>
      </c>
      <c r="O1200">
        <v>33.28</v>
      </c>
      <c r="P1200">
        <v>220.65</v>
      </c>
      <c r="Q1200">
        <f t="shared" si="198"/>
        <v>2025</v>
      </c>
      <c r="R1200">
        <f t="shared" si="199"/>
        <v>9</v>
      </c>
      <c r="S1200">
        <f t="shared" si="200"/>
        <v>2025</v>
      </c>
      <c r="T1200">
        <f t="shared" si="201"/>
        <v>6</v>
      </c>
      <c r="U1200" t="str">
        <f t="shared" si="202"/>
        <v>06</v>
      </c>
      <c r="V1200" t="str">
        <f t="shared" si="203"/>
        <v>202506</v>
      </c>
      <c r="W1200" t="str">
        <f t="shared" si="204"/>
        <v>Sep-25</v>
      </c>
      <c r="X1200" s="3">
        <f t="shared" si="205"/>
        <v>-30955.65</v>
      </c>
      <c r="Y1200" t="str">
        <f t="shared" si="188"/>
        <v/>
      </c>
      <c r="Z1200">
        <f t="shared" si="189"/>
        <v>-30955.65</v>
      </c>
    </row>
    <row r="1201" spans="1:26" x14ac:dyDescent="0.25">
      <c r="A1201" s="1">
        <v>45908</v>
      </c>
      <c r="B1201" t="s">
        <v>1620</v>
      </c>
      <c r="C1201" t="s">
        <v>17</v>
      </c>
      <c r="D1201" t="s">
        <v>18</v>
      </c>
      <c r="E1201">
        <v>975</v>
      </c>
      <c r="F1201">
        <v>0</v>
      </c>
      <c r="G1201">
        <v>18.25</v>
      </c>
      <c r="H1201">
        <v>17793.75</v>
      </c>
      <c r="I1201" t="s">
        <v>1621</v>
      </c>
      <c r="J1201">
        <v>17.809999999999999</v>
      </c>
      <c r="K1201">
        <v>6.33</v>
      </c>
      <c r="L1201">
        <v>0</v>
      </c>
      <c r="M1201">
        <v>0.02</v>
      </c>
      <c r="N1201">
        <v>377</v>
      </c>
      <c r="O1201">
        <v>69.02</v>
      </c>
      <c r="P1201">
        <v>470.18</v>
      </c>
      <c r="Q1201">
        <f t="shared" si="198"/>
        <v>2025</v>
      </c>
      <c r="R1201">
        <f t="shared" si="199"/>
        <v>9</v>
      </c>
      <c r="S1201">
        <f t="shared" si="200"/>
        <v>2025</v>
      </c>
      <c r="T1201">
        <f t="shared" si="201"/>
        <v>6</v>
      </c>
      <c r="U1201" t="str">
        <f t="shared" si="202"/>
        <v>06</v>
      </c>
      <c r="V1201" t="str">
        <f t="shared" si="203"/>
        <v>202506</v>
      </c>
      <c r="W1201" t="str">
        <f t="shared" si="204"/>
        <v>Sep-25</v>
      </c>
      <c r="X1201" s="3">
        <f t="shared" si="205"/>
        <v>17323.57</v>
      </c>
      <c r="Y1201">
        <f t="shared" si="188"/>
        <v>17323.57</v>
      </c>
      <c r="Z1201" t="str">
        <f t="shared" si="189"/>
        <v/>
      </c>
    </row>
    <row r="1202" spans="1:26" x14ac:dyDescent="0.25">
      <c r="A1202" s="1">
        <v>45908</v>
      </c>
      <c r="B1202" t="s">
        <v>1620</v>
      </c>
      <c r="C1202" t="s">
        <v>17</v>
      </c>
      <c r="D1202" t="s">
        <v>18</v>
      </c>
      <c r="E1202">
        <v>75</v>
      </c>
      <c r="F1202">
        <v>0</v>
      </c>
      <c r="G1202">
        <v>21.95</v>
      </c>
      <c r="H1202">
        <v>1646.25</v>
      </c>
      <c r="I1202" t="s">
        <v>1622</v>
      </c>
      <c r="J1202">
        <v>1.65</v>
      </c>
      <c r="K1202">
        <v>0.57999999999999996</v>
      </c>
      <c r="L1202">
        <v>0</v>
      </c>
      <c r="M1202">
        <v>0</v>
      </c>
      <c r="N1202">
        <v>29</v>
      </c>
      <c r="O1202">
        <v>5.32</v>
      </c>
      <c r="P1202">
        <v>36.549999999999997</v>
      </c>
      <c r="Q1202">
        <f t="shared" si="198"/>
        <v>2025</v>
      </c>
      <c r="R1202">
        <f t="shared" si="199"/>
        <v>9</v>
      </c>
      <c r="S1202">
        <f t="shared" si="200"/>
        <v>2025</v>
      </c>
      <c r="T1202">
        <f t="shared" si="201"/>
        <v>6</v>
      </c>
      <c r="U1202" t="str">
        <f t="shared" si="202"/>
        <v>06</v>
      </c>
      <c r="V1202" t="str">
        <f t="shared" si="203"/>
        <v>202506</v>
      </c>
      <c r="W1202" t="str">
        <f t="shared" si="204"/>
        <v>Sep-25</v>
      </c>
      <c r="X1202" s="3">
        <f t="shared" si="205"/>
        <v>1609.7</v>
      </c>
      <c r="Y1202">
        <f t="shared" si="188"/>
        <v>1609.7</v>
      </c>
      <c r="Z1202" t="str">
        <f t="shared" si="189"/>
        <v/>
      </c>
    </row>
    <row r="1203" spans="1:26" x14ac:dyDescent="0.25">
      <c r="A1203" s="1">
        <v>45908</v>
      </c>
      <c r="B1203" t="s">
        <v>1620</v>
      </c>
      <c r="C1203" t="s">
        <v>17</v>
      </c>
      <c r="D1203" t="s">
        <v>18</v>
      </c>
      <c r="E1203">
        <v>150</v>
      </c>
      <c r="F1203">
        <v>0</v>
      </c>
      <c r="G1203">
        <v>20.95</v>
      </c>
      <c r="H1203">
        <v>3142.5</v>
      </c>
      <c r="I1203" t="s">
        <v>1623</v>
      </c>
      <c r="J1203">
        <v>3.14</v>
      </c>
      <c r="K1203">
        <v>1.1200000000000001</v>
      </c>
      <c r="L1203">
        <v>0</v>
      </c>
      <c r="M1203">
        <v>0</v>
      </c>
      <c r="N1203">
        <v>58</v>
      </c>
      <c r="O1203">
        <v>10.64</v>
      </c>
      <c r="P1203">
        <v>72.900000000000006</v>
      </c>
      <c r="Q1203">
        <f t="shared" si="198"/>
        <v>2025</v>
      </c>
      <c r="R1203">
        <f t="shared" si="199"/>
        <v>9</v>
      </c>
      <c r="S1203">
        <f t="shared" si="200"/>
        <v>2025</v>
      </c>
      <c r="T1203">
        <f t="shared" si="201"/>
        <v>6</v>
      </c>
      <c r="U1203" t="str">
        <f t="shared" si="202"/>
        <v>06</v>
      </c>
      <c r="V1203" t="str">
        <f t="shared" si="203"/>
        <v>202506</v>
      </c>
      <c r="W1203" t="str">
        <f t="shared" si="204"/>
        <v>Sep-25</v>
      </c>
      <c r="X1203" s="3">
        <f t="shared" si="205"/>
        <v>3069.6</v>
      </c>
      <c r="Y1203">
        <f t="shared" si="188"/>
        <v>3069.6</v>
      </c>
      <c r="Z1203" t="str">
        <f t="shared" si="189"/>
        <v/>
      </c>
    </row>
    <row r="1204" spans="1:26" x14ac:dyDescent="0.25">
      <c r="A1204" s="1">
        <v>45908</v>
      </c>
      <c r="B1204" t="s">
        <v>1620</v>
      </c>
      <c r="C1204" t="s">
        <v>17</v>
      </c>
      <c r="D1204" t="s">
        <v>18</v>
      </c>
      <c r="E1204">
        <v>150</v>
      </c>
      <c r="F1204">
        <v>0</v>
      </c>
      <c r="G1204">
        <v>19.95</v>
      </c>
      <c r="H1204">
        <v>2992.5</v>
      </c>
      <c r="I1204" t="s">
        <v>1624</v>
      </c>
      <c r="J1204">
        <v>2.99</v>
      </c>
      <c r="K1204">
        <v>1.06</v>
      </c>
      <c r="L1204">
        <v>0</v>
      </c>
      <c r="M1204">
        <v>0</v>
      </c>
      <c r="N1204">
        <v>58</v>
      </c>
      <c r="O1204">
        <v>10.64</v>
      </c>
      <c r="P1204">
        <v>72.69</v>
      </c>
      <c r="Q1204">
        <f t="shared" si="198"/>
        <v>2025</v>
      </c>
      <c r="R1204">
        <f t="shared" si="199"/>
        <v>9</v>
      </c>
      <c r="S1204">
        <f t="shared" si="200"/>
        <v>2025</v>
      </c>
      <c r="T1204">
        <f t="shared" si="201"/>
        <v>6</v>
      </c>
      <c r="U1204" t="str">
        <f t="shared" si="202"/>
        <v>06</v>
      </c>
      <c r="V1204" t="str">
        <f t="shared" si="203"/>
        <v>202506</v>
      </c>
      <c r="W1204" t="str">
        <f t="shared" si="204"/>
        <v>Sep-25</v>
      </c>
      <c r="X1204" s="3">
        <f t="shared" si="205"/>
        <v>2919.81</v>
      </c>
      <c r="Y1204">
        <f t="shared" si="188"/>
        <v>2919.81</v>
      </c>
      <c r="Z1204" t="str">
        <f t="shared" si="189"/>
        <v/>
      </c>
    </row>
    <row r="1205" spans="1:26" x14ac:dyDescent="0.25">
      <c r="A1205" s="1">
        <v>45908</v>
      </c>
      <c r="B1205" t="s">
        <v>1620</v>
      </c>
      <c r="C1205" t="s">
        <v>17</v>
      </c>
      <c r="D1205" t="s">
        <v>22</v>
      </c>
      <c r="E1205">
        <v>450</v>
      </c>
      <c r="F1205">
        <v>0</v>
      </c>
      <c r="G1205">
        <v>30.4</v>
      </c>
      <c r="H1205">
        <v>13680</v>
      </c>
      <c r="I1205" t="s">
        <v>1625</v>
      </c>
      <c r="J1205">
        <v>0</v>
      </c>
      <c r="K1205">
        <v>4.8600000000000003</v>
      </c>
      <c r="L1205">
        <v>0</v>
      </c>
      <c r="M1205">
        <v>0.01</v>
      </c>
      <c r="N1205">
        <v>174</v>
      </c>
      <c r="O1205">
        <v>32.200000000000003</v>
      </c>
      <c r="P1205">
        <v>211.07</v>
      </c>
      <c r="Q1205">
        <f t="shared" si="198"/>
        <v>2025</v>
      </c>
      <c r="R1205">
        <f t="shared" si="199"/>
        <v>9</v>
      </c>
      <c r="S1205">
        <f t="shared" si="200"/>
        <v>2025</v>
      </c>
      <c r="T1205">
        <f t="shared" si="201"/>
        <v>6</v>
      </c>
      <c r="U1205" t="str">
        <f t="shared" si="202"/>
        <v>06</v>
      </c>
      <c r="V1205" t="str">
        <f t="shared" si="203"/>
        <v>202506</v>
      </c>
      <c r="W1205" t="str">
        <f t="shared" si="204"/>
        <v>Sep-25</v>
      </c>
      <c r="X1205" s="3">
        <f t="shared" si="205"/>
        <v>-13891.07</v>
      </c>
      <c r="Y1205" t="str">
        <f t="shared" si="188"/>
        <v/>
      </c>
      <c r="Z1205">
        <f t="shared" si="189"/>
        <v>-13891.07</v>
      </c>
    </row>
    <row r="1206" spans="1:26" x14ac:dyDescent="0.25">
      <c r="A1206" s="1">
        <v>45908</v>
      </c>
      <c r="B1206" t="s">
        <v>1620</v>
      </c>
      <c r="C1206" t="s">
        <v>17</v>
      </c>
      <c r="D1206" t="s">
        <v>22</v>
      </c>
      <c r="E1206">
        <v>450</v>
      </c>
      <c r="F1206">
        <v>0</v>
      </c>
      <c r="G1206">
        <v>31.9</v>
      </c>
      <c r="H1206">
        <v>14355</v>
      </c>
      <c r="I1206" t="s">
        <v>1626</v>
      </c>
      <c r="J1206">
        <v>0</v>
      </c>
      <c r="K1206">
        <v>5.0999999999999996</v>
      </c>
      <c r="L1206">
        <v>2</v>
      </c>
      <c r="M1206">
        <v>0.01</v>
      </c>
      <c r="N1206">
        <v>174</v>
      </c>
      <c r="O1206">
        <v>32.24</v>
      </c>
      <c r="P1206">
        <v>213.35</v>
      </c>
      <c r="Q1206">
        <f t="shared" si="198"/>
        <v>2025</v>
      </c>
      <c r="R1206">
        <f t="shared" si="199"/>
        <v>9</v>
      </c>
      <c r="S1206">
        <f t="shared" si="200"/>
        <v>2025</v>
      </c>
      <c r="T1206">
        <f t="shared" si="201"/>
        <v>6</v>
      </c>
      <c r="U1206" t="str">
        <f t="shared" si="202"/>
        <v>06</v>
      </c>
      <c r="V1206" t="str">
        <f t="shared" si="203"/>
        <v>202506</v>
      </c>
      <c r="W1206" t="str">
        <f t="shared" si="204"/>
        <v>Sep-25</v>
      </c>
      <c r="X1206" s="3">
        <f t="shared" si="205"/>
        <v>-14568.35</v>
      </c>
      <c r="Y1206" t="str">
        <f t="shared" si="188"/>
        <v/>
      </c>
      <c r="Z1206">
        <f t="shared" si="189"/>
        <v>-14568.35</v>
      </c>
    </row>
    <row r="1207" spans="1:26" x14ac:dyDescent="0.25">
      <c r="A1207" s="1">
        <v>45908</v>
      </c>
      <c r="B1207" t="s">
        <v>1620</v>
      </c>
      <c r="C1207" t="s">
        <v>17</v>
      </c>
      <c r="D1207" t="s">
        <v>22</v>
      </c>
      <c r="E1207">
        <v>450</v>
      </c>
      <c r="F1207">
        <v>0</v>
      </c>
      <c r="G1207">
        <v>41.05</v>
      </c>
      <c r="H1207">
        <v>18472.5</v>
      </c>
      <c r="I1207" t="s">
        <v>1627</v>
      </c>
      <c r="J1207">
        <v>0</v>
      </c>
      <c r="K1207">
        <v>6.56</v>
      </c>
      <c r="L1207">
        <v>0</v>
      </c>
      <c r="M1207">
        <v>0.02</v>
      </c>
      <c r="N1207">
        <v>174</v>
      </c>
      <c r="O1207">
        <v>32.5</v>
      </c>
      <c r="P1207">
        <v>213.08</v>
      </c>
      <c r="Q1207">
        <f t="shared" si="198"/>
        <v>2025</v>
      </c>
      <c r="R1207">
        <f t="shared" si="199"/>
        <v>9</v>
      </c>
      <c r="S1207">
        <f t="shared" si="200"/>
        <v>2025</v>
      </c>
      <c r="T1207">
        <f t="shared" si="201"/>
        <v>6</v>
      </c>
      <c r="U1207" t="str">
        <f t="shared" si="202"/>
        <v>06</v>
      </c>
      <c r="V1207" t="str">
        <f t="shared" si="203"/>
        <v>202506</v>
      </c>
      <c r="W1207" t="str">
        <f t="shared" si="204"/>
        <v>Sep-25</v>
      </c>
      <c r="X1207" s="3">
        <f t="shared" si="205"/>
        <v>-18685.580000000002</v>
      </c>
      <c r="Y1207" t="str">
        <f t="shared" si="188"/>
        <v/>
      </c>
      <c r="Z1207">
        <f t="shared" si="189"/>
        <v>-18685.580000000002</v>
      </c>
    </row>
    <row r="1208" spans="1:26" x14ac:dyDescent="0.25">
      <c r="A1208" s="1">
        <v>45908</v>
      </c>
      <c r="B1208" t="s">
        <v>1620</v>
      </c>
      <c r="C1208" t="s">
        <v>17</v>
      </c>
      <c r="D1208" t="s">
        <v>18</v>
      </c>
      <c r="E1208">
        <v>900</v>
      </c>
      <c r="F1208">
        <v>0</v>
      </c>
      <c r="G1208">
        <v>37.950000000000003</v>
      </c>
      <c r="H1208">
        <v>34155</v>
      </c>
      <c r="I1208" t="s">
        <v>1628</v>
      </c>
      <c r="J1208">
        <v>34.42</v>
      </c>
      <c r="K1208">
        <v>12.14</v>
      </c>
      <c r="L1208">
        <v>0</v>
      </c>
      <c r="M1208">
        <v>0.03</v>
      </c>
      <c r="N1208">
        <v>348</v>
      </c>
      <c r="O1208">
        <v>64.84</v>
      </c>
      <c r="P1208">
        <v>459.43</v>
      </c>
      <c r="Q1208">
        <f t="shared" si="198"/>
        <v>2025</v>
      </c>
      <c r="R1208">
        <f t="shared" si="199"/>
        <v>9</v>
      </c>
      <c r="S1208">
        <f t="shared" si="200"/>
        <v>2025</v>
      </c>
      <c r="T1208">
        <f t="shared" si="201"/>
        <v>6</v>
      </c>
      <c r="U1208" t="str">
        <f t="shared" si="202"/>
        <v>06</v>
      </c>
      <c r="V1208" t="str">
        <f t="shared" si="203"/>
        <v>202506</v>
      </c>
      <c r="W1208" t="str">
        <f t="shared" si="204"/>
        <v>Sep-25</v>
      </c>
      <c r="X1208" s="3">
        <f t="shared" si="205"/>
        <v>33695.57</v>
      </c>
      <c r="Y1208">
        <f t="shared" si="188"/>
        <v>33695.57</v>
      </c>
      <c r="Z1208" t="str">
        <f t="shared" si="189"/>
        <v/>
      </c>
    </row>
    <row r="1209" spans="1:26" x14ac:dyDescent="0.25">
      <c r="A1209" s="1">
        <v>45908</v>
      </c>
      <c r="B1209" t="s">
        <v>1620</v>
      </c>
      <c r="C1209" t="s">
        <v>17</v>
      </c>
      <c r="D1209" t="s">
        <v>22</v>
      </c>
      <c r="E1209">
        <v>450</v>
      </c>
      <c r="F1209">
        <v>0</v>
      </c>
      <c r="G1209">
        <v>34.950000000000003</v>
      </c>
      <c r="H1209">
        <v>15727.5</v>
      </c>
      <c r="I1209" t="s">
        <v>1629</v>
      </c>
      <c r="J1209">
        <v>0</v>
      </c>
      <c r="K1209">
        <v>5.58</v>
      </c>
      <c r="L1209">
        <v>0</v>
      </c>
      <c r="M1209">
        <v>0.02</v>
      </c>
      <c r="N1209">
        <v>174</v>
      </c>
      <c r="O1209">
        <v>32.32</v>
      </c>
      <c r="P1209">
        <v>211.92</v>
      </c>
      <c r="Q1209">
        <f t="shared" si="198"/>
        <v>2025</v>
      </c>
      <c r="R1209">
        <f t="shared" si="199"/>
        <v>9</v>
      </c>
      <c r="S1209">
        <f t="shared" si="200"/>
        <v>2025</v>
      </c>
      <c r="T1209">
        <f t="shared" si="201"/>
        <v>6</v>
      </c>
      <c r="U1209" t="str">
        <f t="shared" si="202"/>
        <v>06</v>
      </c>
      <c r="V1209" t="str">
        <f t="shared" si="203"/>
        <v>202506</v>
      </c>
      <c r="W1209" t="str">
        <f t="shared" si="204"/>
        <v>Sep-25</v>
      </c>
      <c r="X1209" s="3">
        <f t="shared" si="205"/>
        <v>-15939.42</v>
      </c>
      <c r="Y1209" t="str">
        <f t="shared" si="188"/>
        <v/>
      </c>
      <c r="Z1209">
        <f t="shared" si="189"/>
        <v>-15939.42</v>
      </c>
    </row>
    <row r="1210" spans="1:26" x14ac:dyDescent="0.25">
      <c r="A1210" s="1">
        <v>45908</v>
      </c>
      <c r="B1210" t="s">
        <v>1620</v>
      </c>
      <c r="C1210" t="s">
        <v>17</v>
      </c>
      <c r="D1210" t="s">
        <v>22</v>
      </c>
      <c r="E1210">
        <v>450</v>
      </c>
      <c r="F1210">
        <v>0</v>
      </c>
      <c r="G1210">
        <v>38.65</v>
      </c>
      <c r="H1210">
        <v>17392.5</v>
      </c>
      <c r="I1210" t="s">
        <v>1630</v>
      </c>
      <c r="J1210">
        <v>0</v>
      </c>
      <c r="K1210">
        <v>6.18</v>
      </c>
      <c r="L1210">
        <v>0</v>
      </c>
      <c r="M1210">
        <v>0.01</v>
      </c>
      <c r="N1210">
        <v>174</v>
      </c>
      <c r="O1210">
        <v>32.42</v>
      </c>
      <c r="P1210">
        <v>212.61</v>
      </c>
      <c r="Q1210">
        <f t="shared" si="198"/>
        <v>2025</v>
      </c>
      <c r="R1210">
        <f t="shared" si="199"/>
        <v>9</v>
      </c>
      <c r="S1210">
        <f t="shared" si="200"/>
        <v>2025</v>
      </c>
      <c r="T1210">
        <f t="shared" si="201"/>
        <v>6</v>
      </c>
      <c r="U1210" t="str">
        <f t="shared" si="202"/>
        <v>06</v>
      </c>
      <c r="V1210" t="str">
        <f t="shared" si="203"/>
        <v>202506</v>
      </c>
      <c r="W1210" t="str">
        <f t="shared" si="204"/>
        <v>Sep-25</v>
      </c>
      <c r="X1210" s="3">
        <f t="shared" si="205"/>
        <v>-17605.11</v>
      </c>
      <c r="Y1210" t="str">
        <f t="shared" si="188"/>
        <v/>
      </c>
      <c r="Z1210">
        <f t="shared" si="189"/>
        <v>-17605.11</v>
      </c>
    </row>
    <row r="1211" spans="1:26" x14ac:dyDescent="0.25">
      <c r="A1211" s="1">
        <v>45909</v>
      </c>
      <c r="B1211" t="s">
        <v>1620</v>
      </c>
      <c r="C1211" t="s">
        <v>17</v>
      </c>
      <c r="D1211" t="s">
        <v>18</v>
      </c>
      <c r="E1211">
        <v>900</v>
      </c>
      <c r="F1211">
        <v>0</v>
      </c>
      <c r="G1211">
        <v>3.45</v>
      </c>
      <c r="H1211">
        <v>3105</v>
      </c>
      <c r="I1211" t="s">
        <v>1631</v>
      </c>
      <c r="J1211">
        <v>3.11</v>
      </c>
      <c r="K1211">
        <v>1.1000000000000001</v>
      </c>
      <c r="L1211">
        <v>0</v>
      </c>
      <c r="M1211">
        <v>0</v>
      </c>
      <c r="N1211">
        <v>348</v>
      </c>
      <c r="O1211">
        <v>62.84</v>
      </c>
      <c r="P1211">
        <v>415.05</v>
      </c>
      <c r="Q1211">
        <f t="shared" si="198"/>
        <v>2025</v>
      </c>
      <c r="R1211">
        <f t="shared" si="199"/>
        <v>9</v>
      </c>
      <c r="S1211">
        <f t="shared" si="200"/>
        <v>2025</v>
      </c>
      <c r="T1211">
        <f t="shared" si="201"/>
        <v>6</v>
      </c>
      <c r="U1211" t="str">
        <f t="shared" si="202"/>
        <v>06</v>
      </c>
      <c r="V1211" t="str">
        <f t="shared" si="203"/>
        <v>202506</v>
      </c>
      <c r="W1211" t="str">
        <f t="shared" si="204"/>
        <v>Sep-25</v>
      </c>
      <c r="X1211" s="3">
        <f t="shared" si="205"/>
        <v>2689.95</v>
      </c>
      <c r="Y1211">
        <f t="shared" si="188"/>
        <v>2689.95</v>
      </c>
      <c r="Z1211" t="str">
        <f t="shared" si="189"/>
        <v/>
      </c>
    </row>
    <row r="1212" spans="1:26" x14ac:dyDescent="0.25">
      <c r="A1212" s="1">
        <v>45909</v>
      </c>
      <c r="B1212" t="s">
        <v>1620</v>
      </c>
      <c r="C1212" t="s">
        <v>17</v>
      </c>
      <c r="D1212" t="s">
        <v>18</v>
      </c>
      <c r="E1212">
        <v>1500</v>
      </c>
      <c r="F1212">
        <v>0</v>
      </c>
      <c r="G1212">
        <v>3.65</v>
      </c>
      <c r="H1212">
        <v>5475</v>
      </c>
      <c r="I1212" t="s">
        <v>1632</v>
      </c>
      <c r="J1212">
        <v>5.48</v>
      </c>
      <c r="K1212">
        <v>1.95</v>
      </c>
      <c r="L1212">
        <v>0</v>
      </c>
      <c r="M1212">
        <v>0.01</v>
      </c>
      <c r="N1212">
        <v>580</v>
      </c>
      <c r="O1212">
        <v>104.76</v>
      </c>
      <c r="P1212">
        <v>692.2</v>
      </c>
      <c r="Q1212">
        <f t="shared" si="198"/>
        <v>2025</v>
      </c>
      <c r="R1212">
        <f t="shared" si="199"/>
        <v>9</v>
      </c>
      <c r="S1212">
        <f t="shared" si="200"/>
        <v>2025</v>
      </c>
      <c r="T1212">
        <f t="shared" si="201"/>
        <v>6</v>
      </c>
      <c r="U1212" t="str">
        <f t="shared" si="202"/>
        <v>06</v>
      </c>
      <c r="V1212" t="str">
        <f t="shared" si="203"/>
        <v>202506</v>
      </c>
      <c r="W1212" t="str">
        <f t="shared" si="204"/>
        <v>Sep-25</v>
      </c>
      <c r="X1212" s="3">
        <f t="shared" si="205"/>
        <v>4782.8</v>
      </c>
      <c r="Y1212">
        <f t="shared" si="188"/>
        <v>4782.8</v>
      </c>
      <c r="Z1212" t="str">
        <f t="shared" si="189"/>
        <v/>
      </c>
    </row>
    <row r="1213" spans="1:26" x14ac:dyDescent="0.25">
      <c r="A1213" s="1">
        <v>45909</v>
      </c>
      <c r="B1213" t="s">
        <v>1620</v>
      </c>
      <c r="C1213" t="s">
        <v>17</v>
      </c>
      <c r="D1213" t="s">
        <v>18</v>
      </c>
      <c r="E1213">
        <v>1500</v>
      </c>
      <c r="F1213">
        <v>0</v>
      </c>
      <c r="G1213">
        <v>3.3</v>
      </c>
      <c r="H1213">
        <v>4950</v>
      </c>
      <c r="I1213" t="s">
        <v>1633</v>
      </c>
      <c r="J1213">
        <v>4.95</v>
      </c>
      <c r="K1213">
        <v>1.76</v>
      </c>
      <c r="L1213">
        <v>0</v>
      </c>
      <c r="M1213">
        <v>0</v>
      </c>
      <c r="N1213">
        <v>580</v>
      </c>
      <c r="O1213">
        <v>104.72</v>
      </c>
      <c r="P1213">
        <v>691.43</v>
      </c>
      <c r="Q1213">
        <f t="shared" si="198"/>
        <v>2025</v>
      </c>
      <c r="R1213">
        <f t="shared" si="199"/>
        <v>9</v>
      </c>
      <c r="S1213">
        <f t="shared" si="200"/>
        <v>2025</v>
      </c>
      <c r="T1213">
        <f t="shared" si="201"/>
        <v>6</v>
      </c>
      <c r="U1213" t="str">
        <f t="shared" si="202"/>
        <v>06</v>
      </c>
      <c r="V1213" t="str">
        <f t="shared" si="203"/>
        <v>202506</v>
      </c>
      <c r="W1213" t="str">
        <f t="shared" si="204"/>
        <v>Sep-25</v>
      </c>
      <c r="X1213" s="3">
        <f t="shared" si="205"/>
        <v>4258.57</v>
      </c>
      <c r="Y1213">
        <f t="shared" si="188"/>
        <v>4258.57</v>
      </c>
      <c r="Z1213" t="str">
        <f t="shared" si="189"/>
        <v/>
      </c>
    </row>
    <row r="1214" spans="1:26" x14ac:dyDescent="0.25">
      <c r="A1214" s="1">
        <v>45909</v>
      </c>
      <c r="B1214" t="s">
        <v>1620</v>
      </c>
      <c r="C1214" t="s">
        <v>17</v>
      </c>
      <c r="D1214" t="s">
        <v>18</v>
      </c>
      <c r="E1214">
        <v>1500</v>
      </c>
      <c r="F1214">
        <v>0</v>
      </c>
      <c r="G1214">
        <v>3.4</v>
      </c>
      <c r="H1214">
        <v>5100</v>
      </c>
      <c r="I1214" t="s">
        <v>1634</v>
      </c>
      <c r="J1214">
        <v>5.0999999999999996</v>
      </c>
      <c r="K1214">
        <v>1.81</v>
      </c>
      <c r="L1214">
        <v>0</v>
      </c>
      <c r="M1214">
        <v>0</v>
      </c>
      <c r="N1214">
        <v>580</v>
      </c>
      <c r="O1214">
        <v>104.74</v>
      </c>
      <c r="P1214">
        <v>691.65</v>
      </c>
      <c r="Q1214">
        <f t="shared" si="198"/>
        <v>2025</v>
      </c>
      <c r="R1214">
        <f t="shared" si="199"/>
        <v>9</v>
      </c>
      <c r="S1214">
        <f t="shared" si="200"/>
        <v>2025</v>
      </c>
      <c r="T1214">
        <f t="shared" si="201"/>
        <v>6</v>
      </c>
      <c r="U1214" t="str">
        <f t="shared" si="202"/>
        <v>06</v>
      </c>
      <c r="V1214" t="str">
        <f t="shared" si="203"/>
        <v>202506</v>
      </c>
      <c r="W1214" t="str">
        <f t="shared" si="204"/>
        <v>Sep-25</v>
      </c>
      <c r="X1214" s="3">
        <f t="shared" si="205"/>
        <v>4408.3500000000004</v>
      </c>
      <c r="Y1214">
        <f t="shared" si="188"/>
        <v>4408.3500000000004</v>
      </c>
      <c r="Z1214" t="str">
        <f t="shared" si="189"/>
        <v/>
      </c>
    </row>
    <row r="1215" spans="1:26" x14ac:dyDescent="0.25">
      <c r="A1215" s="1">
        <v>45909</v>
      </c>
      <c r="B1215" t="s">
        <v>1620</v>
      </c>
      <c r="C1215" t="s">
        <v>17</v>
      </c>
      <c r="D1215" t="s">
        <v>22</v>
      </c>
      <c r="E1215">
        <v>1350</v>
      </c>
      <c r="F1215">
        <v>0</v>
      </c>
      <c r="G1215">
        <v>9.25</v>
      </c>
      <c r="H1215">
        <v>12487.5</v>
      </c>
      <c r="I1215" t="s">
        <v>1635</v>
      </c>
      <c r="J1215">
        <v>0</v>
      </c>
      <c r="K1215">
        <v>4.4400000000000004</v>
      </c>
      <c r="L1215">
        <v>0</v>
      </c>
      <c r="M1215">
        <v>0.01</v>
      </c>
      <c r="N1215">
        <v>522</v>
      </c>
      <c r="O1215">
        <v>94.76</v>
      </c>
      <c r="P1215">
        <v>621.21</v>
      </c>
      <c r="Q1215">
        <f t="shared" si="198"/>
        <v>2025</v>
      </c>
      <c r="R1215">
        <f t="shared" si="199"/>
        <v>9</v>
      </c>
      <c r="S1215">
        <f t="shared" si="200"/>
        <v>2025</v>
      </c>
      <c r="T1215">
        <f t="shared" si="201"/>
        <v>6</v>
      </c>
      <c r="U1215" t="str">
        <f t="shared" si="202"/>
        <v>06</v>
      </c>
      <c r="V1215" t="str">
        <f t="shared" si="203"/>
        <v>202506</v>
      </c>
      <c r="W1215" t="str">
        <f t="shared" si="204"/>
        <v>Sep-25</v>
      </c>
      <c r="X1215" s="3">
        <f t="shared" si="205"/>
        <v>-13108.71</v>
      </c>
      <c r="Y1215" t="str">
        <f t="shared" si="188"/>
        <v/>
      </c>
      <c r="Z1215">
        <f t="shared" si="189"/>
        <v>-13108.71</v>
      </c>
    </row>
    <row r="1216" spans="1:26" x14ac:dyDescent="0.25">
      <c r="A1216" s="1">
        <v>45909</v>
      </c>
      <c r="B1216" t="s">
        <v>1620</v>
      </c>
      <c r="C1216" t="s">
        <v>17</v>
      </c>
      <c r="D1216" t="s">
        <v>22</v>
      </c>
      <c r="E1216">
        <v>1350</v>
      </c>
      <c r="F1216">
        <v>0</v>
      </c>
      <c r="G1216">
        <v>10.7</v>
      </c>
      <c r="H1216">
        <v>14445</v>
      </c>
      <c r="I1216" t="s">
        <v>1636</v>
      </c>
      <c r="J1216">
        <v>0</v>
      </c>
      <c r="K1216">
        <v>5.14</v>
      </c>
      <c r="L1216">
        <v>0</v>
      </c>
      <c r="M1216">
        <v>0.01</v>
      </c>
      <c r="N1216">
        <v>522</v>
      </c>
      <c r="O1216">
        <v>94.88</v>
      </c>
      <c r="P1216">
        <v>622.03</v>
      </c>
      <c r="Q1216">
        <f t="shared" si="198"/>
        <v>2025</v>
      </c>
      <c r="R1216">
        <f t="shared" si="199"/>
        <v>9</v>
      </c>
      <c r="S1216">
        <f t="shared" si="200"/>
        <v>2025</v>
      </c>
      <c r="T1216">
        <f t="shared" si="201"/>
        <v>6</v>
      </c>
      <c r="U1216" t="str">
        <f t="shared" si="202"/>
        <v>06</v>
      </c>
      <c r="V1216" t="str">
        <f t="shared" si="203"/>
        <v>202506</v>
      </c>
      <c r="W1216" t="str">
        <f t="shared" si="204"/>
        <v>Sep-25</v>
      </c>
      <c r="X1216" s="3">
        <f t="shared" si="205"/>
        <v>-15067.03</v>
      </c>
      <c r="Y1216" t="str">
        <f t="shared" si="188"/>
        <v/>
      </c>
      <c r="Z1216">
        <f t="shared" si="189"/>
        <v>-15067.03</v>
      </c>
    </row>
    <row r="1217" spans="1:26" x14ac:dyDescent="0.25">
      <c r="A1217" s="1">
        <v>45909</v>
      </c>
      <c r="B1217" t="s">
        <v>1620</v>
      </c>
      <c r="C1217" t="s">
        <v>17</v>
      </c>
      <c r="D1217" t="s">
        <v>22</v>
      </c>
      <c r="E1217">
        <v>1350</v>
      </c>
      <c r="F1217">
        <v>0</v>
      </c>
      <c r="G1217">
        <v>14.25</v>
      </c>
      <c r="H1217">
        <v>19237.5</v>
      </c>
      <c r="I1217" t="s">
        <v>1637</v>
      </c>
      <c r="J1217">
        <v>0</v>
      </c>
      <c r="K1217">
        <v>6.84</v>
      </c>
      <c r="L1217">
        <v>2.2200000000000002</v>
      </c>
      <c r="M1217">
        <v>0.02</v>
      </c>
      <c r="N1217">
        <v>522</v>
      </c>
      <c r="O1217">
        <v>95.2</v>
      </c>
      <c r="P1217">
        <v>626.28</v>
      </c>
      <c r="Q1217">
        <f t="shared" si="198"/>
        <v>2025</v>
      </c>
      <c r="R1217">
        <f t="shared" si="199"/>
        <v>9</v>
      </c>
      <c r="S1217">
        <f t="shared" si="200"/>
        <v>2025</v>
      </c>
      <c r="T1217">
        <f t="shared" si="201"/>
        <v>6</v>
      </c>
      <c r="U1217" t="str">
        <f t="shared" si="202"/>
        <v>06</v>
      </c>
      <c r="V1217" t="str">
        <f t="shared" si="203"/>
        <v>202506</v>
      </c>
      <c r="W1217" t="str">
        <f t="shared" si="204"/>
        <v>Sep-25</v>
      </c>
      <c r="X1217" s="3">
        <f t="shared" si="205"/>
        <v>-19863.78</v>
      </c>
      <c r="Y1217" t="str">
        <f t="shared" si="188"/>
        <v/>
      </c>
      <c r="Z1217">
        <f t="shared" si="189"/>
        <v>-19863.78</v>
      </c>
    </row>
    <row r="1218" spans="1:26" x14ac:dyDescent="0.25">
      <c r="A1218" s="1">
        <v>45909</v>
      </c>
      <c r="B1218" t="s">
        <v>1620</v>
      </c>
      <c r="C1218" t="s">
        <v>17</v>
      </c>
      <c r="D1218" t="s">
        <v>22</v>
      </c>
      <c r="E1218">
        <v>1350</v>
      </c>
      <c r="F1218">
        <v>0</v>
      </c>
      <c r="G1218">
        <v>16.3</v>
      </c>
      <c r="H1218">
        <v>22005</v>
      </c>
      <c r="I1218" t="s">
        <v>1638</v>
      </c>
      <c r="J1218">
        <v>0</v>
      </c>
      <c r="K1218">
        <v>7.81</v>
      </c>
      <c r="L1218">
        <v>0</v>
      </c>
      <c r="M1218">
        <v>0.02</v>
      </c>
      <c r="N1218">
        <v>522</v>
      </c>
      <c r="O1218">
        <v>95.36</v>
      </c>
      <c r="P1218">
        <v>625.19000000000005</v>
      </c>
      <c r="Q1218">
        <f t="shared" si="198"/>
        <v>2025</v>
      </c>
      <c r="R1218">
        <f t="shared" si="199"/>
        <v>9</v>
      </c>
      <c r="S1218">
        <f t="shared" si="200"/>
        <v>2025</v>
      </c>
      <c r="T1218">
        <f t="shared" si="201"/>
        <v>6</v>
      </c>
      <c r="U1218" t="str">
        <f t="shared" si="202"/>
        <v>06</v>
      </c>
      <c r="V1218" t="str">
        <f t="shared" si="203"/>
        <v>202506</v>
      </c>
      <c r="W1218" t="str">
        <f t="shared" si="204"/>
        <v>Sep-25</v>
      </c>
      <c r="X1218" s="3">
        <f t="shared" si="205"/>
        <v>-22630.19</v>
      </c>
      <c r="Y1218" t="str">
        <f t="shared" si="188"/>
        <v/>
      </c>
      <c r="Z1218">
        <f t="shared" si="189"/>
        <v>-22630.19</v>
      </c>
    </row>
    <row r="1219" spans="1:26" x14ac:dyDescent="0.25">
      <c r="A1219" s="1">
        <v>45909</v>
      </c>
      <c r="B1219" t="s">
        <v>1639</v>
      </c>
      <c r="C1219" t="s">
        <v>17</v>
      </c>
      <c r="D1219" t="s">
        <v>18</v>
      </c>
      <c r="E1219">
        <v>450</v>
      </c>
      <c r="F1219">
        <v>0</v>
      </c>
      <c r="G1219">
        <v>57.95</v>
      </c>
      <c r="H1219">
        <v>26077.5</v>
      </c>
      <c r="I1219" t="s">
        <v>1640</v>
      </c>
      <c r="J1219">
        <v>26.09</v>
      </c>
      <c r="K1219">
        <v>9.26</v>
      </c>
      <c r="L1219">
        <v>0</v>
      </c>
      <c r="M1219">
        <v>0.02</v>
      </c>
      <c r="N1219">
        <v>174</v>
      </c>
      <c r="O1219">
        <v>33</v>
      </c>
      <c r="P1219">
        <v>242.37</v>
      </c>
      <c r="Q1219">
        <f t="shared" si="198"/>
        <v>2025</v>
      </c>
      <c r="R1219">
        <f t="shared" si="199"/>
        <v>9</v>
      </c>
      <c r="S1219">
        <f t="shared" si="200"/>
        <v>2025</v>
      </c>
      <c r="T1219">
        <f t="shared" si="201"/>
        <v>6</v>
      </c>
      <c r="U1219" t="str">
        <f t="shared" si="202"/>
        <v>06</v>
      </c>
      <c r="V1219" t="str">
        <f t="shared" si="203"/>
        <v>202506</v>
      </c>
      <c r="W1219" t="str">
        <f t="shared" si="204"/>
        <v>Sep-25</v>
      </c>
      <c r="X1219" s="3">
        <f t="shared" si="205"/>
        <v>25835.13</v>
      </c>
      <c r="Y1219">
        <f t="shared" ref="Y1219:Y1282" si="206">IF(X1219&gt;0,X1219,"")</f>
        <v>25835.13</v>
      </c>
      <c r="Z1219" t="str">
        <f t="shared" ref="Z1219:Z1282" si="207">IF(X1219&lt;0,X1219,"")</f>
        <v/>
      </c>
    </row>
    <row r="1220" spans="1:26" x14ac:dyDescent="0.25">
      <c r="A1220" s="1">
        <v>45909</v>
      </c>
      <c r="B1220" t="s">
        <v>1639</v>
      </c>
      <c r="C1220" t="s">
        <v>17</v>
      </c>
      <c r="D1220" t="s">
        <v>22</v>
      </c>
      <c r="E1220">
        <v>450</v>
      </c>
      <c r="F1220">
        <v>0</v>
      </c>
      <c r="G1220">
        <v>53.25</v>
      </c>
      <c r="H1220">
        <v>23962.5</v>
      </c>
      <c r="I1220" t="s">
        <v>1641</v>
      </c>
      <c r="J1220">
        <v>0</v>
      </c>
      <c r="K1220">
        <v>8.51</v>
      </c>
      <c r="L1220">
        <v>0.72</v>
      </c>
      <c r="M1220">
        <v>0.02</v>
      </c>
      <c r="N1220">
        <v>174</v>
      </c>
      <c r="O1220">
        <v>32.86</v>
      </c>
      <c r="P1220">
        <v>216.11</v>
      </c>
      <c r="Q1220">
        <f t="shared" si="198"/>
        <v>2025</v>
      </c>
      <c r="R1220">
        <f t="shared" si="199"/>
        <v>9</v>
      </c>
      <c r="S1220">
        <f t="shared" si="200"/>
        <v>2025</v>
      </c>
      <c r="T1220">
        <f t="shared" si="201"/>
        <v>6</v>
      </c>
      <c r="U1220" t="str">
        <f t="shared" si="202"/>
        <v>06</v>
      </c>
      <c r="V1220" t="str">
        <f t="shared" si="203"/>
        <v>202506</v>
      </c>
      <c r="W1220" t="str">
        <f t="shared" si="204"/>
        <v>Sep-25</v>
      </c>
      <c r="X1220" s="3">
        <f t="shared" si="205"/>
        <v>-24178.61</v>
      </c>
      <c r="Y1220" t="str">
        <f t="shared" si="206"/>
        <v/>
      </c>
      <c r="Z1220">
        <f t="shared" si="207"/>
        <v>-24178.61</v>
      </c>
    </row>
    <row r="1221" spans="1:26" x14ac:dyDescent="0.25">
      <c r="A1221" s="1">
        <v>45909</v>
      </c>
      <c r="B1221" t="s">
        <v>1642</v>
      </c>
      <c r="C1221" t="s">
        <v>17</v>
      </c>
      <c r="D1221" t="s">
        <v>18</v>
      </c>
      <c r="E1221">
        <v>750</v>
      </c>
      <c r="F1221">
        <v>0</v>
      </c>
      <c r="G1221">
        <v>52.95</v>
      </c>
      <c r="H1221">
        <v>39712.5</v>
      </c>
      <c r="I1221" t="s">
        <v>1643</v>
      </c>
      <c r="J1221">
        <v>39.28</v>
      </c>
      <c r="K1221">
        <v>14.1</v>
      </c>
      <c r="L1221">
        <v>0</v>
      </c>
      <c r="M1221">
        <v>0.02</v>
      </c>
      <c r="N1221">
        <v>290</v>
      </c>
      <c r="O1221">
        <v>54.76</v>
      </c>
      <c r="P1221">
        <v>398.16</v>
      </c>
      <c r="Q1221">
        <f t="shared" si="198"/>
        <v>2025</v>
      </c>
      <c r="R1221">
        <f t="shared" si="199"/>
        <v>9</v>
      </c>
      <c r="S1221">
        <f t="shared" si="200"/>
        <v>2025</v>
      </c>
      <c r="T1221">
        <f t="shared" si="201"/>
        <v>6</v>
      </c>
      <c r="U1221" t="str">
        <f t="shared" si="202"/>
        <v>06</v>
      </c>
      <c r="V1221" t="str">
        <f t="shared" si="203"/>
        <v>202506</v>
      </c>
      <c r="W1221" t="str">
        <f t="shared" si="204"/>
        <v>Sep-25</v>
      </c>
      <c r="X1221" s="3">
        <f t="shared" si="205"/>
        <v>39314.339999999997</v>
      </c>
      <c r="Y1221">
        <f t="shared" si="206"/>
        <v>39314.339999999997</v>
      </c>
      <c r="Z1221" t="str">
        <f t="shared" si="207"/>
        <v/>
      </c>
    </row>
    <row r="1222" spans="1:26" x14ac:dyDescent="0.25">
      <c r="A1222" s="1">
        <v>45909</v>
      </c>
      <c r="B1222" t="s">
        <v>1642</v>
      </c>
      <c r="C1222" t="s">
        <v>17</v>
      </c>
      <c r="D1222" t="s">
        <v>22</v>
      </c>
      <c r="E1222">
        <v>750</v>
      </c>
      <c r="F1222">
        <v>0</v>
      </c>
      <c r="G1222">
        <v>47.05</v>
      </c>
      <c r="H1222">
        <v>35287.5</v>
      </c>
      <c r="I1222" t="s">
        <v>1644</v>
      </c>
      <c r="J1222">
        <v>0</v>
      </c>
      <c r="K1222">
        <v>12.54</v>
      </c>
      <c r="L1222">
        <v>1.06</v>
      </c>
      <c r="M1222">
        <v>0.04</v>
      </c>
      <c r="N1222">
        <v>290</v>
      </c>
      <c r="O1222">
        <v>54.48</v>
      </c>
      <c r="P1222">
        <v>358.12</v>
      </c>
      <c r="Q1222">
        <f t="shared" si="198"/>
        <v>2025</v>
      </c>
      <c r="R1222">
        <f t="shared" si="199"/>
        <v>9</v>
      </c>
      <c r="S1222">
        <f t="shared" si="200"/>
        <v>2025</v>
      </c>
      <c r="T1222">
        <f t="shared" si="201"/>
        <v>6</v>
      </c>
      <c r="U1222" t="str">
        <f t="shared" si="202"/>
        <v>06</v>
      </c>
      <c r="V1222" t="str">
        <f t="shared" si="203"/>
        <v>202506</v>
      </c>
      <c r="W1222" t="str">
        <f t="shared" si="204"/>
        <v>Sep-25</v>
      </c>
      <c r="X1222" s="3">
        <f t="shared" si="205"/>
        <v>-35645.620000000003</v>
      </c>
      <c r="Y1222" t="str">
        <f t="shared" si="206"/>
        <v/>
      </c>
      <c r="Z1222">
        <f t="shared" si="207"/>
        <v>-35645.620000000003</v>
      </c>
    </row>
    <row r="1223" spans="1:26" x14ac:dyDescent="0.25">
      <c r="A1223" s="1">
        <v>45910</v>
      </c>
      <c r="B1223" t="s">
        <v>1645</v>
      </c>
      <c r="C1223" t="s">
        <v>17</v>
      </c>
      <c r="D1223" t="s">
        <v>18</v>
      </c>
      <c r="E1223">
        <v>225</v>
      </c>
      <c r="F1223">
        <v>0</v>
      </c>
      <c r="G1223">
        <v>87.8</v>
      </c>
      <c r="H1223">
        <v>19755</v>
      </c>
      <c r="I1223" t="s">
        <v>1646</v>
      </c>
      <c r="J1223">
        <v>19.760000000000002</v>
      </c>
      <c r="K1223">
        <v>7.02</v>
      </c>
      <c r="L1223">
        <v>0</v>
      </c>
      <c r="M1223">
        <v>0.02</v>
      </c>
      <c r="N1223">
        <v>87</v>
      </c>
      <c r="O1223">
        <v>16.920000000000002</v>
      </c>
      <c r="P1223">
        <v>130.72</v>
      </c>
      <c r="Q1223">
        <f t="shared" si="198"/>
        <v>2025</v>
      </c>
      <c r="R1223">
        <f t="shared" si="199"/>
        <v>9</v>
      </c>
      <c r="S1223">
        <f t="shared" si="200"/>
        <v>2025</v>
      </c>
      <c r="T1223">
        <f t="shared" si="201"/>
        <v>6</v>
      </c>
      <c r="U1223" t="str">
        <f t="shared" si="202"/>
        <v>06</v>
      </c>
      <c r="V1223" t="str">
        <f t="shared" si="203"/>
        <v>202506</v>
      </c>
      <c r="W1223" t="str">
        <f t="shared" si="204"/>
        <v>Sep-25</v>
      </c>
      <c r="X1223" s="3">
        <f t="shared" si="205"/>
        <v>19624.28</v>
      </c>
      <c r="Y1223">
        <f t="shared" si="206"/>
        <v>19624.28</v>
      </c>
      <c r="Z1223" t="str">
        <f t="shared" si="207"/>
        <v/>
      </c>
    </row>
    <row r="1224" spans="1:26" x14ac:dyDescent="0.25">
      <c r="A1224" s="1">
        <v>45910</v>
      </c>
      <c r="B1224" t="s">
        <v>1645</v>
      </c>
      <c r="C1224" t="s">
        <v>17</v>
      </c>
      <c r="D1224" t="s">
        <v>22</v>
      </c>
      <c r="E1224">
        <v>225</v>
      </c>
      <c r="F1224">
        <v>0</v>
      </c>
      <c r="G1224">
        <v>90.8</v>
      </c>
      <c r="H1224">
        <v>20430</v>
      </c>
      <c r="I1224" t="s">
        <v>1647</v>
      </c>
      <c r="J1224">
        <v>0</v>
      </c>
      <c r="K1224">
        <v>7.26</v>
      </c>
      <c r="L1224">
        <v>0.61</v>
      </c>
      <c r="M1224">
        <v>0.02</v>
      </c>
      <c r="N1224">
        <v>87</v>
      </c>
      <c r="O1224">
        <v>16.98</v>
      </c>
      <c r="P1224">
        <v>111.87</v>
      </c>
      <c r="Q1224">
        <f t="shared" si="198"/>
        <v>2025</v>
      </c>
      <c r="R1224">
        <f t="shared" si="199"/>
        <v>9</v>
      </c>
      <c r="S1224">
        <f t="shared" si="200"/>
        <v>2025</v>
      </c>
      <c r="T1224">
        <f t="shared" si="201"/>
        <v>6</v>
      </c>
      <c r="U1224" t="str">
        <f t="shared" si="202"/>
        <v>06</v>
      </c>
      <c r="V1224" t="str">
        <f t="shared" si="203"/>
        <v>202506</v>
      </c>
      <c r="W1224" t="str">
        <f t="shared" si="204"/>
        <v>Sep-25</v>
      </c>
      <c r="X1224" s="3">
        <f t="shared" si="205"/>
        <v>-20541.87</v>
      </c>
      <c r="Y1224" t="str">
        <f t="shared" si="206"/>
        <v/>
      </c>
      <c r="Z1224">
        <f t="shared" si="207"/>
        <v>-20541.87</v>
      </c>
    </row>
    <row r="1225" spans="1:26" x14ac:dyDescent="0.25">
      <c r="A1225" s="1">
        <v>45910</v>
      </c>
      <c r="B1225" t="s">
        <v>1648</v>
      </c>
      <c r="C1225" t="s">
        <v>17</v>
      </c>
      <c r="D1225" t="s">
        <v>18</v>
      </c>
      <c r="E1225">
        <v>150</v>
      </c>
      <c r="F1225">
        <v>0</v>
      </c>
      <c r="G1225">
        <v>119</v>
      </c>
      <c r="H1225">
        <v>17850</v>
      </c>
      <c r="I1225" t="s">
        <v>1649</v>
      </c>
      <c r="J1225">
        <v>17.850000000000001</v>
      </c>
      <c r="K1225">
        <v>6.34</v>
      </c>
      <c r="L1225">
        <v>0</v>
      </c>
      <c r="M1225">
        <v>0.02</v>
      </c>
      <c r="N1225">
        <v>58</v>
      </c>
      <c r="O1225">
        <v>11.58</v>
      </c>
      <c r="P1225">
        <v>93.79</v>
      </c>
      <c r="Q1225">
        <f t="shared" si="198"/>
        <v>2025</v>
      </c>
      <c r="R1225">
        <f t="shared" si="199"/>
        <v>9</v>
      </c>
      <c r="S1225">
        <f t="shared" si="200"/>
        <v>2025</v>
      </c>
      <c r="T1225">
        <f t="shared" si="201"/>
        <v>6</v>
      </c>
      <c r="U1225" t="str">
        <f t="shared" si="202"/>
        <v>06</v>
      </c>
      <c r="V1225" t="str">
        <f t="shared" si="203"/>
        <v>202506</v>
      </c>
      <c r="W1225" t="str">
        <f t="shared" si="204"/>
        <v>Sep-25</v>
      </c>
      <c r="X1225" s="3">
        <f t="shared" si="205"/>
        <v>17756.21</v>
      </c>
      <c r="Y1225">
        <f t="shared" si="206"/>
        <v>17756.21</v>
      </c>
      <c r="Z1225" t="str">
        <f t="shared" si="207"/>
        <v/>
      </c>
    </row>
    <row r="1226" spans="1:26" x14ac:dyDescent="0.25">
      <c r="A1226" s="1">
        <v>45910</v>
      </c>
      <c r="B1226" t="s">
        <v>1648</v>
      </c>
      <c r="C1226" t="s">
        <v>17</v>
      </c>
      <c r="D1226" t="s">
        <v>22</v>
      </c>
      <c r="E1226">
        <v>150</v>
      </c>
      <c r="F1226">
        <v>0</v>
      </c>
      <c r="G1226">
        <v>121.9</v>
      </c>
      <c r="H1226">
        <v>18285</v>
      </c>
      <c r="I1226" t="s">
        <v>1650</v>
      </c>
      <c r="J1226">
        <v>0</v>
      </c>
      <c r="K1226">
        <v>6.5</v>
      </c>
      <c r="L1226">
        <v>1.39</v>
      </c>
      <c r="M1226">
        <v>0.02</v>
      </c>
      <c r="N1226">
        <v>58</v>
      </c>
      <c r="O1226">
        <v>11.62</v>
      </c>
      <c r="P1226">
        <v>77.53</v>
      </c>
      <c r="Q1226">
        <f t="shared" si="198"/>
        <v>2025</v>
      </c>
      <c r="R1226">
        <f t="shared" si="199"/>
        <v>9</v>
      </c>
      <c r="S1226">
        <f t="shared" si="200"/>
        <v>2025</v>
      </c>
      <c r="T1226">
        <f t="shared" si="201"/>
        <v>6</v>
      </c>
      <c r="U1226" t="str">
        <f t="shared" si="202"/>
        <v>06</v>
      </c>
      <c r="V1226" t="str">
        <f t="shared" si="203"/>
        <v>202506</v>
      </c>
      <c r="W1226" t="str">
        <f t="shared" si="204"/>
        <v>Sep-25</v>
      </c>
      <c r="X1226" s="3">
        <f t="shared" si="205"/>
        <v>-18362.53</v>
      </c>
      <c r="Y1226" t="str">
        <f t="shared" si="206"/>
        <v/>
      </c>
      <c r="Z1226">
        <f t="shared" si="207"/>
        <v>-18362.53</v>
      </c>
    </row>
    <row r="1227" spans="1:26" x14ac:dyDescent="0.25">
      <c r="A1227" s="1">
        <v>45910</v>
      </c>
      <c r="B1227" t="s">
        <v>1648</v>
      </c>
      <c r="C1227" t="s">
        <v>17</v>
      </c>
      <c r="D1227" t="s">
        <v>18</v>
      </c>
      <c r="E1227">
        <v>150</v>
      </c>
      <c r="F1227">
        <v>0</v>
      </c>
      <c r="G1227">
        <v>118.7</v>
      </c>
      <c r="H1227">
        <v>17805</v>
      </c>
      <c r="I1227" t="s">
        <v>1651</v>
      </c>
      <c r="J1227">
        <v>17.399999999999999</v>
      </c>
      <c r="K1227">
        <v>6.33</v>
      </c>
      <c r="L1227">
        <v>0</v>
      </c>
      <c r="M1227">
        <v>0.02</v>
      </c>
      <c r="N1227">
        <v>58</v>
      </c>
      <c r="O1227">
        <v>11.58</v>
      </c>
      <c r="P1227">
        <v>93.33</v>
      </c>
      <c r="Q1227">
        <f t="shared" si="198"/>
        <v>2025</v>
      </c>
      <c r="R1227">
        <f t="shared" si="199"/>
        <v>9</v>
      </c>
      <c r="S1227">
        <f t="shared" si="200"/>
        <v>2025</v>
      </c>
      <c r="T1227">
        <f t="shared" si="201"/>
        <v>6</v>
      </c>
      <c r="U1227" t="str">
        <f t="shared" si="202"/>
        <v>06</v>
      </c>
      <c r="V1227" t="str">
        <f t="shared" si="203"/>
        <v>202506</v>
      </c>
      <c r="W1227" t="str">
        <f t="shared" si="204"/>
        <v>Sep-25</v>
      </c>
      <c r="X1227" s="3">
        <f t="shared" si="205"/>
        <v>17711.669999999998</v>
      </c>
      <c r="Y1227">
        <f t="shared" si="206"/>
        <v>17711.669999999998</v>
      </c>
      <c r="Z1227" t="str">
        <f t="shared" si="207"/>
        <v/>
      </c>
    </row>
    <row r="1228" spans="1:26" x14ac:dyDescent="0.25">
      <c r="A1228" s="1">
        <v>45910</v>
      </c>
      <c r="B1228" t="s">
        <v>1648</v>
      </c>
      <c r="C1228" t="s">
        <v>17</v>
      </c>
      <c r="D1228" t="s">
        <v>22</v>
      </c>
      <c r="E1228">
        <v>75</v>
      </c>
      <c r="F1228">
        <v>0</v>
      </c>
      <c r="G1228">
        <v>125.05</v>
      </c>
      <c r="H1228">
        <v>9378.75</v>
      </c>
      <c r="I1228" t="s">
        <v>1652</v>
      </c>
      <c r="J1228">
        <v>0</v>
      </c>
      <c r="K1228">
        <v>3.33</v>
      </c>
      <c r="L1228">
        <v>0</v>
      </c>
      <c r="M1228">
        <v>0.01</v>
      </c>
      <c r="N1228">
        <v>29</v>
      </c>
      <c r="O1228">
        <v>5.82</v>
      </c>
      <c r="P1228">
        <v>38.159999999999997</v>
      </c>
      <c r="Q1228">
        <f t="shared" si="198"/>
        <v>2025</v>
      </c>
      <c r="R1228">
        <f t="shared" si="199"/>
        <v>9</v>
      </c>
      <c r="S1228">
        <f t="shared" si="200"/>
        <v>2025</v>
      </c>
      <c r="T1228">
        <f t="shared" si="201"/>
        <v>6</v>
      </c>
      <c r="U1228" t="str">
        <f t="shared" si="202"/>
        <v>06</v>
      </c>
      <c r="V1228" t="str">
        <f t="shared" si="203"/>
        <v>202506</v>
      </c>
      <c r="W1228" t="str">
        <f t="shared" si="204"/>
        <v>Sep-25</v>
      </c>
      <c r="X1228" s="3">
        <f t="shared" si="205"/>
        <v>-9416.91</v>
      </c>
      <c r="Y1228" t="str">
        <f t="shared" si="206"/>
        <v/>
      </c>
      <c r="Z1228">
        <f t="shared" si="207"/>
        <v>-9416.91</v>
      </c>
    </row>
    <row r="1229" spans="1:26" x14ac:dyDescent="0.25">
      <c r="A1229" s="1">
        <v>45910</v>
      </c>
      <c r="B1229" t="s">
        <v>1648</v>
      </c>
      <c r="C1229" t="s">
        <v>17</v>
      </c>
      <c r="D1229" t="s">
        <v>22</v>
      </c>
      <c r="E1229">
        <v>75</v>
      </c>
      <c r="F1229">
        <v>0</v>
      </c>
      <c r="G1229">
        <v>128.5</v>
      </c>
      <c r="H1229">
        <v>9637.5</v>
      </c>
      <c r="I1229" t="s">
        <v>1653</v>
      </c>
      <c r="J1229">
        <v>0</v>
      </c>
      <c r="K1229">
        <v>3.42</v>
      </c>
      <c r="L1229">
        <v>0</v>
      </c>
      <c r="M1229">
        <v>0.01</v>
      </c>
      <c r="N1229">
        <v>29</v>
      </c>
      <c r="O1229">
        <v>5.84</v>
      </c>
      <c r="P1229">
        <v>38.270000000000003</v>
      </c>
      <c r="Q1229">
        <f t="shared" si="198"/>
        <v>2025</v>
      </c>
      <c r="R1229">
        <f t="shared" si="199"/>
        <v>9</v>
      </c>
      <c r="S1229">
        <f t="shared" si="200"/>
        <v>2025</v>
      </c>
      <c r="T1229">
        <f t="shared" si="201"/>
        <v>6</v>
      </c>
      <c r="U1229" t="str">
        <f t="shared" si="202"/>
        <v>06</v>
      </c>
      <c r="V1229" t="str">
        <f t="shared" si="203"/>
        <v>202506</v>
      </c>
      <c r="W1229" t="str">
        <f t="shared" si="204"/>
        <v>Sep-25</v>
      </c>
      <c r="X1229" s="3">
        <f t="shared" si="205"/>
        <v>-9675.77</v>
      </c>
      <c r="Y1229" t="str">
        <f t="shared" si="206"/>
        <v/>
      </c>
      <c r="Z1229">
        <f t="shared" si="207"/>
        <v>-9675.77</v>
      </c>
    </row>
    <row r="1230" spans="1:26" x14ac:dyDescent="0.25">
      <c r="A1230" s="1">
        <v>45965</v>
      </c>
      <c r="B1230" t="s">
        <v>1654</v>
      </c>
      <c r="C1230" t="s">
        <v>17</v>
      </c>
      <c r="D1230" t="s">
        <v>18</v>
      </c>
      <c r="E1230">
        <v>450</v>
      </c>
      <c r="F1230">
        <v>0</v>
      </c>
      <c r="G1230">
        <v>78.900000000000006</v>
      </c>
      <c r="H1230">
        <v>35505</v>
      </c>
      <c r="I1230" t="s">
        <v>1655</v>
      </c>
      <c r="J1230">
        <v>36</v>
      </c>
      <c r="K1230">
        <v>12.61</v>
      </c>
      <c r="L1230">
        <v>0</v>
      </c>
      <c r="M1230">
        <v>0.04</v>
      </c>
      <c r="N1230">
        <v>174</v>
      </c>
      <c r="O1230">
        <v>33.6</v>
      </c>
      <c r="P1230">
        <v>256.25</v>
      </c>
      <c r="Q1230">
        <f t="shared" si="198"/>
        <v>2025</v>
      </c>
      <c r="R1230">
        <f t="shared" si="199"/>
        <v>11</v>
      </c>
      <c r="S1230">
        <f t="shared" si="200"/>
        <v>2025</v>
      </c>
      <c r="T1230">
        <f t="shared" si="201"/>
        <v>8</v>
      </c>
      <c r="U1230" t="str">
        <f t="shared" si="202"/>
        <v>08</v>
      </c>
      <c r="V1230" t="str">
        <f t="shared" si="203"/>
        <v>202508</v>
      </c>
      <c r="W1230" t="str">
        <f t="shared" si="204"/>
        <v>Nov-25</v>
      </c>
      <c r="X1230" s="3">
        <f t="shared" si="205"/>
        <v>35248.75</v>
      </c>
      <c r="Y1230">
        <f t="shared" si="206"/>
        <v>35248.75</v>
      </c>
      <c r="Z1230" t="str">
        <f t="shared" si="207"/>
        <v/>
      </c>
    </row>
    <row r="1231" spans="1:26" x14ac:dyDescent="0.25">
      <c r="A1231" s="1">
        <v>45965</v>
      </c>
      <c r="B1231" t="s">
        <v>1654</v>
      </c>
      <c r="C1231" t="s">
        <v>17</v>
      </c>
      <c r="D1231" t="s">
        <v>22</v>
      </c>
      <c r="E1231">
        <v>450</v>
      </c>
      <c r="F1231">
        <v>0</v>
      </c>
      <c r="G1231">
        <v>71.25</v>
      </c>
      <c r="H1231">
        <v>32062.5</v>
      </c>
      <c r="I1231" t="s">
        <v>1656</v>
      </c>
      <c r="J1231">
        <v>0</v>
      </c>
      <c r="K1231">
        <v>11.4</v>
      </c>
      <c r="L1231">
        <v>1</v>
      </c>
      <c r="M1231">
        <v>0.04</v>
      </c>
      <c r="N1231">
        <v>174</v>
      </c>
      <c r="O1231">
        <v>33.36</v>
      </c>
      <c r="P1231">
        <v>219.8</v>
      </c>
      <c r="Q1231">
        <f t="shared" si="198"/>
        <v>2025</v>
      </c>
      <c r="R1231">
        <f t="shared" si="199"/>
        <v>11</v>
      </c>
      <c r="S1231">
        <f t="shared" si="200"/>
        <v>2025</v>
      </c>
      <c r="T1231">
        <f t="shared" si="201"/>
        <v>8</v>
      </c>
      <c r="U1231" t="str">
        <f t="shared" si="202"/>
        <v>08</v>
      </c>
      <c r="V1231" t="str">
        <f t="shared" si="203"/>
        <v>202508</v>
      </c>
      <c r="W1231" t="str">
        <f t="shared" si="204"/>
        <v>Nov-25</v>
      </c>
      <c r="X1231" s="3">
        <f t="shared" si="205"/>
        <v>-32282.3</v>
      </c>
      <c r="Y1231" t="str">
        <f t="shared" si="206"/>
        <v/>
      </c>
      <c r="Z1231">
        <f t="shared" si="207"/>
        <v>-32282.3</v>
      </c>
    </row>
    <row r="1232" spans="1:26" x14ac:dyDescent="0.25">
      <c r="A1232" s="1">
        <v>45971</v>
      </c>
      <c r="B1232" t="s">
        <v>1657</v>
      </c>
      <c r="C1232" t="s">
        <v>17</v>
      </c>
      <c r="D1232" t="s">
        <v>18</v>
      </c>
      <c r="E1232">
        <v>75</v>
      </c>
      <c r="F1232">
        <v>0</v>
      </c>
      <c r="G1232">
        <v>84.85</v>
      </c>
      <c r="H1232">
        <v>6363.75</v>
      </c>
      <c r="I1232" t="s">
        <v>1658</v>
      </c>
      <c r="J1232">
        <v>6.36</v>
      </c>
      <c r="K1232">
        <v>2.2599999999999998</v>
      </c>
      <c r="L1232">
        <v>0</v>
      </c>
      <c r="M1232">
        <v>0.01</v>
      </c>
      <c r="N1232">
        <v>29</v>
      </c>
      <c r="O1232">
        <v>5.62</v>
      </c>
      <c r="P1232">
        <v>43.25</v>
      </c>
      <c r="Q1232">
        <f t="shared" si="198"/>
        <v>2025</v>
      </c>
      <c r="R1232">
        <f t="shared" si="199"/>
        <v>11</v>
      </c>
      <c r="S1232">
        <f t="shared" si="200"/>
        <v>2025</v>
      </c>
      <c r="T1232">
        <f t="shared" si="201"/>
        <v>8</v>
      </c>
      <c r="U1232" t="str">
        <f t="shared" si="202"/>
        <v>08</v>
      </c>
      <c r="V1232" t="str">
        <f t="shared" si="203"/>
        <v>202508</v>
      </c>
      <c r="W1232" t="str">
        <f t="shared" si="204"/>
        <v>Nov-25</v>
      </c>
      <c r="X1232" s="3">
        <f t="shared" si="205"/>
        <v>6320.5</v>
      </c>
      <c r="Y1232">
        <f t="shared" si="206"/>
        <v>6320.5</v>
      </c>
      <c r="Z1232" t="str">
        <f t="shared" si="207"/>
        <v/>
      </c>
    </row>
    <row r="1233" spans="1:26" x14ac:dyDescent="0.25">
      <c r="A1233" s="1">
        <v>45971</v>
      </c>
      <c r="B1233" t="s">
        <v>1657</v>
      </c>
      <c r="C1233" t="s">
        <v>17</v>
      </c>
      <c r="D1233" t="s">
        <v>22</v>
      </c>
      <c r="E1233">
        <v>75</v>
      </c>
      <c r="F1233">
        <v>0</v>
      </c>
      <c r="G1233">
        <v>80.55</v>
      </c>
      <c r="H1233">
        <v>6041.25</v>
      </c>
      <c r="I1233" t="s">
        <v>1659</v>
      </c>
      <c r="J1233">
        <v>0</v>
      </c>
      <c r="K1233">
        <v>2.15</v>
      </c>
      <c r="L1233">
        <v>0</v>
      </c>
      <c r="M1233">
        <v>0.01</v>
      </c>
      <c r="N1233">
        <v>29</v>
      </c>
      <c r="O1233">
        <v>5.6</v>
      </c>
      <c r="P1233">
        <v>36.76</v>
      </c>
      <c r="Q1233">
        <f t="shared" si="198"/>
        <v>2025</v>
      </c>
      <c r="R1233">
        <f t="shared" si="199"/>
        <v>11</v>
      </c>
      <c r="S1233">
        <f t="shared" si="200"/>
        <v>2025</v>
      </c>
      <c r="T1233">
        <f t="shared" si="201"/>
        <v>8</v>
      </c>
      <c r="U1233" t="str">
        <f t="shared" si="202"/>
        <v>08</v>
      </c>
      <c r="V1233" t="str">
        <f t="shared" si="203"/>
        <v>202508</v>
      </c>
      <c r="W1233" t="str">
        <f t="shared" si="204"/>
        <v>Nov-25</v>
      </c>
      <c r="X1233" s="3">
        <f t="shared" si="205"/>
        <v>-6078.01</v>
      </c>
      <c r="Y1233" t="str">
        <f t="shared" si="206"/>
        <v/>
      </c>
      <c r="Z1233">
        <f t="shared" si="207"/>
        <v>-6078.01</v>
      </c>
    </row>
    <row r="1234" spans="1:26" x14ac:dyDescent="0.25">
      <c r="A1234" s="1">
        <v>45971</v>
      </c>
      <c r="B1234" t="s">
        <v>1660</v>
      </c>
      <c r="C1234" t="s">
        <v>17</v>
      </c>
      <c r="D1234" t="s">
        <v>18</v>
      </c>
      <c r="E1234">
        <v>75</v>
      </c>
      <c r="F1234">
        <v>0</v>
      </c>
      <c r="G1234">
        <v>64.25</v>
      </c>
      <c r="H1234">
        <v>4818.75</v>
      </c>
      <c r="I1234" t="s">
        <v>1661</v>
      </c>
      <c r="J1234">
        <v>4.6399999999999997</v>
      </c>
      <c r="K1234">
        <v>1.71</v>
      </c>
      <c r="L1234">
        <v>0</v>
      </c>
      <c r="M1234">
        <v>0</v>
      </c>
      <c r="N1234">
        <v>29</v>
      </c>
      <c r="O1234">
        <v>5.52</v>
      </c>
      <c r="P1234">
        <v>40.869999999999997</v>
      </c>
      <c r="Q1234">
        <f t="shared" si="198"/>
        <v>2025</v>
      </c>
      <c r="R1234">
        <f t="shared" si="199"/>
        <v>11</v>
      </c>
      <c r="S1234">
        <f t="shared" si="200"/>
        <v>2025</v>
      </c>
      <c r="T1234">
        <f t="shared" si="201"/>
        <v>8</v>
      </c>
      <c r="U1234" t="str">
        <f t="shared" si="202"/>
        <v>08</v>
      </c>
      <c r="V1234" t="str">
        <f t="shared" si="203"/>
        <v>202508</v>
      </c>
      <c r="W1234" t="str">
        <f t="shared" si="204"/>
        <v>Nov-25</v>
      </c>
      <c r="X1234" s="3">
        <f t="shared" si="205"/>
        <v>4777.88</v>
      </c>
      <c r="Y1234">
        <f t="shared" si="206"/>
        <v>4777.88</v>
      </c>
      <c r="Z1234" t="str">
        <f t="shared" si="207"/>
        <v/>
      </c>
    </row>
    <row r="1235" spans="1:26" x14ac:dyDescent="0.25">
      <c r="A1235" s="1">
        <v>45971</v>
      </c>
      <c r="B1235" t="s">
        <v>1660</v>
      </c>
      <c r="C1235" t="s">
        <v>17</v>
      </c>
      <c r="D1235" t="s">
        <v>22</v>
      </c>
      <c r="E1235">
        <v>75</v>
      </c>
      <c r="F1235">
        <v>0</v>
      </c>
      <c r="G1235">
        <v>68.3</v>
      </c>
      <c r="H1235">
        <v>5122.5</v>
      </c>
      <c r="I1235" t="s">
        <v>1662</v>
      </c>
      <c r="J1235">
        <v>0</v>
      </c>
      <c r="K1235">
        <v>1.82</v>
      </c>
      <c r="L1235">
        <v>0</v>
      </c>
      <c r="M1235">
        <v>0.01</v>
      </c>
      <c r="N1235">
        <v>29</v>
      </c>
      <c r="O1235">
        <v>5.54</v>
      </c>
      <c r="P1235">
        <v>36.369999999999997</v>
      </c>
      <c r="Q1235">
        <f t="shared" si="198"/>
        <v>2025</v>
      </c>
      <c r="R1235">
        <f t="shared" si="199"/>
        <v>11</v>
      </c>
      <c r="S1235">
        <f t="shared" si="200"/>
        <v>2025</v>
      </c>
      <c r="T1235">
        <f t="shared" si="201"/>
        <v>8</v>
      </c>
      <c r="U1235" t="str">
        <f t="shared" si="202"/>
        <v>08</v>
      </c>
      <c r="V1235" t="str">
        <f t="shared" si="203"/>
        <v>202508</v>
      </c>
      <c r="W1235" t="str">
        <f t="shared" si="204"/>
        <v>Nov-25</v>
      </c>
      <c r="X1235" s="3">
        <f t="shared" si="205"/>
        <v>-5158.87</v>
      </c>
      <c r="Y1235" t="str">
        <f t="shared" si="206"/>
        <v/>
      </c>
      <c r="Z1235">
        <f t="shared" si="207"/>
        <v>-5158.87</v>
      </c>
    </row>
    <row r="1236" spans="1:26" x14ac:dyDescent="0.25">
      <c r="A1236" s="1">
        <v>45973</v>
      </c>
      <c r="B1236" t="s">
        <v>1663</v>
      </c>
      <c r="C1236" t="s">
        <v>17</v>
      </c>
      <c r="D1236" t="s">
        <v>22</v>
      </c>
      <c r="E1236">
        <v>75</v>
      </c>
      <c r="F1236">
        <v>0</v>
      </c>
      <c r="G1236">
        <v>97.35</v>
      </c>
      <c r="H1236">
        <v>7301.25</v>
      </c>
      <c r="I1236" t="s">
        <v>1664</v>
      </c>
      <c r="J1236">
        <v>0</v>
      </c>
      <c r="K1236">
        <v>2.59</v>
      </c>
      <c r="L1236">
        <v>0</v>
      </c>
      <c r="M1236">
        <v>0.01</v>
      </c>
      <c r="N1236">
        <v>29</v>
      </c>
      <c r="O1236">
        <v>5.68</v>
      </c>
      <c r="P1236">
        <v>37.28</v>
      </c>
      <c r="Q1236">
        <f t="shared" si="198"/>
        <v>2025</v>
      </c>
      <c r="R1236">
        <f t="shared" si="199"/>
        <v>11</v>
      </c>
      <c r="S1236">
        <f t="shared" si="200"/>
        <v>2025</v>
      </c>
      <c r="T1236">
        <f t="shared" si="201"/>
        <v>8</v>
      </c>
      <c r="U1236" t="str">
        <f t="shared" si="202"/>
        <v>08</v>
      </c>
      <c r="V1236" t="str">
        <f t="shared" si="203"/>
        <v>202508</v>
      </c>
      <c r="W1236" t="str">
        <f t="shared" si="204"/>
        <v>Nov-25</v>
      </c>
      <c r="X1236" s="3">
        <f t="shared" si="205"/>
        <v>-7338.53</v>
      </c>
      <c r="Y1236" t="str">
        <f t="shared" si="206"/>
        <v/>
      </c>
      <c r="Z1236">
        <f t="shared" si="207"/>
        <v>-7338.53</v>
      </c>
    </row>
    <row r="1237" spans="1:26" x14ac:dyDescent="0.25">
      <c r="A1237" s="1">
        <v>45973</v>
      </c>
      <c r="B1237" t="s">
        <v>1665</v>
      </c>
      <c r="C1237" t="s">
        <v>17</v>
      </c>
      <c r="D1237" t="s">
        <v>18</v>
      </c>
      <c r="E1237">
        <v>75</v>
      </c>
      <c r="F1237">
        <v>0</v>
      </c>
      <c r="G1237">
        <v>102.1</v>
      </c>
      <c r="H1237">
        <v>7657.5</v>
      </c>
      <c r="I1237" t="s">
        <v>1666</v>
      </c>
      <c r="J1237">
        <v>8</v>
      </c>
      <c r="K1237">
        <v>2.72</v>
      </c>
      <c r="L1237">
        <v>0</v>
      </c>
      <c r="M1237">
        <v>0.01</v>
      </c>
      <c r="N1237">
        <v>29</v>
      </c>
      <c r="O1237">
        <v>5.72</v>
      </c>
      <c r="P1237">
        <v>45.45</v>
      </c>
      <c r="Q1237">
        <f t="shared" si="198"/>
        <v>2025</v>
      </c>
      <c r="R1237">
        <f t="shared" si="199"/>
        <v>11</v>
      </c>
      <c r="S1237">
        <f t="shared" si="200"/>
        <v>2025</v>
      </c>
      <c r="T1237">
        <f t="shared" si="201"/>
        <v>8</v>
      </c>
      <c r="U1237" t="str">
        <f t="shared" si="202"/>
        <v>08</v>
      </c>
      <c r="V1237" t="str">
        <f t="shared" si="203"/>
        <v>202508</v>
      </c>
      <c r="W1237" t="str">
        <f t="shared" si="204"/>
        <v>Nov-25</v>
      </c>
      <c r="X1237" s="3">
        <f t="shared" si="205"/>
        <v>7612.05</v>
      </c>
      <c r="Y1237">
        <f t="shared" si="206"/>
        <v>7612.05</v>
      </c>
      <c r="Z1237" t="str">
        <f t="shared" si="207"/>
        <v/>
      </c>
    </row>
    <row r="1238" spans="1:26" x14ac:dyDescent="0.25">
      <c r="A1238" s="1">
        <v>45973</v>
      </c>
      <c r="B1238" t="s">
        <v>1665</v>
      </c>
      <c r="C1238" t="s">
        <v>17</v>
      </c>
      <c r="D1238" t="s">
        <v>22</v>
      </c>
      <c r="E1238">
        <v>75</v>
      </c>
      <c r="F1238">
        <v>0</v>
      </c>
      <c r="G1238">
        <v>113.35</v>
      </c>
      <c r="H1238">
        <v>8501.25</v>
      </c>
      <c r="I1238" t="s">
        <v>1667</v>
      </c>
      <c r="J1238">
        <v>0</v>
      </c>
      <c r="K1238">
        <v>3.02</v>
      </c>
      <c r="L1238">
        <v>0</v>
      </c>
      <c r="M1238">
        <v>0.01</v>
      </c>
      <c r="N1238">
        <v>29</v>
      </c>
      <c r="O1238">
        <v>5.76</v>
      </c>
      <c r="P1238">
        <v>37.79</v>
      </c>
      <c r="Q1238">
        <f t="shared" si="198"/>
        <v>2025</v>
      </c>
      <c r="R1238">
        <f t="shared" si="199"/>
        <v>11</v>
      </c>
      <c r="S1238">
        <f t="shared" si="200"/>
        <v>2025</v>
      </c>
      <c r="T1238">
        <f t="shared" si="201"/>
        <v>8</v>
      </c>
      <c r="U1238" t="str">
        <f t="shared" si="202"/>
        <v>08</v>
      </c>
      <c r="V1238" t="str">
        <f t="shared" si="203"/>
        <v>202508</v>
      </c>
      <c r="W1238" t="str">
        <f t="shared" si="204"/>
        <v>Nov-25</v>
      </c>
      <c r="X1238" s="3">
        <f t="shared" si="205"/>
        <v>-8539.0400000000009</v>
      </c>
      <c r="Y1238" t="str">
        <f t="shared" si="206"/>
        <v/>
      </c>
      <c r="Z1238">
        <f t="shared" si="207"/>
        <v>-8539.0400000000009</v>
      </c>
    </row>
    <row r="1239" spans="1:26" x14ac:dyDescent="0.25">
      <c r="A1239" s="1">
        <v>45974</v>
      </c>
      <c r="B1239" t="s">
        <v>1663</v>
      </c>
      <c r="C1239" t="s">
        <v>17</v>
      </c>
      <c r="D1239" t="s">
        <v>18</v>
      </c>
      <c r="E1239">
        <v>75</v>
      </c>
      <c r="F1239">
        <v>0</v>
      </c>
      <c r="G1239">
        <v>119</v>
      </c>
      <c r="H1239">
        <v>8925</v>
      </c>
      <c r="I1239" t="s">
        <v>1668</v>
      </c>
      <c r="J1239">
        <v>9</v>
      </c>
      <c r="K1239">
        <v>3.17</v>
      </c>
      <c r="L1239">
        <v>0</v>
      </c>
      <c r="M1239">
        <v>0.01</v>
      </c>
      <c r="N1239">
        <v>29</v>
      </c>
      <c r="O1239">
        <v>5.8</v>
      </c>
      <c r="P1239">
        <v>46.98</v>
      </c>
      <c r="Q1239">
        <f t="shared" si="198"/>
        <v>2025</v>
      </c>
      <c r="R1239">
        <f t="shared" si="199"/>
        <v>11</v>
      </c>
      <c r="S1239">
        <f t="shared" si="200"/>
        <v>2025</v>
      </c>
      <c r="T1239">
        <f t="shared" si="201"/>
        <v>8</v>
      </c>
      <c r="U1239" t="str">
        <f t="shared" si="202"/>
        <v>08</v>
      </c>
      <c r="V1239" t="str">
        <f t="shared" si="203"/>
        <v>202508</v>
      </c>
      <c r="W1239" t="str">
        <f t="shared" si="204"/>
        <v>Nov-25</v>
      </c>
      <c r="X1239" s="3">
        <f t="shared" si="205"/>
        <v>8878.02</v>
      </c>
      <c r="Y1239">
        <f t="shared" si="206"/>
        <v>8878.02</v>
      </c>
      <c r="Z1239" t="str">
        <f t="shared" si="207"/>
        <v/>
      </c>
    </row>
    <row r="1240" spans="1:26" x14ac:dyDescent="0.25">
      <c r="A1240" s="1">
        <v>45975</v>
      </c>
      <c r="B1240" t="s">
        <v>1669</v>
      </c>
      <c r="C1240" t="s">
        <v>17</v>
      </c>
      <c r="D1240" t="s">
        <v>18</v>
      </c>
      <c r="E1240">
        <v>150</v>
      </c>
      <c r="F1240">
        <v>0</v>
      </c>
      <c r="G1240">
        <v>74.900000000000006</v>
      </c>
      <c r="H1240">
        <v>11235</v>
      </c>
      <c r="I1240" t="s">
        <v>1670</v>
      </c>
      <c r="J1240">
        <v>11</v>
      </c>
      <c r="K1240">
        <v>4</v>
      </c>
      <c r="L1240">
        <v>0</v>
      </c>
      <c r="M1240">
        <v>0.02</v>
      </c>
      <c r="N1240">
        <v>58</v>
      </c>
      <c r="O1240">
        <v>11.16</v>
      </c>
      <c r="P1240">
        <v>84.18</v>
      </c>
      <c r="Q1240">
        <f t="shared" si="198"/>
        <v>2025</v>
      </c>
      <c r="R1240">
        <f t="shared" si="199"/>
        <v>11</v>
      </c>
      <c r="S1240">
        <f t="shared" si="200"/>
        <v>2025</v>
      </c>
      <c r="T1240">
        <f t="shared" si="201"/>
        <v>8</v>
      </c>
      <c r="U1240" t="str">
        <f t="shared" si="202"/>
        <v>08</v>
      </c>
      <c r="V1240" t="str">
        <f t="shared" si="203"/>
        <v>202508</v>
      </c>
      <c r="W1240" t="str">
        <f t="shared" si="204"/>
        <v>Nov-25</v>
      </c>
      <c r="X1240" s="3">
        <f t="shared" si="205"/>
        <v>11150.82</v>
      </c>
      <c r="Y1240">
        <f t="shared" si="206"/>
        <v>11150.82</v>
      </c>
      <c r="Z1240" t="str">
        <f t="shared" si="207"/>
        <v/>
      </c>
    </row>
    <row r="1241" spans="1:26" x14ac:dyDescent="0.25">
      <c r="A1241" s="1">
        <v>45975</v>
      </c>
      <c r="B1241" t="s">
        <v>1669</v>
      </c>
      <c r="C1241" t="s">
        <v>17</v>
      </c>
      <c r="D1241" t="s">
        <v>22</v>
      </c>
      <c r="E1241">
        <v>75</v>
      </c>
      <c r="F1241">
        <v>0</v>
      </c>
      <c r="G1241">
        <v>62.95</v>
      </c>
      <c r="H1241">
        <v>4721.25</v>
      </c>
      <c r="I1241" t="s">
        <v>1671</v>
      </c>
      <c r="J1241">
        <v>0</v>
      </c>
      <c r="K1241">
        <v>1.68</v>
      </c>
      <c r="L1241">
        <v>0</v>
      </c>
      <c r="M1241">
        <v>0</v>
      </c>
      <c r="N1241">
        <v>29</v>
      </c>
      <c r="O1241">
        <v>5.52</v>
      </c>
      <c r="P1241">
        <v>36.200000000000003</v>
      </c>
      <c r="Q1241">
        <f t="shared" si="198"/>
        <v>2025</v>
      </c>
      <c r="R1241">
        <f t="shared" si="199"/>
        <v>11</v>
      </c>
      <c r="S1241">
        <f t="shared" si="200"/>
        <v>2025</v>
      </c>
      <c r="T1241">
        <f t="shared" si="201"/>
        <v>8</v>
      </c>
      <c r="U1241" t="str">
        <f t="shared" si="202"/>
        <v>08</v>
      </c>
      <c r="V1241" t="str">
        <f t="shared" si="203"/>
        <v>202508</v>
      </c>
      <c r="W1241" t="str">
        <f t="shared" si="204"/>
        <v>Nov-25</v>
      </c>
      <c r="X1241" s="3">
        <f t="shared" si="205"/>
        <v>-4757.45</v>
      </c>
      <c r="Y1241" t="str">
        <f t="shared" si="206"/>
        <v/>
      </c>
      <c r="Z1241">
        <f t="shared" si="207"/>
        <v>-4757.45</v>
      </c>
    </row>
    <row r="1242" spans="1:26" x14ac:dyDescent="0.25">
      <c r="A1242" s="1">
        <v>45975</v>
      </c>
      <c r="B1242" t="s">
        <v>1669</v>
      </c>
      <c r="C1242" t="s">
        <v>17</v>
      </c>
      <c r="D1242" t="s">
        <v>22</v>
      </c>
      <c r="E1242">
        <v>75</v>
      </c>
      <c r="F1242">
        <v>0</v>
      </c>
      <c r="G1242">
        <v>76.349999999999994</v>
      </c>
      <c r="H1242">
        <v>5726.25</v>
      </c>
      <c r="I1242" t="s">
        <v>1672</v>
      </c>
      <c r="J1242">
        <v>0</v>
      </c>
      <c r="K1242">
        <v>2.0299999999999998</v>
      </c>
      <c r="L1242">
        <v>0</v>
      </c>
      <c r="M1242">
        <v>0.01</v>
      </c>
      <c r="N1242">
        <v>29</v>
      </c>
      <c r="O1242">
        <v>5.58</v>
      </c>
      <c r="P1242">
        <v>36.619999999999997</v>
      </c>
      <c r="Q1242">
        <f t="shared" si="198"/>
        <v>2025</v>
      </c>
      <c r="R1242">
        <f t="shared" si="199"/>
        <v>11</v>
      </c>
      <c r="S1242">
        <f t="shared" si="200"/>
        <v>2025</v>
      </c>
      <c r="T1242">
        <f t="shared" si="201"/>
        <v>8</v>
      </c>
      <c r="U1242" t="str">
        <f t="shared" si="202"/>
        <v>08</v>
      </c>
      <c r="V1242" t="str">
        <f t="shared" si="203"/>
        <v>202508</v>
      </c>
      <c r="W1242" t="str">
        <f t="shared" si="204"/>
        <v>Nov-25</v>
      </c>
      <c r="X1242" s="3">
        <f t="shared" si="205"/>
        <v>-5762.87</v>
      </c>
      <c r="Y1242" t="str">
        <f t="shared" si="206"/>
        <v/>
      </c>
      <c r="Z1242">
        <f t="shared" si="207"/>
        <v>-5762.87</v>
      </c>
    </row>
    <row r="1243" spans="1:26" x14ac:dyDescent="0.25">
      <c r="A1243" s="1">
        <v>45978</v>
      </c>
      <c r="B1243" t="s">
        <v>1673</v>
      </c>
      <c r="C1243" t="s">
        <v>17</v>
      </c>
      <c r="D1243" t="s">
        <v>18</v>
      </c>
      <c r="E1243">
        <v>75</v>
      </c>
      <c r="F1243">
        <v>0</v>
      </c>
      <c r="G1243">
        <v>97.25</v>
      </c>
      <c r="H1243">
        <v>7293.75</v>
      </c>
      <c r="I1243" t="s">
        <v>1674</v>
      </c>
      <c r="J1243">
        <v>7</v>
      </c>
      <c r="K1243">
        <v>2.59</v>
      </c>
      <c r="L1243">
        <v>0</v>
      </c>
      <c r="M1243">
        <v>0.01</v>
      </c>
      <c r="N1243">
        <v>29</v>
      </c>
      <c r="O1243">
        <v>5.68</v>
      </c>
      <c r="P1243">
        <v>44.28</v>
      </c>
      <c r="Q1243">
        <f t="shared" si="198"/>
        <v>2025</v>
      </c>
      <c r="R1243">
        <f t="shared" si="199"/>
        <v>11</v>
      </c>
      <c r="S1243">
        <f t="shared" si="200"/>
        <v>2025</v>
      </c>
      <c r="T1243">
        <f t="shared" si="201"/>
        <v>8</v>
      </c>
      <c r="U1243" t="str">
        <f t="shared" si="202"/>
        <v>08</v>
      </c>
      <c r="V1243" t="str">
        <f t="shared" si="203"/>
        <v>202508</v>
      </c>
      <c r="W1243" t="str">
        <f t="shared" si="204"/>
        <v>Nov-25</v>
      </c>
      <c r="X1243" s="3">
        <f t="shared" si="205"/>
        <v>7249.47</v>
      </c>
      <c r="Y1243">
        <f t="shared" si="206"/>
        <v>7249.47</v>
      </c>
      <c r="Z1243" t="str">
        <f t="shared" si="207"/>
        <v/>
      </c>
    </row>
    <row r="1244" spans="1:26" x14ac:dyDescent="0.25">
      <c r="A1244" s="1">
        <v>45978</v>
      </c>
      <c r="B1244" t="s">
        <v>1673</v>
      </c>
      <c r="C1244" t="s">
        <v>17</v>
      </c>
      <c r="D1244" t="s">
        <v>22</v>
      </c>
      <c r="E1244">
        <v>75</v>
      </c>
      <c r="F1244">
        <v>0</v>
      </c>
      <c r="G1244">
        <v>87.1</v>
      </c>
      <c r="H1244">
        <v>6532.5</v>
      </c>
      <c r="I1244" t="s">
        <v>1675</v>
      </c>
      <c r="J1244">
        <v>0</v>
      </c>
      <c r="K1244">
        <v>2.3199999999999998</v>
      </c>
      <c r="L1244">
        <v>0</v>
      </c>
      <c r="M1244">
        <v>0.01</v>
      </c>
      <c r="N1244">
        <v>29</v>
      </c>
      <c r="O1244">
        <v>5.64</v>
      </c>
      <c r="P1244">
        <v>36.97</v>
      </c>
      <c r="Q1244">
        <f t="shared" si="198"/>
        <v>2025</v>
      </c>
      <c r="R1244">
        <f t="shared" si="199"/>
        <v>11</v>
      </c>
      <c r="S1244">
        <f t="shared" si="200"/>
        <v>2025</v>
      </c>
      <c r="T1244">
        <f t="shared" si="201"/>
        <v>8</v>
      </c>
      <c r="U1244" t="str">
        <f t="shared" si="202"/>
        <v>08</v>
      </c>
      <c r="V1244" t="str">
        <f t="shared" si="203"/>
        <v>202508</v>
      </c>
      <c r="W1244" t="str">
        <f t="shared" si="204"/>
        <v>Nov-25</v>
      </c>
      <c r="X1244" s="3">
        <f t="shared" si="205"/>
        <v>-6569.47</v>
      </c>
      <c r="Y1244" t="str">
        <f t="shared" si="206"/>
        <v/>
      </c>
      <c r="Z1244">
        <f t="shared" si="207"/>
        <v>-6569.47</v>
      </c>
    </row>
    <row r="1245" spans="1:26" x14ac:dyDescent="0.25">
      <c r="A1245" s="1">
        <v>45979</v>
      </c>
      <c r="B1245" t="s">
        <v>1673</v>
      </c>
      <c r="C1245" t="s">
        <v>17</v>
      </c>
      <c r="D1245" t="s">
        <v>18</v>
      </c>
      <c r="E1245">
        <v>300</v>
      </c>
      <c r="F1245">
        <v>0</v>
      </c>
      <c r="G1245">
        <v>28.85</v>
      </c>
      <c r="H1245">
        <v>8655</v>
      </c>
      <c r="I1245" t="s">
        <v>1676</v>
      </c>
      <c r="J1245">
        <v>8.66</v>
      </c>
      <c r="K1245">
        <v>3.08</v>
      </c>
      <c r="L1245">
        <v>0</v>
      </c>
      <c r="M1245">
        <v>0</v>
      </c>
      <c r="N1245">
        <v>116</v>
      </c>
      <c r="O1245">
        <v>21.44</v>
      </c>
      <c r="P1245">
        <v>149.18</v>
      </c>
      <c r="Q1245">
        <f t="shared" si="198"/>
        <v>2025</v>
      </c>
      <c r="R1245">
        <f t="shared" si="199"/>
        <v>11</v>
      </c>
      <c r="S1245">
        <f t="shared" si="200"/>
        <v>2025</v>
      </c>
      <c r="T1245">
        <f t="shared" si="201"/>
        <v>8</v>
      </c>
      <c r="U1245" t="str">
        <f t="shared" si="202"/>
        <v>08</v>
      </c>
      <c r="V1245" t="str">
        <f t="shared" si="203"/>
        <v>202508</v>
      </c>
      <c r="W1245" t="str">
        <f t="shared" si="204"/>
        <v>Nov-25</v>
      </c>
      <c r="X1245" s="3">
        <f t="shared" si="205"/>
        <v>8505.82</v>
      </c>
      <c r="Y1245">
        <f t="shared" si="206"/>
        <v>8505.82</v>
      </c>
      <c r="Z1245" t="str">
        <f t="shared" si="207"/>
        <v/>
      </c>
    </row>
    <row r="1246" spans="1:26" x14ac:dyDescent="0.25">
      <c r="A1246" s="1">
        <v>45979</v>
      </c>
      <c r="B1246" t="s">
        <v>1673</v>
      </c>
      <c r="C1246" t="s">
        <v>17</v>
      </c>
      <c r="D1246" t="s">
        <v>18</v>
      </c>
      <c r="E1246">
        <v>75</v>
      </c>
      <c r="F1246">
        <v>0</v>
      </c>
      <c r="G1246">
        <v>45.25</v>
      </c>
      <c r="H1246">
        <v>3393.75</v>
      </c>
      <c r="I1246" t="s">
        <v>1677</v>
      </c>
      <c r="J1246">
        <v>3.39</v>
      </c>
      <c r="K1246">
        <v>1.21</v>
      </c>
      <c r="L1246">
        <v>0</v>
      </c>
      <c r="M1246">
        <v>0</v>
      </c>
      <c r="N1246">
        <v>29</v>
      </c>
      <c r="O1246">
        <v>5.44</v>
      </c>
      <c r="P1246">
        <v>39.04</v>
      </c>
      <c r="Q1246">
        <f t="shared" si="198"/>
        <v>2025</v>
      </c>
      <c r="R1246">
        <f t="shared" si="199"/>
        <v>11</v>
      </c>
      <c r="S1246">
        <f t="shared" si="200"/>
        <v>2025</v>
      </c>
      <c r="T1246">
        <f t="shared" si="201"/>
        <v>8</v>
      </c>
      <c r="U1246" t="str">
        <f t="shared" si="202"/>
        <v>08</v>
      </c>
      <c r="V1246" t="str">
        <f t="shared" si="203"/>
        <v>202508</v>
      </c>
      <c r="W1246" t="str">
        <f t="shared" si="204"/>
        <v>Nov-25</v>
      </c>
      <c r="X1246" s="3">
        <f t="shared" si="205"/>
        <v>3354.71</v>
      </c>
      <c r="Y1246">
        <f t="shared" si="206"/>
        <v>3354.71</v>
      </c>
      <c r="Z1246" t="str">
        <f t="shared" si="207"/>
        <v/>
      </c>
    </row>
    <row r="1247" spans="1:26" x14ac:dyDescent="0.25">
      <c r="A1247" s="1">
        <v>45979</v>
      </c>
      <c r="B1247" t="s">
        <v>1673</v>
      </c>
      <c r="C1247" t="s">
        <v>17</v>
      </c>
      <c r="D1247" t="s">
        <v>22</v>
      </c>
      <c r="E1247">
        <v>75</v>
      </c>
      <c r="F1247">
        <v>0</v>
      </c>
      <c r="G1247">
        <v>76.650000000000006</v>
      </c>
      <c r="H1247">
        <v>5748.75</v>
      </c>
      <c r="I1247" t="s">
        <v>1678</v>
      </c>
      <c r="J1247">
        <v>0</v>
      </c>
      <c r="K1247">
        <v>2.04</v>
      </c>
      <c r="L1247">
        <v>0</v>
      </c>
      <c r="M1247">
        <v>0.01</v>
      </c>
      <c r="N1247">
        <v>29</v>
      </c>
      <c r="O1247">
        <v>5.58</v>
      </c>
      <c r="P1247">
        <v>36.630000000000003</v>
      </c>
      <c r="Q1247">
        <f t="shared" si="198"/>
        <v>2025</v>
      </c>
      <c r="R1247">
        <f t="shared" si="199"/>
        <v>11</v>
      </c>
      <c r="S1247">
        <f t="shared" si="200"/>
        <v>2025</v>
      </c>
      <c r="T1247">
        <f t="shared" si="201"/>
        <v>8</v>
      </c>
      <c r="U1247" t="str">
        <f t="shared" si="202"/>
        <v>08</v>
      </c>
      <c r="V1247" t="str">
        <f t="shared" si="203"/>
        <v>202508</v>
      </c>
      <c r="W1247" t="str">
        <f t="shared" si="204"/>
        <v>Nov-25</v>
      </c>
      <c r="X1247" s="3">
        <f t="shared" si="205"/>
        <v>-5785.38</v>
      </c>
      <c r="Y1247" t="str">
        <f t="shared" si="206"/>
        <v/>
      </c>
      <c r="Z1247">
        <f t="shared" si="207"/>
        <v>-5785.38</v>
      </c>
    </row>
    <row r="1248" spans="1:26" x14ac:dyDescent="0.25">
      <c r="A1248" s="1">
        <v>45979</v>
      </c>
      <c r="B1248" t="s">
        <v>1673</v>
      </c>
      <c r="C1248" t="s">
        <v>17</v>
      </c>
      <c r="D1248" t="s">
        <v>22</v>
      </c>
      <c r="E1248">
        <v>300</v>
      </c>
      <c r="F1248">
        <v>0</v>
      </c>
      <c r="G1248">
        <v>79.7</v>
      </c>
      <c r="H1248">
        <v>23910</v>
      </c>
      <c r="I1248" t="s">
        <v>1679</v>
      </c>
      <c r="J1248">
        <v>0</v>
      </c>
      <c r="K1248">
        <v>8.49</v>
      </c>
      <c r="L1248">
        <v>0</v>
      </c>
      <c r="M1248">
        <v>0.03</v>
      </c>
      <c r="N1248">
        <v>116</v>
      </c>
      <c r="O1248">
        <v>22.4</v>
      </c>
      <c r="P1248">
        <v>146.91999999999999</v>
      </c>
      <c r="Q1248">
        <f t="shared" si="198"/>
        <v>2025</v>
      </c>
      <c r="R1248">
        <f t="shared" si="199"/>
        <v>11</v>
      </c>
      <c r="S1248">
        <f t="shared" si="200"/>
        <v>2025</v>
      </c>
      <c r="T1248">
        <f t="shared" si="201"/>
        <v>8</v>
      </c>
      <c r="U1248" t="str">
        <f t="shared" si="202"/>
        <v>08</v>
      </c>
      <c r="V1248" t="str">
        <f t="shared" si="203"/>
        <v>202508</v>
      </c>
      <c r="W1248" t="str">
        <f t="shared" si="204"/>
        <v>Nov-25</v>
      </c>
      <c r="X1248" s="3">
        <f t="shared" si="205"/>
        <v>-24056.92</v>
      </c>
      <c r="Y1248" t="str">
        <f t="shared" si="206"/>
        <v/>
      </c>
      <c r="Z1248">
        <f t="shared" si="207"/>
        <v>-24056.92</v>
      </c>
    </row>
    <row r="1249" spans="1:26" x14ac:dyDescent="0.25">
      <c r="A1249" s="1">
        <v>45979</v>
      </c>
      <c r="B1249" t="s">
        <v>1673</v>
      </c>
      <c r="C1249" t="s">
        <v>17</v>
      </c>
      <c r="D1249" t="s">
        <v>18</v>
      </c>
      <c r="E1249">
        <v>375</v>
      </c>
      <c r="F1249">
        <v>0</v>
      </c>
      <c r="G1249">
        <v>59.9</v>
      </c>
      <c r="H1249">
        <v>22462.5</v>
      </c>
      <c r="I1249" t="s">
        <v>1680</v>
      </c>
      <c r="J1249">
        <v>22.46</v>
      </c>
      <c r="K1249">
        <v>7.99</v>
      </c>
      <c r="L1249">
        <v>0</v>
      </c>
      <c r="M1249">
        <v>0.01</v>
      </c>
      <c r="N1249">
        <v>145</v>
      </c>
      <c r="O1249">
        <v>27.52</v>
      </c>
      <c r="P1249">
        <v>202.98</v>
      </c>
      <c r="Q1249">
        <f t="shared" si="198"/>
        <v>2025</v>
      </c>
      <c r="R1249">
        <f t="shared" si="199"/>
        <v>11</v>
      </c>
      <c r="S1249">
        <f t="shared" si="200"/>
        <v>2025</v>
      </c>
      <c r="T1249">
        <f t="shared" si="201"/>
        <v>8</v>
      </c>
      <c r="U1249" t="str">
        <f t="shared" si="202"/>
        <v>08</v>
      </c>
      <c r="V1249" t="str">
        <f t="shared" si="203"/>
        <v>202508</v>
      </c>
      <c r="W1249" t="str">
        <f t="shared" si="204"/>
        <v>Nov-25</v>
      </c>
      <c r="X1249" s="3">
        <f t="shared" si="205"/>
        <v>22259.52</v>
      </c>
      <c r="Y1249">
        <f t="shared" si="206"/>
        <v>22259.52</v>
      </c>
      <c r="Z1249" t="str">
        <f t="shared" si="207"/>
        <v/>
      </c>
    </row>
    <row r="1250" spans="1:26" x14ac:dyDescent="0.25">
      <c r="A1250" s="1">
        <v>45979</v>
      </c>
      <c r="B1250" t="s">
        <v>1673</v>
      </c>
      <c r="C1250" t="s">
        <v>17</v>
      </c>
      <c r="D1250" t="s">
        <v>22</v>
      </c>
      <c r="E1250">
        <v>375</v>
      </c>
      <c r="F1250">
        <v>0</v>
      </c>
      <c r="G1250">
        <v>52.25</v>
      </c>
      <c r="H1250">
        <v>19593.75</v>
      </c>
      <c r="I1250" t="s">
        <v>1681</v>
      </c>
      <c r="J1250">
        <v>0</v>
      </c>
      <c r="K1250">
        <v>6.96</v>
      </c>
      <c r="L1250">
        <v>1.0900000000000001</v>
      </c>
      <c r="M1250">
        <v>0.01</v>
      </c>
      <c r="N1250">
        <v>145</v>
      </c>
      <c r="O1250">
        <v>27.38</v>
      </c>
      <c r="P1250">
        <v>180.44</v>
      </c>
      <c r="Q1250">
        <f t="shared" si="198"/>
        <v>2025</v>
      </c>
      <c r="R1250">
        <f t="shared" si="199"/>
        <v>11</v>
      </c>
      <c r="S1250">
        <f t="shared" si="200"/>
        <v>2025</v>
      </c>
      <c r="T1250">
        <f t="shared" si="201"/>
        <v>8</v>
      </c>
      <c r="U1250" t="str">
        <f t="shared" si="202"/>
        <v>08</v>
      </c>
      <c r="V1250" t="str">
        <f t="shared" si="203"/>
        <v>202508</v>
      </c>
      <c r="W1250" t="str">
        <f t="shared" si="204"/>
        <v>Nov-25</v>
      </c>
      <c r="X1250" s="3">
        <f t="shared" si="205"/>
        <v>-19774.189999999999</v>
      </c>
      <c r="Y1250" t="str">
        <f t="shared" si="206"/>
        <v/>
      </c>
      <c r="Z1250">
        <f t="shared" si="207"/>
        <v>-19774.189999999999</v>
      </c>
    </row>
    <row r="1251" spans="1:26" x14ac:dyDescent="0.25">
      <c r="A1251" s="1">
        <v>45979</v>
      </c>
      <c r="B1251" t="s">
        <v>1682</v>
      </c>
      <c r="C1251" t="s">
        <v>17</v>
      </c>
      <c r="D1251" t="s">
        <v>18</v>
      </c>
      <c r="E1251">
        <v>750</v>
      </c>
      <c r="F1251">
        <v>0</v>
      </c>
      <c r="G1251">
        <v>30.1</v>
      </c>
      <c r="H1251">
        <v>22575</v>
      </c>
      <c r="I1251" t="s">
        <v>1683</v>
      </c>
      <c r="J1251">
        <v>22.49</v>
      </c>
      <c r="K1251">
        <v>8.02</v>
      </c>
      <c r="L1251">
        <v>0</v>
      </c>
      <c r="M1251">
        <v>0.02</v>
      </c>
      <c r="N1251">
        <v>290</v>
      </c>
      <c r="O1251">
        <v>53.64</v>
      </c>
      <c r="P1251">
        <v>374.17</v>
      </c>
      <c r="Q1251">
        <f t="shared" si="198"/>
        <v>2025</v>
      </c>
      <c r="R1251">
        <f t="shared" si="199"/>
        <v>11</v>
      </c>
      <c r="S1251">
        <f t="shared" si="200"/>
        <v>2025</v>
      </c>
      <c r="T1251">
        <f t="shared" si="201"/>
        <v>8</v>
      </c>
      <c r="U1251" t="str">
        <f t="shared" si="202"/>
        <v>08</v>
      </c>
      <c r="V1251" t="str">
        <f t="shared" si="203"/>
        <v>202508</v>
      </c>
      <c r="W1251" t="str">
        <f t="shared" si="204"/>
        <v>Nov-25</v>
      </c>
      <c r="X1251" s="3">
        <f t="shared" si="205"/>
        <v>22200.83</v>
      </c>
      <c r="Y1251">
        <f t="shared" si="206"/>
        <v>22200.83</v>
      </c>
      <c r="Z1251" t="str">
        <f t="shared" si="207"/>
        <v/>
      </c>
    </row>
    <row r="1252" spans="1:26" x14ac:dyDescent="0.25">
      <c r="A1252" s="1">
        <v>45979</v>
      </c>
      <c r="B1252" t="s">
        <v>1682</v>
      </c>
      <c r="C1252" t="s">
        <v>17</v>
      </c>
      <c r="D1252" t="s">
        <v>22</v>
      </c>
      <c r="E1252">
        <v>75</v>
      </c>
      <c r="F1252">
        <v>0</v>
      </c>
      <c r="G1252">
        <v>37.9</v>
      </c>
      <c r="H1252">
        <v>2842.5</v>
      </c>
      <c r="I1252" t="s">
        <v>1684</v>
      </c>
      <c r="J1252">
        <v>0</v>
      </c>
      <c r="K1252">
        <v>1.01</v>
      </c>
      <c r="L1252">
        <v>0</v>
      </c>
      <c r="M1252">
        <v>0</v>
      </c>
      <c r="N1252">
        <v>29</v>
      </c>
      <c r="O1252">
        <v>5.4</v>
      </c>
      <c r="P1252">
        <v>35.409999999999997</v>
      </c>
      <c r="Q1252">
        <f t="shared" si="198"/>
        <v>2025</v>
      </c>
      <c r="R1252">
        <f t="shared" si="199"/>
        <v>11</v>
      </c>
      <c r="S1252">
        <f t="shared" si="200"/>
        <v>2025</v>
      </c>
      <c r="T1252">
        <f t="shared" si="201"/>
        <v>8</v>
      </c>
      <c r="U1252" t="str">
        <f t="shared" si="202"/>
        <v>08</v>
      </c>
      <c r="V1252" t="str">
        <f t="shared" si="203"/>
        <v>202508</v>
      </c>
      <c r="W1252" t="str">
        <f t="shared" si="204"/>
        <v>Nov-25</v>
      </c>
      <c r="X1252" s="3">
        <f t="shared" si="205"/>
        <v>-2877.91</v>
      </c>
      <c r="Y1252" t="str">
        <f t="shared" si="206"/>
        <v/>
      </c>
      <c r="Z1252">
        <f t="shared" si="207"/>
        <v>-2877.91</v>
      </c>
    </row>
    <row r="1253" spans="1:26" x14ac:dyDescent="0.25">
      <c r="A1253" s="1">
        <v>45979</v>
      </c>
      <c r="B1253" t="s">
        <v>1682</v>
      </c>
      <c r="C1253" t="s">
        <v>17</v>
      </c>
      <c r="D1253" t="s">
        <v>22</v>
      </c>
      <c r="E1253">
        <v>225</v>
      </c>
      <c r="F1253">
        <v>0</v>
      </c>
      <c r="G1253">
        <v>39.6</v>
      </c>
      <c r="H1253">
        <v>8910</v>
      </c>
      <c r="I1253" t="s">
        <v>1685</v>
      </c>
      <c r="J1253">
        <v>0</v>
      </c>
      <c r="K1253">
        <v>3.17</v>
      </c>
      <c r="L1253">
        <v>0</v>
      </c>
      <c r="M1253">
        <v>0.01</v>
      </c>
      <c r="N1253">
        <v>87</v>
      </c>
      <c r="O1253">
        <v>16.239999999999998</v>
      </c>
      <c r="P1253">
        <v>106.42</v>
      </c>
      <c r="Q1253">
        <f t="shared" si="198"/>
        <v>2025</v>
      </c>
      <c r="R1253">
        <f t="shared" si="199"/>
        <v>11</v>
      </c>
      <c r="S1253">
        <f t="shared" si="200"/>
        <v>2025</v>
      </c>
      <c r="T1253">
        <f t="shared" si="201"/>
        <v>8</v>
      </c>
      <c r="U1253" t="str">
        <f t="shared" si="202"/>
        <v>08</v>
      </c>
      <c r="V1253" t="str">
        <f t="shared" si="203"/>
        <v>202508</v>
      </c>
      <c r="W1253" t="str">
        <f t="shared" si="204"/>
        <v>Nov-25</v>
      </c>
      <c r="X1253" s="3">
        <f t="shared" si="205"/>
        <v>-9016.42</v>
      </c>
      <c r="Y1253" t="str">
        <f t="shared" si="206"/>
        <v/>
      </c>
      <c r="Z1253">
        <f t="shared" si="207"/>
        <v>-9016.42</v>
      </c>
    </row>
    <row r="1254" spans="1:26" x14ac:dyDescent="0.25">
      <c r="A1254" s="1">
        <v>45979</v>
      </c>
      <c r="B1254" t="s">
        <v>1682</v>
      </c>
      <c r="C1254" t="s">
        <v>17</v>
      </c>
      <c r="D1254" t="s">
        <v>22</v>
      </c>
      <c r="E1254">
        <v>450</v>
      </c>
      <c r="F1254">
        <v>0</v>
      </c>
      <c r="G1254">
        <v>40.98</v>
      </c>
      <c r="H1254">
        <v>18438.75</v>
      </c>
      <c r="I1254" t="s">
        <v>1686</v>
      </c>
      <c r="J1254">
        <v>0</v>
      </c>
      <c r="K1254">
        <v>6.55</v>
      </c>
      <c r="L1254">
        <v>0.91</v>
      </c>
      <c r="M1254">
        <v>0.02</v>
      </c>
      <c r="N1254">
        <v>174</v>
      </c>
      <c r="O1254">
        <v>32.520000000000003</v>
      </c>
      <c r="P1254">
        <v>214</v>
      </c>
      <c r="Q1254">
        <f t="shared" si="198"/>
        <v>2025</v>
      </c>
      <c r="R1254">
        <f t="shared" si="199"/>
        <v>11</v>
      </c>
      <c r="S1254">
        <f t="shared" si="200"/>
        <v>2025</v>
      </c>
      <c r="T1254">
        <f t="shared" si="201"/>
        <v>8</v>
      </c>
      <c r="U1254" t="str">
        <f t="shared" si="202"/>
        <v>08</v>
      </c>
      <c r="V1254" t="str">
        <f t="shared" si="203"/>
        <v>202508</v>
      </c>
      <c r="W1254" t="str">
        <f t="shared" si="204"/>
        <v>Nov-25</v>
      </c>
      <c r="X1254" s="3">
        <f t="shared" si="205"/>
        <v>-18652.75</v>
      </c>
      <c r="Y1254" t="str">
        <f t="shared" si="206"/>
        <v/>
      </c>
      <c r="Z1254">
        <f t="shared" si="207"/>
        <v>-18652.75</v>
      </c>
    </row>
    <row r="1255" spans="1:26" x14ac:dyDescent="0.25">
      <c r="A1255" s="1">
        <v>45981</v>
      </c>
      <c r="B1255" t="s">
        <v>1687</v>
      </c>
      <c r="C1255" t="s">
        <v>17</v>
      </c>
      <c r="D1255" t="s">
        <v>22</v>
      </c>
      <c r="E1255">
        <v>75</v>
      </c>
      <c r="F1255">
        <v>0</v>
      </c>
      <c r="G1255">
        <v>103.15</v>
      </c>
      <c r="H1255">
        <v>7736.25</v>
      </c>
      <c r="I1255" t="s">
        <v>1688</v>
      </c>
      <c r="J1255">
        <v>0</v>
      </c>
      <c r="K1255">
        <v>2.75</v>
      </c>
      <c r="L1255">
        <v>0</v>
      </c>
      <c r="M1255">
        <v>0.01</v>
      </c>
      <c r="N1255">
        <v>29</v>
      </c>
      <c r="O1255">
        <v>5.72</v>
      </c>
      <c r="P1255">
        <v>37.479999999999997</v>
      </c>
      <c r="Q1255">
        <f t="shared" si="198"/>
        <v>2025</v>
      </c>
      <c r="R1255">
        <f t="shared" si="199"/>
        <v>11</v>
      </c>
      <c r="S1255">
        <f t="shared" si="200"/>
        <v>2025</v>
      </c>
      <c r="T1255">
        <f t="shared" si="201"/>
        <v>8</v>
      </c>
      <c r="U1255" t="str">
        <f t="shared" si="202"/>
        <v>08</v>
      </c>
      <c r="V1255" t="str">
        <f t="shared" si="203"/>
        <v>202508</v>
      </c>
      <c r="W1255" t="str">
        <f t="shared" si="204"/>
        <v>Nov-25</v>
      </c>
      <c r="X1255" s="3">
        <f t="shared" si="205"/>
        <v>-7773.73</v>
      </c>
      <c r="Y1255" t="str">
        <f t="shared" si="206"/>
        <v/>
      </c>
      <c r="Z1255">
        <f t="shared" si="207"/>
        <v>-7773.73</v>
      </c>
    </row>
    <row r="1256" spans="1:26" x14ac:dyDescent="0.25">
      <c r="A1256" s="1">
        <v>45982</v>
      </c>
      <c r="B1256" t="s">
        <v>1687</v>
      </c>
      <c r="C1256" t="s">
        <v>17</v>
      </c>
      <c r="D1256" t="s">
        <v>18</v>
      </c>
      <c r="E1256">
        <v>75</v>
      </c>
      <c r="F1256">
        <v>0</v>
      </c>
      <c r="G1256">
        <v>119.9</v>
      </c>
      <c r="H1256">
        <v>8992.5</v>
      </c>
      <c r="I1256" t="s">
        <v>1689</v>
      </c>
      <c r="J1256">
        <v>9</v>
      </c>
      <c r="K1256">
        <v>3.2</v>
      </c>
      <c r="L1256">
        <v>0</v>
      </c>
      <c r="M1256">
        <v>0.01</v>
      </c>
      <c r="N1256">
        <v>29</v>
      </c>
      <c r="O1256">
        <v>5.8</v>
      </c>
      <c r="P1256">
        <v>47.01</v>
      </c>
      <c r="Q1256">
        <f t="shared" si="198"/>
        <v>2025</v>
      </c>
      <c r="R1256">
        <f t="shared" si="199"/>
        <v>11</v>
      </c>
      <c r="S1256">
        <f t="shared" si="200"/>
        <v>2025</v>
      </c>
      <c r="T1256">
        <f t="shared" si="201"/>
        <v>8</v>
      </c>
      <c r="U1256" t="str">
        <f t="shared" si="202"/>
        <v>08</v>
      </c>
      <c r="V1256" t="str">
        <f t="shared" si="203"/>
        <v>202508</v>
      </c>
      <c r="W1256" t="str">
        <f t="shared" si="204"/>
        <v>Nov-25</v>
      </c>
      <c r="X1256" s="3">
        <f t="shared" si="205"/>
        <v>8945.49</v>
      </c>
      <c r="Y1256">
        <f t="shared" si="206"/>
        <v>8945.49</v>
      </c>
      <c r="Z1256" t="str">
        <f t="shared" si="207"/>
        <v/>
      </c>
    </row>
    <row r="1257" spans="1:26" x14ac:dyDescent="0.25">
      <c r="A1257" s="1">
        <v>45985</v>
      </c>
      <c r="B1257" t="s">
        <v>1687</v>
      </c>
      <c r="C1257" t="s">
        <v>17</v>
      </c>
      <c r="D1257" t="s">
        <v>18</v>
      </c>
      <c r="E1257">
        <v>75</v>
      </c>
      <c r="F1257">
        <v>0</v>
      </c>
      <c r="G1257">
        <v>74.75</v>
      </c>
      <c r="H1257">
        <v>5606.25</v>
      </c>
      <c r="I1257" t="s">
        <v>1690</v>
      </c>
      <c r="J1257">
        <v>6</v>
      </c>
      <c r="K1257">
        <v>1.99</v>
      </c>
      <c r="L1257">
        <v>0</v>
      </c>
      <c r="M1257">
        <v>0.01</v>
      </c>
      <c r="N1257">
        <v>29</v>
      </c>
      <c r="O1257">
        <v>5.58</v>
      </c>
      <c r="P1257">
        <v>42.58</v>
      </c>
      <c r="Q1257">
        <f t="shared" si="198"/>
        <v>2025</v>
      </c>
      <c r="R1257">
        <f t="shared" si="199"/>
        <v>11</v>
      </c>
      <c r="S1257">
        <f t="shared" si="200"/>
        <v>2025</v>
      </c>
      <c r="T1257">
        <f t="shared" si="201"/>
        <v>8</v>
      </c>
      <c r="U1257" t="str">
        <f t="shared" si="202"/>
        <v>08</v>
      </c>
      <c r="V1257" t="str">
        <f t="shared" si="203"/>
        <v>202508</v>
      </c>
      <c r="W1257" t="str">
        <f t="shared" si="204"/>
        <v>Nov-25</v>
      </c>
      <c r="X1257" s="3">
        <f t="shared" si="205"/>
        <v>5563.67</v>
      </c>
      <c r="Y1257">
        <f t="shared" si="206"/>
        <v>5563.67</v>
      </c>
      <c r="Z1257" t="str">
        <f t="shared" si="207"/>
        <v/>
      </c>
    </row>
    <row r="1258" spans="1:26" x14ac:dyDescent="0.25">
      <c r="A1258" s="1">
        <v>45985</v>
      </c>
      <c r="B1258" t="s">
        <v>1687</v>
      </c>
      <c r="C1258" t="s">
        <v>17</v>
      </c>
      <c r="D1258" t="s">
        <v>22</v>
      </c>
      <c r="E1258">
        <v>75</v>
      </c>
      <c r="F1258">
        <v>0</v>
      </c>
      <c r="G1258">
        <v>71.75</v>
      </c>
      <c r="H1258">
        <v>5381.25</v>
      </c>
      <c r="I1258" t="s">
        <v>1691</v>
      </c>
      <c r="J1258">
        <v>0</v>
      </c>
      <c r="K1258">
        <v>1.91</v>
      </c>
      <c r="L1258">
        <v>0</v>
      </c>
      <c r="M1258">
        <v>0.01</v>
      </c>
      <c r="N1258">
        <v>29</v>
      </c>
      <c r="O1258">
        <v>5.56</v>
      </c>
      <c r="P1258">
        <v>36.479999999999997</v>
      </c>
      <c r="Q1258">
        <f t="shared" si="198"/>
        <v>2025</v>
      </c>
      <c r="R1258">
        <f t="shared" si="199"/>
        <v>11</v>
      </c>
      <c r="S1258">
        <f t="shared" si="200"/>
        <v>2025</v>
      </c>
      <c r="T1258">
        <f t="shared" si="201"/>
        <v>8</v>
      </c>
      <c r="U1258" t="str">
        <f t="shared" si="202"/>
        <v>08</v>
      </c>
      <c r="V1258" t="str">
        <f t="shared" si="203"/>
        <v>202508</v>
      </c>
      <c r="W1258" t="str">
        <f t="shared" si="204"/>
        <v>Nov-25</v>
      </c>
      <c r="X1258" s="3">
        <f t="shared" si="205"/>
        <v>-5417.73</v>
      </c>
      <c r="Y1258" t="str">
        <f t="shared" si="206"/>
        <v/>
      </c>
      <c r="Z1258">
        <f t="shared" si="207"/>
        <v>-5417.73</v>
      </c>
    </row>
    <row r="1259" spans="1:26" x14ac:dyDescent="0.25">
      <c r="A1259" s="1">
        <v>45986</v>
      </c>
      <c r="B1259" t="s">
        <v>1692</v>
      </c>
      <c r="C1259" t="s">
        <v>17</v>
      </c>
      <c r="D1259" t="s">
        <v>18</v>
      </c>
      <c r="E1259">
        <v>450</v>
      </c>
      <c r="F1259">
        <v>0</v>
      </c>
      <c r="G1259">
        <v>19.75</v>
      </c>
      <c r="H1259">
        <v>8887.5</v>
      </c>
      <c r="I1259" t="s">
        <v>1693</v>
      </c>
      <c r="J1259">
        <v>9</v>
      </c>
      <c r="K1259">
        <v>3.16</v>
      </c>
      <c r="L1259">
        <v>0</v>
      </c>
      <c r="M1259">
        <v>0.01</v>
      </c>
      <c r="N1259">
        <v>174</v>
      </c>
      <c r="O1259">
        <v>31.9</v>
      </c>
      <c r="P1259">
        <v>218.07</v>
      </c>
      <c r="Q1259">
        <f t="shared" si="198"/>
        <v>2025</v>
      </c>
      <c r="R1259">
        <f t="shared" si="199"/>
        <v>11</v>
      </c>
      <c r="S1259">
        <f t="shared" si="200"/>
        <v>2025</v>
      </c>
      <c r="T1259">
        <f t="shared" si="201"/>
        <v>8</v>
      </c>
      <c r="U1259" t="str">
        <f t="shared" si="202"/>
        <v>08</v>
      </c>
      <c r="V1259" t="str">
        <f t="shared" si="203"/>
        <v>202508</v>
      </c>
      <c r="W1259" t="str">
        <f t="shared" si="204"/>
        <v>Nov-25</v>
      </c>
      <c r="X1259" s="3">
        <f t="shared" si="205"/>
        <v>8669.43</v>
      </c>
      <c r="Y1259">
        <f t="shared" si="206"/>
        <v>8669.43</v>
      </c>
      <c r="Z1259" t="str">
        <f t="shared" si="207"/>
        <v/>
      </c>
    </row>
    <row r="1260" spans="1:26" x14ac:dyDescent="0.25">
      <c r="A1260" s="1">
        <v>45986</v>
      </c>
      <c r="B1260" t="s">
        <v>1692</v>
      </c>
      <c r="C1260" t="s">
        <v>17</v>
      </c>
      <c r="D1260" t="s">
        <v>22</v>
      </c>
      <c r="E1260">
        <v>450</v>
      </c>
      <c r="F1260">
        <v>0</v>
      </c>
      <c r="G1260">
        <v>14.75</v>
      </c>
      <c r="H1260">
        <v>6637.5</v>
      </c>
      <c r="I1260" t="s">
        <v>1694</v>
      </c>
      <c r="J1260">
        <v>0</v>
      </c>
      <c r="K1260">
        <v>2.36</v>
      </c>
      <c r="L1260">
        <v>0</v>
      </c>
      <c r="M1260">
        <v>0</v>
      </c>
      <c r="N1260">
        <v>174</v>
      </c>
      <c r="O1260">
        <v>31.76</v>
      </c>
      <c r="P1260">
        <v>208.12</v>
      </c>
      <c r="Q1260">
        <f t="shared" ref="Q1260:Q1323" si="208">YEAR(A1260)</f>
        <v>2025</v>
      </c>
      <c r="R1260">
        <f t="shared" ref="R1260:R1323" si="209">MONTH(A1260)</f>
        <v>11</v>
      </c>
      <c r="S1260">
        <f t="shared" ref="S1260:S1323" si="210">IF(R1260&lt;4,Q1260-1,Q1260)</f>
        <v>2025</v>
      </c>
      <c r="T1260">
        <f t="shared" ref="T1260:T1323" si="211">IF(R1260&lt;4,R1260+9,R1260-3)</f>
        <v>8</v>
      </c>
      <c r="U1260" t="str">
        <f t="shared" ref="U1260:U1323" si="212">IF(LEN(T1260)=1,_xlfn.CONCAT(0,T1260),T1260)</f>
        <v>08</v>
      </c>
      <c r="V1260" t="str">
        <f t="shared" ref="V1260:V1323" si="213">_xlfn.CONCAT(S1260,U1260)</f>
        <v>202508</v>
      </c>
      <c r="W1260" t="str">
        <f t="shared" ref="W1260:W1323" si="214">_xlfn.CONCAT(TEXT(A1260,"MMM"),"-",MID(Q1260,3,2))</f>
        <v>Nov-25</v>
      </c>
      <c r="X1260" s="3">
        <f t="shared" ref="X1260:X1323" si="215">IFERROR(IF(D1260="Sell",(H1260-P1260),-(H1260+P1260)),0)</f>
        <v>-6845.62</v>
      </c>
      <c r="Y1260" t="str">
        <f t="shared" si="206"/>
        <v/>
      </c>
      <c r="Z1260">
        <f t="shared" si="207"/>
        <v>-6845.62</v>
      </c>
    </row>
    <row r="1261" spans="1:26" x14ac:dyDescent="0.25">
      <c r="A1261" s="1">
        <v>45988</v>
      </c>
      <c r="B1261" t="s">
        <v>1695</v>
      </c>
      <c r="C1261" t="s">
        <v>17</v>
      </c>
      <c r="D1261" t="s">
        <v>22</v>
      </c>
      <c r="E1261">
        <v>75</v>
      </c>
      <c r="F1261">
        <v>0</v>
      </c>
      <c r="G1261">
        <v>109</v>
      </c>
      <c r="H1261">
        <v>8175</v>
      </c>
      <c r="I1261" t="s">
        <v>1696</v>
      </c>
      <c r="J1261">
        <v>0</v>
      </c>
      <c r="K1261">
        <v>2.9</v>
      </c>
      <c r="L1261">
        <v>0</v>
      </c>
      <c r="M1261">
        <v>0.01</v>
      </c>
      <c r="N1261">
        <v>29</v>
      </c>
      <c r="O1261">
        <v>5.74</v>
      </c>
      <c r="P1261">
        <v>37.65</v>
      </c>
      <c r="Q1261">
        <f t="shared" si="208"/>
        <v>2025</v>
      </c>
      <c r="R1261">
        <f t="shared" si="209"/>
        <v>11</v>
      </c>
      <c r="S1261">
        <f t="shared" si="210"/>
        <v>2025</v>
      </c>
      <c r="T1261">
        <f t="shared" si="211"/>
        <v>8</v>
      </c>
      <c r="U1261" t="str">
        <f t="shared" si="212"/>
        <v>08</v>
      </c>
      <c r="V1261" t="str">
        <f t="shared" si="213"/>
        <v>202508</v>
      </c>
      <c r="W1261" t="str">
        <f t="shared" si="214"/>
        <v>Nov-25</v>
      </c>
      <c r="X1261" s="3">
        <f t="shared" si="215"/>
        <v>-8212.65</v>
      </c>
      <c r="Y1261" t="str">
        <f t="shared" si="206"/>
        <v/>
      </c>
      <c r="Z1261">
        <f t="shared" si="207"/>
        <v>-8212.65</v>
      </c>
    </row>
    <row r="1262" spans="1:26" x14ac:dyDescent="0.25">
      <c r="A1262" s="1">
        <v>45989</v>
      </c>
      <c r="B1262" t="s">
        <v>1697</v>
      </c>
      <c r="C1262" t="s">
        <v>17</v>
      </c>
      <c r="D1262" t="s">
        <v>22</v>
      </c>
      <c r="E1262">
        <v>375</v>
      </c>
      <c r="F1262">
        <v>0</v>
      </c>
      <c r="G1262">
        <v>44.1</v>
      </c>
      <c r="H1262">
        <v>16537.5</v>
      </c>
      <c r="I1262" t="s">
        <v>1698</v>
      </c>
      <c r="J1262">
        <v>0</v>
      </c>
      <c r="K1262">
        <v>5.88</v>
      </c>
      <c r="L1262">
        <v>0.76</v>
      </c>
      <c r="M1262">
        <v>0.02</v>
      </c>
      <c r="N1262">
        <v>145</v>
      </c>
      <c r="O1262">
        <v>27.16</v>
      </c>
      <c r="P1262">
        <v>178.82</v>
      </c>
      <c r="Q1262">
        <f t="shared" si="208"/>
        <v>2025</v>
      </c>
      <c r="R1262">
        <f t="shared" si="209"/>
        <v>11</v>
      </c>
      <c r="S1262">
        <f t="shared" si="210"/>
        <v>2025</v>
      </c>
      <c r="T1262">
        <f t="shared" si="211"/>
        <v>8</v>
      </c>
      <c r="U1262" t="str">
        <f t="shared" si="212"/>
        <v>08</v>
      </c>
      <c r="V1262" t="str">
        <f t="shared" si="213"/>
        <v>202508</v>
      </c>
      <c r="W1262" t="str">
        <f t="shared" si="214"/>
        <v>Nov-25</v>
      </c>
      <c r="X1262" s="3">
        <f t="shared" si="215"/>
        <v>-16716.32</v>
      </c>
      <c r="Y1262" t="str">
        <f t="shared" si="206"/>
        <v/>
      </c>
      <c r="Z1262">
        <f t="shared" si="207"/>
        <v>-16716.32</v>
      </c>
    </row>
    <row r="1263" spans="1:26" x14ac:dyDescent="0.25">
      <c r="A1263" s="1">
        <v>45989</v>
      </c>
      <c r="B1263" t="s">
        <v>1697</v>
      </c>
      <c r="C1263" t="s">
        <v>17</v>
      </c>
      <c r="D1263" t="s">
        <v>22</v>
      </c>
      <c r="E1263">
        <v>75</v>
      </c>
      <c r="F1263">
        <v>0</v>
      </c>
      <c r="G1263">
        <v>44.1</v>
      </c>
      <c r="H1263">
        <v>3307.5</v>
      </c>
      <c r="I1263" t="s">
        <v>1699</v>
      </c>
      <c r="J1263">
        <v>0</v>
      </c>
      <c r="K1263">
        <v>1.18</v>
      </c>
      <c r="L1263">
        <v>0</v>
      </c>
      <c r="M1263">
        <v>0</v>
      </c>
      <c r="N1263">
        <v>29</v>
      </c>
      <c r="O1263">
        <v>5.44</v>
      </c>
      <c r="P1263">
        <v>35.619999999999997</v>
      </c>
      <c r="Q1263">
        <f t="shared" si="208"/>
        <v>2025</v>
      </c>
      <c r="R1263">
        <f t="shared" si="209"/>
        <v>11</v>
      </c>
      <c r="S1263">
        <f t="shared" si="210"/>
        <v>2025</v>
      </c>
      <c r="T1263">
        <f t="shared" si="211"/>
        <v>8</v>
      </c>
      <c r="U1263" t="str">
        <f t="shared" si="212"/>
        <v>08</v>
      </c>
      <c r="V1263" t="str">
        <f t="shared" si="213"/>
        <v>202508</v>
      </c>
      <c r="W1263" t="str">
        <f t="shared" si="214"/>
        <v>Nov-25</v>
      </c>
      <c r="X1263" s="3">
        <f t="shared" si="215"/>
        <v>-3343.12</v>
      </c>
      <c r="Y1263" t="str">
        <f t="shared" si="206"/>
        <v/>
      </c>
      <c r="Z1263">
        <f t="shared" si="207"/>
        <v>-3343.12</v>
      </c>
    </row>
    <row r="1264" spans="1:26" x14ac:dyDescent="0.25">
      <c r="A1264" s="1">
        <v>45989</v>
      </c>
      <c r="B1264" t="s">
        <v>1700</v>
      </c>
      <c r="C1264" t="s">
        <v>17</v>
      </c>
      <c r="D1264" t="s">
        <v>18</v>
      </c>
      <c r="E1264">
        <v>75</v>
      </c>
      <c r="F1264">
        <v>0</v>
      </c>
      <c r="G1264">
        <v>105</v>
      </c>
      <c r="H1264">
        <v>7875</v>
      </c>
      <c r="I1264" t="s">
        <v>1701</v>
      </c>
      <c r="J1264">
        <v>8</v>
      </c>
      <c r="K1264">
        <v>2.8</v>
      </c>
      <c r="L1264">
        <v>0</v>
      </c>
      <c r="M1264">
        <v>0.01</v>
      </c>
      <c r="N1264">
        <v>29</v>
      </c>
      <c r="O1264">
        <v>5.72</v>
      </c>
      <c r="P1264">
        <v>45.53</v>
      </c>
      <c r="Q1264">
        <f t="shared" si="208"/>
        <v>2025</v>
      </c>
      <c r="R1264">
        <f t="shared" si="209"/>
        <v>11</v>
      </c>
      <c r="S1264">
        <f t="shared" si="210"/>
        <v>2025</v>
      </c>
      <c r="T1264">
        <f t="shared" si="211"/>
        <v>8</v>
      </c>
      <c r="U1264" t="str">
        <f t="shared" si="212"/>
        <v>08</v>
      </c>
      <c r="V1264" t="str">
        <f t="shared" si="213"/>
        <v>202508</v>
      </c>
      <c r="W1264" t="str">
        <f t="shared" si="214"/>
        <v>Nov-25</v>
      </c>
      <c r="X1264" s="3">
        <f t="shared" si="215"/>
        <v>7829.47</v>
      </c>
      <c r="Y1264">
        <f t="shared" si="206"/>
        <v>7829.47</v>
      </c>
      <c r="Z1264" t="str">
        <f t="shared" si="207"/>
        <v/>
      </c>
    </row>
    <row r="1265" spans="1:26" x14ac:dyDescent="0.25">
      <c r="A1265" s="1">
        <v>45989</v>
      </c>
      <c r="B1265" t="s">
        <v>1700</v>
      </c>
      <c r="C1265" t="s">
        <v>17</v>
      </c>
      <c r="D1265" t="s">
        <v>22</v>
      </c>
      <c r="E1265">
        <v>75</v>
      </c>
      <c r="F1265">
        <v>0</v>
      </c>
      <c r="G1265">
        <v>105.85</v>
      </c>
      <c r="H1265">
        <v>7938.75</v>
      </c>
      <c r="I1265" t="s">
        <v>1702</v>
      </c>
      <c r="J1265">
        <v>0</v>
      </c>
      <c r="K1265">
        <v>2.82</v>
      </c>
      <c r="L1265">
        <v>0.24</v>
      </c>
      <c r="M1265">
        <v>0.01</v>
      </c>
      <c r="N1265">
        <v>29</v>
      </c>
      <c r="O1265">
        <v>5.72</v>
      </c>
      <c r="P1265">
        <v>37.79</v>
      </c>
      <c r="Q1265">
        <f t="shared" si="208"/>
        <v>2025</v>
      </c>
      <c r="R1265">
        <f t="shared" si="209"/>
        <v>11</v>
      </c>
      <c r="S1265">
        <f t="shared" si="210"/>
        <v>2025</v>
      </c>
      <c r="T1265">
        <f t="shared" si="211"/>
        <v>8</v>
      </c>
      <c r="U1265" t="str">
        <f t="shared" si="212"/>
        <v>08</v>
      </c>
      <c r="V1265" t="str">
        <f t="shared" si="213"/>
        <v>202508</v>
      </c>
      <c r="W1265" t="str">
        <f t="shared" si="214"/>
        <v>Nov-25</v>
      </c>
      <c r="X1265" s="3">
        <f t="shared" si="215"/>
        <v>-7976.54</v>
      </c>
      <c r="Y1265" t="str">
        <f t="shared" si="206"/>
        <v/>
      </c>
      <c r="Z1265">
        <f t="shared" si="207"/>
        <v>-7976.54</v>
      </c>
    </row>
    <row r="1266" spans="1:26" x14ac:dyDescent="0.25">
      <c r="A1266" s="1">
        <v>45992</v>
      </c>
      <c r="B1266" t="s">
        <v>1695</v>
      </c>
      <c r="C1266" t="s">
        <v>17</v>
      </c>
      <c r="D1266" t="s">
        <v>18</v>
      </c>
      <c r="E1266">
        <v>150</v>
      </c>
      <c r="F1266">
        <v>0</v>
      </c>
      <c r="G1266">
        <v>119.25</v>
      </c>
      <c r="H1266">
        <v>17887.5</v>
      </c>
      <c r="I1266" t="s">
        <v>1703</v>
      </c>
      <c r="J1266">
        <v>17.89</v>
      </c>
      <c r="K1266">
        <v>6.36</v>
      </c>
      <c r="L1266">
        <v>0</v>
      </c>
      <c r="M1266">
        <v>0.02</v>
      </c>
      <c r="N1266">
        <v>58</v>
      </c>
      <c r="O1266">
        <v>11.58</v>
      </c>
      <c r="P1266">
        <v>93.85</v>
      </c>
      <c r="Q1266">
        <f t="shared" si="208"/>
        <v>2025</v>
      </c>
      <c r="R1266">
        <f t="shared" si="209"/>
        <v>12</v>
      </c>
      <c r="S1266">
        <f t="shared" si="210"/>
        <v>2025</v>
      </c>
      <c r="T1266">
        <f t="shared" si="211"/>
        <v>9</v>
      </c>
      <c r="U1266" t="str">
        <f t="shared" si="212"/>
        <v>09</v>
      </c>
      <c r="V1266" t="str">
        <f t="shared" si="213"/>
        <v>202509</v>
      </c>
      <c r="W1266" t="str">
        <f t="shared" si="214"/>
        <v>Dec-25</v>
      </c>
      <c r="X1266" s="3">
        <f t="shared" si="215"/>
        <v>17793.650000000001</v>
      </c>
      <c r="Y1266">
        <f t="shared" si="206"/>
        <v>17793.650000000001</v>
      </c>
      <c r="Z1266" t="str">
        <f t="shared" si="207"/>
        <v/>
      </c>
    </row>
    <row r="1267" spans="1:26" x14ac:dyDescent="0.25">
      <c r="A1267" s="1">
        <v>45992</v>
      </c>
      <c r="B1267" t="s">
        <v>1697</v>
      </c>
      <c r="C1267" t="s">
        <v>17</v>
      </c>
      <c r="D1267" t="s">
        <v>18</v>
      </c>
      <c r="E1267">
        <v>1800</v>
      </c>
      <c r="F1267">
        <v>0</v>
      </c>
      <c r="G1267">
        <v>35</v>
      </c>
      <c r="H1267">
        <v>63000</v>
      </c>
      <c r="I1267" t="s">
        <v>1704</v>
      </c>
      <c r="J1267">
        <v>63.12</v>
      </c>
      <c r="K1267">
        <v>22.38</v>
      </c>
      <c r="L1267">
        <v>0</v>
      </c>
      <c r="M1267">
        <v>0.06</v>
      </c>
      <c r="N1267">
        <v>696</v>
      </c>
      <c r="O1267">
        <v>129.32</v>
      </c>
      <c r="P1267">
        <v>910.88</v>
      </c>
      <c r="Q1267">
        <f t="shared" si="208"/>
        <v>2025</v>
      </c>
      <c r="R1267">
        <f t="shared" si="209"/>
        <v>12</v>
      </c>
      <c r="S1267">
        <f t="shared" si="210"/>
        <v>2025</v>
      </c>
      <c r="T1267">
        <f t="shared" si="211"/>
        <v>9</v>
      </c>
      <c r="U1267" t="str">
        <f t="shared" si="212"/>
        <v>09</v>
      </c>
      <c r="V1267" t="str">
        <f t="shared" si="213"/>
        <v>202509</v>
      </c>
      <c r="W1267" t="str">
        <f t="shared" si="214"/>
        <v>Dec-25</v>
      </c>
      <c r="X1267" s="3">
        <f t="shared" si="215"/>
        <v>62089.120000000003</v>
      </c>
      <c r="Y1267">
        <f t="shared" si="206"/>
        <v>62089.120000000003</v>
      </c>
      <c r="Z1267" t="str">
        <f t="shared" si="207"/>
        <v/>
      </c>
    </row>
    <row r="1268" spans="1:26" x14ac:dyDescent="0.25">
      <c r="A1268" s="1">
        <v>45992</v>
      </c>
      <c r="B1268" t="s">
        <v>1697</v>
      </c>
      <c r="C1268" t="s">
        <v>17</v>
      </c>
      <c r="D1268" t="s">
        <v>22</v>
      </c>
      <c r="E1268">
        <v>900</v>
      </c>
      <c r="F1268">
        <v>0</v>
      </c>
      <c r="G1268">
        <v>16.25</v>
      </c>
      <c r="H1268">
        <v>14625</v>
      </c>
      <c r="I1268" t="s">
        <v>1705</v>
      </c>
      <c r="J1268">
        <v>0</v>
      </c>
      <c r="K1268">
        <v>5.2</v>
      </c>
      <c r="L1268">
        <v>0.88</v>
      </c>
      <c r="M1268">
        <v>0.01</v>
      </c>
      <c r="N1268">
        <v>348</v>
      </c>
      <c r="O1268">
        <v>63.58</v>
      </c>
      <c r="P1268">
        <v>417.67</v>
      </c>
      <c r="Q1268">
        <f t="shared" si="208"/>
        <v>2025</v>
      </c>
      <c r="R1268">
        <f t="shared" si="209"/>
        <v>12</v>
      </c>
      <c r="S1268">
        <f t="shared" si="210"/>
        <v>2025</v>
      </c>
      <c r="T1268">
        <f t="shared" si="211"/>
        <v>9</v>
      </c>
      <c r="U1268" t="str">
        <f t="shared" si="212"/>
        <v>09</v>
      </c>
      <c r="V1268" t="str">
        <f t="shared" si="213"/>
        <v>202509</v>
      </c>
      <c r="W1268" t="str">
        <f t="shared" si="214"/>
        <v>Dec-25</v>
      </c>
      <c r="X1268" s="3">
        <f t="shared" si="215"/>
        <v>-15042.67</v>
      </c>
      <c r="Y1268" t="str">
        <f t="shared" si="206"/>
        <v/>
      </c>
      <c r="Z1268">
        <f t="shared" si="207"/>
        <v>-15042.67</v>
      </c>
    </row>
    <row r="1269" spans="1:26" x14ac:dyDescent="0.25">
      <c r="A1269" s="1">
        <v>45992</v>
      </c>
      <c r="B1269" t="s">
        <v>1695</v>
      </c>
      <c r="C1269" t="s">
        <v>17</v>
      </c>
      <c r="D1269" t="s">
        <v>22</v>
      </c>
      <c r="E1269">
        <v>75</v>
      </c>
      <c r="F1269">
        <v>0</v>
      </c>
      <c r="G1269">
        <v>52.95</v>
      </c>
      <c r="H1269">
        <v>3971.25</v>
      </c>
      <c r="I1269" t="s">
        <v>1706</v>
      </c>
      <c r="J1269">
        <v>0</v>
      </c>
      <c r="K1269">
        <v>1.41</v>
      </c>
      <c r="L1269">
        <v>0.12</v>
      </c>
      <c r="M1269">
        <v>0</v>
      </c>
      <c r="N1269">
        <v>29</v>
      </c>
      <c r="O1269">
        <v>5.48</v>
      </c>
      <c r="P1269">
        <v>36.01</v>
      </c>
      <c r="Q1269">
        <f t="shared" si="208"/>
        <v>2025</v>
      </c>
      <c r="R1269">
        <f t="shared" si="209"/>
        <v>12</v>
      </c>
      <c r="S1269">
        <f t="shared" si="210"/>
        <v>2025</v>
      </c>
      <c r="T1269">
        <f t="shared" si="211"/>
        <v>9</v>
      </c>
      <c r="U1269" t="str">
        <f t="shared" si="212"/>
        <v>09</v>
      </c>
      <c r="V1269" t="str">
        <f t="shared" si="213"/>
        <v>202509</v>
      </c>
      <c r="W1269" t="str">
        <f t="shared" si="214"/>
        <v>Dec-25</v>
      </c>
      <c r="X1269" s="3">
        <f t="shared" si="215"/>
        <v>-4007.26</v>
      </c>
      <c r="Y1269" t="str">
        <f t="shared" si="206"/>
        <v/>
      </c>
      <c r="Z1269">
        <f t="shared" si="207"/>
        <v>-4007.26</v>
      </c>
    </row>
    <row r="1270" spans="1:26" x14ac:dyDescent="0.25">
      <c r="A1270" s="1">
        <v>45992</v>
      </c>
      <c r="B1270" t="s">
        <v>1697</v>
      </c>
      <c r="C1270" t="s">
        <v>17</v>
      </c>
      <c r="D1270" t="s">
        <v>22</v>
      </c>
      <c r="E1270">
        <v>450</v>
      </c>
      <c r="F1270">
        <v>0</v>
      </c>
      <c r="G1270">
        <v>18.899999999999999</v>
      </c>
      <c r="H1270">
        <v>8505</v>
      </c>
      <c r="I1270" t="s">
        <v>1707</v>
      </c>
      <c r="J1270">
        <v>0</v>
      </c>
      <c r="K1270">
        <v>3.02</v>
      </c>
      <c r="L1270">
        <v>0</v>
      </c>
      <c r="M1270">
        <v>0.01</v>
      </c>
      <c r="N1270">
        <v>174</v>
      </c>
      <c r="O1270">
        <v>31.88</v>
      </c>
      <c r="P1270">
        <v>208.91</v>
      </c>
      <c r="Q1270">
        <f t="shared" si="208"/>
        <v>2025</v>
      </c>
      <c r="R1270">
        <f t="shared" si="209"/>
        <v>12</v>
      </c>
      <c r="S1270">
        <f t="shared" si="210"/>
        <v>2025</v>
      </c>
      <c r="T1270">
        <f t="shared" si="211"/>
        <v>9</v>
      </c>
      <c r="U1270" t="str">
        <f t="shared" si="212"/>
        <v>09</v>
      </c>
      <c r="V1270" t="str">
        <f t="shared" si="213"/>
        <v>202509</v>
      </c>
      <c r="W1270" t="str">
        <f t="shared" si="214"/>
        <v>Dec-25</v>
      </c>
      <c r="X1270" s="3">
        <f t="shared" si="215"/>
        <v>-8713.91</v>
      </c>
      <c r="Y1270" t="str">
        <f t="shared" si="206"/>
        <v/>
      </c>
      <c r="Z1270">
        <f t="shared" si="207"/>
        <v>-8713.91</v>
      </c>
    </row>
    <row r="1271" spans="1:26" x14ac:dyDescent="0.25">
      <c r="A1271" s="1">
        <v>45993</v>
      </c>
      <c r="B1271" t="s">
        <v>1708</v>
      </c>
      <c r="C1271" t="s">
        <v>17</v>
      </c>
      <c r="D1271" t="s">
        <v>18</v>
      </c>
      <c r="E1271">
        <v>300</v>
      </c>
      <c r="F1271">
        <v>0</v>
      </c>
      <c r="G1271">
        <v>39.25</v>
      </c>
      <c r="H1271">
        <v>11775</v>
      </c>
      <c r="I1271" t="s">
        <v>1709</v>
      </c>
      <c r="J1271">
        <v>12</v>
      </c>
      <c r="K1271">
        <v>4.18</v>
      </c>
      <c r="L1271">
        <v>0</v>
      </c>
      <c r="M1271">
        <v>0.01</v>
      </c>
      <c r="N1271">
        <v>116</v>
      </c>
      <c r="O1271">
        <v>21.64</v>
      </c>
      <c r="P1271">
        <v>153.83000000000001</v>
      </c>
      <c r="Q1271">
        <f t="shared" si="208"/>
        <v>2025</v>
      </c>
      <c r="R1271">
        <f t="shared" si="209"/>
        <v>12</v>
      </c>
      <c r="S1271">
        <f t="shared" si="210"/>
        <v>2025</v>
      </c>
      <c r="T1271">
        <f t="shared" si="211"/>
        <v>9</v>
      </c>
      <c r="U1271" t="str">
        <f t="shared" si="212"/>
        <v>09</v>
      </c>
      <c r="V1271" t="str">
        <f t="shared" si="213"/>
        <v>202509</v>
      </c>
      <c r="W1271" t="str">
        <f t="shared" si="214"/>
        <v>Dec-25</v>
      </c>
      <c r="X1271" s="3">
        <f t="shared" si="215"/>
        <v>11621.17</v>
      </c>
      <c r="Y1271">
        <f t="shared" si="206"/>
        <v>11621.17</v>
      </c>
      <c r="Z1271" t="str">
        <f t="shared" si="207"/>
        <v/>
      </c>
    </row>
    <row r="1272" spans="1:26" x14ac:dyDescent="0.25">
      <c r="A1272" s="1">
        <v>45993</v>
      </c>
      <c r="B1272" t="s">
        <v>1708</v>
      </c>
      <c r="C1272" t="s">
        <v>17</v>
      </c>
      <c r="D1272" t="s">
        <v>22</v>
      </c>
      <c r="E1272">
        <v>225</v>
      </c>
      <c r="F1272">
        <v>0</v>
      </c>
      <c r="G1272">
        <v>30.1</v>
      </c>
      <c r="H1272">
        <v>6772.5</v>
      </c>
      <c r="I1272" t="s">
        <v>1710</v>
      </c>
      <c r="J1272">
        <v>0</v>
      </c>
      <c r="K1272">
        <v>2.41</v>
      </c>
      <c r="L1272">
        <v>0</v>
      </c>
      <c r="M1272">
        <v>0.01</v>
      </c>
      <c r="N1272">
        <v>87</v>
      </c>
      <c r="O1272">
        <v>16.100000000000001</v>
      </c>
      <c r="P1272">
        <v>105.52</v>
      </c>
      <c r="Q1272">
        <f t="shared" si="208"/>
        <v>2025</v>
      </c>
      <c r="R1272">
        <f t="shared" si="209"/>
        <v>12</v>
      </c>
      <c r="S1272">
        <f t="shared" si="210"/>
        <v>2025</v>
      </c>
      <c r="T1272">
        <f t="shared" si="211"/>
        <v>9</v>
      </c>
      <c r="U1272" t="str">
        <f t="shared" si="212"/>
        <v>09</v>
      </c>
      <c r="V1272" t="str">
        <f t="shared" si="213"/>
        <v>202509</v>
      </c>
      <c r="W1272" t="str">
        <f t="shared" si="214"/>
        <v>Dec-25</v>
      </c>
      <c r="X1272" s="3">
        <f t="shared" si="215"/>
        <v>-6878.02</v>
      </c>
      <c r="Y1272" t="str">
        <f t="shared" si="206"/>
        <v/>
      </c>
      <c r="Z1272">
        <f t="shared" si="207"/>
        <v>-6878.02</v>
      </c>
    </row>
    <row r="1273" spans="1:26" x14ac:dyDescent="0.25">
      <c r="A1273" s="1">
        <v>45993</v>
      </c>
      <c r="B1273" t="s">
        <v>1708</v>
      </c>
      <c r="C1273" t="s">
        <v>17</v>
      </c>
      <c r="D1273" t="s">
        <v>22</v>
      </c>
      <c r="E1273">
        <v>75</v>
      </c>
      <c r="F1273">
        <v>0</v>
      </c>
      <c r="G1273">
        <v>34</v>
      </c>
      <c r="H1273">
        <v>2550</v>
      </c>
      <c r="I1273" t="s">
        <v>1711</v>
      </c>
      <c r="J1273">
        <v>0</v>
      </c>
      <c r="K1273">
        <v>0.91</v>
      </c>
      <c r="L1273">
        <v>0</v>
      </c>
      <c r="M1273">
        <v>0</v>
      </c>
      <c r="N1273">
        <v>29</v>
      </c>
      <c r="O1273">
        <v>5.38</v>
      </c>
      <c r="P1273">
        <v>35.29</v>
      </c>
      <c r="Q1273">
        <f t="shared" si="208"/>
        <v>2025</v>
      </c>
      <c r="R1273">
        <f t="shared" si="209"/>
        <v>12</v>
      </c>
      <c r="S1273">
        <f t="shared" si="210"/>
        <v>2025</v>
      </c>
      <c r="T1273">
        <f t="shared" si="211"/>
        <v>9</v>
      </c>
      <c r="U1273" t="str">
        <f t="shared" si="212"/>
        <v>09</v>
      </c>
      <c r="V1273" t="str">
        <f t="shared" si="213"/>
        <v>202509</v>
      </c>
      <c r="W1273" t="str">
        <f t="shared" si="214"/>
        <v>Dec-25</v>
      </c>
      <c r="X1273" s="3">
        <f t="shared" si="215"/>
        <v>-2585.29</v>
      </c>
      <c r="Y1273" t="str">
        <f t="shared" si="206"/>
        <v/>
      </c>
      <c r="Z1273">
        <f t="shared" si="207"/>
        <v>-2585.29</v>
      </c>
    </row>
    <row r="1274" spans="1:26" x14ac:dyDescent="0.25">
      <c r="A1274" s="1">
        <v>45994</v>
      </c>
      <c r="B1274" t="s">
        <v>1712</v>
      </c>
      <c r="C1274" t="s">
        <v>17</v>
      </c>
      <c r="D1274" t="s">
        <v>22</v>
      </c>
      <c r="E1274">
        <v>75</v>
      </c>
      <c r="F1274">
        <v>0</v>
      </c>
      <c r="G1274">
        <v>123.6</v>
      </c>
      <c r="H1274">
        <v>9270</v>
      </c>
      <c r="I1274" t="s">
        <v>1713</v>
      </c>
      <c r="J1274">
        <v>0</v>
      </c>
      <c r="K1274">
        <v>3.29</v>
      </c>
      <c r="L1274">
        <v>0.28000000000000003</v>
      </c>
      <c r="M1274">
        <v>0.01</v>
      </c>
      <c r="N1274">
        <v>29</v>
      </c>
      <c r="O1274">
        <v>5.82</v>
      </c>
      <c r="P1274">
        <v>38.4</v>
      </c>
      <c r="Q1274">
        <f t="shared" si="208"/>
        <v>2025</v>
      </c>
      <c r="R1274">
        <f t="shared" si="209"/>
        <v>12</v>
      </c>
      <c r="S1274">
        <f t="shared" si="210"/>
        <v>2025</v>
      </c>
      <c r="T1274">
        <f t="shared" si="211"/>
        <v>9</v>
      </c>
      <c r="U1274" t="str">
        <f t="shared" si="212"/>
        <v>09</v>
      </c>
      <c r="V1274" t="str">
        <f t="shared" si="213"/>
        <v>202509</v>
      </c>
      <c r="W1274" t="str">
        <f t="shared" si="214"/>
        <v>Dec-25</v>
      </c>
      <c r="X1274" s="3">
        <f t="shared" si="215"/>
        <v>-9308.4</v>
      </c>
      <c r="Y1274" t="str">
        <f t="shared" si="206"/>
        <v/>
      </c>
      <c r="Z1274">
        <f t="shared" si="207"/>
        <v>-9308.4</v>
      </c>
    </row>
    <row r="1275" spans="1:26" x14ac:dyDescent="0.25">
      <c r="A1275" s="1">
        <v>45994</v>
      </c>
      <c r="B1275" t="s">
        <v>1714</v>
      </c>
      <c r="C1275" t="s">
        <v>17</v>
      </c>
      <c r="D1275" t="s">
        <v>18</v>
      </c>
      <c r="E1275">
        <v>75</v>
      </c>
      <c r="F1275">
        <v>0</v>
      </c>
      <c r="G1275">
        <v>149.9</v>
      </c>
      <c r="H1275">
        <v>11242.5</v>
      </c>
      <c r="I1275" t="s">
        <v>1715</v>
      </c>
      <c r="J1275">
        <v>11</v>
      </c>
      <c r="K1275">
        <v>3.99</v>
      </c>
      <c r="L1275">
        <v>0</v>
      </c>
      <c r="M1275">
        <v>0.01</v>
      </c>
      <c r="N1275">
        <v>29</v>
      </c>
      <c r="O1275">
        <v>5.94</v>
      </c>
      <c r="P1275">
        <v>49.94</v>
      </c>
      <c r="Q1275">
        <f t="shared" si="208"/>
        <v>2025</v>
      </c>
      <c r="R1275">
        <f t="shared" si="209"/>
        <v>12</v>
      </c>
      <c r="S1275">
        <f t="shared" si="210"/>
        <v>2025</v>
      </c>
      <c r="T1275">
        <f t="shared" si="211"/>
        <v>9</v>
      </c>
      <c r="U1275" t="str">
        <f t="shared" si="212"/>
        <v>09</v>
      </c>
      <c r="V1275" t="str">
        <f t="shared" si="213"/>
        <v>202509</v>
      </c>
      <c r="W1275" t="str">
        <f t="shared" si="214"/>
        <v>Dec-25</v>
      </c>
      <c r="X1275" s="3">
        <f t="shared" si="215"/>
        <v>11192.56</v>
      </c>
      <c r="Y1275">
        <f t="shared" si="206"/>
        <v>11192.56</v>
      </c>
      <c r="Z1275" t="str">
        <f t="shared" si="207"/>
        <v/>
      </c>
    </row>
    <row r="1276" spans="1:26" x14ac:dyDescent="0.25">
      <c r="A1276" s="1">
        <v>45994</v>
      </c>
      <c r="B1276" t="s">
        <v>1714</v>
      </c>
      <c r="C1276" t="s">
        <v>17</v>
      </c>
      <c r="D1276" t="s">
        <v>22</v>
      </c>
      <c r="E1276">
        <v>75</v>
      </c>
      <c r="F1276">
        <v>0</v>
      </c>
      <c r="G1276">
        <v>144</v>
      </c>
      <c r="H1276">
        <v>10800</v>
      </c>
      <c r="I1276" t="s">
        <v>1716</v>
      </c>
      <c r="J1276">
        <v>0</v>
      </c>
      <c r="K1276">
        <v>3.84</v>
      </c>
      <c r="L1276">
        <v>0.72</v>
      </c>
      <c r="M1276">
        <v>0.01</v>
      </c>
      <c r="N1276">
        <v>29</v>
      </c>
      <c r="O1276">
        <v>5.92</v>
      </c>
      <c r="P1276">
        <v>39.49</v>
      </c>
      <c r="Q1276">
        <f t="shared" si="208"/>
        <v>2025</v>
      </c>
      <c r="R1276">
        <f t="shared" si="209"/>
        <v>12</v>
      </c>
      <c r="S1276">
        <f t="shared" si="210"/>
        <v>2025</v>
      </c>
      <c r="T1276">
        <f t="shared" si="211"/>
        <v>9</v>
      </c>
      <c r="U1276" t="str">
        <f t="shared" si="212"/>
        <v>09</v>
      </c>
      <c r="V1276" t="str">
        <f t="shared" si="213"/>
        <v>202509</v>
      </c>
      <c r="W1276" t="str">
        <f t="shared" si="214"/>
        <v>Dec-25</v>
      </c>
      <c r="X1276" s="3">
        <f t="shared" si="215"/>
        <v>-10839.49</v>
      </c>
      <c r="Y1276" t="str">
        <f t="shared" si="206"/>
        <v/>
      </c>
      <c r="Z1276">
        <f t="shared" si="207"/>
        <v>-10839.49</v>
      </c>
    </row>
    <row r="1277" spans="1:26" x14ac:dyDescent="0.25">
      <c r="A1277" s="1">
        <v>45995</v>
      </c>
      <c r="B1277" t="s">
        <v>1712</v>
      </c>
      <c r="C1277" t="s">
        <v>17</v>
      </c>
      <c r="D1277" t="s">
        <v>18</v>
      </c>
      <c r="E1277">
        <v>75</v>
      </c>
      <c r="F1277">
        <v>0</v>
      </c>
      <c r="G1277">
        <v>63.95</v>
      </c>
      <c r="H1277">
        <v>4796.25</v>
      </c>
      <c r="I1277" t="s">
        <v>1717</v>
      </c>
      <c r="J1277">
        <v>5</v>
      </c>
      <c r="K1277">
        <v>1.7</v>
      </c>
      <c r="L1277">
        <v>0</v>
      </c>
      <c r="M1277">
        <v>0</v>
      </c>
      <c r="N1277">
        <v>29</v>
      </c>
      <c r="O1277">
        <v>5.52</v>
      </c>
      <c r="P1277">
        <v>41.22</v>
      </c>
      <c r="Q1277">
        <f t="shared" si="208"/>
        <v>2025</v>
      </c>
      <c r="R1277">
        <f t="shared" si="209"/>
        <v>12</v>
      </c>
      <c r="S1277">
        <f t="shared" si="210"/>
        <v>2025</v>
      </c>
      <c r="T1277">
        <f t="shared" si="211"/>
        <v>9</v>
      </c>
      <c r="U1277" t="str">
        <f t="shared" si="212"/>
        <v>09</v>
      </c>
      <c r="V1277" t="str">
        <f t="shared" si="213"/>
        <v>202509</v>
      </c>
      <c r="W1277" t="str">
        <f t="shared" si="214"/>
        <v>Dec-25</v>
      </c>
      <c r="X1277" s="3">
        <f t="shared" si="215"/>
        <v>4755.03</v>
      </c>
      <c r="Y1277">
        <f t="shared" si="206"/>
        <v>4755.03</v>
      </c>
      <c r="Z1277" t="str">
        <f t="shared" si="207"/>
        <v/>
      </c>
    </row>
    <row r="1278" spans="1:26" x14ac:dyDescent="0.25">
      <c r="A1278" s="1">
        <v>45996</v>
      </c>
      <c r="B1278" t="s">
        <v>1718</v>
      </c>
      <c r="C1278" t="s">
        <v>17</v>
      </c>
      <c r="D1278" t="s">
        <v>22</v>
      </c>
      <c r="E1278">
        <v>75</v>
      </c>
      <c r="F1278">
        <v>0</v>
      </c>
      <c r="G1278">
        <v>67.25</v>
      </c>
      <c r="H1278">
        <v>5043.75</v>
      </c>
      <c r="I1278" t="s">
        <v>1719</v>
      </c>
      <c r="J1278">
        <v>0</v>
      </c>
      <c r="K1278">
        <v>1.79</v>
      </c>
      <c r="L1278">
        <v>0</v>
      </c>
      <c r="M1278">
        <v>0.01</v>
      </c>
      <c r="N1278">
        <v>29</v>
      </c>
      <c r="O1278">
        <v>5.54</v>
      </c>
      <c r="P1278">
        <v>36.340000000000003</v>
      </c>
      <c r="Q1278">
        <f t="shared" si="208"/>
        <v>2025</v>
      </c>
      <c r="R1278">
        <f t="shared" si="209"/>
        <v>12</v>
      </c>
      <c r="S1278">
        <f t="shared" si="210"/>
        <v>2025</v>
      </c>
      <c r="T1278">
        <f t="shared" si="211"/>
        <v>9</v>
      </c>
      <c r="U1278" t="str">
        <f t="shared" si="212"/>
        <v>09</v>
      </c>
      <c r="V1278" t="str">
        <f t="shared" si="213"/>
        <v>202509</v>
      </c>
      <c r="W1278" t="str">
        <f t="shared" si="214"/>
        <v>Dec-25</v>
      </c>
      <c r="X1278" s="3">
        <f t="shared" si="215"/>
        <v>-5080.09</v>
      </c>
      <c r="Y1278" t="str">
        <f t="shared" si="206"/>
        <v/>
      </c>
      <c r="Z1278">
        <f t="shared" si="207"/>
        <v>-5080.09</v>
      </c>
    </row>
    <row r="1279" spans="1:26" x14ac:dyDescent="0.25">
      <c r="A1279" s="1">
        <v>45999</v>
      </c>
      <c r="B1279" t="s">
        <v>1718</v>
      </c>
      <c r="C1279" t="s">
        <v>17</v>
      </c>
      <c r="D1279" t="s">
        <v>18</v>
      </c>
      <c r="E1279">
        <v>75</v>
      </c>
      <c r="F1279">
        <v>0</v>
      </c>
      <c r="G1279">
        <v>77.25</v>
      </c>
      <c r="H1279">
        <v>5793.75</v>
      </c>
      <c r="I1279" t="s">
        <v>1720</v>
      </c>
      <c r="J1279">
        <v>6</v>
      </c>
      <c r="K1279">
        <v>2.06</v>
      </c>
      <c r="L1279">
        <v>0</v>
      </c>
      <c r="M1279">
        <v>0.01</v>
      </c>
      <c r="N1279">
        <v>29</v>
      </c>
      <c r="O1279">
        <v>5.6</v>
      </c>
      <c r="P1279">
        <v>42.67</v>
      </c>
      <c r="Q1279">
        <f t="shared" si="208"/>
        <v>2025</v>
      </c>
      <c r="R1279">
        <f t="shared" si="209"/>
        <v>12</v>
      </c>
      <c r="S1279">
        <f t="shared" si="210"/>
        <v>2025</v>
      </c>
      <c r="T1279">
        <f t="shared" si="211"/>
        <v>9</v>
      </c>
      <c r="U1279" t="str">
        <f t="shared" si="212"/>
        <v>09</v>
      </c>
      <c r="V1279" t="str">
        <f t="shared" si="213"/>
        <v>202509</v>
      </c>
      <c r="W1279" t="str">
        <f t="shared" si="214"/>
        <v>Dec-25</v>
      </c>
      <c r="X1279" s="3">
        <f t="shared" si="215"/>
        <v>5751.08</v>
      </c>
      <c r="Y1279">
        <f t="shared" si="206"/>
        <v>5751.08</v>
      </c>
      <c r="Z1279" t="str">
        <f t="shared" si="207"/>
        <v/>
      </c>
    </row>
    <row r="1280" spans="1:26" x14ac:dyDescent="0.25">
      <c r="A1280" s="1">
        <v>46002</v>
      </c>
      <c r="B1280" t="s">
        <v>1721</v>
      </c>
      <c r="C1280" t="s">
        <v>17</v>
      </c>
      <c r="D1280" t="s">
        <v>22</v>
      </c>
      <c r="E1280">
        <v>75</v>
      </c>
      <c r="F1280">
        <v>0</v>
      </c>
      <c r="G1280">
        <v>61.25</v>
      </c>
      <c r="H1280">
        <v>4593.75</v>
      </c>
      <c r="I1280" t="s">
        <v>1722</v>
      </c>
      <c r="J1280">
        <v>0</v>
      </c>
      <c r="K1280">
        <v>1.63</v>
      </c>
      <c r="L1280">
        <v>0</v>
      </c>
      <c r="M1280">
        <v>0</v>
      </c>
      <c r="N1280">
        <v>29</v>
      </c>
      <c r="O1280">
        <v>5.52</v>
      </c>
      <c r="P1280">
        <v>36.15</v>
      </c>
      <c r="Q1280">
        <f t="shared" si="208"/>
        <v>2025</v>
      </c>
      <c r="R1280">
        <f t="shared" si="209"/>
        <v>12</v>
      </c>
      <c r="S1280">
        <f t="shared" si="210"/>
        <v>2025</v>
      </c>
      <c r="T1280">
        <f t="shared" si="211"/>
        <v>9</v>
      </c>
      <c r="U1280" t="str">
        <f t="shared" si="212"/>
        <v>09</v>
      </c>
      <c r="V1280" t="str">
        <f t="shared" si="213"/>
        <v>202509</v>
      </c>
      <c r="W1280" t="str">
        <f t="shared" si="214"/>
        <v>Dec-25</v>
      </c>
      <c r="X1280" s="3">
        <f t="shared" si="215"/>
        <v>-4629.8999999999996</v>
      </c>
      <c r="Y1280" t="str">
        <f t="shared" si="206"/>
        <v/>
      </c>
      <c r="Z1280">
        <f t="shared" si="207"/>
        <v>-4629.8999999999996</v>
      </c>
    </row>
    <row r="1281" spans="1:26" x14ac:dyDescent="0.25">
      <c r="A1281" s="1">
        <v>46002</v>
      </c>
      <c r="B1281" t="s">
        <v>1721</v>
      </c>
      <c r="C1281" t="s">
        <v>17</v>
      </c>
      <c r="D1281" t="s">
        <v>22</v>
      </c>
      <c r="E1281">
        <v>75</v>
      </c>
      <c r="F1281">
        <v>0</v>
      </c>
      <c r="G1281">
        <v>82.25</v>
      </c>
      <c r="H1281">
        <v>6168.75</v>
      </c>
      <c r="I1281" t="s">
        <v>1723</v>
      </c>
      <c r="J1281">
        <v>0</v>
      </c>
      <c r="K1281">
        <v>2.19</v>
      </c>
      <c r="L1281">
        <v>0</v>
      </c>
      <c r="M1281">
        <v>0.01</v>
      </c>
      <c r="N1281">
        <v>29</v>
      </c>
      <c r="O1281">
        <v>5.62</v>
      </c>
      <c r="P1281">
        <v>36.82</v>
      </c>
      <c r="Q1281">
        <f t="shared" si="208"/>
        <v>2025</v>
      </c>
      <c r="R1281">
        <f t="shared" si="209"/>
        <v>12</v>
      </c>
      <c r="S1281">
        <f t="shared" si="210"/>
        <v>2025</v>
      </c>
      <c r="T1281">
        <f t="shared" si="211"/>
        <v>9</v>
      </c>
      <c r="U1281" t="str">
        <f t="shared" si="212"/>
        <v>09</v>
      </c>
      <c r="V1281" t="str">
        <f t="shared" si="213"/>
        <v>202509</v>
      </c>
      <c r="W1281" t="str">
        <f t="shared" si="214"/>
        <v>Dec-25</v>
      </c>
      <c r="X1281" s="3">
        <f t="shared" si="215"/>
        <v>-6205.57</v>
      </c>
      <c r="Y1281" t="str">
        <f t="shared" si="206"/>
        <v/>
      </c>
      <c r="Z1281">
        <f t="shared" si="207"/>
        <v>-6205.57</v>
      </c>
    </row>
    <row r="1282" spans="1:26" x14ac:dyDescent="0.25">
      <c r="A1282" s="1">
        <v>46003</v>
      </c>
      <c r="B1282" t="s">
        <v>1721</v>
      </c>
      <c r="C1282" t="s">
        <v>17</v>
      </c>
      <c r="D1282" t="s">
        <v>18</v>
      </c>
      <c r="E1282">
        <v>750</v>
      </c>
      <c r="F1282">
        <v>0</v>
      </c>
      <c r="G1282">
        <v>13</v>
      </c>
      <c r="H1282">
        <v>9750</v>
      </c>
      <c r="I1282" t="s">
        <v>1724</v>
      </c>
      <c r="J1282">
        <v>10</v>
      </c>
      <c r="K1282">
        <v>3.46</v>
      </c>
      <c r="L1282">
        <v>0</v>
      </c>
      <c r="M1282">
        <v>0.01</v>
      </c>
      <c r="N1282">
        <v>290</v>
      </c>
      <c r="O1282">
        <v>52.82</v>
      </c>
      <c r="P1282">
        <v>356.29</v>
      </c>
      <c r="Q1282">
        <f t="shared" si="208"/>
        <v>2025</v>
      </c>
      <c r="R1282">
        <f t="shared" si="209"/>
        <v>12</v>
      </c>
      <c r="S1282">
        <f t="shared" si="210"/>
        <v>2025</v>
      </c>
      <c r="T1282">
        <f t="shared" si="211"/>
        <v>9</v>
      </c>
      <c r="U1282" t="str">
        <f t="shared" si="212"/>
        <v>09</v>
      </c>
      <c r="V1282" t="str">
        <f t="shared" si="213"/>
        <v>202509</v>
      </c>
      <c r="W1282" t="str">
        <f t="shared" si="214"/>
        <v>Dec-25</v>
      </c>
      <c r="X1282" s="3">
        <f t="shared" si="215"/>
        <v>9393.7099999999991</v>
      </c>
      <c r="Y1282">
        <f t="shared" si="206"/>
        <v>9393.7099999999991</v>
      </c>
      <c r="Z1282" t="str">
        <f t="shared" si="207"/>
        <v/>
      </c>
    </row>
    <row r="1283" spans="1:26" x14ac:dyDescent="0.25">
      <c r="A1283" s="1">
        <v>46003</v>
      </c>
      <c r="B1283" t="s">
        <v>1721</v>
      </c>
      <c r="C1283" t="s">
        <v>17</v>
      </c>
      <c r="D1283" t="s">
        <v>22</v>
      </c>
      <c r="E1283">
        <v>150</v>
      </c>
      <c r="F1283">
        <v>0</v>
      </c>
      <c r="G1283">
        <v>18.100000000000001</v>
      </c>
      <c r="H1283">
        <v>2715</v>
      </c>
      <c r="I1283" t="s">
        <v>1725</v>
      </c>
      <c r="J1283">
        <v>0</v>
      </c>
      <c r="K1283">
        <v>0.96</v>
      </c>
      <c r="L1283">
        <v>0</v>
      </c>
      <c r="M1283">
        <v>0</v>
      </c>
      <c r="N1283">
        <v>58</v>
      </c>
      <c r="O1283">
        <v>10.62</v>
      </c>
      <c r="P1283">
        <v>69.58</v>
      </c>
      <c r="Q1283">
        <f t="shared" si="208"/>
        <v>2025</v>
      </c>
      <c r="R1283">
        <f t="shared" si="209"/>
        <v>12</v>
      </c>
      <c r="S1283">
        <f t="shared" si="210"/>
        <v>2025</v>
      </c>
      <c r="T1283">
        <f t="shared" si="211"/>
        <v>9</v>
      </c>
      <c r="U1283" t="str">
        <f t="shared" si="212"/>
        <v>09</v>
      </c>
      <c r="V1283" t="str">
        <f t="shared" si="213"/>
        <v>202509</v>
      </c>
      <c r="W1283" t="str">
        <f t="shared" si="214"/>
        <v>Dec-25</v>
      </c>
      <c r="X1283" s="3">
        <f t="shared" si="215"/>
        <v>-2784.58</v>
      </c>
      <c r="Y1283" t="str">
        <f t="shared" ref="Y1283:Y1346" si="216">IF(X1283&gt;0,X1283,"")</f>
        <v/>
      </c>
      <c r="Z1283">
        <f t="shared" ref="Z1283:Z1346" si="217">IF(X1283&lt;0,X1283,"")</f>
        <v>-2784.58</v>
      </c>
    </row>
    <row r="1284" spans="1:26" x14ac:dyDescent="0.25">
      <c r="A1284" s="1">
        <v>46003</v>
      </c>
      <c r="B1284" t="s">
        <v>1721</v>
      </c>
      <c r="C1284" t="s">
        <v>17</v>
      </c>
      <c r="D1284" t="s">
        <v>22</v>
      </c>
      <c r="E1284">
        <v>150</v>
      </c>
      <c r="F1284">
        <v>0</v>
      </c>
      <c r="G1284">
        <v>19.25</v>
      </c>
      <c r="H1284">
        <v>2887.5</v>
      </c>
      <c r="I1284" t="s">
        <v>1726</v>
      </c>
      <c r="J1284">
        <v>0</v>
      </c>
      <c r="K1284">
        <v>1.02</v>
      </c>
      <c r="L1284">
        <v>0</v>
      </c>
      <c r="M1284">
        <v>0</v>
      </c>
      <c r="N1284">
        <v>58</v>
      </c>
      <c r="O1284">
        <v>10.64</v>
      </c>
      <c r="P1284">
        <v>69.66</v>
      </c>
      <c r="Q1284">
        <f t="shared" si="208"/>
        <v>2025</v>
      </c>
      <c r="R1284">
        <f t="shared" si="209"/>
        <v>12</v>
      </c>
      <c r="S1284">
        <f t="shared" si="210"/>
        <v>2025</v>
      </c>
      <c r="T1284">
        <f t="shared" si="211"/>
        <v>9</v>
      </c>
      <c r="U1284" t="str">
        <f t="shared" si="212"/>
        <v>09</v>
      </c>
      <c r="V1284" t="str">
        <f t="shared" si="213"/>
        <v>202509</v>
      </c>
      <c r="W1284" t="str">
        <f t="shared" si="214"/>
        <v>Dec-25</v>
      </c>
      <c r="X1284" s="3">
        <f t="shared" si="215"/>
        <v>-2957.16</v>
      </c>
      <c r="Y1284" t="str">
        <f t="shared" si="216"/>
        <v/>
      </c>
      <c r="Z1284">
        <f t="shared" si="217"/>
        <v>-2957.16</v>
      </c>
    </row>
    <row r="1285" spans="1:26" x14ac:dyDescent="0.25">
      <c r="A1285" s="1">
        <v>46003</v>
      </c>
      <c r="B1285" t="s">
        <v>1721</v>
      </c>
      <c r="C1285" t="s">
        <v>17</v>
      </c>
      <c r="D1285" t="s">
        <v>22</v>
      </c>
      <c r="E1285">
        <v>150</v>
      </c>
      <c r="F1285">
        <v>0</v>
      </c>
      <c r="G1285">
        <v>21.25</v>
      </c>
      <c r="H1285">
        <v>3187.5</v>
      </c>
      <c r="I1285" t="s">
        <v>1727</v>
      </c>
      <c r="J1285">
        <v>0</v>
      </c>
      <c r="K1285">
        <v>1.1299999999999999</v>
      </c>
      <c r="L1285">
        <v>0</v>
      </c>
      <c r="M1285">
        <v>0</v>
      </c>
      <c r="N1285">
        <v>58</v>
      </c>
      <c r="O1285">
        <v>10.64</v>
      </c>
      <c r="P1285">
        <v>69.77</v>
      </c>
      <c r="Q1285">
        <f t="shared" si="208"/>
        <v>2025</v>
      </c>
      <c r="R1285">
        <f t="shared" si="209"/>
        <v>12</v>
      </c>
      <c r="S1285">
        <f t="shared" si="210"/>
        <v>2025</v>
      </c>
      <c r="T1285">
        <f t="shared" si="211"/>
        <v>9</v>
      </c>
      <c r="U1285" t="str">
        <f t="shared" si="212"/>
        <v>09</v>
      </c>
      <c r="V1285" t="str">
        <f t="shared" si="213"/>
        <v>202509</v>
      </c>
      <c r="W1285" t="str">
        <f t="shared" si="214"/>
        <v>Dec-25</v>
      </c>
      <c r="X1285" s="3">
        <f t="shared" si="215"/>
        <v>-3257.27</v>
      </c>
      <c r="Y1285" t="str">
        <f t="shared" si="216"/>
        <v/>
      </c>
      <c r="Z1285">
        <f t="shared" si="217"/>
        <v>-3257.27</v>
      </c>
    </row>
    <row r="1286" spans="1:26" x14ac:dyDescent="0.25">
      <c r="A1286" s="1">
        <v>46003</v>
      </c>
      <c r="B1286" t="s">
        <v>1721</v>
      </c>
      <c r="C1286" t="s">
        <v>17</v>
      </c>
      <c r="D1286" t="s">
        <v>22</v>
      </c>
      <c r="E1286">
        <v>75</v>
      </c>
      <c r="F1286">
        <v>0</v>
      </c>
      <c r="G1286">
        <v>21.25</v>
      </c>
      <c r="H1286">
        <v>1593.75</v>
      </c>
      <c r="I1286" t="s">
        <v>1728</v>
      </c>
      <c r="J1286">
        <v>0</v>
      </c>
      <c r="K1286">
        <v>0.56999999999999995</v>
      </c>
      <c r="L1286">
        <v>0</v>
      </c>
      <c r="M1286">
        <v>0</v>
      </c>
      <c r="N1286">
        <v>29</v>
      </c>
      <c r="O1286">
        <v>5.32</v>
      </c>
      <c r="P1286">
        <v>34.89</v>
      </c>
      <c r="Q1286">
        <f t="shared" si="208"/>
        <v>2025</v>
      </c>
      <c r="R1286">
        <f t="shared" si="209"/>
        <v>12</v>
      </c>
      <c r="S1286">
        <f t="shared" si="210"/>
        <v>2025</v>
      </c>
      <c r="T1286">
        <f t="shared" si="211"/>
        <v>9</v>
      </c>
      <c r="U1286" t="str">
        <f t="shared" si="212"/>
        <v>09</v>
      </c>
      <c r="V1286" t="str">
        <f t="shared" si="213"/>
        <v>202509</v>
      </c>
      <c r="W1286" t="str">
        <f t="shared" si="214"/>
        <v>Dec-25</v>
      </c>
      <c r="X1286" s="3">
        <f t="shared" si="215"/>
        <v>-1628.64</v>
      </c>
      <c r="Y1286" t="str">
        <f t="shared" si="216"/>
        <v/>
      </c>
      <c r="Z1286">
        <f t="shared" si="217"/>
        <v>-1628.64</v>
      </c>
    </row>
    <row r="1287" spans="1:26" x14ac:dyDescent="0.25">
      <c r="A1287" s="1">
        <v>46003</v>
      </c>
      <c r="B1287" t="s">
        <v>1721</v>
      </c>
      <c r="C1287" t="s">
        <v>17</v>
      </c>
      <c r="D1287" t="s">
        <v>22</v>
      </c>
      <c r="E1287">
        <v>75</v>
      </c>
      <c r="F1287">
        <v>0</v>
      </c>
      <c r="G1287">
        <v>29.1</v>
      </c>
      <c r="H1287">
        <v>2182.5</v>
      </c>
      <c r="I1287" t="s">
        <v>1729</v>
      </c>
      <c r="J1287">
        <v>0</v>
      </c>
      <c r="K1287">
        <v>0.78</v>
      </c>
      <c r="L1287">
        <v>0</v>
      </c>
      <c r="M1287">
        <v>0</v>
      </c>
      <c r="N1287">
        <v>29</v>
      </c>
      <c r="O1287">
        <v>5.36</v>
      </c>
      <c r="P1287">
        <v>35.14</v>
      </c>
      <c r="Q1287">
        <f t="shared" si="208"/>
        <v>2025</v>
      </c>
      <c r="R1287">
        <f t="shared" si="209"/>
        <v>12</v>
      </c>
      <c r="S1287">
        <f t="shared" si="210"/>
        <v>2025</v>
      </c>
      <c r="T1287">
        <f t="shared" si="211"/>
        <v>9</v>
      </c>
      <c r="U1287" t="str">
        <f t="shared" si="212"/>
        <v>09</v>
      </c>
      <c r="V1287" t="str">
        <f t="shared" si="213"/>
        <v>202509</v>
      </c>
      <c r="W1287" t="str">
        <f t="shared" si="214"/>
        <v>Dec-25</v>
      </c>
      <c r="X1287" s="3">
        <f t="shared" si="215"/>
        <v>-2217.64</v>
      </c>
      <c r="Y1287" t="str">
        <f t="shared" si="216"/>
        <v/>
      </c>
      <c r="Z1287">
        <f t="shared" si="217"/>
        <v>-2217.64</v>
      </c>
    </row>
    <row r="1288" spans="1:26" x14ac:dyDescent="0.25">
      <c r="A1288" s="1">
        <v>46035</v>
      </c>
      <c r="B1288" t="s">
        <v>1730</v>
      </c>
      <c r="C1288" t="s">
        <v>17</v>
      </c>
      <c r="D1288" t="s">
        <v>22</v>
      </c>
      <c r="E1288">
        <v>65</v>
      </c>
      <c r="F1288">
        <v>0</v>
      </c>
      <c r="G1288">
        <v>67.25</v>
      </c>
      <c r="H1288">
        <v>4371.25</v>
      </c>
      <c r="I1288" t="s">
        <v>1731</v>
      </c>
      <c r="J1288">
        <v>0</v>
      </c>
      <c r="K1288">
        <v>1.55</v>
      </c>
      <c r="L1288">
        <v>0</v>
      </c>
      <c r="M1288">
        <v>0</v>
      </c>
      <c r="N1288">
        <v>29</v>
      </c>
      <c r="O1288">
        <v>5.5</v>
      </c>
      <c r="P1288">
        <v>36.049999999999997</v>
      </c>
      <c r="Q1288">
        <f t="shared" si="208"/>
        <v>2026</v>
      </c>
      <c r="R1288">
        <f t="shared" si="209"/>
        <v>1</v>
      </c>
      <c r="S1288">
        <f t="shared" si="210"/>
        <v>2025</v>
      </c>
      <c r="T1288">
        <f t="shared" si="211"/>
        <v>10</v>
      </c>
      <c r="U1288">
        <f t="shared" si="212"/>
        <v>10</v>
      </c>
      <c r="V1288" t="str">
        <f t="shared" si="213"/>
        <v>202510</v>
      </c>
      <c r="W1288" t="str">
        <f t="shared" si="214"/>
        <v>Jan-26</v>
      </c>
      <c r="X1288" s="3">
        <f t="shared" si="215"/>
        <v>-4407.3</v>
      </c>
      <c r="Y1288" t="str">
        <f t="shared" si="216"/>
        <v/>
      </c>
      <c r="Z1288">
        <f t="shared" si="217"/>
        <v>-4407.3</v>
      </c>
    </row>
    <row r="1289" spans="1:26" x14ac:dyDescent="0.25">
      <c r="A1289" s="1">
        <v>46041</v>
      </c>
      <c r="B1289" t="s">
        <v>1730</v>
      </c>
      <c r="C1289" t="s">
        <v>17</v>
      </c>
      <c r="D1289" t="s">
        <v>18</v>
      </c>
      <c r="E1289">
        <v>65</v>
      </c>
      <c r="F1289">
        <v>0</v>
      </c>
      <c r="G1289">
        <v>4.4000000000000004</v>
      </c>
      <c r="H1289">
        <v>286</v>
      </c>
      <c r="I1289" t="s">
        <v>1732</v>
      </c>
      <c r="J1289">
        <v>0</v>
      </c>
      <c r="K1289">
        <v>0.1</v>
      </c>
      <c r="L1289">
        <v>0</v>
      </c>
      <c r="M1289">
        <v>0</v>
      </c>
      <c r="N1289">
        <v>29</v>
      </c>
      <c r="O1289">
        <v>5.24</v>
      </c>
      <c r="P1289">
        <v>34.340000000000003</v>
      </c>
      <c r="Q1289">
        <f t="shared" si="208"/>
        <v>2026</v>
      </c>
      <c r="R1289">
        <f t="shared" si="209"/>
        <v>1</v>
      </c>
      <c r="S1289">
        <f t="shared" si="210"/>
        <v>2025</v>
      </c>
      <c r="T1289">
        <f t="shared" si="211"/>
        <v>10</v>
      </c>
      <c r="U1289">
        <f t="shared" si="212"/>
        <v>10</v>
      </c>
      <c r="V1289" t="str">
        <f t="shared" si="213"/>
        <v>202510</v>
      </c>
      <c r="W1289" t="str">
        <f t="shared" si="214"/>
        <v>Jan-26</v>
      </c>
      <c r="X1289" s="3">
        <f t="shared" si="215"/>
        <v>251.66</v>
      </c>
      <c r="Y1289">
        <f t="shared" si="216"/>
        <v>251.66</v>
      </c>
      <c r="Z1289" t="str">
        <f t="shared" si="217"/>
        <v/>
      </c>
    </row>
    <row r="1290" spans="1:26" x14ac:dyDescent="0.25">
      <c r="A1290" s="1">
        <v>46049</v>
      </c>
      <c r="B1290" t="s">
        <v>1733</v>
      </c>
      <c r="C1290" t="s">
        <v>17</v>
      </c>
      <c r="D1290" t="s">
        <v>18</v>
      </c>
      <c r="E1290">
        <v>130</v>
      </c>
      <c r="F1290">
        <v>0</v>
      </c>
      <c r="G1290">
        <v>89.9</v>
      </c>
      <c r="H1290">
        <v>11687</v>
      </c>
      <c r="I1290" t="s">
        <v>1734</v>
      </c>
      <c r="J1290">
        <v>11.69</v>
      </c>
      <c r="K1290">
        <v>4.1500000000000004</v>
      </c>
      <c r="L1290">
        <v>0</v>
      </c>
      <c r="M1290">
        <v>0.01</v>
      </c>
      <c r="N1290">
        <v>58</v>
      </c>
      <c r="O1290">
        <v>11.18</v>
      </c>
      <c r="P1290">
        <v>85.03</v>
      </c>
      <c r="Q1290">
        <f t="shared" si="208"/>
        <v>2026</v>
      </c>
      <c r="R1290">
        <f t="shared" si="209"/>
        <v>1</v>
      </c>
      <c r="S1290">
        <f t="shared" si="210"/>
        <v>2025</v>
      </c>
      <c r="T1290">
        <f t="shared" si="211"/>
        <v>10</v>
      </c>
      <c r="U1290">
        <f t="shared" si="212"/>
        <v>10</v>
      </c>
      <c r="V1290" t="str">
        <f t="shared" si="213"/>
        <v>202510</v>
      </c>
      <c r="W1290" t="str">
        <f t="shared" si="214"/>
        <v>Jan-26</v>
      </c>
      <c r="X1290" s="3">
        <f t="shared" si="215"/>
        <v>11601.97</v>
      </c>
      <c r="Y1290">
        <f t="shared" si="216"/>
        <v>11601.97</v>
      </c>
      <c r="Z1290" t="str">
        <f t="shared" si="217"/>
        <v/>
      </c>
    </row>
    <row r="1291" spans="1:26" x14ac:dyDescent="0.25">
      <c r="A1291" s="1">
        <v>46049</v>
      </c>
      <c r="B1291" t="s">
        <v>1733</v>
      </c>
      <c r="C1291" t="s">
        <v>17</v>
      </c>
      <c r="D1291" t="s">
        <v>22</v>
      </c>
      <c r="E1291">
        <v>65</v>
      </c>
      <c r="F1291">
        <v>0</v>
      </c>
      <c r="G1291">
        <v>82</v>
      </c>
      <c r="H1291">
        <v>5330</v>
      </c>
      <c r="I1291" t="s">
        <v>1735</v>
      </c>
      <c r="J1291">
        <v>0</v>
      </c>
      <c r="K1291">
        <v>1.89</v>
      </c>
      <c r="L1291">
        <v>0.34</v>
      </c>
      <c r="M1291">
        <v>0.01</v>
      </c>
      <c r="N1291">
        <v>29</v>
      </c>
      <c r="O1291">
        <v>5.56</v>
      </c>
      <c r="P1291">
        <v>36.799999999999997</v>
      </c>
      <c r="Q1291">
        <f t="shared" si="208"/>
        <v>2026</v>
      </c>
      <c r="R1291">
        <f t="shared" si="209"/>
        <v>1</v>
      </c>
      <c r="S1291">
        <f t="shared" si="210"/>
        <v>2025</v>
      </c>
      <c r="T1291">
        <f t="shared" si="211"/>
        <v>10</v>
      </c>
      <c r="U1291">
        <f t="shared" si="212"/>
        <v>10</v>
      </c>
      <c r="V1291" t="str">
        <f t="shared" si="213"/>
        <v>202510</v>
      </c>
      <c r="W1291" t="str">
        <f t="shared" si="214"/>
        <v>Jan-26</v>
      </c>
      <c r="X1291" s="3">
        <f t="shared" si="215"/>
        <v>-5366.8</v>
      </c>
      <c r="Y1291" t="str">
        <f t="shared" si="216"/>
        <v/>
      </c>
      <c r="Z1291">
        <f t="shared" si="217"/>
        <v>-5366.8</v>
      </c>
    </row>
    <row r="1292" spans="1:26" x14ac:dyDescent="0.25">
      <c r="A1292" s="1">
        <v>46049</v>
      </c>
      <c r="B1292" t="s">
        <v>1733</v>
      </c>
      <c r="C1292" t="s">
        <v>17</v>
      </c>
      <c r="D1292" t="s">
        <v>22</v>
      </c>
      <c r="E1292">
        <v>65</v>
      </c>
      <c r="F1292">
        <v>0</v>
      </c>
      <c r="G1292">
        <v>91</v>
      </c>
      <c r="H1292">
        <v>5915</v>
      </c>
      <c r="I1292" t="s">
        <v>1736</v>
      </c>
      <c r="J1292">
        <v>0</v>
      </c>
      <c r="K1292">
        <v>2.1</v>
      </c>
      <c r="L1292">
        <v>0</v>
      </c>
      <c r="M1292">
        <v>0.01</v>
      </c>
      <c r="N1292">
        <v>29</v>
      </c>
      <c r="O1292">
        <v>5.6</v>
      </c>
      <c r="P1292">
        <v>36.71</v>
      </c>
      <c r="Q1292">
        <f t="shared" si="208"/>
        <v>2026</v>
      </c>
      <c r="R1292">
        <f t="shared" si="209"/>
        <v>1</v>
      </c>
      <c r="S1292">
        <f t="shared" si="210"/>
        <v>2025</v>
      </c>
      <c r="T1292">
        <f t="shared" si="211"/>
        <v>10</v>
      </c>
      <c r="U1292">
        <f t="shared" si="212"/>
        <v>10</v>
      </c>
      <c r="V1292" t="str">
        <f t="shared" si="213"/>
        <v>202510</v>
      </c>
      <c r="W1292" t="str">
        <f t="shared" si="214"/>
        <v>Jan-26</v>
      </c>
      <c r="X1292" s="3">
        <f t="shared" si="215"/>
        <v>-5951.71</v>
      </c>
      <c r="Y1292" t="str">
        <f t="shared" si="216"/>
        <v/>
      </c>
      <c r="Z1292">
        <f t="shared" si="217"/>
        <v>-5951.71</v>
      </c>
    </row>
    <row r="1293" spans="1:26" x14ac:dyDescent="0.25">
      <c r="A1293" s="1">
        <v>46049</v>
      </c>
      <c r="B1293" t="s">
        <v>1737</v>
      </c>
      <c r="C1293" t="s">
        <v>17</v>
      </c>
      <c r="D1293" t="s">
        <v>18</v>
      </c>
      <c r="E1293">
        <v>65</v>
      </c>
      <c r="F1293">
        <v>0</v>
      </c>
      <c r="G1293">
        <v>195.25</v>
      </c>
      <c r="H1293">
        <v>12691.25</v>
      </c>
      <c r="I1293" t="s">
        <v>1738</v>
      </c>
      <c r="J1293">
        <v>12.69</v>
      </c>
      <c r="K1293">
        <v>4.51</v>
      </c>
      <c r="L1293">
        <v>0</v>
      </c>
      <c r="M1293">
        <v>0.01</v>
      </c>
      <c r="N1293">
        <v>29</v>
      </c>
      <c r="O1293">
        <v>6.04</v>
      </c>
      <c r="P1293">
        <v>52.25</v>
      </c>
      <c r="Q1293">
        <f t="shared" si="208"/>
        <v>2026</v>
      </c>
      <c r="R1293">
        <f t="shared" si="209"/>
        <v>1</v>
      </c>
      <c r="S1293">
        <f t="shared" si="210"/>
        <v>2025</v>
      </c>
      <c r="T1293">
        <f t="shared" si="211"/>
        <v>10</v>
      </c>
      <c r="U1293">
        <f t="shared" si="212"/>
        <v>10</v>
      </c>
      <c r="V1293" t="str">
        <f t="shared" si="213"/>
        <v>202510</v>
      </c>
      <c r="W1293" t="str">
        <f t="shared" si="214"/>
        <v>Jan-26</v>
      </c>
      <c r="X1293" s="3">
        <f t="shared" si="215"/>
        <v>12639</v>
      </c>
      <c r="Y1293">
        <f t="shared" si="216"/>
        <v>12639</v>
      </c>
      <c r="Z1293" t="str">
        <f t="shared" si="217"/>
        <v/>
      </c>
    </row>
    <row r="1294" spans="1:26" x14ac:dyDescent="0.25">
      <c r="A1294" s="1">
        <v>46049</v>
      </c>
      <c r="B1294" t="s">
        <v>1737</v>
      </c>
      <c r="C1294" t="s">
        <v>17</v>
      </c>
      <c r="D1294" t="s">
        <v>18</v>
      </c>
      <c r="E1294">
        <v>65</v>
      </c>
      <c r="F1294">
        <v>0</v>
      </c>
      <c r="G1294">
        <v>181.25</v>
      </c>
      <c r="H1294">
        <v>11781.25</v>
      </c>
      <c r="I1294" t="s">
        <v>1739</v>
      </c>
      <c r="J1294">
        <v>11.62</v>
      </c>
      <c r="K1294">
        <v>4.1900000000000004</v>
      </c>
      <c r="L1294">
        <v>0</v>
      </c>
      <c r="M1294">
        <v>0.01</v>
      </c>
      <c r="N1294">
        <v>29</v>
      </c>
      <c r="O1294">
        <v>5.98</v>
      </c>
      <c r="P1294">
        <v>50.8</v>
      </c>
      <c r="Q1294">
        <f t="shared" si="208"/>
        <v>2026</v>
      </c>
      <c r="R1294">
        <f t="shared" si="209"/>
        <v>1</v>
      </c>
      <c r="S1294">
        <f t="shared" si="210"/>
        <v>2025</v>
      </c>
      <c r="T1294">
        <f t="shared" si="211"/>
        <v>10</v>
      </c>
      <c r="U1294">
        <f t="shared" si="212"/>
        <v>10</v>
      </c>
      <c r="V1294" t="str">
        <f t="shared" si="213"/>
        <v>202510</v>
      </c>
      <c r="W1294" t="str">
        <f t="shared" si="214"/>
        <v>Jan-26</v>
      </c>
      <c r="X1294" s="3">
        <f t="shared" si="215"/>
        <v>11730.45</v>
      </c>
      <c r="Y1294">
        <f t="shared" si="216"/>
        <v>11730.45</v>
      </c>
      <c r="Z1294" t="str">
        <f t="shared" si="217"/>
        <v/>
      </c>
    </row>
    <row r="1295" spans="1:26" x14ac:dyDescent="0.25">
      <c r="A1295" s="1">
        <v>46049</v>
      </c>
      <c r="B1295" t="s">
        <v>1737</v>
      </c>
      <c r="C1295" t="s">
        <v>17</v>
      </c>
      <c r="D1295" t="s">
        <v>22</v>
      </c>
      <c r="E1295">
        <v>65</v>
      </c>
      <c r="F1295">
        <v>0</v>
      </c>
      <c r="G1295">
        <v>191.25</v>
      </c>
      <c r="H1295">
        <v>12431.25</v>
      </c>
      <c r="I1295" t="s">
        <v>1740</v>
      </c>
      <c r="J1295">
        <v>0</v>
      </c>
      <c r="K1295">
        <v>4.42</v>
      </c>
      <c r="L1295">
        <v>0</v>
      </c>
      <c r="M1295">
        <v>0.01</v>
      </c>
      <c r="N1295">
        <v>29</v>
      </c>
      <c r="O1295">
        <v>6.02</v>
      </c>
      <c r="P1295">
        <v>39.450000000000003</v>
      </c>
      <c r="Q1295">
        <f t="shared" si="208"/>
        <v>2026</v>
      </c>
      <c r="R1295">
        <f t="shared" si="209"/>
        <v>1</v>
      </c>
      <c r="S1295">
        <f t="shared" si="210"/>
        <v>2025</v>
      </c>
      <c r="T1295">
        <f t="shared" si="211"/>
        <v>10</v>
      </c>
      <c r="U1295">
        <f t="shared" si="212"/>
        <v>10</v>
      </c>
      <c r="V1295" t="str">
        <f t="shared" si="213"/>
        <v>202510</v>
      </c>
      <c r="W1295" t="str">
        <f t="shared" si="214"/>
        <v>Jan-26</v>
      </c>
      <c r="X1295" s="3">
        <f t="shared" si="215"/>
        <v>-12470.7</v>
      </c>
      <c r="Y1295" t="str">
        <f t="shared" si="216"/>
        <v/>
      </c>
      <c r="Z1295">
        <f t="shared" si="217"/>
        <v>-12470.7</v>
      </c>
    </row>
    <row r="1296" spans="1:26" x14ac:dyDescent="0.25">
      <c r="A1296" s="1">
        <v>46049</v>
      </c>
      <c r="B1296" t="s">
        <v>1737</v>
      </c>
      <c r="C1296" t="s">
        <v>17</v>
      </c>
      <c r="D1296" t="s">
        <v>22</v>
      </c>
      <c r="E1296">
        <v>65</v>
      </c>
      <c r="F1296">
        <v>0</v>
      </c>
      <c r="G1296">
        <v>109.3</v>
      </c>
      <c r="H1296">
        <v>7104.5</v>
      </c>
      <c r="I1296" t="s">
        <v>1741</v>
      </c>
      <c r="J1296">
        <v>0</v>
      </c>
      <c r="K1296">
        <v>2.52</v>
      </c>
      <c r="L1296">
        <v>0.66</v>
      </c>
      <c r="M1296">
        <v>0.01</v>
      </c>
      <c r="N1296">
        <v>29</v>
      </c>
      <c r="O1296">
        <v>5.68</v>
      </c>
      <c r="P1296">
        <v>37.869999999999997</v>
      </c>
      <c r="Q1296">
        <f t="shared" si="208"/>
        <v>2026</v>
      </c>
      <c r="R1296">
        <f t="shared" si="209"/>
        <v>1</v>
      </c>
      <c r="S1296">
        <f t="shared" si="210"/>
        <v>2025</v>
      </c>
      <c r="T1296">
        <f t="shared" si="211"/>
        <v>10</v>
      </c>
      <c r="U1296">
        <f t="shared" si="212"/>
        <v>10</v>
      </c>
      <c r="V1296" t="str">
        <f t="shared" si="213"/>
        <v>202510</v>
      </c>
      <c r="W1296" t="str">
        <f t="shared" si="214"/>
        <v>Jan-26</v>
      </c>
      <c r="X1296" s="3">
        <f t="shared" si="215"/>
        <v>-7142.37</v>
      </c>
      <c r="Y1296" t="str">
        <f t="shared" si="216"/>
        <v/>
      </c>
      <c r="Z1296">
        <f t="shared" si="217"/>
        <v>-7142.37</v>
      </c>
    </row>
    <row r="1297" spans="1:26" x14ac:dyDescent="0.25">
      <c r="A1297" s="1">
        <v>46050</v>
      </c>
      <c r="B1297" t="s">
        <v>1742</v>
      </c>
      <c r="C1297" t="s">
        <v>17</v>
      </c>
      <c r="D1297" t="s">
        <v>18</v>
      </c>
      <c r="E1297">
        <v>195</v>
      </c>
      <c r="F1297">
        <v>0</v>
      </c>
      <c r="G1297">
        <v>209.9</v>
      </c>
      <c r="H1297">
        <v>40930.5</v>
      </c>
      <c r="I1297" t="s">
        <v>1743</v>
      </c>
      <c r="J1297">
        <v>40.93</v>
      </c>
      <c r="K1297">
        <v>14.54</v>
      </c>
      <c r="L1297">
        <v>0</v>
      </c>
      <c r="M1297">
        <v>0.04</v>
      </c>
      <c r="N1297">
        <v>87</v>
      </c>
      <c r="O1297">
        <v>18.28</v>
      </c>
      <c r="P1297">
        <v>160.79</v>
      </c>
      <c r="Q1297">
        <f t="shared" si="208"/>
        <v>2026</v>
      </c>
      <c r="R1297">
        <f t="shared" si="209"/>
        <v>1</v>
      </c>
      <c r="S1297">
        <f t="shared" si="210"/>
        <v>2025</v>
      </c>
      <c r="T1297">
        <f t="shared" si="211"/>
        <v>10</v>
      </c>
      <c r="U1297">
        <f t="shared" si="212"/>
        <v>10</v>
      </c>
      <c r="V1297" t="str">
        <f t="shared" si="213"/>
        <v>202510</v>
      </c>
      <c r="W1297" t="str">
        <f t="shared" si="214"/>
        <v>Jan-26</v>
      </c>
      <c r="X1297" s="3">
        <f t="shared" si="215"/>
        <v>40769.71</v>
      </c>
      <c r="Y1297">
        <f t="shared" si="216"/>
        <v>40769.71</v>
      </c>
      <c r="Z1297" t="str">
        <f t="shared" si="217"/>
        <v/>
      </c>
    </row>
    <row r="1298" spans="1:26" x14ac:dyDescent="0.25">
      <c r="A1298" s="1">
        <v>46050</v>
      </c>
      <c r="B1298" t="s">
        <v>1742</v>
      </c>
      <c r="C1298" t="s">
        <v>17</v>
      </c>
      <c r="D1298" t="s">
        <v>22</v>
      </c>
      <c r="E1298">
        <v>195</v>
      </c>
      <c r="F1298">
        <v>0</v>
      </c>
      <c r="G1298">
        <v>202.4</v>
      </c>
      <c r="H1298">
        <v>39468</v>
      </c>
      <c r="I1298" t="s">
        <v>1744</v>
      </c>
      <c r="J1298">
        <v>0</v>
      </c>
      <c r="K1298">
        <v>14.01</v>
      </c>
      <c r="L1298">
        <v>0</v>
      </c>
      <c r="M1298">
        <v>0.03</v>
      </c>
      <c r="N1298">
        <v>87</v>
      </c>
      <c r="O1298">
        <v>18.18</v>
      </c>
      <c r="P1298">
        <v>119.22</v>
      </c>
      <c r="Q1298">
        <f t="shared" si="208"/>
        <v>2026</v>
      </c>
      <c r="R1298">
        <f t="shared" si="209"/>
        <v>1</v>
      </c>
      <c r="S1298">
        <f t="shared" si="210"/>
        <v>2025</v>
      </c>
      <c r="T1298">
        <f t="shared" si="211"/>
        <v>10</v>
      </c>
      <c r="U1298">
        <f t="shared" si="212"/>
        <v>10</v>
      </c>
      <c r="V1298" t="str">
        <f t="shared" si="213"/>
        <v>202510</v>
      </c>
      <c r="W1298" t="str">
        <f t="shared" si="214"/>
        <v>Jan-26</v>
      </c>
      <c r="X1298" s="3">
        <f t="shared" si="215"/>
        <v>-39587.22</v>
      </c>
      <c r="Y1298" t="str">
        <f t="shared" si="216"/>
        <v/>
      </c>
      <c r="Z1298">
        <f t="shared" si="217"/>
        <v>-39587.22</v>
      </c>
    </row>
    <row r="1299" spans="1:26" x14ac:dyDescent="0.25">
      <c r="A1299" s="1">
        <v>46050</v>
      </c>
      <c r="B1299" t="s">
        <v>1745</v>
      </c>
      <c r="C1299" t="s">
        <v>17</v>
      </c>
      <c r="D1299" t="s">
        <v>18</v>
      </c>
      <c r="E1299">
        <v>195</v>
      </c>
      <c r="F1299">
        <v>0</v>
      </c>
      <c r="G1299">
        <v>179.25</v>
      </c>
      <c r="H1299">
        <v>34953.75</v>
      </c>
      <c r="I1299" t="s">
        <v>1746</v>
      </c>
      <c r="J1299">
        <v>34.950000000000003</v>
      </c>
      <c r="K1299">
        <v>12.42</v>
      </c>
      <c r="L1299">
        <v>0</v>
      </c>
      <c r="M1299">
        <v>0.04</v>
      </c>
      <c r="N1299">
        <v>87</v>
      </c>
      <c r="O1299">
        <v>17.899999999999999</v>
      </c>
      <c r="P1299">
        <v>152.31</v>
      </c>
      <c r="Q1299">
        <f t="shared" si="208"/>
        <v>2026</v>
      </c>
      <c r="R1299">
        <f t="shared" si="209"/>
        <v>1</v>
      </c>
      <c r="S1299">
        <f t="shared" si="210"/>
        <v>2025</v>
      </c>
      <c r="T1299">
        <f t="shared" si="211"/>
        <v>10</v>
      </c>
      <c r="U1299">
        <f t="shared" si="212"/>
        <v>10</v>
      </c>
      <c r="V1299" t="str">
        <f t="shared" si="213"/>
        <v>202510</v>
      </c>
      <c r="W1299" t="str">
        <f t="shared" si="214"/>
        <v>Jan-26</v>
      </c>
      <c r="X1299" s="3">
        <f t="shared" si="215"/>
        <v>34801.440000000002</v>
      </c>
      <c r="Y1299">
        <f t="shared" si="216"/>
        <v>34801.440000000002</v>
      </c>
      <c r="Z1299" t="str">
        <f t="shared" si="217"/>
        <v/>
      </c>
    </row>
    <row r="1300" spans="1:26" x14ac:dyDescent="0.25">
      <c r="A1300" s="1">
        <v>46050</v>
      </c>
      <c r="B1300" t="s">
        <v>1745</v>
      </c>
      <c r="C1300" t="s">
        <v>17</v>
      </c>
      <c r="D1300" t="s">
        <v>22</v>
      </c>
      <c r="E1300">
        <v>65</v>
      </c>
      <c r="F1300">
        <v>0</v>
      </c>
      <c r="G1300">
        <v>190.25</v>
      </c>
      <c r="H1300">
        <v>12366.25</v>
      </c>
      <c r="I1300" t="s">
        <v>1747</v>
      </c>
      <c r="J1300">
        <v>0</v>
      </c>
      <c r="K1300">
        <v>4.3899999999999997</v>
      </c>
      <c r="L1300">
        <v>0</v>
      </c>
      <c r="M1300">
        <v>0.01</v>
      </c>
      <c r="N1300">
        <v>29</v>
      </c>
      <c r="O1300">
        <v>6.02</v>
      </c>
      <c r="P1300">
        <v>39.42</v>
      </c>
      <c r="Q1300">
        <f t="shared" si="208"/>
        <v>2026</v>
      </c>
      <c r="R1300">
        <f t="shared" si="209"/>
        <v>1</v>
      </c>
      <c r="S1300">
        <f t="shared" si="210"/>
        <v>2025</v>
      </c>
      <c r="T1300">
        <f t="shared" si="211"/>
        <v>10</v>
      </c>
      <c r="U1300">
        <f t="shared" si="212"/>
        <v>10</v>
      </c>
      <c r="V1300" t="str">
        <f t="shared" si="213"/>
        <v>202510</v>
      </c>
      <c r="W1300" t="str">
        <f t="shared" si="214"/>
        <v>Jan-26</v>
      </c>
      <c r="X1300" s="3">
        <f t="shared" si="215"/>
        <v>-12405.67</v>
      </c>
      <c r="Y1300" t="str">
        <f t="shared" si="216"/>
        <v/>
      </c>
      <c r="Z1300">
        <f t="shared" si="217"/>
        <v>-12405.67</v>
      </c>
    </row>
    <row r="1301" spans="1:26" x14ac:dyDescent="0.25">
      <c r="A1301" s="1">
        <v>46050</v>
      </c>
      <c r="B1301" t="s">
        <v>1745</v>
      </c>
      <c r="C1301" t="s">
        <v>17</v>
      </c>
      <c r="D1301" t="s">
        <v>22</v>
      </c>
      <c r="E1301">
        <v>130</v>
      </c>
      <c r="F1301">
        <v>0</v>
      </c>
      <c r="G1301">
        <v>200.4</v>
      </c>
      <c r="H1301">
        <v>26052</v>
      </c>
      <c r="I1301" t="s">
        <v>1748</v>
      </c>
      <c r="J1301">
        <v>0</v>
      </c>
      <c r="K1301">
        <v>9.26</v>
      </c>
      <c r="L1301">
        <v>1.1499999999999999</v>
      </c>
      <c r="M1301">
        <v>0.03</v>
      </c>
      <c r="N1301">
        <v>58</v>
      </c>
      <c r="O1301">
        <v>12.12</v>
      </c>
      <c r="P1301">
        <v>80.56</v>
      </c>
      <c r="Q1301">
        <f t="shared" si="208"/>
        <v>2026</v>
      </c>
      <c r="R1301">
        <f t="shared" si="209"/>
        <v>1</v>
      </c>
      <c r="S1301">
        <f t="shared" si="210"/>
        <v>2025</v>
      </c>
      <c r="T1301">
        <f t="shared" si="211"/>
        <v>10</v>
      </c>
      <c r="U1301">
        <f t="shared" si="212"/>
        <v>10</v>
      </c>
      <c r="V1301" t="str">
        <f t="shared" si="213"/>
        <v>202510</v>
      </c>
      <c r="W1301" t="str">
        <f t="shared" si="214"/>
        <v>Jan-26</v>
      </c>
      <c r="X1301" s="3">
        <f t="shared" si="215"/>
        <v>-26132.560000000001</v>
      </c>
      <c r="Y1301" t="str">
        <f t="shared" si="216"/>
        <v/>
      </c>
      <c r="Z1301">
        <f t="shared" si="217"/>
        <v>-26132.560000000001</v>
      </c>
    </row>
    <row r="1302" spans="1:26" x14ac:dyDescent="0.25">
      <c r="A1302" s="1">
        <v>46050</v>
      </c>
      <c r="B1302" t="s">
        <v>1742</v>
      </c>
      <c r="C1302" t="s">
        <v>17</v>
      </c>
      <c r="D1302" t="s">
        <v>18</v>
      </c>
      <c r="E1302">
        <v>65</v>
      </c>
      <c r="F1302">
        <v>0</v>
      </c>
      <c r="G1302">
        <v>219.9</v>
      </c>
      <c r="H1302">
        <v>14293.5</v>
      </c>
      <c r="I1302" t="s">
        <v>1749</v>
      </c>
      <c r="J1302">
        <v>14.12</v>
      </c>
      <c r="K1302">
        <v>5.08</v>
      </c>
      <c r="L1302">
        <v>0</v>
      </c>
      <c r="M1302">
        <v>0.01</v>
      </c>
      <c r="N1302">
        <v>29</v>
      </c>
      <c r="O1302">
        <v>6.14</v>
      </c>
      <c r="P1302">
        <v>54.35</v>
      </c>
      <c r="Q1302">
        <f t="shared" si="208"/>
        <v>2026</v>
      </c>
      <c r="R1302">
        <f t="shared" si="209"/>
        <v>1</v>
      </c>
      <c r="S1302">
        <f t="shared" si="210"/>
        <v>2025</v>
      </c>
      <c r="T1302">
        <f t="shared" si="211"/>
        <v>10</v>
      </c>
      <c r="U1302">
        <f t="shared" si="212"/>
        <v>10</v>
      </c>
      <c r="V1302" t="str">
        <f t="shared" si="213"/>
        <v>202510</v>
      </c>
      <c r="W1302" t="str">
        <f t="shared" si="214"/>
        <v>Jan-26</v>
      </c>
      <c r="X1302" s="3">
        <f t="shared" si="215"/>
        <v>14239.15</v>
      </c>
      <c r="Y1302">
        <f t="shared" si="216"/>
        <v>14239.15</v>
      </c>
      <c r="Z1302" t="str">
        <f t="shared" si="217"/>
        <v/>
      </c>
    </row>
    <row r="1303" spans="1:26" x14ac:dyDescent="0.25">
      <c r="A1303" s="1">
        <v>46050</v>
      </c>
      <c r="B1303" t="s">
        <v>1742</v>
      </c>
      <c r="C1303" t="s">
        <v>17</v>
      </c>
      <c r="D1303" t="s">
        <v>22</v>
      </c>
      <c r="E1303">
        <v>65</v>
      </c>
      <c r="F1303">
        <v>0</v>
      </c>
      <c r="G1303">
        <v>203.1</v>
      </c>
      <c r="H1303">
        <v>13201.5</v>
      </c>
      <c r="I1303" t="s">
        <v>1750</v>
      </c>
      <c r="J1303">
        <v>0</v>
      </c>
      <c r="K1303">
        <v>4.6900000000000004</v>
      </c>
      <c r="L1303">
        <v>1.85</v>
      </c>
      <c r="M1303">
        <v>0.01</v>
      </c>
      <c r="N1303">
        <v>29</v>
      </c>
      <c r="O1303">
        <v>6.06</v>
      </c>
      <c r="P1303">
        <v>41.61</v>
      </c>
      <c r="Q1303">
        <f t="shared" si="208"/>
        <v>2026</v>
      </c>
      <c r="R1303">
        <f t="shared" si="209"/>
        <v>1</v>
      </c>
      <c r="S1303">
        <f t="shared" si="210"/>
        <v>2025</v>
      </c>
      <c r="T1303">
        <f t="shared" si="211"/>
        <v>10</v>
      </c>
      <c r="U1303">
        <f t="shared" si="212"/>
        <v>10</v>
      </c>
      <c r="V1303" t="str">
        <f t="shared" si="213"/>
        <v>202510</v>
      </c>
      <c r="W1303" t="str">
        <f t="shared" si="214"/>
        <v>Jan-26</v>
      </c>
      <c r="X1303" s="3">
        <f t="shared" si="215"/>
        <v>-13243.11</v>
      </c>
      <c r="Y1303" t="str">
        <f t="shared" si="216"/>
        <v/>
      </c>
      <c r="Z1303">
        <f t="shared" si="217"/>
        <v>-13243.11</v>
      </c>
    </row>
    <row r="1304" spans="1:26" x14ac:dyDescent="0.25">
      <c r="A1304" s="1">
        <v>46051</v>
      </c>
      <c r="B1304" t="s">
        <v>1751</v>
      </c>
      <c r="C1304" t="s">
        <v>17</v>
      </c>
      <c r="D1304" t="s">
        <v>18</v>
      </c>
      <c r="E1304">
        <v>130</v>
      </c>
      <c r="F1304">
        <v>0</v>
      </c>
      <c r="G1304">
        <v>167.8</v>
      </c>
      <c r="H1304">
        <v>21814</v>
      </c>
      <c r="I1304" t="s">
        <v>1752</v>
      </c>
      <c r="J1304">
        <v>21.81</v>
      </c>
      <c r="K1304">
        <v>7.75</v>
      </c>
      <c r="L1304">
        <v>0</v>
      </c>
      <c r="M1304">
        <v>0.02</v>
      </c>
      <c r="N1304">
        <v>58</v>
      </c>
      <c r="O1304">
        <v>11.84</v>
      </c>
      <c r="P1304">
        <v>99.42</v>
      </c>
      <c r="Q1304">
        <f t="shared" si="208"/>
        <v>2026</v>
      </c>
      <c r="R1304">
        <f t="shared" si="209"/>
        <v>1</v>
      </c>
      <c r="S1304">
        <f t="shared" si="210"/>
        <v>2025</v>
      </c>
      <c r="T1304">
        <f t="shared" si="211"/>
        <v>10</v>
      </c>
      <c r="U1304">
        <f t="shared" si="212"/>
        <v>10</v>
      </c>
      <c r="V1304" t="str">
        <f t="shared" si="213"/>
        <v>202510</v>
      </c>
      <c r="W1304" t="str">
        <f t="shared" si="214"/>
        <v>Jan-26</v>
      </c>
      <c r="X1304" s="3">
        <f t="shared" si="215"/>
        <v>21714.58</v>
      </c>
      <c r="Y1304">
        <f t="shared" si="216"/>
        <v>21714.58</v>
      </c>
      <c r="Z1304" t="str">
        <f t="shared" si="217"/>
        <v/>
      </c>
    </row>
    <row r="1305" spans="1:26" x14ac:dyDescent="0.25">
      <c r="A1305" s="1">
        <v>46051</v>
      </c>
      <c r="B1305" t="s">
        <v>1751</v>
      </c>
      <c r="C1305" t="s">
        <v>17</v>
      </c>
      <c r="D1305" t="s">
        <v>22</v>
      </c>
      <c r="E1305">
        <v>130</v>
      </c>
      <c r="F1305">
        <v>0</v>
      </c>
      <c r="G1305">
        <v>178.75</v>
      </c>
      <c r="H1305">
        <v>23237.5</v>
      </c>
      <c r="I1305" t="s">
        <v>1753</v>
      </c>
      <c r="J1305">
        <v>0</v>
      </c>
      <c r="K1305">
        <v>8.26</v>
      </c>
      <c r="L1305">
        <v>0.61</v>
      </c>
      <c r="M1305">
        <v>0.02</v>
      </c>
      <c r="N1305">
        <v>58</v>
      </c>
      <c r="O1305">
        <v>11.92</v>
      </c>
      <c r="P1305">
        <v>78.81</v>
      </c>
      <c r="Q1305">
        <f t="shared" si="208"/>
        <v>2026</v>
      </c>
      <c r="R1305">
        <f t="shared" si="209"/>
        <v>1</v>
      </c>
      <c r="S1305">
        <f t="shared" si="210"/>
        <v>2025</v>
      </c>
      <c r="T1305">
        <f t="shared" si="211"/>
        <v>10</v>
      </c>
      <c r="U1305">
        <f t="shared" si="212"/>
        <v>10</v>
      </c>
      <c r="V1305" t="str">
        <f t="shared" si="213"/>
        <v>202510</v>
      </c>
      <c r="W1305" t="str">
        <f t="shared" si="214"/>
        <v>Jan-26</v>
      </c>
      <c r="X1305" s="3">
        <f t="shared" si="215"/>
        <v>-23316.31</v>
      </c>
      <c r="Y1305" t="str">
        <f t="shared" si="216"/>
        <v/>
      </c>
      <c r="Z1305">
        <f t="shared" si="217"/>
        <v>-23316.31</v>
      </c>
    </row>
    <row r="1306" spans="1:26" x14ac:dyDescent="0.25">
      <c r="A1306" s="1">
        <v>46051</v>
      </c>
      <c r="B1306" t="s">
        <v>1754</v>
      </c>
      <c r="C1306" t="s">
        <v>17</v>
      </c>
      <c r="D1306" t="s">
        <v>18</v>
      </c>
      <c r="E1306">
        <v>65</v>
      </c>
      <c r="F1306">
        <v>0</v>
      </c>
      <c r="G1306">
        <v>161.55000000000001</v>
      </c>
      <c r="H1306">
        <v>10500.75</v>
      </c>
      <c r="I1306" t="s">
        <v>1755</v>
      </c>
      <c r="J1306">
        <v>10.19</v>
      </c>
      <c r="K1306">
        <v>3.73</v>
      </c>
      <c r="L1306">
        <v>0</v>
      </c>
      <c r="M1306">
        <v>0.01</v>
      </c>
      <c r="N1306">
        <v>29</v>
      </c>
      <c r="O1306">
        <v>5.9</v>
      </c>
      <c r="P1306">
        <v>48.83</v>
      </c>
      <c r="Q1306">
        <f t="shared" si="208"/>
        <v>2026</v>
      </c>
      <c r="R1306">
        <f t="shared" si="209"/>
        <v>1</v>
      </c>
      <c r="S1306">
        <f t="shared" si="210"/>
        <v>2025</v>
      </c>
      <c r="T1306">
        <f t="shared" si="211"/>
        <v>10</v>
      </c>
      <c r="U1306">
        <f t="shared" si="212"/>
        <v>10</v>
      </c>
      <c r="V1306" t="str">
        <f t="shared" si="213"/>
        <v>202510</v>
      </c>
      <c r="W1306" t="str">
        <f t="shared" si="214"/>
        <v>Jan-26</v>
      </c>
      <c r="X1306" s="3">
        <f t="shared" si="215"/>
        <v>10451.92</v>
      </c>
      <c r="Y1306">
        <f t="shared" si="216"/>
        <v>10451.92</v>
      </c>
      <c r="Z1306" t="str">
        <f t="shared" si="217"/>
        <v/>
      </c>
    </row>
    <row r="1307" spans="1:26" x14ac:dyDescent="0.25">
      <c r="A1307" s="1">
        <v>46051</v>
      </c>
      <c r="B1307" t="s">
        <v>1754</v>
      </c>
      <c r="C1307" t="s">
        <v>17</v>
      </c>
      <c r="D1307" t="s">
        <v>22</v>
      </c>
      <c r="E1307">
        <v>65</v>
      </c>
      <c r="F1307">
        <v>0</v>
      </c>
      <c r="G1307">
        <v>199.6</v>
      </c>
      <c r="H1307">
        <v>12974</v>
      </c>
      <c r="I1307" t="s">
        <v>1756</v>
      </c>
      <c r="J1307">
        <v>0</v>
      </c>
      <c r="K1307">
        <v>4.6100000000000003</v>
      </c>
      <c r="L1307">
        <v>0.39</v>
      </c>
      <c r="M1307">
        <v>0.01</v>
      </c>
      <c r="N1307">
        <v>29</v>
      </c>
      <c r="O1307">
        <v>6.06</v>
      </c>
      <c r="P1307">
        <v>40.07</v>
      </c>
      <c r="Q1307">
        <f t="shared" si="208"/>
        <v>2026</v>
      </c>
      <c r="R1307">
        <f t="shared" si="209"/>
        <v>1</v>
      </c>
      <c r="S1307">
        <f t="shared" si="210"/>
        <v>2025</v>
      </c>
      <c r="T1307">
        <f t="shared" si="211"/>
        <v>10</v>
      </c>
      <c r="U1307">
        <f t="shared" si="212"/>
        <v>10</v>
      </c>
      <c r="V1307" t="str">
        <f t="shared" si="213"/>
        <v>202510</v>
      </c>
      <c r="W1307" t="str">
        <f t="shared" si="214"/>
        <v>Jan-26</v>
      </c>
      <c r="X1307" s="3">
        <f t="shared" si="215"/>
        <v>-13014.07</v>
      </c>
      <c r="Y1307" t="str">
        <f t="shared" si="216"/>
        <v/>
      </c>
      <c r="Z1307">
        <f t="shared" si="217"/>
        <v>-13014.07</v>
      </c>
    </row>
    <row r="1308" spans="1:26" x14ac:dyDescent="0.25">
      <c r="A1308" s="1">
        <v>46052</v>
      </c>
      <c r="B1308" t="s">
        <v>1757</v>
      </c>
      <c r="C1308" t="s">
        <v>17</v>
      </c>
      <c r="D1308" t="s">
        <v>18</v>
      </c>
      <c r="E1308">
        <v>65</v>
      </c>
      <c r="F1308">
        <v>0</v>
      </c>
      <c r="G1308">
        <v>251.55</v>
      </c>
      <c r="H1308">
        <v>16350.75</v>
      </c>
      <c r="I1308" t="s">
        <v>1758</v>
      </c>
      <c r="J1308">
        <v>16</v>
      </c>
      <c r="K1308">
        <v>5.81</v>
      </c>
      <c r="L1308">
        <v>0</v>
      </c>
      <c r="M1308">
        <v>0.02</v>
      </c>
      <c r="N1308">
        <v>29</v>
      </c>
      <c r="O1308">
        <v>6.26</v>
      </c>
      <c r="P1308">
        <v>57.09</v>
      </c>
      <c r="Q1308">
        <f t="shared" si="208"/>
        <v>2026</v>
      </c>
      <c r="R1308">
        <f t="shared" si="209"/>
        <v>1</v>
      </c>
      <c r="S1308">
        <f t="shared" si="210"/>
        <v>2025</v>
      </c>
      <c r="T1308">
        <f t="shared" si="211"/>
        <v>10</v>
      </c>
      <c r="U1308">
        <f t="shared" si="212"/>
        <v>10</v>
      </c>
      <c r="V1308" t="str">
        <f t="shared" si="213"/>
        <v>202510</v>
      </c>
      <c r="W1308" t="str">
        <f t="shared" si="214"/>
        <v>Jan-26</v>
      </c>
      <c r="X1308" s="3">
        <f t="shared" si="215"/>
        <v>16293.66</v>
      </c>
      <c r="Y1308">
        <f t="shared" si="216"/>
        <v>16293.66</v>
      </c>
      <c r="Z1308" t="str">
        <f t="shared" si="217"/>
        <v/>
      </c>
    </row>
    <row r="1309" spans="1:26" x14ac:dyDescent="0.25">
      <c r="A1309" s="1">
        <v>46052</v>
      </c>
      <c r="B1309" t="s">
        <v>1757</v>
      </c>
      <c r="C1309" t="s">
        <v>17</v>
      </c>
      <c r="D1309" t="s">
        <v>22</v>
      </c>
      <c r="E1309">
        <v>65</v>
      </c>
      <c r="F1309">
        <v>0</v>
      </c>
      <c r="G1309">
        <v>250.55</v>
      </c>
      <c r="H1309">
        <v>16285.75</v>
      </c>
      <c r="I1309" t="s">
        <v>1759</v>
      </c>
      <c r="J1309">
        <v>0</v>
      </c>
      <c r="K1309">
        <v>5.79</v>
      </c>
      <c r="L1309">
        <v>0</v>
      </c>
      <c r="M1309">
        <v>0.02</v>
      </c>
      <c r="N1309">
        <v>29</v>
      </c>
      <c r="O1309">
        <v>6.26</v>
      </c>
      <c r="P1309">
        <v>41.07</v>
      </c>
      <c r="Q1309">
        <f t="shared" si="208"/>
        <v>2026</v>
      </c>
      <c r="R1309">
        <f t="shared" si="209"/>
        <v>1</v>
      </c>
      <c r="S1309">
        <f t="shared" si="210"/>
        <v>2025</v>
      </c>
      <c r="T1309">
        <f t="shared" si="211"/>
        <v>10</v>
      </c>
      <c r="U1309">
        <f t="shared" si="212"/>
        <v>10</v>
      </c>
      <c r="V1309" t="str">
        <f t="shared" si="213"/>
        <v>202510</v>
      </c>
      <c r="W1309" t="str">
        <f t="shared" si="214"/>
        <v>Jan-26</v>
      </c>
      <c r="X1309" s="3">
        <f t="shared" si="215"/>
        <v>-16326.82</v>
      </c>
      <c r="Y1309" t="str">
        <f t="shared" si="216"/>
        <v/>
      </c>
      <c r="Z1309">
        <f t="shared" si="217"/>
        <v>-16326.82</v>
      </c>
    </row>
    <row r="1310" spans="1:26" x14ac:dyDescent="0.25">
      <c r="A1310" s="1">
        <v>46052</v>
      </c>
      <c r="B1310" t="s">
        <v>1757</v>
      </c>
      <c r="C1310" t="s">
        <v>17</v>
      </c>
      <c r="D1310" t="s">
        <v>18</v>
      </c>
      <c r="E1310">
        <v>65</v>
      </c>
      <c r="F1310">
        <v>0</v>
      </c>
      <c r="G1310">
        <v>259.89999999999998</v>
      </c>
      <c r="H1310">
        <v>16893.5</v>
      </c>
      <c r="I1310" t="s">
        <v>1760</v>
      </c>
      <c r="J1310">
        <v>16.89</v>
      </c>
      <c r="K1310">
        <v>6</v>
      </c>
      <c r="L1310">
        <v>0</v>
      </c>
      <c r="M1310">
        <v>0.02</v>
      </c>
      <c r="N1310">
        <v>29</v>
      </c>
      <c r="O1310">
        <v>6.3</v>
      </c>
      <c r="P1310">
        <v>58.21</v>
      </c>
      <c r="Q1310">
        <f t="shared" si="208"/>
        <v>2026</v>
      </c>
      <c r="R1310">
        <f t="shared" si="209"/>
        <v>1</v>
      </c>
      <c r="S1310">
        <f t="shared" si="210"/>
        <v>2025</v>
      </c>
      <c r="T1310">
        <f t="shared" si="211"/>
        <v>10</v>
      </c>
      <c r="U1310">
        <f t="shared" si="212"/>
        <v>10</v>
      </c>
      <c r="V1310" t="str">
        <f t="shared" si="213"/>
        <v>202510</v>
      </c>
      <c r="W1310" t="str">
        <f t="shared" si="214"/>
        <v>Jan-26</v>
      </c>
      <c r="X1310" s="3">
        <f t="shared" si="215"/>
        <v>16835.29</v>
      </c>
      <c r="Y1310">
        <f t="shared" si="216"/>
        <v>16835.29</v>
      </c>
      <c r="Z1310" t="str">
        <f t="shared" si="217"/>
        <v/>
      </c>
    </row>
    <row r="1311" spans="1:26" x14ac:dyDescent="0.25">
      <c r="A1311" s="1">
        <v>46052</v>
      </c>
      <c r="B1311" t="s">
        <v>1757</v>
      </c>
      <c r="C1311" t="s">
        <v>17</v>
      </c>
      <c r="D1311" t="s">
        <v>22</v>
      </c>
      <c r="E1311">
        <v>65</v>
      </c>
      <c r="F1311">
        <v>0</v>
      </c>
      <c r="G1311">
        <v>234.8</v>
      </c>
      <c r="H1311">
        <v>15262</v>
      </c>
      <c r="I1311" t="s">
        <v>1761</v>
      </c>
      <c r="J1311">
        <v>0</v>
      </c>
      <c r="K1311">
        <v>5.42</v>
      </c>
      <c r="L1311">
        <v>0</v>
      </c>
      <c r="M1311">
        <v>0.02</v>
      </c>
      <c r="N1311">
        <v>29</v>
      </c>
      <c r="O1311">
        <v>6.2</v>
      </c>
      <c r="P1311">
        <v>40.64</v>
      </c>
      <c r="Q1311">
        <f t="shared" si="208"/>
        <v>2026</v>
      </c>
      <c r="R1311">
        <f t="shared" si="209"/>
        <v>1</v>
      </c>
      <c r="S1311">
        <f t="shared" si="210"/>
        <v>2025</v>
      </c>
      <c r="T1311">
        <f t="shared" si="211"/>
        <v>10</v>
      </c>
      <c r="U1311">
        <f t="shared" si="212"/>
        <v>10</v>
      </c>
      <c r="V1311" t="str">
        <f t="shared" si="213"/>
        <v>202510</v>
      </c>
      <c r="W1311" t="str">
        <f t="shared" si="214"/>
        <v>Jan-26</v>
      </c>
      <c r="X1311" s="3">
        <f t="shared" si="215"/>
        <v>-15302.64</v>
      </c>
      <c r="Y1311" t="str">
        <f t="shared" si="216"/>
        <v/>
      </c>
      <c r="Z1311">
        <f t="shared" si="217"/>
        <v>-15302.64</v>
      </c>
    </row>
    <row r="1312" spans="1:26" x14ac:dyDescent="0.25">
      <c r="A1312" s="1">
        <v>46052</v>
      </c>
      <c r="B1312" t="s">
        <v>1742</v>
      </c>
      <c r="C1312" t="s">
        <v>17</v>
      </c>
      <c r="D1312" t="s">
        <v>18</v>
      </c>
      <c r="E1312">
        <v>65</v>
      </c>
      <c r="F1312">
        <v>0</v>
      </c>
      <c r="G1312">
        <v>208.8</v>
      </c>
      <c r="H1312">
        <v>13572</v>
      </c>
      <c r="I1312" t="s">
        <v>1762</v>
      </c>
      <c r="J1312">
        <v>13.57</v>
      </c>
      <c r="K1312">
        <v>4.82</v>
      </c>
      <c r="L1312">
        <v>0</v>
      </c>
      <c r="M1312">
        <v>0.01</v>
      </c>
      <c r="N1312">
        <v>29</v>
      </c>
      <c r="O1312">
        <v>6.1</v>
      </c>
      <c r="P1312">
        <v>53.5</v>
      </c>
      <c r="Q1312">
        <f t="shared" si="208"/>
        <v>2026</v>
      </c>
      <c r="R1312">
        <f t="shared" si="209"/>
        <v>1</v>
      </c>
      <c r="S1312">
        <f t="shared" si="210"/>
        <v>2025</v>
      </c>
      <c r="T1312">
        <f t="shared" si="211"/>
        <v>10</v>
      </c>
      <c r="U1312">
        <f t="shared" si="212"/>
        <v>10</v>
      </c>
      <c r="V1312" t="str">
        <f t="shared" si="213"/>
        <v>202510</v>
      </c>
      <c r="W1312" t="str">
        <f t="shared" si="214"/>
        <v>Jan-26</v>
      </c>
      <c r="X1312" s="3">
        <f t="shared" si="215"/>
        <v>13518.5</v>
      </c>
      <c r="Y1312">
        <f t="shared" si="216"/>
        <v>13518.5</v>
      </c>
      <c r="Z1312" t="str">
        <f t="shared" si="217"/>
        <v/>
      </c>
    </row>
    <row r="1313" spans="1:26" x14ac:dyDescent="0.25">
      <c r="A1313" s="1">
        <v>46052</v>
      </c>
      <c r="B1313" t="s">
        <v>1742</v>
      </c>
      <c r="C1313" t="s">
        <v>17</v>
      </c>
      <c r="D1313" t="s">
        <v>22</v>
      </c>
      <c r="E1313">
        <v>65</v>
      </c>
      <c r="F1313">
        <v>0</v>
      </c>
      <c r="G1313">
        <v>217.6</v>
      </c>
      <c r="H1313">
        <v>14144</v>
      </c>
      <c r="I1313" t="s">
        <v>1763</v>
      </c>
      <c r="J1313">
        <v>0</v>
      </c>
      <c r="K1313">
        <v>5.03</v>
      </c>
      <c r="L1313">
        <v>0.42</v>
      </c>
      <c r="M1313">
        <v>0.01</v>
      </c>
      <c r="N1313">
        <v>29</v>
      </c>
      <c r="O1313">
        <v>6.12</v>
      </c>
      <c r="P1313">
        <v>40.58</v>
      </c>
      <c r="Q1313">
        <f t="shared" si="208"/>
        <v>2026</v>
      </c>
      <c r="R1313">
        <f t="shared" si="209"/>
        <v>1</v>
      </c>
      <c r="S1313">
        <f t="shared" si="210"/>
        <v>2025</v>
      </c>
      <c r="T1313">
        <f t="shared" si="211"/>
        <v>10</v>
      </c>
      <c r="U1313">
        <f t="shared" si="212"/>
        <v>10</v>
      </c>
      <c r="V1313" t="str">
        <f t="shared" si="213"/>
        <v>202510</v>
      </c>
      <c r="W1313" t="str">
        <f t="shared" si="214"/>
        <v>Jan-26</v>
      </c>
      <c r="X1313" s="3">
        <f t="shared" si="215"/>
        <v>-14184.58</v>
      </c>
      <c r="Y1313" t="str">
        <f t="shared" si="216"/>
        <v/>
      </c>
      <c r="Z1313">
        <f t="shared" si="217"/>
        <v>-14184.58</v>
      </c>
    </row>
    <row r="1314" spans="1:26" x14ac:dyDescent="0.25">
      <c r="A1314" s="1">
        <v>46052</v>
      </c>
      <c r="B1314" t="s">
        <v>1757</v>
      </c>
      <c r="C1314" t="s">
        <v>17</v>
      </c>
      <c r="D1314" t="s">
        <v>18</v>
      </c>
      <c r="E1314">
        <v>130</v>
      </c>
      <c r="F1314">
        <v>0</v>
      </c>
      <c r="G1314">
        <v>234.9</v>
      </c>
      <c r="H1314">
        <v>30537</v>
      </c>
      <c r="I1314" t="s">
        <v>1764</v>
      </c>
      <c r="J1314">
        <v>30.54</v>
      </c>
      <c r="K1314">
        <v>10.85</v>
      </c>
      <c r="L1314">
        <v>0</v>
      </c>
      <c r="M1314">
        <v>0.03</v>
      </c>
      <c r="N1314">
        <v>58</v>
      </c>
      <c r="O1314">
        <v>12.4</v>
      </c>
      <c r="P1314">
        <v>111.82</v>
      </c>
      <c r="Q1314">
        <f t="shared" si="208"/>
        <v>2026</v>
      </c>
      <c r="R1314">
        <f t="shared" si="209"/>
        <v>1</v>
      </c>
      <c r="S1314">
        <f t="shared" si="210"/>
        <v>2025</v>
      </c>
      <c r="T1314">
        <f t="shared" si="211"/>
        <v>10</v>
      </c>
      <c r="U1314">
        <f t="shared" si="212"/>
        <v>10</v>
      </c>
      <c r="V1314" t="str">
        <f t="shared" si="213"/>
        <v>202510</v>
      </c>
      <c r="W1314" t="str">
        <f t="shared" si="214"/>
        <v>Jan-26</v>
      </c>
      <c r="X1314" s="3">
        <f t="shared" si="215"/>
        <v>30425.18</v>
      </c>
      <c r="Y1314">
        <f t="shared" si="216"/>
        <v>30425.18</v>
      </c>
      <c r="Z1314" t="str">
        <f t="shared" si="217"/>
        <v/>
      </c>
    </row>
    <row r="1315" spans="1:26" x14ac:dyDescent="0.25">
      <c r="A1315" s="1">
        <v>46052</v>
      </c>
      <c r="B1315" t="s">
        <v>1757</v>
      </c>
      <c r="C1315" t="s">
        <v>17</v>
      </c>
      <c r="D1315" t="s">
        <v>22</v>
      </c>
      <c r="E1315">
        <v>130</v>
      </c>
      <c r="F1315">
        <v>0</v>
      </c>
      <c r="G1315">
        <v>201.25</v>
      </c>
      <c r="H1315">
        <v>26162.5</v>
      </c>
      <c r="I1315" t="s">
        <v>1765</v>
      </c>
      <c r="J1315">
        <v>0</v>
      </c>
      <c r="K1315">
        <v>9.3000000000000007</v>
      </c>
      <c r="L1315">
        <v>1.58</v>
      </c>
      <c r="M1315">
        <v>0.02</v>
      </c>
      <c r="N1315">
        <v>58</v>
      </c>
      <c r="O1315">
        <v>12.12</v>
      </c>
      <c r="P1315">
        <v>81.02</v>
      </c>
      <c r="Q1315">
        <f t="shared" si="208"/>
        <v>2026</v>
      </c>
      <c r="R1315">
        <f t="shared" si="209"/>
        <v>1</v>
      </c>
      <c r="S1315">
        <f t="shared" si="210"/>
        <v>2025</v>
      </c>
      <c r="T1315">
        <f t="shared" si="211"/>
        <v>10</v>
      </c>
      <c r="U1315">
        <f t="shared" si="212"/>
        <v>10</v>
      </c>
      <c r="V1315" t="str">
        <f t="shared" si="213"/>
        <v>202510</v>
      </c>
      <c r="W1315" t="str">
        <f t="shared" si="214"/>
        <v>Jan-26</v>
      </c>
      <c r="X1315" s="3">
        <f t="shared" si="215"/>
        <v>-26243.52</v>
      </c>
      <c r="Y1315" t="str">
        <f t="shared" si="216"/>
        <v/>
      </c>
      <c r="Z1315">
        <f t="shared" si="217"/>
        <v>-26243.52</v>
      </c>
    </row>
    <row r="1316" spans="1:26" x14ac:dyDescent="0.25">
      <c r="A1316" s="1">
        <v>46054</v>
      </c>
      <c r="B1316" t="s">
        <v>1766</v>
      </c>
      <c r="C1316" t="s">
        <v>17</v>
      </c>
      <c r="D1316" t="s">
        <v>18</v>
      </c>
      <c r="E1316">
        <v>65</v>
      </c>
      <c r="F1316">
        <v>0</v>
      </c>
      <c r="G1316">
        <v>197.25</v>
      </c>
      <c r="H1316">
        <v>12821.25</v>
      </c>
      <c r="I1316" t="s">
        <v>1767</v>
      </c>
      <c r="J1316">
        <v>12.82</v>
      </c>
      <c r="K1316">
        <v>4.5599999999999996</v>
      </c>
      <c r="L1316">
        <v>0</v>
      </c>
      <c r="M1316">
        <v>0.01</v>
      </c>
      <c r="N1316">
        <v>29</v>
      </c>
      <c r="O1316">
        <v>6.04</v>
      </c>
      <c r="P1316">
        <v>52.43</v>
      </c>
      <c r="Q1316">
        <f t="shared" si="208"/>
        <v>2026</v>
      </c>
      <c r="R1316">
        <f t="shared" si="209"/>
        <v>2</v>
      </c>
      <c r="S1316">
        <f t="shared" si="210"/>
        <v>2025</v>
      </c>
      <c r="T1316">
        <f t="shared" si="211"/>
        <v>11</v>
      </c>
      <c r="U1316">
        <f t="shared" si="212"/>
        <v>11</v>
      </c>
      <c r="V1316" t="str">
        <f t="shared" si="213"/>
        <v>202511</v>
      </c>
      <c r="W1316" t="str">
        <f t="shared" si="214"/>
        <v>Feb-26</v>
      </c>
      <c r="X1316" s="3">
        <f t="shared" si="215"/>
        <v>12768.82</v>
      </c>
      <c r="Y1316">
        <f t="shared" si="216"/>
        <v>12768.82</v>
      </c>
      <c r="Z1316" t="str">
        <f t="shared" si="217"/>
        <v/>
      </c>
    </row>
    <row r="1317" spans="1:26" x14ac:dyDescent="0.25">
      <c r="A1317" s="1">
        <v>46054</v>
      </c>
      <c r="B1317" t="s">
        <v>1766</v>
      </c>
      <c r="C1317" t="s">
        <v>17</v>
      </c>
      <c r="D1317" t="s">
        <v>22</v>
      </c>
      <c r="E1317">
        <v>65</v>
      </c>
      <c r="F1317">
        <v>0</v>
      </c>
      <c r="G1317">
        <v>182.5</v>
      </c>
      <c r="H1317">
        <v>11862.5</v>
      </c>
      <c r="I1317" t="s">
        <v>1768</v>
      </c>
      <c r="J1317">
        <v>0</v>
      </c>
      <c r="K1317">
        <v>4.21</v>
      </c>
      <c r="L1317">
        <v>0.36</v>
      </c>
      <c r="M1317">
        <v>0.01</v>
      </c>
      <c r="N1317">
        <v>29</v>
      </c>
      <c r="O1317">
        <v>5.98</v>
      </c>
      <c r="P1317">
        <v>39.56</v>
      </c>
      <c r="Q1317">
        <f t="shared" si="208"/>
        <v>2026</v>
      </c>
      <c r="R1317">
        <f t="shared" si="209"/>
        <v>2</v>
      </c>
      <c r="S1317">
        <f t="shared" si="210"/>
        <v>2025</v>
      </c>
      <c r="T1317">
        <f t="shared" si="211"/>
        <v>11</v>
      </c>
      <c r="U1317">
        <f t="shared" si="212"/>
        <v>11</v>
      </c>
      <c r="V1317" t="str">
        <f t="shared" si="213"/>
        <v>202511</v>
      </c>
      <c r="W1317" t="str">
        <f t="shared" si="214"/>
        <v>Feb-26</v>
      </c>
      <c r="X1317" s="3">
        <f t="shared" si="215"/>
        <v>-11902.06</v>
      </c>
      <c r="Y1317" t="str">
        <f t="shared" si="216"/>
        <v/>
      </c>
      <c r="Z1317">
        <f t="shared" si="217"/>
        <v>-11902.06</v>
      </c>
    </row>
    <row r="1318" spans="1:26" x14ac:dyDescent="0.25">
      <c r="A1318" s="1">
        <v>46054</v>
      </c>
      <c r="B1318" t="s">
        <v>1754</v>
      </c>
      <c r="C1318" t="s">
        <v>17</v>
      </c>
      <c r="D1318" t="s">
        <v>18</v>
      </c>
      <c r="E1318">
        <v>130</v>
      </c>
      <c r="F1318">
        <v>0</v>
      </c>
      <c r="G1318">
        <v>80.849999999999994</v>
      </c>
      <c r="H1318">
        <v>10510.5</v>
      </c>
      <c r="I1318" t="s">
        <v>1769</v>
      </c>
      <c r="J1318">
        <v>10.52</v>
      </c>
      <c r="K1318">
        <v>3.74</v>
      </c>
      <c r="L1318">
        <v>0</v>
      </c>
      <c r="M1318">
        <v>0.02</v>
      </c>
      <c r="N1318">
        <v>58</v>
      </c>
      <c r="O1318">
        <v>11.12</v>
      </c>
      <c r="P1318">
        <v>83.4</v>
      </c>
      <c r="Q1318">
        <f t="shared" si="208"/>
        <v>2026</v>
      </c>
      <c r="R1318">
        <f t="shared" si="209"/>
        <v>2</v>
      </c>
      <c r="S1318">
        <f t="shared" si="210"/>
        <v>2025</v>
      </c>
      <c r="T1318">
        <f t="shared" si="211"/>
        <v>11</v>
      </c>
      <c r="U1318">
        <f t="shared" si="212"/>
        <v>11</v>
      </c>
      <c r="V1318" t="str">
        <f t="shared" si="213"/>
        <v>202511</v>
      </c>
      <c r="W1318" t="str">
        <f t="shared" si="214"/>
        <v>Feb-26</v>
      </c>
      <c r="X1318" s="3">
        <f t="shared" si="215"/>
        <v>10427.1</v>
      </c>
      <c r="Y1318">
        <f t="shared" si="216"/>
        <v>10427.1</v>
      </c>
      <c r="Z1318" t="str">
        <f t="shared" si="217"/>
        <v/>
      </c>
    </row>
    <row r="1319" spans="1:26" x14ac:dyDescent="0.25">
      <c r="A1319" s="1">
        <v>46054</v>
      </c>
      <c r="B1319" t="s">
        <v>1754</v>
      </c>
      <c r="C1319" t="s">
        <v>17</v>
      </c>
      <c r="D1319" t="s">
        <v>22</v>
      </c>
      <c r="E1319">
        <v>130</v>
      </c>
      <c r="F1319">
        <v>0</v>
      </c>
      <c r="G1319">
        <v>67.150000000000006</v>
      </c>
      <c r="H1319">
        <v>8729.5</v>
      </c>
      <c r="I1319" t="s">
        <v>1770</v>
      </c>
      <c r="J1319">
        <v>0</v>
      </c>
      <c r="K1319">
        <v>3.1</v>
      </c>
      <c r="L1319">
        <v>0.23</v>
      </c>
      <c r="M1319">
        <v>0.01</v>
      </c>
      <c r="N1319">
        <v>58</v>
      </c>
      <c r="O1319">
        <v>11</v>
      </c>
      <c r="P1319">
        <v>72.34</v>
      </c>
      <c r="Q1319">
        <f t="shared" si="208"/>
        <v>2026</v>
      </c>
      <c r="R1319">
        <f t="shared" si="209"/>
        <v>2</v>
      </c>
      <c r="S1319">
        <f t="shared" si="210"/>
        <v>2025</v>
      </c>
      <c r="T1319">
        <f t="shared" si="211"/>
        <v>11</v>
      </c>
      <c r="U1319">
        <f t="shared" si="212"/>
        <v>11</v>
      </c>
      <c r="V1319" t="str">
        <f t="shared" si="213"/>
        <v>202511</v>
      </c>
      <c r="W1319" t="str">
        <f t="shared" si="214"/>
        <v>Feb-26</v>
      </c>
      <c r="X1319" s="3">
        <f t="shared" si="215"/>
        <v>-8801.84</v>
      </c>
      <c r="Y1319" t="str">
        <f t="shared" si="216"/>
        <v/>
      </c>
      <c r="Z1319">
        <f t="shared" si="217"/>
        <v>-8801.84</v>
      </c>
    </row>
    <row r="1320" spans="1:26" x14ac:dyDescent="0.25">
      <c r="A1320" s="1">
        <v>46054</v>
      </c>
      <c r="B1320" t="s">
        <v>1771</v>
      </c>
      <c r="C1320" t="s">
        <v>17</v>
      </c>
      <c r="D1320" t="s">
        <v>18</v>
      </c>
      <c r="E1320">
        <v>65</v>
      </c>
      <c r="F1320">
        <v>0</v>
      </c>
      <c r="G1320">
        <v>202</v>
      </c>
      <c r="H1320">
        <v>13130</v>
      </c>
      <c r="I1320" t="s">
        <v>1772</v>
      </c>
      <c r="J1320">
        <v>13.13</v>
      </c>
      <c r="K1320">
        <v>4.67</v>
      </c>
      <c r="L1320">
        <v>0</v>
      </c>
      <c r="M1320">
        <v>0.01</v>
      </c>
      <c r="N1320">
        <v>29</v>
      </c>
      <c r="O1320">
        <v>6.06</v>
      </c>
      <c r="P1320">
        <v>52.87</v>
      </c>
      <c r="Q1320">
        <f t="shared" si="208"/>
        <v>2026</v>
      </c>
      <c r="R1320">
        <f t="shared" si="209"/>
        <v>2</v>
      </c>
      <c r="S1320">
        <f t="shared" si="210"/>
        <v>2025</v>
      </c>
      <c r="T1320">
        <f t="shared" si="211"/>
        <v>11</v>
      </c>
      <c r="U1320">
        <f t="shared" si="212"/>
        <v>11</v>
      </c>
      <c r="V1320" t="str">
        <f t="shared" si="213"/>
        <v>202511</v>
      </c>
      <c r="W1320" t="str">
        <f t="shared" si="214"/>
        <v>Feb-26</v>
      </c>
      <c r="X1320" s="3">
        <f t="shared" si="215"/>
        <v>13077.13</v>
      </c>
      <c r="Y1320">
        <f t="shared" si="216"/>
        <v>13077.13</v>
      </c>
      <c r="Z1320" t="str">
        <f t="shared" si="217"/>
        <v/>
      </c>
    </row>
    <row r="1321" spans="1:26" x14ac:dyDescent="0.25">
      <c r="A1321" s="1">
        <v>46054</v>
      </c>
      <c r="B1321" t="s">
        <v>1771</v>
      </c>
      <c r="C1321" t="s">
        <v>17</v>
      </c>
      <c r="D1321" t="s">
        <v>22</v>
      </c>
      <c r="E1321">
        <v>65</v>
      </c>
      <c r="F1321">
        <v>0</v>
      </c>
      <c r="G1321">
        <v>208.65</v>
      </c>
      <c r="H1321">
        <v>13562.25</v>
      </c>
      <c r="I1321" t="s">
        <v>1773</v>
      </c>
      <c r="J1321">
        <v>0</v>
      </c>
      <c r="K1321">
        <v>4.82</v>
      </c>
      <c r="L1321">
        <v>0.41</v>
      </c>
      <c r="M1321">
        <v>0.01</v>
      </c>
      <c r="N1321">
        <v>29</v>
      </c>
      <c r="O1321">
        <v>6.1</v>
      </c>
      <c r="P1321">
        <v>40.340000000000003</v>
      </c>
      <c r="Q1321">
        <f t="shared" si="208"/>
        <v>2026</v>
      </c>
      <c r="R1321">
        <f t="shared" si="209"/>
        <v>2</v>
      </c>
      <c r="S1321">
        <f t="shared" si="210"/>
        <v>2025</v>
      </c>
      <c r="T1321">
        <f t="shared" si="211"/>
        <v>11</v>
      </c>
      <c r="U1321">
        <f t="shared" si="212"/>
        <v>11</v>
      </c>
      <c r="V1321" t="str">
        <f t="shared" si="213"/>
        <v>202511</v>
      </c>
      <c r="W1321" t="str">
        <f t="shared" si="214"/>
        <v>Feb-26</v>
      </c>
      <c r="X1321" s="3">
        <f t="shared" si="215"/>
        <v>-13602.59</v>
      </c>
      <c r="Y1321" t="str">
        <f t="shared" si="216"/>
        <v/>
      </c>
      <c r="Z1321">
        <f t="shared" si="217"/>
        <v>-13602.59</v>
      </c>
    </row>
    <row r="1322" spans="1:26" x14ac:dyDescent="0.25">
      <c r="A1322" s="1">
        <v>46054</v>
      </c>
      <c r="B1322" t="s">
        <v>1754</v>
      </c>
      <c r="C1322" t="s">
        <v>17</v>
      </c>
      <c r="D1322" t="s">
        <v>18</v>
      </c>
      <c r="E1322">
        <v>65</v>
      </c>
      <c r="F1322">
        <v>0</v>
      </c>
      <c r="G1322">
        <v>208</v>
      </c>
      <c r="H1322">
        <v>13520</v>
      </c>
      <c r="I1322" t="s">
        <v>1774</v>
      </c>
      <c r="J1322">
        <v>13.54</v>
      </c>
      <c r="K1322">
        <v>4.8</v>
      </c>
      <c r="L1322">
        <v>0</v>
      </c>
      <c r="M1322">
        <v>0.01</v>
      </c>
      <c r="N1322">
        <v>29</v>
      </c>
      <c r="O1322">
        <v>6.08</v>
      </c>
      <c r="P1322">
        <v>53.43</v>
      </c>
      <c r="Q1322">
        <f t="shared" si="208"/>
        <v>2026</v>
      </c>
      <c r="R1322">
        <f t="shared" si="209"/>
        <v>2</v>
      </c>
      <c r="S1322">
        <f t="shared" si="210"/>
        <v>2025</v>
      </c>
      <c r="T1322">
        <f t="shared" si="211"/>
        <v>11</v>
      </c>
      <c r="U1322">
        <f t="shared" si="212"/>
        <v>11</v>
      </c>
      <c r="V1322" t="str">
        <f t="shared" si="213"/>
        <v>202511</v>
      </c>
      <c r="W1322" t="str">
        <f t="shared" si="214"/>
        <v>Feb-26</v>
      </c>
      <c r="X1322" s="3">
        <f t="shared" si="215"/>
        <v>13466.57</v>
      </c>
      <c r="Y1322">
        <f t="shared" si="216"/>
        <v>13466.57</v>
      </c>
      <c r="Z1322" t="str">
        <f t="shared" si="217"/>
        <v/>
      </c>
    </row>
    <row r="1323" spans="1:26" x14ac:dyDescent="0.25">
      <c r="A1323" s="1">
        <v>46054</v>
      </c>
      <c r="B1323" t="s">
        <v>1754</v>
      </c>
      <c r="C1323" t="s">
        <v>17</v>
      </c>
      <c r="D1323" t="s">
        <v>22</v>
      </c>
      <c r="E1323">
        <v>65</v>
      </c>
      <c r="F1323">
        <v>0</v>
      </c>
      <c r="G1323">
        <v>203.65</v>
      </c>
      <c r="H1323">
        <v>13237.25</v>
      </c>
      <c r="I1323" t="s">
        <v>1775</v>
      </c>
      <c r="J1323">
        <v>0</v>
      </c>
      <c r="K1323">
        <v>4.7</v>
      </c>
      <c r="L1323">
        <v>0</v>
      </c>
      <c r="M1323">
        <v>0.01</v>
      </c>
      <c r="N1323">
        <v>29</v>
      </c>
      <c r="O1323">
        <v>6.06</v>
      </c>
      <c r="P1323">
        <v>39.770000000000003</v>
      </c>
      <c r="Q1323">
        <f t="shared" si="208"/>
        <v>2026</v>
      </c>
      <c r="R1323">
        <f t="shared" si="209"/>
        <v>2</v>
      </c>
      <c r="S1323">
        <f t="shared" si="210"/>
        <v>2025</v>
      </c>
      <c r="T1323">
        <f t="shared" si="211"/>
        <v>11</v>
      </c>
      <c r="U1323">
        <f t="shared" si="212"/>
        <v>11</v>
      </c>
      <c r="V1323" t="str">
        <f t="shared" si="213"/>
        <v>202511</v>
      </c>
      <c r="W1323" t="str">
        <f t="shared" si="214"/>
        <v>Feb-26</v>
      </c>
      <c r="X1323" s="3">
        <f t="shared" si="215"/>
        <v>-13277.02</v>
      </c>
      <c r="Y1323" t="str">
        <f t="shared" si="216"/>
        <v/>
      </c>
      <c r="Z1323">
        <f t="shared" si="217"/>
        <v>-13277.02</v>
      </c>
    </row>
    <row r="1324" spans="1:26" x14ac:dyDescent="0.25">
      <c r="A1324" s="1">
        <v>46055</v>
      </c>
      <c r="B1324" t="s">
        <v>1776</v>
      </c>
      <c r="C1324" t="s">
        <v>17</v>
      </c>
      <c r="D1324" t="s">
        <v>18</v>
      </c>
      <c r="E1324">
        <v>130</v>
      </c>
      <c r="F1324">
        <v>0</v>
      </c>
      <c r="G1324">
        <v>147.9</v>
      </c>
      <c r="H1324">
        <v>19227</v>
      </c>
      <c r="I1324" t="s">
        <v>1777</v>
      </c>
      <c r="J1324">
        <v>19.22</v>
      </c>
      <c r="K1324">
        <v>6.84</v>
      </c>
      <c r="L1324">
        <v>0</v>
      </c>
      <c r="M1324">
        <v>0.02</v>
      </c>
      <c r="N1324">
        <v>58</v>
      </c>
      <c r="O1324">
        <v>11.68</v>
      </c>
      <c r="P1324">
        <v>95.76</v>
      </c>
      <c r="Q1324">
        <f t="shared" ref="Q1324:Q1387" si="218">YEAR(A1324)</f>
        <v>2026</v>
      </c>
      <c r="R1324">
        <f t="shared" ref="R1324:R1387" si="219">MONTH(A1324)</f>
        <v>2</v>
      </c>
      <c r="S1324">
        <f t="shared" ref="S1324:S1387" si="220">IF(R1324&lt;4,Q1324-1,Q1324)</f>
        <v>2025</v>
      </c>
      <c r="T1324">
        <f t="shared" ref="T1324:T1387" si="221">IF(R1324&lt;4,R1324+9,R1324-3)</f>
        <v>11</v>
      </c>
      <c r="U1324">
        <f t="shared" ref="U1324:U1387" si="222">IF(LEN(T1324)=1,_xlfn.CONCAT(0,T1324),T1324)</f>
        <v>11</v>
      </c>
      <c r="V1324" t="str">
        <f t="shared" ref="V1324:V1387" si="223">_xlfn.CONCAT(S1324,U1324)</f>
        <v>202511</v>
      </c>
      <c r="W1324" t="str">
        <f t="shared" ref="W1324:W1387" si="224">_xlfn.CONCAT(TEXT(A1324,"MMM"),"-",MID(Q1324,3,2))</f>
        <v>Feb-26</v>
      </c>
      <c r="X1324" s="3">
        <f t="shared" ref="X1324:X1387" si="225">IFERROR(IF(D1324="Sell",(H1324-P1324),-(H1324+P1324)),0)</f>
        <v>19131.240000000002</v>
      </c>
      <c r="Y1324">
        <f t="shared" si="216"/>
        <v>19131.240000000002</v>
      </c>
      <c r="Z1324" t="str">
        <f t="shared" si="217"/>
        <v/>
      </c>
    </row>
    <row r="1325" spans="1:26" x14ac:dyDescent="0.25">
      <c r="A1325" s="1">
        <v>46055</v>
      </c>
      <c r="B1325" t="s">
        <v>1776</v>
      </c>
      <c r="C1325" t="s">
        <v>17</v>
      </c>
      <c r="D1325" t="s">
        <v>22</v>
      </c>
      <c r="E1325">
        <v>130</v>
      </c>
      <c r="F1325">
        <v>0</v>
      </c>
      <c r="G1325">
        <v>121.75</v>
      </c>
      <c r="H1325">
        <v>15827.5</v>
      </c>
      <c r="I1325" t="s">
        <v>1778</v>
      </c>
      <c r="J1325">
        <v>0</v>
      </c>
      <c r="K1325">
        <v>5.62</v>
      </c>
      <c r="L1325">
        <v>0.47</v>
      </c>
      <c r="M1325">
        <v>0.02</v>
      </c>
      <c r="N1325">
        <v>58</v>
      </c>
      <c r="O1325">
        <v>11.46</v>
      </c>
      <c r="P1325">
        <v>75.569999999999993</v>
      </c>
      <c r="Q1325">
        <f t="shared" si="218"/>
        <v>2026</v>
      </c>
      <c r="R1325">
        <f t="shared" si="219"/>
        <v>2</v>
      </c>
      <c r="S1325">
        <f t="shared" si="220"/>
        <v>2025</v>
      </c>
      <c r="T1325">
        <f t="shared" si="221"/>
        <v>11</v>
      </c>
      <c r="U1325">
        <f t="shared" si="222"/>
        <v>11</v>
      </c>
      <c r="V1325" t="str">
        <f t="shared" si="223"/>
        <v>202511</v>
      </c>
      <c r="W1325" t="str">
        <f t="shared" si="224"/>
        <v>Feb-26</v>
      </c>
      <c r="X1325" s="3">
        <f t="shared" si="225"/>
        <v>-15903.07</v>
      </c>
      <c r="Y1325" t="str">
        <f t="shared" si="216"/>
        <v/>
      </c>
      <c r="Z1325">
        <f t="shared" si="217"/>
        <v>-15903.07</v>
      </c>
    </row>
    <row r="1326" spans="1:26" x14ac:dyDescent="0.25">
      <c r="A1326" s="1">
        <v>46055</v>
      </c>
      <c r="B1326" t="s">
        <v>1779</v>
      </c>
      <c r="C1326" t="s">
        <v>17</v>
      </c>
      <c r="D1326" t="s">
        <v>18</v>
      </c>
      <c r="E1326">
        <v>65</v>
      </c>
      <c r="F1326">
        <v>0</v>
      </c>
      <c r="G1326">
        <v>209.9</v>
      </c>
      <c r="H1326">
        <v>13643.5</v>
      </c>
      <c r="I1326" t="s">
        <v>1780</v>
      </c>
      <c r="J1326">
        <v>13.64</v>
      </c>
      <c r="K1326">
        <v>4.8499999999999996</v>
      </c>
      <c r="L1326">
        <v>0</v>
      </c>
      <c r="M1326">
        <v>0.01</v>
      </c>
      <c r="N1326">
        <v>29</v>
      </c>
      <c r="O1326">
        <v>6.1</v>
      </c>
      <c r="P1326">
        <v>53.6</v>
      </c>
      <c r="Q1326">
        <f t="shared" si="218"/>
        <v>2026</v>
      </c>
      <c r="R1326">
        <f t="shared" si="219"/>
        <v>2</v>
      </c>
      <c r="S1326">
        <f t="shared" si="220"/>
        <v>2025</v>
      </c>
      <c r="T1326">
        <f t="shared" si="221"/>
        <v>11</v>
      </c>
      <c r="U1326">
        <f t="shared" si="222"/>
        <v>11</v>
      </c>
      <c r="V1326" t="str">
        <f t="shared" si="223"/>
        <v>202511</v>
      </c>
      <c r="W1326" t="str">
        <f t="shared" si="224"/>
        <v>Feb-26</v>
      </c>
      <c r="X1326" s="3">
        <f t="shared" si="225"/>
        <v>13589.9</v>
      </c>
      <c r="Y1326">
        <f t="shared" si="216"/>
        <v>13589.9</v>
      </c>
      <c r="Z1326" t="str">
        <f t="shared" si="217"/>
        <v/>
      </c>
    </row>
    <row r="1327" spans="1:26" x14ac:dyDescent="0.25">
      <c r="A1327" s="1">
        <v>46055</v>
      </c>
      <c r="B1327" t="s">
        <v>1779</v>
      </c>
      <c r="C1327" t="s">
        <v>17</v>
      </c>
      <c r="D1327" t="s">
        <v>22</v>
      </c>
      <c r="E1327">
        <v>65</v>
      </c>
      <c r="F1327">
        <v>0</v>
      </c>
      <c r="G1327">
        <v>192.55</v>
      </c>
      <c r="H1327">
        <v>12515.75</v>
      </c>
      <c r="I1327" t="s">
        <v>1781</v>
      </c>
      <c r="J1327">
        <v>0</v>
      </c>
      <c r="K1327">
        <v>4.45</v>
      </c>
      <c r="L1327">
        <v>0</v>
      </c>
      <c r="M1327">
        <v>0.01</v>
      </c>
      <c r="N1327">
        <v>29</v>
      </c>
      <c r="O1327">
        <v>6.02</v>
      </c>
      <c r="P1327">
        <v>39.479999999999997</v>
      </c>
      <c r="Q1327">
        <f t="shared" si="218"/>
        <v>2026</v>
      </c>
      <c r="R1327">
        <f t="shared" si="219"/>
        <v>2</v>
      </c>
      <c r="S1327">
        <f t="shared" si="220"/>
        <v>2025</v>
      </c>
      <c r="T1327">
        <f t="shared" si="221"/>
        <v>11</v>
      </c>
      <c r="U1327">
        <f t="shared" si="222"/>
        <v>11</v>
      </c>
      <c r="V1327" t="str">
        <f t="shared" si="223"/>
        <v>202511</v>
      </c>
      <c r="W1327" t="str">
        <f t="shared" si="224"/>
        <v>Feb-26</v>
      </c>
      <c r="X1327" s="3">
        <f t="shared" si="225"/>
        <v>-12555.23</v>
      </c>
      <c r="Y1327" t="str">
        <f t="shared" si="216"/>
        <v/>
      </c>
      <c r="Z1327">
        <f t="shared" si="217"/>
        <v>-12555.23</v>
      </c>
    </row>
    <row r="1328" spans="1:26" x14ac:dyDescent="0.25">
      <c r="A1328" s="1">
        <v>46055</v>
      </c>
      <c r="B1328" t="s">
        <v>1779</v>
      </c>
      <c r="C1328" t="s">
        <v>17</v>
      </c>
      <c r="D1328" t="s">
        <v>18</v>
      </c>
      <c r="E1328">
        <v>65</v>
      </c>
      <c r="F1328">
        <v>0</v>
      </c>
      <c r="G1328">
        <v>114.15</v>
      </c>
      <c r="H1328">
        <v>7419.75</v>
      </c>
      <c r="I1328" t="s">
        <v>1782</v>
      </c>
      <c r="J1328">
        <v>7.42</v>
      </c>
      <c r="K1328">
        <v>2.64</v>
      </c>
      <c r="L1328">
        <v>0</v>
      </c>
      <c r="M1328">
        <v>0.01</v>
      </c>
      <c r="N1328">
        <v>29</v>
      </c>
      <c r="O1328">
        <v>5.7</v>
      </c>
      <c r="P1328">
        <v>44.77</v>
      </c>
      <c r="Q1328">
        <f t="shared" si="218"/>
        <v>2026</v>
      </c>
      <c r="R1328">
        <f t="shared" si="219"/>
        <v>2</v>
      </c>
      <c r="S1328">
        <f t="shared" si="220"/>
        <v>2025</v>
      </c>
      <c r="T1328">
        <f t="shared" si="221"/>
        <v>11</v>
      </c>
      <c r="U1328">
        <f t="shared" si="222"/>
        <v>11</v>
      </c>
      <c r="V1328" t="str">
        <f t="shared" si="223"/>
        <v>202511</v>
      </c>
      <c r="W1328" t="str">
        <f t="shared" si="224"/>
        <v>Feb-26</v>
      </c>
      <c r="X1328" s="3">
        <f t="shared" si="225"/>
        <v>7374.98</v>
      </c>
      <c r="Y1328">
        <f t="shared" si="216"/>
        <v>7374.98</v>
      </c>
      <c r="Z1328" t="str">
        <f t="shared" si="217"/>
        <v/>
      </c>
    </row>
    <row r="1329" spans="1:26" x14ac:dyDescent="0.25">
      <c r="A1329" s="1">
        <v>46055</v>
      </c>
      <c r="B1329" t="s">
        <v>1779</v>
      </c>
      <c r="C1329" t="s">
        <v>17</v>
      </c>
      <c r="D1329" t="s">
        <v>22</v>
      </c>
      <c r="E1329">
        <v>65</v>
      </c>
      <c r="F1329">
        <v>0</v>
      </c>
      <c r="G1329">
        <v>116.4</v>
      </c>
      <c r="H1329">
        <v>7566</v>
      </c>
      <c r="I1329" t="s">
        <v>1783</v>
      </c>
      <c r="J1329">
        <v>0</v>
      </c>
      <c r="K1329">
        <v>2.69</v>
      </c>
      <c r="L1329">
        <v>0.19</v>
      </c>
      <c r="M1329">
        <v>0.01</v>
      </c>
      <c r="N1329">
        <v>29</v>
      </c>
      <c r="O1329">
        <v>5.7</v>
      </c>
      <c r="P1329">
        <v>37.590000000000003</v>
      </c>
      <c r="Q1329">
        <f t="shared" si="218"/>
        <v>2026</v>
      </c>
      <c r="R1329">
        <f t="shared" si="219"/>
        <v>2</v>
      </c>
      <c r="S1329">
        <f t="shared" si="220"/>
        <v>2025</v>
      </c>
      <c r="T1329">
        <f t="shared" si="221"/>
        <v>11</v>
      </c>
      <c r="U1329">
        <f t="shared" si="222"/>
        <v>11</v>
      </c>
      <c r="V1329" t="str">
        <f t="shared" si="223"/>
        <v>202511</v>
      </c>
      <c r="W1329" t="str">
        <f t="shared" si="224"/>
        <v>Feb-26</v>
      </c>
      <c r="X1329" s="3">
        <f t="shared" si="225"/>
        <v>-7603.59</v>
      </c>
      <c r="Y1329" t="str">
        <f t="shared" si="216"/>
        <v/>
      </c>
      <c r="Z1329">
        <f t="shared" si="217"/>
        <v>-7603.59</v>
      </c>
    </row>
    <row r="1330" spans="1:26" x14ac:dyDescent="0.25">
      <c r="A1330" s="1">
        <v>46055</v>
      </c>
      <c r="B1330" t="s">
        <v>1784</v>
      </c>
      <c r="C1330" t="s">
        <v>17</v>
      </c>
      <c r="D1330" t="s">
        <v>18</v>
      </c>
      <c r="E1330">
        <v>65</v>
      </c>
      <c r="F1330">
        <v>0</v>
      </c>
      <c r="G1330">
        <v>196.9</v>
      </c>
      <c r="H1330">
        <v>12798.5</v>
      </c>
      <c r="I1330" t="s">
        <v>1785</v>
      </c>
      <c r="J1330">
        <v>12.71</v>
      </c>
      <c r="K1330">
        <v>4.55</v>
      </c>
      <c r="L1330">
        <v>0</v>
      </c>
      <c r="M1330">
        <v>0.01</v>
      </c>
      <c r="N1330">
        <v>29</v>
      </c>
      <c r="O1330">
        <v>6.04</v>
      </c>
      <c r="P1330">
        <v>52.31</v>
      </c>
      <c r="Q1330">
        <f t="shared" si="218"/>
        <v>2026</v>
      </c>
      <c r="R1330">
        <f t="shared" si="219"/>
        <v>2</v>
      </c>
      <c r="S1330">
        <f t="shared" si="220"/>
        <v>2025</v>
      </c>
      <c r="T1330">
        <f t="shared" si="221"/>
        <v>11</v>
      </c>
      <c r="U1330">
        <f t="shared" si="222"/>
        <v>11</v>
      </c>
      <c r="V1330" t="str">
        <f t="shared" si="223"/>
        <v>202511</v>
      </c>
      <c r="W1330" t="str">
        <f t="shared" si="224"/>
        <v>Feb-26</v>
      </c>
      <c r="X1330" s="3">
        <f t="shared" si="225"/>
        <v>12746.19</v>
      </c>
      <c r="Y1330">
        <f t="shared" si="216"/>
        <v>12746.19</v>
      </c>
      <c r="Z1330" t="str">
        <f t="shared" si="217"/>
        <v/>
      </c>
    </row>
    <row r="1331" spans="1:26" x14ac:dyDescent="0.25">
      <c r="A1331" s="1">
        <v>46055</v>
      </c>
      <c r="B1331" t="s">
        <v>1784</v>
      </c>
      <c r="C1331" t="s">
        <v>17</v>
      </c>
      <c r="D1331" t="s">
        <v>22</v>
      </c>
      <c r="E1331">
        <v>65</v>
      </c>
      <c r="F1331">
        <v>0</v>
      </c>
      <c r="G1331">
        <v>176.65</v>
      </c>
      <c r="H1331">
        <v>11482.25</v>
      </c>
      <c r="I1331" t="s">
        <v>1786</v>
      </c>
      <c r="J1331">
        <v>0</v>
      </c>
      <c r="K1331">
        <v>4.08</v>
      </c>
      <c r="L1331">
        <v>0.34</v>
      </c>
      <c r="M1331">
        <v>0.01</v>
      </c>
      <c r="N1331">
        <v>29</v>
      </c>
      <c r="O1331">
        <v>5.96</v>
      </c>
      <c r="P1331">
        <v>39.39</v>
      </c>
      <c r="Q1331">
        <f t="shared" si="218"/>
        <v>2026</v>
      </c>
      <c r="R1331">
        <f t="shared" si="219"/>
        <v>2</v>
      </c>
      <c r="S1331">
        <f t="shared" si="220"/>
        <v>2025</v>
      </c>
      <c r="T1331">
        <f t="shared" si="221"/>
        <v>11</v>
      </c>
      <c r="U1331">
        <f t="shared" si="222"/>
        <v>11</v>
      </c>
      <c r="V1331" t="str">
        <f t="shared" si="223"/>
        <v>202511</v>
      </c>
      <c r="W1331" t="str">
        <f t="shared" si="224"/>
        <v>Feb-26</v>
      </c>
      <c r="X1331" s="3">
        <f t="shared" si="225"/>
        <v>-11521.64</v>
      </c>
      <c r="Y1331" t="str">
        <f t="shared" si="216"/>
        <v/>
      </c>
      <c r="Z1331">
        <f t="shared" si="217"/>
        <v>-11521.64</v>
      </c>
    </row>
    <row r="1332" spans="1:26" x14ac:dyDescent="0.25">
      <c r="A1332" s="1">
        <v>46056</v>
      </c>
      <c r="B1332" t="s">
        <v>1787</v>
      </c>
      <c r="C1332" t="s">
        <v>17</v>
      </c>
      <c r="D1332" t="s">
        <v>18</v>
      </c>
      <c r="E1332">
        <v>195</v>
      </c>
      <c r="F1332">
        <v>0</v>
      </c>
      <c r="G1332">
        <v>109.9</v>
      </c>
      <c r="H1332">
        <v>21430.5</v>
      </c>
      <c r="I1332" t="s">
        <v>1788</v>
      </c>
      <c r="J1332">
        <v>21</v>
      </c>
      <c r="K1332">
        <v>7.61</v>
      </c>
      <c r="L1332">
        <v>0</v>
      </c>
      <c r="M1332">
        <v>0.02</v>
      </c>
      <c r="N1332">
        <v>87</v>
      </c>
      <c r="O1332">
        <v>17.04</v>
      </c>
      <c r="P1332">
        <v>132.66999999999999</v>
      </c>
      <c r="Q1332">
        <f t="shared" si="218"/>
        <v>2026</v>
      </c>
      <c r="R1332">
        <f t="shared" si="219"/>
        <v>2</v>
      </c>
      <c r="S1332">
        <f t="shared" si="220"/>
        <v>2025</v>
      </c>
      <c r="T1332">
        <f t="shared" si="221"/>
        <v>11</v>
      </c>
      <c r="U1332">
        <f t="shared" si="222"/>
        <v>11</v>
      </c>
      <c r="V1332" t="str">
        <f t="shared" si="223"/>
        <v>202511</v>
      </c>
      <c r="W1332" t="str">
        <f t="shared" si="224"/>
        <v>Feb-26</v>
      </c>
      <c r="X1332" s="3">
        <f t="shared" si="225"/>
        <v>21297.83</v>
      </c>
      <c r="Y1332">
        <f t="shared" si="216"/>
        <v>21297.83</v>
      </c>
      <c r="Z1332" t="str">
        <f t="shared" si="217"/>
        <v/>
      </c>
    </row>
    <row r="1333" spans="1:26" x14ac:dyDescent="0.25">
      <c r="A1333" s="1">
        <v>46056</v>
      </c>
      <c r="B1333" t="s">
        <v>1787</v>
      </c>
      <c r="C1333" t="s">
        <v>17</v>
      </c>
      <c r="D1333" t="s">
        <v>22</v>
      </c>
      <c r="E1333">
        <v>65</v>
      </c>
      <c r="F1333">
        <v>0</v>
      </c>
      <c r="G1333">
        <v>102.35</v>
      </c>
      <c r="H1333">
        <v>6652.75</v>
      </c>
      <c r="I1333" t="s">
        <v>1789</v>
      </c>
      <c r="J1333">
        <v>0</v>
      </c>
      <c r="K1333">
        <v>2.36</v>
      </c>
      <c r="L1333">
        <v>0</v>
      </c>
      <c r="M1333">
        <v>0.01</v>
      </c>
      <c r="N1333">
        <v>29</v>
      </c>
      <c r="O1333">
        <v>5.64</v>
      </c>
      <c r="P1333">
        <v>37.01</v>
      </c>
      <c r="Q1333">
        <f t="shared" si="218"/>
        <v>2026</v>
      </c>
      <c r="R1333">
        <f t="shared" si="219"/>
        <v>2</v>
      </c>
      <c r="S1333">
        <f t="shared" si="220"/>
        <v>2025</v>
      </c>
      <c r="T1333">
        <f t="shared" si="221"/>
        <v>11</v>
      </c>
      <c r="U1333">
        <f t="shared" si="222"/>
        <v>11</v>
      </c>
      <c r="V1333" t="str">
        <f t="shared" si="223"/>
        <v>202511</v>
      </c>
      <c r="W1333" t="str">
        <f t="shared" si="224"/>
        <v>Feb-26</v>
      </c>
      <c r="X1333" s="3">
        <f t="shared" si="225"/>
        <v>-6689.76</v>
      </c>
      <c r="Y1333" t="str">
        <f t="shared" si="216"/>
        <v/>
      </c>
      <c r="Z1333">
        <f t="shared" si="217"/>
        <v>-6689.76</v>
      </c>
    </row>
    <row r="1334" spans="1:26" x14ac:dyDescent="0.25">
      <c r="A1334" s="1">
        <v>46056</v>
      </c>
      <c r="B1334" t="s">
        <v>1787</v>
      </c>
      <c r="C1334" t="s">
        <v>17</v>
      </c>
      <c r="D1334" t="s">
        <v>22</v>
      </c>
      <c r="E1334">
        <v>65</v>
      </c>
      <c r="F1334">
        <v>0</v>
      </c>
      <c r="G1334">
        <v>161.1</v>
      </c>
      <c r="H1334">
        <v>10471.5</v>
      </c>
      <c r="I1334" t="s">
        <v>1790</v>
      </c>
      <c r="J1334">
        <v>0</v>
      </c>
      <c r="K1334">
        <v>3.72</v>
      </c>
      <c r="L1334">
        <v>0</v>
      </c>
      <c r="M1334">
        <v>0.01</v>
      </c>
      <c r="N1334">
        <v>29</v>
      </c>
      <c r="O1334">
        <v>5.9</v>
      </c>
      <c r="P1334">
        <v>38.630000000000003</v>
      </c>
      <c r="Q1334">
        <f t="shared" si="218"/>
        <v>2026</v>
      </c>
      <c r="R1334">
        <f t="shared" si="219"/>
        <v>2</v>
      </c>
      <c r="S1334">
        <f t="shared" si="220"/>
        <v>2025</v>
      </c>
      <c r="T1334">
        <f t="shared" si="221"/>
        <v>11</v>
      </c>
      <c r="U1334">
        <f t="shared" si="222"/>
        <v>11</v>
      </c>
      <c r="V1334" t="str">
        <f t="shared" si="223"/>
        <v>202511</v>
      </c>
      <c r="W1334" t="str">
        <f t="shared" si="224"/>
        <v>Feb-26</v>
      </c>
      <c r="X1334" s="3">
        <f t="shared" si="225"/>
        <v>-10510.13</v>
      </c>
      <c r="Y1334" t="str">
        <f t="shared" si="216"/>
        <v/>
      </c>
      <c r="Z1334">
        <f t="shared" si="217"/>
        <v>-10510.13</v>
      </c>
    </row>
    <row r="1335" spans="1:26" x14ac:dyDescent="0.25">
      <c r="A1335" s="1">
        <v>46056</v>
      </c>
      <c r="B1335" t="s">
        <v>1787</v>
      </c>
      <c r="C1335" t="s">
        <v>17</v>
      </c>
      <c r="D1335" t="s">
        <v>22</v>
      </c>
      <c r="E1335">
        <v>65</v>
      </c>
      <c r="F1335">
        <v>0</v>
      </c>
      <c r="G1335">
        <v>149.30000000000001</v>
      </c>
      <c r="H1335">
        <v>9704.5</v>
      </c>
      <c r="I1335" t="s">
        <v>1791</v>
      </c>
      <c r="J1335">
        <v>0</v>
      </c>
      <c r="K1335">
        <v>3.45</v>
      </c>
      <c r="L1335">
        <v>1</v>
      </c>
      <c r="M1335">
        <v>0.01</v>
      </c>
      <c r="N1335">
        <v>29</v>
      </c>
      <c r="O1335">
        <v>5.84</v>
      </c>
      <c r="P1335">
        <v>39.299999999999997</v>
      </c>
      <c r="Q1335">
        <f t="shared" si="218"/>
        <v>2026</v>
      </c>
      <c r="R1335">
        <f t="shared" si="219"/>
        <v>2</v>
      </c>
      <c r="S1335">
        <f t="shared" si="220"/>
        <v>2025</v>
      </c>
      <c r="T1335">
        <f t="shared" si="221"/>
        <v>11</v>
      </c>
      <c r="U1335">
        <f t="shared" si="222"/>
        <v>11</v>
      </c>
      <c r="V1335" t="str">
        <f t="shared" si="223"/>
        <v>202511</v>
      </c>
      <c r="W1335" t="str">
        <f t="shared" si="224"/>
        <v>Feb-26</v>
      </c>
      <c r="X1335" s="3">
        <f t="shared" si="225"/>
        <v>-9743.7999999999993</v>
      </c>
      <c r="Y1335" t="str">
        <f t="shared" si="216"/>
        <v/>
      </c>
      <c r="Z1335">
        <f t="shared" si="217"/>
        <v>-9743.7999999999993</v>
      </c>
    </row>
    <row r="1336" spans="1:26" x14ac:dyDescent="0.25">
      <c r="A1336" s="1">
        <v>46057</v>
      </c>
      <c r="B1336" t="s">
        <v>1792</v>
      </c>
      <c r="C1336" t="s">
        <v>17</v>
      </c>
      <c r="D1336" t="s">
        <v>18</v>
      </c>
      <c r="E1336">
        <v>65</v>
      </c>
      <c r="F1336">
        <v>0</v>
      </c>
      <c r="G1336">
        <v>174</v>
      </c>
      <c r="H1336">
        <v>11310</v>
      </c>
      <c r="I1336" t="s">
        <v>1793</v>
      </c>
      <c r="J1336">
        <v>11.31</v>
      </c>
      <c r="K1336">
        <v>4.0199999999999996</v>
      </c>
      <c r="L1336">
        <v>0</v>
      </c>
      <c r="M1336">
        <v>0.01</v>
      </c>
      <c r="N1336">
        <v>29</v>
      </c>
      <c r="O1336">
        <v>5.94</v>
      </c>
      <c r="P1336">
        <v>50.28</v>
      </c>
      <c r="Q1336">
        <f t="shared" si="218"/>
        <v>2026</v>
      </c>
      <c r="R1336">
        <f t="shared" si="219"/>
        <v>2</v>
      </c>
      <c r="S1336">
        <f t="shared" si="220"/>
        <v>2025</v>
      </c>
      <c r="T1336">
        <f t="shared" si="221"/>
        <v>11</v>
      </c>
      <c r="U1336">
        <f t="shared" si="222"/>
        <v>11</v>
      </c>
      <c r="V1336" t="str">
        <f t="shared" si="223"/>
        <v>202511</v>
      </c>
      <c r="W1336" t="str">
        <f t="shared" si="224"/>
        <v>Feb-26</v>
      </c>
      <c r="X1336" s="3">
        <f t="shared" si="225"/>
        <v>11259.72</v>
      </c>
      <c r="Y1336">
        <f t="shared" si="216"/>
        <v>11259.72</v>
      </c>
      <c r="Z1336" t="str">
        <f t="shared" si="217"/>
        <v/>
      </c>
    </row>
    <row r="1337" spans="1:26" x14ac:dyDescent="0.25">
      <c r="A1337" s="1">
        <v>46057</v>
      </c>
      <c r="B1337" t="s">
        <v>1792</v>
      </c>
      <c r="C1337" t="s">
        <v>17</v>
      </c>
      <c r="D1337" t="s">
        <v>22</v>
      </c>
      <c r="E1337">
        <v>65</v>
      </c>
      <c r="F1337">
        <v>0</v>
      </c>
      <c r="G1337">
        <v>174.5</v>
      </c>
      <c r="H1337">
        <v>11342.5</v>
      </c>
      <c r="I1337" t="s">
        <v>1794</v>
      </c>
      <c r="J1337">
        <v>0</v>
      </c>
      <c r="K1337">
        <v>4.03</v>
      </c>
      <c r="L1337">
        <v>0.34</v>
      </c>
      <c r="M1337">
        <v>0.01</v>
      </c>
      <c r="N1337">
        <v>29</v>
      </c>
      <c r="O1337">
        <v>5.94</v>
      </c>
      <c r="P1337">
        <v>39.32</v>
      </c>
      <c r="Q1337">
        <f t="shared" si="218"/>
        <v>2026</v>
      </c>
      <c r="R1337">
        <f t="shared" si="219"/>
        <v>2</v>
      </c>
      <c r="S1337">
        <f t="shared" si="220"/>
        <v>2025</v>
      </c>
      <c r="T1337">
        <f t="shared" si="221"/>
        <v>11</v>
      </c>
      <c r="U1337">
        <f t="shared" si="222"/>
        <v>11</v>
      </c>
      <c r="V1337" t="str">
        <f t="shared" si="223"/>
        <v>202511</v>
      </c>
      <c r="W1337" t="str">
        <f t="shared" si="224"/>
        <v>Feb-26</v>
      </c>
      <c r="X1337" s="3">
        <f t="shared" si="225"/>
        <v>-11381.82</v>
      </c>
      <c r="Y1337" t="str">
        <f t="shared" si="216"/>
        <v/>
      </c>
      <c r="Z1337">
        <f t="shared" si="217"/>
        <v>-11381.82</v>
      </c>
    </row>
    <row r="1338" spans="1:26" x14ac:dyDescent="0.25">
      <c r="A1338" s="1">
        <v>46057</v>
      </c>
      <c r="B1338" t="s">
        <v>1795</v>
      </c>
      <c r="C1338" t="s">
        <v>17</v>
      </c>
      <c r="D1338" t="s">
        <v>18</v>
      </c>
      <c r="E1338">
        <v>65</v>
      </c>
      <c r="F1338">
        <v>0</v>
      </c>
      <c r="G1338">
        <v>169.9</v>
      </c>
      <c r="H1338">
        <v>11043.5</v>
      </c>
      <c r="I1338" t="s">
        <v>1796</v>
      </c>
      <c r="J1338">
        <v>11.04</v>
      </c>
      <c r="K1338">
        <v>3.92</v>
      </c>
      <c r="L1338">
        <v>0</v>
      </c>
      <c r="M1338">
        <v>0.01</v>
      </c>
      <c r="N1338">
        <v>29</v>
      </c>
      <c r="O1338">
        <v>5.92</v>
      </c>
      <c r="P1338">
        <v>49.89</v>
      </c>
      <c r="Q1338">
        <f t="shared" si="218"/>
        <v>2026</v>
      </c>
      <c r="R1338">
        <f t="shared" si="219"/>
        <v>2</v>
      </c>
      <c r="S1338">
        <f t="shared" si="220"/>
        <v>2025</v>
      </c>
      <c r="T1338">
        <f t="shared" si="221"/>
        <v>11</v>
      </c>
      <c r="U1338">
        <f t="shared" si="222"/>
        <v>11</v>
      </c>
      <c r="V1338" t="str">
        <f t="shared" si="223"/>
        <v>202511</v>
      </c>
      <c r="W1338" t="str">
        <f t="shared" si="224"/>
        <v>Feb-26</v>
      </c>
      <c r="X1338" s="3">
        <f t="shared" si="225"/>
        <v>10993.61</v>
      </c>
      <c r="Y1338">
        <f t="shared" si="216"/>
        <v>10993.61</v>
      </c>
      <c r="Z1338" t="str">
        <f t="shared" si="217"/>
        <v/>
      </c>
    </row>
    <row r="1339" spans="1:26" x14ac:dyDescent="0.25">
      <c r="A1339" s="1">
        <v>46057</v>
      </c>
      <c r="B1339" t="s">
        <v>1795</v>
      </c>
      <c r="C1339" t="s">
        <v>17</v>
      </c>
      <c r="D1339" t="s">
        <v>22</v>
      </c>
      <c r="E1339">
        <v>65</v>
      </c>
      <c r="F1339">
        <v>0</v>
      </c>
      <c r="G1339">
        <v>160.25</v>
      </c>
      <c r="H1339">
        <v>10416.25</v>
      </c>
      <c r="I1339" t="s">
        <v>1797</v>
      </c>
      <c r="J1339">
        <v>0</v>
      </c>
      <c r="K1339">
        <v>3.7</v>
      </c>
      <c r="L1339">
        <v>0.31</v>
      </c>
      <c r="M1339">
        <v>0.01</v>
      </c>
      <c r="N1339">
        <v>29</v>
      </c>
      <c r="O1339">
        <v>5.88</v>
      </c>
      <c r="P1339">
        <v>38.9</v>
      </c>
      <c r="Q1339">
        <f t="shared" si="218"/>
        <v>2026</v>
      </c>
      <c r="R1339">
        <f t="shared" si="219"/>
        <v>2</v>
      </c>
      <c r="S1339">
        <f t="shared" si="220"/>
        <v>2025</v>
      </c>
      <c r="T1339">
        <f t="shared" si="221"/>
        <v>11</v>
      </c>
      <c r="U1339">
        <f t="shared" si="222"/>
        <v>11</v>
      </c>
      <c r="V1339" t="str">
        <f t="shared" si="223"/>
        <v>202511</v>
      </c>
      <c r="W1339" t="str">
        <f t="shared" si="224"/>
        <v>Feb-26</v>
      </c>
      <c r="X1339" s="3">
        <f t="shared" si="225"/>
        <v>-10455.15</v>
      </c>
      <c r="Y1339" t="str">
        <f t="shared" si="216"/>
        <v/>
      </c>
      <c r="Z1339">
        <f t="shared" si="217"/>
        <v>-10455.15</v>
      </c>
    </row>
    <row r="1340" spans="1:26" x14ac:dyDescent="0.25">
      <c r="A1340" s="1">
        <v>46057</v>
      </c>
      <c r="B1340" t="s">
        <v>1798</v>
      </c>
      <c r="C1340" t="s">
        <v>17</v>
      </c>
      <c r="D1340" t="s">
        <v>18</v>
      </c>
      <c r="E1340">
        <v>130</v>
      </c>
      <c r="F1340">
        <v>0</v>
      </c>
      <c r="G1340">
        <v>199.9</v>
      </c>
      <c r="H1340">
        <v>25987</v>
      </c>
      <c r="I1340" t="s">
        <v>1799</v>
      </c>
      <c r="J1340">
        <v>25.64</v>
      </c>
      <c r="K1340">
        <v>9.24</v>
      </c>
      <c r="L1340">
        <v>0</v>
      </c>
      <c r="M1340">
        <v>0.02</v>
      </c>
      <c r="N1340">
        <v>58</v>
      </c>
      <c r="O1340">
        <v>12.12</v>
      </c>
      <c r="P1340">
        <v>105.02</v>
      </c>
      <c r="Q1340">
        <f t="shared" si="218"/>
        <v>2026</v>
      </c>
      <c r="R1340">
        <f t="shared" si="219"/>
        <v>2</v>
      </c>
      <c r="S1340">
        <f t="shared" si="220"/>
        <v>2025</v>
      </c>
      <c r="T1340">
        <f t="shared" si="221"/>
        <v>11</v>
      </c>
      <c r="U1340">
        <f t="shared" si="222"/>
        <v>11</v>
      </c>
      <c r="V1340" t="str">
        <f t="shared" si="223"/>
        <v>202511</v>
      </c>
      <c r="W1340" t="str">
        <f t="shared" si="224"/>
        <v>Feb-26</v>
      </c>
      <c r="X1340" s="3">
        <f t="shared" si="225"/>
        <v>25881.98</v>
      </c>
      <c r="Y1340">
        <f t="shared" si="216"/>
        <v>25881.98</v>
      </c>
      <c r="Z1340" t="str">
        <f t="shared" si="217"/>
        <v/>
      </c>
    </row>
    <row r="1341" spans="1:26" x14ac:dyDescent="0.25">
      <c r="A1341" s="1">
        <v>46057</v>
      </c>
      <c r="B1341" t="s">
        <v>1798</v>
      </c>
      <c r="C1341" t="s">
        <v>17</v>
      </c>
      <c r="D1341" t="s">
        <v>22</v>
      </c>
      <c r="E1341">
        <v>65</v>
      </c>
      <c r="F1341">
        <v>0</v>
      </c>
      <c r="G1341">
        <v>179.95</v>
      </c>
      <c r="H1341">
        <v>11696.75</v>
      </c>
      <c r="I1341" t="s">
        <v>1800</v>
      </c>
      <c r="J1341">
        <v>0</v>
      </c>
      <c r="K1341">
        <v>4.16</v>
      </c>
      <c r="L1341">
        <v>0</v>
      </c>
      <c r="M1341">
        <v>0.01</v>
      </c>
      <c r="N1341">
        <v>29</v>
      </c>
      <c r="O1341">
        <v>5.98</v>
      </c>
      <c r="P1341">
        <v>39.15</v>
      </c>
      <c r="Q1341">
        <f t="shared" si="218"/>
        <v>2026</v>
      </c>
      <c r="R1341">
        <f t="shared" si="219"/>
        <v>2</v>
      </c>
      <c r="S1341">
        <f t="shared" si="220"/>
        <v>2025</v>
      </c>
      <c r="T1341">
        <f t="shared" si="221"/>
        <v>11</v>
      </c>
      <c r="U1341">
        <f t="shared" si="222"/>
        <v>11</v>
      </c>
      <c r="V1341" t="str">
        <f t="shared" si="223"/>
        <v>202511</v>
      </c>
      <c r="W1341" t="str">
        <f t="shared" si="224"/>
        <v>Feb-26</v>
      </c>
      <c r="X1341" s="3">
        <f t="shared" si="225"/>
        <v>-11735.9</v>
      </c>
      <c r="Y1341" t="str">
        <f t="shared" si="216"/>
        <v/>
      </c>
      <c r="Z1341">
        <f t="shared" si="217"/>
        <v>-11735.9</v>
      </c>
    </row>
    <row r="1342" spans="1:26" x14ac:dyDescent="0.25">
      <c r="A1342" s="1">
        <v>46057</v>
      </c>
      <c r="B1342" t="s">
        <v>1798</v>
      </c>
      <c r="C1342" t="s">
        <v>17</v>
      </c>
      <c r="D1342" t="s">
        <v>22</v>
      </c>
      <c r="E1342">
        <v>65</v>
      </c>
      <c r="F1342">
        <v>0</v>
      </c>
      <c r="G1342">
        <v>190.75</v>
      </c>
      <c r="H1342">
        <v>12398.75</v>
      </c>
      <c r="I1342" t="s">
        <v>1801</v>
      </c>
      <c r="J1342">
        <v>0</v>
      </c>
      <c r="K1342">
        <v>4.41</v>
      </c>
      <c r="L1342">
        <v>0.35</v>
      </c>
      <c r="M1342">
        <v>0.01</v>
      </c>
      <c r="N1342">
        <v>29</v>
      </c>
      <c r="O1342">
        <v>6.02</v>
      </c>
      <c r="P1342">
        <v>39.79</v>
      </c>
      <c r="Q1342">
        <f t="shared" si="218"/>
        <v>2026</v>
      </c>
      <c r="R1342">
        <f t="shared" si="219"/>
        <v>2</v>
      </c>
      <c r="S1342">
        <f t="shared" si="220"/>
        <v>2025</v>
      </c>
      <c r="T1342">
        <f t="shared" si="221"/>
        <v>11</v>
      </c>
      <c r="U1342">
        <f t="shared" si="222"/>
        <v>11</v>
      </c>
      <c r="V1342" t="str">
        <f t="shared" si="223"/>
        <v>202511</v>
      </c>
      <c r="W1342" t="str">
        <f t="shared" si="224"/>
        <v>Feb-26</v>
      </c>
      <c r="X1342" s="3">
        <f t="shared" si="225"/>
        <v>-12438.54</v>
      </c>
      <c r="Y1342" t="str">
        <f t="shared" si="216"/>
        <v/>
      </c>
      <c r="Z1342">
        <f t="shared" si="217"/>
        <v>-12438.54</v>
      </c>
    </row>
    <row r="1343" spans="1:26" x14ac:dyDescent="0.25">
      <c r="A1343" s="1">
        <v>46058</v>
      </c>
      <c r="B1343" t="s">
        <v>1802</v>
      </c>
      <c r="C1343" t="s">
        <v>17</v>
      </c>
      <c r="D1343" t="s">
        <v>22</v>
      </c>
      <c r="E1343">
        <v>130</v>
      </c>
      <c r="F1343">
        <v>0</v>
      </c>
      <c r="G1343">
        <v>202.35</v>
      </c>
      <c r="H1343">
        <v>26305.5</v>
      </c>
      <c r="I1343" t="s">
        <v>1803</v>
      </c>
      <c r="J1343">
        <v>0</v>
      </c>
      <c r="K1343">
        <v>9.35</v>
      </c>
      <c r="L1343">
        <v>1.35</v>
      </c>
      <c r="M1343">
        <v>0.03</v>
      </c>
      <c r="N1343">
        <v>58</v>
      </c>
      <c r="O1343">
        <v>12.12</v>
      </c>
      <c r="P1343">
        <v>80.849999999999994</v>
      </c>
      <c r="Q1343">
        <f t="shared" si="218"/>
        <v>2026</v>
      </c>
      <c r="R1343">
        <f t="shared" si="219"/>
        <v>2</v>
      </c>
      <c r="S1343">
        <f t="shared" si="220"/>
        <v>2025</v>
      </c>
      <c r="T1343">
        <f t="shared" si="221"/>
        <v>11</v>
      </c>
      <c r="U1343">
        <f t="shared" si="222"/>
        <v>11</v>
      </c>
      <c r="V1343" t="str">
        <f t="shared" si="223"/>
        <v>202511</v>
      </c>
      <c r="W1343" t="str">
        <f t="shared" si="224"/>
        <v>Feb-26</v>
      </c>
      <c r="X1343" s="3">
        <f t="shared" si="225"/>
        <v>-26386.35</v>
      </c>
      <c r="Y1343" t="str">
        <f t="shared" si="216"/>
        <v/>
      </c>
      <c r="Z1343">
        <f t="shared" si="217"/>
        <v>-26386.35</v>
      </c>
    </row>
    <row r="1344" spans="1:26" x14ac:dyDescent="0.25">
      <c r="A1344" s="1">
        <v>46058</v>
      </c>
      <c r="B1344" t="s">
        <v>1802</v>
      </c>
      <c r="C1344" t="s">
        <v>17</v>
      </c>
      <c r="D1344" t="s">
        <v>18</v>
      </c>
      <c r="E1344">
        <v>65</v>
      </c>
      <c r="F1344">
        <v>0</v>
      </c>
      <c r="G1344">
        <v>201</v>
      </c>
      <c r="H1344">
        <v>13065</v>
      </c>
      <c r="I1344" t="s">
        <v>1804</v>
      </c>
      <c r="J1344">
        <v>13.07</v>
      </c>
      <c r="K1344">
        <v>4.6399999999999997</v>
      </c>
      <c r="L1344">
        <v>0</v>
      </c>
      <c r="M1344">
        <v>0.01</v>
      </c>
      <c r="N1344">
        <v>29</v>
      </c>
      <c r="O1344">
        <v>6.06</v>
      </c>
      <c r="P1344">
        <v>52.78</v>
      </c>
      <c r="Q1344">
        <f t="shared" si="218"/>
        <v>2026</v>
      </c>
      <c r="R1344">
        <f t="shared" si="219"/>
        <v>2</v>
      </c>
      <c r="S1344">
        <f t="shared" si="220"/>
        <v>2025</v>
      </c>
      <c r="T1344">
        <f t="shared" si="221"/>
        <v>11</v>
      </c>
      <c r="U1344">
        <f t="shared" si="222"/>
        <v>11</v>
      </c>
      <c r="V1344" t="str">
        <f t="shared" si="223"/>
        <v>202511</v>
      </c>
      <c r="W1344" t="str">
        <f t="shared" si="224"/>
        <v>Feb-26</v>
      </c>
      <c r="X1344" s="3">
        <f t="shared" si="225"/>
        <v>13012.22</v>
      </c>
      <c r="Y1344">
        <f t="shared" si="216"/>
        <v>13012.22</v>
      </c>
      <c r="Z1344" t="str">
        <f t="shared" si="217"/>
        <v/>
      </c>
    </row>
    <row r="1345" spans="1:26" x14ac:dyDescent="0.25">
      <c r="A1345" s="1">
        <v>46058</v>
      </c>
      <c r="B1345" t="s">
        <v>1802</v>
      </c>
      <c r="C1345" t="s">
        <v>17</v>
      </c>
      <c r="D1345" t="s">
        <v>22</v>
      </c>
      <c r="E1345">
        <v>65</v>
      </c>
      <c r="F1345">
        <v>0</v>
      </c>
      <c r="G1345">
        <v>200.1</v>
      </c>
      <c r="H1345">
        <v>13006.5</v>
      </c>
      <c r="I1345" t="s">
        <v>1805</v>
      </c>
      <c r="J1345">
        <v>0</v>
      </c>
      <c r="K1345">
        <v>4.62</v>
      </c>
      <c r="L1345">
        <v>0</v>
      </c>
      <c r="M1345">
        <v>0.01</v>
      </c>
      <c r="N1345">
        <v>29</v>
      </c>
      <c r="O1345">
        <v>6.06</v>
      </c>
      <c r="P1345">
        <v>39.69</v>
      </c>
      <c r="Q1345">
        <f t="shared" si="218"/>
        <v>2026</v>
      </c>
      <c r="R1345">
        <f t="shared" si="219"/>
        <v>2</v>
      </c>
      <c r="S1345">
        <f t="shared" si="220"/>
        <v>2025</v>
      </c>
      <c r="T1345">
        <f t="shared" si="221"/>
        <v>11</v>
      </c>
      <c r="U1345">
        <f t="shared" si="222"/>
        <v>11</v>
      </c>
      <c r="V1345" t="str">
        <f t="shared" si="223"/>
        <v>202511</v>
      </c>
      <c r="W1345" t="str">
        <f t="shared" si="224"/>
        <v>Feb-26</v>
      </c>
      <c r="X1345" s="3">
        <f t="shared" si="225"/>
        <v>-13046.19</v>
      </c>
      <c r="Y1345" t="str">
        <f t="shared" si="216"/>
        <v/>
      </c>
      <c r="Z1345">
        <f t="shared" si="217"/>
        <v>-13046.19</v>
      </c>
    </row>
    <row r="1346" spans="1:26" x14ac:dyDescent="0.25">
      <c r="A1346" s="1">
        <v>46058</v>
      </c>
      <c r="B1346" t="s">
        <v>1806</v>
      </c>
      <c r="C1346" t="s">
        <v>17</v>
      </c>
      <c r="D1346" t="s">
        <v>18</v>
      </c>
      <c r="E1346">
        <v>65</v>
      </c>
      <c r="F1346">
        <v>0</v>
      </c>
      <c r="G1346">
        <v>153.5</v>
      </c>
      <c r="H1346">
        <v>9977.5</v>
      </c>
      <c r="I1346" t="s">
        <v>1807</v>
      </c>
      <c r="J1346">
        <v>9.98</v>
      </c>
      <c r="K1346">
        <v>3.55</v>
      </c>
      <c r="L1346">
        <v>0</v>
      </c>
      <c r="M1346">
        <v>0.01</v>
      </c>
      <c r="N1346">
        <v>29</v>
      </c>
      <c r="O1346">
        <v>5.86</v>
      </c>
      <c r="P1346">
        <v>48.4</v>
      </c>
      <c r="Q1346">
        <f t="shared" si="218"/>
        <v>2026</v>
      </c>
      <c r="R1346">
        <f t="shared" si="219"/>
        <v>2</v>
      </c>
      <c r="S1346">
        <f t="shared" si="220"/>
        <v>2025</v>
      </c>
      <c r="T1346">
        <f t="shared" si="221"/>
        <v>11</v>
      </c>
      <c r="U1346">
        <f t="shared" si="222"/>
        <v>11</v>
      </c>
      <c r="V1346" t="str">
        <f t="shared" si="223"/>
        <v>202511</v>
      </c>
      <c r="W1346" t="str">
        <f t="shared" si="224"/>
        <v>Feb-26</v>
      </c>
      <c r="X1346" s="3">
        <f t="shared" si="225"/>
        <v>9929.1</v>
      </c>
      <c r="Y1346">
        <f t="shared" si="216"/>
        <v>9929.1</v>
      </c>
      <c r="Z1346" t="str">
        <f t="shared" si="217"/>
        <v/>
      </c>
    </row>
    <row r="1347" spans="1:26" x14ac:dyDescent="0.25">
      <c r="A1347" s="1">
        <v>46058</v>
      </c>
      <c r="B1347" t="s">
        <v>1806</v>
      </c>
      <c r="C1347" t="s">
        <v>17</v>
      </c>
      <c r="D1347" t="s">
        <v>22</v>
      </c>
      <c r="E1347">
        <v>65</v>
      </c>
      <c r="F1347">
        <v>0</v>
      </c>
      <c r="G1347">
        <v>167.05</v>
      </c>
      <c r="H1347">
        <v>10858.25</v>
      </c>
      <c r="I1347" t="s">
        <v>1808</v>
      </c>
      <c r="J1347">
        <v>0</v>
      </c>
      <c r="K1347">
        <v>3.86</v>
      </c>
      <c r="L1347">
        <v>0</v>
      </c>
      <c r="M1347">
        <v>0.01</v>
      </c>
      <c r="N1347">
        <v>29</v>
      </c>
      <c r="O1347">
        <v>5.92</v>
      </c>
      <c r="P1347">
        <v>38.79</v>
      </c>
      <c r="Q1347">
        <f t="shared" si="218"/>
        <v>2026</v>
      </c>
      <c r="R1347">
        <f t="shared" si="219"/>
        <v>2</v>
      </c>
      <c r="S1347">
        <f t="shared" si="220"/>
        <v>2025</v>
      </c>
      <c r="T1347">
        <f t="shared" si="221"/>
        <v>11</v>
      </c>
      <c r="U1347">
        <f t="shared" si="222"/>
        <v>11</v>
      </c>
      <c r="V1347" t="str">
        <f t="shared" si="223"/>
        <v>202511</v>
      </c>
      <c r="W1347" t="str">
        <f t="shared" si="224"/>
        <v>Feb-26</v>
      </c>
      <c r="X1347" s="3">
        <f t="shared" si="225"/>
        <v>-10897.04</v>
      </c>
      <c r="Y1347" t="str">
        <f t="shared" ref="Y1347:Y1406" si="226">IF(X1347&gt;0,X1347,"")</f>
        <v/>
      </c>
      <c r="Z1347">
        <f t="shared" ref="Z1347:Z1406" si="227">IF(X1347&lt;0,X1347,"")</f>
        <v>-10897.04</v>
      </c>
    </row>
    <row r="1348" spans="1:26" x14ac:dyDescent="0.25">
      <c r="A1348" s="1">
        <v>46058</v>
      </c>
      <c r="B1348" t="s">
        <v>1806</v>
      </c>
      <c r="C1348" t="s">
        <v>17</v>
      </c>
      <c r="D1348" t="s">
        <v>18</v>
      </c>
      <c r="E1348">
        <v>65</v>
      </c>
      <c r="F1348">
        <v>0</v>
      </c>
      <c r="G1348">
        <v>187.9</v>
      </c>
      <c r="H1348">
        <v>12213.5</v>
      </c>
      <c r="I1348" t="s">
        <v>1809</v>
      </c>
      <c r="J1348">
        <v>12.37</v>
      </c>
      <c r="K1348">
        <v>4.34</v>
      </c>
      <c r="L1348">
        <v>0</v>
      </c>
      <c r="M1348">
        <v>0.01</v>
      </c>
      <c r="N1348">
        <v>29</v>
      </c>
      <c r="O1348">
        <v>6</v>
      </c>
      <c r="P1348">
        <v>51.72</v>
      </c>
      <c r="Q1348">
        <f t="shared" si="218"/>
        <v>2026</v>
      </c>
      <c r="R1348">
        <f t="shared" si="219"/>
        <v>2</v>
      </c>
      <c r="S1348">
        <f t="shared" si="220"/>
        <v>2025</v>
      </c>
      <c r="T1348">
        <f t="shared" si="221"/>
        <v>11</v>
      </c>
      <c r="U1348">
        <f t="shared" si="222"/>
        <v>11</v>
      </c>
      <c r="V1348" t="str">
        <f t="shared" si="223"/>
        <v>202511</v>
      </c>
      <c r="W1348" t="str">
        <f t="shared" si="224"/>
        <v>Feb-26</v>
      </c>
      <c r="X1348" s="3">
        <f t="shared" si="225"/>
        <v>12161.78</v>
      </c>
      <c r="Y1348">
        <f t="shared" si="226"/>
        <v>12161.78</v>
      </c>
      <c r="Z1348" t="str">
        <f t="shared" si="227"/>
        <v/>
      </c>
    </row>
    <row r="1349" spans="1:26" x14ac:dyDescent="0.25">
      <c r="A1349" s="1">
        <v>46058</v>
      </c>
      <c r="B1349" t="s">
        <v>1806</v>
      </c>
      <c r="C1349" t="s">
        <v>17</v>
      </c>
      <c r="D1349" t="s">
        <v>22</v>
      </c>
      <c r="E1349">
        <v>65</v>
      </c>
      <c r="F1349">
        <v>0</v>
      </c>
      <c r="G1349">
        <v>167.6</v>
      </c>
      <c r="H1349">
        <v>10894</v>
      </c>
      <c r="I1349" t="s">
        <v>1810</v>
      </c>
      <c r="J1349">
        <v>0</v>
      </c>
      <c r="K1349">
        <v>3.87</v>
      </c>
      <c r="L1349">
        <v>0.65</v>
      </c>
      <c r="M1349">
        <v>0.01</v>
      </c>
      <c r="N1349">
        <v>29</v>
      </c>
      <c r="O1349">
        <v>5.92</v>
      </c>
      <c r="P1349">
        <v>39.450000000000003</v>
      </c>
      <c r="Q1349">
        <f t="shared" si="218"/>
        <v>2026</v>
      </c>
      <c r="R1349">
        <f t="shared" si="219"/>
        <v>2</v>
      </c>
      <c r="S1349">
        <f t="shared" si="220"/>
        <v>2025</v>
      </c>
      <c r="T1349">
        <f t="shared" si="221"/>
        <v>11</v>
      </c>
      <c r="U1349">
        <f t="shared" si="222"/>
        <v>11</v>
      </c>
      <c r="V1349" t="str">
        <f t="shared" si="223"/>
        <v>202511</v>
      </c>
      <c r="W1349" t="str">
        <f t="shared" si="224"/>
        <v>Feb-26</v>
      </c>
      <c r="X1349" s="3">
        <f t="shared" si="225"/>
        <v>-10933.45</v>
      </c>
      <c r="Y1349" t="str">
        <f t="shared" si="226"/>
        <v/>
      </c>
      <c r="Z1349">
        <f t="shared" si="227"/>
        <v>-10933.45</v>
      </c>
    </row>
    <row r="1350" spans="1:26" x14ac:dyDescent="0.25">
      <c r="A1350" s="1">
        <v>46058</v>
      </c>
      <c r="B1350" t="s">
        <v>1802</v>
      </c>
      <c r="C1350" t="s">
        <v>17</v>
      </c>
      <c r="D1350" t="s">
        <v>18</v>
      </c>
      <c r="E1350">
        <v>130</v>
      </c>
      <c r="F1350">
        <v>0</v>
      </c>
      <c r="G1350">
        <v>219.9</v>
      </c>
      <c r="H1350">
        <v>28587</v>
      </c>
      <c r="I1350" t="s">
        <v>1811</v>
      </c>
      <c r="J1350">
        <v>28.59</v>
      </c>
      <c r="K1350">
        <v>10.16</v>
      </c>
      <c r="L1350">
        <v>0</v>
      </c>
      <c r="M1350">
        <v>0.03</v>
      </c>
      <c r="N1350">
        <v>58</v>
      </c>
      <c r="O1350">
        <v>12.28</v>
      </c>
      <c r="P1350">
        <v>109.06</v>
      </c>
      <c r="Q1350">
        <f t="shared" si="218"/>
        <v>2026</v>
      </c>
      <c r="R1350">
        <f t="shared" si="219"/>
        <v>2</v>
      </c>
      <c r="S1350">
        <f t="shared" si="220"/>
        <v>2025</v>
      </c>
      <c r="T1350">
        <f t="shared" si="221"/>
        <v>11</v>
      </c>
      <c r="U1350">
        <f t="shared" si="222"/>
        <v>11</v>
      </c>
      <c r="V1350" t="str">
        <f t="shared" si="223"/>
        <v>202511</v>
      </c>
      <c r="W1350" t="str">
        <f t="shared" si="224"/>
        <v>Feb-26</v>
      </c>
      <c r="X1350" s="3">
        <f t="shared" si="225"/>
        <v>28477.94</v>
      </c>
      <c r="Y1350">
        <f t="shared" si="226"/>
        <v>28477.94</v>
      </c>
      <c r="Z1350" t="str">
        <f t="shared" si="227"/>
        <v/>
      </c>
    </row>
    <row r="1351" spans="1:26" x14ac:dyDescent="0.25">
      <c r="A1351" s="1">
        <v>46064</v>
      </c>
      <c r="B1351" t="s">
        <v>1812</v>
      </c>
      <c r="C1351" t="s">
        <v>17</v>
      </c>
      <c r="D1351" t="s">
        <v>22</v>
      </c>
      <c r="E1351">
        <v>700</v>
      </c>
      <c r="F1351">
        <v>0</v>
      </c>
      <c r="G1351">
        <v>5.15</v>
      </c>
      <c r="H1351">
        <v>3605</v>
      </c>
      <c r="I1351" t="s">
        <v>1813</v>
      </c>
      <c r="J1351">
        <v>0</v>
      </c>
      <c r="K1351">
        <v>1.28</v>
      </c>
      <c r="L1351">
        <v>0</v>
      </c>
      <c r="M1351">
        <v>0</v>
      </c>
      <c r="N1351">
        <v>29</v>
      </c>
      <c r="O1351">
        <v>5.46</v>
      </c>
      <c r="P1351">
        <v>35.74</v>
      </c>
      <c r="Q1351">
        <f t="shared" si="218"/>
        <v>2026</v>
      </c>
      <c r="R1351">
        <f t="shared" si="219"/>
        <v>2</v>
      </c>
      <c r="S1351">
        <f t="shared" si="220"/>
        <v>2025</v>
      </c>
      <c r="T1351">
        <f t="shared" si="221"/>
        <v>11</v>
      </c>
      <c r="U1351">
        <f t="shared" si="222"/>
        <v>11</v>
      </c>
      <c r="V1351" t="str">
        <f t="shared" si="223"/>
        <v>202511</v>
      </c>
      <c r="W1351" t="str">
        <f t="shared" si="224"/>
        <v>Feb-26</v>
      </c>
      <c r="X1351" s="3">
        <f t="shared" si="225"/>
        <v>-3640.74</v>
      </c>
      <c r="Y1351" t="str">
        <f t="shared" si="226"/>
        <v/>
      </c>
      <c r="Z1351">
        <f t="shared" si="227"/>
        <v>-3640.74</v>
      </c>
    </row>
    <row r="1352" spans="1:26" x14ac:dyDescent="0.25">
      <c r="A1352" s="1">
        <v>46065</v>
      </c>
      <c r="B1352" t="s">
        <v>1812</v>
      </c>
      <c r="C1352" t="s">
        <v>17</v>
      </c>
      <c r="D1352" t="s">
        <v>22</v>
      </c>
      <c r="E1352">
        <v>1400</v>
      </c>
      <c r="F1352">
        <v>0</v>
      </c>
      <c r="G1352">
        <v>3.1</v>
      </c>
      <c r="H1352">
        <v>4340</v>
      </c>
      <c r="I1352" t="s">
        <v>1814</v>
      </c>
      <c r="J1352">
        <v>0</v>
      </c>
      <c r="K1352">
        <v>1.54</v>
      </c>
      <c r="L1352">
        <v>0</v>
      </c>
      <c r="M1352">
        <v>0</v>
      </c>
      <c r="N1352">
        <v>58</v>
      </c>
      <c r="O1352">
        <v>10.72</v>
      </c>
      <c r="P1352">
        <v>70.260000000000005</v>
      </c>
      <c r="Q1352">
        <f t="shared" si="218"/>
        <v>2026</v>
      </c>
      <c r="R1352">
        <f t="shared" si="219"/>
        <v>2</v>
      </c>
      <c r="S1352">
        <f t="shared" si="220"/>
        <v>2025</v>
      </c>
      <c r="T1352">
        <f t="shared" si="221"/>
        <v>11</v>
      </c>
      <c r="U1352">
        <f t="shared" si="222"/>
        <v>11</v>
      </c>
      <c r="V1352" t="str">
        <f t="shared" si="223"/>
        <v>202511</v>
      </c>
      <c r="W1352" t="str">
        <f t="shared" si="224"/>
        <v>Feb-26</v>
      </c>
      <c r="X1352" s="3">
        <f t="shared" si="225"/>
        <v>-4410.26</v>
      </c>
      <c r="Y1352" t="str">
        <f t="shared" si="226"/>
        <v/>
      </c>
      <c r="Z1352">
        <f t="shared" si="227"/>
        <v>-4410.26</v>
      </c>
    </row>
    <row r="1353" spans="1:26" x14ac:dyDescent="0.25">
      <c r="A1353" s="1">
        <v>46069</v>
      </c>
      <c r="B1353" t="s">
        <v>1812</v>
      </c>
      <c r="C1353" t="s">
        <v>17</v>
      </c>
      <c r="D1353" t="s">
        <v>18</v>
      </c>
      <c r="E1353">
        <v>2100</v>
      </c>
      <c r="F1353">
        <v>0</v>
      </c>
      <c r="G1353">
        <v>3.9</v>
      </c>
      <c r="H1353">
        <v>8190</v>
      </c>
      <c r="I1353" t="s">
        <v>1815</v>
      </c>
      <c r="J1353">
        <v>8</v>
      </c>
      <c r="K1353">
        <v>2.91</v>
      </c>
      <c r="L1353">
        <v>0</v>
      </c>
      <c r="M1353">
        <v>0</v>
      </c>
      <c r="N1353">
        <v>87</v>
      </c>
      <c r="O1353">
        <v>16.2</v>
      </c>
      <c r="P1353">
        <v>114.11</v>
      </c>
      <c r="Q1353">
        <f t="shared" si="218"/>
        <v>2026</v>
      </c>
      <c r="R1353">
        <f t="shared" si="219"/>
        <v>2</v>
      </c>
      <c r="S1353">
        <f t="shared" si="220"/>
        <v>2025</v>
      </c>
      <c r="T1353">
        <f t="shared" si="221"/>
        <v>11</v>
      </c>
      <c r="U1353">
        <f t="shared" si="222"/>
        <v>11</v>
      </c>
      <c r="V1353" t="str">
        <f t="shared" si="223"/>
        <v>202511</v>
      </c>
      <c r="W1353" t="str">
        <f t="shared" si="224"/>
        <v>Feb-26</v>
      </c>
      <c r="X1353" s="3">
        <f t="shared" si="225"/>
        <v>8075.89</v>
      </c>
      <c r="Y1353">
        <f t="shared" si="226"/>
        <v>8075.89</v>
      </c>
      <c r="Z1353" t="str">
        <f t="shared" si="227"/>
        <v/>
      </c>
    </row>
    <row r="1354" spans="1:26" x14ac:dyDescent="0.25">
      <c r="A1354" s="1">
        <v>46070</v>
      </c>
      <c r="B1354" t="s">
        <v>1816</v>
      </c>
      <c r="C1354" t="s">
        <v>17</v>
      </c>
      <c r="D1354" t="s">
        <v>18</v>
      </c>
      <c r="E1354">
        <v>130</v>
      </c>
      <c r="F1354">
        <v>0</v>
      </c>
      <c r="G1354">
        <v>13.05</v>
      </c>
      <c r="H1354">
        <v>1696.5</v>
      </c>
      <c r="I1354" t="s">
        <v>1817</v>
      </c>
      <c r="J1354">
        <v>1.7</v>
      </c>
      <c r="K1354">
        <v>0.6</v>
      </c>
      <c r="L1354">
        <v>0</v>
      </c>
      <c r="M1354">
        <v>0</v>
      </c>
      <c r="N1354">
        <v>58</v>
      </c>
      <c r="O1354">
        <v>10.54</v>
      </c>
      <c r="P1354">
        <v>70.84</v>
      </c>
      <c r="Q1354">
        <f t="shared" si="218"/>
        <v>2026</v>
      </c>
      <c r="R1354">
        <f t="shared" si="219"/>
        <v>2</v>
      </c>
      <c r="S1354">
        <f t="shared" si="220"/>
        <v>2025</v>
      </c>
      <c r="T1354">
        <f t="shared" si="221"/>
        <v>11</v>
      </c>
      <c r="U1354">
        <f t="shared" si="222"/>
        <v>11</v>
      </c>
      <c r="V1354" t="str">
        <f t="shared" si="223"/>
        <v>202511</v>
      </c>
      <c r="W1354" t="str">
        <f t="shared" si="224"/>
        <v>Feb-26</v>
      </c>
      <c r="X1354" s="3">
        <f t="shared" si="225"/>
        <v>1625.66</v>
      </c>
      <c r="Y1354">
        <f t="shared" si="226"/>
        <v>1625.66</v>
      </c>
      <c r="Z1354" t="str">
        <f t="shared" si="227"/>
        <v/>
      </c>
    </row>
    <row r="1355" spans="1:26" x14ac:dyDescent="0.25">
      <c r="A1355" s="1">
        <v>46070</v>
      </c>
      <c r="B1355" t="s">
        <v>1816</v>
      </c>
      <c r="C1355" t="s">
        <v>17</v>
      </c>
      <c r="D1355" t="s">
        <v>22</v>
      </c>
      <c r="E1355">
        <v>130</v>
      </c>
      <c r="F1355">
        <v>0</v>
      </c>
      <c r="G1355">
        <v>37.5</v>
      </c>
      <c r="H1355">
        <v>4875</v>
      </c>
      <c r="I1355" t="s">
        <v>1818</v>
      </c>
      <c r="J1355">
        <v>0</v>
      </c>
      <c r="K1355">
        <v>1.73</v>
      </c>
      <c r="L1355">
        <v>0.15</v>
      </c>
      <c r="M1355">
        <v>0</v>
      </c>
      <c r="N1355">
        <v>58</v>
      </c>
      <c r="O1355">
        <v>10.76</v>
      </c>
      <c r="P1355">
        <v>70.64</v>
      </c>
      <c r="Q1355">
        <f t="shared" si="218"/>
        <v>2026</v>
      </c>
      <c r="R1355">
        <f t="shared" si="219"/>
        <v>2</v>
      </c>
      <c r="S1355">
        <f t="shared" si="220"/>
        <v>2025</v>
      </c>
      <c r="T1355">
        <f t="shared" si="221"/>
        <v>11</v>
      </c>
      <c r="U1355">
        <f t="shared" si="222"/>
        <v>11</v>
      </c>
      <c r="V1355" t="str">
        <f t="shared" si="223"/>
        <v>202511</v>
      </c>
      <c r="W1355" t="str">
        <f t="shared" si="224"/>
        <v>Feb-26</v>
      </c>
      <c r="X1355" s="3">
        <f t="shared" si="225"/>
        <v>-4945.6400000000003</v>
      </c>
      <c r="Y1355" t="str">
        <f t="shared" si="226"/>
        <v/>
      </c>
      <c r="Z1355">
        <f t="shared" si="227"/>
        <v>-4945.6400000000003</v>
      </c>
    </row>
    <row r="1356" spans="1:26" x14ac:dyDescent="0.25">
      <c r="A1356" s="1">
        <v>46070</v>
      </c>
      <c r="B1356" t="s">
        <v>1819</v>
      </c>
      <c r="C1356" t="s">
        <v>17</v>
      </c>
      <c r="D1356" t="s">
        <v>18</v>
      </c>
      <c r="E1356">
        <v>65</v>
      </c>
      <c r="F1356">
        <v>0</v>
      </c>
      <c r="G1356">
        <v>147.9</v>
      </c>
      <c r="H1356">
        <v>9613.5</v>
      </c>
      <c r="I1356" t="s">
        <v>1820</v>
      </c>
      <c r="J1356">
        <v>9.61</v>
      </c>
      <c r="K1356">
        <v>3.42</v>
      </c>
      <c r="L1356">
        <v>0</v>
      </c>
      <c r="M1356">
        <v>0.01</v>
      </c>
      <c r="N1356">
        <v>29</v>
      </c>
      <c r="O1356">
        <v>5.84</v>
      </c>
      <c r="P1356">
        <v>47.88</v>
      </c>
      <c r="Q1356">
        <f t="shared" si="218"/>
        <v>2026</v>
      </c>
      <c r="R1356">
        <f t="shared" si="219"/>
        <v>2</v>
      </c>
      <c r="S1356">
        <f t="shared" si="220"/>
        <v>2025</v>
      </c>
      <c r="T1356">
        <f t="shared" si="221"/>
        <v>11</v>
      </c>
      <c r="U1356">
        <f t="shared" si="222"/>
        <v>11</v>
      </c>
      <c r="V1356" t="str">
        <f t="shared" si="223"/>
        <v>202511</v>
      </c>
      <c r="W1356" t="str">
        <f t="shared" si="224"/>
        <v>Feb-26</v>
      </c>
      <c r="X1356" s="3">
        <f t="shared" si="225"/>
        <v>9565.6200000000008</v>
      </c>
      <c r="Y1356">
        <f t="shared" si="226"/>
        <v>9565.6200000000008</v>
      </c>
      <c r="Z1356" t="str">
        <f t="shared" si="227"/>
        <v/>
      </c>
    </row>
    <row r="1357" spans="1:26" x14ac:dyDescent="0.25">
      <c r="A1357" s="1">
        <v>46070</v>
      </c>
      <c r="B1357" t="s">
        <v>1819</v>
      </c>
      <c r="C1357" t="s">
        <v>17</v>
      </c>
      <c r="D1357" t="s">
        <v>22</v>
      </c>
      <c r="E1357">
        <v>65</v>
      </c>
      <c r="F1357">
        <v>0</v>
      </c>
      <c r="G1357">
        <v>116.9</v>
      </c>
      <c r="H1357">
        <v>7598.5</v>
      </c>
      <c r="I1357" t="s">
        <v>1821</v>
      </c>
      <c r="J1357">
        <v>0</v>
      </c>
      <c r="K1357">
        <v>2.7</v>
      </c>
      <c r="L1357">
        <v>0</v>
      </c>
      <c r="M1357">
        <v>0.01</v>
      </c>
      <c r="N1357">
        <v>29</v>
      </c>
      <c r="O1357">
        <v>5.7</v>
      </c>
      <c r="P1357">
        <v>37.409999999999997</v>
      </c>
      <c r="Q1357">
        <f t="shared" si="218"/>
        <v>2026</v>
      </c>
      <c r="R1357">
        <f t="shared" si="219"/>
        <v>2</v>
      </c>
      <c r="S1357">
        <f t="shared" si="220"/>
        <v>2025</v>
      </c>
      <c r="T1357">
        <f t="shared" si="221"/>
        <v>11</v>
      </c>
      <c r="U1357">
        <f t="shared" si="222"/>
        <v>11</v>
      </c>
      <c r="V1357" t="str">
        <f t="shared" si="223"/>
        <v>202511</v>
      </c>
      <c r="W1357" t="str">
        <f t="shared" si="224"/>
        <v>Feb-26</v>
      </c>
      <c r="X1357" s="3">
        <f t="shared" si="225"/>
        <v>-7635.91</v>
      </c>
      <c r="Y1357" t="str">
        <f t="shared" si="226"/>
        <v/>
      </c>
      <c r="Z1357">
        <f t="shared" si="227"/>
        <v>-7635.91</v>
      </c>
    </row>
    <row r="1358" spans="1:26" x14ac:dyDescent="0.25">
      <c r="A1358" s="1">
        <v>46070</v>
      </c>
      <c r="B1358" t="s">
        <v>1819</v>
      </c>
      <c r="C1358" t="s">
        <v>17</v>
      </c>
      <c r="D1358" t="s">
        <v>18</v>
      </c>
      <c r="E1358">
        <v>65</v>
      </c>
      <c r="F1358">
        <v>0</v>
      </c>
      <c r="G1358">
        <v>76.45</v>
      </c>
      <c r="H1358">
        <v>4969.25</v>
      </c>
      <c r="I1358" t="s">
        <v>1822</v>
      </c>
      <c r="J1358">
        <v>4.6900000000000004</v>
      </c>
      <c r="K1358">
        <v>1.77</v>
      </c>
      <c r="L1358">
        <v>0</v>
      </c>
      <c r="M1358">
        <v>0.01</v>
      </c>
      <c r="N1358">
        <v>29</v>
      </c>
      <c r="O1358">
        <v>5.54</v>
      </c>
      <c r="P1358">
        <v>41.01</v>
      </c>
      <c r="Q1358">
        <f t="shared" si="218"/>
        <v>2026</v>
      </c>
      <c r="R1358">
        <f t="shared" si="219"/>
        <v>2</v>
      </c>
      <c r="S1358">
        <f t="shared" si="220"/>
        <v>2025</v>
      </c>
      <c r="T1358">
        <f t="shared" si="221"/>
        <v>11</v>
      </c>
      <c r="U1358">
        <f t="shared" si="222"/>
        <v>11</v>
      </c>
      <c r="V1358" t="str">
        <f t="shared" si="223"/>
        <v>202511</v>
      </c>
      <c r="W1358" t="str">
        <f t="shared" si="224"/>
        <v>Feb-26</v>
      </c>
      <c r="X1358" s="3">
        <f t="shared" si="225"/>
        <v>4928.24</v>
      </c>
      <c r="Y1358">
        <f t="shared" si="226"/>
        <v>4928.24</v>
      </c>
      <c r="Z1358" t="str">
        <f t="shared" si="227"/>
        <v/>
      </c>
    </row>
    <row r="1359" spans="1:26" x14ac:dyDescent="0.25">
      <c r="A1359" s="1">
        <v>46070</v>
      </c>
      <c r="B1359" t="s">
        <v>1819</v>
      </c>
      <c r="C1359" t="s">
        <v>17</v>
      </c>
      <c r="D1359" t="s">
        <v>22</v>
      </c>
      <c r="E1359">
        <v>65</v>
      </c>
      <c r="F1359">
        <v>0</v>
      </c>
      <c r="G1359">
        <v>65.8</v>
      </c>
      <c r="H1359">
        <v>4277</v>
      </c>
      <c r="I1359" t="s">
        <v>1823</v>
      </c>
      <c r="J1359">
        <v>0</v>
      </c>
      <c r="K1359">
        <v>1.52</v>
      </c>
      <c r="L1359">
        <v>0.85</v>
      </c>
      <c r="M1359">
        <v>0</v>
      </c>
      <c r="N1359">
        <v>29</v>
      </c>
      <c r="O1359">
        <v>5.5</v>
      </c>
      <c r="P1359">
        <v>36.869999999999997</v>
      </c>
      <c r="Q1359">
        <f t="shared" si="218"/>
        <v>2026</v>
      </c>
      <c r="R1359">
        <f t="shared" si="219"/>
        <v>2</v>
      </c>
      <c r="S1359">
        <f t="shared" si="220"/>
        <v>2025</v>
      </c>
      <c r="T1359">
        <f t="shared" si="221"/>
        <v>11</v>
      </c>
      <c r="U1359">
        <f t="shared" si="222"/>
        <v>11</v>
      </c>
      <c r="V1359" t="str">
        <f t="shared" si="223"/>
        <v>202511</v>
      </c>
      <c r="W1359" t="str">
        <f t="shared" si="224"/>
        <v>Feb-26</v>
      </c>
      <c r="X1359" s="3">
        <f t="shared" si="225"/>
        <v>-4313.87</v>
      </c>
      <c r="Y1359" t="str">
        <f t="shared" si="226"/>
        <v/>
      </c>
      <c r="Z1359">
        <f t="shared" si="227"/>
        <v>-4313.87</v>
      </c>
    </row>
    <row r="1360" spans="1:26" x14ac:dyDescent="0.25">
      <c r="A1360" s="1">
        <v>46071</v>
      </c>
      <c r="B1360" t="s">
        <v>1824</v>
      </c>
      <c r="C1360" t="s">
        <v>17</v>
      </c>
      <c r="D1360" t="s">
        <v>18</v>
      </c>
      <c r="E1360">
        <v>130</v>
      </c>
      <c r="F1360">
        <v>0</v>
      </c>
      <c r="G1360">
        <v>106.05</v>
      </c>
      <c r="H1360">
        <v>13786.5</v>
      </c>
      <c r="I1360" t="s">
        <v>1825</v>
      </c>
      <c r="J1360">
        <v>13.79</v>
      </c>
      <c r="K1360">
        <v>4.9000000000000004</v>
      </c>
      <c r="L1360">
        <v>0</v>
      </c>
      <c r="M1360">
        <v>0.01</v>
      </c>
      <c r="N1360">
        <v>58</v>
      </c>
      <c r="O1360">
        <v>11.32</v>
      </c>
      <c r="P1360">
        <v>88.02</v>
      </c>
      <c r="Q1360">
        <f t="shared" si="218"/>
        <v>2026</v>
      </c>
      <c r="R1360">
        <f t="shared" si="219"/>
        <v>2</v>
      </c>
      <c r="S1360">
        <f t="shared" si="220"/>
        <v>2025</v>
      </c>
      <c r="T1360">
        <f t="shared" si="221"/>
        <v>11</v>
      </c>
      <c r="U1360">
        <f t="shared" si="222"/>
        <v>11</v>
      </c>
      <c r="V1360" t="str">
        <f t="shared" si="223"/>
        <v>202511</v>
      </c>
      <c r="W1360" t="str">
        <f t="shared" si="224"/>
        <v>Feb-26</v>
      </c>
      <c r="X1360" s="3">
        <f t="shared" si="225"/>
        <v>13698.48</v>
      </c>
      <c r="Y1360">
        <f t="shared" si="226"/>
        <v>13698.48</v>
      </c>
      <c r="Z1360" t="str">
        <f t="shared" si="227"/>
        <v/>
      </c>
    </row>
    <row r="1361" spans="1:26" x14ac:dyDescent="0.25">
      <c r="A1361" s="1">
        <v>46071</v>
      </c>
      <c r="B1361" t="s">
        <v>1824</v>
      </c>
      <c r="C1361" t="s">
        <v>17</v>
      </c>
      <c r="D1361" t="s">
        <v>22</v>
      </c>
      <c r="E1361">
        <v>130</v>
      </c>
      <c r="F1361">
        <v>0</v>
      </c>
      <c r="G1361">
        <v>103.8</v>
      </c>
      <c r="H1361">
        <v>13494</v>
      </c>
      <c r="I1361" t="s">
        <v>1826</v>
      </c>
      <c r="J1361">
        <v>0</v>
      </c>
      <c r="K1361">
        <v>4.79</v>
      </c>
      <c r="L1361">
        <v>1.57</v>
      </c>
      <c r="M1361">
        <v>0.01</v>
      </c>
      <c r="N1361">
        <v>58</v>
      </c>
      <c r="O1361">
        <v>11.3</v>
      </c>
      <c r="P1361">
        <v>75.67</v>
      </c>
      <c r="Q1361">
        <f t="shared" si="218"/>
        <v>2026</v>
      </c>
      <c r="R1361">
        <f t="shared" si="219"/>
        <v>2</v>
      </c>
      <c r="S1361">
        <f t="shared" si="220"/>
        <v>2025</v>
      </c>
      <c r="T1361">
        <f t="shared" si="221"/>
        <v>11</v>
      </c>
      <c r="U1361">
        <f t="shared" si="222"/>
        <v>11</v>
      </c>
      <c r="V1361" t="str">
        <f t="shared" si="223"/>
        <v>202511</v>
      </c>
      <c r="W1361" t="str">
        <f t="shared" si="224"/>
        <v>Feb-26</v>
      </c>
      <c r="X1361" s="3">
        <f t="shared" si="225"/>
        <v>-13569.67</v>
      </c>
      <c r="Y1361" t="str">
        <f t="shared" si="226"/>
        <v/>
      </c>
      <c r="Z1361">
        <f t="shared" si="227"/>
        <v>-13569.67</v>
      </c>
    </row>
    <row r="1362" spans="1:26" x14ac:dyDescent="0.25">
      <c r="A1362" s="1">
        <v>46071</v>
      </c>
      <c r="B1362" t="s">
        <v>1827</v>
      </c>
      <c r="C1362" t="s">
        <v>17</v>
      </c>
      <c r="D1362" t="s">
        <v>18</v>
      </c>
      <c r="E1362">
        <v>130</v>
      </c>
      <c r="F1362">
        <v>0</v>
      </c>
      <c r="G1362">
        <v>114.9</v>
      </c>
      <c r="H1362">
        <v>14937</v>
      </c>
      <c r="I1362" t="s">
        <v>1828</v>
      </c>
      <c r="J1362">
        <v>14.94</v>
      </c>
      <c r="K1362">
        <v>5.31</v>
      </c>
      <c r="L1362">
        <v>0</v>
      </c>
      <c r="M1362">
        <v>0.01</v>
      </c>
      <c r="N1362">
        <v>58</v>
      </c>
      <c r="O1362">
        <v>11.4</v>
      </c>
      <c r="P1362">
        <v>89.66</v>
      </c>
      <c r="Q1362">
        <f t="shared" si="218"/>
        <v>2026</v>
      </c>
      <c r="R1362">
        <f t="shared" si="219"/>
        <v>2</v>
      </c>
      <c r="S1362">
        <f t="shared" si="220"/>
        <v>2025</v>
      </c>
      <c r="T1362">
        <f t="shared" si="221"/>
        <v>11</v>
      </c>
      <c r="U1362">
        <f t="shared" si="222"/>
        <v>11</v>
      </c>
      <c r="V1362" t="str">
        <f t="shared" si="223"/>
        <v>202511</v>
      </c>
      <c r="W1362" t="str">
        <f t="shared" si="224"/>
        <v>Feb-26</v>
      </c>
      <c r="X1362" s="3">
        <f t="shared" si="225"/>
        <v>14847.34</v>
      </c>
      <c r="Y1362">
        <f t="shared" si="226"/>
        <v>14847.34</v>
      </c>
      <c r="Z1362" t="str">
        <f t="shared" si="227"/>
        <v/>
      </c>
    </row>
    <row r="1363" spans="1:26" x14ac:dyDescent="0.25">
      <c r="A1363" s="1">
        <v>46071</v>
      </c>
      <c r="B1363" t="s">
        <v>1827</v>
      </c>
      <c r="C1363" t="s">
        <v>17</v>
      </c>
      <c r="D1363" t="s">
        <v>22</v>
      </c>
      <c r="E1363">
        <v>65</v>
      </c>
      <c r="F1363">
        <v>0</v>
      </c>
      <c r="G1363">
        <v>109.5</v>
      </c>
      <c r="H1363">
        <v>7117.5</v>
      </c>
      <c r="I1363" t="s">
        <v>1829</v>
      </c>
      <c r="J1363">
        <v>0</v>
      </c>
      <c r="K1363">
        <v>2.5299999999999998</v>
      </c>
      <c r="L1363">
        <v>0.43</v>
      </c>
      <c r="M1363">
        <v>0.01</v>
      </c>
      <c r="N1363">
        <v>29</v>
      </c>
      <c r="O1363">
        <v>5.68</v>
      </c>
      <c r="P1363">
        <v>37.65</v>
      </c>
      <c r="Q1363">
        <f t="shared" si="218"/>
        <v>2026</v>
      </c>
      <c r="R1363">
        <f t="shared" si="219"/>
        <v>2</v>
      </c>
      <c r="S1363">
        <f t="shared" si="220"/>
        <v>2025</v>
      </c>
      <c r="T1363">
        <f t="shared" si="221"/>
        <v>11</v>
      </c>
      <c r="U1363">
        <f t="shared" si="222"/>
        <v>11</v>
      </c>
      <c r="V1363" t="str">
        <f t="shared" si="223"/>
        <v>202511</v>
      </c>
      <c r="W1363" t="str">
        <f t="shared" si="224"/>
        <v>Feb-26</v>
      </c>
      <c r="X1363" s="3">
        <f t="shared" si="225"/>
        <v>-7155.15</v>
      </c>
      <c r="Y1363" t="str">
        <f t="shared" si="226"/>
        <v/>
      </c>
      <c r="Z1363">
        <f t="shared" si="227"/>
        <v>-7155.15</v>
      </c>
    </row>
    <row r="1364" spans="1:26" x14ac:dyDescent="0.25">
      <c r="A1364" s="1">
        <v>46071</v>
      </c>
      <c r="B1364" t="s">
        <v>1827</v>
      </c>
      <c r="C1364" t="s">
        <v>17</v>
      </c>
      <c r="D1364" t="s">
        <v>22</v>
      </c>
      <c r="E1364">
        <v>65</v>
      </c>
      <c r="F1364">
        <v>0</v>
      </c>
      <c r="G1364">
        <v>110.4</v>
      </c>
      <c r="H1364">
        <v>7176</v>
      </c>
      <c r="I1364" t="s">
        <v>1830</v>
      </c>
      <c r="J1364">
        <v>0</v>
      </c>
      <c r="K1364">
        <v>2.5499999999999998</v>
      </c>
      <c r="L1364">
        <v>0</v>
      </c>
      <c r="M1364">
        <v>0.01</v>
      </c>
      <c r="N1364">
        <v>29</v>
      </c>
      <c r="O1364">
        <v>5.68</v>
      </c>
      <c r="P1364">
        <v>37.24</v>
      </c>
      <c r="Q1364">
        <f t="shared" si="218"/>
        <v>2026</v>
      </c>
      <c r="R1364">
        <f t="shared" si="219"/>
        <v>2</v>
      </c>
      <c r="S1364">
        <f t="shared" si="220"/>
        <v>2025</v>
      </c>
      <c r="T1364">
        <f t="shared" si="221"/>
        <v>11</v>
      </c>
      <c r="U1364">
        <f t="shared" si="222"/>
        <v>11</v>
      </c>
      <c r="V1364" t="str">
        <f t="shared" si="223"/>
        <v>202511</v>
      </c>
      <c r="W1364" t="str">
        <f t="shared" si="224"/>
        <v>Feb-26</v>
      </c>
      <c r="X1364" s="3">
        <f t="shared" si="225"/>
        <v>-7213.24</v>
      </c>
      <c r="Y1364" t="str">
        <f t="shared" si="226"/>
        <v/>
      </c>
      <c r="Z1364">
        <f t="shared" si="227"/>
        <v>-7213.24</v>
      </c>
    </row>
    <row r="1365" spans="1:26" x14ac:dyDescent="0.25">
      <c r="A1365" s="1">
        <v>46071</v>
      </c>
      <c r="B1365" t="s">
        <v>1824</v>
      </c>
      <c r="C1365" t="s">
        <v>17</v>
      </c>
      <c r="D1365" t="s">
        <v>18</v>
      </c>
      <c r="E1365">
        <v>65</v>
      </c>
      <c r="F1365">
        <v>0</v>
      </c>
      <c r="G1365">
        <v>132</v>
      </c>
      <c r="H1365">
        <v>8580</v>
      </c>
      <c r="I1365" t="s">
        <v>1831</v>
      </c>
      <c r="J1365">
        <v>8.58</v>
      </c>
      <c r="K1365">
        <v>3.05</v>
      </c>
      <c r="L1365">
        <v>0</v>
      </c>
      <c r="M1365">
        <v>0.01</v>
      </c>
      <c r="N1365">
        <v>29</v>
      </c>
      <c r="O1365">
        <v>5.78</v>
      </c>
      <c r="P1365">
        <v>46.42</v>
      </c>
      <c r="Q1365">
        <f t="shared" si="218"/>
        <v>2026</v>
      </c>
      <c r="R1365">
        <f t="shared" si="219"/>
        <v>2</v>
      </c>
      <c r="S1365">
        <f t="shared" si="220"/>
        <v>2025</v>
      </c>
      <c r="T1365">
        <f t="shared" si="221"/>
        <v>11</v>
      </c>
      <c r="U1365">
        <f t="shared" si="222"/>
        <v>11</v>
      </c>
      <c r="V1365" t="str">
        <f t="shared" si="223"/>
        <v>202511</v>
      </c>
      <c r="W1365" t="str">
        <f t="shared" si="224"/>
        <v>Feb-26</v>
      </c>
      <c r="X1365" s="3">
        <f t="shared" si="225"/>
        <v>8533.58</v>
      </c>
      <c r="Y1365">
        <f t="shared" si="226"/>
        <v>8533.58</v>
      </c>
      <c r="Z1365" t="str">
        <f t="shared" si="227"/>
        <v/>
      </c>
    </row>
    <row r="1366" spans="1:26" x14ac:dyDescent="0.25">
      <c r="A1366" s="1">
        <v>46071</v>
      </c>
      <c r="B1366" t="s">
        <v>1824</v>
      </c>
      <c r="C1366" t="s">
        <v>17</v>
      </c>
      <c r="D1366" t="s">
        <v>22</v>
      </c>
      <c r="E1366">
        <v>65</v>
      </c>
      <c r="F1366">
        <v>0</v>
      </c>
      <c r="G1366">
        <v>125.35</v>
      </c>
      <c r="H1366">
        <v>8147.75</v>
      </c>
      <c r="I1366" t="s">
        <v>1832</v>
      </c>
      <c r="J1366">
        <v>0</v>
      </c>
      <c r="K1366">
        <v>2.89</v>
      </c>
      <c r="L1366">
        <v>0</v>
      </c>
      <c r="M1366">
        <v>0.01</v>
      </c>
      <c r="N1366">
        <v>29</v>
      </c>
      <c r="O1366">
        <v>5.74</v>
      </c>
      <c r="P1366">
        <v>37.64</v>
      </c>
      <c r="Q1366">
        <f t="shared" si="218"/>
        <v>2026</v>
      </c>
      <c r="R1366">
        <f t="shared" si="219"/>
        <v>2</v>
      </c>
      <c r="S1366">
        <f t="shared" si="220"/>
        <v>2025</v>
      </c>
      <c r="T1366">
        <f t="shared" si="221"/>
        <v>11</v>
      </c>
      <c r="U1366">
        <f t="shared" si="222"/>
        <v>11</v>
      </c>
      <c r="V1366" t="str">
        <f t="shared" si="223"/>
        <v>202511</v>
      </c>
      <c r="W1366" t="str">
        <f t="shared" si="224"/>
        <v>Feb-26</v>
      </c>
      <c r="X1366" s="3">
        <f t="shared" si="225"/>
        <v>-8185.39</v>
      </c>
      <c r="Y1366" t="str">
        <f t="shared" si="226"/>
        <v/>
      </c>
      <c r="Z1366">
        <f t="shared" si="227"/>
        <v>-8185.39</v>
      </c>
    </row>
    <row r="1367" spans="1:26" x14ac:dyDescent="0.25">
      <c r="A1367" s="1">
        <v>46071</v>
      </c>
      <c r="B1367" t="s">
        <v>1824</v>
      </c>
      <c r="C1367" t="s">
        <v>17</v>
      </c>
      <c r="D1367" t="s">
        <v>18</v>
      </c>
      <c r="E1367">
        <v>65</v>
      </c>
      <c r="F1367">
        <v>0</v>
      </c>
      <c r="G1367">
        <v>139.9</v>
      </c>
      <c r="H1367">
        <v>9093.5</v>
      </c>
      <c r="I1367" t="s">
        <v>1833</v>
      </c>
      <c r="J1367">
        <v>9.09</v>
      </c>
      <c r="K1367">
        <v>3.23</v>
      </c>
      <c r="L1367">
        <v>0</v>
      </c>
      <c r="M1367">
        <v>0.01</v>
      </c>
      <c r="N1367">
        <v>29</v>
      </c>
      <c r="O1367">
        <v>5.8</v>
      </c>
      <c r="P1367">
        <v>47.13</v>
      </c>
      <c r="Q1367">
        <f t="shared" si="218"/>
        <v>2026</v>
      </c>
      <c r="R1367">
        <f t="shared" si="219"/>
        <v>2</v>
      </c>
      <c r="S1367">
        <f t="shared" si="220"/>
        <v>2025</v>
      </c>
      <c r="T1367">
        <f t="shared" si="221"/>
        <v>11</v>
      </c>
      <c r="U1367">
        <f t="shared" si="222"/>
        <v>11</v>
      </c>
      <c r="V1367" t="str">
        <f t="shared" si="223"/>
        <v>202511</v>
      </c>
      <c r="W1367" t="str">
        <f t="shared" si="224"/>
        <v>Feb-26</v>
      </c>
      <c r="X1367" s="3">
        <f t="shared" si="225"/>
        <v>9046.3700000000008</v>
      </c>
      <c r="Y1367">
        <f t="shared" si="226"/>
        <v>9046.3700000000008</v>
      </c>
      <c r="Z1367" t="str">
        <f t="shared" si="227"/>
        <v/>
      </c>
    </row>
    <row r="1368" spans="1:26" x14ac:dyDescent="0.25">
      <c r="A1368" s="1">
        <v>46071</v>
      </c>
      <c r="B1368" t="s">
        <v>1824</v>
      </c>
      <c r="C1368" t="s">
        <v>17</v>
      </c>
      <c r="D1368" t="s">
        <v>18</v>
      </c>
      <c r="E1368">
        <v>65</v>
      </c>
      <c r="F1368">
        <v>0</v>
      </c>
      <c r="G1368">
        <v>127.9</v>
      </c>
      <c r="H1368">
        <v>8313.5</v>
      </c>
      <c r="I1368" t="s">
        <v>1834</v>
      </c>
      <c r="J1368">
        <v>8.6</v>
      </c>
      <c r="K1368">
        <v>2.95</v>
      </c>
      <c r="L1368">
        <v>0</v>
      </c>
      <c r="M1368">
        <v>0.01</v>
      </c>
      <c r="N1368">
        <v>29</v>
      </c>
      <c r="O1368">
        <v>5.76</v>
      </c>
      <c r="P1368">
        <v>46.32</v>
      </c>
      <c r="Q1368">
        <f t="shared" si="218"/>
        <v>2026</v>
      </c>
      <c r="R1368">
        <f t="shared" si="219"/>
        <v>2</v>
      </c>
      <c r="S1368">
        <f t="shared" si="220"/>
        <v>2025</v>
      </c>
      <c r="T1368">
        <f t="shared" si="221"/>
        <v>11</v>
      </c>
      <c r="U1368">
        <f t="shared" si="222"/>
        <v>11</v>
      </c>
      <c r="V1368" t="str">
        <f t="shared" si="223"/>
        <v>202511</v>
      </c>
      <c r="W1368" t="str">
        <f t="shared" si="224"/>
        <v>Feb-26</v>
      </c>
      <c r="X1368" s="3">
        <f t="shared" si="225"/>
        <v>8267.18</v>
      </c>
      <c r="Y1368">
        <f t="shared" si="226"/>
        <v>8267.18</v>
      </c>
      <c r="Z1368" t="str">
        <f t="shared" si="227"/>
        <v/>
      </c>
    </row>
    <row r="1369" spans="1:26" x14ac:dyDescent="0.25">
      <c r="A1369" s="1">
        <v>46071</v>
      </c>
      <c r="B1369" t="s">
        <v>1824</v>
      </c>
      <c r="C1369" t="s">
        <v>17</v>
      </c>
      <c r="D1369" t="s">
        <v>22</v>
      </c>
      <c r="E1369">
        <v>65</v>
      </c>
      <c r="F1369">
        <v>0</v>
      </c>
      <c r="G1369">
        <v>118.95</v>
      </c>
      <c r="H1369">
        <v>7731.75</v>
      </c>
      <c r="I1369" t="s">
        <v>1835</v>
      </c>
      <c r="J1369">
        <v>0</v>
      </c>
      <c r="K1369">
        <v>2.75</v>
      </c>
      <c r="L1369">
        <v>0</v>
      </c>
      <c r="M1369">
        <v>0.01</v>
      </c>
      <c r="N1369">
        <v>29</v>
      </c>
      <c r="O1369">
        <v>5.72</v>
      </c>
      <c r="P1369">
        <v>37.479999999999997</v>
      </c>
      <c r="Q1369">
        <f t="shared" si="218"/>
        <v>2026</v>
      </c>
      <c r="R1369">
        <f t="shared" si="219"/>
        <v>2</v>
      </c>
      <c r="S1369">
        <f t="shared" si="220"/>
        <v>2025</v>
      </c>
      <c r="T1369">
        <f t="shared" si="221"/>
        <v>11</v>
      </c>
      <c r="U1369">
        <f t="shared" si="222"/>
        <v>11</v>
      </c>
      <c r="V1369" t="str">
        <f t="shared" si="223"/>
        <v>202511</v>
      </c>
      <c r="W1369" t="str">
        <f t="shared" si="224"/>
        <v>Feb-26</v>
      </c>
      <c r="X1369" s="3">
        <f t="shared" si="225"/>
        <v>-7769.23</v>
      </c>
      <c r="Y1369" t="str">
        <f t="shared" si="226"/>
        <v/>
      </c>
      <c r="Z1369">
        <f t="shared" si="227"/>
        <v>-7769.23</v>
      </c>
    </row>
    <row r="1370" spans="1:26" x14ac:dyDescent="0.25">
      <c r="A1370" s="1">
        <v>46071</v>
      </c>
      <c r="B1370" t="s">
        <v>1824</v>
      </c>
      <c r="C1370" t="s">
        <v>17</v>
      </c>
      <c r="D1370" t="s">
        <v>22</v>
      </c>
      <c r="E1370">
        <v>65</v>
      </c>
      <c r="F1370">
        <v>0</v>
      </c>
      <c r="G1370">
        <v>116.25</v>
      </c>
      <c r="H1370">
        <v>7556.25</v>
      </c>
      <c r="I1370" t="s">
        <v>1836</v>
      </c>
      <c r="J1370">
        <v>0</v>
      </c>
      <c r="K1370">
        <v>2.68</v>
      </c>
      <c r="L1370">
        <v>0</v>
      </c>
      <c r="M1370">
        <v>0.01</v>
      </c>
      <c r="N1370">
        <v>29</v>
      </c>
      <c r="O1370">
        <v>5.7</v>
      </c>
      <c r="P1370">
        <v>37.39</v>
      </c>
      <c r="Q1370">
        <f t="shared" si="218"/>
        <v>2026</v>
      </c>
      <c r="R1370">
        <f t="shared" si="219"/>
        <v>2</v>
      </c>
      <c r="S1370">
        <f t="shared" si="220"/>
        <v>2025</v>
      </c>
      <c r="T1370">
        <f t="shared" si="221"/>
        <v>11</v>
      </c>
      <c r="U1370">
        <f t="shared" si="222"/>
        <v>11</v>
      </c>
      <c r="V1370" t="str">
        <f t="shared" si="223"/>
        <v>202511</v>
      </c>
      <c r="W1370" t="str">
        <f t="shared" si="224"/>
        <v>Feb-26</v>
      </c>
      <c r="X1370" s="3">
        <f t="shared" si="225"/>
        <v>-7593.64</v>
      </c>
      <c r="Y1370" t="str">
        <f t="shared" si="226"/>
        <v/>
      </c>
      <c r="Z1370">
        <f t="shared" si="227"/>
        <v>-7593.64</v>
      </c>
    </row>
    <row r="1371" spans="1:26" x14ac:dyDescent="0.25">
      <c r="A1371" s="1">
        <v>46072</v>
      </c>
      <c r="B1371" t="s">
        <v>1837</v>
      </c>
      <c r="C1371" t="s">
        <v>17</v>
      </c>
      <c r="D1371" t="s">
        <v>22</v>
      </c>
      <c r="E1371">
        <v>130</v>
      </c>
      <c r="F1371">
        <v>0</v>
      </c>
      <c r="G1371">
        <v>122.3</v>
      </c>
      <c r="H1371">
        <v>15899</v>
      </c>
      <c r="I1371" t="s">
        <v>1838</v>
      </c>
      <c r="J1371">
        <v>0</v>
      </c>
      <c r="K1371">
        <v>5.64</v>
      </c>
      <c r="L1371">
        <v>0.48</v>
      </c>
      <c r="M1371">
        <v>0.02</v>
      </c>
      <c r="N1371">
        <v>58</v>
      </c>
      <c r="O1371">
        <v>11.44</v>
      </c>
      <c r="P1371">
        <v>75.58</v>
      </c>
      <c r="Q1371">
        <f t="shared" si="218"/>
        <v>2026</v>
      </c>
      <c r="R1371">
        <f t="shared" si="219"/>
        <v>2</v>
      </c>
      <c r="S1371">
        <f t="shared" si="220"/>
        <v>2025</v>
      </c>
      <c r="T1371">
        <f t="shared" si="221"/>
        <v>11</v>
      </c>
      <c r="U1371">
        <f t="shared" si="222"/>
        <v>11</v>
      </c>
      <c r="V1371" t="str">
        <f t="shared" si="223"/>
        <v>202511</v>
      </c>
      <c r="W1371" t="str">
        <f t="shared" si="224"/>
        <v>Feb-26</v>
      </c>
      <c r="X1371" s="3">
        <f t="shared" si="225"/>
        <v>-15974.58</v>
      </c>
      <c r="Y1371" t="str">
        <f t="shared" si="226"/>
        <v/>
      </c>
      <c r="Z1371">
        <f t="shared" si="227"/>
        <v>-15974.58</v>
      </c>
    </row>
    <row r="1372" spans="1:26" x14ac:dyDescent="0.25">
      <c r="A1372" s="1">
        <v>46072</v>
      </c>
      <c r="B1372" t="s">
        <v>1839</v>
      </c>
      <c r="C1372" t="s">
        <v>17</v>
      </c>
      <c r="D1372" t="s">
        <v>18</v>
      </c>
      <c r="E1372">
        <v>65</v>
      </c>
      <c r="F1372">
        <v>0</v>
      </c>
      <c r="G1372">
        <v>189.9</v>
      </c>
      <c r="H1372">
        <v>12343.5</v>
      </c>
      <c r="I1372" t="s">
        <v>1840</v>
      </c>
      <c r="J1372">
        <v>12.34</v>
      </c>
      <c r="K1372">
        <v>4.3899999999999997</v>
      </c>
      <c r="L1372">
        <v>0</v>
      </c>
      <c r="M1372">
        <v>0.01</v>
      </c>
      <c r="N1372">
        <v>29</v>
      </c>
      <c r="O1372">
        <v>6.02</v>
      </c>
      <c r="P1372">
        <v>51.76</v>
      </c>
      <c r="Q1372">
        <f t="shared" si="218"/>
        <v>2026</v>
      </c>
      <c r="R1372">
        <f t="shared" si="219"/>
        <v>2</v>
      </c>
      <c r="S1372">
        <f t="shared" si="220"/>
        <v>2025</v>
      </c>
      <c r="T1372">
        <f t="shared" si="221"/>
        <v>11</v>
      </c>
      <c r="U1372">
        <f t="shared" si="222"/>
        <v>11</v>
      </c>
      <c r="V1372" t="str">
        <f t="shared" si="223"/>
        <v>202511</v>
      </c>
      <c r="W1372" t="str">
        <f t="shared" si="224"/>
        <v>Feb-26</v>
      </c>
      <c r="X1372" s="3">
        <f t="shared" si="225"/>
        <v>12291.74</v>
      </c>
      <c r="Y1372">
        <f t="shared" si="226"/>
        <v>12291.74</v>
      </c>
      <c r="Z1372" t="str">
        <f t="shared" si="227"/>
        <v/>
      </c>
    </row>
    <row r="1373" spans="1:26" x14ac:dyDescent="0.25">
      <c r="A1373" s="1">
        <v>46072</v>
      </c>
      <c r="B1373" t="s">
        <v>1839</v>
      </c>
      <c r="C1373" t="s">
        <v>17</v>
      </c>
      <c r="D1373" t="s">
        <v>22</v>
      </c>
      <c r="E1373">
        <v>65</v>
      </c>
      <c r="F1373">
        <v>0</v>
      </c>
      <c r="G1373">
        <v>162.25</v>
      </c>
      <c r="H1373">
        <v>10546.25</v>
      </c>
      <c r="I1373" t="s">
        <v>1841</v>
      </c>
      <c r="J1373">
        <v>0</v>
      </c>
      <c r="K1373">
        <v>3.75</v>
      </c>
      <c r="L1373">
        <v>0.32</v>
      </c>
      <c r="M1373">
        <v>0.01</v>
      </c>
      <c r="N1373">
        <v>29</v>
      </c>
      <c r="O1373">
        <v>5.9</v>
      </c>
      <c r="P1373">
        <v>38.979999999999997</v>
      </c>
      <c r="Q1373">
        <f t="shared" si="218"/>
        <v>2026</v>
      </c>
      <c r="R1373">
        <f t="shared" si="219"/>
        <v>2</v>
      </c>
      <c r="S1373">
        <f t="shared" si="220"/>
        <v>2025</v>
      </c>
      <c r="T1373">
        <f t="shared" si="221"/>
        <v>11</v>
      </c>
      <c r="U1373">
        <f t="shared" si="222"/>
        <v>11</v>
      </c>
      <c r="V1373" t="str">
        <f t="shared" si="223"/>
        <v>202511</v>
      </c>
      <c r="W1373" t="str">
        <f t="shared" si="224"/>
        <v>Feb-26</v>
      </c>
      <c r="X1373" s="3">
        <f t="shared" si="225"/>
        <v>-10585.23</v>
      </c>
      <c r="Y1373" t="str">
        <f t="shared" si="226"/>
        <v/>
      </c>
      <c r="Z1373">
        <f t="shared" si="227"/>
        <v>-10585.23</v>
      </c>
    </row>
    <row r="1374" spans="1:26" x14ac:dyDescent="0.25">
      <c r="A1374" s="1">
        <v>46072</v>
      </c>
      <c r="B1374" t="s">
        <v>1842</v>
      </c>
      <c r="C1374" t="s">
        <v>17</v>
      </c>
      <c r="D1374" t="s">
        <v>18</v>
      </c>
      <c r="E1374">
        <v>130</v>
      </c>
      <c r="F1374">
        <v>0</v>
      </c>
      <c r="G1374">
        <v>99.9</v>
      </c>
      <c r="H1374">
        <v>12987</v>
      </c>
      <c r="I1374" t="s">
        <v>1843</v>
      </c>
      <c r="J1374">
        <v>12.98</v>
      </c>
      <c r="K1374">
        <v>4.62</v>
      </c>
      <c r="L1374">
        <v>0</v>
      </c>
      <c r="M1374">
        <v>0.02</v>
      </c>
      <c r="N1374">
        <v>58</v>
      </c>
      <c r="O1374">
        <v>11.28</v>
      </c>
      <c r="P1374">
        <v>86.9</v>
      </c>
      <c r="Q1374">
        <f t="shared" si="218"/>
        <v>2026</v>
      </c>
      <c r="R1374">
        <f t="shared" si="219"/>
        <v>2</v>
      </c>
      <c r="S1374">
        <f t="shared" si="220"/>
        <v>2025</v>
      </c>
      <c r="T1374">
        <f t="shared" si="221"/>
        <v>11</v>
      </c>
      <c r="U1374">
        <f t="shared" si="222"/>
        <v>11</v>
      </c>
      <c r="V1374" t="str">
        <f t="shared" si="223"/>
        <v>202511</v>
      </c>
      <c r="W1374" t="str">
        <f t="shared" si="224"/>
        <v>Feb-26</v>
      </c>
      <c r="X1374" s="3">
        <f t="shared" si="225"/>
        <v>12900.1</v>
      </c>
      <c r="Y1374">
        <f t="shared" si="226"/>
        <v>12900.1</v>
      </c>
      <c r="Z1374" t="str">
        <f t="shared" si="227"/>
        <v/>
      </c>
    </row>
    <row r="1375" spans="1:26" x14ac:dyDescent="0.25">
      <c r="A1375" s="1">
        <v>46072</v>
      </c>
      <c r="B1375" t="s">
        <v>1842</v>
      </c>
      <c r="C1375" t="s">
        <v>17</v>
      </c>
      <c r="D1375" t="s">
        <v>22</v>
      </c>
      <c r="E1375">
        <v>130</v>
      </c>
      <c r="F1375">
        <v>0</v>
      </c>
      <c r="G1375">
        <v>97.7</v>
      </c>
      <c r="H1375">
        <v>12701</v>
      </c>
      <c r="I1375" t="s">
        <v>1844</v>
      </c>
      <c r="J1375">
        <v>0</v>
      </c>
      <c r="K1375">
        <v>4.5199999999999996</v>
      </c>
      <c r="L1375">
        <v>0</v>
      </c>
      <c r="M1375">
        <v>0.02</v>
      </c>
      <c r="N1375">
        <v>58</v>
      </c>
      <c r="O1375">
        <v>11.24</v>
      </c>
      <c r="P1375">
        <v>73.78</v>
      </c>
      <c r="Q1375">
        <f t="shared" si="218"/>
        <v>2026</v>
      </c>
      <c r="R1375">
        <f t="shared" si="219"/>
        <v>2</v>
      </c>
      <c r="S1375">
        <f t="shared" si="220"/>
        <v>2025</v>
      </c>
      <c r="T1375">
        <f t="shared" si="221"/>
        <v>11</v>
      </c>
      <c r="U1375">
        <f t="shared" si="222"/>
        <v>11</v>
      </c>
      <c r="V1375" t="str">
        <f t="shared" si="223"/>
        <v>202511</v>
      </c>
      <c r="W1375" t="str">
        <f t="shared" si="224"/>
        <v>Feb-26</v>
      </c>
      <c r="X1375" s="3">
        <f t="shared" si="225"/>
        <v>-12774.78</v>
      </c>
      <c r="Y1375" t="str">
        <f t="shared" si="226"/>
        <v/>
      </c>
      <c r="Z1375">
        <f t="shared" si="227"/>
        <v>-12774.78</v>
      </c>
    </row>
    <row r="1376" spans="1:26" x14ac:dyDescent="0.25">
      <c r="A1376" s="1">
        <v>46072</v>
      </c>
      <c r="B1376" t="s">
        <v>1842</v>
      </c>
      <c r="C1376" t="s">
        <v>17</v>
      </c>
      <c r="D1376" t="s">
        <v>18</v>
      </c>
      <c r="E1376">
        <v>65</v>
      </c>
      <c r="F1376">
        <v>0</v>
      </c>
      <c r="G1376">
        <v>107.75</v>
      </c>
      <c r="H1376">
        <v>7003.75</v>
      </c>
      <c r="I1376" t="s">
        <v>1845</v>
      </c>
      <c r="J1376">
        <v>7</v>
      </c>
      <c r="K1376">
        <v>2.4900000000000002</v>
      </c>
      <c r="L1376">
        <v>0</v>
      </c>
      <c r="M1376">
        <v>0.01</v>
      </c>
      <c r="N1376">
        <v>29</v>
      </c>
      <c r="O1376">
        <v>5.66</v>
      </c>
      <c r="P1376">
        <v>44.16</v>
      </c>
      <c r="Q1376">
        <f t="shared" si="218"/>
        <v>2026</v>
      </c>
      <c r="R1376">
        <f t="shared" si="219"/>
        <v>2</v>
      </c>
      <c r="S1376">
        <f t="shared" si="220"/>
        <v>2025</v>
      </c>
      <c r="T1376">
        <f t="shared" si="221"/>
        <v>11</v>
      </c>
      <c r="U1376">
        <f t="shared" si="222"/>
        <v>11</v>
      </c>
      <c r="V1376" t="str">
        <f t="shared" si="223"/>
        <v>202511</v>
      </c>
      <c r="W1376" t="str">
        <f t="shared" si="224"/>
        <v>Feb-26</v>
      </c>
      <c r="X1376" s="3">
        <f t="shared" si="225"/>
        <v>6959.59</v>
      </c>
      <c r="Y1376">
        <f t="shared" si="226"/>
        <v>6959.59</v>
      </c>
      <c r="Z1376" t="str">
        <f t="shared" si="227"/>
        <v/>
      </c>
    </row>
    <row r="1377" spans="1:26" x14ac:dyDescent="0.25">
      <c r="A1377" s="1">
        <v>46072</v>
      </c>
      <c r="B1377" t="s">
        <v>1842</v>
      </c>
      <c r="C1377" t="s">
        <v>17</v>
      </c>
      <c r="D1377" t="s">
        <v>18</v>
      </c>
      <c r="E1377">
        <v>65</v>
      </c>
      <c r="F1377">
        <v>0</v>
      </c>
      <c r="G1377">
        <v>113.9</v>
      </c>
      <c r="H1377">
        <v>7403.5</v>
      </c>
      <c r="I1377" t="s">
        <v>1846</v>
      </c>
      <c r="J1377">
        <v>7.4</v>
      </c>
      <c r="K1377">
        <v>2.63</v>
      </c>
      <c r="L1377">
        <v>0</v>
      </c>
      <c r="M1377">
        <v>0.01</v>
      </c>
      <c r="N1377">
        <v>29</v>
      </c>
      <c r="O1377">
        <v>5.7</v>
      </c>
      <c r="P1377">
        <v>44.74</v>
      </c>
      <c r="Q1377">
        <f t="shared" si="218"/>
        <v>2026</v>
      </c>
      <c r="R1377">
        <f t="shared" si="219"/>
        <v>2</v>
      </c>
      <c r="S1377">
        <f t="shared" si="220"/>
        <v>2025</v>
      </c>
      <c r="T1377">
        <f t="shared" si="221"/>
        <v>11</v>
      </c>
      <c r="U1377">
        <f t="shared" si="222"/>
        <v>11</v>
      </c>
      <c r="V1377" t="str">
        <f t="shared" si="223"/>
        <v>202511</v>
      </c>
      <c r="W1377" t="str">
        <f t="shared" si="224"/>
        <v>Feb-26</v>
      </c>
      <c r="X1377" s="3">
        <f t="shared" si="225"/>
        <v>7358.76</v>
      </c>
      <c r="Y1377">
        <f t="shared" si="226"/>
        <v>7358.76</v>
      </c>
      <c r="Z1377" t="str">
        <f t="shared" si="227"/>
        <v/>
      </c>
    </row>
    <row r="1378" spans="1:26" x14ac:dyDescent="0.25">
      <c r="A1378" s="1">
        <v>46072</v>
      </c>
      <c r="B1378" t="s">
        <v>1842</v>
      </c>
      <c r="C1378" t="s">
        <v>17</v>
      </c>
      <c r="D1378" t="s">
        <v>22</v>
      </c>
      <c r="E1378">
        <v>130</v>
      </c>
      <c r="F1378">
        <v>0</v>
      </c>
      <c r="G1378">
        <v>115.45</v>
      </c>
      <c r="H1378">
        <v>15008.5</v>
      </c>
      <c r="I1378" t="s">
        <v>1847</v>
      </c>
      <c r="J1378">
        <v>0</v>
      </c>
      <c r="K1378">
        <v>5.33</v>
      </c>
      <c r="L1378">
        <v>1.2</v>
      </c>
      <c r="M1378">
        <v>0.02</v>
      </c>
      <c r="N1378">
        <v>58</v>
      </c>
      <c r="O1378">
        <v>11.4</v>
      </c>
      <c r="P1378">
        <v>75.95</v>
      </c>
      <c r="Q1378">
        <f t="shared" si="218"/>
        <v>2026</v>
      </c>
      <c r="R1378">
        <f t="shared" si="219"/>
        <v>2</v>
      </c>
      <c r="S1378">
        <f t="shared" si="220"/>
        <v>2025</v>
      </c>
      <c r="T1378">
        <f t="shared" si="221"/>
        <v>11</v>
      </c>
      <c r="U1378">
        <f t="shared" si="222"/>
        <v>11</v>
      </c>
      <c r="V1378" t="str">
        <f t="shared" si="223"/>
        <v>202511</v>
      </c>
      <c r="W1378" t="str">
        <f t="shared" si="224"/>
        <v>Feb-26</v>
      </c>
      <c r="X1378" s="3">
        <f t="shared" si="225"/>
        <v>-15084.45</v>
      </c>
      <c r="Y1378" t="str">
        <f t="shared" si="226"/>
        <v/>
      </c>
      <c r="Z1378">
        <f t="shared" si="227"/>
        <v>-15084.45</v>
      </c>
    </row>
    <row r="1379" spans="1:26" x14ac:dyDescent="0.25">
      <c r="A1379" s="1">
        <v>46072</v>
      </c>
      <c r="B1379" t="s">
        <v>1842</v>
      </c>
      <c r="C1379" t="s">
        <v>17</v>
      </c>
      <c r="D1379" t="s">
        <v>18</v>
      </c>
      <c r="E1379">
        <v>65</v>
      </c>
      <c r="F1379">
        <v>0</v>
      </c>
      <c r="G1379">
        <v>115.9</v>
      </c>
      <c r="H1379">
        <v>7533.5</v>
      </c>
      <c r="I1379" t="s">
        <v>1848</v>
      </c>
      <c r="J1379">
        <v>7.26</v>
      </c>
      <c r="K1379">
        <v>2.68</v>
      </c>
      <c r="L1379">
        <v>0</v>
      </c>
      <c r="M1379">
        <v>0.01</v>
      </c>
      <c r="N1379">
        <v>29</v>
      </c>
      <c r="O1379">
        <v>5.7</v>
      </c>
      <c r="P1379">
        <v>44.65</v>
      </c>
      <c r="Q1379">
        <f t="shared" si="218"/>
        <v>2026</v>
      </c>
      <c r="R1379">
        <f t="shared" si="219"/>
        <v>2</v>
      </c>
      <c r="S1379">
        <f t="shared" si="220"/>
        <v>2025</v>
      </c>
      <c r="T1379">
        <f t="shared" si="221"/>
        <v>11</v>
      </c>
      <c r="U1379">
        <f t="shared" si="222"/>
        <v>11</v>
      </c>
      <c r="V1379" t="str">
        <f t="shared" si="223"/>
        <v>202511</v>
      </c>
      <c r="W1379" t="str">
        <f t="shared" si="224"/>
        <v>Feb-26</v>
      </c>
      <c r="X1379" s="3">
        <f t="shared" si="225"/>
        <v>7488.85</v>
      </c>
      <c r="Y1379">
        <f t="shared" si="226"/>
        <v>7488.85</v>
      </c>
      <c r="Z1379" t="str">
        <f t="shared" si="227"/>
        <v/>
      </c>
    </row>
    <row r="1380" spans="1:26" x14ac:dyDescent="0.25">
      <c r="A1380" s="1">
        <v>46072</v>
      </c>
      <c r="B1380" t="s">
        <v>1842</v>
      </c>
      <c r="C1380" t="s">
        <v>17</v>
      </c>
      <c r="D1380" t="s">
        <v>22</v>
      </c>
      <c r="E1380">
        <v>65</v>
      </c>
      <c r="F1380">
        <v>0</v>
      </c>
      <c r="G1380">
        <v>118.8</v>
      </c>
      <c r="H1380">
        <v>7722</v>
      </c>
      <c r="I1380" t="s">
        <v>1849</v>
      </c>
      <c r="J1380">
        <v>0</v>
      </c>
      <c r="K1380">
        <v>2.74</v>
      </c>
      <c r="L1380">
        <v>0</v>
      </c>
      <c r="M1380">
        <v>0.01</v>
      </c>
      <c r="N1380">
        <v>29</v>
      </c>
      <c r="O1380">
        <v>5.72</v>
      </c>
      <c r="P1380">
        <v>37.47</v>
      </c>
      <c r="Q1380">
        <f t="shared" si="218"/>
        <v>2026</v>
      </c>
      <c r="R1380">
        <f t="shared" si="219"/>
        <v>2</v>
      </c>
      <c r="S1380">
        <f t="shared" si="220"/>
        <v>2025</v>
      </c>
      <c r="T1380">
        <f t="shared" si="221"/>
        <v>11</v>
      </c>
      <c r="U1380">
        <f t="shared" si="222"/>
        <v>11</v>
      </c>
      <c r="V1380" t="str">
        <f t="shared" si="223"/>
        <v>202511</v>
      </c>
      <c r="W1380" t="str">
        <f t="shared" si="224"/>
        <v>Feb-26</v>
      </c>
      <c r="X1380" s="3">
        <f t="shared" si="225"/>
        <v>-7759.47</v>
      </c>
      <c r="Y1380" t="str">
        <f t="shared" si="226"/>
        <v/>
      </c>
      <c r="Z1380">
        <f t="shared" si="227"/>
        <v>-7759.47</v>
      </c>
    </row>
    <row r="1381" spans="1:26" x14ac:dyDescent="0.25">
      <c r="A1381" s="1">
        <v>46073</v>
      </c>
      <c r="B1381" t="s">
        <v>1837</v>
      </c>
      <c r="C1381" t="s">
        <v>17</v>
      </c>
      <c r="D1381" t="s">
        <v>18</v>
      </c>
      <c r="E1381">
        <v>130</v>
      </c>
      <c r="F1381">
        <v>0</v>
      </c>
      <c r="G1381">
        <v>169.25</v>
      </c>
      <c r="H1381">
        <v>22002.5</v>
      </c>
      <c r="I1381" t="s">
        <v>1850</v>
      </c>
      <c r="J1381">
        <v>22</v>
      </c>
      <c r="K1381">
        <v>7.82</v>
      </c>
      <c r="L1381">
        <v>0</v>
      </c>
      <c r="M1381">
        <v>0.02</v>
      </c>
      <c r="N1381">
        <v>58</v>
      </c>
      <c r="O1381">
        <v>11.86</v>
      </c>
      <c r="P1381">
        <v>99.7</v>
      </c>
      <c r="Q1381">
        <f t="shared" si="218"/>
        <v>2026</v>
      </c>
      <c r="R1381">
        <f t="shared" si="219"/>
        <v>2</v>
      </c>
      <c r="S1381">
        <f t="shared" si="220"/>
        <v>2025</v>
      </c>
      <c r="T1381">
        <f t="shared" si="221"/>
        <v>11</v>
      </c>
      <c r="U1381">
        <f t="shared" si="222"/>
        <v>11</v>
      </c>
      <c r="V1381" t="str">
        <f t="shared" si="223"/>
        <v>202511</v>
      </c>
      <c r="W1381" t="str">
        <f t="shared" si="224"/>
        <v>Feb-26</v>
      </c>
      <c r="X1381" s="3">
        <f t="shared" si="225"/>
        <v>21902.799999999999</v>
      </c>
      <c r="Y1381">
        <f t="shared" si="226"/>
        <v>21902.799999999999</v>
      </c>
      <c r="Z1381" t="str">
        <f t="shared" si="227"/>
        <v/>
      </c>
    </row>
    <row r="1382" spans="1:26" x14ac:dyDescent="0.25">
      <c r="A1382" s="1">
        <v>46073</v>
      </c>
      <c r="B1382" t="s">
        <v>1837</v>
      </c>
      <c r="C1382" t="s">
        <v>17</v>
      </c>
      <c r="D1382" t="s">
        <v>22</v>
      </c>
      <c r="E1382">
        <v>130</v>
      </c>
      <c r="F1382">
        <v>0</v>
      </c>
      <c r="G1382">
        <v>169.75</v>
      </c>
      <c r="H1382">
        <v>22067.5</v>
      </c>
      <c r="I1382" t="s">
        <v>1851</v>
      </c>
      <c r="J1382">
        <v>0</v>
      </c>
      <c r="K1382">
        <v>7.84</v>
      </c>
      <c r="L1382">
        <v>0</v>
      </c>
      <c r="M1382">
        <v>0.02</v>
      </c>
      <c r="N1382">
        <v>58</v>
      </c>
      <c r="O1382">
        <v>11.84</v>
      </c>
      <c r="P1382">
        <v>77.7</v>
      </c>
      <c r="Q1382">
        <f t="shared" si="218"/>
        <v>2026</v>
      </c>
      <c r="R1382">
        <f t="shared" si="219"/>
        <v>2</v>
      </c>
      <c r="S1382">
        <f t="shared" si="220"/>
        <v>2025</v>
      </c>
      <c r="T1382">
        <f t="shared" si="221"/>
        <v>11</v>
      </c>
      <c r="U1382">
        <f t="shared" si="222"/>
        <v>11</v>
      </c>
      <c r="V1382" t="str">
        <f t="shared" si="223"/>
        <v>202511</v>
      </c>
      <c r="W1382" t="str">
        <f t="shared" si="224"/>
        <v>Feb-26</v>
      </c>
      <c r="X1382" s="3">
        <f t="shared" si="225"/>
        <v>-22145.200000000001</v>
      </c>
      <c r="Y1382" t="str">
        <f t="shared" si="226"/>
        <v/>
      </c>
      <c r="Z1382">
        <f t="shared" si="227"/>
        <v>-22145.200000000001</v>
      </c>
    </row>
    <row r="1383" spans="1:26" x14ac:dyDescent="0.25">
      <c r="A1383" s="1">
        <v>46073</v>
      </c>
      <c r="B1383" t="s">
        <v>1852</v>
      </c>
      <c r="C1383" t="s">
        <v>17</v>
      </c>
      <c r="D1383" t="s">
        <v>22</v>
      </c>
      <c r="E1383">
        <v>65</v>
      </c>
      <c r="F1383">
        <v>0</v>
      </c>
      <c r="G1383">
        <v>55.35</v>
      </c>
      <c r="H1383">
        <v>3597.75</v>
      </c>
      <c r="I1383" t="s">
        <v>1853</v>
      </c>
      <c r="J1383">
        <v>0</v>
      </c>
      <c r="K1383">
        <v>1.28</v>
      </c>
      <c r="L1383">
        <v>0</v>
      </c>
      <c r="M1383">
        <v>0</v>
      </c>
      <c r="N1383">
        <v>29</v>
      </c>
      <c r="O1383">
        <v>5.46</v>
      </c>
      <c r="P1383">
        <v>35.74</v>
      </c>
      <c r="Q1383">
        <f t="shared" si="218"/>
        <v>2026</v>
      </c>
      <c r="R1383">
        <f t="shared" si="219"/>
        <v>2</v>
      </c>
      <c r="S1383">
        <f t="shared" si="220"/>
        <v>2025</v>
      </c>
      <c r="T1383">
        <f t="shared" si="221"/>
        <v>11</v>
      </c>
      <c r="U1383">
        <f t="shared" si="222"/>
        <v>11</v>
      </c>
      <c r="V1383" t="str">
        <f t="shared" si="223"/>
        <v>202511</v>
      </c>
      <c r="W1383" t="str">
        <f t="shared" si="224"/>
        <v>Feb-26</v>
      </c>
      <c r="X1383" s="3">
        <f t="shared" si="225"/>
        <v>-3633.49</v>
      </c>
      <c r="Y1383" t="str">
        <f t="shared" si="226"/>
        <v/>
      </c>
      <c r="Z1383">
        <f t="shared" si="227"/>
        <v>-3633.49</v>
      </c>
    </row>
    <row r="1384" spans="1:26" x14ac:dyDescent="0.25">
      <c r="A1384" s="1">
        <v>46073</v>
      </c>
      <c r="B1384" t="s">
        <v>1837</v>
      </c>
      <c r="C1384" t="s">
        <v>17</v>
      </c>
      <c r="D1384" t="s">
        <v>18</v>
      </c>
      <c r="E1384">
        <v>65</v>
      </c>
      <c r="F1384">
        <v>0</v>
      </c>
      <c r="G1384">
        <v>172</v>
      </c>
      <c r="H1384">
        <v>11180</v>
      </c>
      <c r="I1384" t="s">
        <v>1854</v>
      </c>
      <c r="J1384">
        <v>11.18</v>
      </c>
      <c r="K1384">
        <v>3.97</v>
      </c>
      <c r="L1384">
        <v>0</v>
      </c>
      <c r="M1384">
        <v>0.01</v>
      </c>
      <c r="N1384">
        <v>29</v>
      </c>
      <c r="O1384">
        <v>5.94</v>
      </c>
      <c r="P1384">
        <v>50.1</v>
      </c>
      <c r="Q1384">
        <f t="shared" si="218"/>
        <v>2026</v>
      </c>
      <c r="R1384">
        <f t="shared" si="219"/>
        <v>2</v>
      </c>
      <c r="S1384">
        <f t="shared" si="220"/>
        <v>2025</v>
      </c>
      <c r="T1384">
        <f t="shared" si="221"/>
        <v>11</v>
      </c>
      <c r="U1384">
        <f t="shared" si="222"/>
        <v>11</v>
      </c>
      <c r="V1384" t="str">
        <f t="shared" si="223"/>
        <v>202511</v>
      </c>
      <c r="W1384" t="str">
        <f t="shared" si="224"/>
        <v>Feb-26</v>
      </c>
      <c r="X1384" s="3">
        <f t="shared" si="225"/>
        <v>11129.9</v>
      </c>
      <c r="Y1384">
        <f t="shared" si="226"/>
        <v>11129.9</v>
      </c>
      <c r="Z1384" t="str">
        <f t="shared" si="227"/>
        <v/>
      </c>
    </row>
    <row r="1385" spans="1:26" x14ac:dyDescent="0.25">
      <c r="A1385" s="1">
        <v>46073</v>
      </c>
      <c r="B1385" t="s">
        <v>1837</v>
      </c>
      <c r="C1385" t="s">
        <v>17</v>
      </c>
      <c r="D1385" t="s">
        <v>22</v>
      </c>
      <c r="E1385">
        <v>65</v>
      </c>
      <c r="F1385">
        <v>0</v>
      </c>
      <c r="G1385">
        <v>182.25</v>
      </c>
      <c r="H1385">
        <v>11846.25</v>
      </c>
      <c r="I1385" t="s">
        <v>1855</v>
      </c>
      <c r="J1385">
        <v>0</v>
      </c>
      <c r="K1385">
        <v>4.21</v>
      </c>
      <c r="L1385">
        <v>0</v>
      </c>
      <c r="M1385">
        <v>0.01</v>
      </c>
      <c r="N1385">
        <v>29</v>
      </c>
      <c r="O1385">
        <v>5.98</v>
      </c>
      <c r="P1385">
        <v>39.200000000000003</v>
      </c>
      <c r="Q1385">
        <f t="shared" si="218"/>
        <v>2026</v>
      </c>
      <c r="R1385">
        <f t="shared" si="219"/>
        <v>2</v>
      </c>
      <c r="S1385">
        <f t="shared" si="220"/>
        <v>2025</v>
      </c>
      <c r="T1385">
        <f t="shared" si="221"/>
        <v>11</v>
      </c>
      <c r="U1385">
        <f t="shared" si="222"/>
        <v>11</v>
      </c>
      <c r="V1385" t="str">
        <f t="shared" si="223"/>
        <v>202511</v>
      </c>
      <c r="W1385" t="str">
        <f t="shared" si="224"/>
        <v>Feb-26</v>
      </c>
      <c r="X1385" s="3">
        <f t="shared" si="225"/>
        <v>-11885.45</v>
      </c>
      <c r="Y1385" t="str">
        <f t="shared" si="226"/>
        <v/>
      </c>
      <c r="Z1385">
        <f t="shared" si="227"/>
        <v>-11885.45</v>
      </c>
    </row>
    <row r="1386" spans="1:26" x14ac:dyDescent="0.25">
      <c r="A1386" s="1">
        <v>46073</v>
      </c>
      <c r="B1386" t="s">
        <v>1852</v>
      </c>
      <c r="C1386" t="s">
        <v>17</v>
      </c>
      <c r="D1386" t="s">
        <v>22</v>
      </c>
      <c r="E1386">
        <v>65</v>
      </c>
      <c r="F1386">
        <v>0</v>
      </c>
      <c r="G1386">
        <v>54.35</v>
      </c>
      <c r="H1386">
        <v>3532.75</v>
      </c>
      <c r="I1386" t="s">
        <v>1856</v>
      </c>
      <c r="J1386">
        <v>0</v>
      </c>
      <c r="K1386">
        <v>1.26</v>
      </c>
      <c r="L1386">
        <v>0</v>
      </c>
      <c r="M1386">
        <v>0</v>
      </c>
      <c r="N1386">
        <v>29</v>
      </c>
      <c r="O1386">
        <v>5.44</v>
      </c>
      <c r="P1386">
        <v>35.700000000000003</v>
      </c>
      <c r="Q1386">
        <f t="shared" si="218"/>
        <v>2026</v>
      </c>
      <c r="R1386">
        <f t="shared" si="219"/>
        <v>2</v>
      </c>
      <c r="S1386">
        <f t="shared" si="220"/>
        <v>2025</v>
      </c>
      <c r="T1386">
        <f t="shared" si="221"/>
        <v>11</v>
      </c>
      <c r="U1386">
        <f t="shared" si="222"/>
        <v>11</v>
      </c>
      <c r="V1386" t="str">
        <f t="shared" si="223"/>
        <v>202511</v>
      </c>
      <c r="W1386" t="str">
        <f t="shared" si="224"/>
        <v>Feb-26</v>
      </c>
      <c r="X1386" s="3">
        <f t="shared" si="225"/>
        <v>-3568.45</v>
      </c>
      <c r="Y1386" t="str">
        <f t="shared" si="226"/>
        <v/>
      </c>
      <c r="Z1386">
        <f t="shared" si="227"/>
        <v>-3568.45</v>
      </c>
    </row>
    <row r="1387" spans="1:26" x14ac:dyDescent="0.25">
      <c r="A1387" s="1">
        <v>46073</v>
      </c>
      <c r="B1387" t="s">
        <v>1837</v>
      </c>
      <c r="C1387" t="s">
        <v>17</v>
      </c>
      <c r="D1387" t="s">
        <v>18</v>
      </c>
      <c r="E1387">
        <v>195</v>
      </c>
      <c r="F1387">
        <v>0</v>
      </c>
      <c r="G1387">
        <v>199.9</v>
      </c>
      <c r="H1387">
        <v>38980.5</v>
      </c>
      <c r="I1387" t="s">
        <v>1857</v>
      </c>
      <c r="J1387">
        <v>38.979999999999997</v>
      </c>
      <c r="K1387">
        <v>13.85</v>
      </c>
      <c r="L1387">
        <v>0</v>
      </c>
      <c r="M1387">
        <v>0.04</v>
      </c>
      <c r="N1387">
        <v>87</v>
      </c>
      <c r="O1387">
        <v>18.16</v>
      </c>
      <c r="P1387">
        <v>158.03</v>
      </c>
      <c r="Q1387">
        <f t="shared" si="218"/>
        <v>2026</v>
      </c>
      <c r="R1387">
        <f t="shared" si="219"/>
        <v>2</v>
      </c>
      <c r="S1387">
        <f t="shared" si="220"/>
        <v>2025</v>
      </c>
      <c r="T1387">
        <f t="shared" si="221"/>
        <v>11</v>
      </c>
      <c r="U1387">
        <f t="shared" si="222"/>
        <v>11</v>
      </c>
      <c r="V1387" t="str">
        <f t="shared" si="223"/>
        <v>202511</v>
      </c>
      <c r="W1387" t="str">
        <f t="shared" si="224"/>
        <v>Feb-26</v>
      </c>
      <c r="X1387" s="3">
        <f t="shared" si="225"/>
        <v>38822.47</v>
      </c>
      <c r="Y1387">
        <f t="shared" si="226"/>
        <v>38822.47</v>
      </c>
      <c r="Z1387" t="str">
        <f t="shared" si="227"/>
        <v/>
      </c>
    </row>
    <row r="1388" spans="1:26" x14ac:dyDescent="0.25">
      <c r="A1388" s="1">
        <v>46073</v>
      </c>
      <c r="B1388" t="s">
        <v>1852</v>
      </c>
      <c r="C1388" t="s">
        <v>17</v>
      </c>
      <c r="D1388" t="s">
        <v>22</v>
      </c>
      <c r="E1388">
        <v>65</v>
      </c>
      <c r="F1388">
        <v>0</v>
      </c>
      <c r="G1388">
        <v>50.4</v>
      </c>
      <c r="H1388">
        <v>3276</v>
      </c>
      <c r="I1388" t="s">
        <v>1858</v>
      </c>
      <c r="J1388">
        <v>0</v>
      </c>
      <c r="K1388">
        <v>1.1599999999999999</v>
      </c>
      <c r="L1388">
        <v>0</v>
      </c>
      <c r="M1388">
        <v>0</v>
      </c>
      <c r="N1388">
        <v>29</v>
      </c>
      <c r="O1388">
        <v>5.42</v>
      </c>
      <c r="P1388">
        <v>35.58</v>
      </c>
      <c r="Q1388">
        <f t="shared" ref="Q1388:Q1406" si="228">YEAR(A1388)</f>
        <v>2026</v>
      </c>
      <c r="R1388">
        <f t="shared" ref="R1388:R1406" si="229">MONTH(A1388)</f>
        <v>2</v>
      </c>
      <c r="S1388">
        <f t="shared" ref="S1388:S1406" si="230">IF(R1388&lt;4,Q1388-1,Q1388)</f>
        <v>2025</v>
      </c>
      <c r="T1388">
        <f t="shared" ref="T1388:T1406" si="231">IF(R1388&lt;4,R1388+9,R1388-3)</f>
        <v>11</v>
      </c>
      <c r="U1388">
        <f t="shared" ref="U1388:U1406" si="232">IF(LEN(T1388)=1,_xlfn.CONCAT(0,T1388),T1388)</f>
        <v>11</v>
      </c>
      <c r="V1388" t="str">
        <f t="shared" ref="V1388:V1406" si="233">_xlfn.CONCAT(S1388,U1388)</f>
        <v>202511</v>
      </c>
      <c r="W1388" t="str">
        <f t="shared" ref="W1388:W1406" si="234">_xlfn.CONCAT(TEXT(A1388,"MMM"),"-",MID(Q1388,3,2))</f>
        <v>Feb-26</v>
      </c>
      <c r="X1388" s="3">
        <f t="shared" ref="X1388:X1406" si="235">IFERROR(IF(D1388="Sell",(H1388-P1388),-(H1388+P1388)),0)</f>
        <v>-3311.58</v>
      </c>
      <c r="Y1388" t="str">
        <f t="shared" si="226"/>
        <v/>
      </c>
      <c r="Z1388">
        <f t="shared" si="227"/>
        <v>-3311.58</v>
      </c>
    </row>
    <row r="1389" spans="1:26" x14ac:dyDescent="0.25">
      <c r="A1389" s="1">
        <v>46073</v>
      </c>
      <c r="B1389" t="s">
        <v>1837</v>
      </c>
      <c r="C1389" t="s">
        <v>17</v>
      </c>
      <c r="D1389" t="s">
        <v>22</v>
      </c>
      <c r="E1389">
        <v>195</v>
      </c>
      <c r="F1389">
        <v>0</v>
      </c>
      <c r="G1389">
        <v>176.45</v>
      </c>
      <c r="H1389">
        <v>34407.75</v>
      </c>
      <c r="I1389" t="s">
        <v>1859</v>
      </c>
      <c r="J1389">
        <v>0</v>
      </c>
      <c r="K1389">
        <v>12.23</v>
      </c>
      <c r="L1389">
        <v>1.61</v>
      </c>
      <c r="M1389">
        <v>0.03</v>
      </c>
      <c r="N1389">
        <v>87</v>
      </c>
      <c r="O1389">
        <v>17.88</v>
      </c>
      <c r="P1389">
        <v>118.75</v>
      </c>
      <c r="Q1389">
        <f t="shared" si="228"/>
        <v>2026</v>
      </c>
      <c r="R1389">
        <f t="shared" si="229"/>
        <v>2</v>
      </c>
      <c r="S1389">
        <f t="shared" si="230"/>
        <v>2025</v>
      </c>
      <c r="T1389">
        <f t="shared" si="231"/>
        <v>11</v>
      </c>
      <c r="U1389">
        <f t="shared" si="232"/>
        <v>11</v>
      </c>
      <c r="V1389" t="str">
        <f t="shared" si="233"/>
        <v>202511</v>
      </c>
      <c r="W1389" t="str">
        <f t="shared" si="234"/>
        <v>Feb-26</v>
      </c>
      <c r="X1389" s="3">
        <f t="shared" si="235"/>
        <v>-34526.5</v>
      </c>
      <c r="Y1389" t="str">
        <f t="shared" si="226"/>
        <v/>
      </c>
      <c r="Z1389">
        <f t="shared" si="227"/>
        <v>-34526.5</v>
      </c>
    </row>
    <row r="1390" spans="1:26" x14ac:dyDescent="0.25">
      <c r="A1390" s="1">
        <v>46073</v>
      </c>
      <c r="B1390" t="s">
        <v>1852</v>
      </c>
      <c r="C1390" t="s">
        <v>17</v>
      </c>
      <c r="D1390" t="s">
        <v>22</v>
      </c>
      <c r="E1390">
        <v>65</v>
      </c>
      <c r="F1390">
        <v>0</v>
      </c>
      <c r="G1390">
        <v>60.55</v>
      </c>
      <c r="H1390">
        <v>3935.75</v>
      </c>
      <c r="I1390" t="s">
        <v>1860</v>
      </c>
      <c r="J1390">
        <v>0</v>
      </c>
      <c r="K1390">
        <v>1.4</v>
      </c>
      <c r="L1390">
        <v>0</v>
      </c>
      <c r="M1390">
        <v>0</v>
      </c>
      <c r="N1390">
        <v>29</v>
      </c>
      <c r="O1390">
        <v>5.48</v>
      </c>
      <c r="P1390">
        <v>35.880000000000003</v>
      </c>
      <c r="Q1390">
        <f t="shared" si="228"/>
        <v>2026</v>
      </c>
      <c r="R1390">
        <f t="shared" si="229"/>
        <v>2</v>
      </c>
      <c r="S1390">
        <f t="shared" si="230"/>
        <v>2025</v>
      </c>
      <c r="T1390">
        <f t="shared" si="231"/>
        <v>11</v>
      </c>
      <c r="U1390">
        <f t="shared" si="232"/>
        <v>11</v>
      </c>
      <c r="V1390" t="str">
        <f t="shared" si="233"/>
        <v>202511</v>
      </c>
      <c r="W1390" t="str">
        <f t="shared" si="234"/>
        <v>Feb-26</v>
      </c>
      <c r="X1390" s="3">
        <f t="shared" si="235"/>
        <v>-3971.63</v>
      </c>
      <c r="Y1390" t="str">
        <f t="shared" si="226"/>
        <v/>
      </c>
      <c r="Z1390">
        <f t="shared" si="227"/>
        <v>-3971.63</v>
      </c>
    </row>
    <row r="1391" spans="1:26" x14ac:dyDescent="0.25">
      <c r="A1391" s="1">
        <v>46073</v>
      </c>
      <c r="B1391" t="s">
        <v>1852</v>
      </c>
      <c r="C1391" t="s">
        <v>17</v>
      </c>
      <c r="D1391" t="s">
        <v>22</v>
      </c>
      <c r="E1391">
        <v>65</v>
      </c>
      <c r="F1391">
        <v>0</v>
      </c>
      <c r="G1391">
        <v>55.8</v>
      </c>
      <c r="H1391">
        <v>3627</v>
      </c>
      <c r="I1391" t="s">
        <v>1861</v>
      </c>
      <c r="J1391">
        <v>0</v>
      </c>
      <c r="K1391">
        <v>1.29</v>
      </c>
      <c r="L1391">
        <v>0</v>
      </c>
      <c r="M1391">
        <v>0</v>
      </c>
      <c r="N1391">
        <v>29</v>
      </c>
      <c r="O1391">
        <v>5.46</v>
      </c>
      <c r="P1391">
        <v>35.75</v>
      </c>
      <c r="Q1391">
        <f t="shared" si="228"/>
        <v>2026</v>
      </c>
      <c r="R1391">
        <f t="shared" si="229"/>
        <v>2</v>
      </c>
      <c r="S1391">
        <f t="shared" si="230"/>
        <v>2025</v>
      </c>
      <c r="T1391">
        <f t="shared" si="231"/>
        <v>11</v>
      </c>
      <c r="U1391">
        <f t="shared" si="232"/>
        <v>11</v>
      </c>
      <c r="V1391" t="str">
        <f t="shared" si="233"/>
        <v>202511</v>
      </c>
      <c r="W1391" t="str">
        <f t="shared" si="234"/>
        <v>Feb-26</v>
      </c>
      <c r="X1391" s="3">
        <f t="shared" si="235"/>
        <v>-3662.75</v>
      </c>
      <c r="Y1391" t="str">
        <f t="shared" si="226"/>
        <v/>
      </c>
      <c r="Z1391">
        <f t="shared" si="227"/>
        <v>-3662.75</v>
      </c>
    </row>
    <row r="1392" spans="1:26" x14ac:dyDescent="0.25">
      <c r="A1392" s="1">
        <v>46073</v>
      </c>
      <c r="B1392" t="s">
        <v>1852</v>
      </c>
      <c r="C1392" t="s">
        <v>17</v>
      </c>
      <c r="D1392" t="s">
        <v>22</v>
      </c>
      <c r="E1392">
        <v>130</v>
      </c>
      <c r="F1392">
        <v>0</v>
      </c>
      <c r="G1392">
        <v>63</v>
      </c>
      <c r="H1392">
        <v>8190</v>
      </c>
      <c r="I1392" t="s">
        <v>1862</v>
      </c>
      <c r="J1392">
        <v>0</v>
      </c>
      <c r="K1392">
        <v>2.91</v>
      </c>
      <c r="L1392">
        <v>1.39</v>
      </c>
      <c r="M1392">
        <v>0.01</v>
      </c>
      <c r="N1392">
        <v>58</v>
      </c>
      <c r="O1392">
        <v>10.96</v>
      </c>
      <c r="P1392">
        <v>73.27</v>
      </c>
      <c r="Q1392">
        <f t="shared" si="228"/>
        <v>2026</v>
      </c>
      <c r="R1392">
        <f t="shared" si="229"/>
        <v>2</v>
      </c>
      <c r="S1392">
        <f t="shared" si="230"/>
        <v>2025</v>
      </c>
      <c r="T1392">
        <f t="shared" si="231"/>
        <v>11</v>
      </c>
      <c r="U1392">
        <f t="shared" si="232"/>
        <v>11</v>
      </c>
      <c r="V1392" t="str">
        <f t="shared" si="233"/>
        <v>202511</v>
      </c>
      <c r="W1392" t="str">
        <f t="shared" si="234"/>
        <v>Feb-26</v>
      </c>
      <c r="X1392" s="3">
        <f t="shared" si="235"/>
        <v>-8263.27</v>
      </c>
      <c r="Y1392" t="str">
        <f t="shared" si="226"/>
        <v/>
      </c>
      <c r="Z1392">
        <f t="shared" si="227"/>
        <v>-8263.27</v>
      </c>
    </row>
    <row r="1393" spans="1:26" x14ac:dyDescent="0.25">
      <c r="A1393" s="1">
        <v>46073</v>
      </c>
      <c r="B1393" t="s">
        <v>1837</v>
      </c>
      <c r="C1393" t="s">
        <v>17</v>
      </c>
      <c r="D1393" t="s">
        <v>18</v>
      </c>
      <c r="E1393">
        <v>130</v>
      </c>
      <c r="F1393">
        <v>0</v>
      </c>
      <c r="G1393">
        <v>114.8</v>
      </c>
      <c r="H1393">
        <v>14924</v>
      </c>
      <c r="I1393" t="s">
        <v>1863</v>
      </c>
      <c r="J1393">
        <v>14.84</v>
      </c>
      <c r="K1393">
        <v>5.3</v>
      </c>
      <c r="L1393">
        <v>0</v>
      </c>
      <c r="M1393">
        <v>0.01</v>
      </c>
      <c r="N1393">
        <v>58</v>
      </c>
      <c r="O1393">
        <v>11.4</v>
      </c>
      <c r="P1393">
        <v>89.55</v>
      </c>
      <c r="Q1393">
        <f t="shared" si="228"/>
        <v>2026</v>
      </c>
      <c r="R1393">
        <f t="shared" si="229"/>
        <v>2</v>
      </c>
      <c r="S1393">
        <f t="shared" si="230"/>
        <v>2025</v>
      </c>
      <c r="T1393">
        <f t="shared" si="231"/>
        <v>11</v>
      </c>
      <c r="U1393">
        <f t="shared" si="232"/>
        <v>11</v>
      </c>
      <c r="V1393" t="str">
        <f t="shared" si="233"/>
        <v>202511</v>
      </c>
      <c r="W1393" t="str">
        <f t="shared" si="234"/>
        <v>Feb-26</v>
      </c>
      <c r="X1393" s="3">
        <f t="shared" si="235"/>
        <v>14834.45</v>
      </c>
      <c r="Y1393">
        <f t="shared" si="226"/>
        <v>14834.45</v>
      </c>
      <c r="Z1393" t="str">
        <f t="shared" si="227"/>
        <v/>
      </c>
    </row>
    <row r="1394" spans="1:26" x14ac:dyDescent="0.25">
      <c r="A1394" s="1">
        <v>46073</v>
      </c>
      <c r="B1394" t="s">
        <v>1852</v>
      </c>
      <c r="C1394" t="s">
        <v>17</v>
      </c>
      <c r="D1394" t="s">
        <v>22</v>
      </c>
      <c r="E1394">
        <v>195</v>
      </c>
      <c r="F1394">
        <v>0</v>
      </c>
      <c r="G1394">
        <v>102.85</v>
      </c>
      <c r="H1394">
        <v>20055.75</v>
      </c>
      <c r="I1394" t="s">
        <v>1864</v>
      </c>
      <c r="J1394">
        <v>0</v>
      </c>
      <c r="K1394">
        <v>7.14</v>
      </c>
      <c r="L1394">
        <v>0</v>
      </c>
      <c r="M1394">
        <v>0.03</v>
      </c>
      <c r="N1394">
        <v>87</v>
      </c>
      <c r="O1394">
        <v>16.920000000000002</v>
      </c>
      <c r="P1394">
        <v>111.09</v>
      </c>
      <c r="Q1394">
        <f t="shared" si="228"/>
        <v>2026</v>
      </c>
      <c r="R1394">
        <f t="shared" si="229"/>
        <v>2</v>
      </c>
      <c r="S1394">
        <f t="shared" si="230"/>
        <v>2025</v>
      </c>
      <c r="T1394">
        <f t="shared" si="231"/>
        <v>11</v>
      </c>
      <c r="U1394">
        <f t="shared" si="232"/>
        <v>11</v>
      </c>
      <c r="V1394" t="str">
        <f t="shared" si="233"/>
        <v>202511</v>
      </c>
      <c r="W1394" t="str">
        <f t="shared" si="234"/>
        <v>Feb-26</v>
      </c>
      <c r="X1394" s="3">
        <f t="shared" si="235"/>
        <v>-20166.84</v>
      </c>
      <c r="Y1394" t="str">
        <f t="shared" si="226"/>
        <v/>
      </c>
      <c r="Z1394">
        <f t="shared" si="227"/>
        <v>-20166.84</v>
      </c>
    </row>
    <row r="1395" spans="1:26" x14ac:dyDescent="0.25">
      <c r="A1395" s="1">
        <v>46076</v>
      </c>
      <c r="B1395" t="s">
        <v>1839</v>
      </c>
      <c r="C1395" t="s">
        <v>17</v>
      </c>
      <c r="D1395" t="s">
        <v>18</v>
      </c>
      <c r="E1395">
        <v>715</v>
      </c>
      <c r="F1395">
        <v>0</v>
      </c>
      <c r="G1395">
        <v>109.9</v>
      </c>
      <c r="H1395">
        <v>78578.5</v>
      </c>
      <c r="I1395" t="s">
        <v>1865</v>
      </c>
      <c r="J1395">
        <v>78.56</v>
      </c>
      <c r="K1395">
        <v>27.92</v>
      </c>
      <c r="L1395">
        <v>0</v>
      </c>
      <c r="M1395">
        <v>0.09</v>
      </c>
      <c r="N1395">
        <v>319</v>
      </c>
      <c r="O1395">
        <v>62.48</v>
      </c>
      <c r="P1395">
        <v>488.05</v>
      </c>
      <c r="Q1395">
        <f t="shared" si="228"/>
        <v>2026</v>
      </c>
      <c r="R1395">
        <f t="shared" si="229"/>
        <v>2</v>
      </c>
      <c r="S1395">
        <f t="shared" si="230"/>
        <v>2025</v>
      </c>
      <c r="T1395">
        <f t="shared" si="231"/>
        <v>11</v>
      </c>
      <c r="U1395">
        <f t="shared" si="232"/>
        <v>11</v>
      </c>
      <c r="V1395" t="str">
        <f t="shared" si="233"/>
        <v>202511</v>
      </c>
      <c r="W1395" t="str">
        <f t="shared" si="234"/>
        <v>Feb-26</v>
      </c>
      <c r="X1395" s="3">
        <f t="shared" si="235"/>
        <v>78090.45</v>
      </c>
      <c r="Y1395">
        <f t="shared" si="226"/>
        <v>78090.45</v>
      </c>
      <c r="Z1395" t="str">
        <f t="shared" si="227"/>
        <v/>
      </c>
    </row>
    <row r="1396" spans="1:26" x14ac:dyDescent="0.25">
      <c r="A1396" s="1">
        <v>46076</v>
      </c>
      <c r="B1396" t="s">
        <v>1839</v>
      </c>
      <c r="C1396" t="s">
        <v>17</v>
      </c>
      <c r="D1396" t="s">
        <v>22</v>
      </c>
      <c r="E1396">
        <v>130</v>
      </c>
      <c r="F1396">
        <v>0</v>
      </c>
      <c r="G1396">
        <v>89.65</v>
      </c>
      <c r="H1396">
        <v>11654.5</v>
      </c>
      <c r="I1396" t="s">
        <v>1866</v>
      </c>
      <c r="J1396">
        <v>0</v>
      </c>
      <c r="K1396">
        <v>4.1399999999999997</v>
      </c>
      <c r="L1396">
        <v>0</v>
      </c>
      <c r="M1396">
        <v>0.02</v>
      </c>
      <c r="N1396">
        <v>58</v>
      </c>
      <c r="O1396">
        <v>11.2</v>
      </c>
      <c r="P1396">
        <v>73.36</v>
      </c>
      <c r="Q1396">
        <f t="shared" si="228"/>
        <v>2026</v>
      </c>
      <c r="R1396">
        <f t="shared" si="229"/>
        <v>2</v>
      </c>
      <c r="S1396">
        <f t="shared" si="230"/>
        <v>2025</v>
      </c>
      <c r="T1396">
        <f t="shared" si="231"/>
        <v>11</v>
      </c>
      <c r="U1396">
        <f t="shared" si="232"/>
        <v>11</v>
      </c>
      <c r="V1396" t="str">
        <f t="shared" si="233"/>
        <v>202511</v>
      </c>
      <c r="W1396" t="str">
        <f t="shared" si="234"/>
        <v>Feb-26</v>
      </c>
      <c r="X1396" s="3">
        <f t="shared" si="235"/>
        <v>-11727.86</v>
      </c>
      <c r="Y1396" t="str">
        <f t="shared" si="226"/>
        <v/>
      </c>
      <c r="Z1396">
        <f t="shared" si="227"/>
        <v>-11727.86</v>
      </c>
    </row>
    <row r="1397" spans="1:26" x14ac:dyDescent="0.25">
      <c r="A1397" s="1">
        <v>46076</v>
      </c>
      <c r="B1397" t="s">
        <v>1839</v>
      </c>
      <c r="C1397" t="s">
        <v>17</v>
      </c>
      <c r="D1397" t="s">
        <v>22</v>
      </c>
      <c r="E1397">
        <v>130</v>
      </c>
      <c r="F1397">
        <v>0</v>
      </c>
      <c r="G1397">
        <v>89.55</v>
      </c>
      <c r="H1397">
        <v>11641.5</v>
      </c>
      <c r="I1397" t="s">
        <v>1867</v>
      </c>
      <c r="J1397">
        <v>0</v>
      </c>
      <c r="K1397">
        <v>4.1399999999999997</v>
      </c>
      <c r="L1397">
        <v>0</v>
      </c>
      <c r="M1397">
        <v>0.01</v>
      </c>
      <c r="N1397">
        <v>58</v>
      </c>
      <c r="O1397">
        <v>11.18</v>
      </c>
      <c r="P1397">
        <v>73.33</v>
      </c>
      <c r="Q1397">
        <f t="shared" si="228"/>
        <v>2026</v>
      </c>
      <c r="R1397">
        <f t="shared" si="229"/>
        <v>2</v>
      </c>
      <c r="S1397">
        <f t="shared" si="230"/>
        <v>2025</v>
      </c>
      <c r="T1397">
        <f t="shared" si="231"/>
        <v>11</v>
      </c>
      <c r="U1397">
        <f t="shared" si="232"/>
        <v>11</v>
      </c>
      <c r="V1397" t="str">
        <f t="shared" si="233"/>
        <v>202511</v>
      </c>
      <c r="W1397" t="str">
        <f t="shared" si="234"/>
        <v>Feb-26</v>
      </c>
      <c r="X1397" s="3">
        <f t="shared" si="235"/>
        <v>-11714.83</v>
      </c>
      <c r="Y1397" t="str">
        <f t="shared" si="226"/>
        <v/>
      </c>
      <c r="Z1397">
        <f t="shared" si="227"/>
        <v>-11714.83</v>
      </c>
    </row>
    <row r="1398" spans="1:26" x14ac:dyDescent="0.25">
      <c r="A1398" s="1">
        <v>46076</v>
      </c>
      <c r="B1398" t="s">
        <v>1839</v>
      </c>
      <c r="C1398" t="s">
        <v>17</v>
      </c>
      <c r="D1398" t="s">
        <v>22</v>
      </c>
      <c r="E1398">
        <v>65</v>
      </c>
      <c r="F1398">
        <v>0</v>
      </c>
      <c r="G1398">
        <v>79.3</v>
      </c>
      <c r="H1398">
        <v>5154.5</v>
      </c>
      <c r="I1398" t="s">
        <v>1868</v>
      </c>
      <c r="J1398">
        <v>0</v>
      </c>
      <c r="K1398">
        <v>1.83</v>
      </c>
      <c r="L1398">
        <v>0</v>
      </c>
      <c r="M1398">
        <v>0.01</v>
      </c>
      <c r="N1398">
        <v>29</v>
      </c>
      <c r="O1398">
        <v>5.56</v>
      </c>
      <c r="P1398">
        <v>36.4</v>
      </c>
      <c r="Q1398">
        <f t="shared" si="228"/>
        <v>2026</v>
      </c>
      <c r="R1398">
        <f t="shared" si="229"/>
        <v>2</v>
      </c>
      <c r="S1398">
        <f t="shared" si="230"/>
        <v>2025</v>
      </c>
      <c r="T1398">
        <f t="shared" si="231"/>
        <v>11</v>
      </c>
      <c r="U1398">
        <f t="shared" si="232"/>
        <v>11</v>
      </c>
      <c r="V1398" t="str">
        <f t="shared" si="233"/>
        <v>202511</v>
      </c>
      <c r="W1398" t="str">
        <f t="shared" si="234"/>
        <v>Feb-26</v>
      </c>
      <c r="X1398" s="3">
        <f t="shared" si="235"/>
        <v>-5190.8999999999996</v>
      </c>
      <c r="Y1398" t="str">
        <f t="shared" si="226"/>
        <v/>
      </c>
      <c r="Z1398">
        <f t="shared" si="227"/>
        <v>-5190.8999999999996</v>
      </c>
    </row>
    <row r="1399" spans="1:26" x14ac:dyDescent="0.25">
      <c r="A1399" s="1">
        <v>46076</v>
      </c>
      <c r="B1399" t="s">
        <v>1839</v>
      </c>
      <c r="C1399" t="s">
        <v>17</v>
      </c>
      <c r="D1399" t="s">
        <v>22</v>
      </c>
      <c r="E1399">
        <v>65</v>
      </c>
      <c r="F1399">
        <v>0</v>
      </c>
      <c r="G1399">
        <v>81.650000000000006</v>
      </c>
      <c r="H1399">
        <v>5307.25</v>
      </c>
      <c r="I1399" t="s">
        <v>1869</v>
      </c>
      <c r="J1399">
        <v>0</v>
      </c>
      <c r="K1399">
        <v>1.89</v>
      </c>
      <c r="L1399">
        <v>0</v>
      </c>
      <c r="M1399">
        <v>0.01</v>
      </c>
      <c r="N1399">
        <v>29</v>
      </c>
      <c r="O1399">
        <v>5.56</v>
      </c>
      <c r="P1399">
        <v>36.46</v>
      </c>
      <c r="Q1399">
        <f t="shared" si="228"/>
        <v>2026</v>
      </c>
      <c r="R1399">
        <f t="shared" si="229"/>
        <v>2</v>
      </c>
      <c r="S1399">
        <f t="shared" si="230"/>
        <v>2025</v>
      </c>
      <c r="T1399">
        <f t="shared" si="231"/>
        <v>11</v>
      </c>
      <c r="U1399">
        <f t="shared" si="232"/>
        <v>11</v>
      </c>
      <c r="V1399" t="str">
        <f t="shared" si="233"/>
        <v>202511</v>
      </c>
      <c r="W1399" t="str">
        <f t="shared" si="234"/>
        <v>Feb-26</v>
      </c>
      <c r="X1399" s="3">
        <f t="shared" si="235"/>
        <v>-5343.71</v>
      </c>
      <c r="Y1399" t="str">
        <f t="shared" si="226"/>
        <v/>
      </c>
      <c r="Z1399">
        <f t="shared" si="227"/>
        <v>-5343.71</v>
      </c>
    </row>
    <row r="1400" spans="1:26" x14ac:dyDescent="0.25">
      <c r="A1400" s="1">
        <v>46076</v>
      </c>
      <c r="B1400" t="s">
        <v>1839</v>
      </c>
      <c r="C1400" t="s">
        <v>17</v>
      </c>
      <c r="D1400" t="s">
        <v>22</v>
      </c>
      <c r="E1400">
        <v>65</v>
      </c>
      <c r="F1400">
        <v>0</v>
      </c>
      <c r="G1400">
        <v>84.2</v>
      </c>
      <c r="H1400">
        <v>5473</v>
      </c>
      <c r="I1400" t="s">
        <v>1870</v>
      </c>
      <c r="J1400">
        <v>0</v>
      </c>
      <c r="K1400">
        <v>1.94</v>
      </c>
      <c r="L1400">
        <v>0</v>
      </c>
      <c r="M1400">
        <v>0.01</v>
      </c>
      <c r="N1400">
        <v>29</v>
      </c>
      <c r="O1400">
        <v>5.58</v>
      </c>
      <c r="P1400">
        <v>36.53</v>
      </c>
      <c r="Q1400">
        <f t="shared" si="228"/>
        <v>2026</v>
      </c>
      <c r="R1400">
        <f t="shared" si="229"/>
        <v>2</v>
      </c>
      <c r="S1400">
        <f t="shared" si="230"/>
        <v>2025</v>
      </c>
      <c r="T1400">
        <f t="shared" si="231"/>
        <v>11</v>
      </c>
      <c r="U1400">
        <f t="shared" si="232"/>
        <v>11</v>
      </c>
      <c r="V1400" t="str">
        <f t="shared" si="233"/>
        <v>202511</v>
      </c>
      <c r="W1400" t="str">
        <f t="shared" si="234"/>
        <v>Feb-26</v>
      </c>
      <c r="X1400" s="3">
        <f t="shared" si="235"/>
        <v>-5509.53</v>
      </c>
      <c r="Y1400" t="str">
        <f t="shared" si="226"/>
        <v/>
      </c>
      <c r="Z1400">
        <f t="shared" si="227"/>
        <v>-5509.53</v>
      </c>
    </row>
    <row r="1401" spans="1:26" x14ac:dyDescent="0.25">
      <c r="A1401" s="1">
        <v>46076</v>
      </c>
      <c r="B1401" t="s">
        <v>1839</v>
      </c>
      <c r="C1401" t="s">
        <v>17</v>
      </c>
      <c r="D1401" t="s">
        <v>22</v>
      </c>
      <c r="E1401">
        <v>260</v>
      </c>
      <c r="F1401">
        <v>0</v>
      </c>
      <c r="G1401">
        <v>94.7</v>
      </c>
      <c r="H1401">
        <v>24622</v>
      </c>
      <c r="I1401" t="s">
        <v>1871</v>
      </c>
      <c r="J1401">
        <v>0</v>
      </c>
      <c r="K1401">
        <v>8.74</v>
      </c>
      <c r="L1401">
        <v>1.79</v>
      </c>
      <c r="M1401">
        <v>0.02</v>
      </c>
      <c r="N1401">
        <v>116</v>
      </c>
      <c r="O1401">
        <v>22.44</v>
      </c>
      <c r="P1401">
        <v>148.99</v>
      </c>
      <c r="Q1401">
        <f t="shared" si="228"/>
        <v>2026</v>
      </c>
      <c r="R1401">
        <f t="shared" si="229"/>
        <v>2</v>
      </c>
      <c r="S1401">
        <f t="shared" si="230"/>
        <v>2025</v>
      </c>
      <c r="T1401">
        <f t="shared" si="231"/>
        <v>11</v>
      </c>
      <c r="U1401">
        <f t="shared" si="232"/>
        <v>11</v>
      </c>
      <c r="V1401" t="str">
        <f t="shared" si="233"/>
        <v>202511</v>
      </c>
      <c r="W1401" t="str">
        <f t="shared" si="234"/>
        <v>Feb-26</v>
      </c>
      <c r="X1401" s="3">
        <f t="shared" si="235"/>
        <v>-24770.99</v>
      </c>
      <c r="Y1401" t="str">
        <f t="shared" si="226"/>
        <v/>
      </c>
      <c r="Z1401">
        <f t="shared" si="227"/>
        <v>-24770.99</v>
      </c>
    </row>
    <row r="1402" spans="1:26" x14ac:dyDescent="0.25">
      <c r="A1402" s="1">
        <v>46076</v>
      </c>
      <c r="B1402" t="s">
        <v>1872</v>
      </c>
      <c r="C1402" t="s">
        <v>17</v>
      </c>
      <c r="D1402" t="s">
        <v>18</v>
      </c>
      <c r="E1402">
        <v>260</v>
      </c>
      <c r="F1402">
        <v>0</v>
      </c>
      <c r="G1402">
        <v>114.9</v>
      </c>
      <c r="H1402">
        <v>29874</v>
      </c>
      <c r="I1402" t="s">
        <v>1873</v>
      </c>
      <c r="J1402">
        <v>29.88</v>
      </c>
      <c r="K1402">
        <v>10.62</v>
      </c>
      <c r="L1402">
        <v>0</v>
      </c>
      <c r="M1402">
        <v>0.02</v>
      </c>
      <c r="N1402">
        <v>116</v>
      </c>
      <c r="O1402">
        <v>22.8</v>
      </c>
      <c r="P1402">
        <v>179.32</v>
      </c>
      <c r="Q1402">
        <f t="shared" si="228"/>
        <v>2026</v>
      </c>
      <c r="R1402">
        <f t="shared" si="229"/>
        <v>2</v>
      </c>
      <c r="S1402">
        <f t="shared" si="230"/>
        <v>2025</v>
      </c>
      <c r="T1402">
        <f t="shared" si="231"/>
        <v>11</v>
      </c>
      <c r="U1402">
        <f t="shared" si="232"/>
        <v>11</v>
      </c>
      <c r="V1402" t="str">
        <f t="shared" si="233"/>
        <v>202511</v>
      </c>
      <c r="W1402" t="str">
        <f t="shared" si="234"/>
        <v>Feb-26</v>
      </c>
      <c r="X1402" s="3">
        <f t="shared" si="235"/>
        <v>29694.68</v>
      </c>
      <c r="Y1402">
        <f t="shared" si="226"/>
        <v>29694.68</v>
      </c>
      <c r="Z1402" t="str">
        <f t="shared" si="227"/>
        <v/>
      </c>
    </row>
    <row r="1403" spans="1:26" x14ac:dyDescent="0.25">
      <c r="A1403" s="1">
        <v>46076</v>
      </c>
      <c r="B1403" t="s">
        <v>1872</v>
      </c>
      <c r="C1403" t="s">
        <v>17</v>
      </c>
      <c r="D1403" t="s">
        <v>22</v>
      </c>
      <c r="E1403">
        <v>260</v>
      </c>
      <c r="F1403">
        <v>0</v>
      </c>
      <c r="G1403">
        <v>106.9</v>
      </c>
      <c r="H1403">
        <v>27794</v>
      </c>
      <c r="I1403" t="s">
        <v>1874</v>
      </c>
      <c r="J1403">
        <v>0</v>
      </c>
      <c r="K1403">
        <v>9.8800000000000008</v>
      </c>
      <c r="L1403">
        <v>0.83</v>
      </c>
      <c r="M1403">
        <v>0.03</v>
      </c>
      <c r="N1403">
        <v>116</v>
      </c>
      <c r="O1403">
        <v>22.66</v>
      </c>
      <c r="P1403">
        <v>149.4</v>
      </c>
      <c r="Q1403">
        <f t="shared" si="228"/>
        <v>2026</v>
      </c>
      <c r="R1403">
        <f t="shared" si="229"/>
        <v>2</v>
      </c>
      <c r="S1403">
        <f t="shared" si="230"/>
        <v>2025</v>
      </c>
      <c r="T1403">
        <f t="shared" si="231"/>
        <v>11</v>
      </c>
      <c r="U1403">
        <f t="shared" si="232"/>
        <v>11</v>
      </c>
      <c r="V1403" t="str">
        <f t="shared" si="233"/>
        <v>202511</v>
      </c>
      <c r="W1403" t="str">
        <f t="shared" si="234"/>
        <v>Feb-26</v>
      </c>
      <c r="X1403" s="3">
        <f t="shared" si="235"/>
        <v>-27943.4</v>
      </c>
      <c r="Y1403" t="str">
        <f t="shared" si="226"/>
        <v/>
      </c>
      <c r="Z1403">
        <f t="shared" si="227"/>
        <v>-27943.4</v>
      </c>
    </row>
    <row r="1404" spans="1:26" x14ac:dyDescent="0.25">
      <c r="A1404" s="1">
        <v>46076</v>
      </c>
      <c r="B1404" t="s">
        <v>1852</v>
      </c>
      <c r="C1404" t="s">
        <v>17</v>
      </c>
      <c r="D1404" t="s">
        <v>18</v>
      </c>
      <c r="E1404">
        <v>650</v>
      </c>
      <c r="F1404">
        <v>0</v>
      </c>
      <c r="G1404">
        <v>18.399999999999999</v>
      </c>
      <c r="H1404">
        <v>11960</v>
      </c>
      <c r="I1404" t="s">
        <v>1875</v>
      </c>
      <c r="J1404">
        <v>11.96</v>
      </c>
      <c r="K1404">
        <v>4.25</v>
      </c>
      <c r="L1404">
        <v>0</v>
      </c>
      <c r="M1404">
        <v>0.01</v>
      </c>
      <c r="N1404">
        <v>290</v>
      </c>
      <c r="O1404">
        <v>52.96</v>
      </c>
      <c r="P1404">
        <v>359.18</v>
      </c>
      <c r="Q1404">
        <f t="shared" si="228"/>
        <v>2026</v>
      </c>
      <c r="R1404">
        <f t="shared" si="229"/>
        <v>2</v>
      </c>
      <c r="S1404">
        <f t="shared" si="230"/>
        <v>2025</v>
      </c>
      <c r="T1404">
        <f t="shared" si="231"/>
        <v>11</v>
      </c>
      <c r="U1404">
        <f t="shared" si="232"/>
        <v>11</v>
      </c>
      <c r="V1404" t="str">
        <f t="shared" si="233"/>
        <v>202511</v>
      </c>
      <c r="W1404" t="str">
        <f t="shared" si="234"/>
        <v>Feb-26</v>
      </c>
      <c r="X1404" s="3">
        <f t="shared" si="235"/>
        <v>11600.82</v>
      </c>
      <c r="Y1404">
        <f t="shared" si="226"/>
        <v>11600.82</v>
      </c>
      <c r="Z1404" t="str">
        <f t="shared" si="227"/>
        <v/>
      </c>
    </row>
    <row r="1405" spans="1:26" x14ac:dyDescent="0.25">
      <c r="A1405" s="1">
        <v>46076</v>
      </c>
      <c r="B1405" t="s">
        <v>1852</v>
      </c>
      <c r="C1405" t="s">
        <v>17</v>
      </c>
      <c r="D1405" t="s">
        <v>22</v>
      </c>
      <c r="E1405">
        <v>650</v>
      </c>
      <c r="F1405">
        <v>0</v>
      </c>
      <c r="G1405">
        <v>19.7</v>
      </c>
      <c r="H1405">
        <v>12805</v>
      </c>
      <c r="I1405" t="s">
        <v>1876</v>
      </c>
      <c r="J1405">
        <v>0</v>
      </c>
      <c r="K1405">
        <v>4.54</v>
      </c>
      <c r="L1405">
        <v>0.38</v>
      </c>
      <c r="M1405">
        <v>0.02</v>
      </c>
      <c r="N1405">
        <v>290</v>
      </c>
      <c r="O1405">
        <v>53</v>
      </c>
      <c r="P1405">
        <v>347.94</v>
      </c>
      <c r="Q1405">
        <f t="shared" si="228"/>
        <v>2026</v>
      </c>
      <c r="R1405">
        <f t="shared" si="229"/>
        <v>2</v>
      </c>
      <c r="S1405">
        <f t="shared" si="230"/>
        <v>2025</v>
      </c>
      <c r="T1405">
        <f t="shared" si="231"/>
        <v>11</v>
      </c>
      <c r="U1405">
        <f t="shared" si="232"/>
        <v>11</v>
      </c>
      <c r="V1405" t="str">
        <f t="shared" si="233"/>
        <v>202511</v>
      </c>
      <c r="W1405" t="str">
        <f t="shared" si="234"/>
        <v>Feb-26</v>
      </c>
      <c r="X1405" s="3">
        <f t="shared" si="235"/>
        <v>-13152.94</v>
      </c>
      <c r="Y1405" t="str">
        <f t="shared" si="226"/>
        <v/>
      </c>
      <c r="Z1405">
        <f t="shared" si="227"/>
        <v>-13152.94</v>
      </c>
    </row>
    <row r="1406" spans="1:26" x14ac:dyDescent="0.25">
      <c r="A1406" s="1">
        <v>46076</v>
      </c>
      <c r="B1406" t="s">
        <v>1852</v>
      </c>
      <c r="C1406" t="s">
        <v>17</v>
      </c>
      <c r="D1406" t="s">
        <v>18</v>
      </c>
      <c r="E1406">
        <v>650</v>
      </c>
      <c r="F1406">
        <v>0</v>
      </c>
      <c r="G1406">
        <v>22</v>
      </c>
      <c r="H1406">
        <v>14300</v>
      </c>
      <c r="I1406" t="s">
        <v>1877</v>
      </c>
      <c r="J1406">
        <v>14.59</v>
      </c>
      <c r="K1406">
        <v>5.08</v>
      </c>
      <c r="L1406">
        <v>0</v>
      </c>
      <c r="M1406">
        <v>0.01</v>
      </c>
      <c r="N1406">
        <v>290</v>
      </c>
      <c r="O1406">
        <v>53.12</v>
      </c>
      <c r="P1406">
        <v>362.8</v>
      </c>
      <c r="Q1406">
        <f t="shared" si="228"/>
        <v>2026</v>
      </c>
      <c r="R1406">
        <f t="shared" si="229"/>
        <v>2</v>
      </c>
      <c r="S1406">
        <f t="shared" si="230"/>
        <v>2025</v>
      </c>
      <c r="T1406">
        <f t="shared" si="231"/>
        <v>11</v>
      </c>
      <c r="U1406">
        <f t="shared" si="232"/>
        <v>11</v>
      </c>
      <c r="V1406" t="str">
        <f t="shared" si="233"/>
        <v>202511</v>
      </c>
      <c r="W1406" t="str">
        <f t="shared" si="234"/>
        <v>Feb-26</v>
      </c>
      <c r="X1406" s="3">
        <f t="shared" si="235"/>
        <v>13937.2</v>
      </c>
      <c r="Y1406">
        <f t="shared" si="226"/>
        <v>13937.2</v>
      </c>
      <c r="Z1406" t="str">
        <f t="shared" si="22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75BD-2F55-4FCB-A8FD-A20070E2A15B}">
  <dimension ref="A1:J235"/>
  <sheetViews>
    <sheetView tabSelected="1" workbookViewId="0">
      <selection activeCell="J1" sqref="J1"/>
    </sheetView>
  </sheetViews>
  <sheetFormatPr defaultRowHeight="15" x14ac:dyDescent="0.25"/>
  <cols>
    <col min="1" max="1" width="18" bestFit="1" customWidth="1"/>
    <col min="2" max="2" width="14.85546875" bestFit="1" customWidth="1"/>
    <col min="4" max="4" width="12.85546875" bestFit="1" customWidth="1"/>
    <col min="5" max="5" width="14.85546875" bestFit="1" customWidth="1"/>
    <col min="6" max="6" width="10.42578125" style="13" bestFit="1" customWidth="1"/>
    <col min="7" max="7" width="11.28515625" style="3" bestFit="1" customWidth="1"/>
    <col min="8" max="8" width="10.28515625" bestFit="1" customWidth="1"/>
    <col min="9" max="9" width="13.42578125" bestFit="1" customWidth="1"/>
  </cols>
  <sheetData>
    <row r="1" spans="1:10" x14ac:dyDescent="0.25">
      <c r="C1" s="13">
        <v>1</v>
      </c>
      <c r="D1" s="3">
        <f>0.06*C1</f>
        <v>0.06</v>
      </c>
      <c r="E1">
        <f>D1/365</f>
        <v>1.6438356164383562E-4</v>
      </c>
      <c r="H1" s="3">
        <f ca="1">SUM(G:G)</f>
        <v>-87414.250666849272</v>
      </c>
      <c r="I1" s="18">
        <f ca="1">H1+E2</f>
        <v>-1067714.3806668492</v>
      </c>
      <c r="J1" s="14">
        <f ca="1">H1/I1</f>
        <v>8.1870444240204038E-2</v>
      </c>
    </row>
    <row r="2" spans="1:10" x14ac:dyDescent="0.25">
      <c r="E2" s="3">
        <v>-980300.13</v>
      </c>
    </row>
    <row r="3" spans="1:10" x14ac:dyDescent="0.25">
      <c r="A3" s="2" t="s">
        <v>1900</v>
      </c>
      <c r="B3" s="2" t="s">
        <v>1901</v>
      </c>
      <c r="C3" s="2" t="s">
        <v>1902</v>
      </c>
      <c r="D3" s="2" t="s">
        <v>0</v>
      </c>
      <c r="E3" t="s">
        <v>940</v>
      </c>
    </row>
    <row r="4" spans="1:10" x14ac:dyDescent="0.25">
      <c r="A4" t="s">
        <v>1889</v>
      </c>
      <c r="B4" t="s">
        <v>1889</v>
      </c>
      <c r="C4" t="s">
        <v>1889</v>
      </c>
      <c r="D4" t="s">
        <v>1888</v>
      </c>
    </row>
    <row r="5" spans="1:10" x14ac:dyDescent="0.25">
      <c r="A5" t="s">
        <v>1890</v>
      </c>
      <c r="B5" t="s">
        <v>1893</v>
      </c>
      <c r="C5" t="s">
        <v>1897</v>
      </c>
      <c r="D5" s="17">
        <v>45300</v>
      </c>
      <c r="E5">
        <v>12696.869999999994</v>
      </c>
      <c r="F5" s="13">
        <f ca="1">TODAY()-D5</f>
        <v>777</v>
      </c>
      <c r="G5" s="3">
        <f t="shared" ref="G5:G68" ca="1" si="0">F5*E5*$E$1</f>
        <v>1621.7207654794513</v>
      </c>
    </row>
    <row r="6" spans="1:10" x14ac:dyDescent="0.25">
      <c r="A6" t="s">
        <v>1890</v>
      </c>
      <c r="B6" t="s">
        <v>1893</v>
      </c>
      <c r="C6" t="s">
        <v>1897</v>
      </c>
      <c r="D6" s="17">
        <v>45301</v>
      </c>
      <c r="E6">
        <v>-33965.82</v>
      </c>
      <c r="F6" s="13">
        <f t="shared" ref="F6:F69" ca="1" si="1">TODAY()-D6</f>
        <v>776</v>
      </c>
      <c r="G6" s="3">
        <f t="shared" ca="1" si="0"/>
        <v>-4332.7358334246574</v>
      </c>
    </row>
    <row r="7" spans="1:10" x14ac:dyDescent="0.25">
      <c r="A7" t="s">
        <v>1890</v>
      </c>
      <c r="B7" t="s">
        <v>1893</v>
      </c>
      <c r="C7" t="s">
        <v>1897</v>
      </c>
      <c r="D7" s="17">
        <v>45302</v>
      </c>
      <c r="E7">
        <v>1115.4899999999998</v>
      </c>
      <c r="F7" s="13">
        <f t="shared" ca="1" si="1"/>
        <v>775</v>
      </c>
      <c r="G7" s="3">
        <f t="shared" ca="1" si="0"/>
        <v>142.11036986301369</v>
      </c>
    </row>
    <row r="8" spans="1:10" x14ac:dyDescent="0.25">
      <c r="A8" t="s">
        <v>1890</v>
      </c>
      <c r="B8" t="s">
        <v>1893</v>
      </c>
      <c r="C8" t="s">
        <v>1897</v>
      </c>
      <c r="D8" s="17">
        <v>45308</v>
      </c>
      <c r="E8">
        <v>-50948.409999999996</v>
      </c>
      <c r="F8" s="13">
        <f t="shared" ca="1" si="1"/>
        <v>769</v>
      </c>
      <c r="G8" s="3">
        <f t="shared" ca="1" si="0"/>
        <v>-6440.4373627397263</v>
      </c>
    </row>
    <row r="9" spans="1:10" x14ac:dyDescent="0.25">
      <c r="A9" t="s">
        <v>1890</v>
      </c>
      <c r="B9" t="s">
        <v>1893</v>
      </c>
      <c r="C9" t="s">
        <v>1897</v>
      </c>
      <c r="D9" s="17">
        <v>45309</v>
      </c>
      <c r="E9">
        <v>2963.25</v>
      </c>
      <c r="F9" s="13">
        <f t="shared" ca="1" si="1"/>
        <v>768</v>
      </c>
      <c r="G9" s="3">
        <f t="shared" ca="1" si="0"/>
        <v>374.10016438356166</v>
      </c>
    </row>
    <row r="10" spans="1:10" x14ac:dyDescent="0.25">
      <c r="A10" t="s">
        <v>1890</v>
      </c>
      <c r="B10" t="s">
        <v>1893</v>
      </c>
      <c r="C10" t="s">
        <v>1897</v>
      </c>
      <c r="D10" s="17">
        <v>45310</v>
      </c>
      <c r="E10">
        <v>3294.2299999999996</v>
      </c>
      <c r="F10" s="13">
        <f t="shared" ca="1" si="1"/>
        <v>767</v>
      </c>
      <c r="G10" s="3">
        <f t="shared" ca="1" si="0"/>
        <v>415.34373863013695</v>
      </c>
    </row>
    <row r="11" spans="1:10" x14ac:dyDescent="0.25">
      <c r="A11" t="s">
        <v>1890</v>
      </c>
      <c r="B11" t="s">
        <v>1893</v>
      </c>
      <c r="C11" t="s">
        <v>1897</v>
      </c>
      <c r="D11" s="17">
        <v>45314</v>
      </c>
      <c r="E11">
        <v>-6890.4099999999989</v>
      </c>
      <c r="F11" s="13">
        <f t="shared" ca="1" si="1"/>
        <v>763</v>
      </c>
      <c r="G11" s="3">
        <f t="shared" ca="1" si="0"/>
        <v>-864.22731452054779</v>
      </c>
    </row>
    <row r="12" spans="1:10" x14ac:dyDescent="0.25">
      <c r="A12" t="s">
        <v>1890</v>
      </c>
      <c r="B12" t="s">
        <v>1893</v>
      </c>
      <c r="C12" t="s">
        <v>1897</v>
      </c>
      <c r="D12" s="17">
        <v>45315</v>
      </c>
      <c r="E12">
        <v>5510.53</v>
      </c>
      <c r="F12" s="13">
        <f t="shared" ca="1" si="1"/>
        <v>762</v>
      </c>
      <c r="G12" s="3">
        <f t="shared" ca="1" si="0"/>
        <v>690.25049753424651</v>
      </c>
    </row>
    <row r="13" spans="1:10" x14ac:dyDescent="0.25">
      <c r="A13" t="s">
        <v>1890</v>
      </c>
      <c r="B13" t="s">
        <v>1893</v>
      </c>
      <c r="C13" t="s">
        <v>1897</v>
      </c>
      <c r="D13" s="17">
        <v>45316</v>
      </c>
      <c r="E13">
        <v>-1637.4299999999998</v>
      </c>
      <c r="F13" s="13">
        <f t="shared" ca="1" si="1"/>
        <v>761</v>
      </c>
      <c r="G13" s="3">
        <f t="shared" ca="1" si="0"/>
        <v>-204.83576383561643</v>
      </c>
    </row>
    <row r="14" spans="1:10" x14ac:dyDescent="0.25">
      <c r="A14" t="s">
        <v>1890</v>
      </c>
      <c r="B14" t="s">
        <v>1893</v>
      </c>
      <c r="C14" t="s">
        <v>1897</v>
      </c>
      <c r="D14" s="17">
        <v>45320</v>
      </c>
      <c r="E14">
        <v>-1240.3499999999999</v>
      </c>
      <c r="F14" s="13">
        <f t="shared" ca="1" si="1"/>
        <v>757</v>
      </c>
      <c r="G14" s="3">
        <f t="shared" ca="1" si="0"/>
        <v>-154.34711506849314</v>
      </c>
    </row>
    <row r="15" spans="1:10" x14ac:dyDescent="0.25">
      <c r="A15" t="s">
        <v>1890</v>
      </c>
      <c r="B15" t="s">
        <v>1893</v>
      </c>
      <c r="C15" t="s">
        <v>1897</v>
      </c>
      <c r="D15" s="17">
        <v>45321</v>
      </c>
      <c r="E15">
        <v>-2308.3099999999995</v>
      </c>
      <c r="F15" s="13">
        <f t="shared" ca="1" si="1"/>
        <v>756</v>
      </c>
      <c r="G15" s="3">
        <f t="shared" ca="1" si="0"/>
        <v>-286.86285369863009</v>
      </c>
    </row>
    <row r="16" spans="1:10" x14ac:dyDescent="0.25">
      <c r="A16" t="s">
        <v>1890</v>
      </c>
      <c r="B16" t="s">
        <v>1893</v>
      </c>
      <c r="C16" t="s">
        <v>1897</v>
      </c>
      <c r="D16" s="17">
        <v>45322</v>
      </c>
      <c r="E16">
        <v>49106.920000000006</v>
      </c>
      <c r="F16" s="13">
        <f t="shared" ca="1" si="1"/>
        <v>755</v>
      </c>
      <c r="G16" s="3">
        <f t="shared" ca="1" si="0"/>
        <v>6094.6396602739733</v>
      </c>
    </row>
    <row r="17" spans="1:7" x14ac:dyDescent="0.25">
      <c r="A17" t="s">
        <v>1890</v>
      </c>
      <c r="B17" t="s">
        <v>1893</v>
      </c>
      <c r="C17" t="s">
        <v>1898</v>
      </c>
      <c r="D17" s="17">
        <v>45323</v>
      </c>
      <c r="E17">
        <v>16290.950000000012</v>
      </c>
      <c r="F17" s="13">
        <f t="shared" ca="1" si="1"/>
        <v>754</v>
      </c>
      <c r="G17" s="3">
        <f t="shared" ca="1" si="0"/>
        <v>2019.1851452054809</v>
      </c>
    </row>
    <row r="18" spans="1:7" x14ac:dyDescent="0.25">
      <c r="A18" t="s">
        <v>1890</v>
      </c>
      <c r="B18" t="s">
        <v>1893</v>
      </c>
      <c r="C18" t="s">
        <v>1898</v>
      </c>
      <c r="D18" s="17">
        <v>45324</v>
      </c>
      <c r="E18">
        <v>-32156.409999999996</v>
      </c>
      <c r="F18" s="13">
        <f t="shared" ca="1" si="1"/>
        <v>753</v>
      </c>
      <c r="G18" s="3">
        <f t="shared" ca="1" si="0"/>
        <v>-3980.3468597260271</v>
      </c>
    </row>
    <row r="19" spans="1:7" x14ac:dyDescent="0.25">
      <c r="A19" t="s">
        <v>1890</v>
      </c>
      <c r="B19" t="s">
        <v>1893</v>
      </c>
      <c r="C19" t="s">
        <v>1898</v>
      </c>
      <c r="D19" s="17">
        <v>45327</v>
      </c>
      <c r="E19">
        <v>1338.8600000000056</v>
      </c>
      <c r="F19" s="13">
        <f t="shared" ca="1" si="1"/>
        <v>750</v>
      </c>
      <c r="G19" s="3">
        <f t="shared" ca="1" si="0"/>
        <v>165.06493150685</v>
      </c>
    </row>
    <row r="20" spans="1:7" x14ac:dyDescent="0.25">
      <c r="A20" t="s">
        <v>1890</v>
      </c>
      <c r="B20" t="s">
        <v>1893</v>
      </c>
      <c r="C20" t="s">
        <v>1898</v>
      </c>
      <c r="D20" s="17">
        <v>45328</v>
      </c>
      <c r="E20">
        <v>34968.47</v>
      </c>
      <c r="F20" s="13">
        <f t="shared" ca="1" si="1"/>
        <v>749</v>
      </c>
      <c r="G20" s="3">
        <f t="shared" ca="1" si="0"/>
        <v>4305.4329912328767</v>
      </c>
    </row>
    <row r="21" spans="1:7" x14ac:dyDescent="0.25">
      <c r="A21" t="s">
        <v>1890</v>
      </c>
      <c r="B21" t="s">
        <v>1893</v>
      </c>
      <c r="C21" t="s">
        <v>1898</v>
      </c>
      <c r="D21" s="17">
        <v>45329</v>
      </c>
      <c r="E21">
        <v>-23916.590000000004</v>
      </c>
      <c r="F21" s="13">
        <f t="shared" ca="1" si="1"/>
        <v>748</v>
      </c>
      <c r="G21" s="3">
        <f t="shared" ca="1" si="0"/>
        <v>-2940.757696438357</v>
      </c>
    </row>
    <row r="22" spans="1:7" x14ac:dyDescent="0.25">
      <c r="A22" t="s">
        <v>1890</v>
      </c>
      <c r="B22" t="s">
        <v>1893</v>
      </c>
      <c r="C22" t="s">
        <v>1898</v>
      </c>
      <c r="D22" s="17">
        <v>45330</v>
      </c>
      <c r="E22">
        <v>-203.4699999999998</v>
      </c>
      <c r="F22" s="13">
        <f t="shared" ca="1" si="1"/>
        <v>747</v>
      </c>
      <c r="G22" s="3">
        <f t="shared" ca="1" si="0"/>
        <v>-24.985001095890386</v>
      </c>
    </row>
    <row r="23" spans="1:7" x14ac:dyDescent="0.25">
      <c r="A23" t="s">
        <v>1890</v>
      </c>
      <c r="B23" t="s">
        <v>1893</v>
      </c>
      <c r="C23" t="s">
        <v>1898</v>
      </c>
      <c r="D23" s="17">
        <v>45331</v>
      </c>
      <c r="E23">
        <v>-7600.6600000000008</v>
      </c>
      <c r="F23" s="13">
        <f t="shared" ca="1" si="1"/>
        <v>746</v>
      </c>
      <c r="G23" s="3">
        <f t="shared" ca="1" si="0"/>
        <v>-932.06997698630141</v>
      </c>
    </row>
    <row r="24" spans="1:7" x14ac:dyDescent="0.25">
      <c r="A24" t="s">
        <v>1890</v>
      </c>
      <c r="B24" t="s">
        <v>1893</v>
      </c>
      <c r="C24" t="s">
        <v>1898</v>
      </c>
      <c r="D24" s="17">
        <v>45334</v>
      </c>
      <c r="E24">
        <v>9064.9699999999993</v>
      </c>
      <c r="F24" s="13">
        <f t="shared" ca="1" si="1"/>
        <v>743</v>
      </c>
      <c r="G24" s="3">
        <f t="shared" ca="1" si="0"/>
        <v>1107.1681167123288</v>
      </c>
    </row>
    <row r="25" spans="1:7" x14ac:dyDescent="0.25">
      <c r="A25" t="s">
        <v>1890</v>
      </c>
      <c r="B25" t="s">
        <v>1893</v>
      </c>
      <c r="C25" t="s">
        <v>1898</v>
      </c>
      <c r="D25" s="17">
        <v>45335</v>
      </c>
      <c r="E25">
        <v>4656.8499999999976</v>
      </c>
      <c r="F25" s="13">
        <f t="shared" ca="1" si="1"/>
        <v>742</v>
      </c>
      <c r="G25" s="3">
        <f t="shared" ca="1" si="0"/>
        <v>568.00811506849288</v>
      </c>
    </row>
    <row r="26" spans="1:7" x14ac:dyDescent="0.25">
      <c r="A26" t="s">
        <v>1890</v>
      </c>
      <c r="B26" t="s">
        <v>1893</v>
      </c>
      <c r="C26" t="s">
        <v>1898</v>
      </c>
      <c r="D26" s="17">
        <v>45336</v>
      </c>
      <c r="E26">
        <v>-20343.96</v>
      </c>
      <c r="F26" s="13">
        <f t="shared" ca="1" si="1"/>
        <v>741</v>
      </c>
      <c r="G26" s="3">
        <f t="shared" ca="1" si="0"/>
        <v>-2478.061538630137</v>
      </c>
    </row>
    <row r="27" spans="1:7" x14ac:dyDescent="0.25">
      <c r="A27" t="s">
        <v>1890</v>
      </c>
      <c r="B27" t="s">
        <v>1893</v>
      </c>
      <c r="C27" t="s">
        <v>1898</v>
      </c>
      <c r="D27" s="17">
        <v>45337</v>
      </c>
      <c r="E27">
        <v>4033.3900000000003</v>
      </c>
      <c r="F27" s="13">
        <f t="shared" ca="1" si="1"/>
        <v>740</v>
      </c>
      <c r="G27" s="3">
        <f t="shared" ca="1" si="0"/>
        <v>490.63703013698631</v>
      </c>
    </row>
    <row r="28" spans="1:7" x14ac:dyDescent="0.25">
      <c r="A28" t="s">
        <v>1890</v>
      </c>
      <c r="B28" t="s">
        <v>1893</v>
      </c>
      <c r="C28" t="s">
        <v>1898</v>
      </c>
      <c r="D28" s="17">
        <v>45341</v>
      </c>
      <c r="E28">
        <v>5688.52</v>
      </c>
      <c r="F28" s="13">
        <f t="shared" ca="1" si="1"/>
        <v>736</v>
      </c>
      <c r="G28" s="3">
        <f t="shared" ca="1" si="0"/>
        <v>688.23299506849321</v>
      </c>
    </row>
    <row r="29" spans="1:7" x14ac:dyDescent="0.25">
      <c r="A29" t="s">
        <v>1890</v>
      </c>
      <c r="B29" t="s">
        <v>1893</v>
      </c>
      <c r="C29" t="s">
        <v>1898</v>
      </c>
      <c r="D29" s="17">
        <v>45342</v>
      </c>
      <c r="E29">
        <v>-21098.16</v>
      </c>
      <c r="F29" s="13">
        <f t="shared" ca="1" si="1"/>
        <v>735</v>
      </c>
      <c r="G29" s="3">
        <f t="shared" ca="1" si="0"/>
        <v>-2549.1201534246575</v>
      </c>
    </row>
    <row r="30" spans="1:7" x14ac:dyDescent="0.25">
      <c r="A30" t="s">
        <v>1890</v>
      </c>
      <c r="B30" t="s">
        <v>1893</v>
      </c>
      <c r="C30" t="s">
        <v>1898</v>
      </c>
      <c r="D30" s="17">
        <v>45343</v>
      </c>
      <c r="E30">
        <v>-3924.3699999999994</v>
      </c>
      <c r="F30" s="13">
        <f t="shared" ca="1" si="1"/>
        <v>734</v>
      </c>
      <c r="G30" s="3">
        <f t="shared" ca="1" si="0"/>
        <v>-473.50480767123281</v>
      </c>
    </row>
    <row r="31" spans="1:7" x14ac:dyDescent="0.25">
      <c r="A31" t="s">
        <v>1890</v>
      </c>
      <c r="B31" t="s">
        <v>1893</v>
      </c>
      <c r="C31" t="s">
        <v>1898</v>
      </c>
      <c r="D31" s="17">
        <v>45344</v>
      </c>
      <c r="E31">
        <v>-4983.0200000000013</v>
      </c>
      <c r="F31" s="13">
        <f t="shared" ca="1" si="1"/>
        <v>733</v>
      </c>
      <c r="G31" s="3">
        <f t="shared" ca="1" si="0"/>
        <v>-600.41977972602763</v>
      </c>
    </row>
    <row r="32" spans="1:7" x14ac:dyDescent="0.25">
      <c r="A32" t="s">
        <v>1890</v>
      </c>
      <c r="B32" t="s">
        <v>1893</v>
      </c>
      <c r="C32" t="s">
        <v>1898</v>
      </c>
      <c r="D32" s="17">
        <v>45345</v>
      </c>
      <c r="E32">
        <v>-20116.949999999997</v>
      </c>
      <c r="F32" s="13">
        <f t="shared" ca="1" si="1"/>
        <v>732</v>
      </c>
      <c r="G32" s="3">
        <f t="shared" ca="1" si="0"/>
        <v>-2420.6477917808215</v>
      </c>
    </row>
    <row r="33" spans="1:7" x14ac:dyDescent="0.25">
      <c r="A33" t="s">
        <v>1890</v>
      </c>
      <c r="B33" t="s">
        <v>1893</v>
      </c>
      <c r="C33" t="s">
        <v>1898</v>
      </c>
      <c r="D33" s="17">
        <v>45348</v>
      </c>
      <c r="E33">
        <v>5250.37</v>
      </c>
      <c r="F33" s="13">
        <f t="shared" ca="1" si="1"/>
        <v>729</v>
      </c>
      <c r="G33" s="3">
        <f t="shared" ca="1" si="0"/>
        <v>629.18132547945208</v>
      </c>
    </row>
    <row r="34" spans="1:7" x14ac:dyDescent="0.25">
      <c r="A34" t="s">
        <v>1890</v>
      </c>
      <c r="B34" t="s">
        <v>1893</v>
      </c>
      <c r="C34" t="s">
        <v>1898</v>
      </c>
      <c r="D34" s="17">
        <v>45349</v>
      </c>
      <c r="E34">
        <v>2779.1699999999983</v>
      </c>
      <c r="F34" s="13">
        <f t="shared" ca="1" si="1"/>
        <v>728</v>
      </c>
      <c r="G34" s="3">
        <f t="shared" ca="1" si="0"/>
        <v>332.58670027397244</v>
      </c>
    </row>
    <row r="35" spans="1:7" x14ac:dyDescent="0.25">
      <c r="A35" t="s">
        <v>1890</v>
      </c>
      <c r="B35" t="s">
        <v>1893</v>
      </c>
      <c r="C35" t="s">
        <v>1898</v>
      </c>
      <c r="D35" s="17">
        <v>45350</v>
      </c>
      <c r="E35">
        <v>-134970.21999999997</v>
      </c>
      <c r="F35" s="13">
        <f t="shared" ca="1" si="1"/>
        <v>727</v>
      </c>
      <c r="G35" s="3">
        <f t="shared" ca="1" si="0"/>
        <v>-16129.865743561641</v>
      </c>
    </row>
    <row r="36" spans="1:7" x14ac:dyDescent="0.25">
      <c r="A36" t="s">
        <v>1890</v>
      </c>
      <c r="B36" t="s">
        <v>1893</v>
      </c>
      <c r="C36" t="s">
        <v>1898</v>
      </c>
      <c r="D36" s="17">
        <v>45351</v>
      </c>
      <c r="E36">
        <v>-50071.5</v>
      </c>
      <c r="F36" s="13">
        <f t="shared" ca="1" si="1"/>
        <v>726</v>
      </c>
      <c r="G36" s="3">
        <f t="shared" ca="1" si="0"/>
        <v>-5975.6562739726032</v>
      </c>
    </row>
    <row r="37" spans="1:7" x14ac:dyDescent="0.25">
      <c r="A37" t="s">
        <v>1890</v>
      </c>
      <c r="B37" t="s">
        <v>1893</v>
      </c>
      <c r="C37" t="s">
        <v>1899</v>
      </c>
      <c r="D37" s="17">
        <v>45352</v>
      </c>
      <c r="E37">
        <v>7372.0199999999977</v>
      </c>
      <c r="F37" s="13">
        <f t="shared" ca="1" si="1"/>
        <v>725</v>
      </c>
      <c r="G37" s="3">
        <f t="shared" ca="1" si="0"/>
        <v>878.58320547945175</v>
      </c>
    </row>
    <row r="38" spans="1:7" x14ac:dyDescent="0.25">
      <c r="A38" t="s">
        <v>1890</v>
      </c>
      <c r="B38" t="s">
        <v>1893</v>
      </c>
      <c r="C38" t="s">
        <v>1899</v>
      </c>
      <c r="D38" s="17">
        <v>45355</v>
      </c>
      <c r="E38">
        <v>2185.1399999999994</v>
      </c>
      <c r="F38" s="13">
        <f t="shared" ca="1" si="1"/>
        <v>722</v>
      </c>
      <c r="G38" s="3">
        <f t="shared" ca="1" si="0"/>
        <v>259.34319123287668</v>
      </c>
    </row>
    <row r="39" spans="1:7" x14ac:dyDescent="0.25">
      <c r="A39" t="s">
        <v>1890</v>
      </c>
      <c r="B39" t="s">
        <v>1893</v>
      </c>
      <c r="C39" t="s">
        <v>1899</v>
      </c>
      <c r="D39" s="17">
        <v>45356</v>
      </c>
      <c r="E39">
        <v>570.47999999999593</v>
      </c>
      <c r="F39" s="13">
        <f t="shared" ca="1" si="1"/>
        <v>721</v>
      </c>
      <c r="G39" s="3">
        <f t="shared" ca="1" si="0"/>
        <v>67.613602191780345</v>
      </c>
    </row>
    <row r="40" spans="1:7" x14ac:dyDescent="0.25">
      <c r="A40" t="s">
        <v>1890</v>
      </c>
      <c r="B40" t="s">
        <v>1893</v>
      </c>
      <c r="C40" t="s">
        <v>1899</v>
      </c>
      <c r="D40" s="17">
        <v>45357</v>
      </c>
      <c r="E40">
        <v>-37095.899999999994</v>
      </c>
      <c r="F40" s="13">
        <f t="shared" ca="1" si="1"/>
        <v>720</v>
      </c>
      <c r="G40" s="3">
        <f t="shared" ca="1" si="0"/>
        <v>-4390.5284383561639</v>
      </c>
    </row>
    <row r="41" spans="1:7" x14ac:dyDescent="0.25">
      <c r="A41" t="s">
        <v>1890</v>
      </c>
      <c r="B41" t="s">
        <v>1893</v>
      </c>
      <c r="C41" t="s">
        <v>1899</v>
      </c>
      <c r="D41" s="17">
        <v>45358</v>
      </c>
      <c r="E41">
        <v>-21703.350000000006</v>
      </c>
      <c r="F41" s="13">
        <f t="shared" ca="1" si="1"/>
        <v>719</v>
      </c>
      <c r="G41" s="3">
        <f t="shared" ca="1" si="0"/>
        <v>-2565.1575863013704</v>
      </c>
    </row>
    <row r="42" spans="1:7" x14ac:dyDescent="0.25">
      <c r="A42" t="s">
        <v>1890</v>
      </c>
      <c r="B42" t="s">
        <v>1893</v>
      </c>
      <c r="C42" t="s">
        <v>1899</v>
      </c>
      <c r="D42" s="17">
        <v>45362</v>
      </c>
      <c r="E42">
        <v>27853.78</v>
      </c>
      <c r="F42" s="13">
        <f t="shared" ca="1" si="1"/>
        <v>715</v>
      </c>
      <c r="G42" s="3">
        <f t="shared" ca="1" si="0"/>
        <v>3273.7730465753425</v>
      </c>
    </row>
    <row r="43" spans="1:7" x14ac:dyDescent="0.25">
      <c r="A43" t="s">
        <v>1890</v>
      </c>
      <c r="B43" t="s">
        <v>1893</v>
      </c>
      <c r="C43" t="s">
        <v>1899</v>
      </c>
      <c r="D43" s="17">
        <v>45363</v>
      </c>
      <c r="E43">
        <v>3476.4399999999973</v>
      </c>
      <c r="F43" s="13">
        <f t="shared" ca="1" si="1"/>
        <v>714</v>
      </c>
      <c r="G43" s="3">
        <f t="shared" ca="1" si="0"/>
        <v>408.02928657534221</v>
      </c>
    </row>
    <row r="44" spans="1:7" x14ac:dyDescent="0.25">
      <c r="A44" t="s">
        <v>1890</v>
      </c>
      <c r="B44" t="s">
        <v>1893</v>
      </c>
      <c r="C44" t="s">
        <v>1899</v>
      </c>
      <c r="D44" s="17">
        <v>45364</v>
      </c>
      <c r="E44">
        <v>-44280.409999999996</v>
      </c>
      <c r="F44" s="13">
        <f t="shared" ca="1" si="1"/>
        <v>713</v>
      </c>
      <c r="G44" s="3">
        <f t="shared" ca="1" si="0"/>
        <v>-5189.9066843835617</v>
      </c>
    </row>
    <row r="45" spans="1:7" x14ac:dyDescent="0.25">
      <c r="A45" t="s">
        <v>1890</v>
      </c>
      <c r="B45" t="s">
        <v>1893</v>
      </c>
      <c r="C45" t="s">
        <v>1899</v>
      </c>
      <c r="D45" s="17">
        <v>45365</v>
      </c>
      <c r="E45">
        <v>-6617.6999999999989</v>
      </c>
      <c r="F45" s="13">
        <f t="shared" ca="1" si="1"/>
        <v>712</v>
      </c>
      <c r="G45" s="3">
        <f t="shared" ca="1" si="0"/>
        <v>-774.54286027397256</v>
      </c>
    </row>
    <row r="46" spans="1:7" x14ac:dyDescent="0.25">
      <c r="A46" t="s">
        <v>1890</v>
      </c>
      <c r="B46" t="s">
        <v>1893</v>
      </c>
      <c r="C46" t="s">
        <v>1899</v>
      </c>
      <c r="D46" s="17">
        <v>45366</v>
      </c>
      <c r="E46">
        <v>306.59000000000015</v>
      </c>
      <c r="F46" s="13">
        <f t="shared" ca="1" si="1"/>
        <v>711</v>
      </c>
      <c r="G46" s="3">
        <f t="shared" ca="1" si="0"/>
        <v>35.833231232876734</v>
      </c>
    </row>
    <row r="47" spans="1:7" x14ac:dyDescent="0.25">
      <c r="A47" t="s">
        <v>1890</v>
      </c>
      <c r="B47" t="s">
        <v>1893</v>
      </c>
      <c r="C47" t="s">
        <v>1899</v>
      </c>
      <c r="D47" s="17">
        <v>45369</v>
      </c>
      <c r="E47">
        <v>-1817.83</v>
      </c>
      <c r="F47" s="13">
        <f t="shared" ca="1" si="1"/>
        <v>708</v>
      </c>
      <c r="G47" s="3">
        <f t="shared" ca="1" si="0"/>
        <v>-211.56552986301369</v>
      </c>
    </row>
    <row r="48" spans="1:7" x14ac:dyDescent="0.25">
      <c r="A48" t="s">
        <v>1890</v>
      </c>
      <c r="B48" t="s">
        <v>1893</v>
      </c>
      <c r="C48" t="s">
        <v>1899</v>
      </c>
      <c r="D48" s="17">
        <v>45370</v>
      </c>
      <c r="E48">
        <v>-24901.459999999992</v>
      </c>
      <c r="F48" s="13">
        <f t="shared" ca="1" si="1"/>
        <v>707</v>
      </c>
      <c r="G48" s="3">
        <f t="shared" ca="1" si="0"/>
        <v>-2894.0272142465747</v>
      </c>
    </row>
    <row r="49" spans="1:7" x14ac:dyDescent="0.25">
      <c r="A49" t="s">
        <v>1890</v>
      </c>
      <c r="B49" t="s">
        <v>1893</v>
      </c>
      <c r="C49" t="s">
        <v>1899</v>
      </c>
      <c r="D49" s="17">
        <v>45371</v>
      </c>
      <c r="E49">
        <v>13180.050000000003</v>
      </c>
      <c r="F49" s="13">
        <f t="shared" ca="1" si="1"/>
        <v>706</v>
      </c>
      <c r="G49" s="3">
        <f t="shared" ca="1" si="0"/>
        <v>1529.6079945205483</v>
      </c>
    </row>
    <row r="50" spans="1:7" x14ac:dyDescent="0.25">
      <c r="A50" t="s">
        <v>1890</v>
      </c>
      <c r="B50" t="s">
        <v>1893</v>
      </c>
      <c r="C50" t="s">
        <v>1899</v>
      </c>
      <c r="D50" s="17">
        <v>45372</v>
      </c>
      <c r="E50">
        <v>-826.86999999999989</v>
      </c>
      <c r="F50" s="13">
        <f t="shared" ca="1" si="1"/>
        <v>705</v>
      </c>
      <c r="G50" s="3">
        <f t="shared" ca="1" si="0"/>
        <v>-95.826304109589046</v>
      </c>
    </row>
    <row r="51" spans="1:7" x14ac:dyDescent="0.25">
      <c r="A51" t="s">
        <v>1890</v>
      </c>
      <c r="B51" t="s">
        <v>1893</v>
      </c>
      <c r="C51" t="s">
        <v>1899</v>
      </c>
      <c r="D51" s="17">
        <v>45373</v>
      </c>
      <c r="E51">
        <v>-8227.5300000000025</v>
      </c>
      <c r="F51" s="13">
        <f t="shared" ca="1" si="1"/>
        <v>704</v>
      </c>
      <c r="G51" s="3">
        <f t="shared" ca="1" si="0"/>
        <v>-952.13936219178117</v>
      </c>
    </row>
    <row r="52" spans="1:7" x14ac:dyDescent="0.25">
      <c r="A52" t="s">
        <v>1890</v>
      </c>
      <c r="B52" t="s">
        <v>1893</v>
      </c>
      <c r="C52" t="s">
        <v>1899</v>
      </c>
      <c r="D52" s="17">
        <v>45378</v>
      </c>
      <c r="E52">
        <v>-9125.16</v>
      </c>
      <c r="F52" s="13">
        <f t="shared" ca="1" si="1"/>
        <v>699</v>
      </c>
      <c r="G52" s="3">
        <f t="shared" ca="1" si="0"/>
        <v>-1048.5183846575342</v>
      </c>
    </row>
    <row r="53" spans="1:7" x14ac:dyDescent="0.25">
      <c r="A53" t="s">
        <v>1890</v>
      </c>
      <c r="B53" t="s">
        <v>1894</v>
      </c>
      <c r="C53" t="s">
        <v>1903</v>
      </c>
      <c r="D53" s="17">
        <v>45383</v>
      </c>
      <c r="E53">
        <v>-5513.7599999999984</v>
      </c>
      <c r="F53" s="13">
        <f t="shared" ca="1" si="1"/>
        <v>694</v>
      </c>
      <c r="G53" s="3">
        <f t="shared" ca="1" si="0"/>
        <v>-629.02182575342454</v>
      </c>
    </row>
    <row r="54" spans="1:7" x14ac:dyDescent="0.25">
      <c r="A54" t="s">
        <v>1890</v>
      </c>
      <c r="B54" t="s">
        <v>1894</v>
      </c>
      <c r="C54" t="s">
        <v>1903</v>
      </c>
      <c r="D54" s="17">
        <v>45384</v>
      </c>
      <c r="E54">
        <v>-4890.0999999999995</v>
      </c>
      <c r="F54" s="13">
        <f t="shared" ca="1" si="1"/>
        <v>693</v>
      </c>
      <c r="G54" s="3">
        <f t="shared" ca="1" si="0"/>
        <v>-557.06947397260274</v>
      </c>
    </row>
    <row r="55" spans="1:7" x14ac:dyDescent="0.25">
      <c r="A55" t="s">
        <v>1890</v>
      </c>
      <c r="B55" t="s">
        <v>1894</v>
      </c>
      <c r="C55" t="s">
        <v>1903</v>
      </c>
      <c r="D55" s="17">
        <v>45385</v>
      </c>
      <c r="E55">
        <v>18733.810000000001</v>
      </c>
      <c r="F55" s="13">
        <f t="shared" ca="1" si="1"/>
        <v>692</v>
      </c>
      <c r="G55" s="3">
        <f t="shared" ca="1" si="0"/>
        <v>2131.0350443835619</v>
      </c>
    </row>
    <row r="56" spans="1:7" x14ac:dyDescent="0.25">
      <c r="A56" t="s">
        <v>1890</v>
      </c>
      <c r="B56" t="s">
        <v>1894</v>
      </c>
      <c r="C56" t="s">
        <v>1903</v>
      </c>
      <c r="D56" s="17">
        <v>45386</v>
      </c>
      <c r="E56">
        <v>20582.05</v>
      </c>
      <c r="F56" s="13">
        <f t="shared" ca="1" si="1"/>
        <v>691</v>
      </c>
      <c r="G56" s="3">
        <f t="shared" ca="1" si="0"/>
        <v>2337.8953232876711</v>
      </c>
    </row>
    <row r="57" spans="1:7" x14ac:dyDescent="0.25">
      <c r="A57" t="s">
        <v>1890</v>
      </c>
      <c r="B57" t="s">
        <v>1894</v>
      </c>
      <c r="C57" t="s">
        <v>1903</v>
      </c>
      <c r="D57" s="17">
        <v>45390</v>
      </c>
      <c r="E57">
        <v>863.62000000000171</v>
      </c>
      <c r="F57" s="13">
        <f t="shared" ca="1" si="1"/>
        <v>687</v>
      </c>
      <c r="G57" s="3">
        <f t="shared" ca="1" si="0"/>
        <v>97.529907945205679</v>
      </c>
    </row>
    <row r="58" spans="1:7" x14ac:dyDescent="0.25">
      <c r="A58" t="s">
        <v>1890</v>
      </c>
      <c r="B58" t="s">
        <v>1894</v>
      </c>
      <c r="C58" t="s">
        <v>1903</v>
      </c>
      <c r="D58" s="17">
        <v>45391</v>
      </c>
      <c r="E58">
        <v>11527.73</v>
      </c>
      <c r="F58" s="13">
        <f t="shared" ca="1" si="1"/>
        <v>686</v>
      </c>
      <c r="G58" s="3">
        <f t="shared" ca="1" si="0"/>
        <v>1299.9489501369862</v>
      </c>
    </row>
    <row r="59" spans="1:7" x14ac:dyDescent="0.25">
      <c r="A59" t="s">
        <v>1890</v>
      </c>
      <c r="B59" t="s">
        <v>1894</v>
      </c>
      <c r="C59" t="s">
        <v>1903</v>
      </c>
      <c r="D59" s="17">
        <v>45392</v>
      </c>
      <c r="E59">
        <v>12631.460000000001</v>
      </c>
      <c r="F59" s="13">
        <f t="shared" ca="1" si="1"/>
        <v>685</v>
      </c>
      <c r="G59" s="3">
        <f t="shared" ca="1" si="0"/>
        <v>1422.3370027397264</v>
      </c>
    </row>
    <row r="60" spans="1:7" x14ac:dyDescent="0.25">
      <c r="A60" t="s">
        <v>1890</v>
      </c>
      <c r="B60" t="s">
        <v>1894</v>
      </c>
      <c r="C60" t="s">
        <v>1903</v>
      </c>
      <c r="D60" s="17">
        <v>45394</v>
      </c>
      <c r="E60">
        <v>-6176.4300000000021</v>
      </c>
      <c r="F60" s="13">
        <f t="shared" ca="1" si="1"/>
        <v>683</v>
      </c>
      <c r="G60" s="3">
        <f t="shared" ca="1" si="0"/>
        <v>-693.45233260273994</v>
      </c>
    </row>
    <row r="61" spans="1:7" x14ac:dyDescent="0.25">
      <c r="A61" t="s">
        <v>1890</v>
      </c>
      <c r="B61" t="s">
        <v>1894</v>
      </c>
      <c r="C61" t="s">
        <v>1903</v>
      </c>
      <c r="D61" s="17">
        <v>45397</v>
      </c>
      <c r="E61">
        <v>-3880.51</v>
      </c>
      <c r="F61" s="13">
        <f t="shared" ca="1" si="1"/>
        <v>680</v>
      </c>
      <c r="G61" s="3">
        <f t="shared" ca="1" si="0"/>
        <v>-433.76659726027401</v>
      </c>
    </row>
    <row r="62" spans="1:7" x14ac:dyDescent="0.25">
      <c r="A62" t="s">
        <v>1890</v>
      </c>
      <c r="B62" t="s">
        <v>1894</v>
      </c>
      <c r="C62" t="s">
        <v>1903</v>
      </c>
      <c r="D62" s="17">
        <v>45398</v>
      </c>
      <c r="E62">
        <v>-4847.9799999999996</v>
      </c>
      <c r="F62" s="13">
        <f t="shared" ca="1" si="1"/>
        <v>679</v>
      </c>
      <c r="G62" s="3">
        <f t="shared" ca="1" si="0"/>
        <v>-541.11426082191781</v>
      </c>
    </row>
    <row r="63" spans="1:7" x14ac:dyDescent="0.25">
      <c r="A63" t="s">
        <v>1890</v>
      </c>
      <c r="B63" t="s">
        <v>1894</v>
      </c>
      <c r="C63" t="s">
        <v>1903</v>
      </c>
      <c r="D63" s="17">
        <v>45400</v>
      </c>
      <c r="E63">
        <v>-448.2599999999984</v>
      </c>
      <c r="F63" s="13">
        <f t="shared" ca="1" si="1"/>
        <v>677</v>
      </c>
      <c r="G63" s="3">
        <f t="shared" ca="1" si="0"/>
        <v>-49.885811506849137</v>
      </c>
    </row>
    <row r="64" spans="1:7" x14ac:dyDescent="0.25">
      <c r="A64" t="s">
        <v>1890</v>
      </c>
      <c r="B64" t="s">
        <v>1894</v>
      </c>
      <c r="C64" t="s">
        <v>1903</v>
      </c>
      <c r="D64" s="17">
        <v>45401</v>
      </c>
      <c r="E64">
        <v>-4409.1899999999996</v>
      </c>
      <c r="F64" s="13">
        <f t="shared" ca="1" si="1"/>
        <v>676</v>
      </c>
      <c r="G64" s="3">
        <f t="shared" ca="1" si="0"/>
        <v>-489.9636887671233</v>
      </c>
    </row>
    <row r="65" spans="1:7" x14ac:dyDescent="0.25">
      <c r="A65" t="s">
        <v>1890</v>
      </c>
      <c r="B65" t="s">
        <v>1894</v>
      </c>
      <c r="C65" t="s">
        <v>1903</v>
      </c>
      <c r="D65" s="17">
        <v>45405</v>
      </c>
      <c r="E65">
        <v>-25069.48</v>
      </c>
      <c r="F65" s="13">
        <f t="shared" ca="1" si="1"/>
        <v>672</v>
      </c>
      <c r="G65" s="3">
        <f t="shared" ca="1" si="0"/>
        <v>-2769.3189961643834</v>
      </c>
    </row>
    <row r="66" spans="1:7" x14ac:dyDescent="0.25">
      <c r="A66" t="s">
        <v>1890</v>
      </c>
      <c r="B66" t="s">
        <v>1894</v>
      </c>
      <c r="C66" t="s">
        <v>1903</v>
      </c>
      <c r="D66" s="17">
        <v>45406</v>
      </c>
      <c r="E66">
        <v>-8601.7999999999993</v>
      </c>
      <c r="F66" s="13">
        <f t="shared" ca="1" si="1"/>
        <v>671</v>
      </c>
      <c r="G66" s="3">
        <f t="shared" ca="1" si="0"/>
        <v>-948.79032328767119</v>
      </c>
    </row>
    <row r="67" spans="1:7" x14ac:dyDescent="0.25">
      <c r="A67" t="s">
        <v>1890</v>
      </c>
      <c r="B67" t="s">
        <v>1894</v>
      </c>
      <c r="C67" t="s">
        <v>1903</v>
      </c>
      <c r="D67" s="17">
        <v>45408</v>
      </c>
      <c r="E67">
        <v>-6020</v>
      </c>
      <c r="F67" s="13">
        <f t="shared" ca="1" si="1"/>
        <v>669</v>
      </c>
      <c r="G67" s="3">
        <f t="shared" ca="1" si="0"/>
        <v>-662.03506849315067</v>
      </c>
    </row>
    <row r="68" spans="1:7" x14ac:dyDescent="0.25">
      <c r="A68" t="s">
        <v>1890</v>
      </c>
      <c r="B68" t="s">
        <v>1894</v>
      </c>
      <c r="C68" t="s">
        <v>1903</v>
      </c>
      <c r="D68" s="17">
        <v>45412</v>
      </c>
      <c r="E68">
        <v>5018.6200000000008</v>
      </c>
      <c r="F68" s="13">
        <f t="shared" ca="1" si="1"/>
        <v>665</v>
      </c>
      <c r="G68" s="3">
        <f t="shared" ca="1" si="0"/>
        <v>548.61078904109604</v>
      </c>
    </row>
    <row r="69" spans="1:7" x14ac:dyDescent="0.25">
      <c r="A69" t="s">
        <v>1890</v>
      </c>
      <c r="B69" t="s">
        <v>1894</v>
      </c>
      <c r="C69" t="s">
        <v>1904</v>
      </c>
      <c r="D69" s="17">
        <v>45414</v>
      </c>
      <c r="E69">
        <v>-1697.13</v>
      </c>
      <c r="F69" s="13">
        <f t="shared" ca="1" si="1"/>
        <v>663</v>
      </c>
      <c r="G69" s="3">
        <f t="shared" ref="G69:G132" ca="1" si="2">F69*E69*$E$1</f>
        <v>-184.96392164383565</v>
      </c>
    </row>
    <row r="70" spans="1:7" x14ac:dyDescent="0.25">
      <c r="A70" t="s">
        <v>1890</v>
      </c>
      <c r="B70" t="s">
        <v>1894</v>
      </c>
      <c r="C70" t="s">
        <v>1904</v>
      </c>
      <c r="D70" s="17">
        <v>45418</v>
      </c>
      <c r="E70">
        <v>-10134.849999999999</v>
      </c>
      <c r="F70" s="13">
        <f t="shared" ref="F70:F133" ca="1" si="3">TODAY()-D70</f>
        <v>659</v>
      </c>
      <c r="G70" s="3">
        <f t="shared" ca="1" si="2"/>
        <v>-1097.8958054794521</v>
      </c>
    </row>
    <row r="71" spans="1:7" x14ac:dyDescent="0.25">
      <c r="A71" t="s">
        <v>1890</v>
      </c>
      <c r="B71" t="s">
        <v>1894</v>
      </c>
      <c r="C71" t="s">
        <v>1904</v>
      </c>
      <c r="D71" s="17">
        <v>45419</v>
      </c>
      <c r="E71">
        <v>-42509.66</v>
      </c>
      <c r="F71" s="13">
        <f t="shared" ca="1" si="3"/>
        <v>658</v>
      </c>
      <c r="G71" s="3">
        <f t="shared" ca="1" si="2"/>
        <v>-4598.0311693150688</v>
      </c>
    </row>
    <row r="72" spans="1:7" x14ac:dyDescent="0.25">
      <c r="A72" t="s">
        <v>1890</v>
      </c>
      <c r="B72" t="s">
        <v>1894</v>
      </c>
      <c r="C72" t="s">
        <v>1904</v>
      </c>
      <c r="D72" s="17">
        <v>45420</v>
      </c>
      <c r="E72">
        <v>5556.3499999999985</v>
      </c>
      <c r="F72" s="13">
        <f t="shared" ca="1" si="3"/>
        <v>657</v>
      </c>
      <c r="G72" s="3">
        <f t="shared" ca="1" si="2"/>
        <v>600.08579999999995</v>
      </c>
    </row>
    <row r="73" spans="1:7" x14ac:dyDescent="0.25">
      <c r="A73" t="s">
        <v>1890</v>
      </c>
      <c r="B73" t="s">
        <v>1894</v>
      </c>
      <c r="C73" t="s">
        <v>1904</v>
      </c>
      <c r="D73" s="17">
        <v>45421</v>
      </c>
      <c r="E73">
        <v>-10359.880000000001</v>
      </c>
      <c r="F73" s="13">
        <f t="shared" ca="1" si="3"/>
        <v>656</v>
      </c>
      <c r="G73" s="3">
        <f t="shared" ca="1" si="2"/>
        <v>-1117.1640460273973</v>
      </c>
    </row>
    <row r="74" spans="1:7" x14ac:dyDescent="0.25">
      <c r="A74" t="s">
        <v>1890</v>
      </c>
      <c r="B74" t="s">
        <v>1894</v>
      </c>
      <c r="C74" t="s">
        <v>1904</v>
      </c>
      <c r="D74" s="17">
        <v>45427</v>
      </c>
      <c r="E74">
        <v>-7885.9199999999992</v>
      </c>
      <c r="F74" s="13">
        <f t="shared" ca="1" si="3"/>
        <v>650</v>
      </c>
      <c r="G74" s="3">
        <f t="shared" ca="1" si="2"/>
        <v>-842.60515068493135</v>
      </c>
    </row>
    <row r="75" spans="1:7" x14ac:dyDescent="0.25">
      <c r="A75" t="s">
        <v>1890</v>
      </c>
      <c r="B75" t="s">
        <v>1894</v>
      </c>
      <c r="C75" t="s">
        <v>1904</v>
      </c>
      <c r="D75" s="17">
        <v>45440</v>
      </c>
      <c r="E75">
        <v>1255.7800000000025</v>
      </c>
      <c r="F75" s="13">
        <f t="shared" ca="1" si="3"/>
        <v>637</v>
      </c>
      <c r="G75" s="3">
        <f t="shared" ca="1" si="2"/>
        <v>131.49564821917835</v>
      </c>
    </row>
    <row r="76" spans="1:7" x14ac:dyDescent="0.25">
      <c r="A76" t="s">
        <v>1890</v>
      </c>
      <c r="B76" t="s">
        <v>1894</v>
      </c>
      <c r="C76" t="s">
        <v>1904</v>
      </c>
      <c r="D76" s="17">
        <v>45441</v>
      </c>
      <c r="E76">
        <v>532.89999999999964</v>
      </c>
      <c r="F76" s="13">
        <f t="shared" ca="1" si="3"/>
        <v>636</v>
      </c>
      <c r="G76" s="3">
        <f t="shared" ca="1" si="2"/>
        <v>55.713599999999964</v>
      </c>
    </row>
    <row r="77" spans="1:7" x14ac:dyDescent="0.25">
      <c r="A77" t="s">
        <v>1890</v>
      </c>
      <c r="B77" t="s">
        <v>1894</v>
      </c>
      <c r="C77" t="s">
        <v>1904</v>
      </c>
      <c r="D77" s="17">
        <v>45442</v>
      </c>
      <c r="E77">
        <v>-1219.8899999999999</v>
      </c>
      <c r="F77" s="13">
        <f t="shared" ca="1" si="3"/>
        <v>635</v>
      </c>
      <c r="G77" s="3">
        <f t="shared" ca="1" si="2"/>
        <v>-127.33646301369862</v>
      </c>
    </row>
    <row r="78" spans="1:7" x14ac:dyDescent="0.25">
      <c r="A78" t="s">
        <v>1890</v>
      </c>
      <c r="B78" t="s">
        <v>1894</v>
      </c>
      <c r="C78" t="s">
        <v>1905</v>
      </c>
      <c r="D78" s="17">
        <v>45447</v>
      </c>
      <c r="E78">
        <v>14474.769999999997</v>
      </c>
      <c r="F78" s="13">
        <f t="shared" ca="1" si="3"/>
        <v>630</v>
      </c>
      <c r="G78" s="3">
        <f t="shared" ca="1" si="2"/>
        <v>1499.0309753424654</v>
      </c>
    </row>
    <row r="79" spans="1:7" x14ac:dyDescent="0.25">
      <c r="A79" t="s">
        <v>1890</v>
      </c>
      <c r="B79" t="s">
        <v>1894</v>
      </c>
      <c r="C79" t="s">
        <v>1905</v>
      </c>
      <c r="D79" s="17">
        <v>45448</v>
      </c>
      <c r="E79">
        <v>3361.2099999999991</v>
      </c>
      <c r="F79" s="13">
        <f t="shared" ca="1" si="3"/>
        <v>629</v>
      </c>
      <c r="G79" s="3">
        <f t="shared" ca="1" si="2"/>
        <v>347.53990520547939</v>
      </c>
    </row>
    <row r="80" spans="1:7" x14ac:dyDescent="0.25">
      <c r="A80" t="s">
        <v>1890</v>
      </c>
      <c r="B80" t="s">
        <v>1894</v>
      </c>
      <c r="C80" t="s">
        <v>1905</v>
      </c>
      <c r="D80" s="17">
        <v>45449</v>
      </c>
      <c r="E80">
        <v>-26203.089999999997</v>
      </c>
      <c r="F80" s="13">
        <f t="shared" ca="1" si="3"/>
        <v>628</v>
      </c>
      <c r="G80" s="3">
        <f t="shared" ca="1" si="2"/>
        <v>-2705.0203594520544</v>
      </c>
    </row>
    <row r="81" spans="1:7" x14ac:dyDescent="0.25">
      <c r="A81" t="s">
        <v>1890</v>
      </c>
      <c r="B81" t="s">
        <v>1894</v>
      </c>
      <c r="C81" t="s">
        <v>1905</v>
      </c>
      <c r="D81" s="17">
        <v>45455</v>
      </c>
      <c r="E81">
        <v>-2146.0100000000002</v>
      </c>
      <c r="F81" s="13">
        <f t="shared" ca="1" si="3"/>
        <v>622</v>
      </c>
      <c r="G81" s="3">
        <f t="shared" ca="1" si="2"/>
        <v>-219.42217315068498</v>
      </c>
    </row>
    <row r="82" spans="1:7" x14ac:dyDescent="0.25">
      <c r="A82" t="s">
        <v>1890</v>
      </c>
      <c r="B82" t="s">
        <v>1894</v>
      </c>
      <c r="C82" t="s">
        <v>1905</v>
      </c>
      <c r="D82" s="17">
        <v>45456</v>
      </c>
      <c r="E82">
        <v>-398.89999999999964</v>
      </c>
      <c r="F82" s="13">
        <f t="shared" ca="1" si="3"/>
        <v>621</v>
      </c>
      <c r="G82" s="3">
        <f t="shared" ca="1" si="2"/>
        <v>-40.720586301369828</v>
      </c>
    </row>
    <row r="83" spans="1:7" x14ac:dyDescent="0.25">
      <c r="A83" t="s">
        <v>1890</v>
      </c>
      <c r="B83" t="s">
        <v>1894</v>
      </c>
      <c r="C83" t="s">
        <v>1905</v>
      </c>
      <c r="D83" s="17">
        <v>45467</v>
      </c>
      <c r="E83">
        <v>-6366.9699999999993</v>
      </c>
      <c r="F83" s="13">
        <f t="shared" ca="1" si="3"/>
        <v>610</v>
      </c>
      <c r="G83" s="3">
        <f t="shared" ca="1" si="2"/>
        <v>-638.44137534246568</v>
      </c>
    </row>
    <row r="84" spans="1:7" x14ac:dyDescent="0.25">
      <c r="A84" t="s">
        <v>1890</v>
      </c>
      <c r="B84" t="s">
        <v>1895</v>
      </c>
      <c r="C84" t="s">
        <v>1906</v>
      </c>
      <c r="D84" s="17">
        <v>45475</v>
      </c>
      <c r="E84">
        <v>-11316.550000000003</v>
      </c>
      <c r="F84" s="13">
        <f t="shared" ca="1" si="3"/>
        <v>602</v>
      </c>
      <c r="G84" s="3">
        <f t="shared" ca="1" si="2"/>
        <v>-1119.8733863013701</v>
      </c>
    </row>
    <row r="85" spans="1:7" x14ac:dyDescent="0.25">
      <c r="A85" t="s">
        <v>1890</v>
      </c>
      <c r="B85" t="s">
        <v>1895</v>
      </c>
      <c r="C85" t="s">
        <v>1906</v>
      </c>
      <c r="D85" s="17">
        <v>45476</v>
      </c>
      <c r="E85">
        <v>1850.7400000000016</v>
      </c>
      <c r="F85" s="13">
        <f t="shared" ca="1" si="3"/>
        <v>601</v>
      </c>
      <c r="G85" s="3">
        <f t="shared" ca="1" si="2"/>
        <v>182.84297095890426</v>
      </c>
    </row>
    <row r="86" spans="1:7" x14ac:dyDescent="0.25">
      <c r="A86" t="s">
        <v>1890</v>
      </c>
      <c r="B86" t="s">
        <v>1895</v>
      </c>
      <c r="C86" t="s">
        <v>1906</v>
      </c>
      <c r="D86" s="17">
        <v>45477</v>
      </c>
      <c r="E86">
        <v>13754.170000000002</v>
      </c>
      <c r="F86" s="13">
        <f t="shared" ca="1" si="3"/>
        <v>600</v>
      </c>
      <c r="G86" s="3">
        <f t="shared" ca="1" si="2"/>
        <v>1356.5756712328769</v>
      </c>
    </row>
    <row r="87" spans="1:7" x14ac:dyDescent="0.25">
      <c r="A87" t="s">
        <v>1890</v>
      </c>
      <c r="B87" t="s">
        <v>1895</v>
      </c>
      <c r="C87" t="s">
        <v>1906</v>
      </c>
      <c r="D87" s="17">
        <v>45478</v>
      </c>
      <c r="E87">
        <v>-2578.8199999999997</v>
      </c>
      <c r="F87" s="13">
        <f t="shared" ca="1" si="3"/>
        <v>599</v>
      </c>
      <c r="G87" s="3">
        <f t="shared" ca="1" si="2"/>
        <v>-253.92545424657533</v>
      </c>
    </row>
    <row r="88" spans="1:7" x14ac:dyDescent="0.25">
      <c r="A88" t="s">
        <v>1890</v>
      </c>
      <c r="B88" t="s">
        <v>1895</v>
      </c>
      <c r="C88" t="s">
        <v>1906</v>
      </c>
      <c r="D88" s="17">
        <v>45481</v>
      </c>
      <c r="E88">
        <v>2413.3100000000013</v>
      </c>
      <c r="F88" s="13">
        <f t="shared" ca="1" si="3"/>
        <v>596</v>
      </c>
      <c r="G88" s="3">
        <f t="shared" ca="1" si="2"/>
        <v>236.43826191780835</v>
      </c>
    </row>
    <row r="89" spans="1:7" x14ac:dyDescent="0.25">
      <c r="A89" t="s">
        <v>1890</v>
      </c>
      <c r="B89" t="s">
        <v>1895</v>
      </c>
      <c r="C89" t="s">
        <v>1906</v>
      </c>
      <c r="D89" s="17">
        <v>45482</v>
      </c>
      <c r="E89">
        <v>808.10000000000218</v>
      </c>
      <c r="F89" s="13">
        <f t="shared" ca="1" si="3"/>
        <v>595</v>
      </c>
      <c r="G89" s="3">
        <f t="shared" ca="1" si="2"/>
        <v>79.038821917808434</v>
      </c>
    </row>
    <row r="90" spans="1:7" x14ac:dyDescent="0.25">
      <c r="A90" t="s">
        <v>1890</v>
      </c>
      <c r="B90" t="s">
        <v>1895</v>
      </c>
      <c r="C90" t="s">
        <v>1906</v>
      </c>
      <c r="D90" s="17">
        <v>45483</v>
      </c>
      <c r="E90">
        <v>5364.43</v>
      </c>
      <c r="F90" s="13">
        <f t="shared" ca="1" si="3"/>
        <v>594</v>
      </c>
      <c r="G90" s="3">
        <f t="shared" ca="1" si="2"/>
        <v>523.80352109589046</v>
      </c>
    </row>
    <row r="91" spans="1:7" x14ac:dyDescent="0.25">
      <c r="A91" t="s">
        <v>1890</v>
      </c>
      <c r="B91" t="s">
        <v>1895</v>
      </c>
      <c r="C91" t="s">
        <v>1906</v>
      </c>
      <c r="D91" s="17">
        <v>45484</v>
      </c>
      <c r="E91">
        <v>8166.5600000000013</v>
      </c>
      <c r="F91" s="13">
        <f t="shared" ca="1" si="3"/>
        <v>593</v>
      </c>
      <c r="G91" s="3">
        <f t="shared" ca="1" si="2"/>
        <v>796.0717939726029</v>
      </c>
    </row>
    <row r="92" spans="1:7" x14ac:dyDescent="0.25">
      <c r="A92" t="s">
        <v>1890</v>
      </c>
      <c r="B92" t="s">
        <v>1895</v>
      </c>
      <c r="C92" t="s">
        <v>1906</v>
      </c>
      <c r="D92" s="17">
        <v>45485</v>
      </c>
      <c r="E92">
        <v>1232.2000000000007</v>
      </c>
      <c r="F92" s="13">
        <f t="shared" ca="1" si="3"/>
        <v>592</v>
      </c>
      <c r="G92" s="3">
        <f t="shared" ca="1" si="2"/>
        <v>119.91162739726033</v>
      </c>
    </row>
    <row r="93" spans="1:7" x14ac:dyDescent="0.25">
      <c r="A93" t="s">
        <v>1890</v>
      </c>
      <c r="B93" t="s">
        <v>1895</v>
      </c>
      <c r="C93" t="s">
        <v>1906</v>
      </c>
      <c r="D93" s="17">
        <v>45488</v>
      </c>
      <c r="E93">
        <v>-1662.8400000000001</v>
      </c>
      <c r="F93" s="13">
        <f t="shared" ca="1" si="3"/>
        <v>589</v>
      </c>
      <c r="G93" s="3">
        <f t="shared" ca="1" si="2"/>
        <v>-160.9993578082192</v>
      </c>
    </row>
    <row r="94" spans="1:7" x14ac:dyDescent="0.25">
      <c r="A94" t="s">
        <v>1890</v>
      </c>
      <c r="B94" t="s">
        <v>1895</v>
      </c>
      <c r="C94" t="s">
        <v>1906</v>
      </c>
      <c r="D94" s="17">
        <v>45489</v>
      </c>
      <c r="E94">
        <v>-9041.6999999999989</v>
      </c>
      <c r="F94" s="13">
        <f t="shared" ca="1" si="3"/>
        <v>588</v>
      </c>
      <c r="G94" s="3">
        <f t="shared" ca="1" si="2"/>
        <v>-873.94842739726028</v>
      </c>
    </row>
    <row r="95" spans="1:7" x14ac:dyDescent="0.25">
      <c r="A95" t="s">
        <v>1890</v>
      </c>
      <c r="B95" t="s">
        <v>1895</v>
      </c>
      <c r="C95" t="s">
        <v>1906</v>
      </c>
      <c r="D95" s="17">
        <v>45491</v>
      </c>
      <c r="E95">
        <v>16261.430000000002</v>
      </c>
      <c r="F95" s="13">
        <f t="shared" ca="1" si="3"/>
        <v>586</v>
      </c>
      <c r="G95" s="3">
        <f t="shared" ca="1" si="2"/>
        <v>1566.4435035616439</v>
      </c>
    </row>
    <row r="96" spans="1:7" x14ac:dyDescent="0.25">
      <c r="A96" t="s">
        <v>1890</v>
      </c>
      <c r="B96" t="s">
        <v>1895</v>
      </c>
      <c r="C96" t="s">
        <v>1906</v>
      </c>
      <c r="D96" s="17">
        <v>45492</v>
      </c>
      <c r="E96">
        <v>1391.1899999999987</v>
      </c>
      <c r="F96" s="13">
        <f t="shared" ca="1" si="3"/>
        <v>585</v>
      </c>
      <c r="G96" s="3">
        <f t="shared" ca="1" si="2"/>
        <v>133.78292876712317</v>
      </c>
    </row>
    <row r="97" spans="1:7" x14ac:dyDescent="0.25">
      <c r="A97" t="s">
        <v>1890</v>
      </c>
      <c r="B97" t="s">
        <v>1895</v>
      </c>
      <c r="C97" t="s">
        <v>1906</v>
      </c>
      <c r="D97" s="17">
        <v>45495</v>
      </c>
      <c r="E97">
        <v>-5193.75</v>
      </c>
      <c r="F97" s="13">
        <f t="shared" ca="1" si="3"/>
        <v>582</v>
      </c>
      <c r="G97" s="3">
        <f t="shared" ca="1" si="2"/>
        <v>-496.89246575342469</v>
      </c>
    </row>
    <row r="98" spans="1:7" x14ac:dyDescent="0.25">
      <c r="A98" t="s">
        <v>1890</v>
      </c>
      <c r="B98" t="s">
        <v>1895</v>
      </c>
      <c r="C98" t="s">
        <v>1906</v>
      </c>
      <c r="D98" s="17">
        <v>45496</v>
      </c>
      <c r="E98">
        <v>-41031.990000000005</v>
      </c>
      <c r="F98" s="13">
        <f t="shared" ca="1" si="3"/>
        <v>581</v>
      </c>
      <c r="G98" s="3">
        <f t="shared" ca="1" si="2"/>
        <v>-3918.8360860273974</v>
      </c>
    </row>
    <row r="99" spans="1:7" x14ac:dyDescent="0.25">
      <c r="A99" t="s">
        <v>1890</v>
      </c>
      <c r="B99" t="s">
        <v>1895</v>
      </c>
      <c r="C99" t="s">
        <v>1906</v>
      </c>
      <c r="D99" s="17">
        <v>45497</v>
      </c>
      <c r="E99">
        <v>-22351.800000000003</v>
      </c>
      <c r="F99" s="13">
        <f t="shared" ca="1" si="3"/>
        <v>580</v>
      </c>
      <c r="G99" s="3">
        <f t="shared" ca="1" si="2"/>
        <v>-2131.0757260273976</v>
      </c>
    </row>
    <row r="100" spans="1:7" x14ac:dyDescent="0.25">
      <c r="A100" t="s">
        <v>1890</v>
      </c>
      <c r="B100" t="s">
        <v>1895</v>
      </c>
      <c r="C100" t="s">
        <v>1907</v>
      </c>
      <c r="D100" s="17">
        <v>45511</v>
      </c>
      <c r="E100">
        <v>-37806.06</v>
      </c>
      <c r="F100" s="13">
        <f t="shared" ca="1" si="3"/>
        <v>566</v>
      </c>
      <c r="G100" s="3">
        <f t="shared" ca="1" si="2"/>
        <v>-3517.5172536986297</v>
      </c>
    </row>
    <row r="101" spans="1:7" x14ac:dyDescent="0.25">
      <c r="A101" t="s">
        <v>1890</v>
      </c>
      <c r="B101" t="s">
        <v>1895</v>
      </c>
      <c r="C101" t="s">
        <v>1907</v>
      </c>
      <c r="D101" s="17">
        <v>45518</v>
      </c>
      <c r="E101">
        <v>1765.9799999999996</v>
      </c>
      <c r="F101" s="13">
        <f t="shared" ca="1" si="3"/>
        <v>559</v>
      </c>
      <c r="G101" s="3">
        <f t="shared" ca="1" si="2"/>
        <v>162.27662794520543</v>
      </c>
    </row>
    <row r="102" spans="1:7" x14ac:dyDescent="0.25">
      <c r="A102" t="s">
        <v>1890</v>
      </c>
      <c r="B102" t="s">
        <v>1895</v>
      </c>
      <c r="C102" t="s">
        <v>1908</v>
      </c>
      <c r="D102" s="17">
        <v>45555</v>
      </c>
      <c r="E102">
        <v>-11526.330000000002</v>
      </c>
      <c r="F102" s="13">
        <f t="shared" ca="1" si="3"/>
        <v>522</v>
      </c>
      <c r="G102" s="3">
        <f t="shared" ca="1" si="2"/>
        <v>-989.05385095890426</v>
      </c>
    </row>
    <row r="103" spans="1:7" x14ac:dyDescent="0.25">
      <c r="A103" t="s">
        <v>1890</v>
      </c>
      <c r="B103" t="s">
        <v>1895</v>
      </c>
      <c r="C103" t="s">
        <v>1908</v>
      </c>
      <c r="D103" s="17">
        <v>45559</v>
      </c>
      <c r="E103">
        <v>-26154.55</v>
      </c>
      <c r="F103" s="13">
        <f t="shared" ca="1" si="3"/>
        <v>518</v>
      </c>
      <c r="G103" s="3">
        <f t="shared" ca="1" si="2"/>
        <v>-2227.0778465753424</v>
      </c>
    </row>
    <row r="104" spans="1:7" x14ac:dyDescent="0.25">
      <c r="A104" t="s">
        <v>1890</v>
      </c>
      <c r="B104" t="s">
        <v>1895</v>
      </c>
      <c r="C104" t="s">
        <v>1908</v>
      </c>
      <c r="D104" s="17">
        <v>45560</v>
      </c>
      <c r="E104">
        <v>2309.0100000000002</v>
      </c>
      <c r="F104" s="13">
        <f t="shared" ca="1" si="3"/>
        <v>517</v>
      </c>
      <c r="G104" s="3">
        <f t="shared" ca="1" si="2"/>
        <v>196.23421972602742</v>
      </c>
    </row>
    <row r="105" spans="1:7" x14ac:dyDescent="0.25">
      <c r="A105" t="s">
        <v>1890</v>
      </c>
      <c r="B105" t="s">
        <v>1896</v>
      </c>
      <c r="C105" t="s">
        <v>1909</v>
      </c>
      <c r="D105" s="17">
        <v>45566</v>
      </c>
      <c r="E105">
        <v>-36574.729999999996</v>
      </c>
      <c r="F105" s="13">
        <f t="shared" ca="1" si="3"/>
        <v>511</v>
      </c>
      <c r="G105" s="3">
        <f t="shared" ca="1" si="2"/>
        <v>-3072.2773199999997</v>
      </c>
    </row>
    <row r="106" spans="1:7" x14ac:dyDescent="0.25">
      <c r="A106" t="s">
        <v>1890</v>
      </c>
      <c r="B106" t="s">
        <v>1896</v>
      </c>
      <c r="C106" t="s">
        <v>1910</v>
      </c>
      <c r="D106" s="17">
        <v>45601</v>
      </c>
      <c r="E106">
        <v>5647.3499999999985</v>
      </c>
      <c r="F106" s="13">
        <f t="shared" ca="1" si="3"/>
        <v>476</v>
      </c>
      <c r="G106" s="3">
        <f t="shared" ca="1" si="2"/>
        <v>441.88579726027382</v>
      </c>
    </row>
    <row r="107" spans="1:7" x14ac:dyDescent="0.25">
      <c r="A107" t="s">
        <v>1890</v>
      </c>
      <c r="B107" t="s">
        <v>1896</v>
      </c>
      <c r="C107" t="s">
        <v>1910</v>
      </c>
      <c r="D107" s="17">
        <v>45602</v>
      </c>
      <c r="E107">
        <v>-65866.81</v>
      </c>
      <c r="F107" s="13">
        <f t="shared" ca="1" si="3"/>
        <v>475</v>
      </c>
      <c r="G107" s="3">
        <f t="shared" ca="1" si="2"/>
        <v>-5143.0248904109594</v>
      </c>
    </row>
    <row r="108" spans="1:7" x14ac:dyDescent="0.25">
      <c r="A108" t="s">
        <v>1890</v>
      </c>
      <c r="B108" t="s">
        <v>1896</v>
      </c>
      <c r="C108" t="s">
        <v>1910</v>
      </c>
      <c r="D108" s="17">
        <v>45615</v>
      </c>
      <c r="E108">
        <v>-3036.87</v>
      </c>
      <c r="F108" s="13">
        <f t="shared" ca="1" si="3"/>
        <v>462</v>
      </c>
      <c r="G108" s="3">
        <f t="shared" ca="1" si="2"/>
        <v>-230.63571616438355</v>
      </c>
    </row>
    <row r="109" spans="1:7" x14ac:dyDescent="0.25">
      <c r="A109" t="s">
        <v>1890</v>
      </c>
      <c r="B109" t="s">
        <v>1896</v>
      </c>
      <c r="C109" t="s">
        <v>1910</v>
      </c>
      <c r="D109" s="17">
        <v>45617</v>
      </c>
      <c r="E109">
        <v>5011.32</v>
      </c>
      <c r="F109" s="13">
        <f t="shared" ca="1" si="3"/>
        <v>460</v>
      </c>
      <c r="G109" s="3">
        <f t="shared" ca="1" si="2"/>
        <v>378.93816986301368</v>
      </c>
    </row>
    <row r="110" spans="1:7" x14ac:dyDescent="0.25">
      <c r="A110" t="s">
        <v>1890</v>
      </c>
      <c r="B110" t="s">
        <v>1896</v>
      </c>
      <c r="C110" t="s">
        <v>1910</v>
      </c>
      <c r="D110" s="17">
        <v>45622</v>
      </c>
      <c r="E110">
        <v>26.63</v>
      </c>
      <c r="F110" s="13">
        <f t="shared" ca="1" si="3"/>
        <v>455</v>
      </c>
      <c r="G110" s="3">
        <f t="shared" ca="1" si="2"/>
        <v>1.9917780821917808</v>
      </c>
    </row>
    <row r="111" spans="1:7" x14ac:dyDescent="0.25">
      <c r="A111" t="s">
        <v>1890</v>
      </c>
      <c r="B111" t="s">
        <v>1896</v>
      </c>
      <c r="C111" t="s">
        <v>1910</v>
      </c>
      <c r="D111" s="17">
        <v>45625</v>
      </c>
      <c r="E111">
        <v>-1674.29</v>
      </c>
      <c r="F111" s="13">
        <f t="shared" ca="1" si="3"/>
        <v>452</v>
      </c>
      <c r="G111" s="3">
        <f t="shared" ca="1" si="2"/>
        <v>-124.40204054794521</v>
      </c>
    </row>
    <row r="112" spans="1:7" x14ac:dyDescent="0.25">
      <c r="A112" t="s">
        <v>1890</v>
      </c>
      <c r="B112" t="s">
        <v>1896</v>
      </c>
      <c r="C112" t="s">
        <v>1911</v>
      </c>
      <c r="D112" s="17">
        <v>45628</v>
      </c>
      <c r="E112">
        <v>-5972.79</v>
      </c>
      <c r="F112" s="13">
        <f t="shared" ca="1" si="3"/>
        <v>449</v>
      </c>
      <c r="G112" s="3">
        <f t="shared" ca="1" si="2"/>
        <v>-440.84099342465754</v>
      </c>
    </row>
    <row r="113" spans="1:7" x14ac:dyDescent="0.25">
      <c r="A113" t="s">
        <v>1890</v>
      </c>
      <c r="B113" t="s">
        <v>1896</v>
      </c>
      <c r="C113" t="s">
        <v>1911</v>
      </c>
      <c r="D113" s="17">
        <v>45629</v>
      </c>
      <c r="E113">
        <v>-12199.49</v>
      </c>
      <c r="F113" s="13">
        <f t="shared" ca="1" si="3"/>
        <v>448</v>
      </c>
      <c r="G113" s="3">
        <f t="shared" ca="1" si="2"/>
        <v>-898.41723616438355</v>
      </c>
    </row>
    <row r="114" spans="1:7" x14ac:dyDescent="0.25">
      <c r="A114" t="s">
        <v>1890</v>
      </c>
      <c r="B114" t="s">
        <v>1896</v>
      </c>
      <c r="C114" t="s">
        <v>1911</v>
      </c>
      <c r="D114" s="17">
        <v>45630</v>
      </c>
      <c r="E114">
        <v>-538.27000000000044</v>
      </c>
      <c r="F114" s="13">
        <f t="shared" ca="1" si="3"/>
        <v>447</v>
      </c>
      <c r="G114" s="3">
        <f t="shared" ca="1" si="2"/>
        <v>-39.551784657534284</v>
      </c>
    </row>
    <row r="115" spans="1:7" x14ac:dyDescent="0.25">
      <c r="A115" t="s">
        <v>1890</v>
      </c>
      <c r="B115" t="s">
        <v>1896</v>
      </c>
      <c r="C115" t="s">
        <v>1911</v>
      </c>
      <c r="D115" s="17">
        <v>45632</v>
      </c>
      <c r="E115">
        <v>-45434.400000000001</v>
      </c>
      <c r="F115" s="13">
        <f t="shared" ca="1" si="3"/>
        <v>445</v>
      </c>
      <c r="G115" s="3">
        <f t="shared" ca="1" si="2"/>
        <v>-3323.5574794520548</v>
      </c>
    </row>
    <row r="116" spans="1:7" x14ac:dyDescent="0.25">
      <c r="A116" t="s">
        <v>1890</v>
      </c>
      <c r="B116" t="s">
        <v>1896</v>
      </c>
      <c r="C116" t="s">
        <v>1911</v>
      </c>
      <c r="D116" s="17">
        <v>45635</v>
      </c>
      <c r="E116">
        <v>14220.14</v>
      </c>
      <c r="F116" s="13">
        <f t="shared" ca="1" si="3"/>
        <v>442</v>
      </c>
      <c r="G116" s="3">
        <f t="shared" ca="1" si="2"/>
        <v>1033.2003090410958</v>
      </c>
    </row>
    <row r="117" spans="1:7" x14ac:dyDescent="0.25">
      <c r="A117" t="s">
        <v>1890</v>
      </c>
      <c r="B117" t="s">
        <v>1896</v>
      </c>
      <c r="C117" t="s">
        <v>1911</v>
      </c>
      <c r="D117" s="17">
        <v>45636</v>
      </c>
      <c r="E117">
        <v>5779.5099999999948</v>
      </c>
      <c r="F117" s="13">
        <f t="shared" ca="1" si="3"/>
        <v>441</v>
      </c>
      <c r="G117" s="3">
        <f t="shared" ca="1" si="2"/>
        <v>418.97488931506814</v>
      </c>
    </row>
    <row r="118" spans="1:7" x14ac:dyDescent="0.25">
      <c r="A118" t="s">
        <v>1890</v>
      </c>
      <c r="B118" t="s">
        <v>1896</v>
      </c>
      <c r="C118" t="s">
        <v>1911</v>
      </c>
      <c r="D118" s="17">
        <v>45637</v>
      </c>
      <c r="E118">
        <v>-25385.42</v>
      </c>
      <c r="F118" s="13">
        <f t="shared" ca="1" si="3"/>
        <v>440</v>
      </c>
      <c r="G118" s="3">
        <f t="shared" ca="1" si="2"/>
        <v>-1836.0961315068491</v>
      </c>
    </row>
    <row r="119" spans="1:7" x14ac:dyDescent="0.25">
      <c r="A119" t="s">
        <v>1890</v>
      </c>
      <c r="B119" t="s">
        <v>1896</v>
      </c>
      <c r="C119" t="s">
        <v>1911</v>
      </c>
      <c r="D119" s="17">
        <v>45639</v>
      </c>
      <c r="E119">
        <v>8878.43</v>
      </c>
      <c r="F119" s="13">
        <f t="shared" ca="1" si="3"/>
        <v>438</v>
      </c>
      <c r="G119" s="3">
        <f t="shared" ca="1" si="2"/>
        <v>639.24696000000006</v>
      </c>
    </row>
    <row r="120" spans="1:7" x14ac:dyDescent="0.25">
      <c r="A120" t="s">
        <v>1890</v>
      </c>
      <c r="B120" t="s">
        <v>1896</v>
      </c>
      <c r="C120" t="s">
        <v>1911</v>
      </c>
      <c r="D120" s="17">
        <v>45642</v>
      </c>
      <c r="E120">
        <v>-38620.69</v>
      </c>
      <c r="F120" s="13">
        <f t="shared" ca="1" si="3"/>
        <v>435</v>
      </c>
      <c r="G120" s="3">
        <f t="shared" ca="1" si="2"/>
        <v>-2761.6438602739731</v>
      </c>
    </row>
    <row r="121" spans="1:7" x14ac:dyDescent="0.25">
      <c r="A121" t="s">
        <v>1890</v>
      </c>
      <c r="B121" t="s">
        <v>1896</v>
      </c>
      <c r="C121" t="s">
        <v>1911</v>
      </c>
      <c r="D121" s="17">
        <v>45643</v>
      </c>
      <c r="E121">
        <v>20881.39</v>
      </c>
      <c r="F121" s="13">
        <f t="shared" ca="1" si="3"/>
        <v>434</v>
      </c>
      <c r="G121" s="3">
        <f t="shared" ca="1" si="2"/>
        <v>1489.7298509589041</v>
      </c>
    </row>
    <row r="122" spans="1:7" x14ac:dyDescent="0.25">
      <c r="A122" t="s">
        <v>1890</v>
      </c>
      <c r="B122" t="s">
        <v>1896</v>
      </c>
      <c r="C122" t="s">
        <v>1911</v>
      </c>
      <c r="D122" s="17">
        <v>45644</v>
      </c>
      <c r="E122">
        <v>-43469.210000000006</v>
      </c>
      <c r="F122" s="13">
        <f t="shared" ca="1" si="3"/>
        <v>433</v>
      </c>
      <c r="G122" s="3">
        <f t="shared" ca="1" si="2"/>
        <v>-3094.0550021917816</v>
      </c>
    </row>
    <row r="123" spans="1:7" x14ac:dyDescent="0.25">
      <c r="A123" t="s">
        <v>1890</v>
      </c>
      <c r="B123" t="s">
        <v>1896</v>
      </c>
      <c r="C123" t="s">
        <v>1911</v>
      </c>
      <c r="D123" s="17">
        <v>45645</v>
      </c>
      <c r="E123">
        <v>94588.799999999988</v>
      </c>
      <c r="F123" s="13">
        <f t="shared" ca="1" si="3"/>
        <v>432</v>
      </c>
      <c r="G123" s="3">
        <f t="shared" ca="1" si="2"/>
        <v>6717.1005369863005</v>
      </c>
    </row>
    <row r="124" spans="1:7" x14ac:dyDescent="0.25">
      <c r="A124" t="s">
        <v>1890</v>
      </c>
      <c r="B124" t="s">
        <v>1896</v>
      </c>
      <c r="C124" t="s">
        <v>1911</v>
      </c>
      <c r="D124" s="17">
        <v>45646</v>
      </c>
      <c r="E124">
        <v>-78967.039999999994</v>
      </c>
      <c r="F124" s="13">
        <f t="shared" ca="1" si="3"/>
        <v>431</v>
      </c>
      <c r="G124" s="3">
        <f t="shared" ca="1" si="2"/>
        <v>-5594.7606969863009</v>
      </c>
    </row>
    <row r="125" spans="1:7" x14ac:dyDescent="0.25">
      <c r="A125" t="s">
        <v>1890</v>
      </c>
      <c r="B125" t="s">
        <v>1896</v>
      </c>
      <c r="C125" t="s">
        <v>1911</v>
      </c>
      <c r="D125" s="17">
        <v>45649</v>
      </c>
      <c r="E125">
        <v>24381.339999999997</v>
      </c>
      <c r="F125" s="13">
        <f t="shared" ca="1" si="3"/>
        <v>428</v>
      </c>
      <c r="G125" s="3">
        <f t="shared" ca="1" si="2"/>
        <v>1715.3775649315064</v>
      </c>
    </row>
    <row r="126" spans="1:7" x14ac:dyDescent="0.25">
      <c r="A126" t="s">
        <v>1890</v>
      </c>
      <c r="B126" t="s">
        <v>1896</v>
      </c>
      <c r="C126" t="s">
        <v>1911</v>
      </c>
      <c r="D126" s="17">
        <v>45650</v>
      </c>
      <c r="E126">
        <v>-7826.0499999999975</v>
      </c>
      <c r="F126" s="13">
        <f t="shared" ca="1" si="3"/>
        <v>427</v>
      </c>
      <c r="G126" s="3">
        <f t="shared" ca="1" si="2"/>
        <v>-549.32438630136971</v>
      </c>
    </row>
    <row r="127" spans="1:7" x14ac:dyDescent="0.25">
      <c r="A127" t="s">
        <v>1890</v>
      </c>
      <c r="B127" t="s">
        <v>1896</v>
      </c>
      <c r="C127" t="s">
        <v>1911</v>
      </c>
      <c r="D127" s="17">
        <v>45652</v>
      </c>
      <c r="E127">
        <v>2500.1999999999989</v>
      </c>
      <c r="F127" s="13">
        <f t="shared" ca="1" si="3"/>
        <v>425</v>
      </c>
      <c r="G127" s="3">
        <f t="shared" ca="1" si="2"/>
        <v>174.67150684931499</v>
      </c>
    </row>
    <row r="128" spans="1:7" x14ac:dyDescent="0.25">
      <c r="A128" t="s">
        <v>1890</v>
      </c>
      <c r="B128" t="s">
        <v>1896</v>
      </c>
      <c r="C128" t="s">
        <v>1911</v>
      </c>
      <c r="D128" s="17">
        <v>45653</v>
      </c>
      <c r="E128">
        <v>-4808.3099999999977</v>
      </c>
      <c r="F128" s="13">
        <f t="shared" ca="1" si="3"/>
        <v>424</v>
      </c>
      <c r="G128" s="3">
        <f t="shared" ca="1" si="2"/>
        <v>-335.13262027397246</v>
      </c>
    </row>
    <row r="129" spans="1:7" x14ac:dyDescent="0.25">
      <c r="A129" t="s">
        <v>1890</v>
      </c>
      <c r="B129" t="s">
        <v>1896</v>
      </c>
      <c r="C129" t="s">
        <v>1911</v>
      </c>
      <c r="D129" s="17">
        <v>45656</v>
      </c>
      <c r="E129">
        <v>264.45999999999913</v>
      </c>
      <c r="F129" s="13">
        <f t="shared" ca="1" si="3"/>
        <v>421</v>
      </c>
      <c r="G129" s="3">
        <f t="shared" ca="1" si="2"/>
        <v>18.302081095890351</v>
      </c>
    </row>
    <row r="130" spans="1:7" x14ac:dyDescent="0.25">
      <c r="A130" t="s">
        <v>1890</v>
      </c>
      <c r="B130" t="s">
        <v>1896</v>
      </c>
      <c r="C130" t="s">
        <v>1911</v>
      </c>
      <c r="D130" s="17">
        <v>45657</v>
      </c>
      <c r="E130">
        <v>-24145.67</v>
      </c>
      <c r="F130" s="13">
        <f t="shared" ca="1" si="3"/>
        <v>420</v>
      </c>
      <c r="G130" s="3">
        <f t="shared" ca="1" si="2"/>
        <v>-1667.0435178082189</v>
      </c>
    </row>
    <row r="131" spans="1:7" x14ac:dyDescent="0.25">
      <c r="A131" t="s">
        <v>1891</v>
      </c>
      <c r="B131" t="s">
        <v>1893</v>
      </c>
      <c r="C131" t="s">
        <v>1897</v>
      </c>
      <c r="D131" s="17">
        <v>45658</v>
      </c>
      <c r="E131">
        <v>24400.25</v>
      </c>
      <c r="F131" s="13">
        <f t="shared" ca="1" si="3"/>
        <v>419</v>
      </c>
      <c r="G131" s="3">
        <f t="shared" ca="1" si="2"/>
        <v>1680.6090000000002</v>
      </c>
    </row>
    <row r="132" spans="1:7" x14ac:dyDescent="0.25">
      <c r="A132" t="s">
        <v>1891</v>
      </c>
      <c r="B132" t="s">
        <v>1893</v>
      </c>
      <c r="C132" t="s">
        <v>1897</v>
      </c>
      <c r="D132" s="17">
        <v>45659</v>
      </c>
      <c r="E132">
        <v>-20175.310000000005</v>
      </c>
      <c r="F132" s="13">
        <f t="shared" ca="1" si="3"/>
        <v>418</v>
      </c>
      <c r="G132" s="3">
        <f t="shared" ca="1" si="2"/>
        <v>-1386.2925336986305</v>
      </c>
    </row>
    <row r="133" spans="1:7" x14ac:dyDescent="0.25">
      <c r="A133" t="s">
        <v>1891</v>
      </c>
      <c r="B133" t="s">
        <v>1893</v>
      </c>
      <c r="C133" t="s">
        <v>1897</v>
      </c>
      <c r="D133" s="17">
        <v>45664</v>
      </c>
      <c r="E133">
        <v>399.72</v>
      </c>
      <c r="F133" s="13">
        <f t="shared" ca="1" si="3"/>
        <v>413</v>
      </c>
      <c r="G133" s="3">
        <f t="shared" ref="G133:G196" ca="1" si="4">F133*E133*$E$1</f>
        <v>27.137155068493154</v>
      </c>
    </row>
    <row r="134" spans="1:7" x14ac:dyDescent="0.25">
      <c r="A134" t="s">
        <v>1891</v>
      </c>
      <c r="B134" t="s">
        <v>1893</v>
      </c>
      <c r="C134" t="s">
        <v>1897</v>
      </c>
      <c r="D134" s="17">
        <v>45665</v>
      </c>
      <c r="E134">
        <v>-1117.94</v>
      </c>
      <c r="F134" s="13">
        <f t="shared" ref="F134:F197" ca="1" si="5">TODAY()-D134</f>
        <v>412</v>
      </c>
      <c r="G134" s="3">
        <f t="shared" ca="1" si="4"/>
        <v>-75.713635068493161</v>
      </c>
    </row>
    <row r="135" spans="1:7" x14ac:dyDescent="0.25">
      <c r="A135" t="s">
        <v>1891</v>
      </c>
      <c r="B135" t="s">
        <v>1893</v>
      </c>
      <c r="C135" t="s">
        <v>1897</v>
      </c>
      <c r="D135" s="17">
        <v>45672</v>
      </c>
      <c r="E135">
        <v>354</v>
      </c>
      <c r="F135" s="13">
        <f t="shared" ca="1" si="5"/>
        <v>405</v>
      </c>
      <c r="G135" s="3">
        <f t="shared" ca="1" si="4"/>
        <v>23.567671232876712</v>
      </c>
    </row>
    <row r="136" spans="1:7" x14ac:dyDescent="0.25">
      <c r="A136" t="s">
        <v>1891</v>
      </c>
      <c r="B136" t="s">
        <v>1893</v>
      </c>
      <c r="C136" t="s">
        <v>1897</v>
      </c>
      <c r="D136" s="17">
        <v>45681</v>
      </c>
      <c r="E136">
        <v>-3700.2699999999995</v>
      </c>
      <c r="F136" s="13">
        <f t="shared" ca="1" si="5"/>
        <v>396</v>
      </c>
      <c r="G136" s="3">
        <f t="shared" ca="1" si="4"/>
        <v>-240.87237041095889</v>
      </c>
    </row>
    <row r="137" spans="1:7" x14ac:dyDescent="0.25">
      <c r="A137" t="s">
        <v>1891</v>
      </c>
      <c r="B137" t="s">
        <v>1893</v>
      </c>
      <c r="C137" t="s">
        <v>1897</v>
      </c>
      <c r="D137" s="17">
        <v>45685</v>
      </c>
      <c r="E137">
        <v>429.94</v>
      </c>
      <c r="F137" s="13">
        <f t="shared" ca="1" si="5"/>
        <v>392</v>
      </c>
      <c r="G137" s="3">
        <f t="shared" ca="1" si="4"/>
        <v>27.704626849315073</v>
      </c>
    </row>
    <row r="138" spans="1:7" x14ac:dyDescent="0.25">
      <c r="A138" t="s">
        <v>1891</v>
      </c>
      <c r="B138" t="s">
        <v>1893</v>
      </c>
      <c r="C138" t="s">
        <v>1897</v>
      </c>
      <c r="D138" s="17">
        <v>45687</v>
      </c>
      <c r="E138">
        <v>1645.0100000000002</v>
      </c>
      <c r="F138" s="13">
        <f t="shared" ca="1" si="5"/>
        <v>390</v>
      </c>
      <c r="G138" s="3">
        <f t="shared" ca="1" si="4"/>
        <v>105.46091506849318</v>
      </c>
    </row>
    <row r="139" spans="1:7" x14ac:dyDescent="0.25">
      <c r="A139" t="s">
        <v>1891</v>
      </c>
      <c r="B139" t="s">
        <v>1893</v>
      </c>
      <c r="C139" t="s">
        <v>1897</v>
      </c>
      <c r="D139" s="17">
        <v>45688</v>
      </c>
      <c r="E139">
        <v>5063.0800000000017</v>
      </c>
      <c r="F139" s="13">
        <f t="shared" ca="1" si="5"/>
        <v>389</v>
      </c>
      <c r="G139" s="3">
        <f t="shared" ca="1" si="4"/>
        <v>323.75969095890423</v>
      </c>
    </row>
    <row r="140" spans="1:7" x14ac:dyDescent="0.25">
      <c r="A140" t="s">
        <v>1891</v>
      </c>
      <c r="B140" t="s">
        <v>1893</v>
      </c>
      <c r="C140" t="s">
        <v>1898</v>
      </c>
      <c r="D140" s="17">
        <v>45689</v>
      </c>
      <c r="E140">
        <v>-40438.639999999999</v>
      </c>
      <c r="F140" s="13">
        <f t="shared" ca="1" si="5"/>
        <v>388</v>
      </c>
      <c r="G140" s="3">
        <f t="shared" ca="1" si="4"/>
        <v>-2579.2096964383563</v>
      </c>
    </row>
    <row r="141" spans="1:7" x14ac:dyDescent="0.25">
      <c r="A141" t="s">
        <v>1891</v>
      </c>
      <c r="B141" t="s">
        <v>1893</v>
      </c>
      <c r="C141" t="s">
        <v>1898</v>
      </c>
      <c r="D141" s="17">
        <v>45691</v>
      </c>
      <c r="E141">
        <v>4513.8600000000006</v>
      </c>
      <c r="F141" s="13">
        <f t="shared" ca="1" si="5"/>
        <v>386</v>
      </c>
      <c r="G141" s="3">
        <f t="shared" ca="1" si="4"/>
        <v>286.41369205479458</v>
      </c>
    </row>
    <row r="142" spans="1:7" x14ac:dyDescent="0.25">
      <c r="A142" t="s">
        <v>1891</v>
      </c>
      <c r="B142" t="s">
        <v>1893</v>
      </c>
      <c r="C142" t="s">
        <v>1898</v>
      </c>
      <c r="D142" s="17">
        <v>45692</v>
      </c>
      <c r="E142">
        <v>4617.9299999999985</v>
      </c>
      <c r="F142" s="13">
        <f t="shared" ca="1" si="5"/>
        <v>385</v>
      </c>
      <c r="G142" s="3">
        <f t="shared" ca="1" si="4"/>
        <v>292.25803561643824</v>
      </c>
    </row>
    <row r="143" spans="1:7" x14ac:dyDescent="0.25">
      <c r="A143" t="s">
        <v>1891</v>
      </c>
      <c r="B143" t="s">
        <v>1893</v>
      </c>
      <c r="C143" t="s">
        <v>1898</v>
      </c>
      <c r="D143" s="17">
        <v>45693</v>
      </c>
      <c r="E143">
        <v>1784.4799999999977</v>
      </c>
      <c r="F143" s="13">
        <f t="shared" ca="1" si="5"/>
        <v>384</v>
      </c>
      <c r="G143" s="3">
        <f t="shared" ca="1" si="4"/>
        <v>112.6422443835615</v>
      </c>
    </row>
    <row r="144" spans="1:7" x14ac:dyDescent="0.25">
      <c r="A144" t="s">
        <v>1891</v>
      </c>
      <c r="B144" t="s">
        <v>1893</v>
      </c>
      <c r="C144" t="s">
        <v>1898</v>
      </c>
      <c r="D144" s="17">
        <v>45694</v>
      </c>
      <c r="E144">
        <v>-9139.3299999999981</v>
      </c>
      <c r="F144" s="13">
        <f t="shared" ca="1" si="5"/>
        <v>383</v>
      </c>
      <c r="G144" s="3">
        <f t="shared" ca="1" si="4"/>
        <v>-575.40220109589029</v>
      </c>
    </row>
    <row r="145" spans="1:7" x14ac:dyDescent="0.25">
      <c r="A145" t="s">
        <v>1891</v>
      </c>
      <c r="B145" t="s">
        <v>1893</v>
      </c>
      <c r="C145" t="s">
        <v>1898</v>
      </c>
      <c r="D145" s="17">
        <v>45695</v>
      </c>
      <c r="E145">
        <v>-2686.7900000000009</v>
      </c>
      <c r="F145" s="13">
        <f t="shared" ca="1" si="5"/>
        <v>382</v>
      </c>
      <c r="G145" s="3">
        <f t="shared" ca="1" si="4"/>
        <v>-168.71568986301378</v>
      </c>
    </row>
    <row r="146" spans="1:7" x14ac:dyDescent="0.25">
      <c r="A146" t="s">
        <v>1891</v>
      </c>
      <c r="B146" t="s">
        <v>1893</v>
      </c>
      <c r="C146" t="s">
        <v>1898</v>
      </c>
      <c r="D146" s="17">
        <v>45699</v>
      </c>
      <c r="E146">
        <v>9126.01</v>
      </c>
      <c r="F146" s="13">
        <f t="shared" ca="1" si="5"/>
        <v>378</v>
      </c>
      <c r="G146" s="3">
        <f t="shared" ca="1" si="4"/>
        <v>567.06275835616441</v>
      </c>
    </row>
    <row r="147" spans="1:7" x14ac:dyDescent="0.25">
      <c r="A147" t="s">
        <v>1891</v>
      </c>
      <c r="B147" t="s">
        <v>1893</v>
      </c>
      <c r="C147" t="s">
        <v>1898</v>
      </c>
      <c r="D147" s="17">
        <v>45700</v>
      </c>
      <c r="E147">
        <v>-16651.32</v>
      </c>
      <c r="F147" s="13">
        <f t="shared" ca="1" si="5"/>
        <v>377</v>
      </c>
      <c r="G147" s="3">
        <f t="shared" ca="1" si="4"/>
        <v>-1031.9256394520548</v>
      </c>
    </row>
    <row r="148" spans="1:7" x14ac:dyDescent="0.25">
      <c r="A148" t="s">
        <v>1891</v>
      </c>
      <c r="B148" t="s">
        <v>1893</v>
      </c>
      <c r="C148" t="s">
        <v>1898</v>
      </c>
      <c r="D148" s="17">
        <v>45701</v>
      </c>
      <c r="E148">
        <v>1074.0999999999999</v>
      </c>
      <c r="F148" s="13">
        <f t="shared" ca="1" si="5"/>
        <v>376</v>
      </c>
      <c r="G148" s="3">
        <f t="shared" ca="1" si="4"/>
        <v>66.388208219178082</v>
      </c>
    </row>
    <row r="149" spans="1:7" x14ac:dyDescent="0.25">
      <c r="A149" t="s">
        <v>1891</v>
      </c>
      <c r="B149" t="s">
        <v>1893</v>
      </c>
      <c r="C149" t="s">
        <v>1898</v>
      </c>
      <c r="D149" s="17">
        <v>45705</v>
      </c>
      <c r="E149">
        <v>4979.2800000000025</v>
      </c>
      <c r="F149" s="13">
        <f t="shared" ca="1" si="5"/>
        <v>372</v>
      </c>
      <c r="G149" s="3">
        <f t="shared" ca="1" si="4"/>
        <v>304.48638246575359</v>
      </c>
    </row>
    <row r="150" spans="1:7" x14ac:dyDescent="0.25">
      <c r="A150" t="s">
        <v>1891</v>
      </c>
      <c r="B150" t="s">
        <v>1893</v>
      </c>
      <c r="C150" t="s">
        <v>1898</v>
      </c>
      <c r="D150" s="17">
        <v>45706</v>
      </c>
      <c r="E150">
        <v>4883.409999999998</v>
      </c>
      <c r="F150" s="13">
        <f t="shared" ca="1" si="5"/>
        <v>371</v>
      </c>
      <c r="G150" s="3">
        <f t="shared" ca="1" si="4"/>
        <v>297.82111397260263</v>
      </c>
    </row>
    <row r="151" spans="1:7" x14ac:dyDescent="0.25">
      <c r="A151" t="s">
        <v>1891</v>
      </c>
      <c r="B151" t="s">
        <v>1893</v>
      </c>
      <c r="C151" t="s">
        <v>1898</v>
      </c>
      <c r="D151" s="17">
        <v>45707</v>
      </c>
      <c r="E151">
        <v>2026.7299999999959</v>
      </c>
      <c r="F151" s="13">
        <f t="shared" ca="1" si="5"/>
        <v>370</v>
      </c>
      <c r="G151" s="3">
        <f t="shared" ca="1" si="4"/>
        <v>123.26960547945181</v>
      </c>
    </row>
    <row r="152" spans="1:7" x14ac:dyDescent="0.25">
      <c r="A152" t="s">
        <v>1891</v>
      </c>
      <c r="B152" t="s">
        <v>1893</v>
      </c>
      <c r="C152" t="s">
        <v>1898</v>
      </c>
      <c r="D152" s="17">
        <v>45708</v>
      </c>
      <c r="E152">
        <v>-23179.119999999999</v>
      </c>
      <c r="F152" s="13">
        <f t="shared" ca="1" si="5"/>
        <v>369</v>
      </c>
      <c r="G152" s="3">
        <f t="shared" ca="1" si="4"/>
        <v>-1405.9882652054794</v>
      </c>
    </row>
    <row r="153" spans="1:7" x14ac:dyDescent="0.25">
      <c r="A153" t="s">
        <v>1891</v>
      </c>
      <c r="B153" t="s">
        <v>1893</v>
      </c>
      <c r="C153" t="s">
        <v>1898</v>
      </c>
      <c r="D153" s="17">
        <v>45713</v>
      </c>
      <c r="E153">
        <v>-1635.2299999999991</v>
      </c>
      <c r="F153" s="13">
        <f t="shared" ca="1" si="5"/>
        <v>364</v>
      </c>
      <c r="G153" s="3">
        <f t="shared" ca="1" si="4"/>
        <v>-97.844995068493091</v>
      </c>
    </row>
    <row r="154" spans="1:7" x14ac:dyDescent="0.25">
      <c r="A154" t="s">
        <v>1891</v>
      </c>
      <c r="B154" t="s">
        <v>1893</v>
      </c>
      <c r="C154" t="s">
        <v>1898</v>
      </c>
      <c r="D154" s="17">
        <v>45715</v>
      </c>
      <c r="E154">
        <v>2279.8100000000031</v>
      </c>
      <c r="F154" s="13">
        <f t="shared" ca="1" si="5"/>
        <v>362</v>
      </c>
      <c r="G154" s="3">
        <f t="shared" ca="1" si="4"/>
        <v>135.6643101369865</v>
      </c>
    </row>
    <row r="155" spans="1:7" x14ac:dyDescent="0.25">
      <c r="A155" t="s">
        <v>1891</v>
      </c>
      <c r="B155" t="s">
        <v>1893</v>
      </c>
      <c r="C155" t="s">
        <v>1898</v>
      </c>
      <c r="D155" s="17">
        <v>45716</v>
      </c>
      <c r="E155">
        <v>-11417.949999999995</v>
      </c>
      <c r="F155" s="13">
        <f t="shared" ca="1" si="5"/>
        <v>361</v>
      </c>
      <c r="G155" s="3">
        <f t="shared" ca="1" si="4"/>
        <v>-677.56930684931478</v>
      </c>
    </row>
    <row r="156" spans="1:7" x14ac:dyDescent="0.25">
      <c r="A156" t="s">
        <v>1891</v>
      </c>
      <c r="B156" t="s">
        <v>1893</v>
      </c>
      <c r="C156" t="s">
        <v>1899</v>
      </c>
      <c r="D156" s="17">
        <v>45719</v>
      </c>
      <c r="E156">
        <v>-3945.9100000000026</v>
      </c>
      <c r="F156" s="13">
        <f t="shared" ca="1" si="5"/>
        <v>358</v>
      </c>
      <c r="G156" s="3">
        <f t="shared" ca="1" si="4"/>
        <v>-232.21410082191798</v>
      </c>
    </row>
    <row r="157" spans="1:7" x14ac:dyDescent="0.25">
      <c r="A157" t="s">
        <v>1891</v>
      </c>
      <c r="B157" t="s">
        <v>1893</v>
      </c>
      <c r="C157" t="s">
        <v>1899</v>
      </c>
      <c r="D157" s="17">
        <v>45720</v>
      </c>
      <c r="E157">
        <v>3777.1900000000005</v>
      </c>
      <c r="F157" s="13">
        <f t="shared" ca="1" si="5"/>
        <v>357</v>
      </c>
      <c r="G157" s="3">
        <f t="shared" ca="1" si="4"/>
        <v>221.66413643835619</v>
      </c>
    </row>
    <row r="158" spans="1:7" x14ac:dyDescent="0.25">
      <c r="A158" t="s">
        <v>1891</v>
      </c>
      <c r="B158" t="s">
        <v>1893</v>
      </c>
      <c r="C158" t="s">
        <v>1899</v>
      </c>
      <c r="D158" s="17">
        <v>45722</v>
      </c>
      <c r="E158">
        <v>8128.7199999999993</v>
      </c>
      <c r="F158" s="13">
        <f t="shared" ca="1" si="5"/>
        <v>355</v>
      </c>
      <c r="G158" s="3">
        <f t="shared" ca="1" si="4"/>
        <v>474.36092054794517</v>
      </c>
    </row>
    <row r="159" spans="1:7" x14ac:dyDescent="0.25">
      <c r="A159" t="s">
        <v>1891</v>
      </c>
      <c r="B159" t="s">
        <v>1893</v>
      </c>
      <c r="C159" t="s">
        <v>1899</v>
      </c>
      <c r="D159" s="17">
        <v>45723</v>
      </c>
      <c r="E159">
        <v>-4284.7999999999993</v>
      </c>
      <c r="F159" s="13">
        <f t="shared" ca="1" si="5"/>
        <v>354</v>
      </c>
      <c r="G159" s="3">
        <f t="shared" ca="1" si="4"/>
        <v>-249.34014246575339</v>
      </c>
    </row>
    <row r="160" spans="1:7" x14ac:dyDescent="0.25">
      <c r="A160" t="s">
        <v>1891</v>
      </c>
      <c r="B160" t="s">
        <v>1893</v>
      </c>
      <c r="C160" t="s">
        <v>1899</v>
      </c>
      <c r="D160" s="17">
        <v>45727</v>
      </c>
      <c r="E160">
        <v>-9574.49</v>
      </c>
      <c r="F160" s="13">
        <f t="shared" ca="1" si="5"/>
        <v>350</v>
      </c>
      <c r="G160" s="3">
        <f t="shared" ca="1" si="4"/>
        <v>-550.8610684931507</v>
      </c>
    </row>
    <row r="161" spans="1:7" x14ac:dyDescent="0.25">
      <c r="A161" t="s">
        <v>1891</v>
      </c>
      <c r="B161" t="s">
        <v>1893</v>
      </c>
      <c r="C161" t="s">
        <v>1899</v>
      </c>
      <c r="D161" s="17">
        <v>45728</v>
      </c>
      <c r="E161">
        <v>12692.779999999999</v>
      </c>
      <c r="F161" s="13">
        <f t="shared" ca="1" si="5"/>
        <v>349</v>
      </c>
      <c r="G161" s="3">
        <f t="shared" ca="1" si="4"/>
        <v>728.18304986301371</v>
      </c>
    </row>
    <row r="162" spans="1:7" x14ac:dyDescent="0.25">
      <c r="A162" t="s">
        <v>1891</v>
      </c>
      <c r="B162" t="s">
        <v>1893</v>
      </c>
      <c r="C162" t="s">
        <v>1899</v>
      </c>
      <c r="D162" s="17">
        <v>45733</v>
      </c>
      <c r="E162">
        <v>-195.94000000000051</v>
      </c>
      <c r="F162" s="13">
        <f t="shared" ca="1" si="5"/>
        <v>344</v>
      </c>
      <c r="G162" s="3">
        <f t="shared" ca="1" si="4"/>
        <v>-11.080004383561674</v>
      </c>
    </row>
    <row r="163" spans="1:7" x14ac:dyDescent="0.25">
      <c r="A163" t="s">
        <v>1891</v>
      </c>
      <c r="B163" t="s">
        <v>1893</v>
      </c>
      <c r="C163" t="s">
        <v>1899</v>
      </c>
      <c r="D163" s="17">
        <v>45735</v>
      </c>
      <c r="E163">
        <v>712.34000000000015</v>
      </c>
      <c r="F163" s="13">
        <f t="shared" ca="1" si="5"/>
        <v>342</v>
      </c>
      <c r="G163" s="3">
        <f t="shared" ca="1" si="4"/>
        <v>40.047169315068501</v>
      </c>
    </row>
    <row r="164" spans="1:7" x14ac:dyDescent="0.25">
      <c r="A164" t="s">
        <v>1891</v>
      </c>
      <c r="B164" t="s">
        <v>1893</v>
      </c>
      <c r="C164" t="s">
        <v>1899</v>
      </c>
      <c r="D164" s="17">
        <v>45736</v>
      </c>
      <c r="E164">
        <v>2795.2999999999997</v>
      </c>
      <c r="F164" s="13">
        <f t="shared" ca="1" si="5"/>
        <v>341</v>
      </c>
      <c r="G164" s="3">
        <f t="shared" ca="1" si="4"/>
        <v>156.68996712328766</v>
      </c>
    </row>
    <row r="165" spans="1:7" x14ac:dyDescent="0.25">
      <c r="A165" t="s">
        <v>1891</v>
      </c>
      <c r="B165" t="s">
        <v>1893</v>
      </c>
      <c r="C165" t="s">
        <v>1899</v>
      </c>
      <c r="D165" s="17">
        <v>45742</v>
      </c>
      <c r="E165">
        <v>1904.6100000000006</v>
      </c>
      <c r="F165" s="13">
        <f t="shared" ca="1" si="5"/>
        <v>335</v>
      </c>
      <c r="G165" s="3">
        <f t="shared" ca="1" si="4"/>
        <v>104.88400273972607</v>
      </c>
    </row>
    <row r="166" spans="1:7" x14ac:dyDescent="0.25">
      <c r="A166" t="s">
        <v>1891</v>
      </c>
      <c r="B166" t="s">
        <v>1893</v>
      </c>
      <c r="C166" t="s">
        <v>1899</v>
      </c>
      <c r="D166" s="17">
        <v>45743</v>
      </c>
      <c r="E166">
        <v>-5077.26</v>
      </c>
      <c r="F166" s="13">
        <f t="shared" ca="1" si="5"/>
        <v>334</v>
      </c>
      <c r="G166" s="3">
        <f t="shared" ca="1" si="4"/>
        <v>-278.76243945205482</v>
      </c>
    </row>
    <row r="167" spans="1:7" x14ac:dyDescent="0.25">
      <c r="A167" t="s">
        <v>1891</v>
      </c>
      <c r="B167" t="s">
        <v>1893</v>
      </c>
      <c r="C167" t="s">
        <v>1899</v>
      </c>
      <c r="D167" s="17">
        <v>45744</v>
      </c>
      <c r="E167">
        <v>498.47999999999911</v>
      </c>
      <c r="F167" s="13">
        <f t="shared" ca="1" si="5"/>
        <v>333</v>
      </c>
      <c r="G167" s="3">
        <f t="shared" ca="1" si="4"/>
        <v>27.286658630136937</v>
      </c>
    </row>
    <row r="168" spans="1:7" x14ac:dyDescent="0.25">
      <c r="A168" t="s">
        <v>1891</v>
      </c>
      <c r="B168" t="s">
        <v>1894</v>
      </c>
      <c r="C168" t="s">
        <v>1903</v>
      </c>
      <c r="D168" s="17">
        <v>45748</v>
      </c>
      <c r="E168">
        <v>14152.610000000008</v>
      </c>
      <c r="F168" s="13">
        <f t="shared" ca="1" si="5"/>
        <v>329</v>
      </c>
      <c r="G168" s="3">
        <f t="shared" ca="1" si="4"/>
        <v>765.40416821917847</v>
      </c>
    </row>
    <row r="169" spans="1:7" x14ac:dyDescent="0.25">
      <c r="A169" t="s">
        <v>1891</v>
      </c>
      <c r="B169" t="s">
        <v>1894</v>
      </c>
      <c r="C169" t="s">
        <v>1903</v>
      </c>
      <c r="D169" s="17">
        <v>45749</v>
      </c>
      <c r="E169">
        <v>-50204.849999999991</v>
      </c>
      <c r="F169" s="13">
        <f t="shared" ca="1" si="5"/>
        <v>328</v>
      </c>
      <c r="G169" s="3">
        <f t="shared" ca="1" si="4"/>
        <v>-2706.9354739726023</v>
      </c>
    </row>
    <row r="170" spans="1:7" x14ac:dyDescent="0.25">
      <c r="A170" t="s">
        <v>1891</v>
      </c>
      <c r="B170" t="s">
        <v>1894</v>
      </c>
      <c r="C170" t="s">
        <v>1903</v>
      </c>
      <c r="D170" s="17">
        <v>45750</v>
      </c>
      <c r="E170">
        <v>2261.5</v>
      </c>
      <c r="F170" s="13">
        <f t="shared" ca="1" si="5"/>
        <v>327</v>
      </c>
      <c r="G170" s="3">
        <f t="shared" ca="1" si="4"/>
        <v>121.5633698630137</v>
      </c>
    </row>
    <row r="171" spans="1:7" x14ac:dyDescent="0.25">
      <c r="A171" t="s">
        <v>1891</v>
      </c>
      <c r="B171" t="s">
        <v>1894</v>
      </c>
      <c r="C171" t="s">
        <v>1903</v>
      </c>
      <c r="D171" s="17">
        <v>45751</v>
      </c>
      <c r="E171">
        <v>1189.4200000000019</v>
      </c>
      <c r="F171" s="13">
        <f t="shared" ca="1" si="5"/>
        <v>326</v>
      </c>
      <c r="G171" s="3">
        <f t="shared" ca="1" si="4"/>
        <v>63.739877260274078</v>
      </c>
    </row>
    <row r="172" spans="1:7" x14ac:dyDescent="0.25">
      <c r="A172" t="s">
        <v>1891</v>
      </c>
      <c r="B172" t="s">
        <v>1894</v>
      </c>
      <c r="C172" t="s">
        <v>1903</v>
      </c>
      <c r="D172" s="17">
        <v>45754</v>
      </c>
      <c r="E172">
        <v>5703.5799999999981</v>
      </c>
      <c r="F172" s="13">
        <f t="shared" ca="1" si="5"/>
        <v>323</v>
      </c>
      <c r="G172" s="3">
        <f t="shared" ca="1" si="4"/>
        <v>302.83665863013687</v>
      </c>
    </row>
    <row r="173" spans="1:7" x14ac:dyDescent="0.25">
      <c r="A173" t="s">
        <v>1891</v>
      </c>
      <c r="B173" t="s">
        <v>1894</v>
      </c>
      <c r="C173" t="s">
        <v>1903</v>
      </c>
      <c r="D173" s="17">
        <v>45755</v>
      </c>
      <c r="E173">
        <v>-284.06999999999789</v>
      </c>
      <c r="F173" s="13">
        <f t="shared" ca="1" si="5"/>
        <v>322</v>
      </c>
      <c r="G173" s="3">
        <f t="shared" ca="1" si="4"/>
        <v>-15.036253150684821</v>
      </c>
    </row>
    <row r="174" spans="1:7" x14ac:dyDescent="0.25">
      <c r="A174" t="s">
        <v>1891</v>
      </c>
      <c r="B174" t="s">
        <v>1894</v>
      </c>
      <c r="C174" t="s">
        <v>1903</v>
      </c>
      <c r="D174" s="17">
        <v>45756</v>
      </c>
      <c r="E174">
        <v>-15239.02</v>
      </c>
      <c r="F174" s="13">
        <f t="shared" ca="1" si="5"/>
        <v>321</v>
      </c>
      <c r="G174" s="3">
        <f t="shared" ca="1" si="4"/>
        <v>-804.11924712328766</v>
      </c>
    </row>
    <row r="175" spans="1:7" x14ac:dyDescent="0.25">
      <c r="A175" t="s">
        <v>1891</v>
      </c>
      <c r="B175" t="s">
        <v>1894</v>
      </c>
      <c r="C175" t="s">
        <v>1903</v>
      </c>
      <c r="D175" s="17">
        <v>45762</v>
      </c>
      <c r="E175">
        <v>-974.94</v>
      </c>
      <c r="F175" s="13">
        <f t="shared" ca="1" si="5"/>
        <v>315</v>
      </c>
      <c r="G175" s="3">
        <f t="shared" ca="1" si="4"/>
        <v>-50.483194520547954</v>
      </c>
    </row>
    <row r="176" spans="1:7" x14ac:dyDescent="0.25">
      <c r="A176" t="s">
        <v>1891</v>
      </c>
      <c r="B176" t="s">
        <v>1894</v>
      </c>
      <c r="C176" t="s">
        <v>1904</v>
      </c>
      <c r="D176" s="17">
        <v>45779</v>
      </c>
      <c r="E176">
        <v>5547.1399999999994</v>
      </c>
      <c r="F176" s="13">
        <f t="shared" ca="1" si="5"/>
        <v>298</v>
      </c>
      <c r="G176" s="3">
        <f t="shared" ca="1" si="4"/>
        <v>271.73387178082186</v>
      </c>
    </row>
    <row r="177" spans="1:7" x14ac:dyDescent="0.25">
      <c r="A177" t="s">
        <v>1891</v>
      </c>
      <c r="B177" t="s">
        <v>1894</v>
      </c>
      <c r="C177" t="s">
        <v>1904</v>
      </c>
      <c r="D177" s="17">
        <v>45784</v>
      </c>
      <c r="E177">
        <v>-3495.869999999999</v>
      </c>
      <c r="F177" s="13">
        <f t="shared" ca="1" si="5"/>
        <v>293</v>
      </c>
      <c r="G177" s="3">
        <f t="shared" ca="1" si="4"/>
        <v>-168.37642356164378</v>
      </c>
    </row>
    <row r="178" spans="1:7" x14ac:dyDescent="0.25">
      <c r="A178" t="s">
        <v>1891</v>
      </c>
      <c r="B178" t="s">
        <v>1894</v>
      </c>
      <c r="C178" t="s">
        <v>1904</v>
      </c>
      <c r="D178" s="17">
        <v>45785</v>
      </c>
      <c r="E178">
        <v>-6120.96</v>
      </c>
      <c r="F178" s="13">
        <f t="shared" ca="1" si="5"/>
        <v>292</v>
      </c>
      <c r="G178" s="3">
        <f t="shared" ca="1" si="4"/>
        <v>-293.80608000000001</v>
      </c>
    </row>
    <row r="179" spans="1:7" x14ac:dyDescent="0.25">
      <c r="A179" t="s">
        <v>1891</v>
      </c>
      <c r="B179" t="s">
        <v>1894</v>
      </c>
      <c r="C179" t="s">
        <v>1904</v>
      </c>
      <c r="D179" s="17">
        <v>45792</v>
      </c>
      <c r="E179">
        <v>-14613.469999999998</v>
      </c>
      <c r="F179" s="13">
        <f t="shared" ca="1" si="5"/>
        <v>285</v>
      </c>
      <c r="G179" s="3">
        <f t="shared" ca="1" si="4"/>
        <v>-684.63106027397248</v>
      </c>
    </row>
    <row r="180" spans="1:7" x14ac:dyDescent="0.25">
      <c r="A180" t="s">
        <v>1891</v>
      </c>
      <c r="B180" t="s">
        <v>1894</v>
      </c>
      <c r="C180" t="s">
        <v>1904</v>
      </c>
      <c r="D180" s="17">
        <v>45798</v>
      </c>
      <c r="E180">
        <v>-7400.159999999998</v>
      </c>
      <c r="F180" s="13">
        <f t="shared" ca="1" si="5"/>
        <v>279</v>
      </c>
      <c r="G180" s="3">
        <f t="shared" ca="1" si="4"/>
        <v>-339.39363945205469</v>
      </c>
    </row>
    <row r="181" spans="1:7" x14ac:dyDescent="0.25">
      <c r="A181" t="s">
        <v>1891</v>
      </c>
      <c r="B181" t="s">
        <v>1894</v>
      </c>
      <c r="C181" t="s">
        <v>1904</v>
      </c>
      <c r="D181" s="17">
        <v>45800</v>
      </c>
      <c r="E181">
        <v>-1883.75</v>
      </c>
      <c r="F181" s="13">
        <f t="shared" ca="1" si="5"/>
        <v>277</v>
      </c>
      <c r="G181" s="3">
        <f t="shared" ca="1" si="4"/>
        <v>-85.775136986301376</v>
      </c>
    </row>
    <row r="182" spans="1:7" x14ac:dyDescent="0.25">
      <c r="A182" t="s">
        <v>1891</v>
      </c>
      <c r="B182" t="s">
        <v>1894</v>
      </c>
      <c r="C182" t="s">
        <v>1904</v>
      </c>
      <c r="D182" s="17">
        <v>45806</v>
      </c>
      <c r="E182">
        <v>97.749999999999886</v>
      </c>
      <c r="F182" s="13">
        <f t="shared" ca="1" si="5"/>
        <v>271</v>
      </c>
      <c r="G182" s="3">
        <f t="shared" ca="1" si="4"/>
        <v>4.3545616438356118</v>
      </c>
    </row>
    <row r="183" spans="1:7" x14ac:dyDescent="0.25">
      <c r="A183" t="s">
        <v>1891</v>
      </c>
      <c r="B183" t="s">
        <v>1894</v>
      </c>
      <c r="C183" t="s">
        <v>1905</v>
      </c>
      <c r="D183" s="17">
        <v>45813</v>
      </c>
      <c r="E183">
        <v>-2689.58</v>
      </c>
      <c r="F183" s="13">
        <f t="shared" ca="1" si="5"/>
        <v>264</v>
      </c>
      <c r="G183" s="3">
        <f t="shared" ca="1" si="4"/>
        <v>-116.72040328767123</v>
      </c>
    </row>
    <row r="184" spans="1:7" x14ac:dyDescent="0.25">
      <c r="A184" t="s">
        <v>1891</v>
      </c>
      <c r="B184" t="s">
        <v>1895</v>
      </c>
      <c r="C184" t="s">
        <v>1906</v>
      </c>
      <c r="D184" s="17">
        <v>45842</v>
      </c>
      <c r="E184">
        <v>-3903.7299999999959</v>
      </c>
      <c r="F184" s="13">
        <f t="shared" ca="1" si="5"/>
        <v>235</v>
      </c>
      <c r="G184" s="3">
        <f t="shared" ca="1" si="4"/>
        <v>-150.80162465753409</v>
      </c>
    </row>
    <row r="185" spans="1:7" x14ac:dyDescent="0.25">
      <c r="A185" t="s">
        <v>1891</v>
      </c>
      <c r="B185" t="s">
        <v>1895</v>
      </c>
      <c r="C185" t="s">
        <v>1907</v>
      </c>
      <c r="D185" s="17">
        <v>45881</v>
      </c>
      <c r="E185">
        <v>334.12000000000262</v>
      </c>
      <c r="F185" s="13">
        <f t="shared" ca="1" si="5"/>
        <v>196</v>
      </c>
      <c r="G185" s="3">
        <f t="shared" ca="1" si="4"/>
        <v>10.765071780822003</v>
      </c>
    </row>
    <row r="186" spans="1:7" x14ac:dyDescent="0.25">
      <c r="A186" t="s">
        <v>1891</v>
      </c>
      <c r="B186" t="s">
        <v>1895</v>
      </c>
      <c r="C186" t="s">
        <v>1907</v>
      </c>
      <c r="D186" s="17">
        <v>45890</v>
      </c>
      <c r="E186">
        <v>-25774.66</v>
      </c>
      <c r="F186" s="13">
        <f t="shared" ca="1" si="5"/>
        <v>187</v>
      </c>
      <c r="G186" s="3">
        <f t="shared" ca="1" si="4"/>
        <v>-792.3059868493151</v>
      </c>
    </row>
    <row r="187" spans="1:7" x14ac:dyDescent="0.25">
      <c r="A187" t="s">
        <v>1891</v>
      </c>
      <c r="B187" t="s">
        <v>1895</v>
      </c>
      <c r="C187" t="s">
        <v>1907</v>
      </c>
      <c r="D187" s="17">
        <v>45897</v>
      </c>
      <c r="E187">
        <v>15061.620000000003</v>
      </c>
      <c r="F187" s="13">
        <f t="shared" ca="1" si="5"/>
        <v>180</v>
      </c>
      <c r="G187" s="3">
        <f t="shared" ca="1" si="4"/>
        <v>445.65889315068506</v>
      </c>
    </row>
    <row r="188" spans="1:7" x14ac:dyDescent="0.25">
      <c r="A188" t="s">
        <v>1891</v>
      </c>
      <c r="B188" t="s">
        <v>1895</v>
      </c>
      <c r="C188" t="s">
        <v>1908</v>
      </c>
      <c r="D188" s="17">
        <v>45902</v>
      </c>
      <c r="E188">
        <v>11170.460000000001</v>
      </c>
      <c r="F188" s="13">
        <f t="shared" ca="1" si="5"/>
        <v>175</v>
      </c>
      <c r="G188" s="3">
        <f t="shared" ca="1" si="4"/>
        <v>321.34200000000004</v>
      </c>
    </row>
    <row r="189" spans="1:7" x14ac:dyDescent="0.25">
      <c r="A189" t="s">
        <v>1891</v>
      </c>
      <c r="B189" t="s">
        <v>1895</v>
      </c>
      <c r="C189" t="s">
        <v>1908</v>
      </c>
      <c r="D189" s="17">
        <v>45903</v>
      </c>
      <c r="E189">
        <v>-4629.1200000000017</v>
      </c>
      <c r="F189" s="13">
        <f t="shared" ca="1" si="5"/>
        <v>174</v>
      </c>
      <c r="G189" s="3">
        <f t="shared" ca="1" si="4"/>
        <v>-132.405514520548</v>
      </c>
    </row>
    <row r="190" spans="1:7" x14ac:dyDescent="0.25">
      <c r="A190" t="s">
        <v>1891</v>
      </c>
      <c r="B190" t="s">
        <v>1895</v>
      </c>
      <c r="C190" t="s">
        <v>1908</v>
      </c>
      <c r="D190" s="17">
        <v>45904</v>
      </c>
      <c r="E190">
        <v>8926.6899999999987</v>
      </c>
      <c r="F190" s="13">
        <f t="shared" ca="1" si="5"/>
        <v>173</v>
      </c>
      <c r="G190" s="3">
        <f t="shared" ca="1" si="4"/>
        <v>253.86038958904109</v>
      </c>
    </row>
    <row r="191" spans="1:7" x14ac:dyDescent="0.25">
      <c r="A191" t="s">
        <v>1891</v>
      </c>
      <c r="B191" t="s">
        <v>1895</v>
      </c>
      <c r="C191" t="s">
        <v>1908</v>
      </c>
      <c r="D191" s="17">
        <v>45905</v>
      </c>
      <c r="E191">
        <v>4002.8799999999974</v>
      </c>
      <c r="F191" s="13">
        <f t="shared" ca="1" si="5"/>
        <v>172</v>
      </c>
      <c r="G191" s="3">
        <f t="shared" ca="1" si="4"/>
        <v>113.17731945205472</v>
      </c>
    </row>
    <row r="192" spans="1:7" x14ac:dyDescent="0.25">
      <c r="A192" t="s">
        <v>1891</v>
      </c>
      <c r="B192" t="s">
        <v>1895</v>
      </c>
      <c r="C192" t="s">
        <v>1908</v>
      </c>
      <c r="D192" s="17">
        <v>45908</v>
      </c>
      <c r="E192">
        <v>-22071.279999999999</v>
      </c>
      <c r="F192" s="13">
        <f t="shared" ca="1" si="5"/>
        <v>169</v>
      </c>
      <c r="G192" s="3">
        <f t="shared" ca="1" si="4"/>
        <v>-613.15829917808219</v>
      </c>
    </row>
    <row r="193" spans="1:7" x14ac:dyDescent="0.25">
      <c r="A193" t="s">
        <v>1891</v>
      </c>
      <c r="B193" t="s">
        <v>1895</v>
      </c>
      <c r="C193" t="s">
        <v>1908</v>
      </c>
      <c r="D193" s="17">
        <v>45909</v>
      </c>
      <c r="E193">
        <v>-49204.799999999996</v>
      </c>
      <c r="F193" s="13">
        <f t="shared" ca="1" si="5"/>
        <v>168</v>
      </c>
      <c r="G193" s="3">
        <f t="shared" ca="1" si="4"/>
        <v>-1358.8613260273971</v>
      </c>
    </row>
    <row r="194" spans="1:7" x14ac:dyDescent="0.25">
      <c r="A194" t="s">
        <v>1891</v>
      </c>
      <c r="B194" t="s">
        <v>1895</v>
      </c>
      <c r="C194" t="s">
        <v>1908</v>
      </c>
      <c r="D194" s="17">
        <v>45910</v>
      </c>
      <c r="E194">
        <v>-2904.9200000000019</v>
      </c>
      <c r="F194" s="13">
        <f t="shared" ca="1" si="5"/>
        <v>167</v>
      </c>
      <c r="G194" s="3">
        <f t="shared" ca="1" si="4"/>
        <v>-79.746023013698689</v>
      </c>
    </row>
    <row r="195" spans="1:7" x14ac:dyDescent="0.25">
      <c r="A195" t="s">
        <v>1891</v>
      </c>
      <c r="B195" t="s">
        <v>1896</v>
      </c>
      <c r="C195" t="s">
        <v>1910</v>
      </c>
      <c r="D195" s="17">
        <v>45965</v>
      </c>
      <c r="E195">
        <v>2966.4500000000007</v>
      </c>
      <c r="F195" s="13">
        <f t="shared" ca="1" si="5"/>
        <v>112</v>
      </c>
      <c r="G195" s="3">
        <f t="shared" ca="1" si="4"/>
        <v>54.615189041095903</v>
      </c>
    </row>
    <row r="196" spans="1:7" x14ac:dyDescent="0.25">
      <c r="A196" t="s">
        <v>1891</v>
      </c>
      <c r="B196" t="s">
        <v>1896</v>
      </c>
      <c r="C196" t="s">
        <v>1910</v>
      </c>
      <c r="D196" s="17">
        <v>45971</v>
      </c>
      <c r="E196">
        <v>-138.5</v>
      </c>
      <c r="F196" s="13">
        <f t="shared" ca="1" si="5"/>
        <v>106</v>
      </c>
      <c r="G196" s="3">
        <f t="shared" ca="1" si="4"/>
        <v>-2.4133150684931506</v>
      </c>
    </row>
    <row r="197" spans="1:7" x14ac:dyDescent="0.25">
      <c r="A197" t="s">
        <v>1891</v>
      </c>
      <c r="B197" t="s">
        <v>1896</v>
      </c>
      <c r="C197" t="s">
        <v>1910</v>
      </c>
      <c r="D197" s="17">
        <v>45973</v>
      </c>
      <c r="E197">
        <v>-8265.52</v>
      </c>
      <c r="F197" s="13">
        <f t="shared" ca="1" si="5"/>
        <v>104</v>
      </c>
      <c r="G197" s="3">
        <f t="shared" ref="G197:G260" ca="1" si="6">F197*E197*$E$1</f>
        <v>-141.30642410958905</v>
      </c>
    </row>
    <row r="198" spans="1:7" x14ac:dyDescent="0.25">
      <c r="A198" t="s">
        <v>1891</v>
      </c>
      <c r="B198" t="s">
        <v>1896</v>
      </c>
      <c r="C198" t="s">
        <v>1910</v>
      </c>
      <c r="D198" s="17">
        <v>45974</v>
      </c>
      <c r="E198">
        <v>8878.02</v>
      </c>
      <c r="F198" s="13">
        <f t="shared" ref="F198:F234" ca="1" si="7">TODAY()-D198</f>
        <v>103</v>
      </c>
      <c r="G198" s="3">
        <f t="shared" ca="1" si="6"/>
        <v>150.31825643835617</v>
      </c>
    </row>
    <row r="199" spans="1:7" x14ac:dyDescent="0.25">
      <c r="A199" t="s">
        <v>1891</v>
      </c>
      <c r="B199" t="s">
        <v>1896</v>
      </c>
      <c r="C199" t="s">
        <v>1910</v>
      </c>
      <c r="D199" s="17">
        <v>45975</v>
      </c>
      <c r="E199">
        <v>630.5</v>
      </c>
      <c r="F199" s="13">
        <f t="shared" ca="1" si="7"/>
        <v>102</v>
      </c>
      <c r="G199" s="3">
        <f t="shared" ca="1" si="6"/>
        <v>10.571671232876712</v>
      </c>
    </row>
    <row r="200" spans="1:7" x14ac:dyDescent="0.25">
      <c r="A200" t="s">
        <v>1891</v>
      </c>
      <c r="B200" t="s">
        <v>1896</v>
      </c>
      <c r="C200" t="s">
        <v>1910</v>
      </c>
      <c r="D200" s="17">
        <v>45978</v>
      </c>
      <c r="E200">
        <v>680</v>
      </c>
      <c r="F200" s="13">
        <f t="shared" ca="1" si="7"/>
        <v>99</v>
      </c>
      <c r="G200" s="3">
        <f t="shared" ca="1" si="6"/>
        <v>11.066301369863014</v>
      </c>
    </row>
    <row r="201" spans="1:7" x14ac:dyDescent="0.25">
      <c r="A201" t="s">
        <v>1891</v>
      </c>
      <c r="B201" t="s">
        <v>1896</v>
      </c>
      <c r="C201" t="s">
        <v>1910</v>
      </c>
      <c r="D201" s="17">
        <v>45979</v>
      </c>
      <c r="E201">
        <v>-23842.689999999995</v>
      </c>
      <c r="F201" s="13">
        <f t="shared" ca="1" si="7"/>
        <v>98</v>
      </c>
      <c r="G201" s="3">
        <f t="shared" ca="1" si="6"/>
        <v>-384.0959375342465</v>
      </c>
    </row>
    <row r="202" spans="1:7" x14ac:dyDescent="0.25">
      <c r="A202" t="s">
        <v>1891</v>
      </c>
      <c r="B202" t="s">
        <v>1896</v>
      </c>
      <c r="C202" t="s">
        <v>1910</v>
      </c>
      <c r="D202" s="17">
        <v>45981</v>
      </c>
      <c r="E202">
        <v>-7773.73</v>
      </c>
      <c r="F202" s="13">
        <f t="shared" ca="1" si="7"/>
        <v>96</v>
      </c>
      <c r="G202" s="3">
        <f t="shared" ca="1" si="6"/>
        <v>-122.67584876712328</v>
      </c>
    </row>
    <row r="203" spans="1:7" x14ac:dyDescent="0.25">
      <c r="A203" t="s">
        <v>1891</v>
      </c>
      <c r="B203" t="s">
        <v>1896</v>
      </c>
      <c r="C203" t="s">
        <v>1910</v>
      </c>
      <c r="D203" s="17">
        <v>45982</v>
      </c>
      <c r="E203">
        <v>8945.49</v>
      </c>
      <c r="F203" s="13">
        <f t="shared" ca="1" si="7"/>
        <v>95</v>
      </c>
      <c r="G203" s="3">
        <f t="shared" ca="1" si="6"/>
        <v>139.69669315068492</v>
      </c>
    </row>
    <row r="204" spans="1:7" x14ac:dyDescent="0.25">
      <c r="A204" t="s">
        <v>1891</v>
      </c>
      <c r="B204" t="s">
        <v>1896</v>
      </c>
      <c r="C204" t="s">
        <v>1910</v>
      </c>
      <c r="D204" s="17">
        <v>45985</v>
      </c>
      <c r="E204">
        <v>145.94000000000051</v>
      </c>
      <c r="F204" s="13">
        <f t="shared" ca="1" si="7"/>
        <v>92</v>
      </c>
      <c r="G204" s="3">
        <f t="shared" ca="1" si="6"/>
        <v>2.207092602739734</v>
      </c>
    </row>
    <row r="205" spans="1:7" x14ac:dyDescent="0.25">
      <c r="A205" t="s">
        <v>1891</v>
      </c>
      <c r="B205" t="s">
        <v>1896</v>
      </c>
      <c r="C205" t="s">
        <v>1910</v>
      </c>
      <c r="D205" s="17">
        <v>45986</v>
      </c>
      <c r="E205">
        <v>1823.8100000000004</v>
      </c>
      <c r="F205" s="13">
        <f t="shared" ca="1" si="7"/>
        <v>91</v>
      </c>
      <c r="G205" s="3">
        <f t="shared" ca="1" si="6"/>
        <v>27.282198904109599</v>
      </c>
    </row>
    <row r="206" spans="1:7" x14ac:dyDescent="0.25">
      <c r="A206" t="s">
        <v>1891</v>
      </c>
      <c r="B206" t="s">
        <v>1896</v>
      </c>
      <c r="C206" t="s">
        <v>1910</v>
      </c>
      <c r="D206" s="17">
        <v>45988</v>
      </c>
      <c r="E206">
        <v>-8212.65</v>
      </c>
      <c r="F206" s="13">
        <f t="shared" ca="1" si="7"/>
        <v>89</v>
      </c>
      <c r="G206" s="3">
        <f t="shared" ca="1" si="6"/>
        <v>-120.15219452054795</v>
      </c>
    </row>
    <row r="207" spans="1:7" x14ac:dyDescent="0.25">
      <c r="A207" t="s">
        <v>1891</v>
      </c>
      <c r="B207" t="s">
        <v>1896</v>
      </c>
      <c r="C207" t="s">
        <v>1910</v>
      </c>
      <c r="D207" s="17">
        <v>45989</v>
      </c>
      <c r="E207">
        <v>-20206.509999999998</v>
      </c>
      <c r="F207" s="13">
        <f t="shared" ca="1" si="7"/>
        <v>88</v>
      </c>
      <c r="G207" s="3">
        <f t="shared" ca="1" si="6"/>
        <v>-292.30239123287669</v>
      </c>
    </row>
    <row r="208" spans="1:7" x14ac:dyDescent="0.25">
      <c r="A208" t="s">
        <v>1891</v>
      </c>
      <c r="B208" t="s">
        <v>1896</v>
      </c>
      <c r="C208" t="s">
        <v>1911</v>
      </c>
      <c r="D208" s="17">
        <v>45992</v>
      </c>
      <c r="E208">
        <v>52118.930000000008</v>
      </c>
      <c r="F208" s="13">
        <f t="shared" ca="1" si="7"/>
        <v>85</v>
      </c>
      <c r="G208" s="3">
        <f t="shared" ca="1" si="6"/>
        <v>728.23710410958915</v>
      </c>
    </row>
    <row r="209" spans="1:7" x14ac:dyDescent="0.25">
      <c r="A209" t="s">
        <v>1891</v>
      </c>
      <c r="B209" t="s">
        <v>1896</v>
      </c>
      <c r="C209" t="s">
        <v>1911</v>
      </c>
      <c r="D209" s="17">
        <v>45993</v>
      </c>
      <c r="E209">
        <v>2157.8599999999997</v>
      </c>
      <c r="F209" s="13">
        <f t="shared" ca="1" si="7"/>
        <v>84</v>
      </c>
      <c r="G209" s="3">
        <f t="shared" ca="1" si="6"/>
        <v>29.796203835616431</v>
      </c>
    </row>
    <row r="210" spans="1:7" x14ac:dyDescent="0.25">
      <c r="A210" t="s">
        <v>1891</v>
      </c>
      <c r="B210" t="s">
        <v>1896</v>
      </c>
      <c r="C210" t="s">
        <v>1911</v>
      </c>
      <c r="D210" s="17">
        <v>45994</v>
      </c>
      <c r="E210">
        <v>-8955.33</v>
      </c>
      <c r="F210" s="13">
        <f t="shared" ca="1" si="7"/>
        <v>83</v>
      </c>
      <c r="G210" s="3">
        <f t="shared" ca="1" si="6"/>
        <v>-122.18505041095891</v>
      </c>
    </row>
    <row r="211" spans="1:7" x14ac:dyDescent="0.25">
      <c r="A211" t="s">
        <v>1891</v>
      </c>
      <c r="B211" t="s">
        <v>1896</v>
      </c>
      <c r="C211" t="s">
        <v>1911</v>
      </c>
      <c r="D211" s="17">
        <v>45995</v>
      </c>
      <c r="E211">
        <v>4755.03</v>
      </c>
      <c r="F211" s="13">
        <f t="shared" ca="1" si="7"/>
        <v>82</v>
      </c>
      <c r="G211" s="3">
        <f t="shared" ca="1" si="6"/>
        <v>64.09519890410958</v>
      </c>
    </row>
    <row r="212" spans="1:7" x14ac:dyDescent="0.25">
      <c r="A212" t="s">
        <v>1891</v>
      </c>
      <c r="B212" t="s">
        <v>1896</v>
      </c>
      <c r="C212" t="s">
        <v>1911</v>
      </c>
      <c r="D212" s="17">
        <v>45996</v>
      </c>
      <c r="E212">
        <v>-5080.09</v>
      </c>
      <c r="F212" s="13">
        <f t="shared" ca="1" si="7"/>
        <v>81</v>
      </c>
      <c r="G212" s="3">
        <f t="shared" ca="1" si="6"/>
        <v>-67.641746301369878</v>
      </c>
    </row>
    <row r="213" spans="1:7" x14ac:dyDescent="0.25">
      <c r="A213" t="s">
        <v>1891</v>
      </c>
      <c r="B213" t="s">
        <v>1896</v>
      </c>
      <c r="C213" t="s">
        <v>1911</v>
      </c>
      <c r="D213" s="17">
        <v>45999</v>
      </c>
      <c r="E213">
        <v>5751.08</v>
      </c>
      <c r="F213" s="13">
        <f t="shared" ca="1" si="7"/>
        <v>78</v>
      </c>
      <c r="G213" s="3">
        <f t="shared" ca="1" si="6"/>
        <v>73.739875068493149</v>
      </c>
    </row>
    <row r="214" spans="1:7" x14ac:dyDescent="0.25">
      <c r="A214" t="s">
        <v>1891</v>
      </c>
      <c r="B214" t="s">
        <v>1896</v>
      </c>
      <c r="C214" t="s">
        <v>1911</v>
      </c>
      <c r="D214" s="17">
        <v>46002</v>
      </c>
      <c r="E214">
        <v>-10835.47</v>
      </c>
      <c r="F214" s="13">
        <f t="shared" ca="1" si="7"/>
        <v>75</v>
      </c>
      <c r="G214" s="3">
        <f t="shared" ca="1" si="6"/>
        <v>-133.58798630136985</v>
      </c>
    </row>
    <row r="215" spans="1:7" x14ac:dyDescent="0.25">
      <c r="A215" t="s">
        <v>1891</v>
      </c>
      <c r="B215" t="s">
        <v>1896</v>
      </c>
      <c r="C215" t="s">
        <v>1911</v>
      </c>
      <c r="D215" s="17">
        <v>46003</v>
      </c>
      <c r="E215">
        <v>-3451.5800000000008</v>
      </c>
      <c r="F215" s="13">
        <f t="shared" ca="1" si="7"/>
        <v>74</v>
      </c>
      <c r="G215" s="3">
        <f t="shared" ca="1" si="6"/>
        <v>-41.986343013698644</v>
      </c>
    </row>
    <row r="216" spans="1:7" x14ac:dyDescent="0.25">
      <c r="A216" t="s">
        <v>1892</v>
      </c>
      <c r="B216" t="s">
        <v>1893</v>
      </c>
      <c r="C216" t="s">
        <v>1897</v>
      </c>
      <c r="D216" s="17">
        <v>46035</v>
      </c>
      <c r="E216">
        <v>-4407.3</v>
      </c>
      <c r="F216" s="13">
        <f t="shared" ca="1" si="7"/>
        <v>42</v>
      </c>
      <c r="G216" s="3">
        <f t="shared" ca="1" si="6"/>
        <v>-30.428482191780823</v>
      </c>
    </row>
    <row r="217" spans="1:7" x14ac:dyDescent="0.25">
      <c r="A217" t="s">
        <v>1892</v>
      </c>
      <c r="B217" t="s">
        <v>1893</v>
      </c>
      <c r="C217" t="s">
        <v>1897</v>
      </c>
      <c r="D217" s="17">
        <v>46041</v>
      </c>
      <c r="E217">
        <v>251.66</v>
      </c>
      <c r="F217" s="13">
        <f t="shared" ca="1" si="7"/>
        <v>36</v>
      </c>
      <c r="G217" s="3">
        <f t="shared" ca="1" si="6"/>
        <v>1.4892756164383563</v>
      </c>
    </row>
    <row r="218" spans="1:7" x14ac:dyDescent="0.25">
      <c r="A218" t="s">
        <v>1892</v>
      </c>
      <c r="B218" t="s">
        <v>1893</v>
      </c>
      <c r="C218" t="s">
        <v>1897</v>
      </c>
      <c r="D218" s="17">
        <v>46049</v>
      </c>
      <c r="E218">
        <v>5039.8399999999992</v>
      </c>
      <c r="F218" s="13">
        <f t="shared" ca="1" si="7"/>
        <v>28</v>
      </c>
      <c r="G218" s="3">
        <f t="shared" ca="1" si="6"/>
        <v>23.197071780821918</v>
      </c>
    </row>
    <row r="219" spans="1:7" x14ac:dyDescent="0.25">
      <c r="A219" t="s">
        <v>1892</v>
      </c>
      <c r="B219" t="s">
        <v>1893</v>
      </c>
      <c r="C219" t="s">
        <v>1897</v>
      </c>
      <c r="D219" s="17">
        <v>46050</v>
      </c>
      <c r="E219">
        <v>-1558.2600000000002</v>
      </c>
      <c r="F219" s="13">
        <f t="shared" ca="1" si="7"/>
        <v>27</v>
      </c>
      <c r="G219" s="3">
        <f t="shared" ca="1" si="6"/>
        <v>-6.9161128767123294</v>
      </c>
    </row>
    <row r="220" spans="1:7" x14ac:dyDescent="0.25">
      <c r="A220" t="s">
        <v>1892</v>
      </c>
      <c r="B220" t="s">
        <v>1893</v>
      </c>
      <c r="C220" t="s">
        <v>1897</v>
      </c>
      <c r="D220" s="17">
        <v>46051</v>
      </c>
      <c r="E220">
        <v>-4163.8799999999992</v>
      </c>
      <c r="F220" s="13">
        <f t="shared" ca="1" si="7"/>
        <v>26</v>
      </c>
      <c r="G220" s="3">
        <f t="shared" ca="1" si="6"/>
        <v>-17.796309041095888</v>
      </c>
    </row>
    <row r="221" spans="1:7" x14ac:dyDescent="0.25">
      <c r="A221" t="s">
        <v>1892</v>
      </c>
      <c r="B221" t="s">
        <v>1893</v>
      </c>
      <c r="C221" t="s">
        <v>1897</v>
      </c>
      <c r="D221" s="17">
        <v>46052</v>
      </c>
      <c r="E221">
        <v>5015.0700000000033</v>
      </c>
      <c r="F221" s="13">
        <f t="shared" ca="1" si="7"/>
        <v>25</v>
      </c>
      <c r="G221" s="3">
        <f t="shared" ca="1" si="6"/>
        <v>20.609876712328781</v>
      </c>
    </row>
    <row r="222" spans="1:7" x14ac:dyDescent="0.25">
      <c r="A222" t="s">
        <v>1892</v>
      </c>
      <c r="B222" t="s">
        <v>1893</v>
      </c>
      <c r="C222" t="s">
        <v>1898</v>
      </c>
      <c r="D222" s="17">
        <v>46054</v>
      </c>
      <c r="E222">
        <v>2156.1099999999988</v>
      </c>
      <c r="F222" s="13">
        <f t="shared" ca="1" si="7"/>
        <v>23</v>
      </c>
      <c r="G222" s="3">
        <f t="shared" ca="1" si="6"/>
        <v>8.1518679452054741</v>
      </c>
    </row>
    <row r="223" spans="1:7" x14ac:dyDescent="0.25">
      <c r="A223" t="s">
        <v>1892</v>
      </c>
      <c r="B223" t="s">
        <v>1893</v>
      </c>
      <c r="C223" t="s">
        <v>1898</v>
      </c>
      <c r="D223" s="17">
        <v>46055</v>
      </c>
      <c r="E223">
        <v>5258.7799999999988</v>
      </c>
      <c r="F223" s="13">
        <f t="shared" ca="1" si="7"/>
        <v>22</v>
      </c>
      <c r="G223" s="3">
        <f t="shared" ca="1" si="6"/>
        <v>19.018053698630133</v>
      </c>
    </row>
    <row r="224" spans="1:7" x14ac:dyDescent="0.25">
      <c r="A224" t="s">
        <v>1892</v>
      </c>
      <c r="B224" t="s">
        <v>1893</v>
      </c>
      <c r="C224" t="s">
        <v>1898</v>
      </c>
      <c r="D224" s="17">
        <v>46056</v>
      </c>
      <c r="E224">
        <v>-5645.8599999999969</v>
      </c>
      <c r="F224" s="13">
        <f t="shared" ca="1" si="7"/>
        <v>21</v>
      </c>
      <c r="G224" s="3">
        <f t="shared" ca="1" si="6"/>
        <v>-19.489818082191771</v>
      </c>
    </row>
    <row r="225" spans="1:7" x14ac:dyDescent="0.25">
      <c r="A225" t="s">
        <v>1892</v>
      </c>
      <c r="B225" t="s">
        <v>1893</v>
      </c>
      <c r="C225" t="s">
        <v>1898</v>
      </c>
      <c r="D225" s="17">
        <v>46057</v>
      </c>
      <c r="E225">
        <v>2123.8999999999996</v>
      </c>
      <c r="F225" s="13">
        <f t="shared" ca="1" si="7"/>
        <v>20</v>
      </c>
      <c r="G225" s="3">
        <f t="shared" ca="1" si="6"/>
        <v>6.9826849315068484</v>
      </c>
    </row>
    <row r="226" spans="1:7" x14ac:dyDescent="0.25">
      <c r="A226" t="s">
        <v>1892</v>
      </c>
      <c r="B226" t="s">
        <v>1893</v>
      </c>
      <c r="C226" t="s">
        <v>1898</v>
      </c>
      <c r="D226" s="17">
        <v>46058</v>
      </c>
      <c r="E226">
        <v>2318.0099999999984</v>
      </c>
      <c r="F226" s="13">
        <f t="shared" ca="1" si="7"/>
        <v>19</v>
      </c>
      <c r="G226" s="3">
        <f t="shared" ca="1" si="6"/>
        <v>7.2398120547945162</v>
      </c>
    </row>
    <row r="227" spans="1:7" x14ac:dyDescent="0.25">
      <c r="A227" t="s">
        <v>1892</v>
      </c>
      <c r="B227" t="s">
        <v>1893</v>
      </c>
      <c r="C227" t="s">
        <v>1898</v>
      </c>
      <c r="D227" s="17">
        <v>46064</v>
      </c>
      <c r="E227">
        <v>-3640.74</v>
      </c>
      <c r="F227" s="13">
        <f t="shared" ca="1" si="7"/>
        <v>13</v>
      </c>
      <c r="G227" s="3">
        <f t="shared" ca="1" si="6"/>
        <v>-7.780211506849315</v>
      </c>
    </row>
    <row r="228" spans="1:7" x14ac:dyDescent="0.25">
      <c r="A228" t="s">
        <v>1892</v>
      </c>
      <c r="B228" t="s">
        <v>1893</v>
      </c>
      <c r="C228" t="s">
        <v>1898</v>
      </c>
      <c r="D228" s="17">
        <v>46065</v>
      </c>
      <c r="E228">
        <v>-4410.26</v>
      </c>
      <c r="F228" s="13">
        <f t="shared" ca="1" si="7"/>
        <v>12</v>
      </c>
      <c r="G228" s="3">
        <f t="shared" ca="1" si="6"/>
        <v>-8.6996909589041103</v>
      </c>
    </row>
    <row r="229" spans="1:7" x14ac:dyDescent="0.25">
      <c r="A229" t="s">
        <v>1892</v>
      </c>
      <c r="B229" t="s">
        <v>1893</v>
      </c>
      <c r="C229" t="s">
        <v>1898</v>
      </c>
      <c r="D229" s="17">
        <v>46069</v>
      </c>
      <c r="E229">
        <v>8075.89</v>
      </c>
      <c r="F229" s="13">
        <f t="shared" ca="1" si="7"/>
        <v>8</v>
      </c>
      <c r="G229" s="3">
        <f t="shared" ca="1" si="6"/>
        <v>10.620348493150686</v>
      </c>
    </row>
    <row r="230" spans="1:7" x14ac:dyDescent="0.25">
      <c r="A230" t="s">
        <v>1892</v>
      </c>
      <c r="B230" t="s">
        <v>1893</v>
      </c>
      <c r="C230" t="s">
        <v>1898</v>
      </c>
      <c r="D230" s="17">
        <v>46070</v>
      </c>
      <c r="E230">
        <v>-775.89999999999964</v>
      </c>
      <c r="F230" s="13">
        <f t="shared" ca="1" si="7"/>
        <v>7</v>
      </c>
      <c r="G230" s="3">
        <f t="shared" ca="1" si="6"/>
        <v>-0.89281643835616398</v>
      </c>
    </row>
    <row r="231" spans="1:7" x14ac:dyDescent="0.25">
      <c r="A231" t="s">
        <v>1892</v>
      </c>
      <c r="B231" t="s">
        <v>1893</v>
      </c>
      <c r="C231" t="s">
        <v>1898</v>
      </c>
      <c r="D231" s="17">
        <v>46071</v>
      </c>
      <c r="E231">
        <v>2906.63</v>
      </c>
      <c r="F231" s="13">
        <f t="shared" ca="1" si="7"/>
        <v>6</v>
      </c>
      <c r="G231" s="3">
        <f t="shared" ca="1" si="6"/>
        <v>2.8668131506849313</v>
      </c>
    </row>
    <row r="232" spans="1:7" x14ac:dyDescent="0.25">
      <c r="A232" t="s">
        <v>1892</v>
      </c>
      <c r="B232" t="s">
        <v>1893</v>
      </c>
      <c r="C232" t="s">
        <v>1898</v>
      </c>
      <c r="D232" s="17">
        <v>46072</v>
      </c>
      <c r="E232">
        <v>-15179.470000000001</v>
      </c>
      <c r="F232" s="13">
        <f t="shared" ca="1" si="7"/>
        <v>5</v>
      </c>
      <c r="G232" s="3">
        <f t="shared" ca="1" si="6"/>
        <v>-12.476276712328769</v>
      </c>
    </row>
    <row r="233" spans="1:7" x14ac:dyDescent="0.25">
      <c r="A233" t="s">
        <v>1892</v>
      </c>
      <c r="B233" t="s">
        <v>1893</v>
      </c>
      <c r="C233" t="s">
        <v>1898</v>
      </c>
      <c r="D233" s="17">
        <v>46073</v>
      </c>
      <c r="E233">
        <v>-28445.54</v>
      </c>
      <c r="F233" s="13">
        <f t="shared" ca="1" si="7"/>
        <v>4</v>
      </c>
      <c r="G233" s="3">
        <f t="shared" ca="1" si="6"/>
        <v>-18.70391671232877</v>
      </c>
    </row>
    <row r="234" spans="1:7" x14ac:dyDescent="0.25">
      <c r="A234" t="s">
        <v>1892</v>
      </c>
      <c r="B234" t="s">
        <v>1893</v>
      </c>
      <c r="C234" t="s">
        <v>1898</v>
      </c>
      <c r="D234" s="17">
        <v>46076</v>
      </c>
      <c r="E234">
        <v>27968.989999999998</v>
      </c>
      <c r="F234" s="13">
        <f t="shared" ca="1" si="7"/>
        <v>1</v>
      </c>
      <c r="G234" s="3">
        <f t="shared" ca="1" si="6"/>
        <v>4.5976421917808219</v>
      </c>
    </row>
    <row r="235" spans="1:7" x14ac:dyDescent="0.25">
      <c r="A235" t="s">
        <v>938</v>
      </c>
      <c r="E235">
        <v>-980300.13000000024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7CE3-DCC9-4C19-820C-17CF5F01F2DA}">
  <dimension ref="A3:K32"/>
  <sheetViews>
    <sheetView topLeftCell="A34" workbookViewId="0">
      <selection activeCell="I50" sqref="I50"/>
    </sheetView>
  </sheetViews>
  <sheetFormatPr defaultRowHeight="15" x14ac:dyDescent="0.25"/>
  <cols>
    <col min="1" max="1" width="13.140625" bestFit="1" customWidth="1"/>
    <col min="2" max="2" width="14.5703125" bestFit="1" customWidth="1"/>
    <col min="3" max="4" width="11.7109375" bestFit="1" customWidth="1"/>
    <col min="5" max="7" width="11.28515625" bestFit="1" customWidth="1"/>
    <col min="8" max="9" width="14.5703125" bestFit="1" customWidth="1"/>
    <col min="10" max="10" width="14.85546875" style="3" bestFit="1" customWidth="1"/>
    <col min="11" max="11" width="15.85546875" style="13" bestFit="1" customWidth="1"/>
    <col min="12" max="12" width="15.85546875" bestFit="1" customWidth="1"/>
    <col min="13" max="13" width="12.7109375" bestFit="1" customWidth="1"/>
    <col min="14" max="14" width="21.42578125" bestFit="1" customWidth="1"/>
    <col min="15" max="15" width="15.7109375" bestFit="1" customWidth="1"/>
    <col min="16" max="16" width="17.85546875" bestFit="1" customWidth="1"/>
  </cols>
  <sheetData>
    <row r="3" spans="1:11" x14ac:dyDescent="0.25">
      <c r="A3" s="2" t="s">
        <v>940</v>
      </c>
      <c r="C3" s="2" t="s">
        <v>3</v>
      </c>
    </row>
    <row r="4" spans="1:11" x14ac:dyDescent="0.25">
      <c r="A4" s="2" t="s">
        <v>925</v>
      </c>
      <c r="B4" s="2" t="s">
        <v>923</v>
      </c>
      <c r="C4" t="s">
        <v>22</v>
      </c>
      <c r="D4" t="s">
        <v>18</v>
      </c>
      <c r="E4" t="s">
        <v>938</v>
      </c>
      <c r="H4" s="2" t="s">
        <v>925</v>
      </c>
      <c r="I4" s="2" t="s">
        <v>923</v>
      </c>
      <c r="J4" t="s">
        <v>940</v>
      </c>
      <c r="K4"/>
    </row>
    <row r="5" spans="1:11" x14ac:dyDescent="0.25">
      <c r="A5" t="s">
        <v>926</v>
      </c>
      <c r="B5" t="s">
        <v>941</v>
      </c>
      <c r="C5">
        <v>-324983.46000000008</v>
      </c>
      <c r="D5">
        <v>302680.02000000008</v>
      </c>
      <c r="E5" s="3">
        <v>-22303.440000000002</v>
      </c>
      <c r="H5" t="s">
        <v>926</v>
      </c>
      <c r="I5" t="s">
        <v>941</v>
      </c>
      <c r="J5">
        <v>-22303.440000000035</v>
      </c>
      <c r="K5"/>
    </row>
    <row r="6" spans="1:11" x14ac:dyDescent="0.25">
      <c r="A6" t="s">
        <v>927</v>
      </c>
      <c r="B6" t="s">
        <v>942</v>
      </c>
      <c r="C6">
        <v>-1036200.639999999</v>
      </c>
      <c r="D6">
        <v>800886.87999999989</v>
      </c>
      <c r="E6" s="3">
        <v>-235313.75999999908</v>
      </c>
      <c r="H6" t="s">
        <v>927</v>
      </c>
      <c r="I6" t="s">
        <v>942</v>
      </c>
      <c r="J6">
        <v>-235313.75999999989</v>
      </c>
      <c r="K6"/>
    </row>
    <row r="7" spans="1:11" x14ac:dyDescent="0.25">
      <c r="A7" t="s">
        <v>928</v>
      </c>
      <c r="B7" t="s">
        <v>943</v>
      </c>
      <c r="C7">
        <v>-1259756.93</v>
      </c>
      <c r="D7">
        <v>1160105.22</v>
      </c>
      <c r="E7" s="3">
        <v>-99651.709999999963</v>
      </c>
      <c r="H7" t="s">
        <v>928</v>
      </c>
      <c r="I7" t="s">
        <v>943</v>
      </c>
      <c r="J7">
        <v>-99651.709999999977</v>
      </c>
      <c r="K7"/>
    </row>
    <row r="8" spans="1:11" x14ac:dyDescent="0.25">
      <c r="A8" t="s">
        <v>929</v>
      </c>
      <c r="B8" t="s">
        <v>944</v>
      </c>
      <c r="C8">
        <v>-451775.19000000018</v>
      </c>
      <c r="D8">
        <v>451274.97000000003</v>
      </c>
      <c r="E8" s="3">
        <v>-500.22000000014668</v>
      </c>
      <c r="H8" t="s">
        <v>929</v>
      </c>
      <c r="I8" t="s">
        <v>944</v>
      </c>
      <c r="J8">
        <v>-500.21999999998116</v>
      </c>
      <c r="K8"/>
    </row>
    <row r="9" spans="1:11" x14ac:dyDescent="0.25">
      <c r="A9" t="s">
        <v>930</v>
      </c>
      <c r="B9" t="s">
        <v>945</v>
      </c>
      <c r="C9">
        <v>-334783.49</v>
      </c>
      <c r="D9">
        <v>268321.19</v>
      </c>
      <c r="E9" s="3">
        <v>-66462.299999999988</v>
      </c>
      <c r="H9" t="s">
        <v>930</v>
      </c>
      <c r="I9" t="s">
        <v>945</v>
      </c>
      <c r="J9">
        <v>-66462.3</v>
      </c>
      <c r="K9"/>
    </row>
    <row r="10" spans="1:11" x14ac:dyDescent="0.25">
      <c r="A10" t="s">
        <v>931</v>
      </c>
      <c r="B10" t="s">
        <v>946</v>
      </c>
      <c r="C10">
        <v>-180755.38999999996</v>
      </c>
      <c r="D10">
        <v>163476.40000000002</v>
      </c>
      <c r="E10" s="3">
        <v>-17278.989999999932</v>
      </c>
      <c r="H10" t="s">
        <v>931</v>
      </c>
      <c r="I10" t="s">
        <v>946</v>
      </c>
      <c r="J10">
        <v>-17278.990000000005</v>
      </c>
      <c r="K10"/>
    </row>
    <row r="11" spans="1:11" x14ac:dyDescent="0.25">
      <c r="A11" t="s">
        <v>932</v>
      </c>
      <c r="B11" t="s">
        <v>947</v>
      </c>
      <c r="C11">
        <v>-442984.75999999989</v>
      </c>
      <c r="D11">
        <v>401049.44</v>
      </c>
      <c r="E11" s="3">
        <v>-41935.319999999891</v>
      </c>
      <c r="H11" t="s">
        <v>932</v>
      </c>
      <c r="I11" t="s">
        <v>947</v>
      </c>
      <c r="J11">
        <v>-41935.320000000022</v>
      </c>
      <c r="K11"/>
    </row>
    <row r="12" spans="1:11" x14ac:dyDescent="0.25">
      <c r="A12" t="s">
        <v>933</v>
      </c>
      <c r="B12" t="s">
        <v>948</v>
      </c>
      <c r="C12">
        <v>-78718.23000000001</v>
      </c>
      <c r="D12">
        <v>42678.15</v>
      </c>
      <c r="E12" s="3">
        <v>-36040.080000000009</v>
      </c>
      <c r="H12" t="s">
        <v>933</v>
      </c>
      <c r="I12" t="s">
        <v>948</v>
      </c>
      <c r="J12">
        <v>-36040.080000000002</v>
      </c>
      <c r="K12"/>
    </row>
    <row r="13" spans="1:11" x14ac:dyDescent="0.25">
      <c r="A13" t="s">
        <v>934</v>
      </c>
      <c r="B13" t="s">
        <v>949</v>
      </c>
      <c r="C13">
        <v>-60074.16</v>
      </c>
      <c r="D13">
        <v>24702.29</v>
      </c>
      <c r="E13" s="3">
        <v>-35371.870000000003</v>
      </c>
      <c r="H13" t="s">
        <v>934</v>
      </c>
      <c r="I13" t="s">
        <v>949</v>
      </c>
      <c r="J13">
        <v>-35371.870000000003</v>
      </c>
      <c r="K13"/>
    </row>
    <row r="14" spans="1:11" x14ac:dyDescent="0.25">
      <c r="A14" t="s">
        <v>935</v>
      </c>
      <c r="B14" t="s">
        <v>950</v>
      </c>
      <c r="C14">
        <v>-50008.65</v>
      </c>
      <c r="D14">
        <v>13433.92</v>
      </c>
      <c r="E14" s="3">
        <v>-36574.730000000003</v>
      </c>
      <c r="H14" t="s">
        <v>935</v>
      </c>
      <c r="I14" t="s">
        <v>950</v>
      </c>
      <c r="J14">
        <v>-36574.729999999996</v>
      </c>
      <c r="K14"/>
    </row>
    <row r="15" spans="1:11" x14ac:dyDescent="0.25">
      <c r="A15" t="s">
        <v>936</v>
      </c>
      <c r="B15" t="s">
        <v>951</v>
      </c>
      <c r="C15">
        <v>-96498.76</v>
      </c>
      <c r="D15">
        <v>36606.089999999997</v>
      </c>
      <c r="E15" s="3">
        <v>-59892.67</v>
      </c>
      <c r="H15" t="s">
        <v>936</v>
      </c>
      <c r="I15" t="s">
        <v>951</v>
      </c>
      <c r="J15">
        <v>-59892.670000000013</v>
      </c>
      <c r="K15"/>
    </row>
    <row r="16" spans="1:11" x14ac:dyDescent="0.25">
      <c r="A16" t="s">
        <v>937</v>
      </c>
      <c r="B16" t="s">
        <v>952</v>
      </c>
      <c r="C16">
        <v>-1137513.8</v>
      </c>
      <c r="D16">
        <v>1021640.73</v>
      </c>
      <c r="E16" s="3">
        <v>-115873.07000000007</v>
      </c>
      <c r="H16" t="s">
        <v>937</v>
      </c>
      <c r="I16" t="s">
        <v>952</v>
      </c>
      <c r="J16">
        <v>-115873.07</v>
      </c>
      <c r="K16"/>
    </row>
    <row r="17" spans="1:11" x14ac:dyDescent="0.25">
      <c r="A17" t="s">
        <v>1184</v>
      </c>
      <c r="B17" t="s">
        <v>998</v>
      </c>
      <c r="C17">
        <v>-312531.84999999998</v>
      </c>
      <c r="D17">
        <v>319830.33000000007</v>
      </c>
      <c r="E17" s="3">
        <v>7298.4800000000978</v>
      </c>
      <c r="H17" t="s">
        <v>1184</v>
      </c>
      <c r="I17" t="s">
        <v>998</v>
      </c>
      <c r="J17">
        <v>7298.4800000000105</v>
      </c>
      <c r="K17"/>
    </row>
    <row r="18" spans="1:11" x14ac:dyDescent="0.25">
      <c r="A18" t="s">
        <v>1185</v>
      </c>
      <c r="B18" t="s">
        <v>999</v>
      </c>
      <c r="C18">
        <v>-969628.66999999958</v>
      </c>
      <c r="D18">
        <v>899765.9</v>
      </c>
      <c r="E18" s="3">
        <v>-69862.769999999553</v>
      </c>
      <c r="H18" t="s">
        <v>1185</v>
      </c>
      <c r="I18" t="s">
        <v>999</v>
      </c>
      <c r="J18">
        <v>-69862.77</v>
      </c>
      <c r="K18"/>
    </row>
    <row r="19" spans="1:11" x14ac:dyDescent="0.25">
      <c r="A19" t="s">
        <v>1417</v>
      </c>
      <c r="B19" t="s">
        <v>1418</v>
      </c>
      <c r="C19">
        <v>-270713.24999999994</v>
      </c>
      <c r="D19">
        <v>278144.27</v>
      </c>
      <c r="E19" s="3">
        <v>7431.0200000000768</v>
      </c>
      <c r="H19" t="s">
        <v>1417</v>
      </c>
      <c r="I19" t="s">
        <v>1418</v>
      </c>
      <c r="J19">
        <v>7431.0199999999941</v>
      </c>
      <c r="K19"/>
    </row>
    <row r="20" spans="1:11" x14ac:dyDescent="0.25">
      <c r="A20" t="s">
        <v>1419</v>
      </c>
      <c r="B20" t="s">
        <v>1420</v>
      </c>
      <c r="C20">
        <v>-560579.5</v>
      </c>
      <c r="D20">
        <v>517183.72999999986</v>
      </c>
      <c r="E20" s="3">
        <v>-43395.770000000135</v>
      </c>
      <c r="H20" t="s">
        <v>1419</v>
      </c>
      <c r="I20" t="s">
        <v>1420</v>
      </c>
      <c r="J20">
        <v>-43395.76999999999</v>
      </c>
      <c r="K20"/>
    </row>
    <row r="21" spans="1:11" x14ac:dyDescent="0.25">
      <c r="A21" t="s">
        <v>1609</v>
      </c>
      <c r="B21" t="s">
        <v>1610</v>
      </c>
      <c r="C21">
        <v>-321073.14999999991</v>
      </c>
      <c r="D21">
        <v>293203.83</v>
      </c>
      <c r="E21" s="3">
        <v>-27869.319999999891</v>
      </c>
      <c r="H21" t="s">
        <v>1609</v>
      </c>
      <c r="I21" t="s">
        <v>1610</v>
      </c>
      <c r="J21">
        <v>-27869.319999999992</v>
      </c>
      <c r="K21"/>
    </row>
    <row r="22" spans="1:11" x14ac:dyDescent="0.25">
      <c r="A22" t="s">
        <v>1611</v>
      </c>
      <c r="B22" t="s">
        <v>1612</v>
      </c>
      <c r="C22">
        <v>-3369.83</v>
      </c>
      <c r="D22">
        <v>680.25</v>
      </c>
      <c r="E22" s="3">
        <v>-2689.58</v>
      </c>
      <c r="H22" t="s">
        <v>1611</v>
      </c>
      <c r="I22" t="s">
        <v>1612</v>
      </c>
      <c r="J22">
        <v>-2689.58</v>
      </c>
      <c r="K22"/>
    </row>
    <row r="23" spans="1:11" x14ac:dyDescent="0.25">
      <c r="A23" t="s">
        <v>1613</v>
      </c>
      <c r="B23" t="s">
        <v>1614</v>
      </c>
      <c r="C23">
        <v>-106578.14</v>
      </c>
      <c r="D23">
        <v>102674.41</v>
      </c>
      <c r="E23" s="3">
        <v>-3903.7299999999959</v>
      </c>
      <c r="H23" t="s">
        <v>1613</v>
      </c>
      <c r="I23" t="s">
        <v>1614</v>
      </c>
      <c r="J23">
        <v>-3903.7299999999959</v>
      </c>
      <c r="K23"/>
    </row>
    <row r="24" spans="1:11" x14ac:dyDescent="0.25">
      <c r="A24" t="s">
        <v>1615</v>
      </c>
      <c r="B24" t="s">
        <v>1616</v>
      </c>
      <c r="C24">
        <v>-102235.85</v>
      </c>
      <c r="D24">
        <v>91856.930000000008</v>
      </c>
      <c r="E24" s="3">
        <v>-10378.919999999998</v>
      </c>
      <c r="H24" t="s">
        <v>1615</v>
      </c>
      <c r="I24" t="s">
        <v>1616</v>
      </c>
      <c r="J24">
        <v>-10378.919999999998</v>
      </c>
      <c r="K24"/>
    </row>
    <row r="25" spans="1:11" x14ac:dyDescent="0.25">
      <c r="A25" t="s">
        <v>1617</v>
      </c>
      <c r="B25" t="s">
        <v>1618</v>
      </c>
      <c r="C25">
        <v>-559683.58000000007</v>
      </c>
      <c r="D25">
        <v>504973.49</v>
      </c>
      <c r="E25" s="3">
        <v>-54710.090000000084</v>
      </c>
      <c r="H25" t="s">
        <v>1617</v>
      </c>
      <c r="I25" t="s">
        <v>1618</v>
      </c>
      <c r="J25">
        <v>-54710.090000000011</v>
      </c>
      <c r="K25"/>
    </row>
    <row r="26" spans="1:11" x14ac:dyDescent="0.25">
      <c r="A26" t="s">
        <v>1878</v>
      </c>
      <c r="B26" t="s">
        <v>1879</v>
      </c>
      <c r="C26">
        <v>-212935.82000000004</v>
      </c>
      <c r="D26">
        <v>168566.43</v>
      </c>
      <c r="E26" s="3">
        <v>-44369.390000000043</v>
      </c>
      <c r="H26" t="s">
        <v>1878</v>
      </c>
      <c r="I26" t="s">
        <v>1879</v>
      </c>
      <c r="J26">
        <v>-44369.389999999992</v>
      </c>
      <c r="K26"/>
    </row>
    <row r="27" spans="1:11" x14ac:dyDescent="0.25">
      <c r="A27" t="s">
        <v>1880</v>
      </c>
      <c r="B27" t="s">
        <v>1881</v>
      </c>
      <c r="C27">
        <v>-86135.890000000014</v>
      </c>
      <c r="D27">
        <v>122596.32</v>
      </c>
      <c r="E27" s="3">
        <v>36460.429999999993</v>
      </c>
      <c r="H27" t="s">
        <v>1880</v>
      </c>
      <c r="I27" t="s">
        <v>1881</v>
      </c>
      <c r="J27">
        <v>36460.43</v>
      </c>
      <c r="K27"/>
    </row>
    <row r="28" spans="1:11" x14ac:dyDescent="0.25">
      <c r="A28" t="s">
        <v>1882</v>
      </c>
      <c r="B28" t="s">
        <v>1883</v>
      </c>
      <c r="C28">
        <v>-235095.38</v>
      </c>
      <c r="D28">
        <v>235272.51000000004</v>
      </c>
      <c r="E28" s="3">
        <v>177.13000000003376</v>
      </c>
      <c r="H28" t="s">
        <v>1882</v>
      </c>
      <c r="I28" t="s">
        <v>1883</v>
      </c>
      <c r="J28">
        <v>177.12999999999738</v>
      </c>
      <c r="K28"/>
    </row>
    <row r="29" spans="1:11" x14ac:dyDescent="0.25">
      <c r="A29" t="s">
        <v>1884</v>
      </c>
      <c r="B29" t="s">
        <v>1885</v>
      </c>
      <c r="C29">
        <v>-588485.74000000022</v>
      </c>
      <c r="D29">
        <v>581196.28</v>
      </c>
      <c r="E29" s="3">
        <v>-7289.4600000001956</v>
      </c>
      <c r="H29" t="s">
        <v>1884</v>
      </c>
      <c r="I29" t="s">
        <v>1885</v>
      </c>
      <c r="J29">
        <v>-7289.4600000000028</v>
      </c>
      <c r="K29"/>
    </row>
    <row r="30" spans="1:11" x14ac:dyDescent="0.25">
      <c r="A30" t="s">
        <v>938</v>
      </c>
      <c r="C30">
        <v>-9783100.1099999994</v>
      </c>
      <c r="D30">
        <v>8802799.9800000004</v>
      </c>
      <c r="E30" s="3">
        <v>-980300.12999999884</v>
      </c>
      <c r="H30" t="s">
        <v>938</v>
      </c>
      <c r="J30">
        <v>-980300.12999999977</v>
      </c>
      <c r="K30"/>
    </row>
    <row r="31" spans="1:11" x14ac:dyDescent="0.25">
      <c r="J31"/>
    </row>
    <row r="32" spans="1:11" x14ac:dyDescent="0.25">
      <c r="J32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4DCE-624E-4A59-AF7E-0A48D428AF90}">
  <dimension ref="A1:U1001"/>
  <sheetViews>
    <sheetView workbookViewId="0">
      <selection activeCell="I4" sqref="I4"/>
    </sheetView>
  </sheetViews>
  <sheetFormatPr defaultRowHeight="15" x14ac:dyDescent="0.25"/>
  <cols>
    <col min="2" max="2" width="9.7109375" bestFit="1" customWidth="1"/>
    <col min="5" max="5" width="18.5703125" bestFit="1" customWidth="1"/>
    <col min="6" max="6" width="20.28515625" bestFit="1" customWidth="1"/>
    <col min="7" max="8" width="18.5703125" customWidth="1"/>
    <col min="9" max="9" width="29.85546875" bestFit="1" customWidth="1"/>
  </cols>
  <sheetData>
    <row r="1" spans="1:21" x14ac:dyDescent="0.25">
      <c r="A1" s="4" t="s">
        <v>963</v>
      </c>
      <c r="B1" s="4" t="s">
        <v>953</v>
      </c>
      <c r="C1" s="4" t="s">
        <v>964</v>
      </c>
      <c r="D1" s="4" t="s">
        <v>965</v>
      </c>
      <c r="E1" s="4" t="s">
        <v>954</v>
      </c>
      <c r="F1" s="4" t="s">
        <v>955</v>
      </c>
      <c r="G1" s="4" t="s">
        <v>956</v>
      </c>
      <c r="H1" s="4" t="s">
        <v>957</v>
      </c>
      <c r="I1" s="4" t="s">
        <v>967</v>
      </c>
      <c r="L1" t="s">
        <v>962</v>
      </c>
      <c r="M1">
        <f>SUM(D:D)</f>
        <v>-2625</v>
      </c>
      <c r="P1" t="s">
        <v>4</v>
      </c>
      <c r="Q1" t="s">
        <v>6</v>
      </c>
      <c r="R1" t="s">
        <v>7</v>
      </c>
    </row>
    <row r="2" spans="1:21" x14ac:dyDescent="0.25">
      <c r="A2" s="4">
        <v>1</v>
      </c>
      <c r="B2" s="5">
        <v>45644</v>
      </c>
      <c r="C2" s="4">
        <v>3</v>
      </c>
      <c r="D2" s="4">
        <v>4620</v>
      </c>
      <c r="E2" s="4" t="s">
        <v>971</v>
      </c>
      <c r="F2" s="4" t="s">
        <v>961</v>
      </c>
      <c r="G2" s="4" t="s">
        <v>959</v>
      </c>
      <c r="H2" s="4" t="s">
        <v>958</v>
      </c>
      <c r="I2" s="4"/>
      <c r="P2">
        <v>700</v>
      </c>
      <c r="Q2">
        <v>14.25</v>
      </c>
      <c r="R2">
        <f>P2*Q2</f>
        <v>9975</v>
      </c>
    </row>
    <row r="3" spans="1:21" x14ac:dyDescent="0.25">
      <c r="A3" s="4">
        <v>2</v>
      </c>
      <c r="B3" s="5">
        <v>45645</v>
      </c>
      <c r="C3" s="4">
        <v>3</v>
      </c>
      <c r="D3" s="4">
        <v>3570</v>
      </c>
      <c r="E3" s="4" t="s">
        <v>971</v>
      </c>
      <c r="F3" s="4" t="s">
        <v>961</v>
      </c>
      <c r="G3" s="4" t="s">
        <v>959</v>
      </c>
      <c r="H3" s="4" t="s">
        <v>958</v>
      </c>
      <c r="I3" s="4"/>
      <c r="P3">
        <v>1400</v>
      </c>
      <c r="Q3">
        <v>14.7</v>
      </c>
      <c r="R3">
        <f>P3*Q3</f>
        <v>20580</v>
      </c>
      <c r="T3">
        <f>16.25-14.55</f>
        <v>1.6999999999999993</v>
      </c>
      <c r="U3">
        <f>2100*T3</f>
        <v>3569.9999999999986</v>
      </c>
    </row>
    <row r="4" spans="1:21" x14ac:dyDescent="0.25">
      <c r="A4" s="4">
        <v>3</v>
      </c>
      <c r="B4" s="5">
        <v>45649</v>
      </c>
      <c r="C4" s="4">
        <v>5</v>
      </c>
      <c r="D4" s="6">
        <v>-10815</v>
      </c>
      <c r="E4" s="6" t="s">
        <v>972</v>
      </c>
      <c r="F4" s="6" t="s">
        <v>973</v>
      </c>
      <c r="G4" s="6" t="s">
        <v>960</v>
      </c>
      <c r="H4" s="6" t="s">
        <v>966</v>
      </c>
      <c r="I4" s="6" t="s">
        <v>974</v>
      </c>
      <c r="P4">
        <f>SUM(P2:P3)</f>
        <v>2100</v>
      </c>
      <c r="Q4">
        <f>R4/P4</f>
        <v>14.55</v>
      </c>
      <c r="R4">
        <f>SUM(R2:R3)</f>
        <v>30555</v>
      </c>
    </row>
    <row r="5" spans="1:21" x14ac:dyDescent="0.25">
      <c r="A5" s="4">
        <v>4</v>
      </c>
      <c r="B5" s="4"/>
      <c r="C5" s="4"/>
      <c r="D5" s="4"/>
      <c r="E5" s="4"/>
    </row>
    <row r="6" spans="1:21" x14ac:dyDescent="0.25">
      <c r="A6" s="4">
        <v>5</v>
      </c>
      <c r="B6" s="4"/>
      <c r="C6" s="4"/>
      <c r="D6" s="4"/>
      <c r="E6" s="4"/>
    </row>
    <row r="7" spans="1:21" x14ac:dyDescent="0.25">
      <c r="A7" s="4">
        <v>6</v>
      </c>
      <c r="B7" s="4"/>
      <c r="C7" s="4"/>
      <c r="D7" s="4"/>
      <c r="E7" s="4"/>
    </row>
    <row r="8" spans="1:21" x14ac:dyDescent="0.25">
      <c r="A8" s="4">
        <v>7</v>
      </c>
      <c r="B8" s="4"/>
      <c r="C8" s="4"/>
      <c r="D8" s="4"/>
      <c r="E8" s="4"/>
    </row>
    <row r="9" spans="1:21" x14ac:dyDescent="0.25">
      <c r="A9" s="4">
        <v>8</v>
      </c>
      <c r="B9" s="4"/>
      <c r="C9" s="4"/>
      <c r="D9" s="4"/>
      <c r="E9" s="4"/>
    </row>
    <row r="10" spans="1:21" x14ac:dyDescent="0.25">
      <c r="A10" s="4">
        <v>9</v>
      </c>
      <c r="B10" s="4"/>
      <c r="C10" s="4"/>
      <c r="D10" s="4"/>
      <c r="E10" s="4"/>
    </row>
    <row r="11" spans="1:21" x14ac:dyDescent="0.25">
      <c r="A11" s="4">
        <v>10</v>
      </c>
      <c r="B11" s="4"/>
      <c r="C11" s="4"/>
      <c r="D11" s="4"/>
      <c r="E11" s="4"/>
    </row>
    <row r="12" spans="1:21" x14ac:dyDescent="0.25">
      <c r="A12" s="4">
        <v>11</v>
      </c>
      <c r="B12" s="4"/>
      <c r="C12" s="4"/>
      <c r="D12" s="4"/>
      <c r="E12" s="4"/>
    </row>
    <row r="13" spans="1:21" x14ac:dyDescent="0.25">
      <c r="A13" s="4">
        <v>12</v>
      </c>
      <c r="B13" s="4"/>
      <c r="C13" s="4"/>
      <c r="D13" s="4"/>
      <c r="E13" s="4"/>
    </row>
    <row r="14" spans="1:21" x14ac:dyDescent="0.25">
      <c r="A14" s="4">
        <v>13</v>
      </c>
      <c r="B14" s="4"/>
      <c r="C14" s="4"/>
      <c r="D14" s="4"/>
      <c r="E14" s="4"/>
    </row>
    <row r="15" spans="1:21" x14ac:dyDescent="0.25">
      <c r="A15" s="4">
        <v>14</v>
      </c>
      <c r="B15" s="4"/>
      <c r="C15" s="4"/>
      <c r="D15" s="4"/>
      <c r="E15" s="4"/>
    </row>
    <row r="16" spans="1:21" x14ac:dyDescent="0.25">
      <c r="A16" s="4">
        <v>15</v>
      </c>
      <c r="B16" s="4"/>
      <c r="C16" s="4"/>
      <c r="D16" s="4"/>
      <c r="E16" s="4"/>
    </row>
    <row r="17" spans="1:5" x14ac:dyDescent="0.25">
      <c r="A17" s="4">
        <v>16</v>
      </c>
      <c r="B17" s="4"/>
      <c r="C17" s="4"/>
      <c r="D17" s="4"/>
      <c r="E17" s="4"/>
    </row>
    <row r="18" spans="1:5" x14ac:dyDescent="0.25">
      <c r="A18" s="4">
        <v>17</v>
      </c>
      <c r="B18" s="4"/>
      <c r="C18" s="4"/>
      <c r="D18" s="4"/>
      <c r="E18" s="4"/>
    </row>
    <row r="19" spans="1:5" x14ac:dyDescent="0.25">
      <c r="A19" s="4">
        <v>18</v>
      </c>
      <c r="B19" s="4"/>
      <c r="C19" s="4"/>
      <c r="D19" s="4"/>
      <c r="E19" s="4"/>
    </row>
    <row r="20" spans="1:5" x14ac:dyDescent="0.25">
      <c r="A20" s="4">
        <v>19</v>
      </c>
      <c r="B20" s="4"/>
      <c r="C20" s="4"/>
      <c r="D20" s="4"/>
      <c r="E20" s="4"/>
    </row>
    <row r="21" spans="1:5" x14ac:dyDescent="0.25">
      <c r="A21" s="4">
        <v>20</v>
      </c>
      <c r="B21" s="4"/>
      <c r="C21" s="4"/>
      <c r="D21" s="4"/>
      <c r="E21" s="4"/>
    </row>
    <row r="22" spans="1:5" x14ac:dyDescent="0.25">
      <c r="A22" s="4">
        <v>21</v>
      </c>
      <c r="B22" s="4"/>
      <c r="C22" s="4"/>
      <c r="D22" s="4"/>
      <c r="E22" s="4"/>
    </row>
    <row r="23" spans="1:5" x14ac:dyDescent="0.25">
      <c r="A23" s="4">
        <v>22</v>
      </c>
      <c r="B23" s="4"/>
      <c r="C23" s="4"/>
      <c r="D23" s="4"/>
      <c r="E23" s="4"/>
    </row>
    <row r="24" spans="1:5" x14ac:dyDescent="0.25">
      <c r="A24" s="4">
        <v>23</v>
      </c>
      <c r="B24" s="4"/>
      <c r="C24" s="4"/>
      <c r="D24" s="4"/>
      <c r="E24" s="4"/>
    </row>
    <row r="25" spans="1:5" x14ac:dyDescent="0.25">
      <c r="A25" s="4">
        <v>24</v>
      </c>
      <c r="B25" s="4"/>
      <c r="C25" s="4"/>
      <c r="D25" s="4"/>
      <c r="E25" s="4"/>
    </row>
    <row r="26" spans="1:5" x14ac:dyDescent="0.25">
      <c r="A26" s="4">
        <v>25</v>
      </c>
      <c r="B26" s="4"/>
      <c r="C26" s="4"/>
      <c r="D26" s="4"/>
      <c r="E26" s="4"/>
    </row>
    <row r="27" spans="1:5" x14ac:dyDescent="0.25">
      <c r="A27" s="4">
        <v>26</v>
      </c>
      <c r="B27" s="4"/>
      <c r="C27" s="4"/>
      <c r="D27" s="4"/>
      <c r="E27" s="4"/>
    </row>
    <row r="28" spans="1:5" x14ac:dyDescent="0.25">
      <c r="A28" s="4">
        <v>27</v>
      </c>
      <c r="B28" s="4"/>
      <c r="C28" s="4"/>
      <c r="D28" s="4"/>
      <c r="E28" s="4"/>
    </row>
    <row r="29" spans="1:5" x14ac:dyDescent="0.25">
      <c r="A29" s="4">
        <v>28</v>
      </c>
      <c r="B29" s="4"/>
      <c r="C29" s="4"/>
      <c r="D29" s="4"/>
      <c r="E29" s="4"/>
    </row>
    <row r="30" spans="1:5" x14ac:dyDescent="0.25">
      <c r="A30" s="4">
        <v>29</v>
      </c>
      <c r="B30" s="4"/>
      <c r="C30" s="4"/>
      <c r="D30" s="4"/>
      <c r="E30" s="4"/>
    </row>
    <row r="31" spans="1:5" x14ac:dyDescent="0.25">
      <c r="A31" s="4">
        <v>30</v>
      </c>
      <c r="B31" s="4"/>
      <c r="C31" s="4"/>
      <c r="D31" s="4"/>
      <c r="E31" s="4"/>
    </row>
    <row r="32" spans="1:5" x14ac:dyDescent="0.25">
      <c r="A32" s="4">
        <v>31</v>
      </c>
      <c r="B32" s="4"/>
      <c r="C32" s="4"/>
      <c r="D32" s="4"/>
      <c r="E32" s="4"/>
    </row>
    <row r="33" spans="1:5" x14ac:dyDescent="0.25">
      <c r="A33" s="4">
        <v>32</v>
      </c>
      <c r="B33" s="4"/>
      <c r="C33" s="4"/>
      <c r="D33" s="4"/>
      <c r="E33" s="4"/>
    </row>
    <row r="34" spans="1:5" x14ac:dyDescent="0.25">
      <c r="A34" s="4">
        <v>33</v>
      </c>
      <c r="B34" s="4"/>
      <c r="C34" s="4"/>
      <c r="D34" s="4"/>
      <c r="E34" s="4"/>
    </row>
    <row r="35" spans="1:5" x14ac:dyDescent="0.25">
      <c r="A35" s="4">
        <v>34</v>
      </c>
      <c r="B35" s="4"/>
      <c r="C35" s="4"/>
      <c r="D35" s="4"/>
      <c r="E35" s="4"/>
    </row>
    <row r="36" spans="1:5" x14ac:dyDescent="0.25">
      <c r="A36" s="4">
        <v>35</v>
      </c>
      <c r="B36" s="4"/>
      <c r="C36" s="4"/>
      <c r="D36" s="4"/>
      <c r="E36" s="4"/>
    </row>
    <row r="37" spans="1:5" x14ac:dyDescent="0.25">
      <c r="A37" s="4">
        <v>36</v>
      </c>
      <c r="B37" s="4"/>
      <c r="C37" s="4"/>
      <c r="D37" s="4"/>
      <c r="E37" s="4"/>
    </row>
    <row r="38" spans="1:5" x14ac:dyDescent="0.25">
      <c r="A38" s="4">
        <v>37</v>
      </c>
      <c r="B38" s="4"/>
      <c r="C38" s="4"/>
      <c r="D38" s="4"/>
      <c r="E38" s="4"/>
    </row>
    <row r="39" spans="1:5" x14ac:dyDescent="0.25">
      <c r="A39" s="4">
        <v>38</v>
      </c>
      <c r="B39" s="4"/>
      <c r="C39" s="4"/>
      <c r="D39" s="4"/>
      <c r="E39" s="4"/>
    </row>
    <row r="40" spans="1:5" x14ac:dyDescent="0.25">
      <c r="A40" s="4">
        <v>39</v>
      </c>
      <c r="B40" s="4"/>
      <c r="C40" s="4"/>
      <c r="D40" s="4"/>
      <c r="E40" s="4"/>
    </row>
    <row r="41" spans="1:5" x14ac:dyDescent="0.25">
      <c r="A41" s="4">
        <v>40</v>
      </c>
      <c r="B41" s="4"/>
      <c r="C41" s="4"/>
      <c r="D41" s="4"/>
      <c r="E41" s="4"/>
    </row>
    <row r="42" spans="1:5" x14ac:dyDescent="0.25">
      <c r="A42" s="4">
        <v>41</v>
      </c>
      <c r="B42" s="4"/>
      <c r="C42" s="4"/>
      <c r="D42" s="4"/>
      <c r="E42" s="4"/>
    </row>
    <row r="43" spans="1:5" x14ac:dyDescent="0.25">
      <c r="A43" s="4">
        <v>42</v>
      </c>
      <c r="B43" s="4"/>
      <c r="C43" s="4"/>
      <c r="D43" s="4"/>
      <c r="E43" s="4"/>
    </row>
    <row r="44" spans="1:5" x14ac:dyDescent="0.25">
      <c r="A44" s="4">
        <v>43</v>
      </c>
      <c r="B44" s="4"/>
      <c r="C44" s="4"/>
      <c r="D44" s="4"/>
      <c r="E44" s="4"/>
    </row>
    <row r="45" spans="1:5" x14ac:dyDescent="0.25">
      <c r="A45" s="4">
        <v>44</v>
      </c>
      <c r="B45" s="4"/>
      <c r="C45" s="4"/>
      <c r="D45" s="4"/>
      <c r="E45" s="4"/>
    </row>
    <row r="46" spans="1:5" x14ac:dyDescent="0.25">
      <c r="A46" s="4">
        <v>45</v>
      </c>
      <c r="B46" s="4"/>
      <c r="C46" s="4"/>
      <c r="D46" s="4"/>
      <c r="E46" s="4"/>
    </row>
    <row r="47" spans="1:5" x14ac:dyDescent="0.25">
      <c r="A47" s="4">
        <v>46</v>
      </c>
      <c r="B47" s="4"/>
      <c r="C47" s="4"/>
      <c r="D47" s="4"/>
      <c r="E47" s="4"/>
    </row>
    <row r="48" spans="1:5" x14ac:dyDescent="0.25">
      <c r="A48" s="4">
        <v>47</v>
      </c>
      <c r="B48" s="4"/>
      <c r="C48" s="4"/>
      <c r="D48" s="4"/>
      <c r="E48" s="4"/>
    </row>
    <row r="49" spans="1:5" x14ac:dyDescent="0.25">
      <c r="A49" s="4">
        <v>48</v>
      </c>
      <c r="B49" s="4"/>
      <c r="C49" s="4"/>
      <c r="D49" s="4"/>
      <c r="E49" s="4"/>
    </row>
    <row r="50" spans="1:5" x14ac:dyDescent="0.25">
      <c r="A50" s="4">
        <v>49</v>
      </c>
      <c r="B50" s="4"/>
      <c r="C50" s="4"/>
      <c r="D50" s="4"/>
      <c r="E50" s="4"/>
    </row>
    <row r="51" spans="1:5" x14ac:dyDescent="0.25">
      <c r="A51" s="4">
        <v>50</v>
      </c>
      <c r="B51" s="4"/>
      <c r="C51" s="4"/>
      <c r="D51" s="4"/>
      <c r="E51" s="4"/>
    </row>
    <row r="52" spans="1:5" x14ac:dyDescent="0.25">
      <c r="A52" s="4">
        <v>51</v>
      </c>
      <c r="B52" s="4"/>
      <c r="C52" s="4"/>
      <c r="D52" s="4"/>
      <c r="E52" s="4"/>
    </row>
    <row r="53" spans="1:5" x14ac:dyDescent="0.25">
      <c r="A53" s="4">
        <v>52</v>
      </c>
      <c r="B53" s="4"/>
      <c r="C53" s="4"/>
      <c r="D53" s="4"/>
      <c r="E53" s="4"/>
    </row>
    <row r="54" spans="1:5" x14ac:dyDescent="0.25">
      <c r="A54" s="4">
        <v>53</v>
      </c>
      <c r="B54" s="4"/>
      <c r="C54" s="4"/>
      <c r="D54" s="4"/>
      <c r="E54" s="4"/>
    </row>
    <row r="55" spans="1:5" x14ac:dyDescent="0.25">
      <c r="A55" s="4">
        <v>54</v>
      </c>
      <c r="B55" s="4"/>
      <c r="C55" s="4"/>
      <c r="D55" s="4"/>
      <c r="E55" s="4"/>
    </row>
    <row r="56" spans="1:5" x14ac:dyDescent="0.25">
      <c r="A56" s="4">
        <v>55</v>
      </c>
      <c r="B56" s="4"/>
      <c r="C56" s="4"/>
      <c r="D56" s="4"/>
      <c r="E56" s="4"/>
    </row>
    <row r="57" spans="1:5" x14ac:dyDescent="0.25">
      <c r="A57" s="4">
        <v>56</v>
      </c>
      <c r="B57" s="4"/>
      <c r="C57" s="4"/>
      <c r="D57" s="4"/>
      <c r="E57" s="4"/>
    </row>
    <row r="58" spans="1:5" x14ac:dyDescent="0.25">
      <c r="A58" s="4">
        <v>57</v>
      </c>
      <c r="B58" s="4"/>
      <c r="C58" s="4"/>
      <c r="D58" s="4"/>
      <c r="E58" s="4"/>
    </row>
    <row r="59" spans="1:5" x14ac:dyDescent="0.25">
      <c r="A59" s="4">
        <v>58</v>
      </c>
      <c r="B59" s="4"/>
      <c r="C59" s="4"/>
      <c r="D59" s="4"/>
      <c r="E59" s="4"/>
    </row>
    <row r="60" spans="1:5" x14ac:dyDescent="0.25">
      <c r="A60" s="4">
        <v>59</v>
      </c>
      <c r="B60" s="4"/>
      <c r="C60" s="4"/>
      <c r="D60" s="4"/>
      <c r="E60" s="4"/>
    </row>
    <row r="61" spans="1:5" x14ac:dyDescent="0.25">
      <c r="A61" s="4">
        <v>60</v>
      </c>
      <c r="B61" s="4"/>
      <c r="C61" s="4"/>
      <c r="D61" s="4"/>
      <c r="E61" s="4"/>
    </row>
    <row r="62" spans="1:5" x14ac:dyDescent="0.25">
      <c r="A62" s="4">
        <v>61</v>
      </c>
      <c r="B62" s="4"/>
      <c r="C62" s="4"/>
      <c r="D62" s="4"/>
      <c r="E62" s="4"/>
    </row>
    <row r="63" spans="1:5" x14ac:dyDescent="0.25">
      <c r="A63" s="4">
        <v>62</v>
      </c>
      <c r="B63" s="4"/>
      <c r="C63" s="4"/>
      <c r="D63" s="4"/>
      <c r="E63" s="4"/>
    </row>
    <row r="64" spans="1:5" x14ac:dyDescent="0.25">
      <c r="A64" s="4">
        <v>63</v>
      </c>
      <c r="B64" s="4"/>
      <c r="C64" s="4"/>
      <c r="D64" s="4"/>
      <c r="E64" s="4"/>
    </row>
    <row r="65" spans="1:5" x14ac:dyDescent="0.25">
      <c r="A65" s="4">
        <v>64</v>
      </c>
      <c r="B65" s="4"/>
      <c r="C65" s="4"/>
      <c r="D65" s="4"/>
      <c r="E65" s="4"/>
    </row>
    <row r="66" spans="1:5" x14ac:dyDescent="0.25">
      <c r="A66" s="4">
        <v>65</v>
      </c>
      <c r="B66" s="4"/>
      <c r="C66" s="4"/>
      <c r="D66" s="4"/>
      <c r="E66" s="4"/>
    </row>
    <row r="67" spans="1:5" x14ac:dyDescent="0.25">
      <c r="A67" s="4">
        <v>66</v>
      </c>
      <c r="B67" s="4"/>
      <c r="C67" s="4"/>
      <c r="D67" s="4"/>
      <c r="E67" s="4"/>
    </row>
    <row r="68" spans="1:5" x14ac:dyDescent="0.25">
      <c r="A68" s="4">
        <v>67</v>
      </c>
      <c r="B68" s="4"/>
      <c r="C68" s="4"/>
      <c r="D68" s="4"/>
      <c r="E68" s="4"/>
    </row>
    <row r="69" spans="1:5" x14ac:dyDescent="0.25">
      <c r="A69" s="4">
        <v>68</v>
      </c>
      <c r="B69" s="4"/>
      <c r="C69" s="4"/>
      <c r="D69" s="4"/>
      <c r="E69" s="4"/>
    </row>
    <row r="70" spans="1:5" x14ac:dyDescent="0.25">
      <c r="A70" s="4">
        <v>69</v>
      </c>
      <c r="B70" s="4"/>
      <c r="C70" s="4"/>
      <c r="D70" s="4"/>
      <c r="E70" s="4"/>
    </row>
    <row r="71" spans="1:5" x14ac:dyDescent="0.25">
      <c r="A71" s="4">
        <v>70</v>
      </c>
      <c r="B71" s="4"/>
      <c r="C71" s="4"/>
      <c r="D71" s="4"/>
      <c r="E71" s="4"/>
    </row>
    <row r="72" spans="1:5" x14ac:dyDescent="0.25">
      <c r="A72" s="4">
        <v>71</v>
      </c>
      <c r="B72" s="4"/>
      <c r="C72" s="4"/>
      <c r="D72" s="4"/>
      <c r="E72" s="4"/>
    </row>
    <row r="73" spans="1:5" x14ac:dyDescent="0.25">
      <c r="A73" s="4">
        <v>72</v>
      </c>
      <c r="B73" s="4"/>
      <c r="C73" s="4"/>
      <c r="D73" s="4"/>
      <c r="E73" s="4"/>
    </row>
    <row r="74" spans="1:5" x14ac:dyDescent="0.25">
      <c r="A74" s="4">
        <v>73</v>
      </c>
      <c r="B74" s="4"/>
      <c r="C74" s="4"/>
      <c r="D74" s="4"/>
      <c r="E74" s="4"/>
    </row>
    <row r="75" spans="1:5" x14ac:dyDescent="0.25">
      <c r="A75" s="4">
        <v>74</v>
      </c>
      <c r="B75" s="4"/>
      <c r="C75" s="4"/>
      <c r="D75" s="4"/>
      <c r="E75" s="4"/>
    </row>
    <row r="76" spans="1:5" x14ac:dyDescent="0.25">
      <c r="A76" s="4">
        <v>75</v>
      </c>
      <c r="B76" s="4"/>
      <c r="C76" s="4"/>
      <c r="D76" s="4"/>
      <c r="E76" s="4"/>
    </row>
    <row r="77" spans="1:5" x14ac:dyDescent="0.25">
      <c r="A77" s="4">
        <v>76</v>
      </c>
      <c r="B77" s="4"/>
      <c r="C77" s="4"/>
      <c r="D77" s="4"/>
      <c r="E77" s="4"/>
    </row>
    <row r="78" spans="1:5" x14ac:dyDescent="0.25">
      <c r="A78" s="4">
        <v>77</v>
      </c>
      <c r="B78" s="4"/>
      <c r="C78" s="4"/>
      <c r="D78" s="4"/>
      <c r="E78" s="4"/>
    </row>
    <row r="79" spans="1:5" x14ac:dyDescent="0.25">
      <c r="A79" s="4">
        <v>78</v>
      </c>
      <c r="B79" s="4"/>
      <c r="C79" s="4"/>
      <c r="D79" s="4"/>
      <c r="E79" s="4"/>
    </row>
    <row r="80" spans="1:5" x14ac:dyDescent="0.25">
      <c r="A80" s="4">
        <v>79</v>
      </c>
      <c r="B80" s="4"/>
      <c r="C80" s="4"/>
      <c r="D80" s="4"/>
      <c r="E80" s="4"/>
    </row>
    <row r="81" spans="1:5" x14ac:dyDescent="0.25">
      <c r="A81" s="4">
        <v>80</v>
      </c>
      <c r="B81" s="4"/>
      <c r="C81" s="4"/>
      <c r="D81" s="4"/>
      <c r="E81" s="4"/>
    </row>
    <row r="82" spans="1:5" x14ac:dyDescent="0.25">
      <c r="A82" s="4">
        <v>81</v>
      </c>
      <c r="B82" s="4"/>
      <c r="C82" s="4"/>
      <c r="D82" s="4"/>
      <c r="E82" s="4"/>
    </row>
    <row r="83" spans="1:5" x14ac:dyDescent="0.25">
      <c r="A83" s="4">
        <v>82</v>
      </c>
      <c r="B83" s="4"/>
      <c r="C83" s="4"/>
      <c r="D83" s="4"/>
      <c r="E83" s="4"/>
    </row>
    <row r="84" spans="1:5" x14ac:dyDescent="0.25">
      <c r="A84" s="4">
        <v>83</v>
      </c>
      <c r="B84" s="4"/>
      <c r="C84" s="4"/>
      <c r="D84" s="4"/>
      <c r="E84" s="4"/>
    </row>
    <row r="85" spans="1:5" x14ac:dyDescent="0.25">
      <c r="A85" s="4">
        <v>84</v>
      </c>
      <c r="B85" s="4"/>
      <c r="C85" s="4"/>
      <c r="D85" s="4"/>
      <c r="E85" s="4"/>
    </row>
    <row r="86" spans="1:5" x14ac:dyDescent="0.25">
      <c r="A86" s="4">
        <v>85</v>
      </c>
      <c r="B86" s="4"/>
      <c r="C86" s="4"/>
      <c r="D86" s="4"/>
      <c r="E86" s="4"/>
    </row>
    <row r="87" spans="1:5" x14ac:dyDescent="0.25">
      <c r="A87" s="4">
        <v>86</v>
      </c>
      <c r="B87" s="4"/>
      <c r="C87" s="4"/>
      <c r="D87" s="4"/>
      <c r="E87" s="4"/>
    </row>
    <row r="88" spans="1:5" x14ac:dyDescent="0.25">
      <c r="A88" s="4">
        <v>87</v>
      </c>
      <c r="B88" s="4"/>
      <c r="C88" s="4"/>
      <c r="D88" s="4"/>
      <c r="E88" s="4"/>
    </row>
    <row r="89" spans="1:5" x14ac:dyDescent="0.25">
      <c r="A89" s="4">
        <v>88</v>
      </c>
      <c r="B89" s="4"/>
      <c r="C89" s="4"/>
      <c r="D89" s="4"/>
      <c r="E89" s="4"/>
    </row>
    <row r="90" spans="1:5" x14ac:dyDescent="0.25">
      <c r="A90" s="4">
        <v>89</v>
      </c>
      <c r="B90" s="4"/>
      <c r="C90" s="4"/>
      <c r="D90" s="4"/>
      <c r="E90" s="4"/>
    </row>
    <row r="91" spans="1:5" x14ac:dyDescent="0.25">
      <c r="A91" s="4">
        <v>90</v>
      </c>
      <c r="B91" s="4"/>
      <c r="C91" s="4"/>
      <c r="D91" s="4"/>
      <c r="E91" s="4"/>
    </row>
    <row r="92" spans="1:5" x14ac:dyDescent="0.25">
      <c r="A92" s="4">
        <v>91</v>
      </c>
      <c r="B92" s="4"/>
      <c r="C92" s="4"/>
      <c r="D92" s="4"/>
      <c r="E92" s="4"/>
    </row>
    <row r="93" spans="1:5" x14ac:dyDescent="0.25">
      <c r="A93" s="4">
        <v>92</v>
      </c>
      <c r="B93" s="4"/>
      <c r="C93" s="4"/>
      <c r="D93" s="4"/>
      <c r="E93" s="4"/>
    </row>
    <row r="94" spans="1:5" x14ac:dyDescent="0.25">
      <c r="A94" s="4">
        <v>93</v>
      </c>
      <c r="B94" s="4"/>
      <c r="C94" s="4"/>
      <c r="D94" s="4"/>
      <c r="E94" s="4"/>
    </row>
    <row r="95" spans="1:5" x14ac:dyDescent="0.25">
      <c r="A95" s="4">
        <v>94</v>
      </c>
      <c r="B95" s="4"/>
      <c r="C95" s="4"/>
      <c r="D95" s="4"/>
      <c r="E95" s="4"/>
    </row>
    <row r="96" spans="1:5" x14ac:dyDescent="0.25">
      <c r="A96" s="4">
        <v>95</v>
      </c>
      <c r="B96" s="4"/>
      <c r="C96" s="4"/>
      <c r="D96" s="4"/>
      <c r="E96" s="4"/>
    </row>
    <row r="97" spans="1:5" x14ac:dyDescent="0.25">
      <c r="A97" s="4">
        <v>96</v>
      </c>
      <c r="B97" s="4"/>
      <c r="C97" s="4"/>
      <c r="D97" s="4"/>
      <c r="E97" s="4"/>
    </row>
    <row r="98" spans="1:5" x14ac:dyDescent="0.25">
      <c r="A98" s="4">
        <v>97</v>
      </c>
      <c r="B98" s="4"/>
      <c r="C98" s="4"/>
      <c r="D98" s="4"/>
      <c r="E98" s="4"/>
    </row>
    <row r="99" spans="1:5" x14ac:dyDescent="0.25">
      <c r="A99" s="4">
        <v>98</v>
      </c>
      <c r="B99" s="4"/>
      <c r="C99" s="4"/>
      <c r="D99" s="4"/>
      <c r="E99" s="4"/>
    </row>
    <row r="100" spans="1:5" x14ac:dyDescent="0.25">
      <c r="A100" s="4">
        <v>99</v>
      </c>
      <c r="B100" s="4"/>
      <c r="C100" s="4"/>
      <c r="D100" s="4"/>
      <c r="E100" s="4"/>
    </row>
    <row r="101" spans="1:5" x14ac:dyDescent="0.25">
      <c r="A101" s="4">
        <v>100</v>
      </c>
      <c r="B101" s="4"/>
      <c r="C101" s="4"/>
      <c r="D101" s="4"/>
      <c r="E101" s="4"/>
    </row>
    <row r="102" spans="1:5" x14ac:dyDescent="0.25">
      <c r="A102" s="4">
        <v>101</v>
      </c>
      <c r="B102" s="4"/>
      <c r="C102" s="4"/>
      <c r="D102" s="4"/>
      <c r="E102" s="4"/>
    </row>
    <row r="103" spans="1:5" x14ac:dyDescent="0.25">
      <c r="A103" s="4">
        <v>102</v>
      </c>
      <c r="B103" s="4"/>
      <c r="C103" s="4"/>
      <c r="D103" s="4"/>
      <c r="E103" s="4"/>
    </row>
    <row r="104" spans="1:5" x14ac:dyDescent="0.25">
      <c r="A104" s="4">
        <v>103</v>
      </c>
      <c r="B104" s="4"/>
      <c r="C104" s="4"/>
      <c r="D104" s="4"/>
      <c r="E104" s="4"/>
    </row>
    <row r="105" spans="1:5" x14ac:dyDescent="0.25">
      <c r="A105" s="4">
        <v>104</v>
      </c>
      <c r="B105" s="4"/>
      <c r="C105" s="4"/>
      <c r="D105" s="4"/>
      <c r="E105" s="4"/>
    </row>
    <row r="106" spans="1:5" x14ac:dyDescent="0.25">
      <c r="A106" s="4">
        <v>105</v>
      </c>
      <c r="B106" s="4"/>
      <c r="C106" s="4"/>
      <c r="D106" s="4"/>
      <c r="E106" s="4"/>
    </row>
    <row r="107" spans="1:5" x14ac:dyDescent="0.25">
      <c r="A107" s="4">
        <v>106</v>
      </c>
      <c r="B107" s="4"/>
      <c r="C107" s="4"/>
      <c r="D107" s="4"/>
      <c r="E107" s="4"/>
    </row>
    <row r="108" spans="1:5" x14ac:dyDescent="0.25">
      <c r="A108" s="4">
        <v>107</v>
      </c>
      <c r="B108" s="4"/>
      <c r="C108" s="4"/>
      <c r="D108" s="4"/>
      <c r="E108" s="4"/>
    </row>
    <row r="109" spans="1:5" x14ac:dyDescent="0.25">
      <c r="A109" s="4">
        <v>108</v>
      </c>
      <c r="B109" s="4"/>
      <c r="C109" s="4"/>
      <c r="D109" s="4"/>
      <c r="E109" s="4"/>
    </row>
    <row r="110" spans="1:5" x14ac:dyDescent="0.25">
      <c r="A110" s="4">
        <v>109</v>
      </c>
      <c r="B110" s="4"/>
      <c r="C110" s="4"/>
      <c r="D110" s="4"/>
      <c r="E110" s="4"/>
    </row>
    <row r="111" spans="1:5" x14ac:dyDescent="0.25">
      <c r="A111" s="4">
        <v>110</v>
      </c>
      <c r="B111" s="4"/>
      <c r="C111" s="4"/>
      <c r="D111" s="4"/>
      <c r="E111" s="4"/>
    </row>
    <row r="112" spans="1:5" x14ac:dyDescent="0.25">
      <c r="A112" s="4">
        <v>111</v>
      </c>
      <c r="B112" s="4"/>
      <c r="C112" s="4"/>
      <c r="D112" s="4"/>
      <c r="E112" s="4"/>
    </row>
    <row r="113" spans="1:5" x14ac:dyDescent="0.25">
      <c r="A113" s="4">
        <v>112</v>
      </c>
      <c r="B113" s="4"/>
      <c r="C113" s="4"/>
      <c r="D113" s="4"/>
      <c r="E113" s="4"/>
    </row>
    <row r="114" spans="1:5" x14ac:dyDescent="0.25">
      <c r="A114" s="4">
        <v>113</v>
      </c>
      <c r="B114" s="4"/>
      <c r="C114" s="4"/>
      <c r="D114" s="4"/>
      <c r="E114" s="4"/>
    </row>
    <row r="115" spans="1:5" x14ac:dyDescent="0.25">
      <c r="A115" s="4">
        <v>114</v>
      </c>
      <c r="B115" s="4"/>
      <c r="C115" s="4"/>
      <c r="D115" s="4"/>
      <c r="E115" s="4"/>
    </row>
    <row r="116" spans="1:5" x14ac:dyDescent="0.25">
      <c r="A116" s="4">
        <v>115</v>
      </c>
      <c r="B116" s="4"/>
      <c r="C116" s="4"/>
      <c r="D116" s="4"/>
      <c r="E116" s="4"/>
    </row>
    <row r="117" spans="1:5" x14ac:dyDescent="0.25">
      <c r="A117" s="4">
        <v>116</v>
      </c>
      <c r="B117" s="4"/>
      <c r="C117" s="4"/>
      <c r="D117" s="4"/>
      <c r="E117" s="4"/>
    </row>
    <row r="118" spans="1:5" x14ac:dyDescent="0.25">
      <c r="A118" s="4">
        <v>117</v>
      </c>
      <c r="B118" s="4"/>
      <c r="C118" s="4"/>
      <c r="D118" s="4"/>
      <c r="E118" s="4"/>
    </row>
    <row r="119" spans="1:5" x14ac:dyDescent="0.25">
      <c r="A119" s="4">
        <v>118</v>
      </c>
      <c r="B119" s="4"/>
      <c r="C119" s="4"/>
      <c r="D119" s="4"/>
      <c r="E119" s="4"/>
    </row>
    <row r="120" spans="1:5" x14ac:dyDescent="0.25">
      <c r="A120" s="4">
        <v>119</v>
      </c>
      <c r="B120" s="4"/>
      <c r="C120" s="4"/>
      <c r="D120" s="4"/>
      <c r="E120" s="4"/>
    </row>
    <row r="121" spans="1:5" x14ac:dyDescent="0.25">
      <c r="A121" s="4">
        <v>120</v>
      </c>
      <c r="B121" s="4"/>
      <c r="C121" s="4"/>
      <c r="D121" s="4"/>
      <c r="E121" s="4"/>
    </row>
    <row r="122" spans="1:5" x14ac:dyDescent="0.25">
      <c r="A122" s="4">
        <v>121</v>
      </c>
      <c r="B122" s="4"/>
      <c r="C122" s="4"/>
      <c r="D122" s="4"/>
      <c r="E122" s="4"/>
    </row>
    <row r="123" spans="1:5" x14ac:dyDescent="0.25">
      <c r="A123" s="4">
        <v>122</v>
      </c>
      <c r="B123" s="4"/>
      <c r="C123" s="4"/>
      <c r="D123" s="4"/>
      <c r="E123" s="4"/>
    </row>
    <row r="124" spans="1:5" x14ac:dyDescent="0.25">
      <c r="A124" s="4">
        <v>123</v>
      </c>
      <c r="B124" s="4"/>
      <c r="C124" s="4"/>
      <c r="D124" s="4"/>
      <c r="E124" s="4"/>
    </row>
    <row r="125" spans="1:5" x14ac:dyDescent="0.25">
      <c r="A125" s="4">
        <v>124</v>
      </c>
      <c r="B125" s="4"/>
      <c r="C125" s="4"/>
      <c r="D125" s="4"/>
      <c r="E125" s="4"/>
    </row>
    <row r="126" spans="1:5" x14ac:dyDescent="0.25">
      <c r="A126" s="4">
        <v>125</v>
      </c>
      <c r="B126" s="4"/>
      <c r="C126" s="4"/>
      <c r="D126" s="4"/>
      <c r="E126" s="4"/>
    </row>
    <row r="127" spans="1:5" x14ac:dyDescent="0.25">
      <c r="A127" s="4">
        <v>126</v>
      </c>
      <c r="B127" s="4"/>
      <c r="C127" s="4"/>
      <c r="D127" s="4"/>
      <c r="E127" s="4"/>
    </row>
    <row r="128" spans="1:5" x14ac:dyDescent="0.25">
      <c r="A128" s="4">
        <v>127</v>
      </c>
      <c r="B128" s="4"/>
      <c r="C128" s="4"/>
      <c r="D128" s="4"/>
      <c r="E128" s="4"/>
    </row>
    <row r="129" spans="1:5" x14ac:dyDescent="0.25">
      <c r="A129" s="4">
        <v>128</v>
      </c>
      <c r="B129" s="4"/>
      <c r="C129" s="4"/>
      <c r="D129" s="4"/>
      <c r="E129" s="4"/>
    </row>
    <row r="130" spans="1:5" x14ac:dyDescent="0.25">
      <c r="A130" s="4">
        <v>129</v>
      </c>
      <c r="B130" s="4"/>
      <c r="C130" s="4"/>
      <c r="D130" s="4"/>
      <c r="E130" s="4"/>
    </row>
    <row r="131" spans="1:5" x14ac:dyDescent="0.25">
      <c r="A131" s="4">
        <v>130</v>
      </c>
      <c r="B131" s="4"/>
      <c r="C131" s="4"/>
      <c r="D131" s="4"/>
      <c r="E131" s="4"/>
    </row>
    <row r="132" spans="1:5" x14ac:dyDescent="0.25">
      <c r="A132" s="4">
        <v>131</v>
      </c>
      <c r="B132" s="4"/>
      <c r="C132" s="4"/>
      <c r="D132" s="4"/>
      <c r="E132" s="4"/>
    </row>
    <row r="133" spans="1:5" x14ac:dyDescent="0.25">
      <c r="A133" s="4">
        <v>132</v>
      </c>
      <c r="B133" s="4"/>
      <c r="C133" s="4"/>
      <c r="D133" s="4"/>
      <c r="E133" s="4"/>
    </row>
    <row r="134" spans="1:5" x14ac:dyDescent="0.25">
      <c r="A134" s="4">
        <v>133</v>
      </c>
      <c r="B134" s="4"/>
      <c r="C134" s="4"/>
      <c r="D134" s="4"/>
      <c r="E134" s="4"/>
    </row>
    <row r="135" spans="1:5" x14ac:dyDescent="0.25">
      <c r="A135" s="4">
        <v>134</v>
      </c>
      <c r="B135" s="4"/>
      <c r="C135" s="4"/>
      <c r="D135" s="4"/>
      <c r="E135" s="4"/>
    </row>
    <row r="136" spans="1:5" x14ac:dyDescent="0.25">
      <c r="A136" s="4">
        <v>135</v>
      </c>
      <c r="B136" s="4"/>
      <c r="C136" s="4"/>
      <c r="D136" s="4"/>
      <c r="E136" s="4"/>
    </row>
    <row r="137" spans="1:5" x14ac:dyDescent="0.25">
      <c r="A137" s="4">
        <v>136</v>
      </c>
      <c r="B137" s="4"/>
      <c r="C137" s="4"/>
      <c r="D137" s="4"/>
      <c r="E137" s="4"/>
    </row>
    <row r="138" spans="1:5" x14ac:dyDescent="0.25">
      <c r="A138" s="4">
        <v>137</v>
      </c>
      <c r="B138" s="4"/>
      <c r="C138" s="4"/>
      <c r="D138" s="4"/>
      <c r="E138" s="4"/>
    </row>
    <row r="139" spans="1:5" x14ac:dyDescent="0.25">
      <c r="A139" s="4">
        <v>138</v>
      </c>
      <c r="B139" s="4"/>
      <c r="C139" s="4"/>
      <c r="D139" s="4"/>
      <c r="E139" s="4"/>
    </row>
    <row r="140" spans="1:5" x14ac:dyDescent="0.25">
      <c r="A140" s="4">
        <v>139</v>
      </c>
      <c r="B140" s="4"/>
      <c r="C140" s="4"/>
      <c r="D140" s="4"/>
      <c r="E140" s="4"/>
    </row>
    <row r="141" spans="1:5" x14ac:dyDescent="0.25">
      <c r="A141" s="4">
        <v>140</v>
      </c>
      <c r="B141" s="4"/>
      <c r="C141" s="4"/>
      <c r="D141" s="4"/>
      <c r="E141" s="4"/>
    </row>
    <row r="142" spans="1:5" x14ac:dyDescent="0.25">
      <c r="A142" s="4">
        <v>141</v>
      </c>
      <c r="B142" s="4"/>
      <c r="C142" s="4"/>
      <c r="D142" s="4"/>
      <c r="E142" s="4"/>
    </row>
    <row r="143" spans="1:5" x14ac:dyDescent="0.25">
      <c r="A143" s="4">
        <v>142</v>
      </c>
      <c r="B143" s="4"/>
      <c r="C143" s="4"/>
      <c r="D143" s="4"/>
      <c r="E143" s="4"/>
    </row>
    <row r="144" spans="1:5" x14ac:dyDescent="0.25">
      <c r="A144" s="4">
        <v>143</v>
      </c>
      <c r="B144" s="4"/>
      <c r="C144" s="4"/>
      <c r="D144" s="4"/>
      <c r="E144" s="4"/>
    </row>
    <row r="145" spans="1:5" x14ac:dyDescent="0.25">
      <c r="A145" s="4">
        <v>144</v>
      </c>
      <c r="B145" s="4"/>
      <c r="C145" s="4"/>
      <c r="D145" s="4"/>
      <c r="E145" s="4"/>
    </row>
    <row r="146" spans="1:5" x14ac:dyDescent="0.25">
      <c r="A146" s="4">
        <v>145</v>
      </c>
      <c r="B146" s="4"/>
      <c r="C146" s="4"/>
      <c r="D146" s="4"/>
      <c r="E146" s="4"/>
    </row>
    <row r="147" spans="1:5" x14ac:dyDescent="0.25">
      <c r="A147" s="4">
        <v>146</v>
      </c>
      <c r="B147" s="4"/>
      <c r="C147" s="4"/>
      <c r="D147" s="4"/>
      <c r="E147" s="4"/>
    </row>
    <row r="148" spans="1:5" x14ac:dyDescent="0.25">
      <c r="A148" s="4">
        <v>147</v>
      </c>
      <c r="B148" s="4"/>
      <c r="C148" s="4"/>
      <c r="D148" s="4"/>
      <c r="E148" s="4"/>
    </row>
    <row r="149" spans="1:5" x14ac:dyDescent="0.25">
      <c r="A149" s="4">
        <v>148</v>
      </c>
      <c r="B149" s="4"/>
      <c r="C149" s="4"/>
      <c r="D149" s="4"/>
      <c r="E149" s="4"/>
    </row>
    <row r="150" spans="1:5" x14ac:dyDescent="0.25">
      <c r="A150" s="4">
        <v>149</v>
      </c>
      <c r="B150" s="4"/>
      <c r="C150" s="4"/>
      <c r="D150" s="4"/>
      <c r="E150" s="4"/>
    </row>
    <row r="151" spans="1:5" x14ac:dyDescent="0.25">
      <c r="A151" s="4">
        <v>150</v>
      </c>
      <c r="B151" s="4"/>
      <c r="C151" s="4"/>
      <c r="D151" s="4"/>
      <c r="E151" s="4"/>
    </row>
    <row r="152" spans="1:5" x14ac:dyDescent="0.25">
      <c r="A152" s="4">
        <v>151</v>
      </c>
      <c r="B152" s="4"/>
      <c r="C152" s="4"/>
      <c r="D152" s="4"/>
      <c r="E152" s="4"/>
    </row>
    <row r="153" spans="1:5" x14ac:dyDescent="0.25">
      <c r="A153" s="4">
        <v>152</v>
      </c>
      <c r="B153" s="4"/>
      <c r="C153" s="4"/>
      <c r="D153" s="4"/>
      <c r="E153" s="4"/>
    </row>
    <row r="154" spans="1:5" x14ac:dyDescent="0.25">
      <c r="A154" s="4">
        <v>153</v>
      </c>
      <c r="B154" s="4"/>
      <c r="C154" s="4"/>
      <c r="D154" s="4"/>
      <c r="E154" s="4"/>
    </row>
    <row r="155" spans="1:5" x14ac:dyDescent="0.25">
      <c r="A155" s="4">
        <v>154</v>
      </c>
      <c r="B155" s="4"/>
      <c r="C155" s="4"/>
      <c r="D155" s="4"/>
      <c r="E155" s="4"/>
    </row>
    <row r="156" spans="1:5" x14ac:dyDescent="0.25">
      <c r="A156" s="4">
        <v>155</v>
      </c>
      <c r="B156" s="4"/>
      <c r="C156" s="4"/>
      <c r="D156" s="4"/>
      <c r="E156" s="4"/>
    </row>
    <row r="157" spans="1:5" x14ac:dyDescent="0.25">
      <c r="A157" s="4">
        <v>156</v>
      </c>
      <c r="B157" s="4"/>
      <c r="C157" s="4"/>
      <c r="D157" s="4"/>
      <c r="E157" s="4"/>
    </row>
    <row r="158" spans="1:5" x14ac:dyDescent="0.25">
      <c r="A158" s="4">
        <v>157</v>
      </c>
      <c r="B158" s="4"/>
      <c r="C158" s="4"/>
      <c r="D158" s="4"/>
      <c r="E158" s="4"/>
    </row>
    <row r="159" spans="1:5" x14ac:dyDescent="0.25">
      <c r="A159" s="4">
        <v>158</v>
      </c>
      <c r="B159" s="4"/>
      <c r="C159" s="4"/>
      <c r="D159" s="4"/>
      <c r="E159" s="4"/>
    </row>
    <row r="160" spans="1:5" x14ac:dyDescent="0.25">
      <c r="A160" s="4">
        <v>159</v>
      </c>
      <c r="B160" s="4"/>
      <c r="C160" s="4"/>
      <c r="D160" s="4"/>
      <c r="E160" s="4"/>
    </row>
    <row r="161" spans="1:5" x14ac:dyDescent="0.25">
      <c r="A161" s="4">
        <v>160</v>
      </c>
      <c r="B161" s="4"/>
      <c r="C161" s="4"/>
      <c r="D161" s="4"/>
      <c r="E161" s="4"/>
    </row>
    <row r="162" spans="1:5" x14ac:dyDescent="0.25">
      <c r="A162" s="4">
        <v>161</v>
      </c>
      <c r="B162" s="4"/>
      <c r="C162" s="4"/>
      <c r="D162" s="4"/>
      <c r="E162" s="4"/>
    </row>
    <row r="163" spans="1:5" x14ac:dyDescent="0.25">
      <c r="A163" s="4">
        <v>162</v>
      </c>
      <c r="B163" s="4"/>
      <c r="C163" s="4"/>
      <c r="D163" s="4"/>
      <c r="E163" s="4"/>
    </row>
    <row r="164" spans="1:5" x14ac:dyDescent="0.25">
      <c r="A164" s="4">
        <v>163</v>
      </c>
      <c r="B164" s="4"/>
      <c r="C164" s="4"/>
      <c r="D164" s="4"/>
      <c r="E164" s="4"/>
    </row>
    <row r="165" spans="1:5" x14ac:dyDescent="0.25">
      <c r="A165" s="4">
        <v>164</v>
      </c>
      <c r="B165" s="4"/>
      <c r="C165" s="4"/>
      <c r="D165" s="4"/>
      <c r="E165" s="4"/>
    </row>
    <row r="166" spans="1:5" x14ac:dyDescent="0.25">
      <c r="A166" s="4">
        <v>165</v>
      </c>
      <c r="B166" s="4"/>
      <c r="C166" s="4"/>
      <c r="D166" s="4"/>
      <c r="E166" s="4"/>
    </row>
    <row r="167" spans="1:5" x14ac:dyDescent="0.25">
      <c r="A167" s="4">
        <v>166</v>
      </c>
      <c r="B167" s="4"/>
      <c r="C167" s="4"/>
      <c r="D167" s="4"/>
      <c r="E167" s="4"/>
    </row>
    <row r="168" spans="1:5" x14ac:dyDescent="0.25">
      <c r="A168" s="4">
        <v>167</v>
      </c>
      <c r="B168" s="4"/>
      <c r="C168" s="4"/>
      <c r="D168" s="4"/>
      <c r="E168" s="4"/>
    </row>
    <row r="169" spans="1:5" x14ac:dyDescent="0.25">
      <c r="A169" s="4">
        <v>168</v>
      </c>
      <c r="B169" s="4"/>
      <c r="C169" s="4"/>
      <c r="D169" s="4"/>
      <c r="E169" s="4"/>
    </row>
    <row r="170" spans="1:5" x14ac:dyDescent="0.25">
      <c r="A170" s="4">
        <v>169</v>
      </c>
      <c r="B170" s="4"/>
      <c r="C170" s="4"/>
      <c r="D170" s="4"/>
      <c r="E170" s="4"/>
    </row>
    <row r="171" spans="1:5" x14ac:dyDescent="0.25">
      <c r="A171" s="4">
        <v>170</v>
      </c>
      <c r="B171" s="4"/>
      <c r="C171" s="4"/>
      <c r="D171" s="4"/>
      <c r="E171" s="4"/>
    </row>
    <row r="172" spans="1:5" x14ac:dyDescent="0.25">
      <c r="A172" s="4">
        <v>171</v>
      </c>
      <c r="B172" s="4"/>
      <c r="C172" s="4"/>
      <c r="D172" s="4"/>
      <c r="E172" s="4"/>
    </row>
    <row r="173" spans="1:5" x14ac:dyDescent="0.25">
      <c r="A173" s="4">
        <v>172</v>
      </c>
      <c r="B173" s="4"/>
      <c r="C173" s="4"/>
      <c r="D173" s="4"/>
      <c r="E173" s="4"/>
    </row>
    <row r="174" spans="1:5" x14ac:dyDescent="0.25">
      <c r="A174" s="4">
        <v>173</v>
      </c>
      <c r="B174" s="4"/>
      <c r="C174" s="4"/>
      <c r="D174" s="4"/>
      <c r="E174" s="4"/>
    </row>
    <row r="175" spans="1:5" x14ac:dyDescent="0.25">
      <c r="A175" s="4">
        <v>174</v>
      </c>
      <c r="B175" s="4"/>
      <c r="C175" s="4"/>
      <c r="D175" s="4"/>
      <c r="E175" s="4"/>
    </row>
    <row r="176" spans="1:5" x14ac:dyDescent="0.25">
      <c r="A176" s="4">
        <v>175</v>
      </c>
      <c r="B176" s="4"/>
      <c r="C176" s="4"/>
      <c r="D176" s="4"/>
      <c r="E176" s="4"/>
    </row>
    <row r="177" spans="1:5" x14ac:dyDescent="0.25">
      <c r="A177" s="4">
        <v>176</v>
      </c>
      <c r="B177" s="4"/>
      <c r="C177" s="4"/>
      <c r="D177" s="4"/>
      <c r="E177" s="4"/>
    </row>
    <row r="178" spans="1:5" x14ac:dyDescent="0.25">
      <c r="A178" s="4">
        <v>177</v>
      </c>
      <c r="B178" s="4"/>
      <c r="C178" s="4"/>
      <c r="D178" s="4"/>
      <c r="E178" s="4"/>
    </row>
    <row r="179" spans="1:5" x14ac:dyDescent="0.25">
      <c r="A179" s="4">
        <v>178</v>
      </c>
      <c r="B179" s="4"/>
      <c r="C179" s="4"/>
      <c r="D179" s="4"/>
      <c r="E179" s="4"/>
    </row>
    <row r="180" spans="1:5" x14ac:dyDescent="0.25">
      <c r="A180" s="4">
        <v>179</v>
      </c>
      <c r="B180" s="4"/>
      <c r="C180" s="4"/>
      <c r="D180" s="4"/>
      <c r="E180" s="4"/>
    </row>
    <row r="181" spans="1:5" x14ac:dyDescent="0.25">
      <c r="A181" s="4">
        <v>180</v>
      </c>
      <c r="B181" s="4"/>
      <c r="C181" s="4"/>
      <c r="D181" s="4"/>
      <c r="E181" s="4"/>
    </row>
    <row r="182" spans="1:5" x14ac:dyDescent="0.25">
      <c r="A182" s="4">
        <v>181</v>
      </c>
      <c r="B182" s="4"/>
      <c r="C182" s="4"/>
      <c r="D182" s="4"/>
      <c r="E182" s="4"/>
    </row>
    <row r="183" spans="1:5" x14ac:dyDescent="0.25">
      <c r="A183" s="4">
        <v>182</v>
      </c>
      <c r="B183" s="4"/>
      <c r="C183" s="4"/>
      <c r="D183" s="4"/>
      <c r="E183" s="4"/>
    </row>
    <row r="184" spans="1:5" x14ac:dyDescent="0.25">
      <c r="A184" s="4">
        <v>183</v>
      </c>
      <c r="B184" s="4"/>
      <c r="C184" s="4"/>
      <c r="D184" s="4"/>
      <c r="E184" s="4"/>
    </row>
    <row r="185" spans="1:5" x14ac:dyDescent="0.25">
      <c r="A185" s="4">
        <v>184</v>
      </c>
      <c r="B185" s="4"/>
      <c r="C185" s="4"/>
      <c r="D185" s="4"/>
      <c r="E185" s="4"/>
    </row>
    <row r="186" spans="1:5" x14ac:dyDescent="0.25">
      <c r="A186" s="4">
        <v>185</v>
      </c>
      <c r="B186" s="4"/>
      <c r="C186" s="4"/>
      <c r="D186" s="4"/>
      <c r="E186" s="4"/>
    </row>
    <row r="187" spans="1:5" x14ac:dyDescent="0.25">
      <c r="A187" s="4">
        <v>186</v>
      </c>
      <c r="B187" s="4"/>
      <c r="C187" s="4"/>
      <c r="D187" s="4"/>
      <c r="E187" s="4"/>
    </row>
    <row r="188" spans="1:5" x14ac:dyDescent="0.25">
      <c r="A188" s="4">
        <v>187</v>
      </c>
      <c r="B188" s="4"/>
      <c r="C188" s="4"/>
      <c r="D188" s="4"/>
      <c r="E188" s="4"/>
    </row>
    <row r="189" spans="1:5" x14ac:dyDescent="0.25">
      <c r="A189" s="4">
        <v>188</v>
      </c>
      <c r="B189" s="4"/>
      <c r="C189" s="4"/>
      <c r="D189" s="4"/>
      <c r="E189" s="4"/>
    </row>
    <row r="190" spans="1:5" x14ac:dyDescent="0.25">
      <c r="A190" s="4">
        <v>189</v>
      </c>
      <c r="B190" s="4"/>
      <c r="C190" s="4"/>
      <c r="D190" s="4"/>
      <c r="E190" s="4"/>
    </row>
    <row r="191" spans="1:5" x14ac:dyDescent="0.25">
      <c r="A191" s="4">
        <v>190</v>
      </c>
      <c r="B191" s="4"/>
      <c r="C191" s="4"/>
      <c r="D191" s="4"/>
      <c r="E191" s="4"/>
    </row>
    <row r="192" spans="1:5" x14ac:dyDescent="0.25">
      <c r="A192" s="4">
        <v>191</v>
      </c>
      <c r="B192" s="4"/>
      <c r="C192" s="4"/>
      <c r="D192" s="4"/>
      <c r="E192" s="4"/>
    </row>
    <row r="193" spans="1:5" x14ac:dyDescent="0.25">
      <c r="A193" s="4">
        <v>192</v>
      </c>
      <c r="B193" s="4"/>
      <c r="C193" s="4"/>
      <c r="D193" s="4"/>
      <c r="E193" s="4"/>
    </row>
    <row r="194" spans="1:5" x14ac:dyDescent="0.25">
      <c r="A194" s="4">
        <v>193</v>
      </c>
      <c r="B194" s="4"/>
      <c r="C194" s="4"/>
      <c r="D194" s="4"/>
      <c r="E194" s="4"/>
    </row>
    <row r="195" spans="1:5" x14ac:dyDescent="0.25">
      <c r="A195" s="4">
        <v>194</v>
      </c>
      <c r="B195" s="4"/>
      <c r="C195" s="4"/>
      <c r="D195" s="4"/>
      <c r="E195" s="4"/>
    </row>
    <row r="196" spans="1:5" x14ac:dyDescent="0.25">
      <c r="A196" s="4">
        <v>195</v>
      </c>
      <c r="B196" s="4"/>
      <c r="C196" s="4"/>
      <c r="D196" s="4"/>
      <c r="E196" s="4"/>
    </row>
    <row r="197" spans="1:5" x14ac:dyDescent="0.25">
      <c r="A197" s="4">
        <v>196</v>
      </c>
      <c r="B197" s="4"/>
      <c r="C197" s="4"/>
      <c r="D197" s="4"/>
      <c r="E197" s="4"/>
    </row>
    <row r="198" spans="1:5" x14ac:dyDescent="0.25">
      <c r="A198" s="4">
        <v>197</v>
      </c>
      <c r="B198" s="4"/>
      <c r="C198" s="4"/>
      <c r="D198" s="4"/>
      <c r="E198" s="4"/>
    </row>
    <row r="199" spans="1:5" x14ac:dyDescent="0.25">
      <c r="A199" s="4">
        <v>198</v>
      </c>
      <c r="B199" s="4"/>
      <c r="C199" s="4"/>
      <c r="D199" s="4"/>
      <c r="E199" s="4"/>
    </row>
    <row r="200" spans="1:5" x14ac:dyDescent="0.25">
      <c r="A200" s="4">
        <v>199</v>
      </c>
      <c r="B200" s="4"/>
      <c r="C200" s="4"/>
      <c r="D200" s="4"/>
      <c r="E200" s="4"/>
    </row>
    <row r="201" spans="1:5" x14ac:dyDescent="0.25">
      <c r="A201" s="4">
        <v>200</v>
      </c>
      <c r="B201" s="4"/>
      <c r="C201" s="4"/>
      <c r="D201" s="4"/>
      <c r="E201" s="4"/>
    </row>
    <row r="202" spans="1:5" x14ac:dyDescent="0.25">
      <c r="A202" s="4">
        <v>201</v>
      </c>
      <c r="B202" s="4"/>
      <c r="C202" s="4"/>
      <c r="D202" s="4"/>
      <c r="E202" s="4"/>
    </row>
    <row r="203" spans="1:5" x14ac:dyDescent="0.25">
      <c r="A203" s="4">
        <v>202</v>
      </c>
      <c r="B203" s="4"/>
      <c r="C203" s="4"/>
      <c r="D203" s="4"/>
      <c r="E203" s="4"/>
    </row>
    <row r="204" spans="1:5" x14ac:dyDescent="0.25">
      <c r="A204" s="4">
        <v>203</v>
      </c>
      <c r="B204" s="4"/>
      <c r="C204" s="4"/>
      <c r="D204" s="4"/>
      <c r="E204" s="4"/>
    </row>
    <row r="205" spans="1:5" x14ac:dyDescent="0.25">
      <c r="A205" s="4">
        <v>204</v>
      </c>
      <c r="B205" s="4"/>
      <c r="C205" s="4"/>
      <c r="D205" s="4"/>
      <c r="E205" s="4"/>
    </row>
    <row r="206" spans="1:5" x14ac:dyDescent="0.25">
      <c r="A206" s="4">
        <v>205</v>
      </c>
      <c r="B206" s="4"/>
      <c r="C206" s="4"/>
      <c r="D206" s="4"/>
      <c r="E206" s="4"/>
    </row>
    <row r="207" spans="1:5" x14ac:dyDescent="0.25">
      <c r="A207" s="4">
        <v>206</v>
      </c>
      <c r="B207" s="4"/>
      <c r="C207" s="4"/>
      <c r="D207" s="4"/>
      <c r="E207" s="4"/>
    </row>
    <row r="208" spans="1:5" x14ac:dyDescent="0.25">
      <c r="A208" s="4">
        <v>207</v>
      </c>
      <c r="B208" s="4"/>
      <c r="C208" s="4"/>
      <c r="D208" s="4"/>
      <c r="E208" s="4"/>
    </row>
    <row r="209" spans="1:5" x14ac:dyDescent="0.25">
      <c r="A209" s="4">
        <v>208</v>
      </c>
      <c r="B209" s="4"/>
      <c r="C209" s="4"/>
      <c r="D209" s="4"/>
      <c r="E209" s="4"/>
    </row>
    <row r="210" spans="1:5" x14ac:dyDescent="0.25">
      <c r="A210" s="4">
        <v>209</v>
      </c>
      <c r="B210" s="4"/>
      <c r="C210" s="4"/>
      <c r="D210" s="4"/>
      <c r="E210" s="4"/>
    </row>
    <row r="211" spans="1:5" x14ac:dyDescent="0.25">
      <c r="A211" s="4">
        <v>210</v>
      </c>
      <c r="B211" s="4"/>
      <c r="C211" s="4"/>
      <c r="D211" s="4"/>
      <c r="E211" s="4"/>
    </row>
    <row r="212" spans="1:5" x14ac:dyDescent="0.25">
      <c r="A212" s="4">
        <v>211</v>
      </c>
      <c r="B212" s="4"/>
      <c r="C212" s="4"/>
      <c r="D212" s="4"/>
      <c r="E212" s="4"/>
    </row>
    <row r="213" spans="1:5" x14ac:dyDescent="0.25">
      <c r="A213" s="4">
        <v>212</v>
      </c>
      <c r="B213" s="4"/>
      <c r="C213" s="4"/>
      <c r="D213" s="4"/>
      <c r="E213" s="4"/>
    </row>
    <row r="214" spans="1:5" x14ac:dyDescent="0.25">
      <c r="A214" s="4">
        <v>213</v>
      </c>
      <c r="B214" s="4"/>
      <c r="C214" s="4"/>
      <c r="D214" s="4"/>
      <c r="E214" s="4"/>
    </row>
    <row r="215" spans="1:5" x14ac:dyDescent="0.25">
      <c r="A215" s="4">
        <v>214</v>
      </c>
      <c r="B215" s="4"/>
      <c r="C215" s="4"/>
      <c r="D215" s="4"/>
      <c r="E215" s="4"/>
    </row>
    <row r="216" spans="1:5" x14ac:dyDescent="0.25">
      <c r="A216" s="4">
        <v>215</v>
      </c>
      <c r="B216" s="4"/>
      <c r="C216" s="4"/>
      <c r="D216" s="4"/>
      <c r="E216" s="4"/>
    </row>
    <row r="217" spans="1:5" x14ac:dyDescent="0.25">
      <c r="A217" s="4">
        <v>216</v>
      </c>
      <c r="B217" s="4"/>
      <c r="C217" s="4"/>
      <c r="D217" s="4"/>
      <c r="E217" s="4"/>
    </row>
    <row r="218" spans="1:5" x14ac:dyDescent="0.25">
      <c r="A218" s="4">
        <v>217</v>
      </c>
      <c r="B218" s="4"/>
      <c r="C218" s="4"/>
      <c r="D218" s="4"/>
      <c r="E218" s="4"/>
    </row>
    <row r="219" spans="1:5" x14ac:dyDescent="0.25">
      <c r="A219" s="4">
        <v>218</v>
      </c>
      <c r="B219" s="4"/>
      <c r="C219" s="4"/>
      <c r="D219" s="4"/>
      <c r="E219" s="4"/>
    </row>
    <row r="220" spans="1:5" x14ac:dyDescent="0.25">
      <c r="A220" s="4">
        <v>219</v>
      </c>
      <c r="B220" s="4"/>
      <c r="C220" s="4"/>
      <c r="D220" s="4"/>
      <c r="E220" s="4"/>
    </row>
    <row r="221" spans="1:5" x14ac:dyDescent="0.25">
      <c r="A221" s="4">
        <v>220</v>
      </c>
      <c r="B221" s="4"/>
      <c r="C221" s="4"/>
      <c r="D221" s="4"/>
      <c r="E221" s="4"/>
    </row>
    <row r="222" spans="1:5" x14ac:dyDescent="0.25">
      <c r="A222" s="4">
        <v>221</v>
      </c>
      <c r="B222" s="4"/>
      <c r="C222" s="4"/>
      <c r="D222" s="4"/>
      <c r="E222" s="4"/>
    </row>
    <row r="223" spans="1:5" x14ac:dyDescent="0.25">
      <c r="A223" s="4">
        <v>222</v>
      </c>
      <c r="B223" s="4"/>
      <c r="C223" s="4"/>
      <c r="D223" s="4"/>
      <c r="E223" s="4"/>
    </row>
    <row r="224" spans="1:5" x14ac:dyDescent="0.25">
      <c r="A224" s="4">
        <v>223</v>
      </c>
      <c r="B224" s="4"/>
      <c r="C224" s="4"/>
      <c r="D224" s="4"/>
      <c r="E224" s="4"/>
    </row>
    <row r="225" spans="1:5" x14ac:dyDescent="0.25">
      <c r="A225" s="4">
        <v>224</v>
      </c>
      <c r="B225" s="4"/>
      <c r="C225" s="4"/>
      <c r="D225" s="4"/>
      <c r="E225" s="4"/>
    </row>
    <row r="226" spans="1:5" x14ac:dyDescent="0.25">
      <c r="A226" s="4">
        <v>225</v>
      </c>
      <c r="B226" s="4"/>
      <c r="C226" s="4"/>
      <c r="D226" s="4"/>
      <c r="E226" s="4"/>
    </row>
    <row r="227" spans="1:5" x14ac:dyDescent="0.25">
      <c r="A227" s="4">
        <v>226</v>
      </c>
      <c r="B227" s="4"/>
      <c r="C227" s="4"/>
      <c r="D227" s="4"/>
      <c r="E227" s="4"/>
    </row>
    <row r="228" spans="1:5" x14ac:dyDescent="0.25">
      <c r="A228" s="4">
        <v>227</v>
      </c>
      <c r="B228" s="4"/>
      <c r="C228" s="4"/>
      <c r="D228" s="4"/>
      <c r="E228" s="4"/>
    </row>
    <row r="229" spans="1:5" x14ac:dyDescent="0.25">
      <c r="A229" s="4">
        <v>228</v>
      </c>
      <c r="B229" s="4"/>
      <c r="C229" s="4"/>
      <c r="D229" s="4"/>
      <c r="E229" s="4"/>
    </row>
    <row r="230" spans="1:5" x14ac:dyDescent="0.25">
      <c r="A230" s="4">
        <v>229</v>
      </c>
      <c r="B230" s="4"/>
      <c r="C230" s="4"/>
      <c r="D230" s="4"/>
      <c r="E230" s="4"/>
    </row>
    <row r="231" spans="1:5" x14ac:dyDescent="0.25">
      <c r="A231" s="4">
        <v>230</v>
      </c>
      <c r="B231" s="4"/>
      <c r="C231" s="4"/>
      <c r="D231" s="4"/>
      <c r="E231" s="4"/>
    </row>
    <row r="232" spans="1:5" x14ac:dyDescent="0.25">
      <c r="A232" s="4">
        <v>231</v>
      </c>
      <c r="B232" s="4"/>
      <c r="C232" s="4"/>
      <c r="D232" s="4"/>
      <c r="E232" s="4"/>
    </row>
    <row r="233" spans="1:5" x14ac:dyDescent="0.25">
      <c r="A233" s="4">
        <v>232</v>
      </c>
      <c r="B233" s="4"/>
      <c r="C233" s="4"/>
      <c r="D233" s="4"/>
      <c r="E233" s="4"/>
    </row>
    <row r="234" spans="1:5" x14ac:dyDescent="0.25">
      <c r="A234" s="4">
        <v>233</v>
      </c>
      <c r="B234" s="4"/>
      <c r="C234" s="4"/>
      <c r="D234" s="4"/>
      <c r="E234" s="4"/>
    </row>
    <row r="235" spans="1:5" x14ac:dyDescent="0.25">
      <c r="A235" s="4">
        <v>234</v>
      </c>
      <c r="B235" s="4"/>
      <c r="C235" s="4"/>
      <c r="D235" s="4"/>
      <c r="E235" s="4"/>
    </row>
    <row r="236" spans="1:5" x14ac:dyDescent="0.25">
      <c r="A236" s="4">
        <v>235</v>
      </c>
      <c r="B236" s="4"/>
      <c r="C236" s="4"/>
      <c r="D236" s="4"/>
      <c r="E236" s="4"/>
    </row>
    <row r="237" spans="1:5" x14ac:dyDescent="0.25">
      <c r="A237" s="4">
        <v>236</v>
      </c>
      <c r="B237" s="4"/>
      <c r="C237" s="4"/>
      <c r="D237" s="4"/>
      <c r="E237" s="4"/>
    </row>
    <row r="238" spans="1:5" x14ac:dyDescent="0.25">
      <c r="A238" s="4">
        <v>237</v>
      </c>
      <c r="B238" s="4"/>
      <c r="C238" s="4"/>
      <c r="D238" s="4"/>
      <c r="E238" s="4"/>
    </row>
    <row r="239" spans="1:5" x14ac:dyDescent="0.25">
      <c r="A239" s="4">
        <v>238</v>
      </c>
      <c r="B239" s="4"/>
      <c r="C239" s="4"/>
      <c r="D239" s="4"/>
      <c r="E239" s="4"/>
    </row>
    <row r="240" spans="1:5" x14ac:dyDescent="0.25">
      <c r="A240" s="4">
        <v>239</v>
      </c>
      <c r="B240" s="4"/>
      <c r="C240" s="4"/>
      <c r="D240" s="4"/>
      <c r="E240" s="4"/>
    </row>
    <row r="241" spans="1:5" x14ac:dyDescent="0.25">
      <c r="A241" s="4">
        <v>240</v>
      </c>
      <c r="B241" s="4"/>
      <c r="C241" s="4"/>
      <c r="D241" s="4"/>
      <c r="E241" s="4"/>
    </row>
    <row r="242" spans="1:5" x14ac:dyDescent="0.25">
      <c r="A242" s="4">
        <v>241</v>
      </c>
      <c r="B242" s="4"/>
      <c r="C242" s="4"/>
      <c r="D242" s="4"/>
      <c r="E242" s="4"/>
    </row>
    <row r="243" spans="1:5" x14ac:dyDescent="0.25">
      <c r="A243" s="4">
        <v>242</v>
      </c>
      <c r="B243" s="4"/>
      <c r="C243" s="4"/>
      <c r="D243" s="4"/>
      <c r="E243" s="4"/>
    </row>
    <row r="244" spans="1:5" x14ac:dyDescent="0.25">
      <c r="A244" s="4">
        <v>243</v>
      </c>
      <c r="B244" s="4"/>
      <c r="C244" s="4"/>
      <c r="D244" s="4"/>
      <c r="E244" s="4"/>
    </row>
    <row r="245" spans="1:5" x14ac:dyDescent="0.25">
      <c r="A245" s="4">
        <v>244</v>
      </c>
      <c r="B245" s="4"/>
      <c r="C245" s="4"/>
      <c r="D245" s="4"/>
      <c r="E245" s="4"/>
    </row>
    <row r="246" spans="1:5" x14ac:dyDescent="0.25">
      <c r="A246" s="4">
        <v>245</v>
      </c>
      <c r="B246" s="4"/>
      <c r="C246" s="4"/>
      <c r="D246" s="4"/>
      <c r="E246" s="4"/>
    </row>
    <row r="247" spans="1:5" x14ac:dyDescent="0.25">
      <c r="A247" s="4">
        <v>246</v>
      </c>
      <c r="B247" s="4"/>
      <c r="C247" s="4"/>
      <c r="D247" s="4"/>
      <c r="E247" s="4"/>
    </row>
    <row r="248" spans="1:5" x14ac:dyDescent="0.25">
      <c r="A248" s="4">
        <v>247</v>
      </c>
      <c r="B248" s="4"/>
      <c r="C248" s="4"/>
      <c r="D248" s="4"/>
      <c r="E248" s="4"/>
    </row>
    <row r="249" spans="1:5" x14ac:dyDescent="0.25">
      <c r="A249" s="4">
        <v>248</v>
      </c>
      <c r="B249" s="4"/>
      <c r="C249" s="4"/>
      <c r="D249" s="4"/>
      <c r="E249" s="4"/>
    </row>
    <row r="250" spans="1:5" x14ac:dyDescent="0.25">
      <c r="A250" s="4">
        <v>249</v>
      </c>
      <c r="B250" s="4"/>
      <c r="C250" s="4"/>
      <c r="D250" s="4"/>
      <c r="E250" s="4"/>
    </row>
    <row r="251" spans="1:5" x14ac:dyDescent="0.25">
      <c r="A251" s="4">
        <v>250</v>
      </c>
      <c r="B251" s="4"/>
      <c r="C251" s="4"/>
      <c r="D251" s="4"/>
      <c r="E251" s="4"/>
    </row>
    <row r="252" spans="1:5" x14ac:dyDescent="0.25">
      <c r="A252" s="4">
        <v>251</v>
      </c>
      <c r="B252" s="4"/>
      <c r="C252" s="4"/>
      <c r="D252" s="4"/>
      <c r="E252" s="4"/>
    </row>
    <row r="253" spans="1:5" x14ac:dyDescent="0.25">
      <c r="A253" s="4">
        <v>252</v>
      </c>
      <c r="B253" s="4"/>
      <c r="C253" s="4"/>
      <c r="D253" s="4"/>
      <c r="E253" s="4"/>
    </row>
    <row r="254" spans="1:5" x14ac:dyDescent="0.25">
      <c r="A254" s="4">
        <v>253</v>
      </c>
      <c r="B254" s="4"/>
      <c r="C254" s="4"/>
      <c r="D254" s="4"/>
      <c r="E254" s="4"/>
    </row>
    <row r="255" spans="1:5" x14ac:dyDescent="0.25">
      <c r="A255" s="4">
        <v>254</v>
      </c>
      <c r="B255" s="4"/>
      <c r="C255" s="4"/>
      <c r="D255" s="4"/>
      <c r="E255" s="4"/>
    </row>
    <row r="256" spans="1:5" x14ac:dyDescent="0.25">
      <c r="A256" s="4">
        <v>255</v>
      </c>
      <c r="B256" s="4"/>
      <c r="C256" s="4"/>
      <c r="D256" s="4"/>
      <c r="E256" s="4"/>
    </row>
    <row r="257" spans="1:5" x14ac:dyDescent="0.25">
      <c r="A257" s="4">
        <v>256</v>
      </c>
      <c r="B257" s="4"/>
      <c r="C257" s="4"/>
      <c r="D257" s="4"/>
      <c r="E257" s="4"/>
    </row>
    <row r="258" spans="1:5" x14ac:dyDescent="0.25">
      <c r="A258" s="4">
        <v>257</v>
      </c>
      <c r="B258" s="4"/>
      <c r="C258" s="4"/>
      <c r="D258" s="4"/>
      <c r="E258" s="4"/>
    </row>
    <row r="259" spans="1:5" x14ac:dyDescent="0.25">
      <c r="A259" s="4">
        <v>258</v>
      </c>
      <c r="B259" s="4"/>
      <c r="C259" s="4"/>
      <c r="D259" s="4"/>
      <c r="E259" s="4"/>
    </row>
    <row r="260" spans="1:5" x14ac:dyDescent="0.25">
      <c r="A260" s="4">
        <v>259</v>
      </c>
      <c r="B260" s="4"/>
      <c r="C260" s="4"/>
      <c r="D260" s="4"/>
      <c r="E260" s="4"/>
    </row>
    <row r="261" spans="1:5" x14ac:dyDescent="0.25">
      <c r="A261" s="4">
        <v>260</v>
      </c>
      <c r="B261" s="4"/>
      <c r="C261" s="4"/>
      <c r="D261" s="4"/>
      <c r="E261" s="4"/>
    </row>
    <row r="262" spans="1:5" x14ac:dyDescent="0.25">
      <c r="A262" s="4">
        <v>261</v>
      </c>
      <c r="B262" s="4"/>
      <c r="C262" s="4"/>
      <c r="D262" s="4"/>
      <c r="E262" s="4"/>
    </row>
    <row r="263" spans="1:5" x14ac:dyDescent="0.25">
      <c r="A263" s="4">
        <v>262</v>
      </c>
      <c r="B263" s="4"/>
      <c r="C263" s="4"/>
      <c r="D263" s="4"/>
      <c r="E263" s="4"/>
    </row>
    <row r="264" spans="1:5" x14ac:dyDescent="0.25">
      <c r="A264" s="4">
        <v>263</v>
      </c>
      <c r="B264" s="4"/>
      <c r="C264" s="4"/>
      <c r="D264" s="4"/>
      <c r="E264" s="4"/>
    </row>
    <row r="265" spans="1:5" x14ac:dyDescent="0.25">
      <c r="A265" s="4">
        <v>264</v>
      </c>
      <c r="B265" s="4"/>
      <c r="C265" s="4"/>
      <c r="D265" s="4"/>
      <c r="E265" s="4"/>
    </row>
    <row r="266" spans="1:5" x14ac:dyDescent="0.25">
      <c r="A266" s="4">
        <v>265</v>
      </c>
      <c r="B266" s="4"/>
      <c r="C266" s="4"/>
      <c r="D266" s="4"/>
      <c r="E266" s="4"/>
    </row>
    <row r="267" spans="1:5" x14ac:dyDescent="0.25">
      <c r="A267" s="4">
        <v>266</v>
      </c>
      <c r="B267" s="4"/>
      <c r="C267" s="4"/>
      <c r="D267" s="4"/>
      <c r="E267" s="4"/>
    </row>
    <row r="268" spans="1:5" x14ac:dyDescent="0.25">
      <c r="A268" s="4">
        <v>267</v>
      </c>
      <c r="B268" s="4"/>
      <c r="C268" s="4"/>
      <c r="D268" s="4"/>
      <c r="E268" s="4"/>
    </row>
    <row r="269" spans="1:5" x14ac:dyDescent="0.25">
      <c r="A269" s="4">
        <v>268</v>
      </c>
      <c r="B269" s="4"/>
      <c r="C269" s="4"/>
      <c r="D269" s="4"/>
      <c r="E269" s="4"/>
    </row>
    <row r="270" spans="1:5" x14ac:dyDescent="0.25">
      <c r="A270" s="4">
        <v>269</v>
      </c>
      <c r="B270" s="4"/>
      <c r="C270" s="4"/>
      <c r="D270" s="4"/>
      <c r="E270" s="4"/>
    </row>
    <row r="271" spans="1:5" x14ac:dyDescent="0.25">
      <c r="A271" s="4">
        <v>270</v>
      </c>
      <c r="B271" s="4"/>
      <c r="C271" s="4"/>
      <c r="D271" s="4"/>
      <c r="E271" s="4"/>
    </row>
    <row r="272" spans="1:5" x14ac:dyDescent="0.25">
      <c r="A272" s="4">
        <v>271</v>
      </c>
      <c r="B272" s="4"/>
      <c r="C272" s="4"/>
      <c r="D272" s="4"/>
      <c r="E272" s="4"/>
    </row>
    <row r="273" spans="1:5" x14ac:dyDescent="0.25">
      <c r="A273" s="4">
        <v>272</v>
      </c>
      <c r="B273" s="4"/>
      <c r="C273" s="4"/>
      <c r="D273" s="4"/>
      <c r="E273" s="4"/>
    </row>
    <row r="274" spans="1:5" x14ac:dyDescent="0.25">
      <c r="A274" s="4">
        <v>273</v>
      </c>
      <c r="B274" s="4"/>
      <c r="C274" s="4"/>
      <c r="D274" s="4"/>
      <c r="E274" s="4"/>
    </row>
    <row r="275" spans="1:5" x14ac:dyDescent="0.25">
      <c r="A275" s="4">
        <v>274</v>
      </c>
      <c r="B275" s="4"/>
      <c r="C275" s="4"/>
      <c r="D275" s="4"/>
      <c r="E275" s="4"/>
    </row>
    <row r="276" spans="1:5" x14ac:dyDescent="0.25">
      <c r="A276" s="4">
        <v>275</v>
      </c>
      <c r="B276" s="4"/>
      <c r="C276" s="4"/>
      <c r="D276" s="4"/>
      <c r="E276" s="4"/>
    </row>
    <row r="277" spans="1:5" x14ac:dyDescent="0.25">
      <c r="A277" s="4">
        <v>276</v>
      </c>
      <c r="B277" s="4"/>
      <c r="C277" s="4"/>
      <c r="D277" s="4"/>
      <c r="E277" s="4"/>
    </row>
    <row r="278" spans="1:5" x14ac:dyDescent="0.25">
      <c r="A278" s="4">
        <v>277</v>
      </c>
      <c r="B278" s="4"/>
      <c r="C278" s="4"/>
      <c r="D278" s="4"/>
      <c r="E278" s="4"/>
    </row>
    <row r="279" spans="1:5" x14ac:dyDescent="0.25">
      <c r="A279" s="4">
        <v>278</v>
      </c>
      <c r="B279" s="4"/>
      <c r="C279" s="4"/>
      <c r="D279" s="4"/>
      <c r="E279" s="4"/>
    </row>
    <row r="280" spans="1:5" x14ac:dyDescent="0.25">
      <c r="A280" s="4">
        <v>279</v>
      </c>
      <c r="B280" s="4"/>
      <c r="C280" s="4"/>
      <c r="D280" s="4"/>
      <c r="E280" s="4"/>
    </row>
    <row r="281" spans="1:5" x14ac:dyDescent="0.25">
      <c r="A281" s="4">
        <v>280</v>
      </c>
      <c r="B281" s="4"/>
      <c r="C281" s="4"/>
      <c r="D281" s="4"/>
      <c r="E281" s="4"/>
    </row>
    <row r="282" spans="1:5" x14ac:dyDescent="0.25">
      <c r="A282" s="4">
        <v>281</v>
      </c>
      <c r="B282" s="4"/>
      <c r="C282" s="4"/>
      <c r="D282" s="4"/>
      <c r="E282" s="4"/>
    </row>
    <row r="283" spans="1:5" x14ac:dyDescent="0.25">
      <c r="A283" s="4">
        <v>282</v>
      </c>
      <c r="B283" s="4"/>
      <c r="C283" s="4"/>
      <c r="D283" s="4"/>
      <c r="E283" s="4"/>
    </row>
    <row r="284" spans="1:5" x14ac:dyDescent="0.25">
      <c r="A284" s="4">
        <v>283</v>
      </c>
      <c r="B284" s="4"/>
      <c r="C284" s="4"/>
      <c r="D284" s="4"/>
      <c r="E284" s="4"/>
    </row>
    <row r="285" spans="1:5" x14ac:dyDescent="0.25">
      <c r="A285" s="4">
        <v>284</v>
      </c>
      <c r="B285" s="4"/>
      <c r="C285" s="4"/>
      <c r="D285" s="4"/>
      <c r="E285" s="4"/>
    </row>
    <row r="286" spans="1:5" x14ac:dyDescent="0.25">
      <c r="A286" s="4">
        <v>285</v>
      </c>
      <c r="B286" s="4"/>
      <c r="C286" s="4"/>
      <c r="D286" s="4"/>
      <c r="E286" s="4"/>
    </row>
    <row r="287" spans="1:5" x14ac:dyDescent="0.25">
      <c r="A287" s="4">
        <v>286</v>
      </c>
      <c r="B287" s="4"/>
      <c r="C287" s="4"/>
      <c r="D287" s="4"/>
      <c r="E287" s="4"/>
    </row>
    <row r="288" spans="1:5" x14ac:dyDescent="0.25">
      <c r="A288" s="4">
        <v>287</v>
      </c>
      <c r="B288" s="4"/>
      <c r="C288" s="4"/>
      <c r="D288" s="4"/>
      <c r="E288" s="4"/>
    </row>
    <row r="289" spans="1:5" x14ac:dyDescent="0.25">
      <c r="A289" s="4">
        <v>288</v>
      </c>
      <c r="B289" s="4"/>
      <c r="C289" s="4"/>
      <c r="D289" s="4"/>
      <c r="E289" s="4"/>
    </row>
    <row r="290" spans="1:5" x14ac:dyDescent="0.25">
      <c r="A290" s="4">
        <v>289</v>
      </c>
      <c r="B290" s="4"/>
      <c r="C290" s="4"/>
      <c r="D290" s="4"/>
      <c r="E290" s="4"/>
    </row>
    <row r="291" spans="1:5" x14ac:dyDescent="0.25">
      <c r="A291" s="4">
        <v>290</v>
      </c>
      <c r="B291" s="4"/>
      <c r="C291" s="4"/>
      <c r="D291" s="4"/>
      <c r="E291" s="4"/>
    </row>
    <row r="292" spans="1:5" x14ac:dyDescent="0.25">
      <c r="A292" s="4">
        <v>291</v>
      </c>
      <c r="B292" s="4"/>
      <c r="C292" s="4"/>
      <c r="D292" s="4"/>
      <c r="E292" s="4"/>
    </row>
    <row r="293" spans="1:5" x14ac:dyDescent="0.25">
      <c r="A293" s="4">
        <v>292</v>
      </c>
      <c r="B293" s="4"/>
      <c r="C293" s="4"/>
      <c r="D293" s="4"/>
      <c r="E293" s="4"/>
    </row>
    <row r="294" spans="1:5" x14ac:dyDescent="0.25">
      <c r="A294" s="4">
        <v>293</v>
      </c>
      <c r="B294" s="4"/>
      <c r="C294" s="4"/>
      <c r="D294" s="4"/>
      <c r="E294" s="4"/>
    </row>
    <row r="295" spans="1:5" x14ac:dyDescent="0.25">
      <c r="A295" s="4">
        <v>294</v>
      </c>
      <c r="B295" s="4"/>
      <c r="C295" s="4"/>
      <c r="D295" s="4"/>
      <c r="E295" s="4"/>
    </row>
    <row r="296" spans="1:5" x14ac:dyDescent="0.25">
      <c r="A296" s="4">
        <v>295</v>
      </c>
      <c r="B296" s="4"/>
      <c r="C296" s="4"/>
      <c r="D296" s="4"/>
      <c r="E296" s="4"/>
    </row>
    <row r="297" spans="1:5" x14ac:dyDescent="0.25">
      <c r="A297" s="4">
        <v>296</v>
      </c>
      <c r="B297" s="4"/>
      <c r="C297" s="4"/>
      <c r="D297" s="4"/>
      <c r="E297" s="4"/>
    </row>
    <row r="298" spans="1:5" x14ac:dyDescent="0.25">
      <c r="A298" s="4">
        <v>297</v>
      </c>
      <c r="B298" s="4"/>
      <c r="C298" s="4"/>
      <c r="D298" s="4"/>
      <c r="E298" s="4"/>
    </row>
    <row r="299" spans="1:5" x14ac:dyDescent="0.25">
      <c r="A299" s="4">
        <v>298</v>
      </c>
      <c r="B299" s="4"/>
      <c r="C299" s="4"/>
      <c r="D299" s="4"/>
      <c r="E299" s="4"/>
    </row>
    <row r="300" spans="1:5" x14ac:dyDescent="0.25">
      <c r="A300" s="4">
        <v>299</v>
      </c>
      <c r="B300" s="4"/>
      <c r="C300" s="4"/>
      <c r="D300" s="4"/>
      <c r="E300" s="4"/>
    </row>
    <row r="301" spans="1:5" x14ac:dyDescent="0.25">
      <c r="A301" s="4">
        <v>300</v>
      </c>
      <c r="B301" s="4"/>
      <c r="C301" s="4"/>
      <c r="D301" s="4"/>
      <c r="E301" s="4"/>
    </row>
    <row r="302" spans="1:5" x14ac:dyDescent="0.25">
      <c r="A302" s="4">
        <v>301</v>
      </c>
      <c r="B302" s="4"/>
      <c r="C302" s="4"/>
      <c r="D302" s="4"/>
      <c r="E302" s="4"/>
    </row>
    <row r="303" spans="1:5" x14ac:dyDescent="0.25">
      <c r="A303" s="4">
        <v>302</v>
      </c>
      <c r="B303" s="4"/>
      <c r="C303" s="4"/>
      <c r="D303" s="4"/>
      <c r="E303" s="4"/>
    </row>
    <row r="304" spans="1:5" x14ac:dyDescent="0.25">
      <c r="A304" s="4">
        <v>303</v>
      </c>
      <c r="B304" s="4"/>
      <c r="C304" s="4"/>
      <c r="D304" s="4"/>
      <c r="E304" s="4"/>
    </row>
    <row r="305" spans="1:5" x14ac:dyDescent="0.25">
      <c r="A305" s="4">
        <v>304</v>
      </c>
      <c r="B305" s="4"/>
      <c r="C305" s="4"/>
      <c r="D305" s="4"/>
      <c r="E305" s="4"/>
    </row>
    <row r="306" spans="1:5" x14ac:dyDescent="0.25">
      <c r="A306" s="4">
        <v>305</v>
      </c>
      <c r="B306" s="4"/>
      <c r="C306" s="4"/>
      <c r="D306" s="4"/>
      <c r="E306" s="4"/>
    </row>
    <row r="307" spans="1:5" x14ac:dyDescent="0.25">
      <c r="A307" s="4">
        <v>306</v>
      </c>
      <c r="B307" s="4"/>
      <c r="C307" s="4"/>
      <c r="D307" s="4"/>
      <c r="E307" s="4"/>
    </row>
    <row r="308" spans="1:5" x14ac:dyDescent="0.25">
      <c r="A308" s="4">
        <v>307</v>
      </c>
      <c r="B308" s="4"/>
      <c r="C308" s="4"/>
      <c r="D308" s="4"/>
      <c r="E308" s="4"/>
    </row>
    <row r="309" spans="1:5" x14ac:dyDescent="0.25">
      <c r="A309" s="4">
        <v>308</v>
      </c>
      <c r="B309" s="4"/>
      <c r="C309" s="4"/>
      <c r="D309" s="4"/>
      <c r="E309" s="4"/>
    </row>
    <row r="310" spans="1:5" x14ac:dyDescent="0.25">
      <c r="A310" s="4">
        <v>309</v>
      </c>
      <c r="B310" s="4"/>
      <c r="C310" s="4"/>
      <c r="D310" s="4"/>
      <c r="E310" s="4"/>
    </row>
    <row r="311" spans="1:5" x14ac:dyDescent="0.25">
      <c r="A311" s="4">
        <v>310</v>
      </c>
      <c r="B311" s="4"/>
      <c r="C311" s="4"/>
      <c r="D311" s="4"/>
      <c r="E311" s="4"/>
    </row>
    <row r="312" spans="1:5" x14ac:dyDescent="0.25">
      <c r="A312" s="4">
        <v>311</v>
      </c>
      <c r="B312" s="4"/>
      <c r="C312" s="4"/>
      <c r="D312" s="4"/>
      <c r="E312" s="4"/>
    </row>
    <row r="313" spans="1:5" x14ac:dyDescent="0.25">
      <c r="A313" s="4">
        <v>312</v>
      </c>
      <c r="B313" s="4"/>
      <c r="C313" s="4"/>
      <c r="D313" s="4"/>
      <c r="E313" s="4"/>
    </row>
    <row r="314" spans="1:5" x14ac:dyDescent="0.25">
      <c r="A314" s="4">
        <v>313</v>
      </c>
      <c r="B314" s="4"/>
      <c r="C314" s="4"/>
      <c r="D314" s="4"/>
      <c r="E314" s="4"/>
    </row>
    <row r="315" spans="1:5" x14ac:dyDescent="0.25">
      <c r="A315" s="4">
        <v>314</v>
      </c>
      <c r="B315" s="4"/>
      <c r="C315" s="4"/>
      <c r="D315" s="4"/>
      <c r="E315" s="4"/>
    </row>
    <row r="316" spans="1:5" x14ac:dyDescent="0.25">
      <c r="A316" s="4">
        <v>315</v>
      </c>
      <c r="B316" s="4"/>
      <c r="C316" s="4"/>
      <c r="D316" s="4"/>
      <c r="E316" s="4"/>
    </row>
    <row r="317" spans="1:5" x14ac:dyDescent="0.25">
      <c r="A317" s="4">
        <v>316</v>
      </c>
      <c r="B317" s="4"/>
      <c r="C317" s="4"/>
      <c r="D317" s="4"/>
      <c r="E317" s="4"/>
    </row>
    <row r="318" spans="1:5" x14ac:dyDescent="0.25">
      <c r="A318" s="4">
        <v>317</v>
      </c>
      <c r="B318" s="4"/>
      <c r="C318" s="4"/>
      <c r="D318" s="4"/>
      <c r="E318" s="4"/>
    </row>
    <row r="319" spans="1:5" x14ac:dyDescent="0.25">
      <c r="A319" s="4">
        <v>318</v>
      </c>
      <c r="B319" s="4"/>
      <c r="C319" s="4"/>
      <c r="D319" s="4"/>
      <c r="E319" s="4"/>
    </row>
    <row r="320" spans="1:5" x14ac:dyDescent="0.25">
      <c r="A320" s="4">
        <v>319</v>
      </c>
      <c r="B320" s="4"/>
      <c r="C320" s="4"/>
      <c r="D320" s="4"/>
      <c r="E320" s="4"/>
    </row>
    <row r="321" spans="1:5" x14ac:dyDescent="0.25">
      <c r="A321" s="4">
        <v>320</v>
      </c>
      <c r="B321" s="4"/>
      <c r="C321" s="4"/>
      <c r="D321" s="4"/>
      <c r="E321" s="4"/>
    </row>
    <row r="322" spans="1:5" x14ac:dyDescent="0.25">
      <c r="A322" s="4">
        <v>321</v>
      </c>
      <c r="B322" s="4"/>
      <c r="C322" s="4"/>
      <c r="D322" s="4"/>
      <c r="E322" s="4"/>
    </row>
    <row r="323" spans="1:5" x14ac:dyDescent="0.25">
      <c r="A323" s="4">
        <v>322</v>
      </c>
      <c r="B323" s="4"/>
      <c r="C323" s="4"/>
      <c r="D323" s="4"/>
      <c r="E323" s="4"/>
    </row>
    <row r="324" spans="1:5" x14ac:dyDescent="0.25">
      <c r="A324" s="4">
        <v>323</v>
      </c>
      <c r="B324" s="4"/>
      <c r="C324" s="4"/>
      <c r="D324" s="4"/>
      <c r="E324" s="4"/>
    </row>
    <row r="325" spans="1:5" x14ac:dyDescent="0.25">
      <c r="A325" s="4">
        <v>324</v>
      </c>
      <c r="B325" s="4"/>
      <c r="C325" s="4"/>
      <c r="D325" s="4"/>
      <c r="E325" s="4"/>
    </row>
    <row r="326" spans="1:5" x14ac:dyDescent="0.25">
      <c r="A326" s="4">
        <v>325</v>
      </c>
      <c r="B326" s="4"/>
      <c r="C326" s="4"/>
      <c r="D326" s="4"/>
      <c r="E326" s="4"/>
    </row>
    <row r="327" spans="1:5" x14ac:dyDescent="0.25">
      <c r="A327" s="4">
        <v>326</v>
      </c>
      <c r="B327" s="4"/>
      <c r="C327" s="4"/>
      <c r="D327" s="4"/>
      <c r="E327" s="4"/>
    </row>
    <row r="328" spans="1:5" x14ac:dyDescent="0.25">
      <c r="A328" s="4">
        <v>327</v>
      </c>
      <c r="B328" s="4"/>
      <c r="C328" s="4"/>
      <c r="D328" s="4"/>
      <c r="E328" s="4"/>
    </row>
    <row r="329" spans="1:5" x14ac:dyDescent="0.25">
      <c r="A329" s="4">
        <v>328</v>
      </c>
      <c r="B329" s="4"/>
      <c r="C329" s="4"/>
      <c r="D329" s="4"/>
      <c r="E329" s="4"/>
    </row>
    <row r="330" spans="1:5" x14ac:dyDescent="0.25">
      <c r="A330" s="4">
        <v>329</v>
      </c>
      <c r="B330" s="4"/>
      <c r="C330" s="4"/>
      <c r="D330" s="4"/>
      <c r="E330" s="4"/>
    </row>
    <row r="331" spans="1:5" x14ac:dyDescent="0.25">
      <c r="A331" s="4">
        <v>330</v>
      </c>
      <c r="B331" s="4"/>
      <c r="C331" s="4"/>
      <c r="D331" s="4"/>
      <c r="E331" s="4"/>
    </row>
    <row r="332" spans="1:5" x14ac:dyDescent="0.25">
      <c r="A332" s="4">
        <v>331</v>
      </c>
      <c r="B332" s="4"/>
      <c r="C332" s="4"/>
      <c r="D332" s="4"/>
      <c r="E332" s="4"/>
    </row>
    <row r="333" spans="1:5" x14ac:dyDescent="0.25">
      <c r="A333" s="4">
        <v>332</v>
      </c>
      <c r="B333" s="4"/>
      <c r="C333" s="4"/>
      <c r="D333" s="4"/>
      <c r="E333" s="4"/>
    </row>
    <row r="334" spans="1:5" x14ac:dyDescent="0.25">
      <c r="A334" s="4">
        <v>333</v>
      </c>
      <c r="B334" s="4"/>
      <c r="C334" s="4"/>
      <c r="D334" s="4"/>
      <c r="E334" s="4"/>
    </row>
    <row r="335" spans="1:5" x14ac:dyDescent="0.25">
      <c r="A335" s="4">
        <v>334</v>
      </c>
      <c r="B335" s="4"/>
      <c r="C335" s="4"/>
      <c r="D335" s="4"/>
      <c r="E335" s="4"/>
    </row>
    <row r="336" spans="1:5" x14ac:dyDescent="0.25">
      <c r="A336" s="4">
        <v>335</v>
      </c>
      <c r="B336" s="4"/>
      <c r="C336" s="4"/>
      <c r="D336" s="4"/>
      <c r="E336" s="4"/>
    </row>
    <row r="337" spans="1:5" x14ac:dyDescent="0.25">
      <c r="A337" s="4">
        <v>336</v>
      </c>
      <c r="B337" s="4"/>
      <c r="C337" s="4"/>
      <c r="D337" s="4"/>
      <c r="E337" s="4"/>
    </row>
    <row r="338" spans="1:5" x14ac:dyDescent="0.25">
      <c r="A338" s="4">
        <v>337</v>
      </c>
      <c r="B338" s="4"/>
      <c r="C338" s="4"/>
      <c r="D338" s="4"/>
      <c r="E338" s="4"/>
    </row>
    <row r="339" spans="1:5" x14ac:dyDescent="0.25">
      <c r="A339" s="4">
        <v>338</v>
      </c>
      <c r="B339" s="4"/>
      <c r="C339" s="4"/>
      <c r="D339" s="4"/>
      <c r="E339" s="4"/>
    </row>
    <row r="340" spans="1:5" x14ac:dyDescent="0.25">
      <c r="A340" s="4">
        <v>339</v>
      </c>
      <c r="B340" s="4"/>
      <c r="C340" s="4"/>
      <c r="D340" s="4"/>
      <c r="E340" s="4"/>
    </row>
    <row r="341" spans="1:5" x14ac:dyDescent="0.25">
      <c r="A341" s="4">
        <v>340</v>
      </c>
      <c r="B341" s="4"/>
      <c r="C341" s="4"/>
      <c r="D341" s="4"/>
      <c r="E341" s="4"/>
    </row>
    <row r="342" spans="1:5" x14ac:dyDescent="0.25">
      <c r="A342" s="4">
        <v>341</v>
      </c>
      <c r="B342" s="4"/>
      <c r="C342" s="4"/>
      <c r="D342" s="4"/>
      <c r="E342" s="4"/>
    </row>
    <row r="343" spans="1:5" x14ac:dyDescent="0.25">
      <c r="A343" s="4">
        <v>342</v>
      </c>
      <c r="B343" s="4"/>
      <c r="C343" s="4"/>
      <c r="D343" s="4"/>
      <c r="E343" s="4"/>
    </row>
    <row r="344" spans="1:5" x14ac:dyDescent="0.25">
      <c r="A344" s="4">
        <v>343</v>
      </c>
      <c r="B344" s="4"/>
      <c r="C344" s="4"/>
      <c r="D344" s="4"/>
      <c r="E344" s="4"/>
    </row>
    <row r="345" spans="1:5" x14ac:dyDescent="0.25">
      <c r="A345" s="4">
        <v>344</v>
      </c>
      <c r="B345" s="4"/>
      <c r="C345" s="4"/>
      <c r="D345" s="4"/>
      <c r="E345" s="4"/>
    </row>
    <row r="346" spans="1:5" x14ac:dyDescent="0.25">
      <c r="A346" s="4">
        <v>345</v>
      </c>
      <c r="B346" s="4"/>
      <c r="C346" s="4"/>
      <c r="D346" s="4"/>
      <c r="E346" s="4"/>
    </row>
    <row r="347" spans="1:5" x14ac:dyDescent="0.25">
      <c r="A347" s="4">
        <v>346</v>
      </c>
      <c r="B347" s="4"/>
      <c r="C347" s="4"/>
      <c r="D347" s="4"/>
      <c r="E347" s="4"/>
    </row>
    <row r="348" spans="1:5" x14ac:dyDescent="0.25">
      <c r="A348" s="4">
        <v>347</v>
      </c>
      <c r="B348" s="4"/>
      <c r="C348" s="4"/>
      <c r="D348" s="4"/>
      <c r="E348" s="4"/>
    </row>
    <row r="349" spans="1:5" x14ac:dyDescent="0.25">
      <c r="A349" s="4">
        <v>348</v>
      </c>
      <c r="B349" s="4"/>
      <c r="C349" s="4"/>
      <c r="D349" s="4"/>
      <c r="E349" s="4"/>
    </row>
    <row r="350" spans="1:5" x14ac:dyDescent="0.25">
      <c r="A350" s="4">
        <v>349</v>
      </c>
      <c r="B350" s="4"/>
      <c r="C350" s="4"/>
      <c r="D350" s="4"/>
      <c r="E350" s="4"/>
    </row>
    <row r="351" spans="1:5" x14ac:dyDescent="0.25">
      <c r="A351" s="4">
        <v>350</v>
      </c>
      <c r="B351" s="4"/>
      <c r="C351" s="4"/>
      <c r="D351" s="4"/>
      <c r="E351" s="4"/>
    </row>
    <row r="352" spans="1:5" x14ac:dyDescent="0.25">
      <c r="A352" s="4">
        <v>351</v>
      </c>
      <c r="B352" s="4"/>
      <c r="C352" s="4"/>
      <c r="D352" s="4"/>
      <c r="E352" s="4"/>
    </row>
    <row r="353" spans="1:5" x14ac:dyDescent="0.25">
      <c r="A353" s="4">
        <v>352</v>
      </c>
      <c r="B353" s="4"/>
      <c r="C353" s="4"/>
      <c r="D353" s="4"/>
      <c r="E353" s="4"/>
    </row>
    <row r="354" spans="1:5" x14ac:dyDescent="0.25">
      <c r="A354" s="4">
        <v>353</v>
      </c>
      <c r="B354" s="4"/>
      <c r="C354" s="4"/>
      <c r="D354" s="4"/>
      <c r="E354" s="4"/>
    </row>
    <row r="355" spans="1:5" x14ac:dyDescent="0.25">
      <c r="A355" s="4">
        <v>354</v>
      </c>
      <c r="B355" s="4"/>
      <c r="C355" s="4"/>
      <c r="D355" s="4"/>
      <c r="E355" s="4"/>
    </row>
    <row r="356" spans="1:5" x14ac:dyDescent="0.25">
      <c r="A356" s="4">
        <v>355</v>
      </c>
      <c r="B356" s="4"/>
      <c r="C356" s="4"/>
      <c r="D356" s="4"/>
      <c r="E356" s="4"/>
    </row>
    <row r="357" spans="1:5" x14ac:dyDescent="0.25">
      <c r="A357" s="4">
        <v>356</v>
      </c>
      <c r="B357" s="4"/>
      <c r="C357" s="4"/>
      <c r="D357" s="4"/>
      <c r="E357" s="4"/>
    </row>
    <row r="358" spans="1:5" x14ac:dyDescent="0.25">
      <c r="A358" s="4">
        <v>357</v>
      </c>
      <c r="B358" s="4"/>
      <c r="C358" s="4"/>
      <c r="D358" s="4"/>
      <c r="E358" s="4"/>
    </row>
    <row r="359" spans="1:5" x14ac:dyDescent="0.25">
      <c r="A359" s="4">
        <v>358</v>
      </c>
      <c r="B359" s="4"/>
      <c r="C359" s="4"/>
      <c r="D359" s="4"/>
      <c r="E359" s="4"/>
    </row>
    <row r="360" spans="1:5" x14ac:dyDescent="0.25">
      <c r="A360" s="4">
        <v>359</v>
      </c>
      <c r="B360" s="4"/>
      <c r="C360" s="4"/>
      <c r="D360" s="4"/>
      <c r="E360" s="4"/>
    </row>
    <row r="361" spans="1:5" x14ac:dyDescent="0.25">
      <c r="A361" s="4">
        <v>360</v>
      </c>
      <c r="B361" s="4"/>
      <c r="C361" s="4"/>
      <c r="D361" s="4"/>
      <c r="E361" s="4"/>
    </row>
    <row r="362" spans="1:5" x14ac:dyDescent="0.25">
      <c r="A362" s="4">
        <v>361</v>
      </c>
      <c r="B362" s="4"/>
      <c r="C362" s="4"/>
      <c r="D362" s="4"/>
      <c r="E362" s="4"/>
    </row>
    <row r="363" spans="1:5" x14ac:dyDescent="0.25">
      <c r="A363" s="4">
        <v>362</v>
      </c>
      <c r="B363" s="4"/>
      <c r="C363" s="4"/>
      <c r="D363" s="4"/>
      <c r="E363" s="4"/>
    </row>
    <row r="364" spans="1:5" x14ac:dyDescent="0.25">
      <c r="A364" s="4">
        <v>363</v>
      </c>
      <c r="B364" s="4"/>
      <c r="C364" s="4"/>
      <c r="D364" s="4"/>
      <c r="E364" s="4"/>
    </row>
    <row r="365" spans="1:5" x14ac:dyDescent="0.25">
      <c r="A365" s="4">
        <v>364</v>
      </c>
      <c r="B365" s="4"/>
      <c r="C365" s="4"/>
      <c r="D365" s="4"/>
      <c r="E365" s="4"/>
    </row>
    <row r="366" spans="1:5" x14ac:dyDescent="0.25">
      <c r="A366" s="4">
        <v>365</v>
      </c>
      <c r="B366" s="4"/>
      <c r="C366" s="4"/>
      <c r="D366" s="4"/>
      <c r="E366" s="4"/>
    </row>
    <row r="367" spans="1:5" x14ac:dyDescent="0.25">
      <c r="A367" s="4">
        <v>366</v>
      </c>
      <c r="B367" s="4"/>
      <c r="C367" s="4"/>
      <c r="D367" s="4"/>
      <c r="E367" s="4"/>
    </row>
    <row r="368" spans="1:5" x14ac:dyDescent="0.25">
      <c r="A368" s="4">
        <v>367</v>
      </c>
      <c r="B368" s="4"/>
      <c r="C368" s="4"/>
      <c r="D368" s="4"/>
      <c r="E368" s="4"/>
    </row>
    <row r="369" spans="1:5" x14ac:dyDescent="0.25">
      <c r="A369" s="4">
        <v>368</v>
      </c>
      <c r="B369" s="4"/>
      <c r="C369" s="4"/>
      <c r="D369" s="4"/>
      <c r="E369" s="4"/>
    </row>
    <row r="370" spans="1:5" x14ac:dyDescent="0.25">
      <c r="A370" s="4">
        <v>369</v>
      </c>
      <c r="B370" s="4"/>
      <c r="C370" s="4"/>
      <c r="D370" s="4"/>
      <c r="E370" s="4"/>
    </row>
    <row r="371" spans="1:5" x14ac:dyDescent="0.25">
      <c r="A371" s="4">
        <v>370</v>
      </c>
      <c r="B371" s="4"/>
      <c r="C371" s="4"/>
      <c r="D371" s="4"/>
      <c r="E371" s="4"/>
    </row>
    <row r="372" spans="1:5" x14ac:dyDescent="0.25">
      <c r="A372" s="4">
        <v>371</v>
      </c>
      <c r="B372" s="4"/>
      <c r="C372" s="4"/>
      <c r="D372" s="4"/>
      <c r="E372" s="4"/>
    </row>
    <row r="373" spans="1:5" x14ac:dyDescent="0.25">
      <c r="A373" s="4">
        <v>372</v>
      </c>
      <c r="B373" s="4"/>
      <c r="C373" s="4"/>
      <c r="D373" s="4"/>
      <c r="E373" s="4"/>
    </row>
    <row r="374" spans="1:5" x14ac:dyDescent="0.25">
      <c r="A374" s="4">
        <v>373</v>
      </c>
      <c r="B374" s="4"/>
      <c r="C374" s="4"/>
      <c r="D374" s="4"/>
      <c r="E374" s="4"/>
    </row>
    <row r="375" spans="1:5" x14ac:dyDescent="0.25">
      <c r="A375" s="4">
        <v>374</v>
      </c>
      <c r="B375" s="4"/>
      <c r="C375" s="4"/>
      <c r="D375" s="4"/>
      <c r="E375" s="4"/>
    </row>
    <row r="376" spans="1:5" x14ac:dyDescent="0.25">
      <c r="A376" s="4">
        <v>375</v>
      </c>
      <c r="B376" s="4"/>
      <c r="C376" s="4"/>
      <c r="D376" s="4"/>
      <c r="E376" s="4"/>
    </row>
    <row r="377" spans="1:5" x14ac:dyDescent="0.25">
      <c r="A377" s="4">
        <v>376</v>
      </c>
      <c r="B377" s="4"/>
      <c r="C377" s="4"/>
      <c r="D377" s="4"/>
      <c r="E377" s="4"/>
    </row>
    <row r="378" spans="1:5" x14ac:dyDescent="0.25">
      <c r="A378" s="4">
        <v>377</v>
      </c>
      <c r="B378" s="4"/>
      <c r="C378" s="4"/>
      <c r="D378" s="4"/>
      <c r="E378" s="4"/>
    </row>
    <row r="379" spans="1:5" x14ac:dyDescent="0.25">
      <c r="A379" s="4">
        <v>378</v>
      </c>
      <c r="B379" s="4"/>
      <c r="C379" s="4"/>
      <c r="D379" s="4"/>
      <c r="E379" s="4"/>
    </row>
    <row r="380" spans="1:5" x14ac:dyDescent="0.25">
      <c r="A380" s="4">
        <v>379</v>
      </c>
      <c r="B380" s="4"/>
      <c r="C380" s="4"/>
      <c r="D380" s="4"/>
      <c r="E380" s="4"/>
    </row>
    <row r="381" spans="1:5" x14ac:dyDescent="0.25">
      <c r="A381" s="4">
        <v>380</v>
      </c>
      <c r="B381" s="4"/>
      <c r="C381" s="4"/>
      <c r="D381" s="4"/>
      <c r="E381" s="4"/>
    </row>
    <row r="382" spans="1:5" x14ac:dyDescent="0.25">
      <c r="A382" s="4">
        <v>381</v>
      </c>
      <c r="B382" s="4"/>
      <c r="C382" s="4"/>
      <c r="D382" s="4"/>
      <c r="E382" s="4"/>
    </row>
    <row r="383" spans="1:5" x14ac:dyDescent="0.25">
      <c r="A383" s="4">
        <v>382</v>
      </c>
      <c r="B383" s="4"/>
      <c r="C383" s="4"/>
      <c r="D383" s="4"/>
      <c r="E383" s="4"/>
    </row>
    <row r="384" spans="1:5" x14ac:dyDescent="0.25">
      <c r="A384" s="4">
        <v>383</v>
      </c>
      <c r="B384" s="4"/>
      <c r="C384" s="4"/>
      <c r="D384" s="4"/>
      <c r="E384" s="4"/>
    </row>
    <row r="385" spans="1:5" x14ac:dyDescent="0.25">
      <c r="A385" s="4">
        <v>384</v>
      </c>
      <c r="B385" s="4"/>
      <c r="C385" s="4"/>
      <c r="D385" s="4"/>
      <c r="E385" s="4"/>
    </row>
    <row r="386" spans="1:5" x14ac:dyDescent="0.25">
      <c r="A386" s="4">
        <v>385</v>
      </c>
      <c r="B386" s="4"/>
      <c r="C386" s="4"/>
      <c r="D386" s="4"/>
      <c r="E386" s="4"/>
    </row>
    <row r="387" spans="1:5" x14ac:dyDescent="0.25">
      <c r="A387" s="4">
        <v>386</v>
      </c>
      <c r="B387" s="4"/>
      <c r="C387" s="4"/>
      <c r="D387" s="4"/>
      <c r="E387" s="4"/>
    </row>
    <row r="388" spans="1:5" x14ac:dyDescent="0.25">
      <c r="A388" s="4">
        <v>387</v>
      </c>
      <c r="B388" s="4"/>
      <c r="C388" s="4"/>
      <c r="D388" s="4"/>
      <c r="E388" s="4"/>
    </row>
    <row r="389" spans="1:5" x14ac:dyDescent="0.25">
      <c r="A389" s="4">
        <v>388</v>
      </c>
      <c r="B389" s="4"/>
      <c r="C389" s="4"/>
      <c r="D389" s="4"/>
      <c r="E389" s="4"/>
    </row>
    <row r="390" spans="1:5" x14ac:dyDescent="0.25">
      <c r="A390" s="4">
        <v>389</v>
      </c>
      <c r="B390" s="4"/>
      <c r="C390" s="4"/>
      <c r="D390" s="4"/>
      <c r="E390" s="4"/>
    </row>
    <row r="391" spans="1:5" x14ac:dyDescent="0.25">
      <c r="A391" s="4">
        <v>390</v>
      </c>
      <c r="B391" s="4"/>
      <c r="C391" s="4"/>
      <c r="D391" s="4"/>
      <c r="E391" s="4"/>
    </row>
    <row r="392" spans="1:5" x14ac:dyDescent="0.25">
      <c r="A392" s="4">
        <v>391</v>
      </c>
      <c r="B392" s="4"/>
      <c r="C392" s="4"/>
      <c r="D392" s="4"/>
      <c r="E392" s="4"/>
    </row>
    <row r="393" spans="1:5" x14ac:dyDescent="0.25">
      <c r="A393" s="4">
        <v>392</v>
      </c>
      <c r="B393" s="4"/>
      <c r="C393" s="4"/>
      <c r="D393" s="4"/>
      <c r="E393" s="4"/>
    </row>
    <row r="394" spans="1:5" x14ac:dyDescent="0.25">
      <c r="A394" s="4">
        <v>393</v>
      </c>
      <c r="B394" s="4"/>
      <c r="C394" s="4"/>
      <c r="D394" s="4"/>
      <c r="E394" s="4"/>
    </row>
    <row r="395" spans="1:5" x14ac:dyDescent="0.25">
      <c r="A395" s="4">
        <v>394</v>
      </c>
      <c r="B395" s="4"/>
      <c r="C395" s="4"/>
      <c r="D395" s="4"/>
      <c r="E395" s="4"/>
    </row>
    <row r="396" spans="1:5" x14ac:dyDescent="0.25">
      <c r="A396" s="4">
        <v>395</v>
      </c>
      <c r="B396" s="4"/>
      <c r="C396" s="4"/>
      <c r="D396" s="4"/>
      <c r="E396" s="4"/>
    </row>
    <row r="397" spans="1:5" x14ac:dyDescent="0.25">
      <c r="A397" s="4">
        <v>396</v>
      </c>
      <c r="B397" s="4"/>
      <c r="C397" s="4"/>
      <c r="D397" s="4"/>
      <c r="E397" s="4"/>
    </row>
    <row r="398" spans="1:5" x14ac:dyDescent="0.25">
      <c r="A398" s="4">
        <v>397</v>
      </c>
      <c r="B398" s="4"/>
      <c r="C398" s="4"/>
      <c r="D398" s="4"/>
      <c r="E398" s="4"/>
    </row>
    <row r="399" spans="1:5" x14ac:dyDescent="0.25">
      <c r="A399" s="4">
        <v>398</v>
      </c>
      <c r="B399" s="4"/>
      <c r="C399" s="4"/>
      <c r="D399" s="4"/>
      <c r="E399" s="4"/>
    </row>
    <row r="400" spans="1:5" x14ac:dyDescent="0.25">
      <c r="A400" s="4">
        <v>399</v>
      </c>
      <c r="B400" s="4"/>
      <c r="C400" s="4"/>
      <c r="D400" s="4"/>
      <c r="E400" s="4"/>
    </row>
    <row r="401" spans="1:5" x14ac:dyDescent="0.25">
      <c r="A401" s="4">
        <v>400</v>
      </c>
      <c r="B401" s="4"/>
      <c r="C401" s="4"/>
      <c r="D401" s="4"/>
      <c r="E401" s="4"/>
    </row>
    <row r="402" spans="1:5" x14ac:dyDescent="0.25">
      <c r="A402" s="4">
        <v>401</v>
      </c>
      <c r="B402" s="4"/>
      <c r="C402" s="4"/>
      <c r="D402" s="4"/>
      <c r="E402" s="4"/>
    </row>
    <row r="403" spans="1:5" x14ac:dyDescent="0.25">
      <c r="A403" s="4">
        <v>402</v>
      </c>
      <c r="B403" s="4"/>
      <c r="C403" s="4"/>
      <c r="D403" s="4"/>
      <c r="E403" s="4"/>
    </row>
    <row r="404" spans="1:5" x14ac:dyDescent="0.25">
      <c r="A404" s="4">
        <v>403</v>
      </c>
      <c r="B404" s="4"/>
      <c r="C404" s="4"/>
      <c r="D404" s="4"/>
      <c r="E404" s="4"/>
    </row>
    <row r="405" spans="1:5" x14ac:dyDescent="0.25">
      <c r="A405" s="4">
        <v>404</v>
      </c>
      <c r="B405" s="4"/>
      <c r="C405" s="4"/>
      <c r="D405" s="4"/>
      <c r="E405" s="4"/>
    </row>
    <row r="406" spans="1:5" x14ac:dyDescent="0.25">
      <c r="A406" s="4">
        <v>405</v>
      </c>
      <c r="B406" s="4"/>
      <c r="C406" s="4"/>
      <c r="D406" s="4"/>
      <c r="E406" s="4"/>
    </row>
    <row r="407" spans="1:5" x14ac:dyDescent="0.25">
      <c r="A407" s="4">
        <v>406</v>
      </c>
      <c r="B407" s="4"/>
      <c r="C407" s="4"/>
      <c r="D407" s="4"/>
      <c r="E407" s="4"/>
    </row>
    <row r="408" spans="1:5" x14ac:dyDescent="0.25">
      <c r="A408" s="4">
        <v>407</v>
      </c>
      <c r="B408" s="4"/>
      <c r="C408" s="4"/>
      <c r="D408" s="4"/>
      <c r="E408" s="4"/>
    </row>
    <row r="409" spans="1:5" x14ac:dyDescent="0.25">
      <c r="A409" s="4">
        <v>408</v>
      </c>
      <c r="B409" s="4"/>
      <c r="C409" s="4"/>
      <c r="D409" s="4"/>
      <c r="E409" s="4"/>
    </row>
    <row r="410" spans="1:5" x14ac:dyDescent="0.25">
      <c r="A410" s="4">
        <v>409</v>
      </c>
      <c r="B410" s="4"/>
      <c r="C410" s="4"/>
      <c r="D410" s="4"/>
      <c r="E410" s="4"/>
    </row>
    <row r="411" spans="1:5" x14ac:dyDescent="0.25">
      <c r="A411" s="4">
        <v>410</v>
      </c>
      <c r="B411" s="4"/>
      <c r="C411" s="4"/>
      <c r="D411" s="4"/>
      <c r="E411" s="4"/>
    </row>
    <row r="412" spans="1:5" x14ac:dyDescent="0.25">
      <c r="A412" s="4">
        <v>411</v>
      </c>
      <c r="B412" s="4"/>
      <c r="C412" s="4"/>
      <c r="D412" s="4"/>
      <c r="E412" s="4"/>
    </row>
    <row r="413" spans="1:5" x14ac:dyDescent="0.25">
      <c r="A413" s="4">
        <v>412</v>
      </c>
      <c r="B413" s="4"/>
      <c r="C413" s="4"/>
      <c r="D413" s="4"/>
      <c r="E413" s="4"/>
    </row>
    <row r="414" spans="1:5" x14ac:dyDescent="0.25">
      <c r="A414" s="4">
        <v>413</v>
      </c>
      <c r="B414" s="4"/>
      <c r="C414" s="4"/>
      <c r="D414" s="4"/>
      <c r="E414" s="4"/>
    </row>
    <row r="415" spans="1:5" x14ac:dyDescent="0.25">
      <c r="A415" s="4">
        <v>414</v>
      </c>
      <c r="B415" s="4"/>
      <c r="C415" s="4"/>
      <c r="D415" s="4"/>
      <c r="E415" s="4"/>
    </row>
    <row r="416" spans="1:5" x14ac:dyDescent="0.25">
      <c r="A416" s="4">
        <v>415</v>
      </c>
      <c r="B416" s="4"/>
      <c r="C416" s="4"/>
      <c r="D416" s="4"/>
      <c r="E416" s="4"/>
    </row>
    <row r="417" spans="1:5" x14ac:dyDescent="0.25">
      <c r="A417" s="4">
        <v>416</v>
      </c>
      <c r="B417" s="4"/>
      <c r="C417" s="4"/>
      <c r="D417" s="4"/>
      <c r="E417" s="4"/>
    </row>
    <row r="418" spans="1:5" x14ac:dyDescent="0.25">
      <c r="A418" s="4">
        <v>417</v>
      </c>
      <c r="B418" s="4"/>
      <c r="C418" s="4"/>
      <c r="D418" s="4"/>
      <c r="E418" s="4"/>
    </row>
    <row r="419" spans="1:5" x14ac:dyDescent="0.25">
      <c r="A419" s="4">
        <v>418</v>
      </c>
      <c r="B419" s="4"/>
      <c r="C419" s="4"/>
      <c r="D419" s="4"/>
      <c r="E419" s="4"/>
    </row>
    <row r="420" spans="1:5" x14ac:dyDescent="0.25">
      <c r="A420" s="4">
        <v>419</v>
      </c>
      <c r="B420" s="4"/>
      <c r="C420" s="4"/>
      <c r="D420" s="4"/>
      <c r="E420" s="4"/>
    </row>
    <row r="421" spans="1:5" x14ac:dyDescent="0.25">
      <c r="A421" s="4">
        <v>420</v>
      </c>
      <c r="B421" s="4"/>
      <c r="C421" s="4"/>
      <c r="D421" s="4"/>
      <c r="E421" s="4"/>
    </row>
    <row r="422" spans="1:5" x14ac:dyDescent="0.25">
      <c r="A422" s="4">
        <v>421</v>
      </c>
      <c r="B422" s="4"/>
      <c r="C422" s="4"/>
      <c r="D422" s="4"/>
      <c r="E422" s="4"/>
    </row>
    <row r="423" spans="1:5" x14ac:dyDescent="0.25">
      <c r="A423" s="4">
        <v>422</v>
      </c>
      <c r="B423" s="4"/>
      <c r="C423" s="4"/>
      <c r="D423" s="4"/>
      <c r="E423" s="4"/>
    </row>
    <row r="424" spans="1:5" x14ac:dyDescent="0.25">
      <c r="A424" s="4">
        <v>423</v>
      </c>
      <c r="B424" s="4"/>
      <c r="C424" s="4"/>
      <c r="D424" s="4"/>
      <c r="E424" s="4"/>
    </row>
    <row r="425" spans="1:5" x14ac:dyDescent="0.25">
      <c r="A425" s="4">
        <v>424</v>
      </c>
      <c r="B425" s="4"/>
      <c r="C425" s="4"/>
      <c r="D425" s="4"/>
      <c r="E425" s="4"/>
    </row>
    <row r="426" spans="1:5" x14ac:dyDescent="0.25">
      <c r="A426" s="4">
        <v>425</v>
      </c>
      <c r="B426" s="4"/>
      <c r="C426" s="4"/>
      <c r="D426" s="4"/>
      <c r="E426" s="4"/>
    </row>
    <row r="427" spans="1:5" x14ac:dyDescent="0.25">
      <c r="A427" s="4">
        <v>426</v>
      </c>
      <c r="B427" s="4"/>
      <c r="C427" s="4"/>
      <c r="D427" s="4"/>
      <c r="E427" s="4"/>
    </row>
    <row r="428" spans="1:5" x14ac:dyDescent="0.25">
      <c r="A428" s="4">
        <v>427</v>
      </c>
      <c r="B428" s="4"/>
      <c r="C428" s="4"/>
      <c r="D428" s="4"/>
      <c r="E428" s="4"/>
    </row>
    <row r="429" spans="1:5" x14ac:dyDescent="0.25">
      <c r="A429" s="4">
        <v>428</v>
      </c>
      <c r="B429" s="4"/>
      <c r="C429" s="4"/>
      <c r="D429" s="4"/>
      <c r="E429" s="4"/>
    </row>
    <row r="430" spans="1:5" x14ac:dyDescent="0.25">
      <c r="A430" s="4">
        <v>429</v>
      </c>
      <c r="B430" s="4"/>
      <c r="C430" s="4"/>
      <c r="D430" s="4"/>
      <c r="E430" s="4"/>
    </row>
    <row r="431" spans="1:5" x14ac:dyDescent="0.25">
      <c r="A431" s="4">
        <v>430</v>
      </c>
      <c r="B431" s="4"/>
      <c r="C431" s="4"/>
      <c r="D431" s="4"/>
      <c r="E431" s="4"/>
    </row>
    <row r="432" spans="1:5" x14ac:dyDescent="0.25">
      <c r="A432" s="4">
        <v>431</v>
      </c>
      <c r="B432" s="4"/>
      <c r="C432" s="4"/>
      <c r="D432" s="4"/>
      <c r="E432" s="4"/>
    </row>
    <row r="433" spans="1:5" x14ac:dyDescent="0.25">
      <c r="A433" s="4">
        <v>432</v>
      </c>
      <c r="B433" s="4"/>
      <c r="C433" s="4"/>
      <c r="D433" s="4"/>
      <c r="E433" s="4"/>
    </row>
    <row r="434" spans="1:5" x14ac:dyDescent="0.25">
      <c r="A434" s="4">
        <v>433</v>
      </c>
      <c r="B434" s="4"/>
      <c r="C434" s="4"/>
      <c r="D434" s="4"/>
      <c r="E434" s="4"/>
    </row>
    <row r="435" spans="1:5" x14ac:dyDescent="0.25">
      <c r="A435" s="4">
        <v>434</v>
      </c>
      <c r="B435" s="4"/>
      <c r="C435" s="4"/>
      <c r="D435" s="4"/>
      <c r="E435" s="4"/>
    </row>
    <row r="436" spans="1:5" x14ac:dyDescent="0.25">
      <c r="A436" s="4">
        <v>435</v>
      </c>
      <c r="B436" s="4"/>
      <c r="C436" s="4"/>
      <c r="D436" s="4"/>
      <c r="E436" s="4"/>
    </row>
    <row r="437" spans="1:5" x14ac:dyDescent="0.25">
      <c r="A437" s="4">
        <v>436</v>
      </c>
      <c r="B437" s="4"/>
      <c r="C437" s="4"/>
      <c r="D437" s="4"/>
      <c r="E437" s="4"/>
    </row>
    <row r="438" spans="1:5" x14ac:dyDescent="0.25">
      <c r="A438" s="4">
        <v>437</v>
      </c>
      <c r="B438" s="4"/>
      <c r="C438" s="4"/>
      <c r="D438" s="4"/>
      <c r="E438" s="4"/>
    </row>
    <row r="439" spans="1:5" x14ac:dyDescent="0.25">
      <c r="A439" s="4">
        <v>438</v>
      </c>
      <c r="B439" s="4"/>
      <c r="C439" s="4"/>
      <c r="D439" s="4"/>
      <c r="E439" s="4"/>
    </row>
    <row r="440" spans="1:5" x14ac:dyDescent="0.25">
      <c r="A440" s="4">
        <v>439</v>
      </c>
      <c r="B440" s="4"/>
      <c r="C440" s="4"/>
      <c r="D440" s="4"/>
      <c r="E440" s="4"/>
    </row>
    <row r="441" spans="1:5" x14ac:dyDescent="0.25">
      <c r="A441" s="4">
        <v>440</v>
      </c>
      <c r="B441" s="4"/>
      <c r="C441" s="4"/>
      <c r="D441" s="4"/>
      <c r="E441" s="4"/>
    </row>
    <row r="442" spans="1:5" x14ac:dyDescent="0.25">
      <c r="A442" s="4">
        <v>441</v>
      </c>
      <c r="B442" s="4"/>
      <c r="C442" s="4"/>
      <c r="D442" s="4"/>
      <c r="E442" s="4"/>
    </row>
    <row r="443" spans="1:5" x14ac:dyDescent="0.25">
      <c r="A443" s="4">
        <v>442</v>
      </c>
      <c r="B443" s="4"/>
      <c r="C443" s="4"/>
      <c r="D443" s="4"/>
      <c r="E443" s="4"/>
    </row>
    <row r="444" spans="1:5" x14ac:dyDescent="0.25">
      <c r="A444" s="4">
        <v>443</v>
      </c>
      <c r="B444" s="4"/>
      <c r="C444" s="4"/>
      <c r="D444" s="4"/>
      <c r="E444" s="4"/>
    </row>
    <row r="445" spans="1:5" x14ac:dyDescent="0.25">
      <c r="A445" s="4">
        <v>444</v>
      </c>
      <c r="B445" s="4"/>
      <c r="C445" s="4"/>
      <c r="D445" s="4"/>
      <c r="E445" s="4"/>
    </row>
    <row r="446" spans="1:5" x14ac:dyDescent="0.25">
      <c r="A446" s="4">
        <v>445</v>
      </c>
      <c r="B446" s="4"/>
      <c r="C446" s="4"/>
      <c r="D446" s="4"/>
      <c r="E446" s="4"/>
    </row>
    <row r="447" spans="1:5" x14ac:dyDescent="0.25">
      <c r="A447" s="4">
        <v>446</v>
      </c>
      <c r="B447" s="4"/>
      <c r="C447" s="4"/>
      <c r="D447" s="4"/>
      <c r="E447" s="4"/>
    </row>
    <row r="448" spans="1:5" x14ac:dyDescent="0.25">
      <c r="A448" s="4">
        <v>447</v>
      </c>
      <c r="B448" s="4"/>
      <c r="C448" s="4"/>
      <c r="D448" s="4"/>
      <c r="E448" s="4"/>
    </row>
    <row r="449" spans="1:5" x14ac:dyDescent="0.25">
      <c r="A449" s="4">
        <v>448</v>
      </c>
      <c r="B449" s="4"/>
      <c r="C449" s="4"/>
      <c r="D449" s="4"/>
      <c r="E449" s="4"/>
    </row>
    <row r="450" spans="1:5" x14ac:dyDescent="0.25">
      <c r="A450" s="4">
        <v>449</v>
      </c>
      <c r="B450" s="4"/>
      <c r="C450" s="4"/>
      <c r="D450" s="4"/>
      <c r="E450" s="4"/>
    </row>
    <row r="451" spans="1:5" x14ac:dyDescent="0.25">
      <c r="A451" s="4">
        <v>450</v>
      </c>
      <c r="B451" s="4"/>
      <c r="C451" s="4"/>
      <c r="D451" s="4"/>
      <c r="E451" s="4"/>
    </row>
    <row r="452" spans="1:5" x14ac:dyDescent="0.25">
      <c r="A452" s="4">
        <v>451</v>
      </c>
      <c r="B452" s="4"/>
      <c r="C452" s="4"/>
      <c r="D452" s="4"/>
      <c r="E452" s="4"/>
    </row>
    <row r="453" spans="1:5" x14ac:dyDescent="0.25">
      <c r="A453" s="4">
        <v>452</v>
      </c>
      <c r="B453" s="4"/>
      <c r="C453" s="4"/>
      <c r="D453" s="4"/>
      <c r="E453" s="4"/>
    </row>
    <row r="454" spans="1:5" x14ac:dyDescent="0.25">
      <c r="A454" s="4">
        <v>453</v>
      </c>
      <c r="B454" s="4"/>
      <c r="C454" s="4"/>
      <c r="D454" s="4"/>
      <c r="E454" s="4"/>
    </row>
    <row r="455" spans="1:5" x14ac:dyDescent="0.25">
      <c r="A455" s="4">
        <v>454</v>
      </c>
      <c r="B455" s="4"/>
      <c r="C455" s="4"/>
      <c r="D455" s="4"/>
      <c r="E455" s="4"/>
    </row>
    <row r="456" spans="1:5" x14ac:dyDescent="0.25">
      <c r="A456" s="4">
        <v>455</v>
      </c>
      <c r="B456" s="4"/>
      <c r="C456" s="4"/>
      <c r="D456" s="4"/>
      <c r="E456" s="4"/>
    </row>
    <row r="457" spans="1:5" x14ac:dyDescent="0.25">
      <c r="A457" s="4">
        <v>456</v>
      </c>
      <c r="B457" s="4"/>
      <c r="C457" s="4"/>
      <c r="D457" s="4"/>
      <c r="E457" s="4"/>
    </row>
    <row r="458" spans="1:5" x14ac:dyDescent="0.25">
      <c r="A458" s="4">
        <v>457</v>
      </c>
      <c r="B458" s="4"/>
      <c r="C458" s="4"/>
      <c r="D458" s="4"/>
      <c r="E458" s="4"/>
    </row>
    <row r="459" spans="1:5" x14ac:dyDescent="0.25">
      <c r="A459" s="4">
        <v>458</v>
      </c>
      <c r="B459" s="4"/>
      <c r="C459" s="4"/>
      <c r="D459" s="4"/>
      <c r="E459" s="4"/>
    </row>
    <row r="460" spans="1:5" x14ac:dyDescent="0.25">
      <c r="A460" s="4">
        <v>459</v>
      </c>
      <c r="B460" s="4"/>
      <c r="C460" s="4"/>
      <c r="D460" s="4"/>
      <c r="E460" s="4"/>
    </row>
    <row r="461" spans="1:5" x14ac:dyDescent="0.25">
      <c r="A461" s="4">
        <v>460</v>
      </c>
      <c r="B461" s="4"/>
      <c r="C461" s="4"/>
      <c r="D461" s="4"/>
      <c r="E461" s="4"/>
    </row>
    <row r="462" spans="1:5" x14ac:dyDescent="0.25">
      <c r="A462" s="4">
        <v>461</v>
      </c>
      <c r="B462" s="4"/>
      <c r="C462" s="4"/>
      <c r="D462" s="4"/>
      <c r="E462" s="4"/>
    </row>
    <row r="463" spans="1:5" x14ac:dyDescent="0.25">
      <c r="A463" s="4">
        <v>462</v>
      </c>
      <c r="B463" s="4"/>
      <c r="C463" s="4"/>
      <c r="D463" s="4"/>
      <c r="E463" s="4"/>
    </row>
    <row r="464" spans="1:5" x14ac:dyDescent="0.25">
      <c r="A464" s="4">
        <v>463</v>
      </c>
      <c r="B464" s="4"/>
      <c r="C464" s="4"/>
      <c r="D464" s="4"/>
      <c r="E464" s="4"/>
    </row>
    <row r="465" spans="1:5" x14ac:dyDescent="0.25">
      <c r="A465" s="4">
        <v>464</v>
      </c>
      <c r="B465" s="4"/>
      <c r="C465" s="4"/>
      <c r="D465" s="4"/>
      <c r="E465" s="4"/>
    </row>
    <row r="466" spans="1:5" x14ac:dyDescent="0.25">
      <c r="A466" s="4">
        <v>465</v>
      </c>
      <c r="B466" s="4"/>
      <c r="C466" s="4"/>
      <c r="D466" s="4"/>
      <c r="E466" s="4"/>
    </row>
    <row r="467" spans="1:5" x14ac:dyDescent="0.25">
      <c r="A467" s="4">
        <v>466</v>
      </c>
      <c r="B467" s="4"/>
      <c r="C467" s="4"/>
      <c r="D467" s="4"/>
      <c r="E467" s="4"/>
    </row>
    <row r="468" spans="1:5" x14ac:dyDescent="0.25">
      <c r="A468" s="4">
        <v>467</v>
      </c>
      <c r="B468" s="4"/>
      <c r="C468" s="4"/>
      <c r="D468" s="4"/>
      <c r="E468" s="4"/>
    </row>
    <row r="469" spans="1:5" x14ac:dyDescent="0.25">
      <c r="A469" s="4">
        <v>468</v>
      </c>
      <c r="B469" s="4"/>
      <c r="C469" s="4"/>
      <c r="D469" s="4"/>
      <c r="E469" s="4"/>
    </row>
    <row r="470" spans="1:5" x14ac:dyDescent="0.25">
      <c r="A470" s="4">
        <v>469</v>
      </c>
      <c r="B470" s="4"/>
      <c r="C470" s="4"/>
      <c r="D470" s="4"/>
      <c r="E470" s="4"/>
    </row>
    <row r="471" spans="1:5" x14ac:dyDescent="0.25">
      <c r="A471" s="4">
        <v>470</v>
      </c>
      <c r="B471" s="4"/>
      <c r="C471" s="4"/>
      <c r="D471" s="4"/>
      <c r="E471" s="4"/>
    </row>
    <row r="472" spans="1:5" x14ac:dyDescent="0.25">
      <c r="A472" s="4">
        <v>471</v>
      </c>
      <c r="B472" s="4"/>
      <c r="C472" s="4"/>
      <c r="D472" s="4"/>
      <c r="E472" s="4"/>
    </row>
    <row r="473" spans="1:5" x14ac:dyDescent="0.25">
      <c r="A473" s="4">
        <v>472</v>
      </c>
      <c r="B473" s="4"/>
      <c r="C473" s="4"/>
      <c r="D473" s="4"/>
      <c r="E473" s="4"/>
    </row>
    <row r="474" spans="1:5" x14ac:dyDescent="0.25">
      <c r="A474" s="4">
        <v>473</v>
      </c>
      <c r="B474" s="4"/>
      <c r="C474" s="4"/>
      <c r="D474" s="4"/>
      <c r="E474" s="4"/>
    </row>
    <row r="475" spans="1:5" x14ac:dyDescent="0.25">
      <c r="A475" s="4">
        <v>474</v>
      </c>
      <c r="B475" s="4"/>
      <c r="C475" s="4"/>
      <c r="D475" s="4"/>
      <c r="E475" s="4"/>
    </row>
    <row r="476" spans="1:5" x14ac:dyDescent="0.25">
      <c r="A476" s="4">
        <v>475</v>
      </c>
      <c r="B476" s="4"/>
      <c r="C476" s="4"/>
      <c r="D476" s="4"/>
      <c r="E476" s="4"/>
    </row>
    <row r="477" spans="1:5" x14ac:dyDescent="0.25">
      <c r="A477" s="4">
        <v>476</v>
      </c>
      <c r="B477" s="4"/>
      <c r="C477" s="4"/>
      <c r="D477" s="4"/>
      <c r="E477" s="4"/>
    </row>
    <row r="478" spans="1:5" x14ac:dyDescent="0.25">
      <c r="A478" s="4">
        <v>477</v>
      </c>
      <c r="B478" s="4"/>
      <c r="C478" s="4"/>
      <c r="D478" s="4"/>
      <c r="E478" s="4"/>
    </row>
    <row r="479" spans="1:5" x14ac:dyDescent="0.25">
      <c r="A479" s="4">
        <v>478</v>
      </c>
      <c r="B479" s="4"/>
      <c r="C479" s="4"/>
      <c r="D479" s="4"/>
      <c r="E479" s="4"/>
    </row>
    <row r="480" spans="1:5" x14ac:dyDescent="0.25">
      <c r="A480" s="4">
        <v>479</v>
      </c>
      <c r="B480" s="4"/>
      <c r="C480" s="4"/>
      <c r="D480" s="4"/>
      <c r="E480" s="4"/>
    </row>
    <row r="481" spans="1:5" x14ac:dyDescent="0.25">
      <c r="A481" s="4">
        <v>480</v>
      </c>
      <c r="B481" s="4"/>
      <c r="C481" s="4"/>
      <c r="D481" s="4"/>
      <c r="E481" s="4"/>
    </row>
    <row r="482" spans="1:5" x14ac:dyDescent="0.25">
      <c r="A482" s="4">
        <v>481</v>
      </c>
      <c r="B482" s="4"/>
      <c r="C482" s="4"/>
      <c r="D482" s="4"/>
      <c r="E482" s="4"/>
    </row>
    <row r="483" spans="1:5" x14ac:dyDescent="0.25">
      <c r="A483" s="4">
        <v>482</v>
      </c>
      <c r="B483" s="4"/>
      <c r="C483" s="4"/>
      <c r="D483" s="4"/>
      <c r="E483" s="4"/>
    </row>
    <row r="484" spans="1:5" x14ac:dyDescent="0.25">
      <c r="A484" s="4">
        <v>483</v>
      </c>
      <c r="B484" s="4"/>
      <c r="C484" s="4"/>
      <c r="D484" s="4"/>
      <c r="E484" s="4"/>
    </row>
    <row r="485" spans="1:5" x14ac:dyDescent="0.25">
      <c r="A485" s="4">
        <v>484</v>
      </c>
      <c r="B485" s="4"/>
      <c r="C485" s="4"/>
      <c r="D485" s="4"/>
      <c r="E485" s="4"/>
    </row>
    <row r="486" spans="1:5" x14ac:dyDescent="0.25">
      <c r="A486" s="4">
        <v>485</v>
      </c>
      <c r="B486" s="4"/>
      <c r="C486" s="4"/>
      <c r="D486" s="4"/>
      <c r="E486" s="4"/>
    </row>
    <row r="487" spans="1:5" x14ac:dyDescent="0.25">
      <c r="A487" s="4">
        <v>486</v>
      </c>
      <c r="B487" s="4"/>
      <c r="C487" s="4"/>
      <c r="D487" s="4"/>
      <c r="E487" s="4"/>
    </row>
    <row r="488" spans="1:5" x14ac:dyDescent="0.25">
      <c r="A488" s="4">
        <v>487</v>
      </c>
      <c r="B488" s="4"/>
      <c r="C488" s="4"/>
      <c r="D488" s="4"/>
      <c r="E488" s="4"/>
    </row>
    <row r="489" spans="1:5" x14ac:dyDescent="0.25">
      <c r="A489" s="4">
        <v>488</v>
      </c>
      <c r="B489" s="4"/>
      <c r="C489" s="4"/>
      <c r="D489" s="4"/>
      <c r="E489" s="4"/>
    </row>
    <row r="490" spans="1:5" x14ac:dyDescent="0.25">
      <c r="A490" s="4">
        <v>489</v>
      </c>
      <c r="B490" s="4"/>
      <c r="C490" s="4"/>
      <c r="D490" s="4"/>
      <c r="E490" s="4"/>
    </row>
    <row r="491" spans="1:5" x14ac:dyDescent="0.25">
      <c r="A491" s="4">
        <v>490</v>
      </c>
      <c r="B491" s="4"/>
      <c r="C491" s="4"/>
      <c r="D491" s="4"/>
      <c r="E491" s="4"/>
    </row>
    <row r="492" spans="1:5" x14ac:dyDescent="0.25">
      <c r="A492" s="4">
        <v>491</v>
      </c>
      <c r="B492" s="4"/>
      <c r="C492" s="4"/>
      <c r="D492" s="4"/>
      <c r="E492" s="4"/>
    </row>
    <row r="493" spans="1:5" x14ac:dyDescent="0.25">
      <c r="A493" s="4">
        <v>492</v>
      </c>
      <c r="B493" s="4"/>
      <c r="C493" s="4"/>
      <c r="D493" s="4"/>
      <c r="E493" s="4"/>
    </row>
    <row r="494" spans="1:5" x14ac:dyDescent="0.25">
      <c r="A494" s="4">
        <v>493</v>
      </c>
      <c r="B494" s="4"/>
      <c r="C494" s="4"/>
      <c r="D494" s="4"/>
      <c r="E494" s="4"/>
    </row>
    <row r="495" spans="1:5" x14ac:dyDescent="0.25">
      <c r="A495" s="4">
        <v>494</v>
      </c>
      <c r="B495" s="4"/>
      <c r="C495" s="4"/>
      <c r="D495" s="4"/>
      <c r="E495" s="4"/>
    </row>
    <row r="496" spans="1:5" x14ac:dyDescent="0.25">
      <c r="A496" s="4">
        <v>495</v>
      </c>
      <c r="B496" s="4"/>
      <c r="C496" s="4"/>
      <c r="D496" s="4"/>
      <c r="E496" s="4"/>
    </row>
    <row r="497" spans="1:5" x14ac:dyDescent="0.25">
      <c r="A497" s="4">
        <v>496</v>
      </c>
      <c r="B497" s="4"/>
      <c r="C497" s="4"/>
      <c r="D497" s="4"/>
      <c r="E497" s="4"/>
    </row>
    <row r="498" spans="1:5" x14ac:dyDescent="0.25">
      <c r="A498" s="4">
        <v>497</v>
      </c>
      <c r="B498" s="4"/>
      <c r="C498" s="4"/>
      <c r="D498" s="4"/>
      <c r="E498" s="4"/>
    </row>
    <row r="499" spans="1:5" x14ac:dyDescent="0.25">
      <c r="A499" s="4">
        <v>498</v>
      </c>
      <c r="B499" s="4"/>
      <c r="C499" s="4"/>
      <c r="D499" s="4"/>
      <c r="E499" s="4"/>
    </row>
    <row r="500" spans="1:5" x14ac:dyDescent="0.25">
      <c r="A500" s="4">
        <v>499</v>
      </c>
      <c r="B500" s="4"/>
      <c r="C500" s="4"/>
      <c r="D500" s="4"/>
      <c r="E500" s="4"/>
    </row>
    <row r="501" spans="1:5" x14ac:dyDescent="0.25">
      <c r="A501" s="4">
        <v>500</v>
      </c>
      <c r="B501" s="4"/>
      <c r="C501" s="4"/>
      <c r="D501" s="4"/>
      <c r="E501" s="4"/>
    </row>
    <row r="502" spans="1:5" x14ac:dyDescent="0.25">
      <c r="A502" s="4">
        <v>501</v>
      </c>
      <c r="B502" s="4"/>
      <c r="C502" s="4"/>
      <c r="D502" s="4"/>
      <c r="E502" s="4"/>
    </row>
    <row r="503" spans="1:5" x14ac:dyDescent="0.25">
      <c r="A503" s="4">
        <v>502</v>
      </c>
      <c r="B503" s="4"/>
      <c r="C503" s="4"/>
      <c r="D503" s="4"/>
      <c r="E503" s="4"/>
    </row>
    <row r="504" spans="1:5" x14ac:dyDescent="0.25">
      <c r="A504" s="4">
        <v>503</v>
      </c>
      <c r="B504" s="4"/>
      <c r="C504" s="4"/>
      <c r="D504" s="4"/>
      <c r="E504" s="4"/>
    </row>
    <row r="505" spans="1:5" x14ac:dyDescent="0.25">
      <c r="A505" s="4">
        <v>504</v>
      </c>
      <c r="B505" s="4"/>
      <c r="C505" s="4"/>
      <c r="D505" s="4"/>
      <c r="E505" s="4"/>
    </row>
    <row r="506" spans="1:5" x14ac:dyDescent="0.25">
      <c r="A506" s="4">
        <v>505</v>
      </c>
      <c r="B506" s="4"/>
      <c r="C506" s="4"/>
      <c r="D506" s="4"/>
      <c r="E506" s="4"/>
    </row>
    <row r="507" spans="1:5" x14ac:dyDescent="0.25">
      <c r="A507" s="4">
        <v>506</v>
      </c>
      <c r="B507" s="4"/>
      <c r="C507" s="4"/>
      <c r="D507" s="4"/>
      <c r="E507" s="4"/>
    </row>
    <row r="508" spans="1:5" x14ac:dyDescent="0.25">
      <c r="A508" s="4">
        <v>507</v>
      </c>
      <c r="B508" s="4"/>
      <c r="C508" s="4"/>
      <c r="D508" s="4"/>
      <c r="E508" s="4"/>
    </row>
    <row r="509" spans="1:5" x14ac:dyDescent="0.25">
      <c r="A509" s="4">
        <v>508</v>
      </c>
      <c r="B509" s="4"/>
      <c r="C509" s="4"/>
      <c r="D509" s="4"/>
      <c r="E509" s="4"/>
    </row>
    <row r="510" spans="1:5" x14ac:dyDescent="0.25">
      <c r="A510" s="4">
        <v>509</v>
      </c>
      <c r="B510" s="4"/>
      <c r="C510" s="4"/>
      <c r="D510" s="4"/>
      <c r="E510" s="4"/>
    </row>
    <row r="511" spans="1:5" x14ac:dyDescent="0.25">
      <c r="A511" s="4">
        <v>510</v>
      </c>
      <c r="B511" s="4"/>
      <c r="C511" s="4"/>
      <c r="D511" s="4"/>
      <c r="E511" s="4"/>
    </row>
    <row r="512" spans="1:5" x14ac:dyDescent="0.25">
      <c r="A512" s="4">
        <v>511</v>
      </c>
      <c r="B512" s="4"/>
      <c r="C512" s="4"/>
      <c r="D512" s="4"/>
      <c r="E512" s="4"/>
    </row>
    <row r="513" spans="1:5" x14ac:dyDescent="0.25">
      <c r="A513" s="4">
        <v>512</v>
      </c>
      <c r="B513" s="4"/>
      <c r="C513" s="4"/>
      <c r="D513" s="4"/>
      <c r="E513" s="4"/>
    </row>
    <row r="514" spans="1:5" x14ac:dyDescent="0.25">
      <c r="A514" s="4">
        <v>513</v>
      </c>
      <c r="B514" s="4"/>
      <c r="C514" s="4"/>
      <c r="D514" s="4"/>
      <c r="E514" s="4"/>
    </row>
    <row r="515" spans="1:5" x14ac:dyDescent="0.25">
      <c r="A515" s="4">
        <v>514</v>
      </c>
      <c r="B515" s="4"/>
      <c r="C515" s="4"/>
      <c r="D515" s="4"/>
      <c r="E515" s="4"/>
    </row>
    <row r="516" spans="1:5" x14ac:dyDescent="0.25">
      <c r="A516" s="4">
        <v>515</v>
      </c>
      <c r="B516" s="4"/>
      <c r="C516" s="4"/>
      <c r="D516" s="4"/>
      <c r="E516" s="4"/>
    </row>
    <row r="517" spans="1:5" x14ac:dyDescent="0.25">
      <c r="A517" s="4">
        <v>516</v>
      </c>
      <c r="B517" s="4"/>
      <c r="C517" s="4"/>
      <c r="D517" s="4"/>
      <c r="E517" s="4"/>
    </row>
    <row r="518" spans="1:5" x14ac:dyDescent="0.25">
      <c r="A518" s="4">
        <v>517</v>
      </c>
      <c r="B518" s="4"/>
      <c r="C518" s="4"/>
      <c r="D518" s="4"/>
      <c r="E518" s="4"/>
    </row>
    <row r="519" spans="1:5" x14ac:dyDescent="0.25">
      <c r="A519" s="4">
        <v>518</v>
      </c>
      <c r="B519" s="4"/>
      <c r="C519" s="4"/>
      <c r="D519" s="4"/>
      <c r="E519" s="4"/>
    </row>
    <row r="520" spans="1:5" x14ac:dyDescent="0.25">
      <c r="A520" s="4">
        <v>519</v>
      </c>
      <c r="B520" s="4"/>
      <c r="C520" s="4"/>
      <c r="D520" s="4"/>
      <c r="E520" s="4"/>
    </row>
    <row r="521" spans="1:5" x14ac:dyDescent="0.25">
      <c r="A521" s="4">
        <v>520</v>
      </c>
      <c r="B521" s="4"/>
      <c r="C521" s="4"/>
      <c r="D521" s="4"/>
      <c r="E521" s="4"/>
    </row>
    <row r="522" spans="1:5" x14ac:dyDescent="0.25">
      <c r="A522" s="4">
        <v>521</v>
      </c>
      <c r="B522" s="4"/>
      <c r="C522" s="4"/>
      <c r="D522" s="4"/>
      <c r="E522" s="4"/>
    </row>
    <row r="523" spans="1:5" x14ac:dyDescent="0.25">
      <c r="A523" s="4">
        <v>522</v>
      </c>
      <c r="B523" s="4"/>
      <c r="C523" s="4"/>
      <c r="D523" s="4"/>
      <c r="E523" s="4"/>
    </row>
    <row r="524" spans="1:5" x14ac:dyDescent="0.25">
      <c r="A524" s="4">
        <v>523</v>
      </c>
      <c r="B524" s="4"/>
      <c r="C524" s="4"/>
      <c r="D524" s="4"/>
      <c r="E524" s="4"/>
    </row>
    <row r="525" spans="1:5" x14ac:dyDescent="0.25">
      <c r="A525" s="4">
        <v>524</v>
      </c>
      <c r="B525" s="4"/>
      <c r="C525" s="4"/>
      <c r="D525" s="4"/>
      <c r="E525" s="4"/>
    </row>
    <row r="526" spans="1:5" x14ac:dyDescent="0.25">
      <c r="A526" s="4">
        <v>525</v>
      </c>
      <c r="B526" s="4"/>
      <c r="C526" s="4"/>
      <c r="D526" s="4"/>
      <c r="E526" s="4"/>
    </row>
    <row r="527" spans="1:5" x14ac:dyDescent="0.25">
      <c r="A527" s="4">
        <v>526</v>
      </c>
      <c r="B527" s="4"/>
      <c r="C527" s="4"/>
      <c r="D527" s="4"/>
      <c r="E527" s="4"/>
    </row>
    <row r="528" spans="1:5" x14ac:dyDescent="0.25">
      <c r="A528" s="4">
        <v>527</v>
      </c>
      <c r="B528" s="4"/>
      <c r="C528" s="4"/>
      <c r="D528" s="4"/>
      <c r="E528" s="4"/>
    </row>
    <row r="529" spans="1:5" x14ac:dyDescent="0.25">
      <c r="A529" s="4">
        <v>528</v>
      </c>
      <c r="B529" s="4"/>
      <c r="C529" s="4"/>
      <c r="D529" s="4"/>
      <c r="E529" s="4"/>
    </row>
    <row r="530" spans="1:5" x14ac:dyDescent="0.25">
      <c r="A530" s="4">
        <v>529</v>
      </c>
      <c r="B530" s="4"/>
      <c r="C530" s="4"/>
      <c r="D530" s="4"/>
      <c r="E530" s="4"/>
    </row>
    <row r="531" spans="1:5" x14ac:dyDescent="0.25">
      <c r="A531" s="4">
        <v>530</v>
      </c>
      <c r="B531" s="4"/>
      <c r="C531" s="4"/>
      <c r="D531" s="4"/>
      <c r="E531" s="4"/>
    </row>
    <row r="532" spans="1:5" x14ac:dyDescent="0.25">
      <c r="A532" s="4">
        <v>531</v>
      </c>
      <c r="B532" s="4"/>
      <c r="C532" s="4"/>
      <c r="D532" s="4"/>
      <c r="E532" s="4"/>
    </row>
    <row r="533" spans="1:5" x14ac:dyDescent="0.25">
      <c r="A533" s="4">
        <v>532</v>
      </c>
      <c r="B533" s="4"/>
      <c r="C533" s="4"/>
      <c r="D533" s="4"/>
      <c r="E533" s="4"/>
    </row>
    <row r="534" spans="1:5" x14ac:dyDescent="0.25">
      <c r="A534" s="4">
        <v>533</v>
      </c>
      <c r="B534" s="4"/>
      <c r="C534" s="4"/>
      <c r="D534" s="4"/>
      <c r="E534" s="4"/>
    </row>
    <row r="535" spans="1:5" x14ac:dyDescent="0.25">
      <c r="A535" s="4">
        <v>534</v>
      </c>
      <c r="B535" s="4"/>
      <c r="C535" s="4"/>
      <c r="D535" s="4"/>
      <c r="E535" s="4"/>
    </row>
    <row r="536" spans="1:5" x14ac:dyDescent="0.25">
      <c r="A536" s="4">
        <v>535</v>
      </c>
      <c r="B536" s="4"/>
      <c r="C536" s="4"/>
      <c r="D536" s="4"/>
      <c r="E536" s="4"/>
    </row>
    <row r="537" spans="1:5" x14ac:dyDescent="0.25">
      <c r="A537" s="4">
        <v>536</v>
      </c>
      <c r="B537" s="4"/>
      <c r="C537" s="4"/>
      <c r="D537" s="4"/>
      <c r="E537" s="4"/>
    </row>
    <row r="538" spans="1:5" x14ac:dyDescent="0.25">
      <c r="A538" s="4">
        <v>537</v>
      </c>
      <c r="B538" s="4"/>
      <c r="C538" s="4"/>
      <c r="D538" s="4"/>
      <c r="E538" s="4"/>
    </row>
    <row r="539" spans="1:5" x14ac:dyDescent="0.25">
      <c r="A539" s="4">
        <v>538</v>
      </c>
      <c r="B539" s="4"/>
      <c r="C539" s="4"/>
      <c r="D539" s="4"/>
      <c r="E539" s="4"/>
    </row>
    <row r="540" spans="1:5" x14ac:dyDescent="0.25">
      <c r="A540" s="4">
        <v>539</v>
      </c>
      <c r="B540" s="4"/>
      <c r="C540" s="4"/>
      <c r="D540" s="4"/>
      <c r="E540" s="4"/>
    </row>
    <row r="541" spans="1:5" x14ac:dyDescent="0.25">
      <c r="A541" s="4">
        <v>540</v>
      </c>
      <c r="B541" s="4"/>
      <c r="C541" s="4"/>
      <c r="D541" s="4"/>
      <c r="E541" s="4"/>
    </row>
    <row r="542" spans="1:5" x14ac:dyDescent="0.25">
      <c r="A542" s="4">
        <v>541</v>
      </c>
      <c r="B542" s="4"/>
      <c r="C542" s="4"/>
      <c r="D542" s="4"/>
      <c r="E542" s="4"/>
    </row>
    <row r="543" spans="1:5" x14ac:dyDescent="0.25">
      <c r="A543" s="4">
        <v>542</v>
      </c>
      <c r="B543" s="4"/>
      <c r="C543" s="4"/>
      <c r="D543" s="4"/>
      <c r="E543" s="4"/>
    </row>
    <row r="544" spans="1:5" x14ac:dyDescent="0.25">
      <c r="A544" s="4">
        <v>543</v>
      </c>
      <c r="B544" s="4"/>
      <c r="C544" s="4"/>
      <c r="D544" s="4"/>
      <c r="E544" s="4"/>
    </row>
    <row r="545" spans="1:5" x14ac:dyDescent="0.25">
      <c r="A545" s="4">
        <v>544</v>
      </c>
      <c r="B545" s="4"/>
      <c r="C545" s="4"/>
      <c r="D545" s="4"/>
      <c r="E545" s="4"/>
    </row>
    <row r="546" spans="1:5" x14ac:dyDescent="0.25">
      <c r="A546" s="4">
        <v>545</v>
      </c>
      <c r="B546" s="4"/>
      <c r="C546" s="4"/>
      <c r="D546" s="4"/>
      <c r="E546" s="4"/>
    </row>
    <row r="547" spans="1:5" x14ac:dyDescent="0.25">
      <c r="A547" s="4">
        <v>546</v>
      </c>
      <c r="B547" s="4"/>
      <c r="C547" s="4"/>
      <c r="D547" s="4"/>
      <c r="E547" s="4"/>
    </row>
    <row r="548" spans="1:5" x14ac:dyDescent="0.25">
      <c r="A548" s="4">
        <v>547</v>
      </c>
      <c r="B548" s="4"/>
      <c r="C548" s="4"/>
      <c r="D548" s="4"/>
      <c r="E548" s="4"/>
    </row>
    <row r="549" spans="1:5" x14ac:dyDescent="0.25">
      <c r="A549" s="4">
        <v>548</v>
      </c>
      <c r="B549" s="4"/>
      <c r="C549" s="4"/>
      <c r="D549" s="4"/>
      <c r="E549" s="4"/>
    </row>
    <row r="550" spans="1:5" x14ac:dyDescent="0.25">
      <c r="A550" s="4">
        <v>549</v>
      </c>
      <c r="B550" s="4"/>
      <c r="C550" s="4"/>
      <c r="D550" s="4"/>
      <c r="E550" s="4"/>
    </row>
    <row r="551" spans="1:5" x14ac:dyDescent="0.25">
      <c r="A551" s="4">
        <v>550</v>
      </c>
      <c r="B551" s="4"/>
      <c r="C551" s="4"/>
      <c r="D551" s="4"/>
      <c r="E551" s="4"/>
    </row>
    <row r="552" spans="1:5" x14ac:dyDescent="0.25">
      <c r="A552" s="4">
        <v>551</v>
      </c>
      <c r="B552" s="4"/>
      <c r="C552" s="4"/>
      <c r="D552" s="4"/>
      <c r="E552" s="4"/>
    </row>
    <row r="553" spans="1:5" x14ac:dyDescent="0.25">
      <c r="A553" s="4">
        <v>552</v>
      </c>
      <c r="B553" s="4"/>
      <c r="C553" s="4"/>
      <c r="D553" s="4"/>
      <c r="E553" s="4"/>
    </row>
    <row r="554" spans="1:5" x14ac:dyDescent="0.25">
      <c r="A554" s="4">
        <v>553</v>
      </c>
      <c r="B554" s="4"/>
      <c r="C554" s="4"/>
      <c r="D554" s="4"/>
      <c r="E554" s="4"/>
    </row>
    <row r="555" spans="1:5" x14ac:dyDescent="0.25">
      <c r="A555" s="4">
        <v>554</v>
      </c>
      <c r="B555" s="4"/>
      <c r="C555" s="4"/>
      <c r="D555" s="4"/>
      <c r="E555" s="4"/>
    </row>
    <row r="556" spans="1:5" x14ac:dyDescent="0.25">
      <c r="A556" s="4">
        <v>555</v>
      </c>
      <c r="B556" s="4"/>
      <c r="C556" s="4"/>
      <c r="D556" s="4"/>
      <c r="E556" s="4"/>
    </row>
    <row r="557" spans="1:5" x14ac:dyDescent="0.25">
      <c r="A557" s="4">
        <v>556</v>
      </c>
      <c r="B557" s="4"/>
      <c r="C557" s="4"/>
      <c r="D557" s="4"/>
      <c r="E557" s="4"/>
    </row>
    <row r="558" spans="1:5" x14ac:dyDescent="0.25">
      <c r="A558" s="4">
        <v>557</v>
      </c>
      <c r="B558" s="4"/>
      <c r="C558" s="4"/>
      <c r="D558" s="4"/>
      <c r="E558" s="4"/>
    </row>
    <row r="559" spans="1:5" x14ac:dyDescent="0.25">
      <c r="A559" s="4">
        <v>558</v>
      </c>
      <c r="B559" s="4"/>
      <c r="C559" s="4"/>
      <c r="D559" s="4"/>
      <c r="E559" s="4"/>
    </row>
    <row r="560" spans="1:5" x14ac:dyDescent="0.25">
      <c r="A560" s="4">
        <v>559</v>
      </c>
      <c r="B560" s="4"/>
      <c r="C560" s="4"/>
      <c r="D560" s="4"/>
      <c r="E560" s="4"/>
    </row>
    <row r="561" spans="1:5" x14ac:dyDescent="0.25">
      <c r="A561" s="4">
        <v>560</v>
      </c>
      <c r="B561" s="4"/>
      <c r="C561" s="4"/>
      <c r="D561" s="4"/>
      <c r="E561" s="4"/>
    </row>
    <row r="562" spans="1:5" x14ac:dyDescent="0.25">
      <c r="A562" s="4">
        <v>561</v>
      </c>
      <c r="B562" s="4"/>
      <c r="C562" s="4"/>
      <c r="D562" s="4"/>
      <c r="E562" s="4"/>
    </row>
    <row r="563" spans="1:5" x14ac:dyDescent="0.25">
      <c r="A563" s="4">
        <v>562</v>
      </c>
      <c r="B563" s="4"/>
      <c r="C563" s="4"/>
      <c r="D563" s="4"/>
      <c r="E563" s="4"/>
    </row>
    <row r="564" spans="1:5" x14ac:dyDescent="0.25">
      <c r="A564" s="4">
        <v>563</v>
      </c>
      <c r="B564" s="4"/>
      <c r="C564" s="4"/>
      <c r="D564" s="4"/>
      <c r="E564" s="4"/>
    </row>
    <row r="565" spans="1:5" x14ac:dyDescent="0.25">
      <c r="A565" s="4">
        <v>564</v>
      </c>
      <c r="B565" s="4"/>
      <c r="C565" s="4"/>
      <c r="D565" s="4"/>
      <c r="E565" s="4"/>
    </row>
    <row r="566" spans="1:5" x14ac:dyDescent="0.25">
      <c r="A566" s="4">
        <v>565</v>
      </c>
      <c r="B566" s="4"/>
      <c r="C566" s="4"/>
      <c r="D566" s="4"/>
      <c r="E566" s="4"/>
    </row>
    <row r="567" spans="1:5" x14ac:dyDescent="0.25">
      <c r="A567" s="4">
        <v>566</v>
      </c>
      <c r="B567" s="4"/>
      <c r="C567" s="4"/>
      <c r="D567" s="4"/>
      <c r="E567" s="4"/>
    </row>
    <row r="568" spans="1:5" x14ac:dyDescent="0.25">
      <c r="A568" s="4">
        <v>567</v>
      </c>
      <c r="B568" s="4"/>
      <c r="C568" s="4"/>
      <c r="D568" s="4"/>
      <c r="E568" s="4"/>
    </row>
    <row r="569" spans="1:5" x14ac:dyDescent="0.25">
      <c r="A569" s="4">
        <v>568</v>
      </c>
      <c r="B569" s="4"/>
      <c r="C569" s="4"/>
      <c r="D569" s="4"/>
      <c r="E569" s="4"/>
    </row>
    <row r="570" spans="1:5" x14ac:dyDescent="0.25">
      <c r="A570" s="4">
        <v>569</v>
      </c>
      <c r="B570" s="4"/>
      <c r="C570" s="4"/>
      <c r="D570" s="4"/>
      <c r="E570" s="4"/>
    </row>
    <row r="571" spans="1:5" x14ac:dyDescent="0.25">
      <c r="A571" s="4">
        <v>570</v>
      </c>
      <c r="B571" s="4"/>
      <c r="C571" s="4"/>
      <c r="D571" s="4"/>
      <c r="E571" s="4"/>
    </row>
    <row r="572" spans="1:5" x14ac:dyDescent="0.25">
      <c r="A572" s="4">
        <v>571</v>
      </c>
      <c r="B572" s="4"/>
      <c r="C572" s="4"/>
      <c r="D572" s="4"/>
      <c r="E572" s="4"/>
    </row>
    <row r="573" spans="1:5" x14ac:dyDescent="0.25">
      <c r="A573" s="4">
        <v>572</v>
      </c>
      <c r="B573" s="4"/>
      <c r="C573" s="4"/>
      <c r="D573" s="4"/>
      <c r="E573" s="4"/>
    </row>
    <row r="574" spans="1:5" x14ac:dyDescent="0.25">
      <c r="A574" s="4">
        <v>573</v>
      </c>
      <c r="B574" s="4"/>
      <c r="C574" s="4"/>
      <c r="D574" s="4"/>
      <c r="E574" s="4"/>
    </row>
    <row r="575" spans="1:5" x14ac:dyDescent="0.25">
      <c r="A575" s="4">
        <v>574</v>
      </c>
      <c r="B575" s="4"/>
      <c r="C575" s="4"/>
      <c r="D575" s="4"/>
      <c r="E575" s="4"/>
    </row>
    <row r="576" spans="1:5" x14ac:dyDescent="0.25">
      <c r="A576" s="4">
        <v>575</v>
      </c>
      <c r="B576" s="4"/>
      <c r="C576" s="4"/>
      <c r="D576" s="4"/>
      <c r="E576" s="4"/>
    </row>
    <row r="577" spans="1:5" x14ac:dyDescent="0.25">
      <c r="A577" s="4">
        <v>576</v>
      </c>
      <c r="B577" s="4"/>
      <c r="C577" s="4"/>
      <c r="D577" s="4"/>
      <c r="E577" s="4"/>
    </row>
    <row r="578" spans="1:5" x14ac:dyDescent="0.25">
      <c r="A578" s="4">
        <v>577</v>
      </c>
      <c r="B578" s="4"/>
      <c r="C578" s="4"/>
      <c r="D578" s="4"/>
      <c r="E578" s="4"/>
    </row>
    <row r="579" spans="1:5" x14ac:dyDescent="0.25">
      <c r="A579" s="4">
        <v>578</v>
      </c>
      <c r="B579" s="4"/>
      <c r="C579" s="4"/>
      <c r="D579" s="4"/>
      <c r="E579" s="4"/>
    </row>
    <row r="580" spans="1:5" x14ac:dyDescent="0.25">
      <c r="A580" s="4">
        <v>579</v>
      </c>
      <c r="B580" s="4"/>
      <c r="C580" s="4"/>
      <c r="D580" s="4"/>
      <c r="E580" s="4"/>
    </row>
    <row r="581" spans="1:5" x14ac:dyDescent="0.25">
      <c r="A581" s="4">
        <v>580</v>
      </c>
      <c r="B581" s="4"/>
      <c r="C581" s="4"/>
      <c r="D581" s="4"/>
      <c r="E581" s="4"/>
    </row>
    <row r="582" spans="1:5" x14ac:dyDescent="0.25">
      <c r="A582" s="4">
        <v>581</v>
      </c>
      <c r="B582" s="4"/>
      <c r="C582" s="4"/>
      <c r="D582" s="4"/>
      <c r="E582" s="4"/>
    </row>
    <row r="583" spans="1:5" x14ac:dyDescent="0.25">
      <c r="A583" s="4">
        <v>582</v>
      </c>
      <c r="B583" s="4"/>
      <c r="C583" s="4"/>
      <c r="D583" s="4"/>
      <c r="E583" s="4"/>
    </row>
    <row r="584" spans="1:5" x14ac:dyDescent="0.25">
      <c r="A584" s="4">
        <v>583</v>
      </c>
      <c r="B584" s="4"/>
      <c r="C584" s="4"/>
      <c r="D584" s="4"/>
      <c r="E584" s="4"/>
    </row>
    <row r="585" spans="1:5" x14ac:dyDescent="0.25">
      <c r="A585" s="4">
        <v>584</v>
      </c>
      <c r="B585" s="4"/>
      <c r="C585" s="4"/>
      <c r="D585" s="4"/>
      <c r="E585" s="4"/>
    </row>
    <row r="586" spans="1:5" x14ac:dyDescent="0.25">
      <c r="A586" s="4">
        <v>585</v>
      </c>
      <c r="B586" s="4"/>
      <c r="C586" s="4"/>
      <c r="D586" s="4"/>
      <c r="E586" s="4"/>
    </row>
    <row r="587" spans="1:5" x14ac:dyDescent="0.25">
      <c r="A587" s="4">
        <v>586</v>
      </c>
      <c r="B587" s="4"/>
      <c r="C587" s="4"/>
      <c r="D587" s="4"/>
      <c r="E587" s="4"/>
    </row>
    <row r="588" spans="1:5" x14ac:dyDescent="0.25">
      <c r="A588" s="4">
        <v>587</v>
      </c>
      <c r="B588" s="4"/>
      <c r="C588" s="4"/>
      <c r="D588" s="4"/>
      <c r="E588" s="4"/>
    </row>
    <row r="589" spans="1:5" x14ac:dyDescent="0.25">
      <c r="A589" s="4">
        <v>588</v>
      </c>
      <c r="B589" s="4"/>
      <c r="C589" s="4"/>
      <c r="D589" s="4"/>
      <c r="E589" s="4"/>
    </row>
    <row r="590" spans="1:5" x14ac:dyDescent="0.25">
      <c r="A590" s="4">
        <v>589</v>
      </c>
      <c r="B590" s="4"/>
      <c r="C590" s="4"/>
      <c r="D590" s="4"/>
      <c r="E590" s="4"/>
    </row>
    <row r="591" spans="1:5" x14ac:dyDescent="0.25">
      <c r="A591" s="4">
        <v>590</v>
      </c>
      <c r="B591" s="4"/>
      <c r="C591" s="4"/>
      <c r="D591" s="4"/>
      <c r="E591" s="4"/>
    </row>
    <row r="592" spans="1:5" x14ac:dyDescent="0.25">
      <c r="A592" s="4">
        <v>591</v>
      </c>
      <c r="B592" s="4"/>
      <c r="C592" s="4"/>
      <c r="D592" s="4"/>
      <c r="E592" s="4"/>
    </row>
    <row r="593" spans="1:5" x14ac:dyDescent="0.25">
      <c r="A593" s="4">
        <v>592</v>
      </c>
      <c r="B593" s="4"/>
      <c r="C593" s="4"/>
      <c r="D593" s="4"/>
      <c r="E593" s="4"/>
    </row>
    <row r="594" spans="1:5" x14ac:dyDescent="0.25">
      <c r="A594" s="4">
        <v>593</v>
      </c>
      <c r="B594" s="4"/>
      <c r="C594" s="4"/>
      <c r="D594" s="4"/>
      <c r="E594" s="4"/>
    </row>
    <row r="595" spans="1:5" x14ac:dyDescent="0.25">
      <c r="A595" s="4">
        <v>594</v>
      </c>
      <c r="B595" s="4"/>
      <c r="C595" s="4"/>
      <c r="D595" s="4"/>
      <c r="E595" s="4"/>
    </row>
    <row r="596" spans="1:5" x14ac:dyDescent="0.25">
      <c r="A596" s="4">
        <v>595</v>
      </c>
      <c r="B596" s="4"/>
      <c r="C596" s="4"/>
      <c r="D596" s="4"/>
      <c r="E596" s="4"/>
    </row>
    <row r="597" spans="1:5" x14ac:dyDescent="0.25">
      <c r="A597" s="4">
        <v>596</v>
      </c>
      <c r="B597" s="4"/>
      <c r="C597" s="4"/>
      <c r="D597" s="4"/>
      <c r="E597" s="4"/>
    </row>
    <row r="598" spans="1:5" x14ac:dyDescent="0.25">
      <c r="A598" s="4">
        <v>597</v>
      </c>
      <c r="B598" s="4"/>
      <c r="C598" s="4"/>
      <c r="D598" s="4"/>
      <c r="E598" s="4"/>
    </row>
    <row r="599" spans="1:5" x14ac:dyDescent="0.25">
      <c r="A599" s="4">
        <v>598</v>
      </c>
      <c r="B599" s="4"/>
      <c r="C599" s="4"/>
      <c r="D599" s="4"/>
      <c r="E599" s="4"/>
    </row>
    <row r="600" spans="1:5" x14ac:dyDescent="0.25">
      <c r="A600" s="4">
        <v>599</v>
      </c>
      <c r="B600" s="4"/>
      <c r="C600" s="4"/>
      <c r="D600" s="4"/>
      <c r="E600" s="4"/>
    </row>
    <row r="601" spans="1:5" x14ac:dyDescent="0.25">
      <c r="A601" s="4">
        <v>600</v>
      </c>
      <c r="B601" s="4"/>
      <c r="C601" s="4"/>
      <c r="D601" s="4"/>
      <c r="E601" s="4"/>
    </row>
    <row r="602" spans="1:5" x14ac:dyDescent="0.25">
      <c r="A602" s="4">
        <v>601</v>
      </c>
      <c r="B602" s="4"/>
      <c r="C602" s="4"/>
      <c r="D602" s="4"/>
      <c r="E602" s="4"/>
    </row>
    <row r="603" spans="1:5" x14ac:dyDescent="0.25">
      <c r="A603" s="4">
        <v>602</v>
      </c>
      <c r="B603" s="4"/>
      <c r="C603" s="4"/>
      <c r="D603" s="4"/>
      <c r="E603" s="4"/>
    </row>
    <row r="604" spans="1:5" x14ac:dyDescent="0.25">
      <c r="A604" s="4">
        <v>603</v>
      </c>
      <c r="B604" s="4"/>
      <c r="C604" s="4"/>
      <c r="D604" s="4"/>
      <c r="E604" s="4"/>
    </row>
    <row r="605" spans="1:5" x14ac:dyDescent="0.25">
      <c r="A605" s="4">
        <v>604</v>
      </c>
      <c r="B605" s="4"/>
      <c r="C605" s="4"/>
      <c r="D605" s="4"/>
      <c r="E605" s="4"/>
    </row>
    <row r="606" spans="1:5" x14ac:dyDescent="0.25">
      <c r="A606" s="4">
        <v>605</v>
      </c>
      <c r="B606" s="4"/>
      <c r="C606" s="4"/>
      <c r="D606" s="4"/>
      <c r="E606" s="4"/>
    </row>
    <row r="607" spans="1:5" x14ac:dyDescent="0.25">
      <c r="A607" s="4">
        <v>606</v>
      </c>
      <c r="B607" s="4"/>
      <c r="C607" s="4"/>
      <c r="D607" s="4"/>
      <c r="E607" s="4"/>
    </row>
    <row r="608" spans="1:5" x14ac:dyDescent="0.25">
      <c r="A608" s="4">
        <v>607</v>
      </c>
      <c r="B608" s="4"/>
      <c r="C608" s="4"/>
      <c r="D608" s="4"/>
      <c r="E608" s="4"/>
    </row>
    <row r="609" spans="1:5" x14ac:dyDescent="0.25">
      <c r="A609" s="4">
        <v>608</v>
      </c>
      <c r="B609" s="4"/>
      <c r="C609" s="4"/>
      <c r="D609" s="4"/>
      <c r="E609" s="4"/>
    </row>
    <row r="610" spans="1:5" x14ac:dyDescent="0.25">
      <c r="A610" s="4">
        <v>609</v>
      </c>
      <c r="B610" s="4"/>
      <c r="C610" s="4"/>
      <c r="D610" s="4"/>
      <c r="E610" s="4"/>
    </row>
    <row r="611" spans="1:5" x14ac:dyDescent="0.25">
      <c r="A611" s="4">
        <v>610</v>
      </c>
      <c r="B611" s="4"/>
      <c r="C611" s="4"/>
      <c r="D611" s="4"/>
      <c r="E611" s="4"/>
    </row>
    <row r="612" spans="1:5" x14ac:dyDescent="0.25">
      <c r="A612" s="4">
        <v>611</v>
      </c>
      <c r="B612" s="4"/>
      <c r="C612" s="4"/>
      <c r="D612" s="4"/>
      <c r="E612" s="4"/>
    </row>
    <row r="613" spans="1:5" x14ac:dyDescent="0.25">
      <c r="A613" s="4">
        <v>612</v>
      </c>
      <c r="B613" s="4"/>
      <c r="C613" s="4"/>
      <c r="D613" s="4"/>
      <c r="E613" s="4"/>
    </row>
    <row r="614" spans="1:5" x14ac:dyDescent="0.25">
      <c r="A614" s="4">
        <v>613</v>
      </c>
      <c r="B614" s="4"/>
      <c r="C614" s="4"/>
      <c r="D614" s="4"/>
      <c r="E614" s="4"/>
    </row>
    <row r="615" spans="1:5" x14ac:dyDescent="0.25">
      <c r="A615" s="4">
        <v>614</v>
      </c>
      <c r="B615" s="4"/>
      <c r="C615" s="4"/>
      <c r="D615" s="4"/>
      <c r="E615" s="4"/>
    </row>
    <row r="616" spans="1:5" x14ac:dyDescent="0.25">
      <c r="A616" s="4">
        <v>615</v>
      </c>
      <c r="B616" s="4"/>
      <c r="C616" s="4"/>
      <c r="D616" s="4"/>
      <c r="E616" s="4"/>
    </row>
    <row r="617" spans="1:5" x14ac:dyDescent="0.25">
      <c r="A617" s="4">
        <v>616</v>
      </c>
      <c r="B617" s="4"/>
      <c r="C617" s="4"/>
      <c r="D617" s="4"/>
      <c r="E617" s="4"/>
    </row>
    <row r="618" spans="1:5" x14ac:dyDescent="0.25">
      <c r="A618" s="4">
        <v>617</v>
      </c>
      <c r="B618" s="4"/>
      <c r="C618" s="4"/>
      <c r="D618" s="4"/>
      <c r="E618" s="4"/>
    </row>
    <row r="619" spans="1:5" x14ac:dyDescent="0.25">
      <c r="A619" s="4">
        <v>618</v>
      </c>
      <c r="B619" s="4"/>
      <c r="C619" s="4"/>
      <c r="D619" s="4"/>
      <c r="E619" s="4"/>
    </row>
    <row r="620" spans="1:5" x14ac:dyDescent="0.25">
      <c r="A620" s="4">
        <v>619</v>
      </c>
      <c r="B620" s="4"/>
      <c r="C620" s="4"/>
      <c r="D620" s="4"/>
      <c r="E620" s="4"/>
    </row>
    <row r="621" spans="1:5" x14ac:dyDescent="0.25">
      <c r="A621" s="4">
        <v>620</v>
      </c>
      <c r="B621" s="4"/>
      <c r="C621" s="4"/>
      <c r="D621" s="4"/>
      <c r="E621" s="4"/>
    </row>
    <row r="622" spans="1:5" x14ac:dyDescent="0.25">
      <c r="A622" s="4">
        <v>621</v>
      </c>
      <c r="B622" s="4"/>
      <c r="C622" s="4"/>
      <c r="D622" s="4"/>
      <c r="E622" s="4"/>
    </row>
    <row r="623" spans="1:5" x14ac:dyDescent="0.25">
      <c r="A623" s="4">
        <v>622</v>
      </c>
      <c r="B623" s="4"/>
      <c r="C623" s="4"/>
      <c r="D623" s="4"/>
      <c r="E623" s="4"/>
    </row>
    <row r="624" spans="1:5" x14ac:dyDescent="0.25">
      <c r="A624" s="4">
        <v>623</v>
      </c>
      <c r="B624" s="4"/>
      <c r="C624" s="4"/>
      <c r="D624" s="4"/>
      <c r="E624" s="4"/>
    </row>
    <row r="625" spans="1:5" x14ac:dyDescent="0.25">
      <c r="A625" s="4">
        <v>624</v>
      </c>
      <c r="B625" s="4"/>
      <c r="C625" s="4"/>
      <c r="D625" s="4"/>
      <c r="E625" s="4"/>
    </row>
    <row r="626" spans="1:5" x14ac:dyDescent="0.25">
      <c r="A626" s="4">
        <v>625</v>
      </c>
      <c r="B626" s="4"/>
      <c r="C626" s="4"/>
      <c r="D626" s="4"/>
      <c r="E626" s="4"/>
    </row>
    <row r="627" spans="1:5" x14ac:dyDescent="0.25">
      <c r="A627" s="4">
        <v>626</v>
      </c>
      <c r="B627" s="4"/>
      <c r="C627" s="4"/>
      <c r="D627" s="4"/>
      <c r="E627" s="4"/>
    </row>
    <row r="628" spans="1:5" x14ac:dyDescent="0.25">
      <c r="A628" s="4">
        <v>627</v>
      </c>
      <c r="B628" s="4"/>
      <c r="C628" s="4"/>
      <c r="D628" s="4"/>
      <c r="E628" s="4"/>
    </row>
    <row r="629" spans="1:5" x14ac:dyDescent="0.25">
      <c r="A629" s="4">
        <v>628</v>
      </c>
      <c r="B629" s="4"/>
      <c r="C629" s="4"/>
      <c r="D629" s="4"/>
      <c r="E629" s="4"/>
    </row>
    <row r="630" spans="1:5" x14ac:dyDescent="0.25">
      <c r="A630" s="4">
        <v>629</v>
      </c>
      <c r="B630" s="4"/>
      <c r="C630" s="4"/>
      <c r="D630" s="4"/>
      <c r="E630" s="4"/>
    </row>
    <row r="631" spans="1:5" x14ac:dyDescent="0.25">
      <c r="A631" s="4">
        <v>630</v>
      </c>
      <c r="B631" s="4"/>
      <c r="C631" s="4"/>
      <c r="D631" s="4"/>
      <c r="E631" s="4"/>
    </row>
    <row r="632" spans="1:5" x14ac:dyDescent="0.25">
      <c r="A632" s="4">
        <v>631</v>
      </c>
      <c r="B632" s="4"/>
      <c r="C632" s="4"/>
      <c r="D632" s="4"/>
      <c r="E632" s="4"/>
    </row>
    <row r="633" spans="1:5" x14ac:dyDescent="0.25">
      <c r="A633" s="4">
        <v>632</v>
      </c>
      <c r="B633" s="4"/>
      <c r="C633" s="4"/>
      <c r="D633" s="4"/>
      <c r="E633" s="4"/>
    </row>
    <row r="634" spans="1:5" x14ac:dyDescent="0.25">
      <c r="A634" s="4">
        <v>633</v>
      </c>
      <c r="B634" s="4"/>
      <c r="C634" s="4"/>
      <c r="D634" s="4"/>
      <c r="E634" s="4"/>
    </row>
    <row r="635" spans="1:5" x14ac:dyDescent="0.25">
      <c r="A635" s="4">
        <v>634</v>
      </c>
      <c r="B635" s="4"/>
      <c r="C635" s="4"/>
      <c r="D635" s="4"/>
      <c r="E635" s="4"/>
    </row>
    <row r="636" spans="1:5" x14ac:dyDescent="0.25">
      <c r="A636" s="4">
        <v>635</v>
      </c>
      <c r="B636" s="4"/>
      <c r="C636" s="4"/>
      <c r="D636" s="4"/>
      <c r="E636" s="4"/>
    </row>
    <row r="637" spans="1:5" x14ac:dyDescent="0.25">
      <c r="A637" s="4">
        <v>636</v>
      </c>
      <c r="B637" s="4"/>
      <c r="C637" s="4"/>
      <c r="D637" s="4"/>
      <c r="E637" s="4"/>
    </row>
    <row r="638" spans="1:5" x14ac:dyDescent="0.25">
      <c r="A638" s="4">
        <v>637</v>
      </c>
      <c r="B638" s="4"/>
      <c r="C638" s="4"/>
      <c r="D638" s="4"/>
      <c r="E638" s="4"/>
    </row>
    <row r="639" spans="1:5" x14ac:dyDescent="0.25">
      <c r="A639" s="4">
        <v>638</v>
      </c>
      <c r="B639" s="4"/>
      <c r="C639" s="4"/>
      <c r="D639" s="4"/>
      <c r="E639" s="4"/>
    </row>
    <row r="640" spans="1:5" x14ac:dyDescent="0.25">
      <c r="A640" s="4">
        <v>639</v>
      </c>
      <c r="B640" s="4"/>
      <c r="C640" s="4"/>
      <c r="D640" s="4"/>
      <c r="E640" s="4"/>
    </row>
    <row r="641" spans="1:5" x14ac:dyDescent="0.25">
      <c r="A641" s="4">
        <v>640</v>
      </c>
      <c r="B641" s="4"/>
      <c r="C641" s="4"/>
      <c r="D641" s="4"/>
      <c r="E641" s="4"/>
    </row>
    <row r="642" spans="1:5" x14ac:dyDescent="0.25">
      <c r="A642" s="4">
        <v>641</v>
      </c>
      <c r="B642" s="4"/>
      <c r="C642" s="4"/>
      <c r="D642" s="4"/>
      <c r="E642" s="4"/>
    </row>
    <row r="643" spans="1:5" x14ac:dyDescent="0.25">
      <c r="A643" s="4">
        <v>642</v>
      </c>
      <c r="B643" s="4"/>
      <c r="C643" s="4"/>
      <c r="D643" s="4"/>
      <c r="E643" s="4"/>
    </row>
    <row r="644" spans="1:5" x14ac:dyDescent="0.25">
      <c r="A644" s="4">
        <v>643</v>
      </c>
      <c r="B644" s="4"/>
      <c r="C644" s="4"/>
      <c r="D644" s="4"/>
      <c r="E644" s="4"/>
    </row>
    <row r="645" spans="1:5" x14ac:dyDescent="0.25">
      <c r="A645" s="4">
        <v>644</v>
      </c>
      <c r="B645" s="4"/>
      <c r="C645" s="4"/>
      <c r="D645" s="4"/>
      <c r="E645" s="4"/>
    </row>
    <row r="646" spans="1:5" x14ac:dyDescent="0.25">
      <c r="A646" s="4">
        <v>645</v>
      </c>
      <c r="B646" s="4"/>
      <c r="C646" s="4"/>
      <c r="D646" s="4"/>
      <c r="E646" s="4"/>
    </row>
    <row r="647" spans="1:5" x14ac:dyDescent="0.25">
      <c r="A647" s="4">
        <v>646</v>
      </c>
      <c r="B647" s="4"/>
      <c r="C647" s="4"/>
      <c r="D647" s="4"/>
      <c r="E647" s="4"/>
    </row>
    <row r="648" spans="1:5" x14ac:dyDescent="0.25">
      <c r="A648" s="4">
        <v>647</v>
      </c>
      <c r="B648" s="4"/>
      <c r="C648" s="4"/>
      <c r="D648" s="4"/>
      <c r="E648" s="4"/>
    </row>
    <row r="649" spans="1:5" x14ac:dyDescent="0.25">
      <c r="A649" s="4">
        <v>648</v>
      </c>
      <c r="B649" s="4"/>
      <c r="C649" s="4"/>
      <c r="D649" s="4"/>
      <c r="E649" s="4"/>
    </row>
    <row r="650" spans="1:5" x14ac:dyDescent="0.25">
      <c r="A650" s="4">
        <v>649</v>
      </c>
      <c r="B650" s="4"/>
      <c r="C650" s="4"/>
      <c r="D650" s="4"/>
      <c r="E650" s="4"/>
    </row>
    <row r="651" spans="1:5" x14ac:dyDescent="0.25">
      <c r="A651" s="4">
        <v>650</v>
      </c>
      <c r="B651" s="4"/>
      <c r="C651" s="4"/>
      <c r="D651" s="4"/>
      <c r="E651" s="4"/>
    </row>
    <row r="652" spans="1:5" x14ac:dyDescent="0.25">
      <c r="A652" s="4">
        <v>651</v>
      </c>
      <c r="B652" s="4"/>
      <c r="C652" s="4"/>
      <c r="D652" s="4"/>
      <c r="E652" s="4"/>
    </row>
    <row r="653" spans="1:5" x14ac:dyDescent="0.25">
      <c r="A653" s="4">
        <v>652</v>
      </c>
      <c r="B653" s="4"/>
      <c r="C653" s="4"/>
      <c r="D653" s="4"/>
      <c r="E653" s="4"/>
    </row>
    <row r="654" spans="1:5" x14ac:dyDescent="0.25">
      <c r="A654" s="4">
        <v>653</v>
      </c>
      <c r="B654" s="4"/>
      <c r="C654" s="4"/>
      <c r="D654" s="4"/>
      <c r="E654" s="4"/>
    </row>
    <row r="655" spans="1:5" x14ac:dyDescent="0.25">
      <c r="A655" s="4">
        <v>654</v>
      </c>
      <c r="B655" s="4"/>
      <c r="C655" s="4"/>
      <c r="D655" s="4"/>
      <c r="E655" s="4"/>
    </row>
    <row r="656" spans="1:5" x14ac:dyDescent="0.25">
      <c r="A656" s="4">
        <v>655</v>
      </c>
      <c r="B656" s="4"/>
      <c r="C656" s="4"/>
      <c r="D656" s="4"/>
      <c r="E656" s="4"/>
    </row>
    <row r="657" spans="1:5" x14ac:dyDescent="0.25">
      <c r="A657" s="4">
        <v>656</v>
      </c>
      <c r="B657" s="4"/>
      <c r="C657" s="4"/>
      <c r="D657" s="4"/>
      <c r="E657" s="4"/>
    </row>
    <row r="658" spans="1:5" x14ac:dyDescent="0.25">
      <c r="A658" s="4">
        <v>657</v>
      </c>
      <c r="B658" s="4"/>
      <c r="C658" s="4"/>
      <c r="D658" s="4"/>
      <c r="E658" s="4"/>
    </row>
    <row r="659" spans="1:5" x14ac:dyDescent="0.25">
      <c r="A659" s="4">
        <v>658</v>
      </c>
      <c r="B659" s="4"/>
      <c r="C659" s="4"/>
      <c r="D659" s="4"/>
      <c r="E659" s="4"/>
    </row>
    <row r="660" spans="1:5" x14ac:dyDescent="0.25">
      <c r="A660" s="4">
        <v>659</v>
      </c>
      <c r="B660" s="4"/>
      <c r="C660" s="4"/>
      <c r="D660" s="4"/>
      <c r="E660" s="4"/>
    </row>
    <row r="661" spans="1:5" x14ac:dyDescent="0.25">
      <c r="A661" s="4">
        <v>660</v>
      </c>
      <c r="B661" s="4"/>
      <c r="C661" s="4"/>
      <c r="D661" s="4"/>
      <c r="E661" s="4"/>
    </row>
    <row r="662" spans="1:5" x14ac:dyDescent="0.25">
      <c r="A662" s="4">
        <v>661</v>
      </c>
      <c r="B662" s="4"/>
      <c r="C662" s="4"/>
      <c r="D662" s="4"/>
      <c r="E662" s="4"/>
    </row>
    <row r="663" spans="1:5" x14ac:dyDescent="0.25">
      <c r="A663" s="4">
        <v>662</v>
      </c>
      <c r="B663" s="4"/>
      <c r="C663" s="4"/>
      <c r="D663" s="4"/>
      <c r="E663" s="4"/>
    </row>
    <row r="664" spans="1:5" x14ac:dyDescent="0.25">
      <c r="A664" s="4">
        <v>663</v>
      </c>
      <c r="B664" s="4"/>
      <c r="C664" s="4"/>
      <c r="D664" s="4"/>
      <c r="E664" s="4"/>
    </row>
    <row r="665" spans="1:5" x14ac:dyDescent="0.25">
      <c r="A665" s="4">
        <v>664</v>
      </c>
      <c r="B665" s="4"/>
      <c r="C665" s="4"/>
      <c r="D665" s="4"/>
      <c r="E665" s="4"/>
    </row>
    <row r="666" spans="1:5" x14ac:dyDescent="0.25">
      <c r="A666" s="4">
        <v>665</v>
      </c>
      <c r="B666" s="4"/>
      <c r="C666" s="4"/>
      <c r="D666" s="4"/>
      <c r="E666" s="4"/>
    </row>
    <row r="667" spans="1:5" x14ac:dyDescent="0.25">
      <c r="A667" s="4">
        <v>666</v>
      </c>
      <c r="B667" s="4"/>
      <c r="C667" s="4"/>
      <c r="D667" s="4"/>
      <c r="E667" s="4"/>
    </row>
    <row r="668" spans="1:5" x14ac:dyDescent="0.25">
      <c r="A668" s="4">
        <v>667</v>
      </c>
      <c r="B668" s="4"/>
      <c r="C668" s="4"/>
      <c r="D668" s="4"/>
      <c r="E668" s="4"/>
    </row>
    <row r="669" spans="1:5" x14ac:dyDescent="0.25">
      <c r="A669" s="4">
        <v>668</v>
      </c>
      <c r="B669" s="4"/>
      <c r="C669" s="4"/>
      <c r="D669" s="4"/>
      <c r="E669" s="4"/>
    </row>
    <row r="670" spans="1:5" x14ac:dyDescent="0.25">
      <c r="A670" s="4">
        <v>669</v>
      </c>
      <c r="B670" s="4"/>
      <c r="C670" s="4"/>
      <c r="D670" s="4"/>
      <c r="E670" s="4"/>
    </row>
    <row r="671" spans="1:5" x14ac:dyDescent="0.25">
      <c r="A671" s="4">
        <v>670</v>
      </c>
      <c r="B671" s="4"/>
      <c r="C671" s="4"/>
      <c r="D671" s="4"/>
      <c r="E671" s="4"/>
    </row>
    <row r="672" spans="1:5" x14ac:dyDescent="0.25">
      <c r="A672" s="4">
        <v>671</v>
      </c>
      <c r="B672" s="4"/>
      <c r="C672" s="4"/>
      <c r="D672" s="4"/>
      <c r="E672" s="4"/>
    </row>
    <row r="673" spans="1:5" x14ac:dyDescent="0.25">
      <c r="A673" s="4">
        <v>672</v>
      </c>
      <c r="B673" s="4"/>
      <c r="C673" s="4"/>
      <c r="D673" s="4"/>
      <c r="E673" s="4"/>
    </row>
    <row r="674" spans="1:5" x14ac:dyDescent="0.25">
      <c r="A674" s="4">
        <v>673</v>
      </c>
      <c r="B674" s="4"/>
      <c r="C674" s="4"/>
      <c r="D674" s="4"/>
      <c r="E674" s="4"/>
    </row>
    <row r="675" spans="1:5" x14ac:dyDescent="0.25">
      <c r="A675" s="4">
        <v>674</v>
      </c>
      <c r="B675" s="4"/>
      <c r="C675" s="4"/>
      <c r="D675" s="4"/>
      <c r="E675" s="4"/>
    </row>
    <row r="676" spans="1:5" x14ac:dyDescent="0.25">
      <c r="A676" s="4">
        <v>675</v>
      </c>
      <c r="B676" s="4"/>
      <c r="C676" s="4"/>
      <c r="D676" s="4"/>
      <c r="E676" s="4"/>
    </row>
    <row r="677" spans="1:5" x14ac:dyDescent="0.25">
      <c r="A677" s="4">
        <v>676</v>
      </c>
      <c r="B677" s="4"/>
      <c r="C677" s="4"/>
      <c r="D677" s="4"/>
      <c r="E677" s="4"/>
    </row>
    <row r="678" spans="1:5" x14ac:dyDescent="0.25">
      <c r="A678" s="4">
        <v>677</v>
      </c>
      <c r="B678" s="4"/>
      <c r="C678" s="4"/>
      <c r="D678" s="4"/>
      <c r="E678" s="4"/>
    </row>
    <row r="679" spans="1:5" x14ac:dyDescent="0.25">
      <c r="A679" s="4">
        <v>678</v>
      </c>
      <c r="B679" s="4"/>
      <c r="C679" s="4"/>
      <c r="D679" s="4"/>
      <c r="E679" s="4"/>
    </row>
    <row r="680" spans="1:5" x14ac:dyDescent="0.25">
      <c r="A680" s="4">
        <v>679</v>
      </c>
      <c r="B680" s="4"/>
      <c r="C680" s="4"/>
      <c r="D680" s="4"/>
      <c r="E680" s="4"/>
    </row>
    <row r="681" spans="1:5" x14ac:dyDescent="0.25">
      <c r="A681" s="4">
        <v>680</v>
      </c>
      <c r="B681" s="4"/>
      <c r="C681" s="4"/>
      <c r="D681" s="4"/>
      <c r="E681" s="4"/>
    </row>
    <row r="682" spans="1:5" x14ac:dyDescent="0.25">
      <c r="A682" s="4">
        <v>681</v>
      </c>
      <c r="B682" s="4"/>
      <c r="C682" s="4"/>
      <c r="D682" s="4"/>
      <c r="E682" s="4"/>
    </row>
    <row r="683" spans="1:5" x14ac:dyDescent="0.25">
      <c r="A683" s="4">
        <v>682</v>
      </c>
      <c r="B683" s="4"/>
      <c r="C683" s="4"/>
      <c r="D683" s="4"/>
      <c r="E683" s="4"/>
    </row>
    <row r="684" spans="1:5" x14ac:dyDescent="0.25">
      <c r="A684" s="4">
        <v>683</v>
      </c>
      <c r="B684" s="4"/>
      <c r="C684" s="4"/>
      <c r="D684" s="4"/>
      <c r="E684" s="4"/>
    </row>
    <row r="685" spans="1:5" x14ac:dyDescent="0.25">
      <c r="A685" s="4">
        <v>684</v>
      </c>
      <c r="B685" s="4"/>
      <c r="C685" s="4"/>
      <c r="D685" s="4"/>
      <c r="E685" s="4"/>
    </row>
    <row r="686" spans="1:5" x14ac:dyDescent="0.25">
      <c r="A686" s="4">
        <v>685</v>
      </c>
      <c r="B686" s="4"/>
      <c r="C686" s="4"/>
      <c r="D686" s="4"/>
      <c r="E686" s="4"/>
    </row>
    <row r="687" spans="1:5" x14ac:dyDescent="0.25">
      <c r="A687" s="4">
        <v>686</v>
      </c>
      <c r="B687" s="4"/>
      <c r="C687" s="4"/>
      <c r="D687" s="4"/>
      <c r="E687" s="4"/>
    </row>
    <row r="688" spans="1:5" x14ac:dyDescent="0.25">
      <c r="A688" s="4">
        <v>687</v>
      </c>
      <c r="B688" s="4"/>
      <c r="C688" s="4"/>
      <c r="D688" s="4"/>
      <c r="E688" s="4"/>
    </row>
    <row r="689" spans="1:5" x14ac:dyDescent="0.25">
      <c r="A689" s="4">
        <v>688</v>
      </c>
      <c r="B689" s="4"/>
      <c r="C689" s="4"/>
      <c r="D689" s="4"/>
      <c r="E689" s="4"/>
    </row>
    <row r="690" spans="1:5" x14ac:dyDescent="0.25">
      <c r="A690" s="4">
        <v>689</v>
      </c>
      <c r="B690" s="4"/>
      <c r="C690" s="4"/>
      <c r="D690" s="4"/>
      <c r="E690" s="4"/>
    </row>
    <row r="691" spans="1:5" x14ac:dyDescent="0.25">
      <c r="A691" s="4">
        <v>690</v>
      </c>
      <c r="B691" s="4"/>
      <c r="C691" s="4"/>
      <c r="D691" s="4"/>
      <c r="E691" s="4"/>
    </row>
    <row r="692" spans="1:5" x14ac:dyDescent="0.25">
      <c r="A692" s="4">
        <v>691</v>
      </c>
      <c r="B692" s="4"/>
      <c r="C692" s="4"/>
      <c r="D692" s="4"/>
      <c r="E692" s="4"/>
    </row>
    <row r="693" spans="1:5" x14ac:dyDescent="0.25">
      <c r="A693" s="4">
        <v>692</v>
      </c>
      <c r="B693" s="4"/>
      <c r="C693" s="4"/>
      <c r="D693" s="4"/>
      <c r="E693" s="4"/>
    </row>
    <row r="694" spans="1:5" x14ac:dyDescent="0.25">
      <c r="A694" s="4">
        <v>693</v>
      </c>
      <c r="B694" s="4"/>
      <c r="C694" s="4"/>
      <c r="D694" s="4"/>
      <c r="E694" s="4"/>
    </row>
    <row r="695" spans="1:5" x14ac:dyDescent="0.25">
      <c r="A695" s="4">
        <v>694</v>
      </c>
      <c r="B695" s="4"/>
      <c r="C695" s="4"/>
      <c r="D695" s="4"/>
      <c r="E695" s="4"/>
    </row>
    <row r="696" spans="1:5" x14ac:dyDescent="0.25">
      <c r="A696" s="4">
        <v>695</v>
      </c>
      <c r="B696" s="4"/>
      <c r="C696" s="4"/>
      <c r="D696" s="4"/>
      <c r="E696" s="4"/>
    </row>
    <row r="697" spans="1:5" x14ac:dyDescent="0.25">
      <c r="A697" s="4">
        <v>696</v>
      </c>
      <c r="B697" s="4"/>
      <c r="C697" s="4"/>
      <c r="D697" s="4"/>
      <c r="E697" s="4"/>
    </row>
    <row r="698" spans="1:5" x14ac:dyDescent="0.25">
      <c r="A698" s="4">
        <v>697</v>
      </c>
      <c r="B698" s="4"/>
      <c r="C698" s="4"/>
      <c r="D698" s="4"/>
      <c r="E698" s="4"/>
    </row>
    <row r="699" spans="1:5" x14ac:dyDescent="0.25">
      <c r="A699" s="4">
        <v>698</v>
      </c>
      <c r="B699" s="4"/>
      <c r="C699" s="4"/>
      <c r="D699" s="4"/>
      <c r="E699" s="4"/>
    </row>
    <row r="700" spans="1:5" x14ac:dyDescent="0.25">
      <c r="A700" s="4">
        <v>699</v>
      </c>
      <c r="B700" s="4"/>
      <c r="C700" s="4"/>
      <c r="D700" s="4"/>
      <c r="E700" s="4"/>
    </row>
    <row r="701" spans="1:5" x14ac:dyDescent="0.25">
      <c r="A701" s="4">
        <v>700</v>
      </c>
      <c r="B701" s="4"/>
      <c r="C701" s="4"/>
      <c r="D701" s="4"/>
      <c r="E701" s="4"/>
    </row>
    <row r="702" spans="1:5" x14ac:dyDescent="0.25">
      <c r="A702" s="4">
        <v>701</v>
      </c>
      <c r="B702" s="4"/>
      <c r="C702" s="4"/>
      <c r="D702" s="4"/>
      <c r="E702" s="4"/>
    </row>
    <row r="703" spans="1:5" x14ac:dyDescent="0.25">
      <c r="A703" s="4">
        <v>702</v>
      </c>
      <c r="B703" s="4"/>
      <c r="C703" s="4"/>
      <c r="D703" s="4"/>
      <c r="E703" s="4"/>
    </row>
    <row r="704" spans="1:5" x14ac:dyDescent="0.25">
      <c r="A704" s="4">
        <v>703</v>
      </c>
      <c r="B704" s="4"/>
      <c r="C704" s="4"/>
      <c r="D704" s="4"/>
      <c r="E704" s="4"/>
    </row>
    <row r="705" spans="1:5" x14ac:dyDescent="0.25">
      <c r="A705" s="4">
        <v>704</v>
      </c>
      <c r="B705" s="4"/>
      <c r="C705" s="4"/>
      <c r="D705" s="4"/>
      <c r="E705" s="4"/>
    </row>
    <row r="706" spans="1:5" x14ac:dyDescent="0.25">
      <c r="A706" s="4">
        <v>705</v>
      </c>
      <c r="B706" s="4"/>
      <c r="C706" s="4"/>
      <c r="D706" s="4"/>
      <c r="E706" s="4"/>
    </row>
    <row r="707" spans="1:5" x14ac:dyDescent="0.25">
      <c r="A707" s="4">
        <v>706</v>
      </c>
      <c r="B707" s="4"/>
      <c r="C707" s="4"/>
      <c r="D707" s="4"/>
      <c r="E707" s="4"/>
    </row>
    <row r="708" spans="1:5" x14ac:dyDescent="0.25">
      <c r="A708" s="4">
        <v>707</v>
      </c>
      <c r="B708" s="4"/>
      <c r="C708" s="4"/>
      <c r="D708" s="4"/>
      <c r="E708" s="4"/>
    </row>
    <row r="709" spans="1:5" x14ac:dyDescent="0.25">
      <c r="A709" s="4">
        <v>708</v>
      </c>
      <c r="B709" s="4"/>
      <c r="C709" s="4"/>
      <c r="D709" s="4"/>
      <c r="E709" s="4"/>
    </row>
    <row r="710" spans="1:5" x14ac:dyDescent="0.25">
      <c r="A710" s="4">
        <v>709</v>
      </c>
      <c r="B710" s="4"/>
      <c r="C710" s="4"/>
      <c r="D710" s="4"/>
      <c r="E710" s="4"/>
    </row>
    <row r="711" spans="1:5" x14ac:dyDescent="0.25">
      <c r="A711" s="4">
        <v>710</v>
      </c>
      <c r="B711" s="4"/>
      <c r="C711" s="4"/>
      <c r="D711" s="4"/>
      <c r="E711" s="4"/>
    </row>
    <row r="712" spans="1:5" x14ac:dyDescent="0.25">
      <c r="A712" s="4">
        <v>711</v>
      </c>
      <c r="B712" s="4"/>
      <c r="C712" s="4"/>
      <c r="D712" s="4"/>
      <c r="E712" s="4"/>
    </row>
    <row r="713" spans="1:5" x14ac:dyDescent="0.25">
      <c r="A713" s="4">
        <v>712</v>
      </c>
      <c r="B713" s="4"/>
      <c r="C713" s="4"/>
      <c r="D713" s="4"/>
      <c r="E713" s="4"/>
    </row>
    <row r="714" spans="1:5" x14ac:dyDescent="0.25">
      <c r="A714" s="4">
        <v>713</v>
      </c>
      <c r="B714" s="4"/>
      <c r="C714" s="4"/>
      <c r="D714" s="4"/>
      <c r="E714" s="4"/>
    </row>
    <row r="715" spans="1:5" x14ac:dyDescent="0.25">
      <c r="A715" s="4">
        <v>714</v>
      </c>
      <c r="B715" s="4"/>
      <c r="C715" s="4"/>
      <c r="D715" s="4"/>
      <c r="E715" s="4"/>
    </row>
    <row r="716" spans="1:5" x14ac:dyDescent="0.25">
      <c r="A716" s="4">
        <v>715</v>
      </c>
      <c r="B716" s="4"/>
      <c r="C716" s="4"/>
      <c r="D716" s="4"/>
      <c r="E716" s="4"/>
    </row>
    <row r="717" spans="1:5" x14ac:dyDescent="0.25">
      <c r="A717" s="4">
        <v>716</v>
      </c>
      <c r="B717" s="4"/>
      <c r="C717" s="4"/>
      <c r="D717" s="4"/>
      <c r="E717" s="4"/>
    </row>
    <row r="718" spans="1:5" x14ac:dyDescent="0.25">
      <c r="A718" s="4">
        <v>717</v>
      </c>
      <c r="B718" s="4"/>
      <c r="C718" s="4"/>
      <c r="D718" s="4"/>
      <c r="E718" s="4"/>
    </row>
    <row r="719" spans="1:5" x14ac:dyDescent="0.25">
      <c r="A719" s="4">
        <v>718</v>
      </c>
      <c r="B719" s="4"/>
      <c r="C719" s="4"/>
      <c r="D719" s="4"/>
      <c r="E719" s="4"/>
    </row>
    <row r="720" spans="1:5" x14ac:dyDescent="0.25">
      <c r="A720" s="4">
        <v>719</v>
      </c>
      <c r="B720" s="4"/>
      <c r="C720" s="4"/>
      <c r="D720" s="4"/>
      <c r="E720" s="4"/>
    </row>
    <row r="721" spans="1:5" x14ac:dyDescent="0.25">
      <c r="A721" s="4">
        <v>720</v>
      </c>
      <c r="B721" s="4"/>
      <c r="C721" s="4"/>
      <c r="D721" s="4"/>
      <c r="E721" s="4"/>
    </row>
    <row r="722" spans="1:5" x14ac:dyDescent="0.25">
      <c r="A722" s="4">
        <v>721</v>
      </c>
      <c r="B722" s="4"/>
      <c r="C722" s="4"/>
      <c r="D722" s="4"/>
      <c r="E722" s="4"/>
    </row>
    <row r="723" spans="1:5" x14ac:dyDescent="0.25">
      <c r="A723" s="4">
        <v>722</v>
      </c>
      <c r="B723" s="4"/>
      <c r="C723" s="4"/>
      <c r="D723" s="4"/>
      <c r="E723" s="4"/>
    </row>
    <row r="724" spans="1:5" x14ac:dyDescent="0.25">
      <c r="A724" s="4">
        <v>723</v>
      </c>
      <c r="B724" s="4"/>
      <c r="C724" s="4"/>
      <c r="D724" s="4"/>
      <c r="E724" s="4"/>
    </row>
    <row r="725" spans="1:5" x14ac:dyDescent="0.25">
      <c r="A725" s="4">
        <v>724</v>
      </c>
      <c r="B725" s="4"/>
      <c r="C725" s="4"/>
      <c r="D725" s="4"/>
      <c r="E725" s="4"/>
    </row>
    <row r="726" spans="1:5" x14ac:dyDescent="0.25">
      <c r="A726" s="4">
        <v>725</v>
      </c>
      <c r="B726" s="4"/>
      <c r="C726" s="4"/>
      <c r="D726" s="4"/>
      <c r="E726" s="4"/>
    </row>
    <row r="727" spans="1:5" x14ac:dyDescent="0.25">
      <c r="A727" s="4">
        <v>726</v>
      </c>
      <c r="B727" s="4"/>
      <c r="C727" s="4"/>
      <c r="D727" s="4"/>
      <c r="E727" s="4"/>
    </row>
    <row r="728" spans="1:5" x14ac:dyDescent="0.25">
      <c r="A728" s="4">
        <v>727</v>
      </c>
      <c r="B728" s="4"/>
      <c r="C728" s="4"/>
      <c r="D728" s="4"/>
      <c r="E728" s="4"/>
    </row>
    <row r="729" spans="1:5" x14ac:dyDescent="0.25">
      <c r="A729" s="4">
        <v>728</v>
      </c>
      <c r="B729" s="4"/>
      <c r="C729" s="4"/>
      <c r="D729" s="4"/>
      <c r="E729" s="4"/>
    </row>
    <row r="730" spans="1:5" x14ac:dyDescent="0.25">
      <c r="A730" s="4">
        <v>729</v>
      </c>
      <c r="B730" s="4"/>
      <c r="C730" s="4"/>
      <c r="D730" s="4"/>
      <c r="E730" s="4"/>
    </row>
    <row r="731" spans="1:5" x14ac:dyDescent="0.25">
      <c r="A731" s="4">
        <v>730</v>
      </c>
      <c r="B731" s="4"/>
      <c r="C731" s="4"/>
      <c r="D731" s="4"/>
      <c r="E731" s="4"/>
    </row>
    <row r="732" spans="1:5" x14ac:dyDescent="0.25">
      <c r="A732" s="4">
        <v>731</v>
      </c>
      <c r="B732" s="4"/>
      <c r="C732" s="4"/>
      <c r="D732" s="4"/>
      <c r="E732" s="4"/>
    </row>
    <row r="733" spans="1:5" x14ac:dyDescent="0.25">
      <c r="A733" s="4">
        <v>732</v>
      </c>
      <c r="B733" s="4"/>
      <c r="C733" s="4"/>
      <c r="D733" s="4"/>
      <c r="E733" s="4"/>
    </row>
    <row r="734" spans="1:5" x14ac:dyDescent="0.25">
      <c r="A734" s="4">
        <v>733</v>
      </c>
      <c r="B734" s="4"/>
      <c r="C734" s="4"/>
      <c r="D734" s="4"/>
      <c r="E734" s="4"/>
    </row>
    <row r="735" spans="1:5" x14ac:dyDescent="0.25">
      <c r="A735" s="4">
        <v>734</v>
      </c>
      <c r="B735" s="4"/>
      <c r="C735" s="4"/>
      <c r="D735" s="4"/>
      <c r="E735" s="4"/>
    </row>
    <row r="736" spans="1:5" x14ac:dyDescent="0.25">
      <c r="A736" s="4">
        <v>735</v>
      </c>
      <c r="B736" s="4"/>
      <c r="C736" s="4"/>
      <c r="D736" s="4"/>
      <c r="E736" s="4"/>
    </row>
    <row r="737" spans="1:5" x14ac:dyDescent="0.25">
      <c r="A737" s="4">
        <v>736</v>
      </c>
      <c r="B737" s="4"/>
      <c r="C737" s="4"/>
      <c r="D737" s="4"/>
      <c r="E737" s="4"/>
    </row>
    <row r="738" spans="1:5" x14ac:dyDescent="0.25">
      <c r="A738" s="4">
        <v>737</v>
      </c>
      <c r="B738" s="4"/>
      <c r="C738" s="4"/>
      <c r="D738" s="4"/>
      <c r="E738" s="4"/>
    </row>
    <row r="739" spans="1:5" x14ac:dyDescent="0.25">
      <c r="A739" s="4">
        <v>738</v>
      </c>
      <c r="B739" s="4"/>
      <c r="C739" s="4"/>
      <c r="D739" s="4"/>
      <c r="E739" s="4"/>
    </row>
    <row r="740" spans="1:5" x14ac:dyDescent="0.25">
      <c r="A740" s="4">
        <v>739</v>
      </c>
      <c r="B740" s="4"/>
      <c r="C740" s="4"/>
      <c r="D740" s="4"/>
      <c r="E740" s="4"/>
    </row>
    <row r="741" spans="1:5" x14ac:dyDescent="0.25">
      <c r="A741" s="4">
        <v>740</v>
      </c>
      <c r="B741" s="4"/>
      <c r="C741" s="4"/>
      <c r="D741" s="4"/>
      <c r="E741" s="4"/>
    </row>
    <row r="742" spans="1:5" x14ac:dyDescent="0.25">
      <c r="A742" s="4">
        <v>741</v>
      </c>
      <c r="B742" s="4"/>
      <c r="C742" s="4"/>
      <c r="D742" s="4"/>
      <c r="E742" s="4"/>
    </row>
    <row r="743" spans="1:5" x14ac:dyDescent="0.25">
      <c r="A743" s="4">
        <v>742</v>
      </c>
      <c r="B743" s="4"/>
      <c r="C743" s="4"/>
      <c r="D743" s="4"/>
      <c r="E743" s="4"/>
    </row>
    <row r="744" spans="1:5" x14ac:dyDescent="0.25">
      <c r="A744" s="4">
        <v>743</v>
      </c>
      <c r="B744" s="4"/>
      <c r="C744" s="4"/>
      <c r="D744" s="4"/>
      <c r="E744" s="4"/>
    </row>
    <row r="745" spans="1:5" x14ac:dyDescent="0.25">
      <c r="A745" s="4">
        <v>744</v>
      </c>
      <c r="B745" s="4"/>
      <c r="C745" s="4"/>
      <c r="D745" s="4"/>
      <c r="E745" s="4"/>
    </row>
    <row r="746" spans="1:5" x14ac:dyDescent="0.25">
      <c r="A746" s="4">
        <v>745</v>
      </c>
      <c r="B746" s="4"/>
      <c r="C746" s="4"/>
      <c r="D746" s="4"/>
      <c r="E746" s="4"/>
    </row>
    <row r="747" spans="1:5" x14ac:dyDescent="0.25">
      <c r="A747" s="4">
        <v>746</v>
      </c>
      <c r="B747" s="4"/>
      <c r="C747" s="4"/>
      <c r="D747" s="4"/>
      <c r="E747" s="4"/>
    </row>
    <row r="748" spans="1:5" x14ac:dyDescent="0.25">
      <c r="A748" s="4">
        <v>747</v>
      </c>
      <c r="B748" s="4"/>
      <c r="C748" s="4"/>
      <c r="D748" s="4"/>
      <c r="E748" s="4"/>
    </row>
    <row r="749" spans="1:5" x14ac:dyDescent="0.25">
      <c r="A749" s="4">
        <v>748</v>
      </c>
      <c r="B749" s="4"/>
      <c r="C749" s="4"/>
      <c r="D749" s="4"/>
      <c r="E749" s="4"/>
    </row>
    <row r="750" spans="1:5" x14ac:dyDescent="0.25">
      <c r="A750" s="4">
        <v>749</v>
      </c>
      <c r="B750" s="4"/>
      <c r="C750" s="4"/>
      <c r="D750" s="4"/>
      <c r="E750" s="4"/>
    </row>
    <row r="751" spans="1:5" x14ac:dyDescent="0.25">
      <c r="A751" s="4">
        <v>750</v>
      </c>
      <c r="B751" s="4"/>
      <c r="C751" s="4"/>
      <c r="D751" s="4"/>
      <c r="E751" s="4"/>
    </row>
    <row r="752" spans="1:5" x14ac:dyDescent="0.25">
      <c r="A752" s="4">
        <v>751</v>
      </c>
      <c r="B752" s="4"/>
      <c r="C752" s="4"/>
      <c r="D752" s="4"/>
      <c r="E752" s="4"/>
    </row>
    <row r="753" spans="1:5" x14ac:dyDescent="0.25">
      <c r="A753" s="4">
        <v>752</v>
      </c>
      <c r="B753" s="4"/>
      <c r="C753" s="4"/>
      <c r="D753" s="4"/>
      <c r="E753" s="4"/>
    </row>
    <row r="754" spans="1:5" x14ac:dyDescent="0.25">
      <c r="A754" s="4">
        <v>753</v>
      </c>
      <c r="B754" s="4"/>
      <c r="C754" s="4"/>
      <c r="D754" s="4"/>
      <c r="E754" s="4"/>
    </row>
    <row r="755" spans="1:5" x14ac:dyDescent="0.25">
      <c r="A755" s="4">
        <v>754</v>
      </c>
      <c r="B755" s="4"/>
      <c r="C755" s="4"/>
      <c r="D755" s="4"/>
      <c r="E755" s="4"/>
    </row>
    <row r="756" spans="1:5" x14ac:dyDescent="0.25">
      <c r="A756" s="4">
        <v>755</v>
      </c>
      <c r="B756" s="4"/>
      <c r="C756" s="4"/>
      <c r="D756" s="4"/>
      <c r="E756" s="4"/>
    </row>
    <row r="757" spans="1:5" x14ac:dyDescent="0.25">
      <c r="A757" s="4">
        <v>756</v>
      </c>
      <c r="B757" s="4"/>
      <c r="C757" s="4"/>
      <c r="D757" s="4"/>
      <c r="E757" s="4"/>
    </row>
    <row r="758" spans="1:5" x14ac:dyDescent="0.25">
      <c r="A758" s="4">
        <v>757</v>
      </c>
      <c r="B758" s="4"/>
      <c r="C758" s="4"/>
      <c r="D758" s="4"/>
      <c r="E758" s="4"/>
    </row>
    <row r="759" spans="1:5" x14ac:dyDescent="0.25">
      <c r="A759" s="4">
        <v>758</v>
      </c>
      <c r="B759" s="4"/>
      <c r="C759" s="4"/>
      <c r="D759" s="4"/>
      <c r="E759" s="4"/>
    </row>
    <row r="760" spans="1:5" x14ac:dyDescent="0.25">
      <c r="A760" s="4">
        <v>759</v>
      </c>
      <c r="B760" s="4"/>
      <c r="C760" s="4"/>
      <c r="D760" s="4"/>
      <c r="E760" s="4"/>
    </row>
    <row r="761" spans="1:5" x14ac:dyDescent="0.25">
      <c r="A761" s="4">
        <v>760</v>
      </c>
      <c r="B761" s="4"/>
      <c r="C761" s="4"/>
      <c r="D761" s="4"/>
      <c r="E761" s="4"/>
    </row>
    <row r="762" spans="1:5" x14ac:dyDescent="0.25">
      <c r="A762" s="4">
        <v>761</v>
      </c>
      <c r="B762" s="4"/>
      <c r="C762" s="4"/>
      <c r="D762" s="4"/>
      <c r="E762" s="4"/>
    </row>
    <row r="763" spans="1:5" x14ac:dyDescent="0.25">
      <c r="A763" s="4">
        <v>762</v>
      </c>
      <c r="B763" s="4"/>
      <c r="C763" s="4"/>
      <c r="D763" s="4"/>
      <c r="E763" s="4"/>
    </row>
    <row r="764" spans="1:5" x14ac:dyDescent="0.25">
      <c r="A764" s="4">
        <v>763</v>
      </c>
      <c r="B764" s="4"/>
      <c r="C764" s="4"/>
      <c r="D764" s="4"/>
      <c r="E764" s="4"/>
    </row>
    <row r="765" spans="1:5" x14ac:dyDescent="0.25">
      <c r="A765" s="4">
        <v>764</v>
      </c>
      <c r="B765" s="4"/>
      <c r="C765" s="4"/>
      <c r="D765" s="4"/>
      <c r="E765" s="4"/>
    </row>
    <row r="766" spans="1:5" x14ac:dyDescent="0.25">
      <c r="A766" s="4">
        <v>765</v>
      </c>
      <c r="B766" s="4"/>
      <c r="C766" s="4"/>
      <c r="D766" s="4"/>
      <c r="E766" s="4"/>
    </row>
    <row r="767" spans="1:5" x14ac:dyDescent="0.25">
      <c r="A767" s="4">
        <v>766</v>
      </c>
      <c r="B767" s="4"/>
      <c r="C767" s="4"/>
      <c r="D767" s="4"/>
      <c r="E767" s="4"/>
    </row>
    <row r="768" spans="1:5" x14ac:dyDescent="0.25">
      <c r="A768" s="4">
        <v>767</v>
      </c>
      <c r="B768" s="4"/>
      <c r="C768" s="4"/>
      <c r="D768" s="4"/>
      <c r="E768" s="4"/>
    </row>
    <row r="769" spans="1:5" x14ac:dyDescent="0.25">
      <c r="A769" s="4">
        <v>768</v>
      </c>
      <c r="B769" s="4"/>
      <c r="C769" s="4"/>
      <c r="D769" s="4"/>
      <c r="E769" s="4"/>
    </row>
    <row r="770" spans="1:5" x14ac:dyDescent="0.25">
      <c r="A770" s="4">
        <v>769</v>
      </c>
      <c r="B770" s="4"/>
      <c r="C770" s="4"/>
      <c r="D770" s="4"/>
      <c r="E770" s="4"/>
    </row>
    <row r="771" spans="1:5" x14ac:dyDescent="0.25">
      <c r="A771" s="4">
        <v>770</v>
      </c>
      <c r="B771" s="4"/>
      <c r="C771" s="4"/>
      <c r="D771" s="4"/>
      <c r="E771" s="4"/>
    </row>
    <row r="772" spans="1:5" x14ac:dyDescent="0.25">
      <c r="A772" s="4">
        <v>771</v>
      </c>
      <c r="B772" s="4"/>
      <c r="C772" s="4"/>
      <c r="D772" s="4"/>
      <c r="E772" s="4"/>
    </row>
    <row r="773" spans="1:5" x14ac:dyDescent="0.25">
      <c r="A773" s="4">
        <v>772</v>
      </c>
      <c r="B773" s="4"/>
      <c r="C773" s="4"/>
      <c r="D773" s="4"/>
      <c r="E773" s="4"/>
    </row>
    <row r="774" spans="1:5" x14ac:dyDescent="0.25">
      <c r="A774" s="4">
        <v>773</v>
      </c>
      <c r="B774" s="4"/>
      <c r="C774" s="4"/>
      <c r="D774" s="4"/>
      <c r="E774" s="4"/>
    </row>
    <row r="775" spans="1:5" x14ac:dyDescent="0.25">
      <c r="A775" s="4">
        <v>774</v>
      </c>
      <c r="B775" s="4"/>
      <c r="C775" s="4"/>
      <c r="D775" s="4"/>
      <c r="E775" s="4"/>
    </row>
    <row r="776" spans="1:5" x14ac:dyDescent="0.25">
      <c r="A776" s="4">
        <v>775</v>
      </c>
      <c r="B776" s="4"/>
      <c r="C776" s="4"/>
      <c r="D776" s="4"/>
      <c r="E776" s="4"/>
    </row>
    <row r="777" spans="1:5" x14ac:dyDescent="0.25">
      <c r="A777" s="4">
        <v>776</v>
      </c>
      <c r="B777" s="4"/>
      <c r="C777" s="4"/>
      <c r="D777" s="4"/>
      <c r="E777" s="4"/>
    </row>
    <row r="778" spans="1:5" x14ac:dyDescent="0.25">
      <c r="A778" s="4">
        <v>777</v>
      </c>
      <c r="B778" s="4"/>
      <c r="C778" s="4"/>
      <c r="D778" s="4"/>
      <c r="E778" s="4"/>
    </row>
    <row r="779" spans="1:5" x14ac:dyDescent="0.25">
      <c r="A779" s="4">
        <v>778</v>
      </c>
      <c r="B779" s="4"/>
      <c r="C779" s="4"/>
      <c r="D779" s="4"/>
      <c r="E779" s="4"/>
    </row>
    <row r="780" spans="1:5" x14ac:dyDescent="0.25">
      <c r="A780" s="4">
        <v>779</v>
      </c>
      <c r="B780" s="4"/>
      <c r="C780" s="4"/>
      <c r="D780" s="4"/>
      <c r="E780" s="4"/>
    </row>
    <row r="781" spans="1:5" x14ac:dyDescent="0.25">
      <c r="A781" s="4">
        <v>780</v>
      </c>
      <c r="B781" s="4"/>
      <c r="C781" s="4"/>
      <c r="D781" s="4"/>
      <c r="E781" s="4"/>
    </row>
    <row r="782" spans="1:5" x14ac:dyDescent="0.25">
      <c r="A782" s="4">
        <v>781</v>
      </c>
      <c r="B782" s="4"/>
      <c r="C782" s="4"/>
      <c r="D782" s="4"/>
      <c r="E782" s="4"/>
    </row>
    <row r="783" spans="1:5" x14ac:dyDescent="0.25">
      <c r="A783" s="4">
        <v>782</v>
      </c>
      <c r="B783" s="4"/>
      <c r="C783" s="4"/>
      <c r="D783" s="4"/>
      <c r="E783" s="4"/>
    </row>
    <row r="784" spans="1:5" x14ac:dyDescent="0.25">
      <c r="A784" s="4">
        <v>783</v>
      </c>
      <c r="B784" s="4"/>
      <c r="C784" s="4"/>
      <c r="D784" s="4"/>
      <c r="E784" s="4"/>
    </row>
    <row r="785" spans="1:5" x14ac:dyDescent="0.25">
      <c r="A785" s="4">
        <v>784</v>
      </c>
      <c r="B785" s="4"/>
      <c r="C785" s="4"/>
      <c r="D785" s="4"/>
      <c r="E785" s="4"/>
    </row>
    <row r="786" spans="1:5" x14ac:dyDescent="0.25">
      <c r="A786" s="4">
        <v>785</v>
      </c>
      <c r="B786" s="4"/>
      <c r="C786" s="4"/>
      <c r="D786" s="4"/>
      <c r="E786" s="4"/>
    </row>
    <row r="787" spans="1:5" x14ac:dyDescent="0.25">
      <c r="A787" s="4">
        <v>786</v>
      </c>
      <c r="B787" s="4"/>
      <c r="C787" s="4"/>
      <c r="D787" s="4"/>
      <c r="E787" s="4"/>
    </row>
    <row r="788" spans="1:5" x14ac:dyDescent="0.25">
      <c r="A788" s="4">
        <v>787</v>
      </c>
      <c r="B788" s="4"/>
      <c r="C788" s="4"/>
      <c r="D788" s="4"/>
      <c r="E788" s="4"/>
    </row>
    <row r="789" spans="1:5" x14ac:dyDescent="0.25">
      <c r="A789" s="4">
        <v>788</v>
      </c>
      <c r="B789" s="4"/>
      <c r="C789" s="4"/>
      <c r="D789" s="4"/>
      <c r="E789" s="4"/>
    </row>
    <row r="790" spans="1:5" x14ac:dyDescent="0.25">
      <c r="A790" s="4">
        <v>789</v>
      </c>
      <c r="B790" s="4"/>
      <c r="C790" s="4"/>
      <c r="D790" s="4"/>
      <c r="E790" s="4"/>
    </row>
    <row r="791" spans="1:5" x14ac:dyDescent="0.25">
      <c r="A791" s="4">
        <v>790</v>
      </c>
      <c r="B791" s="4"/>
      <c r="C791" s="4"/>
      <c r="D791" s="4"/>
      <c r="E791" s="4"/>
    </row>
    <row r="792" spans="1:5" x14ac:dyDescent="0.25">
      <c r="A792" s="4">
        <v>791</v>
      </c>
      <c r="B792" s="4"/>
      <c r="C792" s="4"/>
      <c r="D792" s="4"/>
      <c r="E792" s="4"/>
    </row>
    <row r="793" spans="1:5" x14ac:dyDescent="0.25">
      <c r="A793" s="4">
        <v>792</v>
      </c>
      <c r="B793" s="4"/>
      <c r="C793" s="4"/>
      <c r="D793" s="4"/>
      <c r="E793" s="4"/>
    </row>
    <row r="794" spans="1:5" x14ac:dyDescent="0.25">
      <c r="A794" s="4">
        <v>793</v>
      </c>
      <c r="B794" s="4"/>
      <c r="C794" s="4"/>
      <c r="D794" s="4"/>
      <c r="E794" s="4"/>
    </row>
    <row r="795" spans="1:5" x14ac:dyDescent="0.25">
      <c r="A795" s="4">
        <v>794</v>
      </c>
      <c r="B795" s="4"/>
      <c r="C795" s="4"/>
      <c r="D795" s="4"/>
      <c r="E795" s="4"/>
    </row>
    <row r="796" spans="1:5" x14ac:dyDescent="0.25">
      <c r="A796" s="4">
        <v>795</v>
      </c>
      <c r="B796" s="4"/>
      <c r="C796" s="4"/>
      <c r="D796" s="4"/>
      <c r="E796" s="4"/>
    </row>
    <row r="797" spans="1:5" x14ac:dyDescent="0.25">
      <c r="A797" s="4">
        <v>796</v>
      </c>
      <c r="B797" s="4"/>
      <c r="C797" s="4"/>
      <c r="D797" s="4"/>
      <c r="E797" s="4"/>
    </row>
    <row r="798" spans="1:5" x14ac:dyDescent="0.25">
      <c r="A798" s="4">
        <v>797</v>
      </c>
      <c r="B798" s="4"/>
      <c r="C798" s="4"/>
      <c r="D798" s="4"/>
      <c r="E798" s="4"/>
    </row>
    <row r="799" spans="1:5" x14ac:dyDescent="0.25">
      <c r="A799" s="4">
        <v>798</v>
      </c>
      <c r="B799" s="4"/>
      <c r="C799" s="4"/>
      <c r="D799" s="4"/>
      <c r="E799" s="4"/>
    </row>
    <row r="800" spans="1:5" x14ac:dyDescent="0.25">
      <c r="A800" s="4">
        <v>799</v>
      </c>
      <c r="B800" s="4"/>
      <c r="C800" s="4"/>
      <c r="D800" s="4"/>
      <c r="E800" s="4"/>
    </row>
    <row r="801" spans="1:5" x14ac:dyDescent="0.25">
      <c r="A801" s="4">
        <v>800</v>
      </c>
      <c r="B801" s="4"/>
      <c r="C801" s="4"/>
      <c r="D801" s="4"/>
      <c r="E801" s="4"/>
    </row>
    <row r="802" spans="1:5" x14ac:dyDescent="0.25">
      <c r="A802" s="4">
        <v>801</v>
      </c>
      <c r="B802" s="4"/>
      <c r="C802" s="4"/>
      <c r="D802" s="4"/>
      <c r="E802" s="4"/>
    </row>
    <row r="803" spans="1:5" x14ac:dyDescent="0.25">
      <c r="A803" s="4">
        <v>802</v>
      </c>
      <c r="B803" s="4"/>
      <c r="C803" s="4"/>
      <c r="D803" s="4"/>
      <c r="E803" s="4"/>
    </row>
    <row r="804" spans="1:5" x14ac:dyDescent="0.25">
      <c r="A804" s="4">
        <v>803</v>
      </c>
      <c r="B804" s="4"/>
      <c r="C804" s="4"/>
      <c r="D804" s="4"/>
      <c r="E804" s="4"/>
    </row>
    <row r="805" spans="1:5" x14ac:dyDescent="0.25">
      <c r="A805" s="4">
        <v>804</v>
      </c>
      <c r="B805" s="4"/>
      <c r="C805" s="4"/>
      <c r="D805" s="4"/>
      <c r="E805" s="4"/>
    </row>
    <row r="806" spans="1:5" x14ac:dyDescent="0.25">
      <c r="A806" s="4">
        <v>805</v>
      </c>
      <c r="B806" s="4"/>
      <c r="C806" s="4"/>
      <c r="D806" s="4"/>
      <c r="E806" s="4"/>
    </row>
    <row r="807" spans="1:5" x14ac:dyDescent="0.25">
      <c r="A807" s="4">
        <v>806</v>
      </c>
      <c r="B807" s="4"/>
      <c r="C807" s="4"/>
      <c r="D807" s="4"/>
      <c r="E807" s="4"/>
    </row>
    <row r="808" spans="1:5" x14ac:dyDescent="0.25">
      <c r="A808" s="4">
        <v>807</v>
      </c>
      <c r="B808" s="4"/>
      <c r="C808" s="4"/>
      <c r="D808" s="4"/>
      <c r="E808" s="4"/>
    </row>
    <row r="809" spans="1:5" x14ac:dyDescent="0.25">
      <c r="A809" s="4">
        <v>808</v>
      </c>
      <c r="B809" s="4"/>
      <c r="C809" s="4"/>
      <c r="D809" s="4"/>
      <c r="E809" s="4"/>
    </row>
    <row r="810" spans="1:5" x14ac:dyDescent="0.25">
      <c r="A810" s="4">
        <v>809</v>
      </c>
      <c r="B810" s="4"/>
      <c r="C810" s="4"/>
      <c r="D810" s="4"/>
      <c r="E810" s="4"/>
    </row>
    <row r="811" spans="1:5" x14ac:dyDescent="0.25">
      <c r="A811" s="4">
        <v>810</v>
      </c>
      <c r="B811" s="4"/>
      <c r="C811" s="4"/>
      <c r="D811" s="4"/>
      <c r="E811" s="4"/>
    </row>
    <row r="812" spans="1:5" x14ac:dyDescent="0.25">
      <c r="A812" s="4">
        <v>811</v>
      </c>
      <c r="B812" s="4"/>
      <c r="C812" s="4"/>
      <c r="D812" s="4"/>
      <c r="E812" s="4"/>
    </row>
    <row r="813" spans="1:5" x14ac:dyDescent="0.25">
      <c r="A813" s="4">
        <v>812</v>
      </c>
      <c r="B813" s="4"/>
      <c r="C813" s="4"/>
      <c r="D813" s="4"/>
      <c r="E813" s="4"/>
    </row>
    <row r="814" spans="1:5" x14ac:dyDescent="0.25">
      <c r="A814" s="4">
        <v>813</v>
      </c>
      <c r="B814" s="4"/>
      <c r="C814" s="4"/>
      <c r="D814" s="4"/>
      <c r="E814" s="4"/>
    </row>
    <row r="815" spans="1:5" x14ac:dyDescent="0.25">
      <c r="A815" s="4">
        <v>814</v>
      </c>
      <c r="B815" s="4"/>
      <c r="C815" s="4"/>
      <c r="D815" s="4"/>
      <c r="E815" s="4"/>
    </row>
    <row r="816" spans="1:5" x14ac:dyDescent="0.25">
      <c r="A816" s="4">
        <v>815</v>
      </c>
      <c r="B816" s="4"/>
      <c r="C816" s="4"/>
      <c r="D816" s="4"/>
      <c r="E816" s="4"/>
    </row>
    <row r="817" spans="1:5" x14ac:dyDescent="0.25">
      <c r="A817" s="4">
        <v>816</v>
      </c>
      <c r="B817" s="4"/>
      <c r="C817" s="4"/>
      <c r="D817" s="4"/>
      <c r="E817" s="4"/>
    </row>
    <row r="818" spans="1:5" x14ac:dyDescent="0.25">
      <c r="A818" s="4">
        <v>817</v>
      </c>
      <c r="B818" s="4"/>
      <c r="C818" s="4"/>
      <c r="D818" s="4"/>
      <c r="E818" s="4"/>
    </row>
    <row r="819" spans="1:5" x14ac:dyDescent="0.25">
      <c r="A819" s="4">
        <v>818</v>
      </c>
      <c r="B819" s="4"/>
      <c r="C819" s="4"/>
      <c r="D819" s="4"/>
      <c r="E819" s="4"/>
    </row>
    <row r="820" spans="1:5" x14ac:dyDescent="0.25">
      <c r="A820" s="4">
        <v>819</v>
      </c>
      <c r="B820" s="4"/>
      <c r="C820" s="4"/>
      <c r="D820" s="4"/>
      <c r="E820" s="4"/>
    </row>
    <row r="821" spans="1:5" x14ac:dyDescent="0.25">
      <c r="A821" s="4">
        <v>820</v>
      </c>
      <c r="B821" s="4"/>
      <c r="C821" s="4"/>
      <c r="D821" s="4"/>
      <c r="E821" s="4"/>
    </row>
    <row r="822" spans="1:5" x14ac:dyDescent="0.25">
      <c r="A822" s="4">
        <v>821</v>
      </c>
      <c r="B822" s="4"/>
      <c r="C822" s="4"/>
      <c r="D822" s="4"/>
      <c r="E822" s="4"/>
    </row>
    <row r="823" spans="1:5" x14ac:dyDescent="0.25">
      <c r="A823" s="4">
        <v>822</v>
      </c>
      <c r="B823" s="4"/>
      <c r="C823" s="4"/>
      <c r="D823" s="4"/>
      <c r="E823" s="4"/>
    </row>
    <row r="824" spans="1:5" x14ac:dyDescent="0.25">
      <c r="A824" s="4">
        <v>823</v>
      </c>
      <c r="B824" s="4"/>
      <c r="C824" s="4"/>
      <c r="D824" s="4"/>
      <c r="E824" s="4"/>
    </row>
    <row r="825" spans="1:5" x14ac:dyDescent="0.25">
      <c r="A825" s="4">
        <v>824</v>
      </c>
      <c r="B825" s="4"/>
      <c r="C825" s="4"/>
      <c r="D825" s="4"/>
      <c r="E825" s="4"/>
    </row>
    <row r="826" spans="1:5" x14ac:dyDescent="0.25">
      <c r="A826" s="4">
        <v>825</v>
      </c>
      <c r="B826" s="4"/>
      <c r="C826" s="4"/>
      <c r="D826" s="4"/>
      <c r="E826" s="4"/>
    </row>
    <row r="827" spans="1:5" x14ac:dyDescent="0.25">
      <c r="A827" s="4">
        <v>826</v>
      </c>
      <c r="B827" s="4"/>
      <c r="C827" s="4"/>
      <c r="D827" s="4"/>
      <c r="E827" s="4"/>
    </row>
    <row r="828" spans="1:5" x14ac:dyDescent="0.25">
      <c r="A828" s="4">
        <v>827</v>
      </c>
      <c r="B828" s="4"/>
      <c r="C828" s="4"/>
      <c r="D828" s="4"/>
      <c r="E828" s="4"/>
    </row>
    <row r="829" spans="1:5" x14ac:dyDescent="0.25">
      <c r="A829" s="4">
        <v>828</v>
      </c>
      <c r="B829" s="4"/>
      <c r="C829" s="4"/>
      <c r="D829" s="4"/>
      <c r="E829" s="4"/>
    </row>
    <row r="830" spans="1:5" x14ac:dyDescent="0.25">
      <c r="A830" s="4">
        <v>829</v>
      </c>
      <c r="B830" s="4"/>
      <c r="C830" s="4"/>
      <c r="D830" s="4"/>
      <c r="E830" s="4"/>
    </row>
    <row r="831" spans="1:5" x14ac:dyDescent="0.25">
      <c r="A831" s="4">
        <v>830</v>
      </c>
      <c r="B831" s="4"/>
      <c r="C831" s="4"/>
      <c r="D831" s="4"/>
      <c r="E831" s="4"/>
    </row>
    <row r="832" spans="1:5" x14ac:dyDescent="0.25">
      <c r="A832" s="4">
        <v>831</v>
      </c>
      <c r="B832" s="4"/>
      <c r="C832" s="4"/>
      <c r="D832" s="4"/>
      <c r="E832" s="4"/>
    </row>
    <row r="833" spans="1:5" x14ac:dyDescent="0.25">
      <c r="A833" s="4">
        <v>832</v>
      </c>
      <c r="B833" s="4"/>
      <c r="C833" s="4"/>
      <c r="D833" s="4"/>
      <c r="E833" s="4"/>
    </row>
    <row r="834" spans="1:5" x14ac:dyDescent="0.25">
      <c r="A834" s="4">
        <v>833</v>
      </c>
      <c r="B834" s="4"/>
      <c r="C834" s="4"/>
      <c r="D834" s="4"/>
      <c r="E834" s="4"/>
    </row>
    <row r="835" spans="1:5" x14ac:dyDescent="0.25">
      <c r="A835" s="4">
        <v>834</v>
      </c>
      <c r="B835" s="4"/>
      <c r="C835" s="4"/>
      <c r="D835" s="4"/>
      <c r="E835" s="4"/>
    </row>
    <row r="836" spans="1:5" x14ac:dyDescent="0.25">
      <c r="A836" s="4">
        <v>835</v>
      </c>
      <c r="B836" s="4"/>
      <c r="C836" s="4"/>
      <c r="D836" s="4"/>
      <c r="E836" s="4"/>
    </row>
    <row r="837" spans="1:5" x14ac:dyDescent="0.25">
      <c r="A837" s="4">
        <v>836</v>
      </c>
      <c r="B837" s="4"/>
      <c r="C837" s="4"/>
      <c r="D837" s="4"/>
      <c r="E837" s="4"/>
    </row>
    <row r="838" spans="1:5" x14ac:dyDescent="0.25">
      <c r="A838" s="4">
        <v>837</v>
      </c>
      <c r="B838" s="4"/>
      <c r="C838" s="4"/>
      <c r="D838" s="4"/>
      <c r="E838" s="4"/>
    </row>
    <row r="839" spans="1:5" x14ac:dyDescent="0.25">
      <c r="A839" s="4">
        <v>838</v>
      </c>
      <c r="B839" s="4"/>
      <c r="C839" s="4"/>
      <c r="D839" s="4"/>
      <c r="E839" s="4"/>
    </row>
    <row r="840" spans="1:5" x14ac:dyDescent="0.25">
      <c r="A840" s="4">
        <v>839</v>
      </c>
      <c r="B840" s="4"/>
      <c r="C840" s="4"/>
      <c r="D840" s="4"/>
      <c r="E840" s="4"/>
    </row>
    <row r="841" spans="1:5" x14ac:dyDescent="0.25">
      <c r="A841" s="4">
        <v>840</v>
      </c>
      <c r="B841" s="4"/>
      <c r="C841" s="4"/>
      <c r="D841" s="4"/>
      <c r="E841" s="4"/>
    </row>
    <row r="842" spans="1:5" x14ac:dyDescent="0.25">
      <c r="A842" s="4">
        <v>841</v>
      </c>
      <c r="B842" s="4"/>
      <c r="C842" s="4"/>
      <c r="D842" s="4"/>
      <c r="E842" s="4"/>
    </row>
    <row r="843" spans="1:5" x14ac:dyDescent="0.25">
      <c r="A843" s="4">
        <v>842</v>
      </c>
      <c r="B843" s="4"/>
      <c r="C843" s="4"/>
      <c r="D843" s="4"/>
      <c r="E843" s="4"/>
    </row>
    <row r="844" spans="1:5" x14ac:dyDescent="0.25">
      <c r="A844" s="4">
        <v>843</v>
      </c>
      <c r="B844" s="4"/>
      <c r="C844" s="4"/>
      <c r="D844" s="4"/>
      <c r="E844" s="4"/>
    </row>
    <row r="845" spans="1:5" x14ac:dyDescent="0.25">
      <c r="A845" s="4">
        <v>844</v>
      </c>
      <c r="B845" s="4"/>
      <c r="C845" s="4"/>
      <c r="D845" s="4"/>
      <c r="E845" s="4"/>
    </row>
    <row r="846" spans="1:5" x14ac:dyDescent="0.25">
      <c r="A846" s="4">
        <v>845</v>
      </c>
      <c r="B846" s="4"/>
      <c r="C846" s="4"/>
      <c r="D846" s="4"/>
      <c r="E846" s="4"/>
    </row>
    <row r="847" spans="1:5" x14ac:dyDescent="0.25">
      <c r="A847" s="4">
        <v>846</v>
      </c>
      <c r="B847" s="4"/>
      <c r="C847" s="4"/>
      <c r="D847" s="4"/>
      <c r="E847" s="4"/>
    </row>
    <row r="848" spans="1:5" x14ac:dyDescent="0.25">
      <c r="A848" s="4">
        <v>847</v>
      </c>
      <c r="B848" s="4"/>
      <c r="C848" s="4"/>
      <c r="D848" s="4"/>
      <c r="E848" s="4"/>
    </row>
    <row r="849" spans="1:5" x14ac:dyDescent="0.25">
      <c r="A849" s="4">
        <v>848</v>
      </c>
      <c r="B849" s="4"/>
      <c r="C849" s="4"/>
      <c r="D849" s="4"/>
      <c r="E849" s="4"/>
    </row>
    <row r="850" spans="1:5" x14ac:dyDescent="0.25">
      <c r="A850" s="4">
        <v>849</v>
      </c>
      <c r="B850" s="4"/>
      <c r="C850" s="4"/>
      <c r="D850" s="4"/>
      <c r="E850" s="4"/>
    </row>
    <row r="851" spans="1:5" x14ac:dyDescent="0.25">
      <c r="A851" s="4">
        <v>850</v>
      </c>
      <c r="B851" s="4"/>
      <c r="C851" s="4"/>
      <c r="D851" s="4"/>
      <c r="E851" s="4"/>
    </row>
    <row r="852" spans="1:5" x14ac:dyDescent="0.25">
      <c r="A852" s="4">
        <v>851</v>
      </c>
      <c r="B852" s="4"/>
      <c r="C852" s="4"/>
      <c r="D852" s="4"/>
      <c r="E852" s="4"/>
    </row>
    <row r="853" spans="1:5" x14ac:dyDescent="0.25">
      <c r="A853" s="4">
        <v>852</v>
      </c>
      <c r="B853" s="4"/>
      <c r="C853" s="4"/>
      <c r="D853" s="4"/>
      <c r="E853" s="4"/>
    </row>
    <row r="854" spans="1:5" x14ac:dyDescent="0.25">
      <c r="A854" s="4">
        <v>853</v>
      </c>
      <c r="B854" s="4"/>
      <c r="C854" s="4"/>
      <c r="D854" s="4"/>
      <c r="E854" s="4"/>
    </row>
    <row r="855" spans="1:5" x14ac:dyDescent="0.25">
      <c r="A855" s="4">
        <v>854</v>
      </c>
      <c r="B855" s="4"/>
      <c r="C855" s="4"/>
      <c r="D855" s="4"/>
      <c r="E855" s="4"/>
    </row>
    <row r="856" spans="1:5" x14ac:dyDescent="0.25">
      <c r="A856" s="4">
        <v>855</v>
      </c>
      <c r="B856" s="4"/>
      <c r="C856" s="4"/>
      <c r="D856" s="4"/>
      <c r="E856" s="4"/>
    </row>
    <row r="857" spans="1:5" x14ac:dyDescent="0.25">
      <c r="A857" s="4">
        <v>856</v>
      </c>
      <c r="B857" s="4"/>
      <c r="C857" s="4"/>
      <c r="D857" s="4"/>
      <c r="E857" s="4"/>
    </row>
    <row r="858" spans="1:5" x14ac:dyDescent="0.25">
      <c r="A858" s="4">
        <v>857</v>
      </c>
      <c r="B858" s="4"/>
      <c r="C858" s="4"/>
      <c r="D858" s="4"/>
      <c r="E858" s="4"/>
    </row>
    <row r="859" spans="1:5" x14ac:dyDescent="0.25">
      <c r="A859" s="4">
        <v>858</v>
      </c>
      <c r="B859" s="4"/>
      <c r="C859" s="4"/>
      <c r="D859" s="4"/>
      <c r="E859" s="4"/>
    </row>
    <row r="860" spans="1:5" x14ac:dyDescent="0.25">
      <c r="A860" s="4">
        <v>859</v>
      </c>
      <c r="B860" s="4"/>
      <c r="C860" s="4"/>
      <c r="D860" s="4"/>
      <c r="E860" s="4"/>
    </row>
    <row r="861" spans="1:5" x14ac:dyDescent="0.25">
      <c r="A861" s="4">
        <v>860</v>
      </c>
      <c r="B861" s="4"/>
      <c r="C861" s="4"/>
      <c r="D861" s="4"/>
      <c r="E861" s="4"/>
    </row>
    <row r="862" spans="1:5" x14ac:dyDescent="0.25">
      <c r="A862" s="4">
        <v>861</v>
      </c>
      <c r="B862" s="4"/>
      <c r="C862" s="4"/>
      <c r="D862" s="4"/>
      <c r="E862" s="4"/>
    </row>
    <row r="863" spans="1:5" x14ac:dyDescent="0.25">
      <c r="A863" s="4">
        <v>862</v>
      </c>
      <c r="B863" s="4"/>
      <c r="C863" s="4"/>
      <c r="D863" s="4"/>
      <c r="E863" s="4"/>
    </row>
    <row r="864" spans="1:5" x14ac:dyDescent="0.25">
      <c r="A864" s="4">
        <v>863</v>
      </c>
      <c r="B864" s="4"/>
      <c r="C864" s="4"/>
      <c r="D864" s="4"/>
      <c r="E864" s="4"/>
    </row>
    <row r="865" spans="1:5" x14ac:dyDescent="0.25">
      <c r="A865" s="4">
        <v>864</v>
      </c>
      <c r="B865" s="4"/>
      <c r="C865" s="4"/>
      <c r="D865" s="4"/>
      <c r="E865" s="4"/>
    </row>
    <row r="866" spans="1:5" x14ac:dyDescent="0.25">
      <c r="A866" s="4">
        <v>865</v>
      </c>
      <c r="B866" s="4"/>
      <c r="C866" s="4"/>
      <c r="D866" s="4"/>
      <c r="E866" s="4"/>
    </row>
    <row r="867" spans="1:5" x14ac:dyDescent="0.25">
      <c r="A867" s="4">
        <v>866</v>
      </c>
      <c r="B867" s="4"/>
      <c r="C867" s="4"/>
      <c r="D867" s="4"/>
      <c r="E867" s="4"/>
    </row>
    <row r="868" spans="1:5" x14ac:dyDescent="0.25">
      <c r="A868" s="4">
        <v>867</v>
      </c>
      <c r="B868" s="4"/>
      <c r="C868" s="4"/>
      <c r="D868" s="4"/>
      <c r="E868" s="4"/>
    </row>
    <row r="869" spans="1:5" x14ac:dyDescent="0.25">
      <c r="A869" s="4">
        <v>868</v>
      </c>
      <c r="B869" s="4"/>
      <c r="C869" s="4"/>
      <c r="D869" s="4"/>
      <c r="E869" s="4"/>
    </row>
    <row r="870" spans="1:5" x14ac:dyDescent="0.25">
      <c r="A870" s="4">
        <v>869</v>
      </c>
      <c r="B870" s="4"/>
      <c r="C870" s="4"/>
      <c r="D870" s="4"/>
      <c r="E870" s="4"/>
    </row>
    <row r="871" spans="1:5" x14ac:dyDescent="0.25">
      <c r="A871" s="4">
        <v>870</v>
      </c>
      <c r="B871" s="4"/>
      <c r="C871" s="4"/>
      <c r="D871" s="4"/>
      <c r="E871" s="4"/>
    </row>
    <row r="872" spans="1:5" x14ac:dyDescent="0.25">
      <c r="A872" s="4">
        <v>871</v>
      </c>
      <c r="B872" s="4"/>
      <c r="C872" s="4"/>
      <c r="D872" s="4"/>
      <c r="E872" s="4"/>
    </row>
    <row r="873" spans="1:5" x14ac:dyDescent="0.25">
      <c r="A873" s="4">
        <v>872</v>
      </c>
      <c r="B873" s="4"/>
      <c r="C873" s="4"/>
      <c r="D873" s="4"/>
      <c r="E873" s="4"/>
    </row>
    <row r="874" spans="1:5" x14ac:dyDescent="0.25">
      <c r="A874" s="4">
        <v>873</v>
      </c>
      <c r="B874" s="4"/>
      <c r="C874" s="4"/>
      <c r="D874" s="4"/>
      <c r="E874" s="4"/>
    </row>
    <row r="875" spans="1:5" x14ac:dyDescent="0.25">
      <c r="A875" s="4">
        <v>874</v>
      </c>
      <c r="B875" s="4"/>
      <c r="C875" s="4"/>
      <c r="D875" s="4"/>
      <c r="E875" s="4"/>
    </row>
    <row r="876" spans="1:5" x14ac:dyDescent="0.25">
      <c r="A876" s="4">
        <v>875</v>
      </c>
      <c r="B876" s="4"/>
      <c r="C876" s="4"/>
      <c r="D876" s="4"/>
      <c r="E876" s="4"/>
    </row>
    <row r="877" spans="1:5" x14ac:dyDescent="0.25">
      <c r="A877" s="4">
        <v>876</v>
      </c>
      <c r="B877" s="4"/>
      <c r="C877" s="4"/>
      <c r="D877" s="4"/>
      <c r="E877" s="4"/>
    </row>
    <row r="878" spans="1:5" x14ac:dyDescent="0.25">
      <c r="A878" s="4">
        <v>877</v>
      </c>
      <c r="B878" s="4"/>
      <c r="C878" s="4"/>
      <c r="D878" s="4"/>
      <c r="E878" s="4"/>
    </row>
    <row r="879" spans="1:5" x14ac:dyDescent="0.25">
      <c r="A879" s="4">
        <v>878</v>
      </c>
      <c r="B879" s="4"/>
      <c r="C879" s="4"/>
      <c r="D879" s="4"/>
      <c r="E879" s="4"/>
    </row>
    <row r="880" spans="1:5" x14ac:dyDescent="0.25">
      <c r="A880" s="4">
        <v>879</v>
      </c>
      <c r="B880" s="4"/>
      <c r="C880" s="4"/>
      <c r="D880" s="4"/>
      <c r="E880" s="4"/>
    </row>
    <row r="881" spans="1:5" x14ac:dyDescent="0.25">
      <c r="A881" s="4">
        <v>880</v>
      </c>
      <c r="B881" s="4"/>
      <c r="C881" s="4"/>
      <c r="D881" s="4"/>
      <c r="E881" s="4"/>
    </row>
    <row r="882" spans="1:5" x14ac:dyDescent="0.25">
      <c r="A882" s="4">
        <v>881</v>
      </c>
      <c r="B882" s="4"/>
      <c r="C882" s="4"/>
      <c r="D882" s="4"/>
      <c r="E882" s="4"/>
    </row>
    <row r="883" spans="1:5" x14ac:dyDescent="0.25">
      <c r="A883" s="4">
        <v>882</v>
      </c>
      <c r="B883" s="4"/>
      <c r="C883" s="4"/>
      <c r="D883" s="4"/>
      <c r="E883" s="4"/>
    </row>
    <row r="884" spans="1:5" x14ac:dyDescent="0.25">
      <c r="A884" s="4">
        <v>883</v>
      </c>
      <c r="B884" s="4"/>
      <c r="C884" s="4"/>
      <c r="D884" s="4"/>
      <c r="E884" s="4"/>
    </row>
    <row r="885" spans="1:5" x14ac:dyDescent="0.25">
      <c r="A885" s="4">
        <v>884</v>
      </c>
      <c r="B885" s="4"/>
      <c r="C885" s="4"/>
      <c r="D885" s="4"/>
      <c r="E885" s="4"/>
    </row>
    <row r="886" spans="1:5" x14ac:dyDescent="0.25">
      <c r="A886" s="4">
        <v>885</v>
      </c>
      <c r="B886" s="4"/>
      <c r="C886" s="4"/>
      <c r="D886" s="4"/>
      <c r="E886" s="4"/>
    </row>
    <row r="887" spans="1:5" x14ac:dyDescent="0.25">
      <c r="A887" s="4">
        <v>886</v>
      </c>
      <c r="B887" s="4"/>
      <c r="C887" s="4"/>
      <c r="D887" s="4"/>
      <c r="E887" s="4"/>
    </row>
    <row r="888" spans="1:5" x14ac:dyDescent="0.25">
      <c r="A888" s="4">
        <v>887</v>
      </c>
      <c r="B888" s="4"/>
      <c r="C888" s="4"/>
      <c r="D888" s="4"/>
      <c r="E888" s="4"/>
    </row>
    <row r="889" spans="1:5" x14ac:dyDescent="0.25">
      <c r="A889" s="4">
        <v>888</v>
      </c>
      <c r="B889" s="4"/>
      <c r="C889" s="4"/>
      <c r="D889" s="4"/>
      <c r="E889" s="4"/>
    </row>
    <row r="890" spans="1:5" x14ac:dyDescent="0.25">
      <c r="A890" s="4">
        <v>889</v>
      </c>
      <c r="B890" s="4"/>
      <c r="C890" s="4"/>
      <c r="D890" s="4"/>
      <c r="E890" s="4"/>
    </row>
    <row r="891" spans="1:5" x14ac:dyDescent="0.25">
      <c r="A891" s="4">
        <v>890</v>
      </c>
      <c r="B891" s="4"/>
      <c r="C891" s="4"/>
      <c r="D891" s="4"/>
      <c r="E891" s="4"/>
    </row>
    <row r="892" spans="1:5" x14ac:dyDescent="0.25">
      <c r="A892" s="4">
        <v>891</v>
      </c>
      <c r="B892" s="4"/>
      <c r="C892" s="4"/>
      <c r="D892" s="4"/>
      <c r="E892" s="4"/>
    </row>
    <row r="893" spans="1:5" x14ac:dyDescent="0.25">
      <c r="A893" s="4">
        <v>892</v>
      </c>
      <c r="B893" s="4"/>
      <c r="C893" s="4"/>
      <c r="D893" s="4"/>
      <c r="E893" s="4"/>
    </row>
    <row r="894" spans="1:5" x14ac:dyDescent="0.25">
      <c r="A894" s="4">
        <v>893</v>
      </c>
      <c r="B894" s="4"/>
      <c r="C894" s="4"/>
      <c r="D894" s="4"/>
      <c r="E894" s="4"/>
    </row>
    <row r="895" spans="1:5" x14ac:dyDescent="0.25">
      <c r="A895" s="4">
        <v>894</v>
      </c>
      <c r="B895" s="4"/>
      <c r="C895" s="4"/>
      <c r="D895" s="4"/>
      <c r="E895" s="4"/>
    </row>
    <row r="896" spans="1:5" x14ac:dyDescent="0.25">
      <c r="A896" s="4">
        <v>895</v>
      </c>
      <c r="B896" s="4"/>
      <c r="C896" s="4"/>
      <c r="D896" s="4"/>
      <c r="E896" s="4"/>
    </row>
    <row r="897" spans="1:5" x14ac:dyDescent="0.25">
      <c r="A897" s="4">
        <v>896</v>
      </c>
      <c r="B897" s="4"/>
      <c r="C897" s="4"/>
      <c r="D897" s="4"/>
      <c r="E897" s="4"/>
    </row>
    <row r="898" spans="1:5" x14ac:dyDescent="0.25">
      <c r="A898" s="4">
        <v>897</v>
      </c>
      <c r="B898" s="4"/>
      <c r="C898" s="4"/>
      <c r="D898" s="4"/>
      <c r="E898" s="4"/>
    </row>
    <row r="899" spans="1:5" x14ac:dyDescent="0.25">
      <c r="A899" s="4">
        <v>898</v>
      </c>
      <c r="B899" s="4"/>
      <c r="C899" s="4"/>
      <c r="D899" s="4"/>
      <c r="E899" s="4"/>
    </row>
    <row r="900" spans="1:5" x14ac:dyDescent="0.25">
      <c r="A900" s="4">
        <v>899</v>
      </c>
      <c r="B900" s="4"/>
      <c r="C900" s="4"/>
      <c r="D900" s="4"/>
      <c r="E900" s="4"/>
    </row>
    <row r="901" spans="1:5" x14ac:dyDescent="0.25">
      <c r="A901" s="4">
        <v>900</v>
      </c>
      <c r="B901" s="4"/>
      <c r="C901" s="4"/>
      <c r="D901" s="4"/>
      <c r="E901" s="4"/>
    </row>
    <row r="902" spans="1:5" x14ac:dyDescent="0.25">
      <c r="A902" s="4">
        <v>901</v>
      </c>
      <c r="B902" s="4"/>
      <c r="C902" s="4"/>
      <c r="D902" s="4"/>
      <c r="E902" s="4"/>
    </row>
    <row r="903" spans="1:5" x14ac:dyDescent="0.25">
      <c r="A903" s="4">
        <v>902</v>
      </c>
      <c r="B903" s="4"/>
      <c r="C903" s="4"/>
      <c r="D903" s="4"/>
      <c r="E903" s="4"/>
    </row>
    <row r="904" spans="1:5" x14ac:dyDescent="0.25">
      <c r="A904" s="4">
        <v>903</v>
      </c>
      <c r="B904" s="4"/>
      <c r="C904" s="4"/>
      <c r="D904" s="4"/>
      <c r="E904" s="4"/>
    </row>
    <row r="905" spans="1:5" x14ac:dyDescent="0.25">
      <c r="A905" s="4">
        <v>904</v>
      </c>
      <c r="B905" s="4"/>
      <c r="C905" s="4"/>
      <c r="D905" s="4"/>
      <c r="E905" s="4"/>
    </row>
    <row r="906" spans="1:5" x14ac:dyDescent="0.25">
      <c r="A906" s="4">
        <v>905</v>
      </c>
      <c r="B906" s="4"/>
      <c r="C906" s="4"/>
      <c r="D906" s="4"/>
      <c r="E906" s="4"/>
    </row>
    <row r="907" spans="1:5" x14ac:dyDescent="0.25">
      <c r="A907" s="4">
        <v>906</v>
      </c>
      <c r="B907" s="4"/>
      <c r="C907" s="4"/>
      <c r="D907" s="4"/>
      <c r="E907" s="4"/>
    </row>
    <row r="908" spans="1:5" x14ac:dyDescent="0.25">
      <c r="A908" s="4">
        <v>907</v>
      </c>
      <c r="B908" s="4"/>
      <c r="C908" s="4"/>
      <c r="D908" s="4"/>
      <c r="E908" s="4"/>
    </row>
    <row r="909" spans="1:5" x14ac:dyDescent="0.25">
      <c r="A909" s="4">
        <v>908</v>
      </c>
      <c r="B909" s="4"/>
      <c r="C909" s="4"/>
      <c r="D909" s="4"/>
      <c r="E909" s="4"/>
    </row>
    <row r="910" spans="1:5" x14ac:dyDescent="0.25">
      <c r="A910" s="4">
        <v>909</v>
      </c>
      <c r="B910" s="4"/>
      <c r="C910" s="4"/>
      <c r="D910" s="4"/>
      <c r="E910" s="4"/>
    </row>
    <row r="911" spans="1:5" x14ac:dyDescent="0.25">
      <c r="A911" s="4">
        <v>910</v>
      </c>
      <c r="B911" s="4"/>
      <c r="C911" s="4"/>
      <c r="D911" s="4"/>
      <c r="E911" s="4"/>
    </row>
    <row r="912" spans="1:5" x14ac:dyDescent="0.25">
      <c r="A912" s="4">
        <v>911</v>
      </c>
      <c r="B912" s="4"/>
      <c r="C912" s="4"/>
      <c r="D912" s="4"/>
      <c r="E912" s="4"/>
    </row>
    <row r="913" spans="1:5" x14ac:dyDescent="0.25">
      <c r="A913" s="4">
        <v>912</v>
      </c>
      <c r="B913" s="4"/>
      <c r="C913" s="4"/>
      <c r="D913" s="4"/>
      <c r="E913" s="4"/>
    </row>
    <row r="914" spans="1:5" x14ac:dyDescent="0.25">
      <c r="A914" s="4">
        <v>913</v>
      </c>
      <c r="B914" s="4"/>
      <c r="C914" s="4"/>
      <c r="D914" s="4"/>
      <c r="E914" s="4"/>
    </row>
    <row r="915" spans="1:5" x14ac:dyDescent="0.25">
      <c r="A915" s="4">
        <v>914</v>
      </c>
      <c r="B915" s="4"/>
      <c r="C915" s="4"/>
      <c r="D915" s="4"/>
      <c r="E915" s="4"/>
    </row>
    <row r="916" spans="1:5" x14ac:dyDescent="0.25">
      <c r="A916" s="4">
        <v>915</v>
      </c>
      <c r="B916" s="4"/>
      <c r="C916" s="4"/>
      <c r="D916" s="4"/>
      <c r="E916" s="4"/>
    </row>
    <row r="917" spans="1:5" x14ac:dyDescent="0.25">
      <c r="A917" s="4">
        <v>916</v>
      </c>
      <c r="B917" s="4"/>
      <c r="C917" s="4"/>
      <c r="D917" s="4"/>
      <c r="E917" s="4"/>
    </row>
    <row r="918" spans="1:5" x14ac:dyDescent="0.25">
      <c r="A918" s="4">
        <v>917</v>
      </c>
      <c r="B918" s="4"/>
      <c r="C918" s="4"/>
      <c r="D918" s="4"/>
      <c r="E918" s="4"/>
    </row>
    <row r="919" spans="1:5" x14ac:dyDescent="0.25">
      <c r="A919" s="4">
        <v>918</v>
      </c>
      <c r="B919" s="4"/>
      <c r="C919" s="4"/>
      <c r="D919" s="4"/>
      <c r="E919" s="4"/>
    </row>
    <row r="920" spans="1:5" x14ac:dyDescent="0.25">
      <c r="A920" s="4">
        <v>919</v>
      </c>
      <c r="B920" s="4"/>
      <c r="C920" s="4"/>
      <c r="D920" s="4"/>
      <c r="E920" s="4"/>
    </row>
    <row r="921" spans="1:5" x14ac:dyDescent="0.25">
      <c r="A921" s="4">
        <v>920</v>
      </c>
      <c r="B921" s="4"/>
      <c r="C921" s="4"/>
      <c r="D921" s="4"/>
      <c r="E921" s="4"/>
    </row>
    <row r="922" spans="1:5" x14ac:dyDescent="0.25">
      <c r="A922" s="4">
        <v>921</v>
      </c>
      <c r="B922" s="4"/>
      <c r="C922" s="4"/>
      <c r="D922" s="4"/>
      <c r="E922" s="4"/>
    </row>
    <row r="923" spans="1:5" x14ac:dyDescent="0.25">
      <c r="A923" s="4">
        <v>922</v>
      </c>
      <c r="B923" s="4"/>
      <c r="C923" s="4"/>
      <c r="D923" s="4"/>
      <c r="E923" s="4"/>
    </row>
    <row r="924" spans="1:5" x14ac:dyDescent="0.25">
      <c r="A924" s="4">
        <v>923</v>
      </c>
      <c r="B924" s="4"/>
      <c r="C924" s="4"/>
      <c r="D924" s="4"/>
      <c r="E924" s="4"/>
    </row>
    <row r="925" spans="1:5" x14ac:dyDescent="0.25">
      <c r="A925" s="4">
        <v>924</v>
      </c>
      <c r="B925" s="4"/>
      <c r="C925" s="4"/>
      <c r="D925" s="4"/>
      <c r="E925" s="4"/>
    </row>
    <row r="926" spans="1:5" x14ac:dyDescent="0.25">
      <c r="A926" s="4">
        <v>925</v>
      </c>
      <c r="B926" s="4"/>
      <c r="C926" s="4"/>
      <c r="D926" s="4"/>
      <c r="E926" s="4"/>
    </row>
    <row r="927" spans="1:5" x14ac:dyDescent="0.25">
      <c r="A927" s="4">
        <v>926</v>
      </c>
      <c r="B927" s="4"/>
      <c r="C927" s="4"/>
      <c r="D927" s="4"/>
      <c r="E927" s="4"/>
    </row>
    <row r="928" spans="1:5" x14ac:dyDescent="0.25">
      <c r="A928" s="4">
        <v>927</v>
      </c>
      <c r="B928" s="4"/>
      <c r="C928" s="4"/>
      <c r="D928" s="4"/>
      <c r="E928" s="4"/>
    </row>
    <row r="929" spans="1:5" x14ac:dyDescent="0.25">
      <c r="A929" s="4">
        <v>928</v>
      </c>
      <c r="B929" s="4"/>
      <c r="C929" s="4"/>
      <c r="D929" s="4"/>
      <c r="E929" s="4"/>
    </row>
    <row r="930" spans="1:5" x14ac:dyDescent="0.25">
      <c r="A930" s="4">
        <v>929</v>
      </c>
      <c r="B930" s="4"/>
      <c r="C930" s="4"/>
      <c r="D930" s="4"/>
      <c r="E930" s="4"/>
    </row>
    <row r="931" spans="1:5" x14ac:dyDescent="0.25">
      <c r="A931" s="4">
        <v>930</v>
      </c>
      <c r="B931" s="4"/>
      <c r="C931" s="4"/>
      <c r="D931" s="4"/>
      <c r="E931" s="4"/>
    </row>
    <row r="932" spans="1:5" x14ac:dyDescent="0.25">
      <c r="A932" s="4">
        <v>931</v>
      </c>
      <c r="B932" s="4"/>
      <c r="C932" s="4"/>
      <c r="D932" s="4"/>
      <c r="E932" s="4"/>
    </row>
    <row r="933" spans="1:5" x14ac:dyDescent="0.25">
      <c r="A933" s="4">
        <v>932</v>
      </c>
      <c r="B933" s="4"/>
      <c r="C933" s="4"/>
      <c r="D933" s="4"/>
      <c r="E933" s="4"/>
    </row>
    <row r="934" spans="1:5" x14ac:dyDescent="0.25">
      <c r="A934" s="4">
        <v>933</v>
      </c>
      <c r="B934" s="4"/>
      <c r="C934" s="4"/>
      <c r="D934" s="4"/>
      <c r="E934" s="4"/>
    </row>
    <row r="935" spans="1:5" x14ac:dyDescent="0.25">
      <c r="A935" s="4">
        <v>934</v>
      </c>
      <c r="B935" s="4"/>
      <c r="C935" s="4"/>
      <c r="D935" s="4"/>
      <c r="E935" s="4"/>
    </row>
    <row r="936" spans="1:5" x14ac:dyDescent="0.25">
      <c r="A936" s="4">
        <v>935</v>
      </c>
      <c r="B936" s="4"/>
      <c r="C936" s="4"/>
      <c r="D936" s="4"/>
      <c r="E936" s="4"/>
    </row>
    <row r="937" spans="1:5" x14ac:dyDescent="0.25">
      <c r="A937" s="4">
        <v>936</v>
      </c>
      <c r="B937" s="4"/>
      <c r="C937" s="4"/>
      <c r="D937" s="4"/>
      <c r="E937" s="4"/>
    </row>
    <row r="938" spans="1:5" x14ac:dyDescent="0.25">
      <c r="A938" s="4">
        <v>937</v>
      </c>
      <c r="B938" s="4"/>
      <c r="C938" s="4"/>
      <c r="D938" s="4"/>
      <c r="E938" s="4"/>
    </row>
    <row r="939" spans="1:5" x14ac:dyDescent="0.25">
      <c r="A939" s="4">
        <v>938</v>
      </c>
      <c r="B939" s="4"/>
      <c r="C939" s="4"/>
      <c r="D939" s="4"/>
      <c r="E939" s="4"/>
    </row>
    <row r="940" spans="1:5" x14ac:dyDescent="0.25">
      <c r="A940" s="4">
        <v>939</v>
      </c>
      <c r="B940" s="4"/>
      <c r="C940" s="4"/>
      <c r="D940" s="4"/>
      <c r="E940" s="4"/>
    </row>
    <row r="941" spans="1:5" x14ac:dyDescent="0.25">
      <c r="A941" s="4">
        <v>940</v>
      </c>
      <c r="B941" s="4"/>
      <c r="C941" s="4"/>
      <c r="D941" s="4"/>
      <c r="E941" s="4"/>
    </row>
    <row r="942" spans="1:5" x14ac:dyDescent="0.25">
      <c r="A942" s="4">
        <v>941</v>
      </c>
      <c r="B942" s="4"/>
      <c r="C942" s="4"/>
      <c r="D942" s="4"/>
      <c r="E942" s="4"/>
    </row>
    <row r="943" spans="1:5" x14ac:dyDescent="0.25">
      <c r="A943" s="4">
        <v>942</v>
      </c>
      <c r="B943" s="4"/>
      <c r="C943" s="4"/>
      <c r="D943" s="4"/>
      <c r="E943" s="4"/>
    </row>
    <row r="944" spans="1:5" x14ac:dyDescent="0.25">
      <c r="A944" s="4">
        <v>943</v>
      </c>
      <c r="B944" s="4"/>
      <c r="C944" s="4"/>
      <c r="D944" s="4"/>
      <c r="E944" s="4"/>
    </row>
    <row r="945" spans="1:5" x14ac:dyDescent="0.25">
      <c r="A945" s="4">
        <v>944</v>
      </c>
      <c r="B945" s="4"/>
      <c r="C945" s="4"/>
      <c r="D945" s="4"/>
      <c r="E945" s="4"/>
    </row>
    <row r="946" spans="1:5" x14ac:dyDescent="0.25">
      <c r="A946" s="4">
        <v>945</v>
      </c>
      <c r="B946" s="4"/>
      <c r="C946" s="4"/>
      <c r="D946" s="4"/>
      <c r="E946" s="4"/>
    </row>
    <row r="947" spans="1:5" x14ac:dyDescent="0.25">
      <c r="A947" s="4">
        <v>946</v>
      </c>
      <c r="B947" s="4"/>
      <c r="C947" s="4"/>
      <c r="D947" s="4"/>
      <c r="E947" s="4"/>
    </row>
    <row r="948" spans="1:5" x14ac:dyDescent="0.25">
      <c r="A948" s="4">
        <v>947</v>
      </c>
      <c r="B948" s="4"/>
      <c r="C948" s="4"/>
      <c r="D948" s="4"/>
      <c r="E948" s="4"/>
    </row>
    <row r="949" spans="1:5" x14ac:dyDescent="0.25">
      <c r="A949" s="4">
        <v>948</v>
      </c>
      <c r="B949" s="4"/>
      <c r="C949" s="4"/>
      <c r="D949" s="4"/>
      <c r="E949" s="4"/>
    </row>
    <row r="950" spans="1:5" x14ac:dyDescent="0.25">
      <c r="A950" s="4">
        <v>949</v>
      </c>
      <c r="B950" s="4"/>
      <c r="C950" s="4"/>
      <c r="D950" s="4"/>
      <c r="E950" s="4"/>
    </row>
    <row r="951" spans="1:5" x14ac:dyDescent="0.25">
      <c r="A951" s="4">
        <v>950</v>
      </c>
      <c r="B951" s="4"/>
      <c r="C951" s="4"/>
      <c r="D951" s="4"/>
      <c r="E951" s="4"/>
    </row>
    <row r="952" spans="1:5" x14ac:dyDescent="0.25">
      <c r="A952" s="4">
        <v>951</v>
      </c>
      <c r="B952" s="4"/>
      <c r="C952" s="4"/>
      <c r="D952" s="4"/>
      <c r="E952" s="4"/>
    </row>
    <row r="953" spans="1:5" x14ac:dyDescent="0.25">
      <c r="A953" s="4">
        <v>952</v>
      </c>
      <c r="B953" s="4"/>
      <c r="C953" s="4"/>
      <c r="D953" s="4"/>
      <c r="E953" s="4"/>
    </row>
    <row r="954" spans="1:5" x14ac:dyDescent="0.25">
      <c r="A954" s="4">
        <v>953</v>
      </c>
      <c r="B954" s="4"/>
      <c r="C954" s="4"/>
      <c r="D954" s="4"/>
      <c r="E954" s="4"/>
    </row>
    <row r="955" spans="1:5" x14ac:dyDescent="0.25">
      <c r="A955" s="4">
        <v>954</v>
      </c>
      <c r="B955" s="4"/>
      <c r="C955" s="4"/>
      <c r="D955" s="4"/>
      <c r="E955" s="4"/>
    </row>
    <row r="956" spans="1:5" x14ac:dyDescent="0.25">
      <c r="A956" s="4">
        <v>955</v>
      </c>
      <c r="B956" s="4"/>
      <c r="C956" s="4"/>
      <c r="D956" s="4"/>
      <c r="E956" s="4"/>
    </row>
    <row r="957" spans="1:5" x14ac:dyDescent="0.25">
      <c r="A957" s="4">
        <v>956</v>
      </c>
      <c r="B957" s="4"/>
      <c r="C957" s="4"/>
      <c r="D957" s="4"/>
      <c r="E957" s="4"/>
    </row>
    <row r="958" spans="1:5" x14ac:dyDescent="0.25">
      <c r="A958" s="4">
        <v>957</v>
      </c>
      <c r="B958" s="4"/>
      <c r="C958" s="4"/>
      <c r="D958" s="4"/>
      <c r="E958" s="4"/>
    </row>
    <row r="959" spans="1:5" x14ac:dyDescent="0.25">
      <c r="A959" s="4">
        <v>958</v>
      </c>
      <c r="B959" s="4"/>
      <c r="C959" s="4"/>
      <c r="D959" s="4"/>
      <c r="E959" s="4"/>
    </row>
    <row r="960" spans="1:5" x14ac:dyDescent="0.25">
      <c r="A960" s="4">
        <v>959</v>
      </c>
      <c r="B960" s="4"/>
      <c r="C960" s="4"/>
      <c r="D960" s="4"/>
      <c r="E960" s="4"/>
    </row>
    <row r="961" spans="1:5" x14ac:dyDescent="0.25">
      <c r="A961" s="4">
        <v>960</v>
      </c>
      <c r="B961" s="4"/>
      <c r="C961" s="4"/>
      <c r="D961" s="4"/>
      <c r="E961" s="4"/>
    </row>
    <row r="962" spans="1:5" x14ac:dyDescent="0.25">
      <c r="A962" s="4">
        <v>961</v>
      </c>
      <c r="B962" s="4"/>
      <c r="C962" s="4"/>
      <c r="D962" s="4"/>
      <c r="E962" s="4"/>
    </row>
    <row r="963" spans="1:5" x14ac:dyDescent="0.25">
      <c r="A963" s="4">
        <v>962</v>
      </c>
      <c r="B963" s="4"/>
      <c r="C963" s="4"/>
      <c r="D963" s="4"/>
      <c r="E963" s="4"/>
    </row>
    <row r="964" spans="1:5" x14ac:dyDescent="0.25">
      <c r="A964" s="4">
        <v>963</v>
      </c>
      <c r="B964" s="4"/>
      <c r="C964" s="4"/>
      <c r="D964" s="4"/>
      <c r="E964" s="4"/>
    </row>
    <row r="965" spans="1:5" x14ac:dyDescent="0.25">
      <c r="A965" s="4">
        <v>964</v>
      </c>
      <c r="B965" s="4"/>
      <c r="C965" s="4"/>
      <c r="D965" s="4"/>
      <c r="E965" s="4"/>
    </row>
    <row r="966" spans="1:5" x14ac:dyDescent="0.25">
      <c r="A966" s="4">
        <v>965</v>
      </c>
      <c r="B966" s="4"/>
      <c r="C966" s="4"/>
      <c r="D966" s="4"/>
      <c r="E966" s="4"/>
    </row>
    <row r="967" spans="1:5" x14ac:dyDescent="0.25">
      <c r="A967" s="4">
        <v>966</v>
      </c>
      <c r="B967" s="4"/>
      <c r="C967" s="4"/>
      <c r="D967" s="4"/>
      <c r="E967" s="4"/>
    </row>
    <row r="968" spans="1:5" x14ac:dyDescent="0.25">
      <c r="A968" s="4">
        <v>967</v>
      </c>
      <c r="B968" s="4"/>
      <c r="C968" s="4"/>
      <c r="D968" s="4"/>
      <c r="E968" s="4"/>
    </row>
    <row r="969" spans="1:5" x14ac:dyDescent="0.25">
      <c r="A969" s="4">
        <v>968</v>
      </c>
      <c r="B969" s="4"/>
      <c r="C969" s="4"/>
      <c r="D969" s="4"/>
      <c r="E969" s="4"/>
    </row>
    <row r="970" spans="1:5" x14ac:dyDescent="0.25">
      <c r="A970" s="4">
        <v>969</v>
      </c>
      <c r="B970" s="4"/>
      <c r="C970" s="4"/>
      <c r="D970" s="4"/>
      <c r="E970" s="4"/>
    </row>
    <row r="971" spans="1:5" x14ac:dyDescent="0.25">
      <c r="A971" s="4">
        <v>970</v>
      </c>
      <c r="B971" s="4"/>
      <c r="C971" s="4"/>
      <c r="D971" s="4"/>
      <c r="E971" s="4"/>
    </row>
    <row r="972" spans="1:5" x14ac:dyDescent="0.25">
      <c r="A972" s="4">
        <v>971</v>
      </c>
      <c r="B972" s="4"/>
      <c r="C972" s="4"/>
      <c r="D972" s="4"/>
      <c r="E972" s="4"/>
    </row>
    <row r="973" spans="1:5" x14ac:dyDescent="0.25">
      <c r="A973" s="4">
        <v>972</v>
      </c>
      <c r="B973" s="4"/>
      <c r="C973" s="4"/>
      <c r="D973" s="4"/>
      <c r="E973" s="4"/>
    </row>
    <row r="974" spans="1:5" x14ac:dyDescent="0.25">
      <c r="A974" s="4">
        <v>973</v>
      </c>
      <c r="B974" s="4"/>
      <c r="C974" s="4"/>
      <c r="D974" s="4"/>
      <c r="E974" s="4"/>
    </row>
    <row r="975" spans="1:5" x14ac:dyDescent="0.25">
      <c r="A975" s="4">
        <v>974</v>
      </c>
      <c r="B975" s="4"/>
      <c r="C975" s="4"/>
      <c r="D975" s="4"/>
      <c r="E975" s="4"/>
    </row>
    <row r="976" spans="1:5" x14ac:dyDescent="0.25">
      <c r="A976" s="4">
        <v>975</v>
      </c>
      <c r="B976" s="4"/>
      <c r="C976" s="4"/>
      <c r="D976" s="4"/>
      <c r="E976" s="4"/>
    </row>
    <row r="977" spans="1:5" x14ac:dyDescent="0.25">
      <c r="A977" s="4">
        <v>976</v>
      </c>
      <c r="B977" s="4"/>
      <c r="C977" s="4"/>
      <c r="D977" s="4"/>
      <c r="E977" s="4"/>
    </row>
    <row r="978" spans="1:5" x14ac:dyDescent="0.25">
      <c r="A978" s="4">
        <v>977</v>
      </c>
      <c r="B978" s="4"/>
      <c r="C978" s="4"/>
      <c r="D978" s="4"/>
      <c r="E978" s="4"/>
    </row>
    <row r="979" spans="1:5" x14ac:dyDescent="0.25">
      <c r="A979" s="4">
        <v>978</v>
      </c>
      <c r="B979" s="4"/>
      <c r="C979" s="4"/>
      <c r="D979" s="4"/>
      <c r="E979" s="4"/>
    </row>
    <row r="980" spans="1:5" x14ac:dyDescent="0.25">
      <c r="A980" s="4">
        <v>979</v>
      </c>
      <c r="B980" s="4"/>
      <c r="C980" s="4"/>
      <c r="D980" s="4"/>
      <c r="E980" s="4"/>
    </row>
    <row r="981" spans="1:5" x14ac:dyDescent="0.25">
      <c r="A981" s="4">
        <v>980</v>
      </c>
      <c r="B981" s="4"/>
      <c r="C981" s="4"/>
      <c r="D981" s="4"/>
      <c r="E981" s="4"/>
    </row>
    <row r="982" spans="1:5" x14ac:dyDescent="0.25">
      <c r="A982" s="4">
        <v>981</v>
      </c>
      <c r="B982" s="4"/>
      <c r="C982" s="4"/>
      <c r="D982" s="4"/>
      <c r="E982" s="4"/>
    </row>
    <row r="983" spans="1:5" x14ac:dyDescent="0.25">
      <c r="A983" s="4">
        <v>982</v>
      </c>
      <c r="B983" s="4"/>
      <c r="C983" s="4"/>
      <c r="D983" s="4"/>
      <c r="E983" s="4"/>
    </row>
    <row r="984" spans="1:5" x14ac:dyDescent="0.25">
      <c r="A984" s="4">
        <v>983</v>
      </c>
      <c r="B984" s="4"/>
      <c r="C984" s="4"/>
      <c r="D984" s="4"/>
      <c r="E984" s="4"/>
    </row>
    <row r="985" spans="1:5" x14ac:dyDescent="0.25">
      <c r="A985" s="4">
        <v>984</v>
      </c>
      <c r="B985" s="4"/>
      <c r="C985" s="4"/>
      <c r="D985" s="4"/>
      <c r="E985" s="4"/>
    </row>
    <row r="986" spans="1:5" x14ac:dyDescent="0.25">
      <c r="A986" s="4">
        <v>985</v>
      </c>
      <c r="B986" s="4"/>
      <c r="C986" s="4"/>
      <c r="D986" s="4"/>
      <c r="E986" s="4"/>
    </row>
    <row r="987" spans="1:5" x14ac:dyDescent="0.25">
      <c r="A987" s="4">
        <v>986</v>
      </c>
      <c r="B987" s="4"/>
      <c r="C987" s="4"/>
      <c r="D987" s="4"/>
      <c r="E987" s="4"/>
    </row>
    <row r="988" spans="1:5" x14ac:dyDescent="0.25">
      <c r="A988" s="4">
        <v>987</v>
      </c>
      <c r="B988" s="4"/>
      <c r="C988" s="4"/>
      <c r="D988" s="4"/>
      <c r="E988" s="4"/>
    </row>
    <row r="989" spans="1:5" x14ac:dyDescent="0.25">
      <c r="A989" s="4">
        <v>988</v>
      </c>
      <c r="B989" s="4"/>
      <c r="C989" s="4"/>
      <c r="D989" s="4"/>
      <c r="E989" s="4"/>
    </row>
    <row r="990" spans="1:5" x14ac:dyDescent="0.25">
      <c r="A990" s="4">
        <v>989</v>
      </c>
      <c r="B990" s="4"/>
      <c r="C990" s="4"/>
      <c r="D990" s="4"/>
      <c r="E990" s="4"/>
    </row>
    <row r="991" spans="1:5" x14ac:dyDescent="0.25">
      <c r="A991" s="4">
        <v>990</v>
      </c>
      <c r="B991" s="4"/>
      <c r="C991" s="4"/>
      <c r="D991" s="4"/>
      <c r="E991" s="4"/>
    </row>
    <row r="992" spans="1:5" x14ac:dyDescent="0.25">
      <c r="A992" s="4">
        <v>991</v>
      </c>
      <c r="B992" s="4"/>
      <c r="C992" s="4"/>
      <c r="D992" s="4"/>
      <c r="E992" s="4"/>
    </row>
    <row r="993" spans="1:5" x14ac:dyDescent="0.25">
      <c r="A993" s="4">
        <v>992</v>
      </c>
      <c r="B993" s="4"/>
      <c r="C993" s="4"/>
      <c r="D993" s="4"/>
      <c r="E993" s="4"/>
    </row>
    <row r="994" spans="1:5" x14ac:dyDescent="0.25">
      <c r="A994" s="4">
        <v>993</v>
      </c>
      <c r="B994" s="4"/>
      <c r="C994" s="4"/>
      <c r="D994" s="4"/>
      <c r="E994" s="4"/>
    </row>
    <row r="995" spans="1:5" x14ac:dyDescent="0.25">
      <c r="A995" s="4">
        <v>994</v>
      </c>
      <c r="B995" s="4"/>
      <c r="C995" s="4"/>
      <c r="D995" s="4"/>
      <c r="E995" s="4"/>
    </row>
    <row r="996" spans="1:5" x14ac:dyDescent="0.25">
      <c r="A996" s="4">
        <v>995</v>
      </c>
      <c r="B996" s="4"/>
      <c r="C996" s="4"/>
      <c r="D996" s="4"/>
      <c r="E996" s="4"/>
    </row>
    <row r="997" spans="1:5" x14ac:dyDescent="0.25">
      <c r="A997" s="4">
        <v>996</v>
      </c>
      <c r="B997" s="4"/>
      <c r="C997" s="4"/>
      <c r="D997" s="4"/>
      <c r="E997" s="4"/>
    </row>
    <row r="998" spans="1:5" x14ac:dyDescent="0.25">
      <c r="A998" s="4">
        <v>997</v>
      </c>
      <c r="B998" s="4"/>
      <c r="C998" s="4"/>
      <c r="D998" s="4"/>
      <c r="E998" s="4"/>
    </row>
    <row r="999" spans="1:5" x14ac:dyDescent="0.25">
      <c r="A999" s="4">
        <v>998</v>
      </c>
      <c r="B999" s="4"/>
      <c r="C999" s="4"/>
      <c r="D999" s="4"/>
      <c r="E999" s="4"/>
    </row>
    <row r="1000" spans="1:5" x14ac:dyDescent="0.25">
      <c r="A1000" s="4">
        <v>999</v>
      </c>
      <c r="B1000" s="4"/>
      <c r="C1000" s="4"/>
      <c r="D1000" s="4"/>
      <c r="E1000" s="4"/>
    </row>
    <row r="1001" spans="1:5" x14ac:dyDescent="0.25">
      <c r="A1001" s="4">
        <v>1000</v>
      </c>
      <c r="B1001" s="4"/>
      <c r="C1001" s="4"/>
      <c r="D1001" s="4"/>
      <c r="E100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0539-689B-457D-A813-31268C2C47CA}">
  <dimension ref="A1:J1001"/>
  <sheetViews>
    <sheetView workbookViewId="0"/>
  </sheetViews>
  <sheetFormatPr defaultRowHeight="15" x14ac:dyDescent="0.25"/>
  <cols>
    <col min="1" max="1" width="5" bestFit="1" customWidth="1"/>
    <col min="2" max="2" width="12.28515625" customWidth="1"/>
    <col min="3" max="3" width="9.7109375" bestFit="1" customWidth="1"/>
    <col min="4" max="4" width="3.7109375" bestFit="1" customWidth="1"/>
    <col min="5" max="5" width="5.85546875" bestFit="1" customWidth="1"/>
    <col min="6" max="6" width="18.5703125" bestFit="1" customWidth="1"/>
    <col min="9" max="9" width="5.42578125" bestFit="1" customWidth="1"/>
    <col min="10" max="10" width="5" bestFit="1" customWidth="1"/>
  </cols>
  <sheetData>
    <row r="1" spans="1:10" x14ac:dyDescent="0.25">
      <c r="A1" s="4" t="s">
        <v>963</v>
      </c>
      <c r="B1" s="4" t="s">
        <v>969</v>
      </c>
      <c r="C1" s="4" t="s">
        <v>953</v>
      </c>
      <c r="D1" s="4" t="s">
        <v>964</v>
      </c>
      <c r="E1" s="4" t="s">
        <v>965</v>
      </c>
      <c r="F1" s="4" t="s">
        <v>967</v>
      </c>
      <c r="I1" t="s">
        <v>962</v>
      </c>
      <c r="J1">
        <f>SUM(E:E)</f>
        <v>3330</v>
      </c>
    </row>
    <row r="2" spans="1:10" x14ac:dyDescent="0.25">
      <c r="A2" s="4">
        <v>1</v>
      </c>
      <c r="B2" s="4" t="s">
        <v>970</v>
      </c>
      <c r="C2" s="5">
        <v>45645</v>
      </c>
      <c r="D2" s="4">
        <v>4</v>
      </c>
      <c r="E2" s="4">
        <v>3330</v>
      </c>
      <c r="F2" s="4" t="s">
        <v>968</v>
      </c>
    </row>
    <row r="3" spans="1:10" x14ac:dyDescent="0.25">
      <c r="A3" s="4">
        <v>2</v>
      </c>
      <c r="B3" s="4"/>
      <c r="C3" s="4"/>
      <c r="D3" s="4"/>
      <c r="E3" s="4"/>
      <c r="F3" s="4"/>
    </row>
    <row r="4" spans="1:10" x14ac:dyDescent="0.25">
      <c r="A4" s="4">
        <v>3</v>
      </c>
      <c r="B4" s="4"/>
      <c r="C4" s="4"/>
      <c r="D4" s="4"/>
      <c r="E4" s="4"/>
      <c r="F4" s="4"/>
    </row>
    <row r="5" spans="1:10" x14ac:dyDescent="0.25">
      <c r="A5" s="4">
        <v>4</v>
      </c>
      <c r="B5" s="4"/>
      <c r="C5" s="4"/>
      <c r="D5" s="4"/>
      <c r="E5" s="4"/>
      <c r="F5" s="4"/>
    </row>
    <row r="6" spans="1:10" x14ac:dyDescent="0.25">
      <c r="A6" s="4">
        <v>5</v>
      </c>
      <c r="B6" s="4"/>
      <c r="C6" s="4"/>
      <c r="D6" s="4"/>
      <c r="E6" s="4"/>
      <c r="F6" s="4"/>
    </row>
    <row r="7" spans="1:10" x14ac:dyDescent="0.25">
      <c r="A7" s="4">
        <v>6</v>
      </c>
      <c r="B7" s="4"/>
      <c r="C7" s="4"/>
      <c r="D7" s="4"/>
      <c r="E7" s="4"/>
      <c r="F7" s="4"/>
    </row>
    <row r="8" spans="1:10" x14ac:dyDescent="0.25">
      <c r="A8" s="4">
        <v>7</v>
      </c>
      <c r="B8" s="4"/>
      <c r="C8" s="4"/>
      <c r="D8" s="4"/>
      <c r="E8" s="4"/>
      <c r="F8" s="4"/>
    </row>
    <row r="9" spans="1:10" x14ac:dyDescent="0.25">
      <c r="A9" s="4">
        <v>8</v>
      </c>
      <c r="B9" s="4"/>
      <c r="C9" s="4"/>
      <c r="D9" s="4"/>
      <c r="E9" s="4"/>
      <c r="F9" s="4"/>
    </row>
    <row r="10" spans="1:10" x14ac:dyDescent="0.25">
      <c r="A10" s="4">
        <v>9</v>
      </c>
      <c r="B10" s="4"/>
      <c r="C10" s="4"/>
      <c r="D10" s="4"/>
      <c r="E10" s="4"/>
      <c r="F10" s="4"/>
    </row>
    <row r="11" spans="1:10" x14ac:dyDescent="0.25">
      <c r="A11" s="4">
        <v>10</v>
      </c>
      <c r="B11" s="4"/>
      <c r="C11" s="4"/>
      <c r="D11" s="4"/>
      <c r="E11" s="4"/>
      <c r="F11" s="4"/>
    </row>
    <row r="12" spans="1:10" x14ac:dyDescent="0.25">
      <c r="A12" s="4">
        <v>11</v>
      </c>
      <c r="B12" s="4"/>
      <c r="C12" s="4"/>
      <c r="D12" s="4"/>
      <c r="E12" s="4"/>
      <c r="F12" s="4"/>
    </row>
    <row r="13" spans="1:10" x14ac:dyDescent="0.25">
      <c r="A13" s="4">
        <v>12</v>
      </c>
      <c r="B13" s="4"/>
      <c r="C13" s="4"/>
      <c r="D13" s="4"/>
      <c r="E13" s="4"/>
      <c r="F13" s="4"/>
    </row>
    <row r="14" spans="1:10" x14ac:dyDescent="0.25">
      <c r="A14" s="4">
        <v>13</v>
      </c>
      <c r="B14" s="4"/>
      <c r="C14" s="4"/>
      <c r="D14" s="4"/>
      <c r="E14" s="4"/>
      <c r="F14" s="4"/>
    </row>
    <row r="15" spans="1:10" x14ac:dyDescent="0.25">
      <c r="A15" s="4">
        <v>14</v>
      </c>
      <c r="B15" s="4"/>
      <c r="C15" s="4"/>
      <c r="D15" s="4"/>
      <c r="E15" s="4"/>
      <c r="F15" s="4"/>
    </row>
    <row r="16" spans="1:10" x14ac:dyDescent="0.25">
      <c r="A16" s="4">
        <v>15</v>
      </c>
      <c r="B16" s="4"/>
      <c r="C16" s="4"/>
      <c r="D16" s="4"/>
      <c r="E16" s="4"/>
      <c r="F16" s="4"/>
    </row>
    <row r="17" spans="1:6" x14ac:dyDescent="0.25">
      <c r="A17" s="4">
        <v>16</v>
      </c>
      <c r="B17" s="4"/>
      <c r="C17" s="4"/>
      <c r="D17" s="4"/>
      <c r="E17" s="4"/>
      <c r="F17" s="4"/>
    </row>
    <row r="18" spans="1:6" x14ac:dyDescent="0.25">
      <c r="A18" s="4">
        <v>17</v>
      </c>
      <c r="B18" s="4"/>
      <c r="C18" s="4"/>
      <c r="D18" s="4"/>
      <c r="E18" s="4"/>
      <c r="F18" s="4"/>
    </row>
    <row r="19" spans="1:6" x14ac:dyDescent="0.25">
      <c r="A19" s="4">
        <v>18</v>
      </c>
      <c r="B19" s="4"/>
      <c r="C19" s="4"/>
      <c r="D19" s="4"/>
      <c r="E19" s="4"/>
      <c r="F19" s="4"/>
    </row>
    <row r="20" spans="1:6" x14ac:dyDescent="0.25">
      <c r="A20" s="4">
        <v>19</v>
      </c>
      <c r="B20" s="4"/>
      <c r="C20" s="4"/>
      <c r="D20" s="4"/>
      <c r="E20" s="4"/>
      <c r="F20" s="4"/>
    </row>
    <row r="21" spans="1:6" x14ac:dyDescent="0.25">
      <c r="A21" s="4">
        <v>20</v>
      </c>
      <c r="B21" s="4"/>
      <c r="C21" s="4"/>
      <c r="D21" s="4"/>
      <c r="E21" s="4"/>
      <c r="F21" s="4"/>
    </row>
    <row r="22" spans="1:6" x14ac:dyDescent="0.25">
      <c r="A22" s="4">
        <v>21</v>
      </c>
      <c r="B22" s="4"/>
      <c r="C22" s="4"/>
      <c r="D22" s="4"/>
      <c r="E22" s="4"/>
      <c r="F22" s="4"/>
    </row>
    <row r="23" spans="1:6" x14ac:dyDescent="0.25">
      <c r="A23" s="4">
        <v>22</v>
      </c>
      <c r="B23" s="4"/>
      <c r="C23" s="4"/>
      <c r="D23" s="4"/>
      <c r="E23" s="4"/>
      <c r="F23" s="4"/>
    </row>
    <row r="24" spans="1:6" x14ac:dyDescent="0.25">
      <c r="A24" s="4">
        <v>23</v>
      </c>
      <c r="B24" s="4"/>
      <c r="C24" s="4"/>
      <c r="D24" s="4"/>
      <c r="E24" s="4"/>
      <c r="F24" s="4"/>
    </row>
    <row r="25" spans="1:6" x14ac:dyDescent="0.25">
      <c r="A25" s="4">
        <v>24</v>
      </c>
      <c r="B25" s="4"/>
      <c r="C25" s="4"/>
      <c r="D25" s="4"/>
      <c r="E25" s="4"/>
      <c r="F25" s="4"/>
    </row>
    <row r="26" spans="1:6" x14ac:dyDescent="0.25">
      <c r="A26" s="4">
        <v>25</v>
      </c>
      <c r="B26" s="4"/>
      <c r="C26" s="4"/>
      <c r="D26" s="4"/>
      <c r="E26" s="4"/>
      <c r="F26" s="4"/>
    </row>
    <row r="27" spans="1:6" x14ac:dyDescent="0.25">
      <c r="A27" s="4">
        <v>26</v>
      </c>
      <c r="B27" s="4"/>
      <c r="C27" s="4"/>
      <c r="D27" s="4"/>
      <c r="E27" s="4"/>
      <c r="F27" s="4"/>
    </row>
    <row r="28" spans="1:6" x14ac:dyDescent="0.25">
      <c r="A28" s="4">
        <v>27</v>
      </c>
      <c r="B28" s="4"/>
      <c r="C28" s="4"/>
      <c r="D28" s="4"/>
      <c r="E28" s="4"/>
      <c r="F28" s="4"/>
    </row>
    <row r="29" spans="1:6" x14ac:dyDescent="0.25">
      <c r="A29" s="4">
        <v>28</v>
      </c>
      <c r="B29" s="4"/>
      <c r="C29" s="4"/>
      <c r="D29" s="4"/>
      <c r="E29" s="4"/>
      <c r="F29" s="4"/>
    </row>
    <row r="30" spans="1:6" x14ac:dyDescent="0.25">
      <c r="A30" s="4">
        <v>29</v>
      </c>
      <c r="B30" s="4"/>
      <c r="C30" s="4"/>
      <c r="D30" s="4"/>
      <c r="E30" s="4"/>
      <c r="F30" s="4"/>
    </row>
    <row r="31" spans="1:6" x14ac:dyDescent="0.25">
      <c r="A31" s="4">
        <v>30</v>
      </c>
      <c r="B31" s="4"/>
      <c r="C31" s="4"/>
      <c r="D31" s="4"/>
      <c r="E31" s="4"/>
      <c r="F31" s="4"/>
    </row>
    <row r="32" spans="1:6" x14ac:dyDescent="0.25">
      <c r="A32" s="4">
        <v>31</v>
      </c>
      <c r="B32" s="4"/>
      <c r="C32" s="4"/>
      <c r="D32" s="4"/>
      <c r="E32" s="4"/>
      <c r="F32" s="4"/>
    </row>
    <row r="33" spans="1:6" x14ac:dyDescent="0.25">
      <c r="A33" s="4">
        <v>32</v>
      </c>
      <c r="B33" s="4"/>
      <c r="C33" s="4"/>
      <c r="D33" s="4"/>
      <c r="E33" s="4"/>
      <c r="F33" s="4"/>
    </row>
    <row r="34" spans="1:6" x14ac:dyDescent="0.25">
      <c r="A34" s="4">
        <v>33</v>
      </c>
      <c r="B34" s="4"/>
      <c r="C34" s="4"/>
      <c r="D34" s="4"/>
      <c r="E34" s="4"/>
      <c r="F34" s="4"/>
    </row>
    <row r="35" spans="1:6" x14ac:dyDescent="0.25">
      <c r="A35" s="4">
        <v>34</v>
      </c>
      <c r="B35" s="4"/>
      <c r="C35" s="4"/>
      <c r="D35" s="4"/>
      <c r="E35" s="4"/>
      <c r="F35" s="4"/>
    </row>
    <row r="36" spans="1:6" x14ac:dyDescent="0.25">
      <c r="A36" s="4">
        <v>35</v>
      </c>
      <c r="B36" s="4"/>
      <c r="C36" s="4"/>
      <c r="D36" s="4"/>
      <c r="E36" s="4"/>
      <c r="F36" s="4"/>
    </row>
    <row r="37" spans="1:6" x14ac:dyDescent="0.25">
      <c r="A37" s="4">
        <v>36</v>
      </c>
      <c r="B37" s="4"/>
      <c r="C37" s="4"/>
      <c r="D37" s="4"/>
      <c r="E37" s="4"/>
      <c r="F37" s="4"/>
    </row>
    <row r="38" spans="1:6" x14ac:dyDescent="0.25">
      <c r="A38" s="4">
        <v>37</v>
      </c>
      <c r="B38" s="4"/>
      <c r="C38" s="4"/>
      <c r="D38" s="4"/>
      <c r="E38" s="4"/>
      <c r="F38" s="4"/>
    </row>
    <row r="39" spans="1:6" x14ac:dyDescent="0.25">
      <c r="A39" s="4">
        <v>38</v>
      </c>
      <c r="B39" s="4"/>
      <c r="C39" s="4"/>
      <c r="D39" s="4"/>
      <c r="E39" s="4"/>
      <c r="F39" s="4"/>
    </row>
    <row r="40" spans="1:6" x14ac:dyDescent="0.25">
      <c r="A40" s="4">
        <v>39</v>
      </c>
      <c r="B40" s="4"/>
      <c r="C40" s="4"/>
      <c r="D40" s="4"/>
      <c r="E40" s="4"/>
      <c r="F40" s="4"/>
    </row>
    <row r="41" spans="1:6" x14ac:dyDescent="0.25">
      <c r="A41" s="4">
        <v>40</v>
      </c>
      <c r="B41" s="4"/>
      <c r="C41" s="4"/>
      <c r="D41" s="4"/>
      <c r="E41" s="4"/>
      <c r="F41" s="4"/>
    </row>
    <row r="42" spans="1:6" x14ac:dyDescent="0.25">
      <c r="A42" s="4">
        <v>41</v>
      </c>
      <c r="B42" s="4"/>
      <c r="C42" s="4"/>
      <c r="D42" s="4"/>
      <c r="E42" s="4"/>
      <c r="F42" s="4"/>
    </row>
    <row r="43" spans="1:6" x14ac:dyDescent="0.25">
      <c r="A43" s="4">
        <v>42</v>
      </c>
      <c r="B43" s="4"/>
      <c r="C43" s="4"/>
      <c r="D43" s="4"/>
      <c r="E43" s="4"/>
      <c r="F43" s="4"/>
    </row>
    <row r="44" spans="1:6" x14ac:dyDescent="0.25">
      <c r="A44" s="4">
        <v>43</v>
      </c>
      <c r="B44" s="4"/>
      <c r="C44" s="4"/>
      <c r="D44" s="4"/>
      <c r="E44" s="4"/>
      <c r="F44" s="4"/>
    </row>
    <row r="45" spans="1:6" x14ac:dyDescent="0.25">
      <c r="A45" s="4">
        <v>44</v>
      </c>
      <c r="B45" s="4"/>
      <c r="C45" s="4"/>
      <c r="D45" s="4"/>
      <c r="E45" s="4"/>
      <c r="F45" s="4"/>
    </row>
    <row r="46" spans="1:6" x14ac:dyDescent="0.25">
      <c r="A46" s="4">
        <v>45</v>
      </c>
      <c r="B46" s="4"/>
      <c r="C46" s="4"/>
      <c r="D46" s="4"/>
      <c r="E46" s="4"/>
      <c r="F46" s="4"/>
    </row>
    <row r="47" spans="1:6" x14ac:dyDescent="0.25">
      <c r="A47" s="4">
        <v>46</v>
      </c>
      <c r="B47" s="4"/>
      <c r="C47" s="4"/>
      <c r="D47" s="4"/>
      <c r="E47" s="4"/>
      <c r="F47" s="4"/>
    </row>
    <row r="48" spans="1:6" x14ac:dyDescent="0.25">
      <c r="A48" s="4">
        <v>47</v>
      </c>
      <c r="B48" s="4"/>
      <c r="C48" s="4"/>
      <c r="D48" s="4"/>
      <c r="E48" s="4"/>
      <c r="F48" s="4"/>
    </row>
    <row r="49" spans="1:6" x14ac:dyDescent="0.25">
      <c r="A49" s="4">
        <v>48</v>
      </c>
      <c r="B49" s="4"/>
      <c r="C49" s="4"/>
      <c r="D49" s="4"/>
      <c r="E49" s="4"/>
      <c r="F49" s="4"/>
    </row>
    <row r="50" spans="1:6" x14ac:dyDescent="0.25">
      <c r="A50" s="4">
        <v>49</v>
      </c>
      <c r="B50" s="4"/>
      <c r="C50" s="4"/>
      <c r="D50" s="4"/>
      <c r="E50" s="4"/>
      <c r="F50" s="4"/>
    </row>
    <row r="51" spans="1:6" x14ac:dyDescent="0.25">
      <c r="A51" s="4">
        <v>50</v>
      </c>
      <c r="B51" s="4"/>
      <c r="C51" s="4"/>
      <c r="D51" s="4"/>
      <c r="E51" s="4"/>
      <c r="F51" s="4"/>
    </row>
    <row r="52" spans="1:6" x14ac:dyDescent="0.25">
      <c r="A52" s="4">
        <v>51</v>
      </c>
      <c r="B52" s="4"/>
      <c r="C52" s="4"/>
      <c r="D52" s="4"/>
      <c r="E52" s="4"/>
      <c r="F52" s="4"/>
    </row>
    <row r="53" spans="1:6" x14ac:dyDescent="0.25">
      <c r="A53" s="4">
        <v>52</v>
      </c>
      <c r="B53" s="4"/>
      <c r="C53" s="4"/>
      <c r="D53" s="4"/>
      <c r="E53" s="4"/>
      <c r="F53" s="4"/>
    </row>
    <row r="54" spans="1:6" x14ac:dyDescent="0.25">
      <c r="A54" s="4">
        <v>53</v>
      </c>
      <c r="B54" s="4"/>
      <c r="C54" s="4"/>
      <c r="D54" s="4"/>
      <c r="E54" s="4"/>
      <c r="F54" s="4"/>
    </row>
    <row r="55" spans="1:6" x14ac:dyDescent="0.25">
      <c r="A55" s="4">
        <v>54</v>
      </c>
      <c r="B55" s="4"/>
      <c r="C55" s="4"/>
      <c r="D55" s="4"/>
      <c r="E55" s="4"/>
      <c r="F55" s="4"/>
    </row>
    <row r="56" spans="1:6" x14ac:dyDescent="0.25">
      <c r="A56" s="4">
        <v>55</v>
      </c>
      <c r="B56" s="4"/>
      <c r="C56" s="4"/>
      <c r="D56" s="4"/>
      <c r="E56" s="4"/>
      <c r="F56" s="4"/>
    </row>
    <row r="57" spans="1:6" x14ac:dyDescent="0.25">
      <c r="A57" s="4">
        <v>56</v>
      </c>
      <c r="B57" s="4"/>
      <c r="C57" s="4"/>
      <c r="D57" s="4"/>
      <c r="E57" s="4"/>
      <c r="F57" s="4"/>
    </row>
    <row r="58" spans="1:6" x14ac:dyDescent="0.25">
      <c r="A58" s="4">
        <v>57</v>
      </c>
      <c r="B58" s="4"/>
      <c r="C58" s="4"/>
      <c r="D58" s="4"/>
      <c r="E58" s="4"/>
      <c r="F58" s="4"/>
    </row>
    <row r="59" spans="1:6" x14ac:dyDescent="0.25">
      <c r="A59" s="4">
        <v>58</v>
      </c>
      <c r="B59" s="4"/>
      <c r="C59" s="4"/>
      <c r="D59" s="4"/>
      <c r="E59" s="4"/>
      <c r="F59" s="4"/>
    </row>
    <row r="60" spans="1:6" x14ac:dyDescent="0.25">
      <c r="A60" s="4">
        <v>59</v>
      </c>
      <c r="B60" s="4"/>
      <c r="C60" s="4"/>
      <c r="D60" s="4"/>
      <c r="E60" s="4"/>
      <c r="F60" s="4"/>
    </row>
    <row r="61" spans="1:6" x14ac:dyDescent="0.25">
      <c r="A61" s="4">
        <v>60</v>
      </c>
      <c r="B61" s="4"/>
      <c r="C61" s="4"/>
      <c r="D61" s="4"/>
      <c r="E61" s="4"/>
      <c r="F61" s="4"/>
    </row>
    <row r="62" spans="1:6" x14ac:dyDescent="0.25">
      <c r="A62" s="4">
        <v>61</v>
      </c>
      <c r="B62" s="4"/>
      <c r="C62" s="4"/>
      <c r="D62" s="4"/>
      <c r="E62" s="4"/>
      <c r="F62" s="4"/>
    </row>
    <row r="63" spans="1:6" x14ac:dyDescent="0.25">
      <c r="A63" s="4">
        <v>62</v>
      </c>
      <c r="B63" s="4"/>
      <c r="C63" s="4"/>
      <c r="D63" s="4"/>
      <c r="E63" s="4"/>
      <c r="F63" s="4"/>
    </row>
    <row r="64" spans="1:6" x14ac:dyDescent="0.25">
      <c r="A64" s="4">
        <v>63</v>
      </c>
      <c r="B64" s="4"/>
      <c r="C64" s="4"/>
      <c r="D64" s="4"/>
      <c r="E64" s="4"/>
      <c r="F64" s="4"/>
    </row>
    <row r="65" spans="1:6" x14ac:dyDescent="0.25">
      <c r="A65" s="4">
        <v>64</v>
      </c>
      <c r="B65" s="4"/>
      <c r="C65" s="4"/>
      <c r="D65" s="4"/>
      <c r="E65" s="4"/>
      <c r="F65" s="4"/>
    </row>
    <row r="66" spans="1:6" x14ac:dyDescent="0.25">
      <c r="A66" s="4">
        <v>65</v>
      </c>
      <c r="B66" s="4"/>
      <c r="C66" s="4"/>
      <c r="D66" s="4"/>
      <c r="E66" s="4"/>
      <c r="F66" s="4"/>
    </row>
    <row r="67" spans="1:6" x14ac:dyDescent="0.25">
      <c r="A67" s="4">
        <v>66</v>
      </c>
      <c r="B67" s="4"/>
      <c r="C67" s="4"/>
      <c r="D67" s="4"/>
      <c r="E67" s="4"/>
      <c r="F67" s="4"/>
    </row>
    <row r="68" spans="1:6" x14ac:dyDescent="0.25">
      <c r="A68" s="4">
        <v>67</v>
      </c>
      <c r="B68" s="4"/>
      <c r="C68" s="4"/>
      <c r="D68" s="4"/>
      <c r="E68" s="4"/>
      <c r="F68" s="4"/>
    </row>
    <row r="69" spans="1:6" x14ac:dyDescent="0.25">
      <c r="A69" s="4">
        <v>68</v>
      </c>
      <c r="B69" s="4"/>
      <c r="C69" s="4"/>
      <c r="D69" s="4"/>
      <c r="E69" s="4"/>
      <c r="F69" s="4"/>
    </row>
    <row r="70" spans="1:6" x14ac:dyDescent="0.25">
      <c r="A70" s="4">
        <v>69</v>
      </c>
      <c r="B70" s="4"/>
      <c r="C70" s="4"/>
      <c r="D70" s="4"/>
      <c r="E70" s="4"/>
      <c r="F70" s="4"/>
    </row>
    <row r="71" spans="1:6" x14ac:dyDescent="0.25">
      <c r="A71" s="4">
        <v>70</v>
      </c>
      <c r="B71" s="4"/>
      <c r="C71" s="4"/>
      <c r="D71" s="4"/>
      <c r="E71" s="4"/>
      <c r="F71" s="4"/>
    </row>
    <row r="72" spans="1:6" x14ac:dyDescent="0.25">
      <c r="A72" s="4">
        <v>71</v>
      </c>
      <c r="B72" s="4"/>
      <c r="C72" s="4"/>
      <c r="D72" s="4"/>
      <c r="E72" s="4"/>
      <c r="F72" s="4"/>
    </row>
    <row r="73" spans="1:6" x14ac:dyDescent="0.25">
      <c r="A73" s="4">
        <v>72</v>
      </c>
      <c r="B73" s="4"/>
      <c r="C73" s="4"/>
      <c r="D73" s="4"/>
      <c r="E73" s="4"/>
      <c r="F73" s="4"/>
    </row>
    <row r="74" spans="1:6" x14ac:dyDescent="0.25">
      <c r="A74" s="4">
        <v>73</v>
      </c>
      <c r="B74" s="4"/>
      <c r="C74" s="4"/>
      <c r="D74" s="4"/>
      <c r="E74" s="4"/>
      <c r="F74" s="4"/>
    </row>
    <row r="75" spans="1:6" x14ac:dyDescent="0.25">
      <c r="A75" s="4">
        <v>74</v>
      </c>
      <c r="B75" s="4"/>
      <c r="C75" s="4"/>
      <c r="D75" s="4"/>
      <c r="E75" s="4"/>
      <c r="F75" s="4"/>
    </row>
    <row r="76" spans="1:6" x14ac:dyDescent="0.25">
      <c r="A76" s="4">
        <v>75</v>
      </c>
      <c r="B76" s="4"/>
      <c r="C76" s="4"/>
      <c r="D76" s="4"/>
      <c r="E76" s="4"/>
      <c r="F76" s="4"/>
    </row>
    <row r="77" spans="1:6" x14ac:dyDescent="0.25">
      <c r="A77" s="4">
        <v>76</v>
      </c>
      <c r="B77" s="4"/>
      <c r="C77" s="4"/>
      <c r="D77" s="4"/>
      <c r="E77" s="4"/>
      <c r="F77" s="4"/>
    </row>
    <row r="78" spans="1:6" x14ac:dyDescent="0.25">
      <c r="A78" s="4">
        <v>77</v>
      </c>
      <c r="B78" s="4"/>
      <c r="C78" s="4"/>
      <c r="D78" s="4"/>
      <c r="E78" s="4"/>
      <c r="F78" s="4"/>
    </row>
    <row r="79" spans="1:6" x14ac:dyDescent="0.25">
      <c r="A79" s="4">
        <v>78</v>
      </c>
      <c r="B79" s="4"/>
      <c r="C79" s="4"/>
      <c r="D79" s="4"/>
      <c r="E79" s="4"/>
      <c r="F79" s="4"/>
    </row>
    <row r="80" spans="1:6" x14ac:dyDescent="0.25">
      <c r="A80" s="4">
        <v>79</v>
      </c>
      <c r="B80" s="4"/>
      <c r="C80" s="4"/>
      <c r="D80" s="4"/>
      <c r="E80" s="4"/>
      <c r="F80" s="4"/>
    </row>
    <row r="81" spans="1:6" x14ac:dyDescent="0.25">
      <c r="A81" s="4">
        <v>80</v>
      </c>
      <c r="B81" s="4"/>
      <c r="C81" s="4"/>
      <c r="D81" s="4"/>
      <c r="E81" s="4"/>
      <c r="F81" s="4"/>
    </row>
    <row r="82" spans="1:6" x14ac:dyDescent="0.25">
      <c r="A82" s="4">
        <v>81</v>
      </c>
      <c r="B82" s="4"/>
      <c r="C82" s="4"/>
      <c r="D82" s="4"/>
      <c r="E82" s="4"/>
      <c r="F82" s="4"/>
    </row>
    <row r="83" spans="1:6" x14ac:dyDescent="0.25">
      <c r="A83" s="4">
        <v>82</v>
      </c>
      <c r="B83" s="4"/>
      <c r="C83" s="4"/>
      <c r="D83" s="4"/>
      <c r="E83" s="4"/>
      <c r="F83" s="4"/>
    </row>
    <row r="84" spans="1:6" x14ac:dyDescent="0.25">
      <c r="A84" s="4">
        <v>83</v>
      </c>
      <c r="B84" s="4"/>
      <c r="C84" s="4"/>
      <c r="D84" s="4"/>
      <c r="E84" s="4"/>
      <c r="F84" s="4"/>
    </row>
    <row r="85" spans="1:6" x14ac:dyDescent="0.25">
      <c r="A85" s="4">
        <v>84</v>
      </c>
      <c r="B85" s="4"/>
      <c r="C85" s="4"/>
      <c r="D85" s="4"/>
      <c r="E85" s="4"/>
      <c r="F85" s="4"/>
    </row>
    <row r="86" spans="1:6" x14ac:dyDescent="0.25">
      <c r="A86" s="4">
        <v>85</v>
      </c>
      <c r="B86" s="4"/>
      <c r="C86" s="4"/>
      <c r="D86" s="4"/>
      <c r="E86" s="4"/>
      <c r="F86" s="4"/>
    </row>
    <row r="87" spans="1:6" x14ac:dyDescent="0.25">
      <c r="A87" s="4">
        <v>86</v>
      </c>
      <c r="B87" s="4"/>
      <c r="C87" s="4"/>
      <c r="D87" s="4"/>
      <c r="E87" s="4"/>
      <c r="F87" s="4"/>
    </row>
    <row r="88" spans="1:6" x14ac:dyDescent="0.25">
      <c r="A88" s="4">
        <v>87</v>
      </c>
      <c r="B88" s="4"/>
      <c r="C88" s="4"/>
      <c r="D88" s="4"/>
      <c r="E88" s="4"/>
      <c r="F88" s="4"/>
    </row>
    <row r="89" spans="1:6" x14ac:dyDescent="0.25">
      <c r="A89" s="4">
        <v>88</v>
      </c>
      <c r="B89" s="4"/>
      <c r="C89" s="4"/>
      <c r="D89" s="4"/>
      <c r="E89" s="4"/>
      <c r="F89" s="4"/>
    </row>
    <row r="90" spans="1:6" x14ac:dyDescent="0.25">
      <c r="A90" s="4">
        <v>89</v>
      </c>
      <c r="B90" s="4"/>
      <c r="C90" s="4"/>
      <c r="D90" s="4"/>
      <c r="E90" s="4"/>
      <c r="F90" s="4"/>
    </row>
    <row r="91" spans="1:6" x14ac:dyDescent="0.25">
      <c r="A91" s="4">
        <v>90</v>
      </c>
      <c r="B91" s="4"/>
      <c r="C91" s="4"/>
      <c r="D91" s="4"/>
      <c r="E91" s="4"/>
      <c r="F91" s="4"/>
    </row>
    <row r="92" spans="1:6" x14ac:dyDescent="0.25">
      <c r="A92" s="4">
        <v>91</v>
      </c>
      <c r="B92" s="4"/>
      <c r="C92" s="4"/>
      <c r="D92" s="4"/>
      <c r="E92" s="4"/>
      <c r="F92" s="4"/>
    </row>
    <row r="93" spans="1:6" x14ac:dyDescent="0.25">
      <c r="A93" s="4">
        <v>92</v>
      </c>
      <c r="B93" s="4"/>
      <c r="C93" s="4"/>
      <c r="D93" s="4"/>
      <c r="E93" s="4"/>
      <c r="F93" s="4"/>
    </row>
    <row r="94" spans="1:6" x14ac:dyDescent="0.25">
      <c r="A94" s="4">
        <v>93</v>
      </c>
      <c r="B94" s="4"/>
      <c r="C94" s="4"/>
      <c r="D94" s="4"/>
      <c r="E94" s="4"/>
      <c r="F94" s="4"/>
    </row>
    <row r="95" spans="1:6" x14ac:dyDescent="0.25">
      <c r="A95" s="4">
        <v>94</v>
      </c>
      <c r="B95" s="4"/>
      <c r="C95" s="4"/>
      <c r="D95" s="4"/>
      <c r="E95" s="4"/>
      <c r="F95" s="4"/>
    </row>
    <row r="96" spans="1:6" x14ac:dyDescent="0.25">
      <c r="A96" s="4">
        <v>95</v>
      </c>
      <c r="B96" s="4"/>
      <c r="C96" s="4"/>
      <c r="D96" s="4"/>
      <c r="E96" s="4"/>
      <c r="F96" s="4"/>
    </row>
    <row r="97" spans="1:6" x14ac:dyDescent="0.25">
      <c r="A97" s="4">
        <v>96</v>
      </c>
      <c r="B97" s="4"/>
      <c r="C97" s="4"/>
      <c r="D97" s="4"/>
      <c r="E97" s="4"/>
      <c r="F97" s="4"/>
    </row>
    <row r="98" spans="1:6" x14ac:dyDescent="0.25">
      <c r="A98" s="4">
        <v>97</v>
      </c>
      <c r="B98" s="4"/>
      <c r="C98" s="4"/>
      <c r="D98" s="4"/>
      <c r="E98" s="4"/>
      <c r="F98" s="4"/>
    </row>
    <row r="99" spans="1:6" x14ac:dyDescent="0.25">
      <c r="A99" s="4">
        <v>98</v>
      </c>
      <c r="B99" s="4"/>
      <c r="C99" s="4"/>
      <c r="D99" s="4"/>
      <c r="E99" s="4"/>
      <c r="F99" s="4"/>
    </row>
    <row r="100" spans="1:6" x14ac:dyDescent="0.25">
      <c r="A100" s="4">
        <v>99</v>
      </c>
      <c r="B100" s="4"/>
      <c r="C100" s="4"/>
      <c r="D100" s="4"/>
      <c r="E100" s="4"/>
      <c r="F100" s="4"/>
    </row>
    <row r="101" spans="1:6" x14ac:dyDescent="0.25">
      <c r="A101" s="4">
        <v>100</v>
      </c>
      <c r="B101" s="4"/>
      <c r="C101" s="4"/>
      <c r="D101" s="4"/>
      <c r="E101" s="4"/>
      <c r="F101" s="4"/>
    </row>
    <row r="102" spans="1:6" x14ac:dyDescent="0.25">
      <c r="A102" s="4">
        <v>101</v>
      </c>
      <c r="B102" s="4"/>
      <c r="C102" s="4"/>
      <c r="D102" s="4"/>
      <c r="E102" s="4"/>
      <c r="F102" s="4"/>
    </row>
    <row r="103" spans="1:6" x14ac:dyDescent="0.25">
      <c r="A103" s="4">
        <v>102</v>
      </c>
      <c r="B103" s="4"/>
      <c r="C103" s="4"/>
      <c r="D103" s="4"/>
      <c r="E103" s="4"/>
      <c r="F103" s="4"/>
    </row>
    <row r="104" spans="1:6" x14ac:dyDescent="0.25">
      <c r="A104" s="4">
        <v>103</v>
      </c>
      <c r="B104" s="4"/>
      <c r="C104" s="4"/>
      <c r="D104" s="4"/>
      <c r="E104" s="4"/>
      <c r="F104" s="4"/>
    </row>
    <row r="105" spans="1:6" x14ac:dyDescent="0.25">
      <c r="A105" s="4">
        <v>104</v>
      </c>
      <c r="B105" s="4"/>
      <c r="C105" s="4"/>
      <c r="D105" s="4"/>
      <c r="E105" s="4"/>
      <c r="F105" s="4"/>
    </row>
    <row r="106" spans="1:6" x14ac:dyDescent="0.25">
      <c r="A106" s="4">
        <v>105</v>
      </c>
      <c r="B106" s="4"/>
      <c r="C106" s="4"/>
      <c r="D106" s="4"/>
      <c r="E106" s="4"/>
      <c r="F106" s="4"/>
    </row>
    <row r="107" spans="1:6" x14ac:dyDescent="0.25">
      <c r="A107" s="4">
        <v>106</v>
      </c>
      <c r="B107" s="4"/>
      <c r="C107" s="4"/>
      <c r="D107" s="4"/>
      <c r="E107" s="4"/>
      <c r="F107" s="4"/>
    </row>
    <row r="108" spans="1:6" x14ac:dyDescent="0.25">
      <c r="A108" s="4">
        <v>107</v>
      </c>
      <c r="B108" s="4"/>
      <c r="C108" s="4"/>
      <c r="D108" s="4"/>
      <c r="E108" s="4"/>
      <c r="F108" s="4"/>
    </row>
    <row r="109" spans="1:6" x14ac:dyDescent="0.25">
      <c r="A109" s="4">
        <v>108</v>
      </c>
      <c r="B109" s="4"/>
      <c r="C109" s="4"/>
      <c r="D109" s="4"/>
      <c r="E109" s="4"/>
      <c r="F109" s="4"/>
    </row>
    <row r="110" spans="1:6" x14ac:dyDescent="0.25">
      <c r="A110" s="4">
        <v>109</v>
      </c>
      <c r="B110" s="4"/>
      <c r="C110" s="4"/>
      <c r="D110" s="4"/>
      <c r="E110" s="4"/>
      <c r="F110" s="4"/>
    </row>
    <row r="111" spans="1:6" x14ac:dyDescent="0.25">
      <c r="A111" s="4">
        <v>110</v>
      </c>
      <c r="B111" s="4"/>
      <c r="C111" s="4"/>
      <c r="D111" s="4"/>
      <c r="E111" s="4"/>
      <c r="F111" s="4"/>
    </row>
    <row r="112" spans="1:6" x14ac:dyDescent="0.25">
      <c r="A112" s="4">
        <v>111</v>
      </c>
      <c r="B112" s="4"/>
      <c r="C112" s="4"/>
      <c r="D112" s="4"/>
      <c r="E112" s="4"/>
      <c r="F112" s="4"/>
    </row>
    <row r="113" spans="1:6" x14ac:dyDescent="0.25">
      <c r="A113" s="4">
        <v>112</v>
      </c>
      <c r="B113" s="4"/>
      <c r="C113" s="4"/>
      <c r="D113" s="4"/>
      <c r="E113" s="4"/>
      <c r="F113" s="4"/>
    </row>
    <row r="114" spans="1:6" x14ac:dyDescent="0.25">
      <c r="A114" s="4">
        <v>113</v>
      </c>
      <c r="B114" s="4"/>
      <c r="C114" s="4"/>
      <c r="D114" s="4"/>
      <c r="E114" s="4"/>
      <c r="F114" s="4"/>
    </row>
    <row r="115" spans="1:6" x14ac:dyDescent="0.25">
      <c r="A115" s="4">
        <v>114</v>
      </c>
      <c r="B115" s="4"/>
      <c r="C115" s="4"/>
      <c r="D115" s="4"/>
      <c r="E115" s="4"/>
      <c r="F115" s="4"/>
    </row>
    <row r="116" spans="1:6" x14ac:dyDescent="0.25">
      <c r="A116" s="4">
        <v>115</v>
      </c>
      <c r="B116" s="4"/>
      <c r="C116" s="4"/>
      <c r="D116" s="4"/>
      <c r="E116" s="4"/>
      <c r="F116" s="4"/>
    </row>
    <row r="117" spans="1:6" x14ac:dyDescent="0.25">
      <c r="A117" s="4">
        <v>116</v>
      </c>
      <c r="B117" s="4"/>
      <c r="C117" s="4"/>
      <c r="D117" s="4"/>
      <c r="E117" s="4"/>
      <c r="F117" s="4"/>
    </row>
    <row r="118" spans="1:6" x14ac:dyDescent="0.25">
      <c r="A118" s="4">
        <v>117</v>
      </c>
      <c r="B118" s="4"/>
      <c r="C118" s="4"/>
      <c r="D118" s="4"/>
      <c r="E118" s="4"/>
      <c r="F118" s="4"/>
    </row>
    <row r="119" spans="1:6" x14ac:dyDescent="0.25">
      <c r="A119" s="4">
        <v>118</v>
      </c>
      <c r="B119" s="4"/>
      <c r="C119" s="4"/>
      <c r="D119" s="4"/>
      <c r="E119" s="4"/>
      <c r="F119" s="4"/>
    </row>
    <row r="120" spans="1:6" x14ac:dyDescent="0.25">
      <c r="A120" s="4">
        <v>119</v>
      </c>
      <c r="B120" s="4"/>
      <c r="C120" s="4"/>
      <c r="D120" s="4"/>
      <c r="E120" s="4"/>
      <c r="F120" s="4"/>
    </row>
    <row r="121" spans="1:6" x14ac:dyDescent="0.25">
      <c r="A121" s="4">
        <v>120</v>
      </c>
      <c r="B121" s="4"/>
      <c r="C121" s="4"/>
      <c r="D121" s="4"/>
      <c r="E121" s="4"/>
      <c r="F121" s="4"/>
    </row>
    <row r="122" spans="1:6" x14ac:dyDescent="0.25">
      <c r="A122" s="4">
        <v>121</v>
      </c>
      <c r="B122" s="4"/>
      <c r="C122" s="4"/>
      <c r="D122" s="4"/>
      <c r="E122" s="4"/>
      <c r="F122" s="4"/>
    </row>
    <row r="123" spans="1:6" x14ac:dyDescent="0.25">
      <c r="A123" s="4">
        <v>122</v>
      </c>
      <c r="B123" s="4"/>
      <c r="C123" s="4"/>
      <c r="D123" s="4"/>
      <c r="E123" s="4"/>
      <c r="F123" s="4"/>
    </row>
    <row r="124" spans="1:6" x14ac:dyDescent="0.25">
      <c r="A124" s="4">
        <v>123</v>
      </c>
      <c r="B124" s="4"/>
      <c r="C124" s="4"/>
      <c r="D124" s="4"/>
      <c r="E124" s="4"/>
      <c r="F124" s="4"/>
    </row>
    <row r="125" spans="1:6" x14ac:dyDescent="0.25">
      <c r="A125" s="4">
        <v>124</v>
      </c>
      <c r="B125" s="4"/>
      <c r="C125" s="4"/>
      <c r="D125" s="4"/>
      <c r="E125" s="4"/>
      <c r="F125" s="4"/>
    </row>
    <row r="126" spans="1:6" x14ac:dyDescent="0.25">
      <c r="A126" s="4">
        <v>125</v>
      </c>
      <c r="B126" s="4"/>
      <c r="C126" s="4"/>
      <c r="D126" s="4"/>
      <c r="E126" s="4"/>
      <c r="F126" s="4"/>
    </row>
    <row r="127" spans="1:6" x14ac:dyDescent="0.25">
      <c r="A127" s="4">
        <v>126</v>
      </c>
      <c r="B127" s="4"/>
      <c r="C127" s="4"/>
      <c r="D127" s="4"/>
      <c r="E127" s="4"/>
      <c r="F127" s="4"/>
    </row>
    <row r="128" spans="1:6" x14ac:dyDescent="0.25">
      <c r="A128" s="4">
        <v>127</v>
      </c>
      <c r="B128" s="4"/>
      <c r="C128" s="4"/>
      <c r="D128" s="4"/>
      <c r="E128" s="4"/>
      <c r="F128" s="4"/>
    </row>
    <row r="129" spans="1:6" x14ac:dyDescent="0.25">
      <c r="A129" s="4">
        <v>128</v>
      </c>
      <c r="B129" s="4"/>
      <c r="C129" s="4"/>
      <c r="D129" s="4"/>
      <c r="E129" s="4"/>
      <c r="F129" s="4"/>
    </row>
    <row r="130" spans="1:6" x14ac:dyDescent="0.25">
      <c r="A130" s="4">
        <v>129</v>
      </c>
      <c r="B130" s="4"/>
      <c r="C130" s="4"/>
      <c r="D130" s="4"/>
      <c r="E130" s="4"/>
      <c r="F130" s="4"/>
    </row>
    <row r="131" spans="1:6" x14ac:dyDescent="0.25">
      <c r="A131" s="4">
        <v>130</v>
      </c>
      <c r="B131" s="4"/>
      <c r="C131" s="4"/>
      <c r="D131" s="4"/>
      <c r="E131" s="4"/>
      <c r="F131" s="4"/>
    </row>
    <row r="132" spans="1:6" x14ac:dyDescent="0.25">
      <c r="A132" s="4">
        <v>131</v>
      </c>
      <c r="B132" s="4"/>
      <c r="C132" s="4"/>
      <c r="D132" s="4"/>
      <c r="E132" s="4"/>
      <c r="F132" s="4"/>
    </row>
    <row r="133" spans="1:6" x14ac:dyDescent="0.25">
      <c r="A133" s="4">
        <v>132</v>
      </c>
      <c r="B133" s="4"/>
      <c r="C133" s="4"/>
      <c r="D133" s="4"/>
      <c r="E133" s="4"/>
      <c r="F133" s="4"/>
    </row>
    <row r="134" spans="1:6" x14ac:dyDescent="0.25">
      <c r="A134" s="4">
        <v>133</v>
      </c>
      <c r="B134" s="4"/>
      <c r="C134" s="4"/>
      <c r="D134" s="4"/>
      <c r="E134" s="4"/>
      <c r="F134" s="4"/>
    </row>
    <row r="135" spans="1:6" x14ac:dyDescent="0.25">
      <c r="A135" s="4">
        <v>134</v>
      </c>
      <c r="B135" s="4"/>
      <c r="C135" s="4"/>
      <c r="D135" s="4"/>
      <c r="E135" s="4"/>
      <c r="F135" s="4"/>
    </row>
    <row r="136" spans="1:6" x14ac:dyDescent="0.25">
      <c r="A136" s="4">
        <v>135</v>
      </c>
      <c r="B136" s="4"/>
      <c r="C136" s="4"/>
      <c r="D136" s="4"/>
      <c r="E136" s="4"/>
      <c r="F136" s="4"/>
    </row>
    <row r="137" spans="1:6" x14ac:dyDescent="0.25">
      <c r="A137" s="4">
        <v>136</v>
      </c>
      <c r="B137" s="4"/>
      <c r="C137" s="4"/>
      <c r="D137" s="4"/>
      <c r="E137" s="4"/>
      <c r="F137" s="4"/>
    </row>
    <row r="138" spans="1:6" x14ac:dyDescent="0.25">
      <c r="A138" s="4">
        <v>137</v>
      </c>
      <c r="B138" s="4"/>
      <c r="C138" s="4"/>
      <c r="D138" s="4"/>
      <c r="E138" s="4"/>
      <c r="F138" s="4"/>
    </row>
    <row r="139" spans="1:6" x14ac:dyDescent="0.25">
      <c r="A139" s="4">
        <v>138</v>
      </c>
      <c r="B139" s="4"/>
      <c r="C139" s="4"/>
      <c r="D139" s="4"/>
      <c r="E139" s="4"/>
      <c r="F139" s="4"/>
    </row>
    <row r="140" spans="1:6" x14ac:dyDescent="0.25">
      <c r="A140" s="4">
        <v>139</v>
      </c>
      <c r="B140" s="4"/>
      <c r="C140" s="4"/>
      <c r="D140" s="4"/>
      <c r="E140" s="4"/>
      <c r="F140" s="4"/>
    </row>
    <row r="141" spans="1:6" x14ac:dyDescent="0.25">
      <c r="A141" s="4">
        <v>140</v>
      </c>
      <c r="B141" s="4"/>
      <c r="C141" s="4"/>
      <c r="D141" s="4"/>
      <c r="E141" s="4"/>
      <c r="F141" s="4"/>
    </row>
    <row r="142" spans="1:6" x14ac:dyDescent="0.25">
      <c r="A142" s="4">
        <v>141</v>
      </c>
      <c r="B142" s="4"/>
      <c r="C142" s="4"/>
      <c r="D142" s="4"/>
      <c r="E142" s="4"/>
      <c r="F142" s="4"/>
    </row>
    <row r="143" spans="1:6" x14ac:dyDescent="0.25">
      <c r="A143" s="4">
        <v>142</v>
      </c>
      <c r="B143" s="4"/>
      <c r="C143" s="4"/>
      <c r="D143" s="4"/>
      <c r="E143" s="4"/>
      <c r="F143" s="4"/>
    </row>
    <row r="144" spans="1:6" x14ac:dyDescent="0.25">
      <c r="A144" s="4">
        <v>143</v>
      </c>
      <c r="B144" s="4"/>
      <c r="C144" s="4"/>
      <c r="D144" s="4"/>
      <c r="E144" s="4"/>
      <c r="F144" s="4"/>
    </row>
    <row r="145" spans="1:6" x14ac:dyDescent="0.25">
      <c r="A145" s="4">
        <v>144</v>
      </c>
      <c r="B145" s="4"/>
      <c r="C145" s="4"/>
      <c r="D145" s="4"/>
      <c r="E145" s="4"/>
      <c r="F145" s="4"/>
    </row>
    <row r="146" spans="1:6" x14ac:dyDescent="0.25">
      <c r="A146" s="4">
        <v>145</v>
      </c>
      <c r="B146" s="4"/>
      <c r="C146" s="4"/>
      <c r="D146" s="4"/>
      <c r="E146" s="4"/>
      <c r="F146" s="4"/>
    </row>
    <row r="147" spans="1:6" x14ac:dyDescent="0.25">
      <c r="A147" s="4">
        <v>146</v>
      </c>
      <c r="B147" s="4"/>
      <c r="C147" s="4"/>
      <c r="D147" s="4"/>
      <c r="E147" s="4"/>
      <c r="F147" s="4"/>
    </row>
    <row r="148" spans="1:6" x14ac:dyDescent="0.25">
      <c r="A148" s="4">
        <v>147</v>
      </c>
      <c r="B148" s="4"/>
      <c r="C148" s="4"/>
      <c r="D148" s="4"/>
      <c r="E148" s="4"/>
      <c r="F148" s="4"/>
    </row>
    <row r="149" spans="1:6" x14ac:dyDescent="0.25">
      <c r="A149" s="4">
        <v>148</v>
      </c>
      <c r="B149" s="4"/>
      <c r="C149" s="4"/>
      <c r="D149" s="4"/>
      <c r="E149" s="4"/>
      <c r="F149" s="4"/>
    </row>
    <row r="150" spans="1:6" x14ac:dyDescent="0.25">
      <c r="A150" s="4">
        <v>149</v>
      </c>
      <c r="B150" s="4"/>
      <c r="C150" s="4"/>
      <c r="D150" s="4"/>
      <c r="E150" s="4"/>
      <c r="F150" s="4"/>
    </row>
    <row r="151" spans="1:6" x14ac:dyDescent="0.25">
      <c r="A151" s="4">
        <v>150</v>
      </c>
      <c r="B151" s="4"/>
      <c r="C151" s="4"/>
      <c r="D151" s="4"/>
      <c r="E151" s="4"/>
      <c r="F151" s="4"/>
    </row>
    <row r="152" spans="1:6" x14ac:dyDescent="0.25">
      <c r="A152" s="4">
        <v>151</v>
      </c>
      <c r="B152" s="4"/>
      <c r="C152" s="4"/>
      <c r="D152" s="4"/>
      <c r="E152" s="4"/>
      <c r="F152" s="4"/>
    </row>
    <row r="153" spans="1:6" x14ac:dyDescent="0.25">
      <c r="A153" s="4">
        <v>152</v>
      </c>
      <c r="B153" s="4"/>
      <c r="C153" s="4"/>
      <c r="D153" s="4"/>
      <c r="E153" s="4"/>
      <c r="F153" s="4"/>
    </row>
    <row r="154" spans="1:6" x14ac:dyDescent="0.25">
      <c r="A154" s="4">
        <v>153</v>
      </c>
      <c r="B154" s="4"/>
      <c r="C154" s="4"/>
      <c r="D154" s="4"/>
      <c r="E154" s="4"/>
      <c r="F154" s="4"/>
    </row>
    <row r="155" spans="1:6" x14ac:dyDescent="0.25">
      <c r="A155" s="4">
        <v>154</v>
      </c>
      <c r="B155" s="4"/>
      <c r="C155" s="4"/>
      <c r="D155" s="4"/>
      <c r="E155" s="4"/>
      <c r="F155" s="4"/>
    </row>
    <row r="156" spans="1:6" x14ac:dyDescent="0.25">
      <c r="A156" s="4">
        <v>155</v>
      </c>
      <c r="B156" s="4"/>
      <c r="C156" s="4"/>
      <c r="D156" s="4"/>
      <c r="E156" s="4"/>
      <c r="F156" s="4"/>
    </row>
    <row r="157" spans="1:6" x14ac:dyDescent="0.25">
      <c r="A157" s="4">
        <v>156</v>
      </c>
      <c r="B157" s="4"/>
      <c r="C157" s="4"/>
      <c r="D157" s="4"/>
      <c r="E157" s="4"/>
      <c r="F157" s="4"/>
    </row>
    <row r="158" spans="1:6" x14ac:dyDescent="0.25">
      <c r="A158" s="4">
        <v>157</v>
      </c>
      <c r="B158" s="4"/>
      <c r="C158" s="4"/>
      <c r="D158" s="4"/>
      <c r="E158" s="4"/>
      <c r="F158" s="4"/>
    </row>
    <row r="159" spans="1:6" x14ac:dyDescent="0.25">
      <c r="A159" s="4">
        <v>158</v>
      </c>
      <c r="B159" s="4"/>
      <c r="C159" s="4"/>
      <c r="D159" s="4"/>
      <c r="E159" s="4"/>
      <c r="F159" s="4"/>
    </row>
    <row r="160" spans="1:6" x14ac:dyDescent="0.25">
      <c r="A160" s="4">
        <v>159</v>
      </c>
      <c r="B160" s="4"/>
      <c r="C160" s="4"/>
      <c r="D160" s="4"/>
      <c r="E160" s="4"/>
      <c r="F160" s="4"/>
    </row>
    <row r="161" spans="1:6" x14ac:dyDescent="0.25">
      <c r="A161" s="4">
        <v>160</v>
      </c>
      <c r="B161" s="4"/>
      <c r="C161" s="4"/>
      <c r="D161" s="4"/>
      <c r="E161" s="4"/>
      <c r="F161" s="4"/>
    </row>
    <row r="162" spans="1:6" x14ac:dyDescent="0.25">
      <c r="A162" s="4">
        <v>161</v>
      </c>
      <c r="B162" s="4"/>
      <c r="C162" s="4"/>
      <c r="D162" s="4"/>
      <c r="E162" s="4"/>
      <c r="F162" s="4"/>
    </row>
    <row r="163" spans="1:6" x14ac:dyDescent="0.25">
      <c r="A163" s="4">
        <v>162</v>
      </c>
      <c r="B163" s="4"/>
      <c r="C163" s="4"/>
      <c r="D163" s="4"/>
      <c r="E163" s="4"/>
      <c r="F163" s="4"/>
    </row>
    <row r="164" spans="1:6" x14ac:dyDescent="0.25">
      <c r="A164" s="4">
        <v>163</v>
      </c>
      <c r="B164" s="4"/>
      <c r="C164" s="4"/>
      <c r="D164" s="4"/>
      <c r="E164" s="4"/>
      <c r="F164" s="4"/>
    </row>
    <row r="165" spans="1:6" x14ac:dyDescent="0.25">
      <c r="A165" s="4">
        <v>164</v>
      </c>
      <c r="B165" s="4"/>
      <c r="C165" s="4"/>
      <c r="D165" s="4"/>
      <c r="E165" s="4"/>
      <c r="F165" s="4"/>
    </row>
    <row r="166" spans="1:6" x14ac:dyDescent="0.25">
      <c r="A166" s="4">
        <v>165</v>
      </c>
      <c r="B166" s="4"/>
      <c r="C166" s="4"/>
      <c r="D166" s="4"/>
      <c r="E166" s="4"/>
      <c r="F166" s="4"/>
    </row>
    <row r="167" spans="1:6" x14ac:dyDescent="0.25">
      <c r="A167" s="4">
        <v>166</v>
      </c>
      <c r="B167" s="4"/>
      <c r="C167" s="4"/>
      <c r="D167" s="4"/>
      <c r="E167" s="4"/>
      <c r="F167" s="4"/>
    </row>
    <row r="168" spans="1:6" x14ac:dyDescent="0.25">
      <c r="A168" s="4">
        <v>167</v>
      </c>
      <c r="B168" s="4"/>
      <c r="C168" s="4"/>
      <c r="D168" s="4"/>
      <c r="E168" s="4"/>
      <c r="F168" s="4"/>
    </row>
    <row r="169" spans="1:6" x14ac:dyDescent="0.25">
      <c r="A169" s="4">
        <v>168</v>
      </c>
      <c r="B169" s="4"/>
      <c r="C169" s="4"/>
      <c r="D169" s="4"/>
      <c r="E169" s="4"/>
      <c r="F169" s="4"/>
    </row>
    <row r="170" spans="1:6" x14ac:dyDescent="0.25">
      <c r="A170" s="4">
        <v>169</v>
      </c>
      <c r="B170" s="4"/>
      <c r="C170" s="4"/>
      <c r="D170" s="4"/>
      <c r="E170" s="4"/>
      <c r="F170" s="4"/>
    </row>
    <row r="171" spans="1:6" x14ac:dyDescent="0.25">
      <c r="A171" s="4">
        <v>170</v>
      </c>
      <c r="B171" s="4"/>
      <c r="C171" s="4"/>
      <c r="D171" s="4"/>
      <c r="E171" s="4"/>
      <c r="F171" s="4"/>
    </row>
    <row r="172" spans="1:6" x14ac:dyDescent="0.25">
      <c r="A172" s="4">
        <v>171</v>
      </c>
      <c r="B172" s="4"/>
      <c r="C172" s="4"/>
      <c r="D172" s="4"/>
      <c r="E172" s="4"/>
      <c r="F172" s="4"/>
    </row>
    <row r="173" spans="1:6" x14ac:dyDescent="0.25">
      <c r="A173" s="4">
        <v>172</v>
      </c>
      <c r="B173" s="4"/>
      <c r="C173" s="4"/>
      <c r="D173" s="4"/>
      <c r="E173" s="4"/>
      <c r="F173" s="4"/>
    </row>
    <row r="174" spans="1:6" x14ac:dyDescent="0.25">
      <c r="A174" s="4">
        <v>173</v>
      </c>
      <c r="B174" s="4"/>
      <c r="C174" s="4"/>
      <c r="D174" s="4"/>
      <c r="E174" s="4"/>
      <c r="F174" s="4"/>
    </row>
    <row r="175" spans="1:6" x14ac:dyDescent="0.25">
      <c r="A175" s="4">
        <v>174</v>
      </c>
      <c r="B175" s="4"/>
      <c r="C175" s="4"/>
      <c r="D175" s="4"/>
      <c r="E175" s="4"/>
      <c r="F175" s="4"/>
    </row>
    <row r="176" spans="1:6" x14ac:dyDescent="0.25">
      <c r="A176" s="4">
        <v>175</v>
      </c>
      <c r="B176" s="4"/>
      <c r="C176" s="4"/>
      <c r="D176" s="4"/>
      <c r="E176" s="4"/>
      <c r="F176" s="4"/>
    </row>
    <row r="177" spans="1:6" x14ac:dyDescent="0.25">
      <c r="A177" s="4">
        <v>176</v>
      </c>
      <c r="B177" s="4"/>
      <c r="C177" s="4"/>
      <c r="D177" s="4"/>
      <c r="E177" s="4"/>
      <c r="F177" s="4"/>
    </row>
    <row r="178" spans="1:6" x14ac:dyDescent="0.25">
      <c r="A178" s="4">
        <v>177</v>
      </c>
      <c r="B178" s="4"/>
      <c r="C178" s="4"/>
      <c r="D178" s="4"/>
      <c r="E178" s="4"/>
      <c r="F178" s="4"/>
    </row>
    <row r="179" spans="1:6" x14ac:dyDescent="0.25">
      <c r="A179" s="4">
        <v>178</v>
      </c>
      <c r="B179" s="4"/>
      <c r="C179" s="4"/>
      <c r="D179" s="4"/>
      <c r="E179" s="4"/>
      <c r="F179" s="4"/>
    </row>
    <row r="180" spans="1:6" x14ac:dyDescent="0.25">
      <c r="A180" s="4">
        <v>179</v>
      </c>
      <c r="B180" s="4"/>
      <c r="C180" s="4"/>
      <c r="D180" s="4"/>
      <c r="E180" s="4"/>
      <c r="F180" s="4"/>
    </row>
    <row r="181" spans="1:6" x14ac:dyDescent="0.25">
      <c r="A181" s="4">
        <v>180</v>
      </c>
      <c r="B181" s="4"/>
      <c r="C181" s="4"/>
      <c r="D181" s="4"/>
      <c r="E181" s="4"/>
      <c r="F181" s="4"/>
    </row>
    <row r="182" spans="1:6" x14ac:dyDescent="0.25">
      <c r="A182" s="4">
        <v>181</v>
      </c>
      <c r="B182" s="4"/>
      <c r="C182" s="4"/>
      <c r="D182" s="4"/>
      <c r="E182" s="4"/>
      <c r="F182" s="4"/>
    </row>
    <row r="183" spans="1:6" x14ac:dyDescent="0.25">
      <c r="A183" s="4">
        <v>182</v>
      </c>
      <c r="B183" s="4"/>
      <c r="C183" s="4"/>
      <c r="D183" s="4"/>
      <c r="E183" s="4"/>
      <c r="F183" s="4"/>
    </row>
    <row r="184" spans="1:6" x14ac:dyDescent="0.25">
      <c r="A184" s="4">
        <v>183</v>
      </c>
      <c r="B184" s="4"/>
      <c r="C184" s="4"/>
      <c r="D184" s="4"/>
      <c r="E184" s="4"/>
      <c r="F184" s="4"/>
    </row>
    <row r="185" spans="1:6" x14ac:dyDescent="0.25">
      <c r="A185" s="4">
        <v>184</v>
      </c>
      <c r="B185" s="4"/>
      <c r="C185" s="4"/>
      <c r="D185" s="4"/>
      <c r="E185" s="4"/>
      <c r="F185" s="4"/>
    </row>
    <row r="186" spans="1:6" x14ac:dyDescent="0.25">
      <c r="A186" s="4">
        <v>185</v>
      </c>
      <c r="B186" s="4"/>
      <c r="C186" s="4"/>
      <c r="D186" s="4"/>
      <c r="E186" s="4"/>
      <c r="F186" s="4"/>
    </row>
    <row r="187" spans="1:6" x14ac:dyDescent="0.25">
      <c r="A187" s="4">
        <v>186</v>
      </c>
      <c r="B187" s="4"/>
      <c r="C187" s="4"/>
      <c r="D187" s="4"/>
      <c r="E187" s="4"/>
      <c r="F187" s="4"/>
    </row>
    <row r="188" spans="1:6" x14ac:dyDescent="0.25">
      <c r="A188" s="4">
        <v>187</v>
      </c>
      <c r="B188" s="4"/>
      <c r="C188" s="4"/>
      <c r="D188" s="4"/>
      <c r="E188" s="4"/>
      <c r="F188" s="4"/>
    </row>
    <row r="189" spans="1:6" x14ac:dyDescent="0.25">
      <c r="A189" s="4">
        <v>188</v>
      </c>
      <c r="B189" s="4"/>
      <c r="C189" s="4"/>
      <c r="D189" s="4"/>
      <c r="E189" s="4"/>
      <c r="F189" s="4"/>
    </row>
    <row r="190" spans="1:6" x14ac:dyDescent="0.25">
      <c r="A190" s="4">
        <v>189</v>
      </c>
      <c r="B190" s="4"/>
      <c r="C190" s="4"/>
      <c r="D190" s="4"/>
      <c r="E190" s="4"/>
      <c r="F190" s="4"/>
    </row>
    <row r="191" spans="1:6" x14ac:dyDescent="0.25">
      <c r="A191" s="4">
        <v>190</v>
      </c>
      <c r="B191" s="4"/>
      <c r="C191" s="4"/>
      <c r="D191" s="4"/>
      <c r="E191" s="4"/>
      <c r="F191" s="4"/>
    </row>
    <row r="192" spans="1:6" x14ac:dyDescent="0.25">
      <c r="A192" s="4">
        <v>191</v>
      </c>
      <c r="B192" s="4"/>
      <c r="C192" s="4"/>
      <c r="D192" s="4"/>
      <c r="E192" s="4"/>
      <c r="F192" s="4"/>
    </row>
    <row r="193" spans="1:6" x14ac:dyDescent="0.25">
      <c r="A193" s="4">
        <v>192</v>
      </c>
      <c r="B193" s="4"/>
      <c r="C193" s="4"/>
      <c r="D193" s="4"/>
      <c r="E193" s="4"/>
      <c r="F193" s="4"/>
    </row>
    <row r="194" spans="1:6" x14ac:dyDescent="0.25">
      <c r="A194" s="4">
        <v>193</v>
      </c>
      <c r="B194" s="4"/>
      <c r="C194" s="4"/>
      <c r="D194" s="4"/>
      <c r="E194" s="4"/>
      <c r="F194" s="4"/>
    </row>
    <row r="195" spans="1:6" x14ac:dyDescent="0.25">
      <c r="A195" s="4">
        <v>194</v>
      </c>
      <c r="B195" s="4"/>
      <c r="C195" s="4"/>
      <c r="D195" s="4"/>
      <c r="E195" s="4"/>
      <c r="F195" s="4"/>
    </row>
    <row r="196" spans="1:6" x14ac:dyDescent="0.25">
      <c r="A196" s="4">
        <v>195</v>
      </c>
      <c r="B196" s="4"/>
      <c r="C196" s="4"/>
      <c r="D196" s="4"/>
      <c r="E196" s="4"/>
      <c r="F196" s="4"/>
    </row>
    <row r="197" spans="1:6" x14ac:dyDescent="0.25">
      <c r="A197" s="4">
        <v>196</v>
      </c>
      <c r="B197" s="4"/>
      <c r="C197" s="4"/>
      <c r="D197" s="4"/>
      <c r="E197" s="4"/>
      <c r="F197" s="4"/>
    </row>
    <row r="198" spans="1:6" x14ac:dyDescent="0.25">
      <c r="A198" s="4">
        <v>197</v>
      </c>
      <c r="B198" s="4"/>
      <c r="C198" s="4"/>
      <c r="D198" s="4"/>
      <c r="E198" s="4"/>
      <c r="F198" s="4"/>
    </row>
    <row r="199" spans="1:6" x14ac:dyDescent="0.25">
      <c r="A199" s="4">
        <v>198</v>
      </c>
      <c r="B199" s="4"/>
      <c r="C199" s="4"/>
      <c r="D199" s="4"/>
      <c r="E199" s="4"/>
      <c r="F199" s="4"/>
    </row>
    <row r="200" spans="1:6" x14ac:dyDescent="0.25">
      <c r="A200" s="4">
        <v>199</v>
      </c>
      <c r="B200" s="4"/>
      <c r="C200" s="4"/>
      <c r="D200" s="4"/>
      <c r="E200" s="4"/>
      <c r="F200" s="4"/>
    </row>
    <row r="201" spans="1:6" x14ac:dyDescent="0.25">
      <c r="A201" s="4">
        <v>200</v>
      </c>
      <c r="B201" s="4"/>
      <c r="C201" s="4"/>
      <c r="D201" s="4"/>
      <c r="E201" s="4"/>
      <c r="F201" s="4"/>
    </row>
    <row r="202" spans="1:6" x14ac:dyDescent="0.25">
      <c r="A202" s="4">
        <v>201</v>
      </c>
      <c r="B202" s="4"/>
      <c r="C202" s="4"/>
      <c r="D202" s="4"/>
      <c r="E202" s="4"/>
      <c r="F202" s="4"/>
    </row>
    <row r="203" spans="1:6" x14ac:dyDescent="0.25">
      <c r="A203" s="4">
        <v>202</v>
      </c>
      <c r="B203" s="4"/>
      <c r="C203" s="4"/>
      <c r="D203" s="4"/>
      <c r="E203" s="4"/>
      <c r="F203" s="4"/>
    </row>
    <row r="204" spans="1:6" x14ac:dyDescent="0.25">
      <c r="A204" s="4">
        <v>203</v>
      </c>
      <c r="B204" s="4"/>
      <c r="C204" s="4"/>
      <c r="D204" s="4"/>
      <c r="E204" s="4"/>
      <c r="F204" s="4"/>
    </row>
    <row r="205" spans="1:6" x14ac:dyDescent="0.25">
      <c r="A205" s="4">
        <v>204</v>
      </c>
      <c r="B205" s="4"/>
      <c r="C205" s="4"/>
      <c r="D205" s="4"/>
      <c r="E205" s="4"/>
      <c r="F205" s="4"/>
    </row>
    <row r="206" spans="1:6" x14ac:dyDescent="0.25">
      <c r="A206" s="4">
        <v>205</v>
      </c>
      <c r="B206" s="4"/>
      <c r="C206" s="4"/>
      <c r="D206" s="4"/>
      <c r="E206" s="4"/>
      <c r="F206" s="4"/>
    </row>
    <row r="207" spans="1:6" x14ac:dyDescent="0.25">
      <c r="A207" s="4">
        <v>206</v>
      </c>
      <c r="B207" s="4"/>
      <c r="C207" s="4"/>
      <c r="D207" s="4"/>
      <c r="E207" s="4"/>
      <c r="F207" s="4"/>
    </row>
    <row r="208" spans="1:6" x14ac:dyDescent="0.25">
      <c r="A208" s="4">
        <v>207</v>
      </c>
      <c r="B208" s="4"/>
      <c r="C208" s="4"/>
      <c r="D208" s="4"/>
      <c r="E208" s="4"/>
      <c r="F208" s="4"/>
    </row>
    <row r="209" spans="1:6" x14ac:dyDescent="0.25">
      <c r="A209" s="4">
        <v>208</v>
      </c>
      <c r="B209" s="4"/>
      <c r="C209" s="4"/>
      <c r="D209" s="4"/>
      <c r="E209" s="4"/>
      <c r="F209" s="4"/>
    </row>
    <row r="210" spans="1:6" x14ac:dyDescent="0.25">
      <c r="A210" s="4">
        <v>209</v>
      </c>
      <c r="B210" s="4"/>
      <c r="C210" s="4"/>
      <c r="D210" s="4"/>
      <c r="E210" s="4"/>
      <c r="F210" s="4"/>
    </row>
    <row r="211" spans="1:6" x14ac:dyDescent="0.25">
      <c r="A211" s="4">
        <v>210</v>
      </c>
      <c r="B211" s="4"/>
      <c r="C211" s="4"/>
      <c r="D211" s="4"/>
      <c r="E211" s="4"/>
      <c r="F211" s="4"/>
    </row>
    <row r="212" spans="1:6" x14ac:dyDescent="0.25">
      <c r="A212" s="4">
        <v>211</v>
      </c>
      <c r="B212" s="4"/>
      <c r="C212" s="4"/>
      <c r="D212" s="4"/>
      <c r="E212" s="4"/>
      <c r="F212" s="4"/>
    </row>
    <row r="213" spans="1:6" x14ac:dyDescent="0.25">
      <c r="A213" s="4">
        <v>212</v>
      </c>
      <c r="B213" s="4"/>
      <c r="C213" s="4"/>
      <c r="D213" s="4"/>
      <c r="E213" s="4"/>
      <c r="F213" s="4"/>
    </row>
    <row r="214" spans="1:6" x14ac:dyDescent="0.25">
      <c r="A214" s="4">
        <v>213</v>
      </c>
      <c r="B214" s="4"/>
      <c r="C214" s="4"/>
      <c r="D214" s="4"/>
      <c r="E214" s="4"/>
      <c r="F214" s="4"/>
    </row>
    <row r="215" spans="1:6" x14ac:dyDescent="0.25">
      <c r="A215" s="4">
        <v>214</v>
      </c>
      <c r="B215" s="4"/>
      <c r="C215" s="4"/>
      <c r="D215" s="4"/>
      <c r="E215" s="4"/>
      <c r="F215" s="4"/>
    </row>
    <row r="216" spans="1:6" x14ac:dyDescent="0.25">
      <c r="A216" s="4">
        <v>215</v>
      </c>
      <c r="B216" s="4"/>
      <c r="C216" s="4"/>
      <c r="D216" s="4"/>
      <c r="E216" s="4"/>
      <c r="F216" s="4"/>
    </row>
    <row r="217" spans="1:6" x14ac:dyDescent="0.25">
      <c r="A217" s="4">
        <v>216</v>
      </c>
      <c r="B217" s="4"/>
      <c r="C217" s="4"/>
      <c r="D217" s="4"/>
      <c r="E217" s="4"/>
      <c r="F217" s="4"/>
    </row>
    <row r="218" spans="1:6" x14ac:dyDescent="0.25">
      <c r="A218" s="4">
        <v>217</v>
      </c>
      <c r="B218" s="4"/>
      <c r="C218" s="4"/>
      <c r="D218" s="4"/>
      <c r="E218" s="4"/>
      <c r="F218" s="4"/>
    </row>
    <row r="219" spans="1:6" x14ac:dyDescent="0.25">
      <c r="A219" s="4">
        <v>218</v>
      </c>
      <c r="B219" s="4"/>
      <c r="C219" s="4"/>
      <c r="D219" s="4"/>
      <c r="E219" s="4"/>
      <c r="F219" s="4"/>
    </row>
    <row r="220" spans="1:6" x14ac:dyDescent="0.25">
      <c r="A220" s="4">
        <v>219</v>
      </c>
      <c r="B220" s="4"/>
      <c r="C220" s="4"/>
      <c r="D220" s="4"/>
      <c r="E220" s="4"/>
      <c r="F220" s="4"/>
    </row>
    <row r="221" spans="1:6" x14ac:dyDescent="0.25">
      <c r="A221" s="4">
        <v>220</v>
      </c>
      <c r="B221" s="4"/>
      <c r="C221" s="4"/>
      <c r="D221" s="4"/>
      <c r="E221" s="4"/>
      <c r="F221" s="4"/>
    </row>
    <row r="222" spans="1:6" x14ac:dyDescent="0.25">
      <c r="A222" s="4">
        <v>221</v>
      </c>
      <c r="B222" s="4"/>
      <c r="C222" s="4"/>
      <c r="D222" s="4"/>
      <c r="E222" s="4"/>
      <c r="F222" s="4"/>
    </row>
    <row r="223" spans="1:6" x14ac:dyDescent="0.25">
      <c r="A223" s="4">
        <v>222</v>
      </c>
      <c r="B223" s="4"/>
      <c r="C223" s="4"/>
      <c r="D223" s="4"/>
      <c r="E223" s="4"/>
      <c r="F223" s="4"/>
    </row>
    <row r="224" spans="1:6" x14ac:dyDescent="0.25">
      <c r="A224" s="4">
        <v>223</v>
      </c>
      <c r="B224" s="4"/>
      <c r="C224" s="4"/>
      <c r="D224" s="4"/>
      <c r="E224" s="4"/>
      <c r="F224" s="4"/>
    </row>
    <row r="225" spans="1:6" x14ac:dyDescent="0.25">
      <c r="A225" s="4">
        <v>224</v>
      </c>
      <c r="B225" s="4"/>
      <c r="C225" s="4"/>
      <c r="D225" s="4"/>
      <c r="E225" s="4"/>
      <c r="F225" s="4"/>
    </row>
    <row r="226" spans="1:6" x14ac:dyDescent="0.25">
      <c r="A226" s="4">
        <v>225</v>
      </c>
      <c r="B226" s="4"/>
      <c r="C226" s="4"/>
      <c r="D226" s="4"/>
      <c r="E226" s="4"/>
      <c r="F226" s="4"/>
    </row>
    <row r="227" spans="1:6" x14ac:dyDescent="0.25">
      <c r="A227" s="4">
        <v>226</v>
      </c>
      <c r="B227" s="4"/>
      <c r="C227" s="4"/>
      <c r="D227" s="4"/>
      <c r="E227" s="4"/>
      <c r="F227" s="4"/>
    </row>
    <row r="228" spans="1:6" x14ac:dyDescent="0.25">
      <c r="A228" s="4">
        <v>227</v>
      </c>
      <c r="B228" s="4"/>
      <c r="C228" s="4"/>
      <c r="D228" s="4"/>
      <c r="E228" s="4"/>
      <c r="F228" s="4"/>
    </row>
    <row r="229" spans="1:6" x14ac:dyDescent="0.25">
      <c r="A229" s="4">
        <v>228</v>
      </c>
      <c r="B229" s="4"/>
      <c r="C229" s="4"/>
      <c r="D229" s="4"/>
      <c r="E229" s="4"/>
      <c r="F229" s="4"/>
    </row>
    <row r="230" spans="1:6" x14ac:dyDescent="0.25">
      <c r="A230" s="4">
        <v>229</v>
      </c>
      <c r="B230" s="4"/>
      <c r="C230" s="4"/>
      <c r="D230" s="4"/>
      <c r="E230" s="4"/>
      <c r="F230" s="4"/>
    </row>
    <row r="231" spans="1:6" x14ac:dyDescent="0.25">
      <c r="A231" s="4">
        <v>230</v>
      </c>
      <c r="B231" s="4"/>
      <c r="C231" s="4"/>
      <c r="D231" s="4"/>
      <c r="E231" s="4"/>
      <c r="F231" s="4"/>
    </row>
    <row r="232" spans="1:6" x14ac:dyDescent="0.25">
      <c r="A232" s="4">
        <v>231</v>
      </c>
      <c r="B232" s="4"/>
      <c r="C232" s="4"/>
      <c r="D232" s="4"/>
      <c r="E232" s="4"/>
      <c r="F232" s="4"/>
    </row>
    <row r="233" spans="1:6" x14ac:dyDescent="0.25">
      <c r="A233" s="4">
        <v>232</v>
      </c>
      <c r="B233" s="4"/>
      <c r="C233" s="4"/>
      <c r="D233" s="4"/>
      <c r="E233" s="4"/>
      <c r="F233" s="4"/>
    </row>
    <row r="234" spans="1:6" x14ac:dyDescent="0.25">
      <c r="A234" s="4">
        <v>233</v>
      </c>
      <c r="B234" s="4"/>
      <c r="C234" s="4"/>
      <c r="D234" s="4"/>
      <c r="E234" s="4"/>
      <c r="F234" s="4"/>
    </row>
    <row r="235" spans="1:6" x14ac:dyDescent="0.25">
      <c r="A235" s="4">
        <v>234</v>
      </c>
      <c r="B235" s="4"/>
      <c r="C235" s="4"/>
      <c r="D235" s="4"/>
      <c r="E235" s="4"/>
      <c r="F235" s="4"/>
    </row>
    <row r="236" spans="1:6" x14ac:dyDescent="0.25">
      <c r="A236" s="4">
        <v>235</v>
      </c>
      <c r="B236" s="4"/>
      <c r="C236" s="4"/>
      <c r="D236" s="4"/>
      <c r="E236" s="4"/>
      <c r="F236" s="4"/>
    </row>
    <row r="237" spans="1:6" x14ac:dyDescent="0.25">
      <c r="A237" s="4">
        <v>236</v>
      </c>
      <c r="B237" s="4"/>
      <c r="C237" s="4"/>
      <c r="D237" s="4"/>
      <c r="E237" s="4"/>
      <c r="F237" s="4"/>
    </row>
    <row r="238" spans="1:6" x14ac:dyDescent="0.25">
      <c r="A238" s="4">
        <v>237</v>
      </c>
      <c r="B238" s="4"/>
      <c r="C238" s="4"/>
      <c r="D238" s="4"/>
      <c r="E238" s="4"/>
      <c r="F238" s="4"/>
    </row>
    <row r="239" spans="1:6" x14ac:dyDescent="0.25">
      <c r="A239" s="4">
        <v>238</v>
      </c>
      <c r="B239" s="4"/>
      <c r="C239" s="4"/>
      <c r="D239" s="4"/>
      <c r="E239" s="4"/>
      <c r="F239" s="4"/>
    </row>
    <row r="240" spans="1:6" x14ac:dyDescent="0.25">
      <c r="A240" s="4">
        <v>239</v>
      </c>
      <c r="B240" s="4"/>
      <c r="C240" s="4"/>
      <c r="D240" s="4"/>
      <c r="E240" s="4"/>
      <c r="F240" s="4"/>
    </row>
    <row r="241" spans="1:6" x14ac:dyDescent="0.25">
      <c r="A241" s="4">
        <v>240</v>
      </c>
      <c r="B241" s="4"/>
      <c r="C241" s="4"/>
      <c r="D241" s="4"/>
      <c r="E241" s="4"/>
      <c r="F241" s="4"/>
    </row>
    <row r="242" spans="1:6" x14ac:dyDescent="0.25">
      <c r="A242" s="4">
        <v>241</v>
      </c>
      <c r="B242" s="4"/>
      <c r="C242" s="4"/>
      <c r="D242" s="4"/>
      <c r="E242" s="4"/>
      <c r="F242" s="4"/>
    </row>
    <row r="243" spans="1:6" x14ac:dyDescent="0.25">
      <c r="A243" s="4">
        <v>242</v>
      </c>
      <c r="B243" s="4"/>
      <c r="C243" s="4"/>
      <c r="D243" s="4"/>
      <c r="E243" s="4"/>
      <c r="F243" s="4"/>
    </row>
    <row r="244" spans="1:6" x14ac:dyDescent="0.25">
      <c r="A244" s="4">
        <v>243</v>
      </c>
      <c r="B244" s="4"/>
      <c r="C244" s="4"/>
      <c r="D244" s="4"/>
      <c r="E244" s="4"/>
      <c r="F244" s="4"/>
    </row>
    <row r="245" spans="1:6" x14ac:dyDescent="0.25">
      <c r="A245" s="4">
        <v>244</v>
      </c>
      <c r="B245" s="4"/>
      <c r="C245" s="4"/>
      <c r="D245" s="4"/>
      <c r="E245" s="4"/>
      <c r="F245" s="4"/>
    </row>
    <row r="246" spans="1:6" x14ac:dyDescent="0.25">
      <c r="A246" s="4">
        <v>245</v>
      </c>
      <c r="B246" s="4"/>
      <c r="C246" s="4"/>
      <c r="D246" s="4"/>
      <c r="E246" s="4"/>
      <c r="F246" s="4"/>
    </row>
    <row r="247" spans="1:6" x14ac:dyDescent="0.25">
      <c r="A247" s="4">
        <v>246</v>
      </c>
      <c r="B247" s="4"/>
      <c r="C247" s="4"/>
      <c r="D247" s="4"/>
      <c r="E247" s="4"/>
      <c r="F247" s="4"/>
    </row>
    <row r="248" spans="1:6" x14ac:dyDescent="0.25">
      <c r="A248" s="4">
        <v>247</v>
      </c>
      <c r="B248" s="4"/>
      <c r="C248" s="4"/>
      <c r="D248" s="4"/>
      <c r="E248" s="4"/>
      <c r="F248" s="4"/>
    </row>
    <row r="249" spans="1:6" x14ac:dyDescent="0.25">
      <c r="A249" s="4">
        <v>248</v>
      </c>
      <c r="B249" s="4"/>
      <c r="C249" s="4"/>
      <c r="D249" s="4"/>
      <c r="E249" s="4"/>
      <c r="F249" s="4"/>
    </row>
    <row r="250" spans="1:6" x14ac:dyDescent="0.25">
      <c r="A250" s="4">
        <v>249</v>
      </c>
      <c r="B250" s="4"/>
      <c r="C250" s="4"/>
      <c r="D250" s="4"/>
      <c r="E250" s="4"/>
      <c r="F250" s="4"/>
    </row>
    <row r="251" spans="1:6" x14ac:dyDescent="0.25">
      <c r="A251" s="4">
        <v>250</v>
      </c>
      <c r="B251" s="4"/>
      <c r="C251" s="4"/>
      <c r="D251" s="4"/>
      <c r="E251" s="4"/>
      <c r="F251" s="4"/>
    </row>
    <row r="252" spans="1:6" x14ac:dyDescent="0.25">
      <c r="A252" s="4">
        <v>251</v>
      </c>
      <c r="B252" s="4"/>
      <c r="C252" s="4"/>
      <c r="D252" s="4"/>
      <c r="E252" s="4"/>
      <c r="F252" s="4"/>
    </row>
    <row r="253" spans="1:6" x14ac:dyDescent="0.25">
      <c r="A253" s="4">
        <v>252</v>
      </c>
      <c r="B253" s="4"/>
      <c r="C253" s="4"/>
      <c r="D253" s="4"/>
      <c r="E253" s="4"/>
      <c r="F253" s="4"/>
    </row>
    <row r="254" spans="1:6" x14ac:dyDescent="0.25">
      <c r="A254" s="4">
        <v>253</v>
      </c>
      <c r="B254" s="4"/>
      <c r="C254" s="4"/>
      <c r="D254" s="4"/>
      <c r="E254" s="4"/>
      <c r="F254" s="4"/>
    </row>
    <row r="255" spans="1:6" x14ac:dyDescent="0.25">
      <c r="A255" s="4">
        <v>254</v>
      </c>
      <c r="B255" s="4"/>
      <c r="C255" s="4"/>
      <c r="D255" s="4"/>
      <c r="E255" s="4"/>
      <c r="F255" s="4"/>
    </row>
    <row r="256" spans="1:6" x14ac:dyDescent="0.25">
      <c r="A256" s="4">
        <v>255</v>
      </c>
      <c r="B256" s="4"/>
      <c r="C256" s="4"/>
      <c r="D256" s="4"/>
      <c r="E256" s="4"/>
      <c r="F256" s="4"/>
    </row>
    <row r="257" spans="1:6" x14ac:dyDescent="0.25">
      <c r="A257" s="4">
        <v>256</v>
      </c>
      <c r="B257" s="4"/>
      <c r="C257" s="4"/>
      <c r="D257" s="4"/>
      <c r="E257" s="4"/>
      <c r="F257" s="4"/>
    </row>
    <row r="258" spans="1:6" x14ac:dyDescent="0.25">
      <c r="A258" s="4">
        <v>257</v>
      </c>
      <c r="B258" s="4"/>
      <c r="C258" s="4"/>
      <c r="D258" s="4"/>
      <c r="E258" s="4"/>
      <c r="F258" s="4"/>
    </row>
    <row r="259" spans="1:6" x14ac:dyDescent="0.25">
      <c r="A259" s="4">
        <v>258</v>
      </c>
      <c r="B259" s="4"/>
      <c r="C259" s="4"/>
      <c r="D259" s="4"/>
      <c r="E259" s="4"/>
      <c r="F259" s="4"/>
    </row>
    <row r="260" spans="1:6" x14ac:dyDescent="0.25">
      <c r="A260" s="4">
        <v>259</v>
      </c>
      <c r="B260" s="4"/>
      <c r="C260" s="4"/>
      <c r="D260" s="4"/>
      <c r="E260" s="4"/>
      <c r="F260" s="4"/>
    </row>
    <row r="261" spans="1:6" x14ac:dyDescent="0.25">
      <c r="A261" s="4">
        <v>260</v>
      </c>
      <c r="B261" s="4"/>
      <c r="C261" s="4"/>
      <c r="D261" s="4"/>
      <c r="E261" s="4"/>
      <c r="F261" s="4"/>
    </row>
    <row r="262" spans="1:6" x14ac:dyDescent="0.25">
      <c r="A262" s="4">
        <v>261</v>
      </c>
      <c r="B262" s="4"/>
      <c r="C262" s="4"/>
      <c r="D262" s="4"/>
      <c r="E262" s="4"/>
      <c r="F262" s="4"/>
    </row>
    <row r="263" spans="1:6" x14ac:dyDescent="0.25">
      <c r="A263" s="4">
        <v>262</v>
      </c>
      <c r="B263" s="4"/>
      <c r="C263" s="4"/>
      <c r="D263" s="4"/>
      <c r="E263" s="4"/>
      <c r="F263" s="4"/>
    </row>
    <row r="264" spans="1:6" x14ac:dyDescent="0.25">
      <c r="A264" s="4">
        <v>263</v>
      </c>
      <c r="B264" s="4"/>
      <c r="C264" s="4"/>
      <c r="D264" s="4"/>
      <c r="E264" s="4"/>
      <c r="F264" s="4"/>
    </row>
    <row r="265" spans="1:6" x14ac:dyDescent="0.25">
      <c r="A265" s="4">
        <v>264</v>
      </c>
      <c r="B265" s="4"/>
      <c r="C265" s="4"/>
      <c r="D265" s="4"/>
      <c r="E265" s="4"/>
      <c r="F265" s="4"/>
    </row>
    <row r="266" spans="1:6" x14ac:dyDescent="0.25">
      <c r="A266" s="4">
        <v>265</v>
      </c>
      <c r="B266" s="4"/>
      <c r="C266" s="4"/>
      <c r="D266" s="4"/>
      <c r="E266" s="4"/>
      <c r="F266" s="4"/>
    </row>
    <row r="267" spans="1:6" x14ac:dyDescent="0.25">
      <c r="A267" s="4">
        <v>266</v>
      </c>
      <c r="B267" s="4"/>
      <c r="C267" s="4"/>
      <c r="D267" s="4"/>
      <c r="E267" s="4"/>
      <c r="F267" s="4"/>
    </row>
    <row r="268" spans="1:6" x14ac:dyDescent="0.25">
      <c r="A268" s="4">
        <v>267</v>
      </c>
      <c r="B268" s="4"/>
      <c r="C268" s="4"/>
      <c r="D268" s="4"/>
      <c r="E268" s="4"/>
      <c r="F268" s="4"/>
    </row>
    <row r="269" spans="1:6" x14ac:dyDescent="0.25">
      <c r="A269" s="4">
        <v>268</v>
      </c>
      <c r="B269" s="4"/>
      <c r="C269" s="4"/>
      <c r="D269" s="4"/>
      <c r="E269" s="4"/>
      <c r="F269" s="4"/>
    </row>
    <row r="270" spans="1:6" x14ac:dyDescent="0.25">
      <c r="A270" s="4">
        <v>269</v>
      </c>
      <c r="B270" s="4"/>
      <c r="C270" s="4"/>
      <c r="D270" s="4"/>
      <c r="E270" s="4"/>
      <c r="F270" s="4"/>
    </row>
    <row r="271" spans="1:6" x14ac:dyDescent="0.25">
      <c r="A271" s="4">
        <v>270</v>
      </c>
      <c r="B271" s="4"/>
      <c r="C271" s="4"/>
      <c r="D271" s="4"/>
      <c r="E271" s="4"/>
      <c r="F271" s="4"/>
    </row>
    <row r="272" spans="1:6" x14ac:dyDescent="0.25">
      <c r="A272" s="4">
        <v>271</v>
      </c>
      <c r="B272" s="4"/>
      <c r="C272" s="4"/>
      <c r="D272" s="4"/>
      <c r="E272" s="4"/>
      <c r="F272" s="4"/>
    </row>
    <row r="273" spans="1:6" x14ac:dyDescent="0.25">
      <c r="A273" s="4">
        <v>272</v>
      </c>
      <c r="B273" s="4"/>
      <c r="C273" s="4"/>
      <c r="D273" s="4"/>
      <c r="E273" s="4"/>
      <c r="F273" s="4"/>
    </row>
    <row r="274" spans="1:6" x14ac:dyDescent="0.25">
      <c r="A274" s="4">
        <v>273</v>
      </c>
      <c r="B274" s="4"/>
      <c r="C274" s="4"/>
      <c r="D274" s="4"/>
      <c r="E274" s="4"/>
      <c r="F274" s="4"/>
    </row>
    <row r="275" spans="1:6" x14ac:dyDescent="0.25">
      <c r="A275" s="4">
        <v>274</v>
      </c>
      <c r="B275" s="4"/>
      <c r="C275" s="4"/>
      <c r="D275" s="4"/>
      <c r="E275" s="4"/>
      <c r="F275" s="4"/>
    </row>
    <row r="276" spans="1:6" x14ac:dyDescent="0.25">
      <c r="A276" s="4">
        <v>275</v>
      </c>
      <c r="B276" s="4"/>
      <c r="C276" s="4"/>
      <c r="D276" s="4"/>
      <c r="E276" s="4"/>
      <c r="F276" s="4"/>
    </row>
    <row r="277" spans="1:6" x14ac:dyDescent="0.25">
      <c r="A277" s="4">
        <v>276</v>
      </c>
      <c r="B277" s="4"/>
      <c r="C277" s="4"/>
      <c r="D277" s="4"/>
      <c r="E277" s="4"/>
      <c r="F277" s="4"/>
    </row>
    <row r="278" spans="1:6" x14ac:dyDescent="0.25">
      <c r="A278" s="4">
        <v>277</v>
      </c>
      <c r="B278" s="4"/>
      <c r="C278" s="4"/>
      <c r="D278" s="4"/>
      <c r="E278" s="4"/>
      <c r="F278" s="4"/>
    </row>
    <row r="279" spans="1:6" x14ac:dyDescent="0.25">
      <c r="A279" s="4">
        <v>278</v>
      </c>
      <c r="B279" s="4"/>
      <c r="C279" s="4"/>
      <c r="D279" s="4"/>
      <c r="E279" s="4"/>
      <c r="F279" s="4"/>
    </row>
    <row r="280" spans="1:6" x14ac:dyDescent="0.25">
      <c r="A280" s="4">
        <v>279</v>
      </c>
      <c r="B280" s="4"/>
      <c r="C280" s="4"/>
      <c r="D280" s="4"/>
      <c r="E280" s="4"/>
      <c r="F280" s="4"/>
    </row>
    <row r="281" spans="1:6" x14ac:dyDescent="0.25">
      <c r="A281" s="4">
        <v>280</v>
      </c>
      <c r="B281" s="4"/>
      <c r="C281" s="4"/>
      <c r="D281" s="4"/>
      <c r="E281" s="4"/>
      <c r="F281" s="4"/>
    </row>
    <row r="282" spans="1:6" x14ac:dyDescent="0.25">
      <c r="A282" s="4">
        <v>281</v>
      </c>
      <c r="B282" s="4"/>
      <c r="C282" s="4"/>
      <c r="D282" s="4"/>
      <c r="E282" s="4"/>
      <c r="F282" s="4"/>
    </row>
    <row r="283" spans="1:6" x14ac:dyDescent="0.25">
      <c r="A283" s="4">
        <v>282</v>
      </c>
      <c r="B283" s="4"/>
      <c r="C283" s="4"/>
      <c r="D283" s="4"/>
      <c r="E283" s="4"/>
      <c r="F283" s="4"/>
    </row>
    <row r="284" spans="1:6" x14ac:dyDescent="0.25">
      <c r="A284" s="4">
        <v>283</v>
      </c>
      <c r="B284" s="4"/>
      <c r="C284" s="4"/>
      <c r="D284" s="4"/>
      <c r="E284" s="4"/>
      <c r="F284" s="4"/>
    </row>
    <row r="285" spans="1:6" x14ac:dyDescent="0.25">
      <c r="A285" s="4">
        <v>284</v>
      </c>
      <c r="B285" s="4"/>
      <c r="C285" s="4"/>
      <c r="D285" s="4"/>
      <c r="E285" s="4"/>
      <c r="F285" s="4"/>
    </row>
    <row r="286" spans="1:6" x14ac:dyDescent="0.25">
      <c r="A286" s="4">
        <v>285</v>
      </c>
      <c r="B286" s="4"/>
      <c r="C286" s="4"/>
      <c r="D286" s="4"/>
      <c r="E286" s="4"/>
      <c r="F286" s="4"/>
    </row>
    <row r="287" spans="1:6" x14ac:dyDescent="0.25">
      <c r="A287" s="4">
        <v>286</v>
      </c>
      <c r="B287" s="4"/>
      <c r="C287" s="4"/>
      <c r="D287" s="4"/>
      <c r="E287" s="4"/>
      <c r="F287" s="4"/>
    </row>
    <row r="288" spans="1:6" x14ac:dyDescent="0.25">
      <c r="A288" s="4">
        <v>287</v>
      </c>
      <c r="B288" s="4"/>
      <c r="C288" s="4"/>
      <c r="D288" s="4"/>
      <c r="E288" s="4"/>
      <c r="F288" s="4"/>
    </row>
    <row r="289" spans="1:6" x14ac:dyDescent="0.25">
      <c r="A289" s="4">
        <v>288</v>
      </c>
      <c r="B289" s="4"/>
      <c r="C289" s="4"/>
      <c r="D289" s="4"/>
      <c r="E289" s="4"/>
      <c r="F289" s="4"/>
    </row>
    <row r="290" spans="1:6" x14ac:dyDescent="0.25">
      <c r="A290" s="4">
        <v>289</v>
      </c>
      <c r="B290" s="4"/>
      <c r="C290" s="4"/>
      <c r="D290" s="4"/>
      <c r="E290" s="4"/>
      <c r="F290" s="4"/>
    </row>
    <row r="291" spans="1:6" x14ac:dyDescent="0.25">
      <c r="A291" s="4">
        <v>290</v>
      </c>
      <c r="B291" s="4"/>
      <c r="C291" s="4"/>
      <c r="D291" s="4"/>
      <c r="E291" s="4"/>
      <c r="F291" s="4"/>
    </row>
    <row r="292" spans="1:6" x14ac:dyDescent="0.25">
      <c r="A292" s="4">
        <v>291</v>
      </c>
      <c r="B292" s="4"/>
      <c r="C292" s="4"/>
      <c r="D292" s="4"/>
      <c r="E292" s="4"/>
      <c r="F292" s="4"/>
    </row>
    <row r="293" spans="1:6" x14ac:dyDescent="0.25">
      <c r="A293" s="4">
        <v>292</v>
      </c>
      <c r="B293" s="4"/>
      <c r="C293" s="4"/>
      <c r="D293" s="4"/>
      <c r="E293" s="4"/>
      <c r="F293" s="4"/>
    </row>
    <row r="294" spans="1:6" x14ac:dyDescent="0.25">
      <c r="A294" s="4">
        <v>293</v>
      </c>
      <c r="B294" s="4"/>
      <c r="C294" s="4"/>
      <c r="D294" s="4"/>
      <c r="E294" s="4"/>
      <c r="F294" s="4"/>
    </row>
    <row r="295" spans="1:6" x14ac:dyDescent="0.25">
      <c r="A295" s="4">
        <v>294</v>
      </c>
      <c r="B295" s="4"/>
      <c r="C295" s="4"/>
      <c r="D295" s="4"/>
      <c r="E295" s="4"/>
      <c r="F295" s="4"/>
    </row>
    <row r="296" spans="1:6" x14ac:dyDescent="0.25">
      <c r="A296" s="4">
        <v>295</v>
      </c>
      <c r="B296" s="4"/>
      <c r="C296" s="4"/>
      <c r="D296" s="4"/>
      <c r="E296" s="4"/>
      <c r="F296" s="4"/>
    </row>
    <row r="297" spans="1:6" x14ac:dyDescent="0.25">
      <c r="A297" s="4">
        <v>296</v>
      </c>
      <c r="B297" s="4"/>
      <c r="C297" s="4"/>
      <c r="D297" s="4"/>
      <c r="E297" s="4"/>
      <c r="F297" s="4"/>
    </row>
    <row r="298" spans="1:6" x14ac:dyDescent="0.25">
      <c r="A298" s="4">
        <v>297</v>
      </c>
      <c r="B298" s="4"/>
      <c r="C298" s="4"/>
      <c r="D298" s="4"/>
      <c r="E298" s="4"/>
      <c r="F298" s="4"/>
    </row>
    <row r="299" spans="1:6" x14ac:dyDescent="0.25">
      <c r="A299" s="4">
        <v>298</v>
      </c>
      <c r="B299" s="4"/>
      <c r="C299" s="4"/>
      <c r="D299" s="4"/>
      <c r="E299" s="4"/>
      <c r="F299" s="4"/>
    </row>
    <row r="300" spans="1:6" x14ac:dyDescent="0.25">
      <c r="A300" s="4">
        <v>299</v>
      </c>
      <c r="B300" s="4"/>
      <c r="C300" s="4"/>
      <c r="D300" s="4"/>
      <c r="E300" s="4"/>
      <c r="F300" s="4"/>
    </row>
    <row r="301" spans="1:6" x14ac:dyDescent="0.25">
      <c r="A301" s="4">
        <v>300</v>
      </c>
      <c r="B301" s="4"/>
      <c r="C301" s="4"/>
      <c r="D301" s="4"/>
      <c r="E301" s="4"/>
      <c r="F301" s="4"/>
    </row>
    <row r="302" spans="1:6" x14ac:dyDescent="0.25">
      <c r="A302" s="4">
        <v>301</v>
      </c>
      <c r="B302" s="4"/>
      <c r="C302" s="4"/>
      <c r="D302" s="4"/>
      <c r="E302" s="4"/>
      <c r="F302" s="4"/>
    </row>
    <row r="303" spans="1:6" x14ac:dyDescent="0.25">
      <c r="A303" s="4">
        <v>302</v>
      </c>
      <c r="B303" s="4"/>
      <c r="C303" s="4"/>
      <c r="D303" s="4"/>
      <c r="E303" s="4"/>
      <c r="F303" s="4"/>
    </row>
    <row r="304" spans="1:6" x14ac:dyDescent="0.25">
      <c r="A304" s="4">
        <v>303</v>
      </c>
      <c r="B304" s="4"/>
      <c r="C304" s="4"/>
      <c r="D304" s="4"/>
      <c r="E304" s="4"/>
      <c r="F304" s="4"/>
    </row>
    <row r="305" spans="1:6" x14ac:dyDescent="0.25">
      <c r="A305" s="4">
        <v>304</v>
      </c>
      <c r="B305" s="4"/>
      <c r="C305" s="4"/>
      <c r="D305" s="4"/>
      <c r="E305" s="4"/>
      <c r="F305" s="4"/>
    </row>
    <row r="306" spans="1:6" x14ac:dyDescent="0.25">
      <c r="A306" s="4">
        <v>305</v>
      </c>
      <c r="B306" s="4"/>
      <c r="C306" s="4"/>
      <c r="D306" s="4"/>
      <c r="E306" s="4"/>
      <c r="F306" s="4"/>
    </row>
    <row r="307" spans="1:6" x14ac:dyDescent="0.25">
      <c r="A307" s="4">
        <v>306</v>
      </c>
      <c r="B307" s="4"/>
      <c r="C307" s="4"/>
      <c r="D307" s="4"/>
      <c r="E307" s="4"/>
      <c r="F307" s="4"/>
    </row>
    <row r="308" spans="1:6" x14ac:dyDescent="0.25">
      <c r="A308" s="4">
        <v>307</v>
      </c>
      <c r="B308" s="4"/>
      <c r="C308" s="4"/>
      <c r="D308" s="4"/>
      <c r="E308" s="4"/>
      <c r="F308" s="4"/>
    </row>
    <row r="309" spans="1:6" x14ac:dyDescent="0.25">
      <c r="A309" s="4">
        <v>308</v>
      </c>
      <c r="B309" s="4"/>
      <c r="C309" s="4"/>
      <c r="D309" s="4"/>
      <c r="E309" s="4"/>
      <c r="F309" s="4"/>
    </row>
    <row r="310" spans="1:6" x14ac:dyDescent="0.25">
      <c r="A310" s="4">
        <v>309</v>
      </c>
      <c r="B310" s="4"/>
      <c r="C310" s="4"/>
      <c r="D310" s="4"/>
      <c r="E310" s="4"/>
      <c r="F310" s="4"/>
    </row>
    <row r="311" spans="1:6" x14ac:dyDescent="0.25">
      <c r="A311" s="4">
        <v>310</v>
      </c>
      <c r="B311" s="4"/>
      <c r="C311" s="4"/>
      <c r="D311" s="4"/>
      <c r="E311" s="4"/>
      <c r="F311" s="4"/>
    </row>
    <row r="312" spans="1:6" x14ac:dyDescent="0.25">
      <c r="A312" s="4">
        <v>311</v>
      </c>
      <c r="B312" s="4"/>
      <c r="C312" s="4"/>
      <c r="D312" s="4"/>
      <c r="E312" s="4"/>
      <c r="F312" s="4"/>
    </row>
    <row r="313" spans="1:6" x14ac:dyDescent="0.25">
      <c r="A313" s="4">
        <v>312</v>
      </c>
      <c r="B313" s="4"/>
      <c r="C313" s="4"/>
      <c r="D313" s="4"/>
      <c r="E313" s="4"/>
      <c r="F313" s="4"/>
    </row>
    <row r="314" spans="1:6" x14ac:dyDescent="0.25">
      <c r="A314" s="4">
        <v>313</v>
      </c>
      <c r="B314" s="4"/>
      <c r="C314" s="4"/>
      <c r="D314" s="4"/>
      <c r="E314" s="4"/>
      <c r="F314" s="4"/>
    </row>
    <row r="315" spans="1:6" x14ac:dyDescent="0.25">
      <c r="A315" s="4">
        <v>314</v>
      </c>
      <c r="B315" s="4"/>
      <c r="C315" s="4"/>
      <c r="D315" s="4"/>
      <c r="E315" s="4"/>
      <c r="F315" s="4"/>
    </row>
    <row r="316" spans="1:6" x14ac:dyDescent="0.25">
      <c r="A316" s="4">
        <v>315</v>
      </c>
      <c r="B316" s="4"/>
      <c r="C316" s="4"/>
      <c r="D316" s="4"/>
      <c r="E316" s="4"/>
      <c r="F316" s="4"/>
    </row>
    <row r="317" spans="1:6" x14ac:dyDescent="0.25">
      <c r="A317" s="4">
        <v>316</v>
      </c>
      <c r="B317" s="4"/>
      <c r="C317" s="4"/>
      <c r="D317" s="4"/>
      <c r="E317" s="4"/>
      <c r="F317" s="4"/>
    </row>
    <row r="318" spans="1:6" x14ac:dyDescent="0.25">
      <c r="A318" s="4">
        <v>317</v>
      </c>
      <c r="B318" s="4"/>
      <c r="C318" s="4"/>
      <c r="D318" s="4"/>
      <c r="E318" s="4"/>
      <c r="F318" s="4"/>
    </row>
    <row r="319" spans="1:6" x14ac:dyDescent="0.25">
      <c r="A319" s="4">
        <v>318</v>
      </c>
      <c r="B319" s="4"/>
      <c r="C319" s="4"/>
      <c r="D319" s="4"/>
      <c r="E319" s="4"/>
      <c r="F319" s="4"/>
    </row>
    <row r="320" spans="1:6" x14ac:dyDescent="0.25">
      <c r="A320" s="4">
        <v>319</v>
      </c>
      <c r="B320" s="4"/>
      <c r="C320" s="4"/>
      <c r="D320" s="4"/>
      <c r="E320" s="4"/>
      <c r="F320" s="4"/>
    </row>
    <row r="321" spans="1:6" x14ac:dyDescent="0.25">
      <c r="A321" s="4">
        <v>320</v>
      </c>
      <c r="B321" s="4"/>
      <c r="C321" s="4"/>
      <c r="D321" s="4"/>
      <c r="E321" s="4"/>
      <c r="F321" s="4"/>
    </row>
    <row r="322" spans="1:6" x14ac:dyDescent="0.25">
      <c r="A322" s="4">
        <v>321</v>
      </c>
      <c r="B322" s="4"/>
      <c r="C322" s="4"/>
      <c r="D322" s="4"/>
      <c r="E322" s="4"/>
      <c r="F322" s="4"/>
    </row>
    <row r="323" spans="1:6" x14ac:dyDescent="0.25">
      <c r="A323" s="4">
        <v>322</v>
      </c>
      <c r="B323" s="4"/>
      <c r="C323" s="4"/>
      <c r="D323" s="4"/>
      <c r="E323" s="4"/>
      <c r="F323" s="4"/>
    </row>
    <row r="324" spans="1:6" x14ac:dyDescent="0.25">
      <c r="A324" s="4">
        <v>323</v>
      </c>
      <c r="B324" s="4"/>
      <c r="C324" s="4"/>
      <c r="D324" s="4"/>
      <c r="E324" s="4"/>
      <c r="F324" s="4"/>
    </row>
    <row r="325" spans="1:6" x14ac:dyDescent="0.25">
      <c r="A325" s="4">
        <v>324</v>
      </c>
      <c r="B325" s="4"/>
      <c r="C325" s="4"/>
      <c r="D325" s="4"/>
      <c r="E325" s="4"/>
      <c r="F325" s="4"/>
    </row>
    <row r="326" spans="1:6" x14ac:dyDescent="0.25">
      <c r="A326" s="4">
        <v>325</v>
      </c>
      <c r="B326" s="4"/>
      <c r="C326" s="4"/>
      <c r="D326" s="4"/>
      <c r="E326" s="4"/>
      <c r="F326" s="4"/>
    </row>
    <row r="327" spans="1:6" x14ac:dyDescent="0.25">
      <c r="A327" s="4">
        <v>326</v>
      </c>
      <c r="B327" s="4"/>
      <c r="C327" s="4"/>
      <c r="D327" s="4"/>
      <c r="E327" s="4"/>
      <c r="F327" s="4"/>
    </row>
    <row r="328" spans="1:6" x14ac:dyDescent="0.25">
      <c r="A328" s="4">
        <v>327</v>
      </c>
      <c r="B328" s="4"/>
      <c r="C328" s="4"/>
      <c r="D328" s="4"/>
      <c r="E328" s="4"/>
      <c r="F328" s="4"/>
    </row>
    <row r="329" spans="1:6" x14ac:dyDescent="0.25">
      <c r="A329" s="4">
        <v>328</v>
      </c>
      <c r="B329" s="4"/>
      <c r="C329" s="4"/>
      <c r="D329" s="4"/>
      <c r="E329" s="4"/>
      <c r="F329" s="4"/>
    </row>
    <row r="330" spans="1:6" x14ac:dyDescent="0.25">
      <c r="A330" s="4">
        <v>329</v>
      </c>
      <c r="B330" s="4"/>
      <c r="C330" s="4"/>
      <c r="D330" s="4"/>
      <c r="E330" s="4"/>
      <c r="F330" s="4"/>
    </row>
    <row r="331" spans="1:6" x14ac:dyDescent="0.25">
      <c r="A331" s="4">
        <v>330</v>
      </c>
      <c r="B331" s="4"/>
      <c r="C331" s="4"/>
      <c r="D331" s="4"/>
      <c r="E331" s="4"/>
      <c r="F331" s="4"/>
    </row>
    <row r="332" spans="1:6" x14ac:dyDescent="0.25">
      <c r="A332" s="4">
        <v>331</v>
      </c>
      <c r="B332" s="4"/>
      <c r="C332" s="4"/>
      <c r="D332" s="4"/>
      <c r="E332" s="4"/>
      <c r="F332" s="4"/>
    </row>
    <row r="333" spans="1:6" x14ac:dyDescent="0.25">
      <c r="A333" s="4">
        <v>332</v>
      </c>
      <c r="B333" s="4"/>
      <c r="C333" s="4"/>
      <c r="D333" s="4"/>
      <c r="E333" s="4"/>
      <c r="F333" s="4"/>
    </row>
    <row r="334" spans="1:6" x14ac:dyDescent="0.25">
      <c r="A334" s="4">
        <v>333</v>
      </c>
      <c r="B334" s="4"/>
      <c r="C334" s="4"/>
      <c r="D334" s="4"/>
      <c r="E334" s="4"/>
      <c r="F334" s="4"/>
    </row>
    <row r="335" spans="1:6" x14ac:dyDescent="0.25">
      <c r="A335" s="4">
        <v>334</v>
      </c>
      <c r="B335" s="4"/>
      <c r="C335" s="4"/>
      <c r="D335" s="4"/>
      <c r="E335" s="4"/>
      <c r="F335" s="4"/>
    </row>
    <row r="336" spans="1:6" x14ac:dyDescent="0.25">
      <c r="A336" s="4">
        <v>335</v>
      </c>
      <c r="B336" s="4"/>
      <c r="C336" s="4"/>
      <c r="D336" s="4"/>
      <c r="E336" s="4"/>
      <c r="F336" s="4"/>
    </row>
    <row r="337" spans="1:6" x14ac:dyDescent="0.25">
      <c r="A337" s="4">
        <v>336</v>
      </c>
      <c r="B337" s="4"/>
      <c r="C337" s="4"/>
      <c r="D337" s="4"/>
      <c r="E337" s="4"/>
      <c r="F337" s="4"/>
    </row>
    <row r="338" spans="1:6" x14ac:dyDescent="0.25">
      <c r="A338" s="4">
        <v>337</v>
      </c>
      <c r="B338" s="4"/>
      <c r="C338" s="4"/>
      <c r="D338" s="4"/>
      <c r="E338" s="4"/>
      <c r="F338" s="4"/>
    </row>
    <row r="339" spans="1:6" x14ac:dyDescent="0.25">
      <c r="A339" s="4">
        <v>338</v>
      </c>
      <c r="B339" s="4"/>
      <c r="C339" s="4"/>
      <c r="D339" s="4"/>
      <c r="E339" s="4"/>
      <c r="F339" s="4"/>
    </row>
    <row r="340" spans="1:6" x14ac:dyDescent="0.25">
      <c r="A340" s="4">
        <v>339</v>
      </c>
      <c r="B340" s="4"/>
      <c r="C340" s="4"/>
      <c r="D340" s="4"/>
      <c r="E340" s="4"/>
      <c r="F340" s="4"/>
    </row>
    <row r="341" spans="1:6" x14ac:dyDescent="0.25">
      <c r="A341" s="4">
        <v>340</v>
      </c>
      <c r="B341" s="4"/>
      <c r="C341" s="4"/>
      <c r="D341" s="4"/>
      <c r="E341" s="4"/>
      <c r="F341" s="4"/>
    </row>
    <row r="342" spans="1:6" x14ac:dyDescent="0.25">
      <c r="A342" s="4">
        <v>341</v>
      </c>
      <c r="B342" s="4"/>
      <c r="C342" s="4"/>
      <c r="D342" s="4"/>
      <c r="E342" s="4"/>
      <c r="F342" s="4"/>
    </row>
    <row r="343" spans="1:6" x14ac:dyDescent="0.25">
      <c r="A343" s="4">
        <v>342</v>
      </c>
      <c r="B343" s="4"/>
      <c r="C343" s="4"/>
      <c r="D343" s="4"/>
      <c r="E343" s="4"/>
      <c r="F343" s="4"/>
    </row>
    <row r="344" spans="1:6" x14ac:dyDescent="0.25">
      <c r="A344" s="4">
        <v>343</v>
      </c>
      <c r="B344" s="4"/>
      <c r="C344" s="4"/>
      <c r="D344" s="4"/>
      <c r="E344" s="4"/>
      <c r="F344" s="4"/>
    </row>
    <row r="345" spans="1:6" x14ac:dyDescent="0.25">
      <c r="A345" s="4">
        <v>344</v>
      </c>
      <c r="B345" s="4"/>
      <c r="C345" s="4"/>
      <c r="D345" s="4"/>
      <c r="E345" s="4"/>
      <c r="F345" s="4"/>
    </row>
    <row r="346" spans="1:6" x14ac:dyDescent="0.25">
      <c r="A346" s="4">
        <v>345</v>
      </c>
      <c r="B346" s="4"/>
      <c r="C346" s="4"/>
      <c r="D346" s="4"/>
      <c r="E346" s="4"/>
      <c r="F346" s="4"/>
    </row>
    <row r="347" spans="1:6" x14ac:dyDescent="0.25">
      <c r="A347" s="4">
        <v>346</v>
      </c>
      <c r="B347" s="4"/>
      <c r="C347" s="4"/>
      <c r="D347" s="4"/>
      <c r="E347" s="4"/>
      <c r="F347" s="4"/>
    </row>
    <row r="348" spans="1:6" x14ac:dyDescent="0.25">
      <c r="A348" s="4">
        <v>347</v>
      </c>
      <c r="B348" s="4"/>
      <c r="C348" s="4"/>
      <c r="D348" s="4"/>
      <c r="E348" s="4"/>
      <c r="F348" s="4"/>
    </row>
    <row r="349" spans="1:6" x14ac:dyDescent="0.25">
      <c r="A349" s="4">
        <v>348</v>
      </c>
      <c r="B349" s="4"/>
      <c r="C349" s="4"/>
      <c r="D349" s="4"/>
      <c r="E349" s="4"/>
      <c r="F349" s="4"/>
    </row>
    <row r="350" spans="1:6" x14ac:dyDescent="0.25">
      <c r="A350" s="4">
        <v>349</v>
      </c>
      <c r="B350" s="4"/>
      <c r="C350" s="4"/>
      <c r="D350" s="4"/>
      <c r="E350" s="4"/>
      <c r="F350" s="4"/>
    </row>
    <row r="351" spans="1:6" x14ac:dyDescent="0.25">
      <c r="A351" s="4">
        <v>350</v>
      </c>
      <c r="B351" s="4"/>
      <c r="C351" s="4"/>
      <c r="D351" s="4"/>
      <c r="E351" s="4"/>
      <c r="F351" s="4"/>
    </row>
    <row r="352" spans="1:6" x14ac:dyDescent="0.25">
      <c r="A352" s="4">
        <v>351</v>
      </c>
      <c r="B352" s="4"/>
      <c r="C352" s="4"/>
      <c r="D352" s="4"/>
      <c r="E352" s="4"/>
      <c r="F352" s="4"/>
    </row>
    <row r="353" spans="1:6" x14ac:dyDescent="0.25">
      <c r="A353" s="4">
        <v>352</v>
      </c>
      <c r="B353" s="4"/>
      <c r="C353" s="4"/>
      <c r="D353" s="4"/>
      <c r="E353" s="4"/>
      <c r="F353" s="4"/>
    </row>
    <row r="354" spans="1:6" x14ac:dyDescent="0.25">
      <c r="A354" s="4">
        <v>353</v>
      </c>
      <c r="B354" s="4"/>
      <c r="C354" s="4"/>
      <c r="D354" s="4"/>
      <c r="E354" s="4"/>
      <c r="F354" s="4"/>
    </row>
    <row r="355" spans="1:6" x14ac:dyDescent="0.25">
      <c r="A355" s="4">
        <v>354</v>
      </c>
      <c r="B355" s="4"/>
      <c r="C355" s="4"/>
      <c r="D355" s="4"/>
      <c r="E355" s="4"/>
      <c r="F355" s="4"/>
    </row>
    <row r="356" spans="1:6" x14ac:dyDescent="0.25">
      <c r="A356" s="4">
        <v>355</v>
      </c>
      <c r="B356" s="4"/>
      <c r="C356" s="4"/>
      <c r="D356" s="4"/>
      <c r="E356" s="4"/>
      <c r="F356" s="4"/>
    </row>
    <row r="357" spans="1:6" x14ac:dyDescent="0.25">
      <c r="A357" s="4">
        <v>356</v>
      </c>
      <c r="B357" s="4"/>
      <c r="C357" s="4"/>
      <c r="D357" s="4"/>
      <c r="E357" s="4"/>
      <c r="F357" s="4"/>
    </row>
    <row r="358" spans="1:6" x14ac:dyDescent="0.25">
      <c r="A358" s="4">
        <v>357</v>
      </c>
      <c r="B358" s="4"/>
      <c r="C358" s="4"/>
      <c r="D358" s="4"/>
      <c r="E358" s="4"/>
      <c r="F358" s="4"/>
    </row>
    <row r="359" spans="1:6" x14ac:dyDescent="0.25">
      <c r="A359" s="4">
        <v>358</v>
      </c>
      <c r="B359" s="4"/>
      <c r="C359" s="4"/>
      <c r="D359" s="4"/>
      <c r="E359" s="4"/>
      <c r="F359" s="4"/>
    </row>
    <row r="360" spans="1:6" x14ac:dyDescent="0.25">
      <c r="A360" s="4">
        <v>359</v>
      </c>
      <c r="B360" s="4"/>
      <c r="C360" s="4"/>
      <c r="D360" s="4"/>
      <c r="E360" s="4"/>
      <c r="F360" s="4"/>
    </row>
    <row r="361" spans="1:6" x14ac:dyDescent="0.25">
      <c r="A361" s="4">
        <v>360</v>
      </c>
      <c r="B361" s="4"/>
      <c r="C361" s="4"/>
      <c r="D361" s="4"/>
      <c r="E361" s="4"/>
      <c r="F361" s="4"/>
    </row>
    <row r="362" spans="1:6" x14ac:dyDescent="0.25">
      <c r="A362" s="4">
        <v>361</v>
      </c>
      <c r="B362" s="4"/>
      <c r="C362" s="4"/>
      <c r="D362" s="4"/>
      <c r="E362" s="4"/>
      <c r="F362" s="4"/>
    </row>
    <row r="363" spans="1:6" x14ac:dyDescent="0.25">
      <c r="A363" s="4">
        <v>362</v>
      </c>
      <c r="B363" s="4"/>
      <c r="C363" s="4"/>
      <c r="D363" s="4"/>
      <c r="E363" s="4"/>
      <c r="F363" s="4"/>
    </row>
    <row r="364" spans="1:6" x14ac:dyDescent="0.25">
      <c r="A364" s="4">
        <v>363</v>
      </c>
      <c r="B364" s="4"/>
      <c r="C364" s="4"/>
      <c r="D364" s="4"/>
      <c r="E364" s="4"/>
      <c r="F364" s="4"/>
    </row>
    <row r="365" spans="1:6" x14ac:dyDescent="0.25">
      <c r="A365" s="4">
        <v>364</v>
      </c>
      <c r="B365" s="4"/>
      <c r="C365" s="4"/>
      <c r="D365" s="4"/>
      <c r="E365" s="4"/>
      <c r="F365" s="4"/>
    </row>
    <row r="366" spans="1:6" x14ac:dyDescent="0.25">
      <c r="A366" s="4">
        <v>365</v>
      </c>
      <c r="B366" s="4"/>
      <c r="C366" s="4"/>
      <c r="D366" s="4"/>
      <c r="E366" s="4"/>
      <c r="F366" s="4"/>
    </row>
    <row r="367" spans="1:6" x14ac:dyDescent="0.25">
      <c r="A367" s="4">
        <v>366</v>
      </c>
      <c r="B367" s="4"/>
      <c r="C367" s="4"/>
      <c r="D367" s="4"/>
      <c r="E367" s="4"/>
      <c r="F367" s="4"/>
    </row>
    <row r="368" spans="1:6" x14ac:dyDescent="0.25">
      <c r="A368" s="4">
        <v>367</v>
      </c>
      <c r="B368" s="4"/>
      <c r="C368" s="4"/>
      <c r="D368" s="4"/>
      <c r="E368" s="4"/>
      <c r="F368" s="4"/>
    </row>
    <row r="369" spans="1:6" x14ac:dyDescent="0.25">
      <c r="A369" s="4">
        <v>368</v>
      </c>
      <c r="B369" s="4"/>
      <c r="C369" s="4"/>
      <c r="D369" s="4"/>
      <c r="E369" s="4"/>
      <c r="F369" s="4"/>
    </row>
    <row r="370" spans="1:6" x14ac:dyDescent="0.25">
      <c r="A370" s="4">
        <v>369</v>
      </c>
      <c r="B370" s="4"/>
      <c r="C370" s="4"/>
      <c r="D370" s="4"/>
      <c r="E370" s="4"/>
      <c r="F370" s="4"/>
    </row>
    <row r="371" spans="1:6" x14ac:dyDescent="0.25">
      <c r="A371" s="4">
        <v>370</v>
      </c>
      <c r="B371" s="4"/>
      <c r="C371" s="4"/>
      <c r="D371" s="4"/>
      <c r="E371" s="4"/>
      <c r="F371" s="4"/>
    </row>
    <row r="372" spans="1:6" x14ac:dyDescent="0.25">
      <c r="A372" s="4">
        <v>371</v>
      </c>
      <c r="B372" s="4"/>
      <c r="C372" s="4"/>
      <c r="D372" s="4"/>
      <c r="E372" s="4"/>
      <c r="F372" s="4"/>
    </row>
    <row r="373" spans="1:6" x14ac:dyDescent="0.25">
      <c r="A373" s="4">
        <v>372</v>
      </c>
      <c r="B373" s="4"/>
      <c r="C373" s="4"/>
      <c r="D373" s="4"/>
      <c r="E373" s="4"/>
      <c r="F373" s="4"/>
    </row>
    <row r="374" spans="1:6" x14ac:dyDescent="0.25">
      <c r="A374" s="4">
        <v>373</v>
      </c>
      <c r="B374" s="4"/>
      <c r="C374" s="4"/>
      <c r="D374" s="4"/>
      <c r="E374" s="4"/>
      <c r="F374" s="4"/>
    </row>
    <row r="375" spans="1:6" x14ac:dyDescent="0.25">
      <c r="A375" s="4">
        <v>374</v>
      </c>
      <c r="B375" s="4"/>
      <c r="C375" s="4"/>
      <c r="D375" s="4"/>
      <c r="E375" s="4"/>
      <c r="F375" s="4"/>
    </row>
    <row r="376" spans="1:6" x14ac:dyDescent="0.25">
      <c r="A376" s="4">
        <v>375</v>
      </c>
      <c r="B376" s="4"/>
      <c r="C376" s="4"/>
      <c r="D376" s="4"/>
      <c r="E376" s="4"/>
      <c r="F376" s="4"/>
    </row>
    <row r="377" spans="1:6" x14ac:dyDescent="0.25">
      <c r="A377" s="4">
        <v>376</v>
      </c>
      <c r="B377" s="4"/>
      <c r="C377" s="4"/>
      <c r="D377" s="4"/>
      <c r="E377" s="4"/>
      <c r="F377" s="4"/>
    </row>
    <row r="378" spans="1:6" x14ac:dyDescent="0.25">
      <c r="A378" s="4">
        <v>377</v>
      </c>
      <c r="B378" s="4"/>
      <c r="C378" s="4"/>
      <c r="D378" s="4"/>
      <c r="E378" s="4"/>
      <c r="F378" s="4"/>
    </row>
    <row r="379" spans="1:6" x14ac:dyDescent="0.25">
      <c r="A379" s="4">
        <v>378</v>
      </c>
      <c r="B379" s="4"/>
      <c r="C379" s="4"/>
      <c r="D379" s="4"/>
      <c r="E379" s="4"/>
      <c r="F379" s="4"/>
    </row>
    <row r="380" spans="1:6" x14ac:dyDescent="0.25">
      <c r="A380" s="4">
        <v>379</v>
      </c>
      <c r="B380" s="4"/>
      <c r="C380" s="4"/>
      <c r="D380" s="4"/>
      <c r="E380" s="4"/>
      <c r="F380" s="4"/>
    </row>
    <row r="381" spans="1:6" x14ac:dyDescent="0.25">
      <c r="A381" s="4">
        <v>380</v>
      </c>
      <c r="B381" s="4"/>
      <c r="C381" s="4"/>
      <c r="D381" s="4"/>
      <c r="E381" s="4"/>
      <c r="F381" s="4"/>
    </row>
    <row r="382" spans="1:6" x14ac:dyDescent="0.25">
      <c r="A382" s="4">
        <v>381</v>
      </c>
      <c r="B382" s="4"/>
      <c r="C382" s="4"/>
      <c r="D382" s="4"/>
      <c r="E382" s="4"/>
      <c r="F382" s="4"/>
    </row>
    <row r="383" spans="1:6" x14ac:dyDescent="0.25">
      <c r="A383" s="4">
        <v>382</v>
      </c>
      <c r="B383" s="4"/>
      <c r="C383" s="4"/>
      <c r="D383" s="4"/>
      <c r="E383" s="4"/>
      <c r="F383" s="4"/>
    </row>
    <row r="384" spans="1:6" x14ac:dyDescent="0.25">
      <c r="A384" s="4">
        <v>383</v>
      </c>
      <c r="B384" s="4"/>
      <c r="C384" s="4"/>
      <c r="D384" s="4"/>
      <c r="E384" s="4"/>
      <c r="F384" s="4"/>
    </row>
    <row r="385" spans="1:6" x14ac:dyDescent="0.25">
      <c r="A385" s="4">
        <v>384</v>
      </c>
      <c r="B385" s="4"/>
      <c r="C385" s="4"/>
      <c r="D385" s="4"/>
      <c r="E385" s="4"/>
      <c r="F385" s="4"/>
    </row>
    <row r="386" spans="1:6" x14ac:dyDescent="0.25">
      <c r="A386" s="4">
        <v>385</v>
      </c>
      <c r="B386" s="4"/>
      <c r="C386" s="4"/>
      <c r="D386" s="4"/>
      <c r="E386" s="4"/>
      <c r="F386" s="4"/>
    </row>
    <row r="387" spans="1:6" x14ac:dyDescent="0.25">
      <c r="A387" s="4">
        <v>386</v>
      </c>
      <c r="B387" s="4"/>
      <c r="C387" s="4"/>
      <c r="D387" s="4"/>
      <c r="E387" s="4"/>
      <c r="F387" s="4"/>
    </row>
    <row r="388" spans="1:6" x14ac:dyDescent="0.25">
      <c r="A388" s="4">
        <v>387</v>
      </c>
      <c r="B388" s="4"/>
      <c r="C388" s="4"/>
      <c r="D388" s="4"/>
      <c r="E388" s="4"/>
      <c r="F388" s="4"/>
    </row>
    <row r="389" spans="1:6" x14ac:dyDescent="0.25">
      <c r="A389" s="4">
        <v>388</v>
      </c>
      <c r="B389" s="4"/>
      <c r="C389" s="4"/>
      <c r="D389" s="4"/>
      <c r="E389" s="4"/>
      <c r="F389" s="4"/>
    </row>
    <row r="390" spans="1:6" x14ac:dyDescent="0.25">
      <c r="A390" s="4">
        <v>389</v>
      </c>
      <c r="B390" s="4"/>
      <c r="C390" s="4"/>
      <c r="D390" s="4"/>
      <c r="E390" s="4"/>
      <c r="F390" s="4"/>
    </row>
    <row r="391" spans="1:6" x14ac:dyDescent="0.25">
      <c r="A391" s="4">
        <v>390</v>
      </c>
      <c r="B391" s="4"/>
      <c r="C391" s="4"/>
      <c r="D391" s="4"/>
      <c r="E391" s="4"/>
      <c r="F391" s="4"/>
    </row>
    <row r="392" spans="1:6" x14ac:dyDescent="0.25">
      <c r="A392" s="4">
        <v>391</v>
      </c>
      <c r="B392" s="4"/>
      <c r="C392" s="4"/>
      <c r="D392" s="4"/>
      <c r="E392" s="4"/>
      <c r="F392" s="4"/>
    </row>
    <row r="393" spans="1:6" x14ac:dyDescent="0.25">
      <c r="A393" s="4">
        <v>392</v>
      </c>
      <c r="B393" s="4"/>
      <c r="C393" s="4"/>
      <c r="D393" s="4"/>
      <c r="E393" s="4"/>
      <c r="F393" s="4"/>
    </row>
    <row r="394" spans="1:6" x14ac:dyDescent="0.25">
      <c r="A394" s="4">
        <v>393</v>
      </c>
      <c r="B394" s="4"/>
      <c r="C394" s="4"/>
      <c r="D394" s="4"/>
      <c r="E394" s="4"/>
      <c r="F394" s="4"/>
    </row>
    <row r="395" spans="1:6" x14ac:dyDescent="0.25">
      <c r="A395" s="4">
        <v>394</v>
      </c>
      <c r="B395" s="4"/>
      <c r="C395" s="4"/>
      <c r="D395" s="4"/>
      <c r="E395" s="4"/>
      <c r="F395" s="4"/>
    </row>
    <row r="396" spans="1:6" x14ac:dyDescent="0.25">
      <c r="A396" s="4">
        <v>395</v>
      </c>
      <c r="B396" s="4"/>
      <c r="C396" s="4"/>
      <c r="D396" s="4"/>
      <c r="E396" s="4"/>
      <c r="F396" s="4"/>
    </row>
    <row r="397" spans="1:6" x14ac:dyDescent="0.25">
      <c r="A397" s="4">
        <v>396</v>
      </c>
      <c r="B397" s="4"/>
      <c r="C397" s="4"/>
      <c r="D397" s="4"/>
      <c r="E397" s="4"/>
      <c r="F397" s="4"/>
    </row>
    <row r="398" spans="1:6" x14ac:dyDescent="0.25">
      <c r="A398" s="4">
        <v>397</v>
      </c>
      <c r="B398" s="4"/>
      <c r="C398" s="4"/>
      <c r="D398" s="4"/>
      <c r="E398" s="4"/>
      <c r="F398" s="4"/>
    </row>
    <row r="399" spans="1:6" x14ac:dyDescent="0.25">
      <c r="A399" s="4">
        <v>398</v>
      </c>
      <c r="B399" s="4"/>
      <c r="C399" s="4"/>
      <c r="D399" s="4"/>
      <c r="E399" s="4"/>
      <c r="F399" s="4"/>
    </row>
    <row r="400" spans="1:6" x14ac:dyDescent="0.25">
      <c r="A400" s="4">
        <v>399</v>
      </c>
      <c r="B400" s="4"/>
      <c r="C400" s="4"/>
      <c r="D400" s="4"/>
      <c r="E400" s="4"/>
      <c r="F400" s="4"/>
    </row>
    <row r="401" spans="1:6" x14ac:dyDescent="0.25">
      <c r="A401" s="4">
        <v>400</v>
      </c>
      <c r="B401" s="4"/>
      <c r="C401" s="4"/>
      <c r="D401" s="4"/>
      <c r="E401" s="4"/>
      <c r="F401" s="4"/>
    </row>
    <row r="402" spans="1:6" x14ac:dyDescent="0.25">
      <c r="A402" s="4">
        <v>401</v>
      </c>
      <c r="B402" s="4"/>
      <c r="C402" s="4"/>
      <c r="D402" s="4"/>
      <c r="E402" s="4"/>
      <c r="F402" s="4"/>
    </row>
    <row r="403" spans="1:6" x14ac:dyDescent="0.25">
      <c r="A403" s="4">
        <v>402</v>
      </c>
      <c r="B403" s="4"/>
      <c r="C403" s="4"/>
      <c r="D403" s="4"/>
      <c r="E403" s="4"/>
      <c r="F403" s="4"/>
    </row>
    <row r="404" spans="1:6" x14ac:dyDescent="0.25">
      <c r="A404" s="4">
        <v>403</v>
      </c>
      <c r="B404" s="4"/>
      <c r="C404" s="4"/>
      <c r="D404" s="4"/>
      <c r="E404" s="4"/>
      <c r="F404" s="4"/>
    </row>
    <row r="405" spans="1:6" x14ac:dyDescent="0.25">
      <c r="A405" s="4">
        <v>404</v>
      </c>
      <c r="B405" s="4"/>
      <c r="C405" s="4"/>
      <c r="D405" s="4"/>
      <c r="E405" s="4"/>
      <c r="F405" s="4"/>
    </row>
    <row r="406" spans="1:6" x14ac:dyDescent="0.25">
      <c r="A406" s="4">
        <v>405</v>
      </c>
      <c r="B406" s="4"/>
      <c r="C406" s="4"/>
      <c r="D406" s="4"/>
      <c r="E406" s="4"/>
      <c r="F406" s="4"/>
    </row>
    <row r="407" spans="1:6" x14ac:dyDescent="0.25">
      <c r="A407" s="4">
        <v>406</v>
      </c>
      <c r="B407" s="4"/>
      <c r="C407" s="4"/>
      <c r="D407" s="4"/>
      <c r="E407" s="4"/>
      <c r="F407" s="4"/>
    </row>
    <row r="408" spans="1:6" x14ac:dyDescent="0.25">
      <c r="A408" s="4">
        <v>407</v>
      </c>
      <c r="B408" s="4"/>
      <c r="C408" s="4"/>
      <c r="D408" s="4"/>
      <c r="E408" s="4"/>
      <c r="F408" s="4"/>
    </row>
    <row r="409" spans="1:6" x14ac:dyDescent="0.25">
      <c r="A409" s="4">
        <v>408</v>
      </c>
      <c r="B409" s="4"/>
      <c r="C409" s="4"/>
      <c r="D409" s="4"/>
      <c r="E409" s="4"/>
      <c r="F409" s="4"/>
    </row>
    <row r="410" spans="1:6" x14ac:dyDescent="0.25">
      <c r="A410" s="4">
        <v>409</v>
      </c>
      <c r="B410" s="4"/>
      <c r="C410" s="4"/>
      <c r="D410" s="4"/>
      <c r="E410" s="4"/>
      <c r="F410" s="4"/>
    </row>
    <row r="411" spans="1:6" x14ac:dyDescent="0.25">
      <c r="A411" s="4">
        <v>410</v>
      </c>
      <c r="B411" s="4"/>
      <c r="C411" s="4"/>
      <c r="D411" s="4"/>
      <c r="E411" s="4"/>
      <c r="F411" s="4"/>
    </row>
    <row r="412" spans="1:6" x14ac:dyDescent="0.25">
      <c r="A412" s="4">
        <v>411</v>
      </c>
      <c r="B412" s="4"/>
      <c r="C412" s="4"/>
      <c r="D412" s="4"/>
      <c r="E412" s="4"/>
      <c r="F412" s="4"/>
    </row>
    <row r="413" spans="1:6" x14ac:dyDescent="0.25">
      <c r="A413" s="4">
        <v>412</v>
      </c>
      <c r="B413" s="4"/>
      <c r="C413" s="4"/>
      <c r="D413" s="4"/>
      <c r="E413" s="4"/>
      <c r="F413" s="4"/>
    </row>
    <row r="414" spans="1:6" x14ac:dyDescent="0.25">
      <c r="A414" s="4">
        <v>413</v>
      </c>
      <c r="B414" s="4"/>
      <c r="C414" s="4"/>
      <c r="D414" s="4"/>
      <c r="E414" s="4"/>
      <c r="F414" s="4"/>
    </row>
    <row r="415" spans="1:6" x14ac:dyDescent="0.25">
      <c r="A415" s="4">
        <v>414</v>
      </c>
      <c r="B415" s="4"/>
      <c r="C415" s="4"/>
      <c r="D415" s="4"/>
      <c r="E415" s="4"/>
      <c r="F415" s="4"/>
    </row>
    <row r="416" spans="1:6" x14ac:dyDescent="0.25">
      <c r="A416" s="4">
        <v>415</v>
      </c>
      <c r="B416" s="4"/>
      <c r="C416" s="4"/>
      <c r="D416" s="4"/>
      <c r="E416" s="4"/>
      <c r="F416" s="4"/>
    </row>
    <row r="417" spans="1:6" x14ac:dyDescent="0.25">
      <c r="A417" s="4">
        <v>416</v>
      </c>
      <c r="B417" s="4"/>
      <c r="C417" s="4"/>
      <c r="D417" s="4"/>
      <c r="E417" s="4"/>
      <c r="F417" s="4"/>
    </row>
    <row r="418" spans="1:6" x14ac:dyDescent="0.25">
      <c r="A418" s="4">
        <v>417</v>
      </c>
      <c r="B418" s="4"/>
      <c r="C418" s="4"/>
      <c r="D418" s="4"/>
      <c r="E418" s="4"/>
      <c r="F418" s="4"/>
    </row>
    <row r="419" spans="1:6" x14ac:dyDescent="0.25">
      <c r="A419" s="4">
        <v>418</v>
      </c>
      <c r="B419" s="4"/>
      <c r="C419" s="4"/>
      <c r="D419" s="4"/>
      <c r="E419" s="4"/>
      <c r="F419" s="4"/>
    </row>
    <row r="420" spans="1:6" x14ac:dyDescent="0.25">
      <c r="A420" s="4">
        <v>419</v>
      </c>
      <c r="B420" s="4"/>
      <c r="C420" s="4"/>
      <c r="D420" s="4"/>
      <c r="E420" s="4"/>
      <c r="F420" s="4"/>
    </row>
    <row r="421" spans="1:6" x14ac:dyDescent="0.25">
      <c r="A421" s="4">
        <v>420</v>
      </c>
      <c r="B421" s="4"/>
      <c r="C421" s="4"/>
      <c r="D421" s="4"/>
      <c r="E421" s="4"/>
      <c r="F421" s="4"/>
    </row>
    <row r="422" spans="1:6" x14ac:dyDescent="0.25">
      <c r="A422" s="4">
        <v>421</v>
      </c>
      <c r="B422" s="4"/>
      <c r="C422" s="4"/>
      <c r="D422" s="4"/>
      <c r="E422" s="4"/>
      <c r="F422" s="4"/>
    </row>
    <row r="423" spans="1:6" x14ac:dyDescent="0.25">
      <c r="A423" s="4">
        <v>422</v>
      </c>
      <c r="B423" s="4"/>
      <c r="C423" s="4"/>
      <c r="D423" s="4"/>
      <c r="E423" s="4"/>
      <c r="F423" s="4"/>
    </row>
    <row r="424" spans="1:6" x14ac:dyDescent="0.25">
      <c r="A424" s="4">
        <v>423</v>
      </c>
      <c r="B424" s="4"/>
      <c r="C424" s="4"/>
      <c r="D424" s="4"/>
      <c r="E424" s="4"/>
      <c r="F424" s="4"/>
    </row>
    <row r="425" spans="1:6" x14ac:dyDescent="0.25">
      <c r="A425" s="4">
        <v>424</v>
      </c>
      <c r="B425" s="4"/>
      <c r="C425" s="4"/>
      <c r="D425" s="4"/>
      <c r="E425" s="4"/>
      <c r="F425" s="4"/>
    </row>
    <row r="426" spans="1:6" x14ac:dyDescent="0.25">
      <c r="A426" s="4">
        <v>425</v>
      </c>
      <c r="B426" s="4"/>
      <c r="C426" s="4"/>
      <c r="D426" s="4"/>
      <c r="E426" s="4"/>
      <c r="F426" s="4"/>
    </row>
    <row r="427" spans="1:6" x14ac:dyDescent="0.25">
      <c r="A427" s="4">
        <v>426</v>
      </c>
      <c r="B427" s="4"/>
      <c r="C427" s="4"/>
      <c r="D427" s="4"/>
      <c r="E427" s="4"/>
      <c r="F427" s="4"/>
    </row>
    <row r="428" spans="1:6" x14ac:dyDescent="0.25">
      <c r="A428" s="4">
        <v>427</v>
      </c>
      <c r="B428" s="4"/>
      <c r="C428" s="4"/>
      <c r="D428" s="4"/>
      <c r="E428" s="4"/>
      <c r="F428" s="4"/>
    </row>
    <row r="429" spans="1:6" x14ac:dyDescent="0.25">
      <c r="A429" s="4">
        <v>428</v>
      </c>
      <c r="B429" s="4"/>
      <c r="C429" s="4"/>
      <c r="D429" s="4"/>
      <c r="E429" s="4"/>
      <c r="F429" s="4"/>
    </row>
    <row r="430" spans="1:6" x14ac:dyDescent="0.25">
      <c r="A430" s="4">
        <v>429</v>
      </c>
      <c r="B430" s="4"/>
      <c r="C430" s="4"/>
      <c r="D430" s="4"/>
      <c r="E430" s="4"/>
      <c r="F430" s="4"/>
    </row>
    <row r="431" spans="1:6" x14ac:dyDescent="0.25">
      <c r="A431" s="4">
        <v>430</v>
      </c>
      <c r="B431" s="4"/>
      <c r="C431" s="4"/>
      <c r="D431" s="4"/>
      <c r="E431" s="4"/>
      <c r="F431" s="4"/>
    </row>
    <row r="432" spans="1:6" x14ac:dyDescent="0.25">
      <c r="A432" s="4">
        <v>431</v>
      </c>
      <c r="B432" s="4"/>
      <c r="C432" s="4"/>
      <c r="D432" s="4"/>
      <c r="E432" s="4"/>
      <c r="F432" s="4"/>
    </row>
    <row r="433" spans="1:6" x14ac:dyDescent="0.25">
      <c r="A433" s="4">
        <v>432</v>
      </c>
      <c r="B433" s="4"/>
      <c r="C433" s="4"/>
      <c r="D433" s="4"/>
      <c r="E433" s="4"/>
      <c r="F433" s="4"/>
    </row>
    <row r="434" spans="1:6" x14ac:dyDescent="0.25">
      <c r="A434" s="4">
        <v>433</v>
      </c>
      <c r="B434" s="4"/>
      <c r="C434" s="4"/>
      <c r="D434" s="4"/>
      <c r="E434" s="4"/>
      <c r="F434" s="4"/>
    </row>
    <row r="435" spans="1:6" x14ac:dyDescent="0.25">
      <c r="A435" s="4">
        <v>434</v>
      </c>
      <c r="B435" s="4"/>
      <c r="C435" s="4"/>
      <c r="D435" s="4"/>
      <c r="E435" s="4"/>
      <c r="F435" s="4"/>
    </row>
    <row r="436" spans="1:6" x14ac:dyDescent="0.25">
      <c r="A436" s="4">
        <v>435</v>
      </c>
      <c r="B436" s="4"/>
      <c r="C436" s="4"/>
      <c r="D436" s="4"/>
      <c r="E436" s="4"/>
      <c r="F436" s="4"/>
    </row>
    <row r="437" spans="1:6" x14ac:dyDescent="0.25">
      <c r="A437" s="4">
        <v>436</v>
      </c>
      <c r="B437" s="4"/>
      <c r="C437" s="4"/>
      <c r="D437" s="4"/>
      <c r="E437" s="4"/>
      <c r="F437" s="4"/>
    </row>
    <row r="438" spans="1:6" x14ac:dyDescent="0.25">
      <c r="A438" s="4">
        <v>437</v>
      </c>
      <c r="B438" s="4"/>
      <c r="C438" s="4"/>
      <c r="D438" s="4"/>
      <c r="E438" s="4"/>
      <c r="F438" s="4"/>
    </row>
    <row r="439" spans="1:6" x14ac:dyDescent="0.25">
      <c r="A439" s="4">
        <v>438</v>
      </c>
      <c r="B439" s="4"/>
      <c r="C439" s="4"/>
      <c r="D439" s="4"/>
      <c r="E439" s="4"/>
      <c r="F439" s="4"/>
    </row>
    <row r="440" spans="1:6" x14ac:dyDescent="0.25">
      <c r="A440" s="4">
        <v>439</v>
      </c>
      <c r="B440" s="4"/>
      <c r="C440" s="4"/>
      <c r="D440" s="4"/>
      <c r="E440" s="4"/>
      <c r="F440" s="4"/>
    </row>
    <row r="441" spans="1:6" x14ac:dyDescent="0.25">
      <c r="A441" s="4">
        <v>440</v>
      </c>
      <c r="B441" s="4"/>
      <c r="C441" s="4"/>
      <c r="D441" s="4"/>
      <c r="E441" s="4"/>
      <c r="F441" s="4"/>
    </row>
    <row r="442" spans="1:6" x14ac:dyDescent="0.25">
      <c r="A442" s="4">
        <v>441</v>
      </c>
      <c r="B442" s="4"/>
      <c r="C442" s="4"/>
      <c r="D442" s="4"/>
      <c r="E442" s="4"/>
      <c r="F442" s="4"/>
    </row>
    <row r="443" spans="1:6" x14ac:dyDescent="0.25">
      <c r="A443" s="4">
        <v>442</v>
      </c>
      <c r="B443" s="4"/>
      <c r="C443" s="4"/>
      <c r="D443" s="4"/>
      <c r="E443" s="4"/>
      <c r="F443" s="4"/>
    </row>
    <row r="444" spans="1:6" x14ac:dyDescent="0.25">
      <c r="A444" s="4">
        <v>443</v>
      </c>
      <c r="B444" s="4"/>
      <c r="C444" s="4"/>
      <c r="D444" s="4"/>
      <c r="E444" s="4"/>
      <c r="F444" s="4"/>
    </row>
    <row r="445" spans="1:6" x14ac:dyDescent="0.25">
      <c r="A445" s="4">
        <v>444</v>
      </c>
      <c r="B445" s="4"/>
      <c r="C445" s="4"/>
      <c r="D445" s="4"/>
      <c r="E445" s="4"/>
      <c r="F445" s="4"/>
    </row>
    <row r="446" spans="1:6" x14ac:dyDescent="0.25">
      <c r="A446" s="4">
        <v>445</v>
      </c>
      <c r="B446" s="4"/>
      <c r="C446" s="4"/>
      <c r="D446" s="4"/>
      <c r="E446" s="4"/>
      <c r="F446" s="4"/>
    </row>
    <row r="447" spans="1:6" x14ac:dyDescent="0.25">
      <c r="A447" s="4">
        <v>446</v>
      </c>
      <c r="B447" s="4"/>
      <c r="C447" s="4"/>
      <c r="D447" s="4"/>
      <c r="E447" s="4"/>
      <c r="F447" s="4"/>
    </row>
    <row r="448" spans="1:6" x14ac:dyDescent="0.25">
      <c r="A448" s="4">
        <v>447</v>
      </c>
      <c r="B448" s="4"/>
      <c r="C448" s="4"/>
      <c r="D448" s="4"/>
      <c r="E448" s="4"/>
      <c r="F448" s="4"/>
    </row>
    <row r="449" spans="1:6" x14ac:dyDescent="0.25">
      <c r="A449" s="4">
        <v>448</v>
      </c>
      <c r="B449" s="4"/>
      <c r="C449" s="4"/>
      <c r="D449" s="4"/>
      <c r="E449" s="4"/>
      <c r="F449" s="4"/>
    </row>
    <row r="450" spans="1:6" x14ac:dyDescent="0.25">
      <c r="A450" s="4">
        <v>449</v>
      </c>
      <c r="B450" s="4"/>
      <c r="C450" s="4"/>
      <c r="D450" s="4"/>
      <c r="E450" s="4"/>
      <c r="F450" s="4"/>
    </row>
    <row r="451" spans="1:6" x14ac:dyDescent="0.25">
      <c r="A451" s="4">
        <v>450</v>
      </c>
      <c r="B451" s="4"/>
      <c r="C451" s="4"/>
      <c r="D451" s="4"/>
      <c r="E451" s="4"/>
      <c r="F451" s="4"/>
    </row>
    <row r="452" spans="1:6" x14ac:dyDescent="0.25">
      <c r="A452" s="4">
        <v>451</v>
      </c>
      <c r="B452" s="4"/>
      <c r="C452" s="4"/>
      <c r="D452" s="4"/>
      <c r="E452" s="4"/>
      <c r="F452" s="4"/>
    </row>
    <row r="453" spans="1:6" x14ac:dyDescent="0.25">
      <c r="A453" s="4">
        <v>452</v>
      </c>
      <c r="B453" s="4"/>
      <c r="C453" s="4"/>
      <c r="D453" s="4"/>
      <c r="E453" s="4"/>
      <c r="F453" s="4"/>
    </row>
    <row r="454" spans="1:6" x14ac:dyDescent="0.25">
      <c r="A454" s="4">
        <v>453</v>
      </c>
      <c r="B454" s="4"/>
      <c r="C454" s="4"/>
      <c r="D454" s="4"/>
      <c r="E454" s="4"/>
      <c r="F454" s="4"/>
    </row>
    <row r="455" spans="1:6" x14ac:dyDescent="0.25">
      <c r="A455" s="4">
        <v>454</v>
      </c>
      <c r="B455" s="4"/>
      <c r="C455" s="4"/>
      <c r="D455" s="4"/>
      <c r="E455" s="4"/>
      <c r="F455" s="4"/>
    </row>
    <row r="456" spans="1:6" x14ac:dyDescent="0.25">
      <c r="A456" s="4">
        <v>455</v>
      </c>
      <c r="B456" s="4"/>
      <c r="C456" s="4"/>
      <c r="D456" s="4"/>
      <c r="E456" s="4"/>
      <c r="F456" s="4"/>
    </row>
    <row r="457" spans="1:6" x14ac:dyDescent="0.25">
      <c r="A457" s="4">
        <v>456</v>
      </c>
      <c r="B457" s="4"/>
      <c r="C457" s="4"/>
      <c r="D457" s="4"/>
      <c r="E457" s="4"/>
      <c r="F457" s="4"/>
    </row>
    <row r="458" spans="1:6" x14ac:dyDescent="0.25">
      <c r="A458" s="4">
        <v>457</v>
      </c>
      <c r="B458" s="4"/>
      <c r="C458" s="4"/>
      <c r="D458" s="4"/>
      <c r="E458" s="4"/>
      <c r="F458" s="4"/>
    </row>
    <row r="459" spans="1:6" x14ac:dyDescent="0.25">
      <c r="A459" s="4">
        <v>458</v>
      </c>
      <c r="B459" s="4"/>
      <c r="C459" s="4"/>
      <c r="D459" s="4"/>
      <c r="E459" s="4"/>
      <c r="F459" s="4"/>
    </row>
    <row r="460" spans="1:6" x14ac:dyDescent="0.25">
      <c r="A460" s="4">
        <v>459</v>
      </c>
      <c r="B460" s="4"/>
      <c r="C460" s="4"/>
      <c r="D460" s="4"/>
      <c r="E460" s="4"/>
      <c r="F460" s="4"/>
    </row>
    <row r="461" spans="1:6" x14ac:dyDescent="0.25">
      <c r="A461" s="4">
        <v>460</v>
      </c>
      <c r="B461" s="4"/>
      <c r="C461" s="4"/>
      <c r="D461" s="4"/>
      <c r="E461" s="4"/>
      <c r="F461" s="4"/>
    </row>
    <row r="462" spans="1:6" x14ac:dyDescent="0.25">
      <c r="A462" s="4">
        <v>461</v>
      </c>
      <c r="B462" s="4"/>
      <c r="C462" s="4"/>
      <c r="D462" s="4"/>
      <c r="E462" s="4"/>
      <c r="F462" s="4"/>
    </row>
    <row r="463" spans="1:6" x14ac:dyDescent="0.25">
      <c r="A463" s="4">
        <v>462</v>
      </c>
      <c r="B463" s="4"/>
      <c r="C463" s="4"/>
      <c r="D463" s="4"/>
      <c r="E463" s="4"/>
      <c r="F463" s="4"/>
    </row>
    <row r="464" spans="1:6" x14ac:dyDescent="0.25">
      <c r="A464" s="4">
        <v>463</v>
      </c>
      <c r="B464" s="4"/>
      <c r="C464" s="4"/>
      <c r="D464" s="4"/>
      <c r="E464" s="4"/>
      <c r="F464" s="4"/>
    </row>
    <row r="465" spans="1:6" x14ac:dyDescent="0.25">
      <c r="A465" s="4">
        <v>464</v>
      </c>
      <c r="B465" s="4"/>
      <c r="C465" s="4"/>
      <c r="D465" s="4"/>
      <c r="E465" s="4"/>
      <c r="F465" s="4"/>
    </row>
    <row r="466" spans="1:6" x14ac:dyDescent="0.25">
      <c r="A466" s="4">
        <v>465</v>
      </c>
      <c r="B466" s="4"/>
      <c r="C466" s="4"/>
      <c r="D466" s="4"/>
      <c r="E466" s="4"/>
      <c r="F466" s="4"/>
    </row>
    <row r="467" spans="1:6" x14ac:dyDescent="0.25">
      <c r="A467" s="4">
        <v>466</v>
      </c>
      <c r="B467" s="4"/>
      <c r="C467" s="4"/>
      <c r="D467" s="4"/>
      <c r="E467" s="4"/>
      <c r="F467" s="4"/>
    </row>
    <row r="468" spans="1:6" x14ac:dyDescent="0.25">
      <c r="A468" s="4">
        <v>467</v>
      </c>
      <c r="B468" s="4"/>
      <c r="C468" s="4"/>
      <c r="D468" s="4"/>
      <c r="E468" s="4"/>
      <c r="F468" s="4"/>
    </row>
    <row r="469" spans="1:6" x14ac:dyDescent="0.25">
      <c r="A469" s="4">
        <v>468</v>
      </c>
      <c r="B469" s="4"/>
      <c r="C469" s="4"/>
      <c r="D469" s="4"/>
      <c r="E469" s="4"/>
      <c r="F469" s="4"/>
    </row>
    <row r="470" spans="1:6" x14ac:dyDescent="0.25">
      <c r="A470" s="4">
        <v>469</v>
      </c>
      <c r="B470" s="4"/>
      <c r="C470" s="4"/>
      <c r="D470" s="4"/>
      <c r="E470" s="4"/>
      <c r="F470" s="4"/>
    </row>
    <row r="471" spans="1:6" x14ac:dyDescent="0.25">
      <c r="A471" s="4">
        <v>470</v>
      </c>
      <c r="B471" s="4"/>
      <c r="C471" s="4"/>
      <c r="D471" s="4"/>
      <c r="E471" s="4"/>
      <c r="F471" s="4"/>
    </row>
    <row r="472" spans="1:6" x14ac:dyDescent="0.25">
      <c r="A472" s="4">
        <v>471</v>
      </c>
      <c r="B472" s="4"/>
      <c r="C472" s="4"/>
      <c r="D472" s="4"/>
      <c r="E472" s="4"/>
      <c r="F472" s="4"/>
    </row>
    <row r="473" spans="1:6" x14ac:dyDescent="0.25">
      <c r="A473" s="4">
        <v>472</v>
      </c>
      <c r="B473" s="4"/>
      <c r="C473" s="4"/>
      <c r="D473" s="4"/>
      <c r="E473" s="4"/>
      <c r="F473" s="4"/>
    </row>
    <row r="474" spans="1:6" x14ac:dyDescent="0.25">
      <c r="A474" s="4">
        <v>473</v>
      </c>
      <c r="B474" s="4"/>
      <c r="C474" s="4"/>
      <c r="D474" s="4"/>
      <c r="E474" s="4"/>
      <c r="F474" s="4"/>
    </row>
    <row r="475" spans="1:6" x14ac:dyDescent="0.25">
      <c r="A475" s="4">
        <v>474</v>
      </c>
      <c r="B475" s="4"/>
      <c r="C475" s="4"/>
      <c r="D475" s="4"/>
      <c r="E475" s="4"/>
      <c r="F475" s="4"/>
    </row>
    <row r="476" spans="1:6" x14ac:dyDescent="0.25">
      <c r="A476" s="4">
        <v>475</v>
      </c>
      <c r="B476" s="4"/>
      <c r="C476" s="4"/>
      <c r="D476" s="4"/>
      <c r="E476" s="4"/>
      <c r="F476" s="4"/>
    </row>
    <row r="477" spans="1:6" x14ac:dyDescent="0.25">
      <c r="A477" s="4">
        <v>476</v>
      </c>
      <c r="B477" s="4"/>
      <c r="C477" s="4"/>
      <c r="D477" s="4"/>
      <c r="E477" s="4"/>
      <c r="F477" s="4"/>
    </row>
    <row r="478" spans="1:6" x14ac:dyDescent="0.25">
      <c r="A478" s="4">
        <v>477</v>
      </c>
      <c r="B478" s="4"/>
      <c r="C478" s="4"/>
      <c r="D478" s="4"/>
      <c r="E478" s="4"/>
      <c r="F478" s="4"/>
    </row>
    <row r="479" spans="1:6" x14ac:dyDescent="0.25">
      <c r="A479" s="4">
        <v>478</v>
      </c>
      <c r="B479" s="4"/>
      <c r="C479" s="4"/>
      <c r="D479" s="4"/>
      <c r="E479" s="4"/>
      <c r="F479" s="4"/>
    </row>
    <row r="480" spans="1:6" x14ac:dyDescent="0.25">
      <c r="A480" s="4">
        <v>479</v>
      </c>
      <c r="B480" s="4"/>
      <c r="C480" s="4"/>
      <c r="D480" s="4"/>
      <c r="E480" s="4"/>
      <c r="F480" s="4"/>
    </row>
    <row r="481" spans="1:6" x14ac:dyDescent="0.25">
      <c r="A481" s="4">
        <v>480</v>
      </c>
      <c r="B481" s="4"/>
      <c r="C481" s="4"/>
      <c r="D481" s="4"/>
      <c r="E481" s="4"/>
      <c r="F481" s="4"/>
    </row>
    <row r="482" spans="1:6" x14ac:dyDescent="0.25">
      <c r="A482" s="4">
        <v>481</v>
      </c>
      <c r="B482" s="4"/>
      <c r="C482" s="4"/>
      <c r="D482" s="4"/>
      <c r="E482" s="4"/>
      <c r="F482" s="4"/>
    </row>
    <row r="483" spans="1:6" x14ac:dyDescent="0.25">
      <c r="A483" s="4">
        <v>482</v>
      </c>
      <c r="B483" s="4"/>
      <c r="C483" s="4"/>
      <c r="D483" s="4"/>
      <c r="E483" s="4"/>
      <c r="F483" s="4"/>
    </row>
    <row r="484" spans="1:6" x14ac:dyDescent="0.25">
      <c r="A484" s="4">
        <v>483</v>
      </c>
      <c r="B484" s="4"/>
      <c r="C484" s="4"/>
      <c r="D484" s="4"/>
      <c r="E484" s="4"/>
      <c r="F484" s="4"/>
    </row>
    <row r="485" spans="1:6" x14ac:dyDescent="0.25">
      <c r="A485" s="4">
        <v>484</v>
      </c>
      <c r="B485" s="4"/>
      <c r="C485" s="4"/>
      <c r="D485" s="4"/>
      <c r="E485" s="4"/>
      <c r="F485" s="4"/>
    </row>
    <row r="486" spans="1:6" x14ac:dyDescent="0.25">
      <c r="A486" s="4">
        <v>485</v>
      </c>
      <c r="B486" s="4"/>
      <c r="C486" s="4"/>
      <c r="D486" s="4"/>
      <c r="E486" s="4"/>
      <c r="F486" s="4"/>
    </row>
    <row r="487" spans="1:6" x14ac:dyDescent="0.25">
      <c r="A487" s="4">
        <v>486</v>
      </c>
      <c r="B487" s="4"/>
      <c r="C487" s="4"/>
      <c r="D487" s="4"/>
      <c r="E487" s="4"/>
      <c r="F487" s="4"/>
    </row>
    <row r="488" spans="1:6" x14ac:dyDescent="0.25">
      <c r="A488" s="4">
        <v>487</v>
      </c>
      <c r="B488" s="4"/>
      <c r="C488" s="4"/>
      <c r="D488" s="4"/>
      <c r="E488" s="4"/>
      <c r="F488" s="4"/>
    </row>
    <row r="489" spans="1:6" x14ac:dyDescent="0.25">
      <c r="A489" s="4">
        <v>488</v>
      </c>
      <c r="B489" s="4"/>
      <c r="C489" s="4"/>
      <c r="D489" s="4"/>
      <c r="E489" s="4"/>
      <c r="F489" s="4"/>
    </row>
    <row r="490" spans="1:6" x14ac:dyDescent="0.25">
      <c r="A490" s="4">
        <v>489</v>
      </c>
      <c r="B490" s="4"/>
      <c r="C490" s="4"/>
      <c r="D490" s="4"/>
      <c r="E490" s="4"/>
      <c r="F490" s="4"/>
    </row>
    <row r="491" spans="1:6" x14ac:dyDescent="0.25">
      <c r="A491" s="4">
        <v>490</v>
      </c>
      <c r="B491" s="4"/>
      <c r="C491" s="4"/>
      <c r="D491" s="4"/>
      <c r="E491" s="4"/>
      <c r="F491" s="4"/>
    </row>
    <row r="492" spans="1:6" x14ac:dyDescent="0.25">
      <c r="A492" s="4">
        <v>491</v>
      </c>
      <c r="B492" s="4"/>
      <c r="C492" s="4"/>
      <c r="D492" s="4"/>
      <c r="E492" s="4"/>
      <c r="F492" s="4"/>
    </row>
    <row r="493" spans="1:6" x14ac:dyDescent="0.25">
      <c r="A493" s="4">
        <v>492</v>
      </c>
      <c r="B493" s="4"/>
      <c r="C493" s="4"/>
      <c r="D493" s="4"/>
      <c r="E493" s="4"/>
      <c r="F493" s="4"/>
    </row>
    <row r="494" spans="1:6" x14ac:dyDescent="0.25">
      <c r="A494" s="4">
        <v>493</v>
      </c>
      <c r="B494" s="4"/>
      <c r="C494" s="4"/>
      <c r="D494" s="4"/>
      <c r="E494" s="4"/>
      <c r="F494" s="4"/>
    </row>
    <row r="495" spans="1:6" x14ac:dyDescent="0.25">
      <c r="A495" s="4">
        <v>494</v>
      </c>
      <c r="B495" s="4"/>
      <c r="C495" s="4"/>
      <c r="D495" s="4"/>
      <c r="E495" s="4"/>
      <c r="F495" s="4"/>
    </row>
    <row r="496" spans="1:6" x14ac:dyDescent="0.25">
      <c r="A496" s="4">
        <v>495</v>
      </c>
      <c r="B496" s="4"/>
      <c r="C496" s="4"/>
      <c r="D496" s="4"/>
      <c r="E496" s="4"/>
      <c r="F496" s="4"/>
    </row>
    <row r="497" spans="1:6" x14ac:dyDescent="0.25">
      <c r="A497" s="4">
        <v>496</v>
      </c>
      <c r="B497" s="4"/>
      <c r="C497" s="4"/>
      <c r="D497" s="4"/>
      <c r="E497" s="4"/>
      <c r="F497" s="4"/>
    </row>
    <row r="498" spans="1:6" x14ac:dyDescent="0.25">
      <c r="A498" s="4">
        <v>497</v>
      </c>
      <c r="B498" s="4"/>
      <c r="C498" s="4"/>
      <c r="D498" s="4"/>
      <c r="E498" s="4"/>
      <c r="F498" s="4"/>
    </row>
    <row r="499" spans="1:6" x14ac:dyDescent="0.25">
      <c r="A499" s="4">
        <v>498</v>
      </c>
      <c r="B499" s="4"/>
      <c r="C499" s="4"/>
      <c r="D499" s="4"/>
      <c r="E499" s="4"/>
      <c r="F499" s="4"/>
    </row>
    <row r="500" spans="1:6" x14ac:dyDescent="0.25">
      <c r="A500" s="4">
        <v>499</v>
      </c>
      <c r="B500" s="4"/>
      <c r="C500" s="4"/>
      <c r="D500" s="4"/>
      <c r="E500" s="4"/>
      <c r="F500" s="4"/>
    </row>
    <row r="501" spans="1:6" x14ac:dyDescent="0.25">
      <c r="A501" s="4">
        <v>500</v>
      </c>
      <c r="B501" s="4"/>
      <c r="C501" s="4"/>
      <c r="D501" s="4"/>
      <c r="E501" s="4"/>
      <c r="F501" s="4"/>
    </row>
    <row r="502" spans="1:6" x14ac:dyDescent="0.25">
      <c r="A502" s="4">
        <v>501</v>
      </c>
      <c r="B502" s="4"/>
      <c r="C502" s="4"/>
      <c r="D502" s="4"/>
      <c r="E502" s="4"/>
      <c r="F502" s="4"/>
    </row>
    <row r="503" spans="1:6" x14ac:dyDescent="0.25">
      <c r="A503" s="4">
        <v>502</v>
      </c>
      <c r="B503" s="4"/>
      <c r="C503" s="4"/>
      <c r="D503" s="4"/>
      <c r="E503" s="4"/>
      <c r="F503" s="4"/>
    </row>
    <row r="504" spans="1:6" x14ac:dyDescent="0.25">
      <c r="A504" s="4">
        <v>503</v>
      </c>
      <c r="B504" s="4"/>
      <c r="C504" s="4"/>
      <c r="D504" s="4"/>
      <c r="E504" s="4"/>
      <c r="F504" s="4"/>
    </row>
    <row r="505" spans="1:6" x14ac:dyDescent="0.25">
      <c r="A505" s="4">
        <v>504</v>
      </c>
      <c r="B505" s="4"/>
      <c r="C505" s="4"/>
      <c r="D505" s="4"/>
      <c r="E505" s="4"/>
      <c r="F505" s="4"/>
    </row>
    <row r="506" spans="1:6" x14ac:dyDescent="0.25">
      <c r="A506" s="4">
        <v>505</v>
      </c>
      <c r="B506" s="4"/>
      <c r="C506" s="4"/>
      <c r="D506" s="4"/>
      <c r="E506" s="4"/>
      <c r="F506" s="4"/>
    </row>
    <row r="507" spans="1:6" x14ac:dyDescent="0.25">
      <c r="A507" s="4">
        <v>506</v>
      </c>
      <c r="B507" s="4"/>
      <c r="C507" s="4"/>
      <c r="D507" s="4"/>
      <c r="E507" s="4"/>
      <c r="F507" s="4"/>
    </row>
    <row r="508" spans="1:6" x14ac:dyDescent="0.25">
      <c r="A508" s="4">
        <v>507</v>
      </c>
      <c r="B508" s="4"/>
      <c r="C508" s="4"/>
      <c r="D508" s="4"/>
      <c r="E508" s="4"/>
      <c r="F508" s="4"/>
    </row>
    <row r="509" spans="1:6" x14ac:dyDescent="0.25">
      <c r="A509" s="4">
        <v>508</v>
      </c>
      <c r="B509" s="4"/>
      <c r="C509" s="4"/>
      <c r="D509" s="4"/>
      <c r="E509" s="4"/>
      <c r="F509" s="4"/>
    </row>
    <row r="510" spans="1:6" x14ac:dyDescent="0.25">
      <c r="A510" s="4">
        <v>509</v>
      </c>
      <c r="B510" s="4"/>
      <c r="C510" s="4"/>
      <c r="D510" s="4"/>
      <c r="E510" s="4"/>
      <c r="F510" s="4"/>
    </row>
    <row r="511" spans="1:6" x14ac:dyDescent="0.25">
      <c r="A511" s="4">
        <v>510</v>
      </c>
      <c r="B511" s="4"/>
      <c r="C511" s="4"/>
      <c r="D511" s="4"/>
      <c r="E511" s="4"/>
      <c r="F511" s="4"/>
    </row>
    <row r="512" spans="1:6" x14ac:dyDescent="0.25">
      <c r="A512" s="4">
        <v>511</v>
      </c>
      <c r="B512" s="4"/>
      <c r="C512" s="4"/>
      <c r="D512" s="4"/>
      <c r="E512" s="4"/>
      <c r="F512" s="4"/>
    </row>
    <row r="513" spans="1:6" x14ac:dyDescent="0.25">
      <c r="A513" s="4">
        <v>512</v>
      </c>
      <c r="B513" s="4"/>
      <c r="C513" s="4"/>
      <c r="D513" s="4"/>
      <c r="E513" s="4"/>
      <c r="F513" s="4"/>
    </row>
    <row r="514" spans="1:6" x14ac:dyDescent="0.25">
      <c r="A514" s="4">
        <v>513</v>
      </c>
      <c r="B514" s="4"/>
      <c r="C514" s="4"/>
      <c r="D514" s="4"/>
      <c r="E514" s="4"/>
      <c r="F514" s="4"/>
    </row>
    <row r="515" spans="1:6" x14ac:dyDescent="0.25">
      <c r="A515" s="4">
        <v>514</v>
      </c>
      <c r="B515" s="4"/>
      <c r="C515" s="4"/>
      <c r="D515" s="4"/>
      <c r="E515" s="4"/>
      <c r="F515" s="4"/>
    </row>
    <row r="516" spans="1:6" x14ac:dyDescent="0.25">
      <c r="A516" s="4">
        <v>515</v>
      </c>
      <c r="B516" s="4"/>
      <c r="C516" s="4"/>
      <c r="D516" s="4"/>
      <c r="E516" s="4"/>
      <c r="F516" s="4"/>
    </row>
    <row r="517" spans="1:6" x14ac:dyDescent="0.25">
      <c r="A517" s="4">
        <v>516</v>
      </c>
      <c r="B517" s="4"/>
      <c r="C517" s="4"/>
      <c r="D517" s="4"/>
      <c r="E517" s="4"/>
      <c r="F517" s="4"/>
    </row>
    <row r="518" spans="1:6" x14ac:dyDescent="0.25">
      <c r="A518" s="4">
        <v>517</v>
      </c>
      <c r="B518" s="4"/>
      <c r="C518" s="4"/>
      <c r="D518" s="4"/>
      <c r="E518" s="4"/>
      <c r="F518" s="4"/>
    </row>
    <row r="519" spans="1:6" x14ac:dyDescent="0.25">
      <c r="A519" s="4">
        <v>518</v>
      </c>
      <c r="B519" s="4"/>
      <c r="C519" s="4"/>
      <c r="D519" s="4"/>
      <c r="E519" s="4"/>
      <c r="F519" s="4"/>
    </row>
    <row r="520" spans="1:6" x14ac:dyDescent="0.25">
      <c r="A520" s="4">
        <v>519</v>
      </c>
      <c r="B520" s="4"/>
      <c r="C520" s="4"/>
      <c r="D520" s="4"/>
      <c r="E520" s="4"/>
      <c r="F520" s="4"/>
    </row>
    <row r="521" spans="1:6" x14ac:dyDescent="0.25">
      <c r="A521" s="4">
        <v>520</v>
      </c>
      <c r="B521" s="4"/>
      <c r="C521" s="4"/>
      <c r="D521" s="4"/>
      <c r="E521" s="4"/>
      <c r="F521" s="4"/>
    </row>
    <row r="522" spans="1:6" x14ac:dyDescent="0.25">
      <c r="A522" s="4">
        <v>521</v>
      </c>
      <c r="B522" s="4"/>
      <c r="C522" s="4"/>
      <c r="D522" s="4"/>
      <c r="E522" s="4"/>
      <c r="F522" s="4"/>
    </row>
    <row r="523" spans="1:6" x14ac:dyDescent="0.25">
      <c r="A523" s="4">
        <v>522</v>
      </c>
      <c r="B523" s="4"/>
      <c r="C523" s="4"/>
      <c r="D523" s="4"/>
      <c r="E523" s="4"/>
      <c r="F523" s="4"/>
    </row>
    <row r="524" spans="1:6" x14ac:dyDescent="0.25">
      <c r="A524" s="4">
        <v>523</v>
      </c>
      <c r="B524" s="4"/>
      <c r="C524" s="4"/>
      <c r="D524" s="4"/>
      <c r="E524" s="4"/>
      <c r="F524" s="4"/>
    </row>
    <row r="525" spans="1:6" x14ac:dyDescent="0.25">
      <c r="A525" s="4">
        <v>524</v>
      </c>
      <c r="B525" s="4"/>
      <c r="C525" s="4"/>
      <c r="D525" s="4"/>
      <c r="E525" s="4"/>
      <c r="F525" s="4"/>
    </row>
    <row r="526" spans="1:6" x14ac:dyDescent="0.25">
      <c r="A526" s="4">
        <v>525</v>
      </c>
      <c r="B526" s="4"/>
      <c r="C526" s="4"/>
      <c r="D526" s="4"/>
      <c r="E526" s="4"/>
      <c r="F526" s="4"/>
    </row>
    <row r="527" spans="1:6" x14ac:dyDescent="0.25">
      <c r="A527" s="4">
        <v>526</v>
      </c>
      <c r="B527" s="4"/>
      <c r="C527" s="4"/>
      <c r="D527" s="4"/>
      <c r="E527" s="4"/>
      <c r="F527" s="4"/>
    </row>
    <row r="528" spans="1:6" x14ac:dyDescent="0.25">
      <c r="A528" s="4">
        <v>527</v>
      </c>
      <c r="B528" s="4"/>
      <c r="C528" s="4"/>
      <c r="D528" s="4"/>
      <c r="E528" s="4"/>
      <c r="F528" s="4"/>
    </row>
    <row r="529" spans="1:6" x14ac:dyDescent="0.25">
      <c r="A529" s="4">
        <v>528</v>
      </c>
      <c r="B529" s="4"/>
      <c r="C529" s="4"/>
      <c r="D529" s="4"/>
      <c r="E529" s="4"/>
      <c r="F529" s="4"/>
    </row>
    <row r="530" spans="1:6" x14ac:dyDescent="0.25">
      <c r="A530" s="4">
        <v>529</v>
      </c>
      <c r="B530" s="4"/>
      <c r="C530" s="4"/>
      <c r="D530" s="4"/>
      <c r="E530" s="4"/>
      <c r="F530" s="4"/>
    </row>
    <row r="531" spans="1:6" x14ac:dyDescent="0.25">
      <c r="A531" s="4">
        <v>530</v>
      </c>
      <c r="B531" s="4"/>
      <c r="C531" s="4"/>
      <c r="D531" s="4"/>
      <c r="E531" s="4"/>
      <c r="F531" s="4"/>
    </row>
    <row r="532" spans="1:6" x14ac:dyDescent="0.25">
      <c r="A532" s="4">
        <v>531</v>
      </c>
      <c r="B532" s="4"/>
      <c r="C532" s="4"/>
      <c r="D532" s="4"/>
      <c r="E532" s="4"/>
      <c r="F532" s="4"/>
    </row>
    <row r="533" spans="1:6" x14ac:dyDescent="0.25">
      <c r="A533" s="4">
        <v>532</v>
      </c>
      <c r="B533" s="4"/>
      <c r="C533" s="4"/>
      <c r="D533" s="4"/>
      <c r="E533" s="4"/>
      <c r="F533" s="4"/>
    </row>
    <row r="534" spans="1:6" x14ac:dyDescent="0.25">
      <c r="A534" s="4">
        <v>533</v>
      </c>
      <c r="B534" s="4"/>
      <c r="C534" s="4"/>
      <c r="D534" s="4"/>
      <c r="E534" s="4"/>
      <c r="F534" s="4"/>
    </row>
    <row r="535" spans="1:6" x14ac:dyDescent="0.25">
      <c r="A535" s="4">
        <v>534</v>
      </c>
      <c r="B535" s="4"/>
      <c r="C535" s="4"/>
      <c r="D535" s="4"/>
      <c r="E535" s="4"/>
      <c r="F535" s="4"/>
    </row>
    <row r="536" spans="1:6" x14ac:dyDescent="0.25">
      <c r="A536" s="4">
        <v>535</v>
      </c>
      <c r="B536" s="4"/>
      <c r="C536" s="4"/>
      <c r="D536" s="4"/>
      <c r="E536" s="4"/>
      <c r="F536" s="4"/>
    </row>
    <row r="537" spans="1:6" x14ac:dyDescent="0.25">
      <c r="A537" s="4">
        <v>536</v>
      </c>
      <c r="B537" s="4"/>
      <c r="C537" s="4"/>
      <c r="D537" s="4"/>
      <c r="E537" s="4"/>
      <c r="F537" s="4"/>
    </row>
    <row r="538" spans="1:6" x14ac:dyDescent="0.25">
      <c r="A538" s="4">
        <v>537</v>
      </c>
      <c r="B538" s="4"/>
      <c r="C538" s="4"/>
      <c r="D538" s="4"/>
      <c r="E538" s="4"/>
      <c r="F538" s="4"/>
    </row>
    <row r="539" spans="1:6" x14ac:dyDescent="0.25">
      <c r="A539" s="4">
        <v>538</v>
      </c>
      <c r="B539" s="4"/>
      <c r="C539" s="4"/>
      <c r="D539" s="4"/>
      <c r="E539" s="4"/>
      <c r="F539" s="4"/>
    </row>
    <row r="540" spans="1:6" x14ac:dyDescent="0.25">
      <c r="A540" s="4">
        <v>539</v>
      </c>
      <c r="B540" s="4"/>
      <c r="C540" s="4"/>
      <c r="D540" s="4"/>
      <c r="E540" s="4"/>
      <c r="F540" s="4"/>
    </row>
    <row r="541" spans="1:6" x14ac:dyDescent="0.25">
      <c r="A541" s="4">
        <v>540</v>
      </c>
      <c r="B541" s="4"/>
      <c r="C541" s="4"/>
      <c r="D541" s="4"/>
      <c r="E541" s="4"/>
      <c r="F541" s="4"/>
    </row>
    <row r="542" spans="1:6" x14ac:dyDescent="0.25">
      <c r="A542" s="4">
        <v>541</v>
      </c>
      <c r="B542" s="4"/>
      <c r="C542" s="4"/>
      <c r="D542" s="4"/>
      <c r="E542" s="4"/>
      <c r="F542" s="4"/>
    </row>
    <row r="543" spans="1:6" x14ac:dyDescent="0.25">
      <c r="A543" s="4">
        <v>542</v>
      </c>
      <c r="B543" s="4"/>
      <c r="C543" s="4"/>
      <c r="D543" s="4"/>
      <c r="E543" s="4"/>
      <c r="F543" s="4"/>
    </row>
    <row r="544" spans="1:6" x14ac:dyDescent="0.25">
      <c r="A544" s="4">
        <v>543</v>
      </c>
      <c r="B544" s="4"/>
      <c r="C544" s="4"/>
      <c r="D544" s="4"/>
      <c r="E544" s="4"/>
      <c r="F544" s="4"/>
    </row>
    <row r="545" spans="1:6" x14ac:dyDescent="0.25">
      <c r="A545" s="4">
        <v>544</v>
      </c>
      <c r="B545" s="4"/>
      <c r="C545" s="4"/>
      <c r="D545" s="4"/>
      <c r="E545" s="4"/>
      <c r="F545" s="4"/>
    </row>
    <row r="546" spans="1:6" x14ac:dyDescent="0.25">
      <c r="A546" s="4">
        <v>545</v>
      </c>
      <c r="B546" s="4"/>
      <c r="C546" s="4"/>
      <c r="D546" s="4"/>
      <c r="E546" s="4"/>
      <c r="F546" s="4"/>
    </row>
    <row r="547" spans="1:6" x14ac:dyDescent="0.25">
      <c r="A547" s="4">
        <v>546</v>
      </c>
      <c r="B547" s="4"/>
      <c r="C547" s="4"/>
      <c r="D547" s="4"/>
      <c r="E547" s="4"/>
      <c r="F547" s="4"/>
    </row>
    <row r="548" spans="1:6" x14ac:dyDescent="0.25">
      <c r="A548" s="4">
        <v>547</v>
      </c>
      <c r="B548" s="4"/>
      <c r="C548" s="4"/>
      <c r="D548" s="4"/>
      <c r="E548" s="4"/>
      <c r="F548" s="4"/>
    </row>
    <row r="549" spans="1:6" x14ac:dyDescent="0.25">
      <c r="A549" s="4">
        <v>548</v>
      </c>
      <c r="B549" s="4"/>
      <c r="C549" s="4"/>
      <c r="D549" s="4"/>
      <c r="E549" s="4"/>
      <c r="F549" s="4"/>
    </row>
    <row r="550" spans="1:6" x14ac:dyDescent="0.25">
      <c r="A550" s="4">
        <v>549</v>
      </c>
      <c r="B550" s="4"/>
      <c r="C550" s="4"/>
      <c r="D550" s="4"/>
      <c r="E550" s="4"/>
      <c r="F550" s="4"/>
    </row>
    <row r="551" spans="1:6" x14ac:dyDescent="0.25">
      <c r="A551" s="4">
        <v>550</v>
      </c>
      <c r="B551" s="4"/>
      <c r="C551" s="4"/>
      <c r="D551" s="4"/>
      <c r="E551" s="4"/>
      <c r="F551" s="4"/>
    </row>
    <row r="552" spans="1:6" x14ac:dyDescent="0.25">
      <c r="A552" s="4">
        <v>551</v>
      </c>
      <c r="B552" s="4"/>
      <c r="C552" s="4"/>
      <c r="D552" s="4"/>
      <c r="E552" s="4"/>
      <c r="F552" s="4"/>
    </row>
    <row r="553" spans="1:6" x14ac:dyDescent="0.25">
      <c r="A553" s="4">
        <v>552</v>
      </c>
      <c r="B553" s="4"/>
      <c r="C553" s="4"/>
      <c r="D553" s="4"/>
      <c r="E553" s="4"/>
      <c r="F553" s="4"/>
    </row>
    <row r="554" spans="1:6" x14ac:dyDescent="0.25">
      <c r="A554" s="4">
        <v>553</v>
      </c>
      <c r="B554" s="4"/>
      <c r="C554" s="4"/>
      <c r="D554" s="4"/>
      <c r="E554" s="4"/>
      <c r="F554" s="4"/>
    </row>
    <row r="555" spans="1:6" x14ac:dyDescent="0.25">
      <c r="A555" s="4">
        <v>554</v>
      </c>
      <c r="B555" s="4"/>
      <c r="C555" s="4"/>
      <c r="D555" s="4"/>
      <c r="E555" s="4"/>
      <c r="F555" s="4"/>
    </row>
    <row r="556" spans="1:6" x14ac:dyDescent="0.25">
      <c r="A556" s="4">
        <v>555</v>
      </c>
      <c r="B556" s="4"/>
      <c r="C556" s="4"/>
      <c r="D556" s="4"/>
      <c r="E556" s="4"/>
      <c r="F556" s="4"/>
    </row>
    <row r="557" spans="1:6" x14ac:dyDescent="0.25">
      <c r="A557" s="4">
        <v>556</v>
      </c>
      <c r="B557" s="4"/>
      <c r="C557" s="4"/>
      <c r="D557" s="4"/>
      <c r="E557" s="4"/>
      <c r="F557" s="4"/>
    </row>
    <row r="558" spans="1:6" x14ac:dyDescent="0.25">
      <c r="A558" s="4">
        <v>557</v>
      </c>
      <c r="B558" s="4"/>
      <c r="C558" s="4"/>
      <c r="D558" s="4"/>
      <c r="E558" s="4"/>
      <c r="F558" s="4"/>
    </row>
    <row r="559" spans="1:6" x14ac:dyDescent="0.25">
      <c r="A559" s="4">
        <v>558</v>
      </c>
      <c r="B559" s="4"/>
      <c r="C559" s="4"/>
      <c r="D559" s="4"/>
      <c r="E559" s="4"/>
      <c r="F559" s="4"/>
    </row>
    <row r="560" spans="1:6" x14ac:dyDescent="0.25">
      <c r="A560" s="4">
        <v>559</v>
      </c>
      <c r="B560" s="4"/>
      <c r="C560" s="4"/>
      <c r="D560" s="4"/>
      <c r="E560" s="4"/>
      <c r="F560" s="4"/>
    </row>
    <row r="561" spans="1:6" x14ac:dyDescent="0.25">
      <c r="A561" s="4">
        <v>560</v>
      </c>
      <c r="B561" s="4"/>
      <c r="C561" s="4"/>
      <c r="D561" s="4"/>
      <c r="E561" s="4"/>
      <c r="F561" s="4"/>
    </row>
    <row r="562" spans="1:6" x14ac:dyDescent="0.25">
      <c r="A562" s="4">
        <v>561</v>
      </c>
      <c r="B562" s="4"/>
      <c r="C562" s="4"/>
      <c r="D562" s="4"/>
      <c r="E562" s="4"/>
      <c r="F562" s="4"/>
    </row>
    <row r="563" spans="1:6" x14ac:dyDescent="0.25">
      <c r="A563" s="4">
        <v>562</v>
      </c>
      <c r="B563" s="4"/>
      <c r="C563" s="4"/>
      <c r="D563" s="4"/>
      <c r="E563" s="4"/>
      <c r="F563" s="4"/>
    </row>
    <row r="564" spans="1:6" x14ac:dyDescent="0.25">
      <c r="A564" s="4">
        <v>563</v>
      </c>
      <c r="B564" s="4"/>
      <c r="C564" s="4"/>
      <c r="D564" s="4"/>
      <c r="E564" s="4"/>
      <c r="F564" s="4"/>
    </row>
    <row r="565" spans="1:6" x14ac:dyDescent="0.25">
      <c r="A565" s="4">
        <v>564</v>
      </c>
      <c r="B565" s="4"/>
      <c r="C565" s="4"/>
      <c r="D565" s="4"/>
      <c r="E565" s="4"/>
      <c r="F565" s="4"/>
    </row>
    <row r="566" spans="1:6" x14ac:dyDescent="0.25">
      <c r="A566" s="4">
        <v>565</v>
      </c>
      <c r="B566" s="4"/>
      <c r="C566" s="4"/>
      <c r="D566" s="4"/>
      <c r="E566" s="4"/>
      <c r="F566" s="4"/>
    </row>
    <row r="567" spans="1:6" x14ac:dyDescent="0.25">
      <c r="A567" s="4">
        <v>566</v>
      </c>
      <c r="B567" s="4"/>
      <c r="C567" s="4"/>
      <c r="D567" s="4"/>
      <c r="E567" s="4"/>
      <c r="F567" s="4"/>
    </row>
    <row r="568" spans="1:6" x14ac:dyDescent="0.25">
      <c r="A568" s="4">
        <v>567</v>
      </c>
      <c r="B568" s="4"/>
      <c r="C568" s="4"/>
      <c r="D568" s="4"/>
      <c r="E568" s="4"/>
      <c r="F568" s="4"/>
    </row>
    <row r="569" spans="1:6" x14ac:dyDescent="0.25">
      <c r="A569" s="4">
        <v>568</v>
      </c>
      <c r="B569" s="4"/>
      <c r="C569" s="4"/>
      <c r="D569" s="4"/>
      <c r="E569" s="4"/>
      <c r="F569" s="4"/>
    </row>
    <row r="570" spans="1:6" x14ac:dyDescent="0.25">
      <c r="A570" s="4">
        <v>569</v>
      </c>
      <c r="B570" s="4"/>
      <c r="C570" s="4"/>
      <c r="D570" s="4"/>
      <c r="E570" s="4"/>
      <c r="F570" s="4"/>
    </row>
    <row r="571" spans="1:6" x14ac:dyDescent="0.25">
      <c r="A571" s="4">
        <v>570</v>
      </c>
      <c r="B571" s="4"/>
      <c r="C571" s="4"/>
      <c r="D571" s="4"/>
      <c r="E571" s="4"/>
      <c r="F571" s="4"/>
    </row>
    <row r="572" spans="1:6" x14ac:dyDescent="0.25">
      <c r="A572" s="4">
        <v>571</v>
      </c>
      <c r="B572" s="4"/>
      <c r="C572" s="4"/>
      <c r="D572" s="4"/>
      <c r="E572" s="4"/>
      <c r="F572" s="4"/>
    </row>
    <row r="573" spans="1:6" x14ac:dyDescent="0.25">
      <c r="A573" s="4">
        <v>572</v>
      </c>
      <c r="B573" s="4"/>
      <c r="C573" s="4"/>
      <c r="D573" s="4"/>
      <c r="E573" s="4"/>
      <c r="F573" s="4"/>
    </row>
    <row r="574" spans="1:6" x14ac:dyDescent="0.25">
      <c r="A574" s="4">
        <v>573</v>
      </c>
      <c r="B574" s="4"/>
      <c r="C574" s="4"/>
      <c r="D574" s="4"/>
      <c r="E574" s="4"/>
      <c r="F574" s="4"/>
    </row>
    <row r="575" spans="1:6" x14ac:dyDescent="0.25">
      <c r="A575" s="4">
        <v>574</v>
      </c>
      <c r="B575" s="4"/>
      <c r="C575" s="4"/>
      <c r="D575" s="4"/>
      <c r="E575" s="4"/>
      <c r="F575" s="4"/>
    </row>
    <row r="576" spans="1:6" x14ac:dyDescent="0.25">
      <c r="A576" s="4">
        <v>575</v>
      </c>
      <c r="B576" s="4"/>
      <c r="C576" s="4"/>
      <c r="D576" s="4"/>
      <c r="E576" s="4"/>
      <c r="F576" s="4"/>
    </row>
    <row r="577" spans="1:6" x14ac:dyDescent="0.25">
      <c r="A577" s="4">
        <v>576</v>
      </c>
      <c r="B577" s="4"/>
      <c r="C577" s="4"/>
      <c r="D577" s="4"/>
      <c r="E577" s="4"/>
      <c r="F577" s="4"/>
    </row>
    <row r="578" spans="1:6" x14ac:dyDescent="0.25">
      <c r="A578" s="4">
        <v>577</v>
      </c>
      <c r="B578" s="4"/>
      <c r="C578" s="4"/>
      <c r="D578" s="4"/>
      <c r="E578" s="4"/>
      <c r="F578" s="4"/>
    </row>
    <row r="579" spans="1:6" x14ac:dyDescent="0.25">
      <c r="A579" s="4">
        <v>578</v>
      </c>
      <c r="B579" s="4"/>
      <c r="C579" s="4"/>
      <c r="D579" s="4"/>
      <c r="E579" s="4"/>
      <c r="F579" s="4"/>
    </row>
    <row r="580" spans="1:6" x14ac:dyDescent="0.25">
      <c r="A580" s="4">
        <v>579</v>
      </c>
      <c r="B580" s="4"/>
      <c r="C580" s="4"/>
      <c r="D580" s="4"/>
      <c r="E580" s="4"/>
      <c r="F580" s="4"/>
    </row>
    <row r="581" spans="1:6" x14ac:dyDescent="0.25">
      <c r="A581" s="4">
        <v>580</v>
      </c>
      <c r="B581" s="4"/>
      <c r="C581" s="4"/>
      <c r="D581" s="4"/>
      <c r="E581" s="4"/>
      <c r="F581" s="4"/>
    </row>
    <row r="582" spans="1:6" x14ac:dyDescent="0.25">
      <c r="A582" s="4">
        <v>581</v>
      </c>
      <c r="B582" s="4"/>
      <c r="C582" s="4"/>
      <c r="D582" s="4"/>
      <c r="E582" s="4"/>
      <c r="F582" s="4"/>
    </row>
    <row r="583" spans="1:6" x14ac:dyDescent="0.25">
      <c r="A583" s="4">
        <v>582</v>
      </c>
      <c r="B583" s="4"/>
      <c r="C583" s="4"/>
      <c r="D583" s="4"/>
      <c r="E583" s="4"/>
      <c r="F583" s="4"/>
    </row>
    <row r="584" spans="1:6" x14ac:dyDescent="0.25">
      <c r="A584" s="4">
        <v>583</v>
      </c>
      <c r="B584" s="4"/>
      <c r="C584" s="4"/>
      <c r="D584" s="4"/>
      <c r="E584" s="4"/>
      <c r="F584" s="4"/>
    </row>
    <row r="585" spans="1:6" x14ac:dyDescent="0.25">
      <c r="A585" s="4">
        <v>584</v>
      </c>
      <c r="B585" s="4"/>
      <c r="C585" s="4"/>
      <c r="D585" s="4"/>
      <c r="E585" s="4"/>
      <c r="F585" s="4"/>
    </row>
    <row r="586" spans="1:6" x14ac:dyDescent="0.25">
      <c r="A586" s="4">
        <v>585</v>
      </c>
      <c r="B586" s="4"/>
      <c r="C586" s="4"/>
      <c r="D586" s="4"/>
      <c r="E586" s="4"/>
      <c r="F586" s="4"/>
    </row>
    <row r="587" spans="1:6" x14ac:dyDescent="0.25">
      <c r="A587" s="4">
        <v>586</v>
      </c>
      <c r="B587" s="4"/>
      <c r="C587" s="4"/>
      <c r="D587" s="4"/>
      <c r="E587" s="4"/>
      <c r="F587" s="4"/>
    </row>
    <row r="588" spans="1:6" x14ac:dyDescent="0.25">
      <c r="A588" s="4">
        <v>587</v>
      </c>
      <c r="B588" s="4"/>
      <c r="C588" s="4"/>
      <c r="D588" s="4"/>
      <c r="E588" s="4"/>
      <c r="F588" s="4"/>
    </row>
    <row r="589" spans="1:6" x14ac:dyDescent="0.25">
      <c r="A589" s="4">
        <v>588</v>
      </c>
      <c r="B589" s="4"/>
      <c r="C589" s="4"/>
      <c r="D589" s="4"/>
      <c r="E589" s="4"/>
      <c r="F589" s="4"/>
    </row>
    <row r="590" spans="1:6" x14ac:dyDescent="0.25">
      <c r="A590" s="4">
        <v>589</v>
      </c>
      <c r="B590" s="4"/>
      <c r="C590" s="4"/>
      <c r="D590" s="4"/>
      <c r="E590" s="4"/>
      <c r="F590" s="4"/>
    </row>
    <row r="591" spans="1:6" x14ac:dyDescent="0.25">
      <c r="A591" s="4">
        <v>590</v>
      </c>
      <c r="B591" s="4"/>
      <c r="C591" s="4"/>
      <c r="D591" s="4"/>
      <c r="E591" s="4"/>
      <c r="F591" s="4"/>
    </row>
    <row r="592" spans="1:6" x14ac:dyDescent="0.25">
      <c r="A592" s="4">
        <v>591</v>
      </c>
      <c r="B592" s="4"/>
      <c r="C592" s="4"/>
      <c r="D592" s="4"/>
      <c r="E592" s="4"/>
      <c r="F592" s="4"/>
    </row>
    <row r="593" spans="1:6" x14ac:dyDescent="0.25">
      <c r="A593" s="4">
        <v>592</v>
      </c>
      <c r="B593" s="4"/>
      <c r="C593" s="4"/>
      <c r="D593" s="4"/>
      <c r="E593" s="4"/>
      <c r="F593" s="4"/>
    </row>
    <row r="594" spans="1:6" x14ac:dyDescent="0.25">
      <c r="A594" s="4">
        <v>593</v>
      </c>
      <c r="B594" s="4"/>
      <c r="C594" s="4"/>
      <c r="D594" s="4"/>
      <c r="E594" s="4"/>
      <c r="F594" s="4"/>
    </row>
    <row r="595" spans="1:6" x14ac:dyDescent="0.25">
      <c r="A595" s="4">
        <v>594</v>
      </c>
      <c r="B595" s="4"/>
      <c r="C595" s="4"/>
      <c r="D595" s="4"/>
      <c r="E595" s="4"/>
      <c r="F595" s="4"/>
    </row>
    <row r="596" spans="1:6" x14ac:dyDescent="0.25">
      <c r="A596" s="4">
        <v>595</v>
      </c>
      <c r="B596" s="4"/>
      <c r="C596" s="4"/>
      <c r="D596" s="4"/>
      <c r="E596" s="4"/>
      <c r="F596" s="4"/>
    </row>
    <row r="597" spans="1:6" x14ac:dyDescent="0.25">
      <c r="A597" s="4">
        <v>596</v>
      </c>
      <c r="B597" s="4"/>
      <c r="C597" s="4"/>
      <c r="D597" s="4"/>
      <c r="E597" s="4"/>
      <c r="F597" s="4"/>
    </row>
    <row r="598" spans="1:6" x14ac:dyDescent="0.25">
      <c r="A598" s="4">
        <v>597</v>
      </c>
      <c r="B598" s="4"/>
      <c r="C598" s="4"/>
      <c r="D598" s="4"/>
      <c r="E598" s="4"/>
      <c r="F598" s="4"/>
    </row>
    <row r="599" spans="1:6" x14ac:dyDescent="0.25">
      <c r="A599" s="4">
        <v>598</v>
      </c>
      <c r="B599" s="4"/>
      <c r="C599" s="4"/>
      <c r="D599" s="4"/>
      <c r="E599" s="4"/>
      <c r="F599" s="4"/>
    </row>
    <row r="600" spans="1:6" x14ac:dyDescent="0.25">
      <c r="A600" s="4">
        <v>599</v>
      </c>
      <c r="B600" s="4"/>
      <c r="C600" s="4"/>
      <c r="D600" s="4"/>
      <c r="E600" s="4"/>
      <c r="F600" s="4"/>
    </row>
    <row r="601" spans="1:6" x14ac:dyDescent="0.25">
      <c r="A601" s="4">
        <v>600</v>
      </c>
      <c r="B601" s="4"/>
      <c r="C601" s="4"/>
      <c r="D601" s="4"/>
      <c r="E601" s="4"/>
      <c r="F601" s="4"/>
    </row>
    <row r="602" spans="1:6" x14ac:dyDescent="0.25">
      <c r="A602" s="4">
        <v>601</v>
      </c>
      <c r="B602" s="4"/>
      <c r="C602" s="4"/>
      <c r="D602" s="4"/>
      <c r="E602" s="4"/>
      <c r="F602" s="4"/>
    </row>
    <row r="603" spans="1:6" x14ac:dyDescent="0.25">
      <c r="A603" s="4">
        <v>602</v>
      </c>
      <c r="B603" s="4"/>
      <c r="C603" s="4"/>
      <c r="D603" s="4"/>
      <c r="E603" s="4"/>
      <c r="F603" s="4"/>
    </row>
    <row r="604" spans="1:6" x14ac:dyDescent="0.25">
      <c r="A604" s="4">
        <v>603</v>
      </c>
      <c r="B604" s="4"/>
      <c r="C604" s="4"/>
      <c r="D604" s="4"/>
      <c r="E604" s="4"/>
      <c r="F604" s="4"/>
    </row>
    <row r="605" spans="1:6" x14ac:dyDescent="0.25">
      <c r="A605" s="4">
        <v>604</v>
      </c>
      <c r="B605" s="4"/>
      <c r="C605" s="4"/>
      <c r="D605" s="4"/>
      <c r="E605" s="4"/>
      <c r="F605" s="4"/>
    </row>
    <row r="606" spans="1:6" x14ac:dyDescent="0.25">
      <c r="A606" s="4">
        <v>605</v>
      </c>
      <c r="B606" s="4"/>
      <c r="C606" s="4"/>
      <c r="D606" s="4"/>
      <c r="E606" s="4"/>
      <c r="F606" s="4"/>
    </row>
    <row r="607" spans="1:6" x14ac:dyDescent="0.25">
      <c r="A607" s="4">
        <v>606</v>
      </c>
      <c r="B607" s="4"/>
      <c r="C607" s="4"/>
      <c r="D607" s="4"/>
      <c r="E607" s="4"/>
      <c r="F607" s="4"/>
    </row>
    <row r="608" spans="1:6" x14ac:dyDescent="0.25">
      <c r="A608" s="4">
        <v>607</v>
      </c>
      <c r="B608" s="4"/>
      <c r="C608" s="4"/>
      <c r="D608" s="4"/>
      <c r="E608" s="4"/>
      <c r="F608" s="4"/>
    </row>
    <row r="609" spans="1:6" x14ac:dyDescent="0.25">
      <c r="A609" s="4">
        <v>608</v>
      </c>
      <c r="B609" s="4"/>
      <c r="C609" s="4"/>
      <c r="D609" s="4"/>
      <c r="E609" s="4"/>
      <c r="F609" s="4"/>
    </row>
    <row r="610" spans="1:6" x14ac:dyDescent="0.25">
      <c r="A610" s="4">
        <v>609</v>
      </c>
      <c r="B610" s="4"/>
      <c r="C610" s="4"/>
      <c r="D610" s="4"/>
      <c r="E610" s="4"/>
      <c r="F610" s="4"/>
    </row>
    <row r="611" spans="1:6" x14ac:dyDescent="0.25">
      <c r="A611" s="4">
        <v>610</v>
      </c>
      <c r="B611" s="4"/>
      <c r="C611" s="4"/>
      <c r="D611" s="4"/>
      <c r="E611" s="4"/>
      <c r="F611" s="4"/>
    </row>
    <row r="612" spans="1:6" x14ac:dyDescent="0.25">
      <c r="A612" s="4">
        <v>611</v>
      </c>
      <c r="B612" s="4"/>
      <c r="C612" s="4"/>
      <c r="D612" s="4"/>
      <c r="E612" s="4"/>
      <c r="F612" s="4"/>
    </row>
    <row r="613" spans="1:6" x14ac:dyDescent="0.25">
      <c r="A613" s="4">
        <v>612</v>
      </c>
      <c r="B613" s="4"/>
      <c r="C613" s="4"/>
      <c r="D613" s="4"/>
      <c r="E613" s="4"/>
      <c r="F613" s="4"/>
    </row>
    <row r="614" spans="1:6" x14ac:dyDescent="0.25">
      <c r="A614" s="4">
        <v>613</v>
      </c>
      <c r="B614" s="4"/>
      <c r="C614" s="4"/>
      <c r="D614" s="4"/>
      <c r="E614" s="4"/>
      <c r="F614" s="4"/>
    </row>
    <row r="615" spans="1:6" x14ac:dyDescent="0.25">
      <c r="A615" s="4">
        <v>614</v>
      </c>
      <c r="B615" s="4"/>
      <c r="C615" s="4"/>
      <c r="D615" s="4"/>
      <c r="E615" s="4"/>
      <c r="F615" s="4"/>
    </row>
    <row r="616" spans="1:6" x14ac:dyDescent="0.25">
      <c r="A616" s="4">
        <v>615</v>
      </c>
      <c r="B616" s="4"/>
      <c r="C616" s="4"/>
      <c r="D616" s="4"/>
      <c r="E616" s="4"/>
      <c r="F616" s="4"/>
    </row>
    <row r="617" spans="1:6" x14ac:dyDescent="0.25">
      <c r="A617" s="4">
        <v>616</v>
      </c>
      <c r="B617" s="4"/>
      <c r="C617" s="4"/>
      <c r="D617" s="4"/>
      <c r="E617" s="4"/>
      <c r="F617" s="4"/>
    </row>
    <row r="618" spans="1:6" x14ac:dyDescent="0.25">
      <c r="A618" s="4">
        <v>617</v>
      </c>
      <c r="B618" s="4"/>
      <c r="C618" s="4"/>
      <c r="D618" s="4"/>
      <c r="E618" s="4"/>
      <c r="F618" s="4"/>
    </row>
    <row r="619" spans="1:6" x14ac:dyDescent="0.25">
      <c r="A619" s="4">
        <v>618</v>
      </c>
      <c r="B619" s="4"/>
      <c r="C619" s="4"/>
      <c r="D619" s="4"/>
      <c r="E619" s="4"/>
      <c r="F619" s="4"/>
    </row>
    <row r="620" spans="1:6" x14ac:dyDescent="0.25">
      <c r="A620" s="4">
        <v>619</v>
      </c>
      <c r="B620" s="4"/>
      <c r="C620" s="4"/>
      <c r="D620" s="4"/>
      <c r="E620" s="4"/>
      <c r="F620" s="4"/>
    </row>
    <row r="621" spans="1:6" x14ac:dyDescent="0.25">
      <c r="A621" s="4">
        <v>620</v>
      </c>
      <c r="B621" s="4"/>
      <c r="C621" s="4"/>
      <c r="D621" s="4"/>
      <c r="E621" s="4"/>
      <c r="F621" s="4"/>
    </row>
    <row r="622" spans="1:6" x14ac:dyDescent="0.25">
      <c r="A622" s="4">
        <v>621</v>
      </c>
      <c r="B622" s="4"/>
      <c r="C622" s="4"/>
      <c r="D622" s="4"/>
      <c r="E622" s="4"/>
      <c r="F622" s="4"/>
    </row>
    <row r="623" spans="1:6" x14ac:dyDescent="0.25">
      <c r="A623" s="4">
        <v>622</v>
      </c>
      <c r="B623" s="4"/>
      <c r="C623" s="4"/>
      <c r="D623" s="4"/>
      <c r="E623" s="4"/>
      <c r="F623" s="4"/>
    </row>
    <row r="624" spans="1:6" x14ac:dyDescent="0.25">
      <c r="A624" s="4">
        <v>623</v>
      </c>
      <c r="B624" s="4"/>
      <c r="C624" s="4"/>
      <c r="D624" s="4"/>
      <c r="E624" s="4"/>
      <c r="F624" s="4"/>
    </row>
    <row r="625" spans="1:6" x14ac:dyDescent="0.25">
      <c r="A625" s="4">
        <v>624</v>
      </c>
      <c r="B625" s="4"/>
      <c r="C625" s="4"/>
      <c r="D625" s="4"/>
      <c r="E625" s="4"/>
      <c r="F625" s="4"/>
    </row>
    <row r="626" spans="1:6" x14ac:dyDescent="0.25">
      <c r="A626" s="4">
        <v>625</v>
      </c>
      <c r="B626" s="4"/>
      <c r="C626" s="4"/>
      <c r="D626" s="4"/>
      <c r="E626" s="4"/>
      <c r="F626" s="4"/>
    </row>
    <row r="627" spans="1:6" x14ac:dyDescent="0.25">
      <c r="A627" s="4">
        <v>626</v>
      </c>
      <c r="B627" s="4"/>
      <c r="C627" s="4"/>
      <c r="D627" s="4"/>
      <c r="E627" s="4"/>
      <c r="F627" s="4"/>
    </row>
    <row r="628" spans="1:6" x14ac:dyDescent="0.25">
      <c r="A628" s="4">
        <v>627</v>
      </c>
      <c r="B628" s="4"/>
      <c r="C628" s="4"/>
      <c r="D628" s="4"/>
      <c r="E628" s="4"/>
      <c r="F628" s="4"/>
    </row>
    <row r="629" spans="1:6" x14ac:dyDescent="0.25">
      <c r="A629" s="4">
        <v>628</v>
      </c>
      <c r="B629" s="4"/>
      <c r="C629" s="4"/>
      <c r="D629" s="4"/>
      <c r="E629" s="4"/>
      <c r="F629" s="4"/>
    </row>
    <row r="630" spans="1:6" x14ac:dyDescent="0.25">
      <c r="A630" s="4">
        <v>629</v>
      </c>
      <c r="B630" s="4"/>
      <c r="C630" s="4"/>
      <c r="D630" s="4"/>
      <c r="E630" s="4"/>
      <c r="F630" s="4"/>
    </row>
    <row r="631" spans="1:6" x14ac:dyDescent="0.25">
      <c r="A631" s="4">
        <v>630</v>
      </c>
      <c r="B631" s="4"/>
      <c r="C631" s="4"/>
      <c r="D631" s="4"/>
      <c r="E631" s="4"/>
      <c r="F631" s="4"/>
    </row>
    <row r="632" spans="1:6" x14ac:dyDescent="0.25">
      <c r="A632" s="4">
        <v>631</v>
      </c>
      <c r="B632" s="4"/>
      <c r="C632" s="4"/>
      <c r="D632" s="4"/>
      <c r="E632" s="4"/>
      <c r="F632" s="4"/>
    </row>
    <row r="633" spans="1:6" x14ac:dyDescent="0.25">
      <c r="A633" s="4">
        <v>632</v>
      </c>
      <c r="B633" s="4"/>
      <c r="C633" s="4"/>
      <c r="D633" s="4"/>
      <c r="E633" s="4"/>
      <c r="F633" s="4"/>
    </row>
    <row r="634" spans="1:6" x14ac:dyDescent="0.25">
      <c r="A634" s="4">
        <v>633</v>
      </c>
      <c r="B634" s="4"/>
      <c r="C634" s="4"/>
      <c r="D634" s="4"/>
      <c r="E634" s="4"/>
      <c r="F634" s="4"/>
    </row>
    <row r="635" spans="1:6" x14ac:dyDescent="0.25">
      <c r="A635" s="4">
        <v>634</v>
      </c>
      <c r="B635" s="4"/>
      <c r="C635" s="4"/>
      <c r="D635" s="4"/>
      <c r="E635" s="4"/>
      <c r="F635" s="4"/>
    </row>
    <row r="636" spans="1:6" x14ac:dyDescent="0.25">
      <c r="A636" s="4">
        <v>635</v>
      </c>
      <c r="B636" s="4"/>
      <c r="C636" s="4"/>
      <c r="D636" s="4"/>
      <c r="E636" s="4"/>
      <c r="F636" s="4"/>
    </row>
    <row r="637" spans="1:6" x14ac:dyDescent="0.25">
      <c r="A637" s="4">
        <v>636</v>
      </c>
      <c r="B637" s="4"/>
      <c r="C637" s="4"/>
      <c r="D637" s="4"/>
      <c r="E637" s="4"/>
      <c r="F637" s="4"/>
    </row>
    <row r="638" spans="1:6" x14ac:dyDescent="0.25">
      <c r="A638" s="4">
        <v>637</v>
      </c>
      <c r="B638" s="4"/>
      <c r="C638" s="4"/>
      <c r="D638" s="4"/>
      <c r="E638" s="4"/>
      <c r="F638" s="4"/>
    </row>
    <row r="639" spans="1:6" x14ac:dyDescent="0.25">
      <c r="A639" s="4">
        <v>638</v>
      </c>
      <c r="B639" s="4"/>
      <c r="C639" s="4"/>
      <c r="D639" s="4"/>
      <c r="E639" s="4"/>
      <c r="F639" s="4"/>
    </row>
    <row r="640" spans="1:6" x14ac:dyDescent="0.25">
      <c r="A640" s="4">
        <v>639</v>
      </c>
      <c r="B640" s="4"/>
      <c r="C640" s="4"/>
      <c r="D640" s="4"/>
      <c r="E640" s="4"/>
      <c r="F640" s="4"/>
    </row>
    <row r="641" spans="1:6" x14ac:dyDescent="0.25">
      <c r="A641" s="4">
        <v>640</v>
      </c>
      <c r="B641" s="4"/>
      <c r="C641" s="4"/>
      <c r="D641" s="4"/>
      <c r="E641" s="4"/>
      <c r="F641" s="4"/>
    </row>
    <row r="642" spans="1:6" x14ac:dyDescent="0.25">
      <c r="A642" s="4">
        <v>641</v>
      </c>
      <c r="B642" s="4"/>
      <c r="C642" s="4"/>
      <c r="D642" s="4"/>
      <c r="E642" s="4"/>
      <c r="F642" s="4"/>
    </row>
    <row r="643" spans="1:6" x14ac:dyDescent="0.25">
      <c r="A643" s="4">
        <v>642</v>
      </c>
      <c r="B643" s="4"/>
      <c r="C643" s="4"/>
      <c r="D643" s="4"/>
      <c r="E643" s="4"/>
      <c r="F643" s="4"/>
    </row>
    <row r="644" spans="1:6" x14ac:dyDescent="0.25">
      <c r="A644" s="4">
        <v>643</v>
      </c>
      <c r="B644" s="4"/>
      <c r="C644" s="4"/>
      <c r="D644" s="4"/>
      <c r="E644" s="4"/>
      <c r="F644" s="4"/>
    </row>
    <row r="645" spans="1:6" x14ac:dyDescent="0.25">
      <c r="A645" s="4">
        <v>644</v>
      </c>
      <c r="B645" s="4"/>
      <c r="C645" s="4"/>
      <c r="D645" s="4"/>
      <c r="E645" s="4"/>
      <c r="F645" s="4"/>
    </row>
    <row r="646" spans="1:6" x14ac:dyDescent="0.25">
      <c r="A646" s="4">
        <v>645</v>
      </c>
      <c r="B646" s="4"/>
      <c r="C646" s="4"/>
      <c r="D646" s="4"/>
      <c r="E646" s="4"/>
      <c r="F646" s="4"/>
    </row>
    <row r="647" spans="1:6" x14ac:dyDescent="0.25">
      <c r="A647" s="4">
        <v>646</v>
      </c>
      <c r="B647" s="4"/>
      <c r="C647" s="4"/>
      <c r="D647" s="4"/>
      <c r="E647" s="4"/>
      <c r="F647" s="4"/>
    </row>
    <row r="648" spans="1:6" x14ac:dyDescent="0.25">
      <c r="A648" s="4">
        <v>647</v>
      </c>
      <c r="B648" s="4"/>
      <c r="C648" s="4"/>
      <c r="D648" s="4"/>
      <c r="E648" s="4"/>
      <c r="F648" s="4"/>
    </row>
    <row r="649" spans="1:6" x14ac:dyDescent="0.25">
      <c r="A649" s="4">
        <v>648</v>
      </c>
      <c r="B649" s="4"/>
      <c r="C649" s="4"/>
      <c r="D649" s="4"/>
      <c r="E649" s="4"/>
      <c r="F649" s="4"/>
    </row>
    <row r="650" spans="1:6" x14ac:dyDescent="0.25">
      <c r="A650" s="4">
        <v>649</v>
      </c>
      <c r="B650" s="4"/>
      <c r="C650" s="4"/>
      <c r="D650" s="4"/>
      <c r="E650" s="4"/>
      <c r="F650" s="4"/>
    </row>
    <row r="651" spans="1:6" x14ac:dyDescent="0.25">
      <c r="A651" s="4">
        <v>650</v>
      </c>
      <c r="B651" s="4"/>
      <c r="C651" s="4"/>
      <c r="D651" s="4"/>
      <c r="E651" s="4"/>
      <c r="F651" s="4"/>
    </row>
    <row r="652" spans="1:6" x14ac:dyDescent="0.25">
      <c r="A652" s="4">
        <v>651</v>
      </c>
      <c r="B652" s="4"/>
      <c r="C652" s="4"/>
      <c r="D652" s="4"/>
      <c r="E652" s="4"/>
      <c r="F652" s="4"/>
    </row>
    <row r="653" spans="1:6" x14ac:dyDescent="0.25">
      <c r="A653" s="4">
        <v>652</v>
      </c>
      <c r="B653" s="4"/>
      <c r="C653" s="4"/>
      <c r="D653" s="4"/>
      <c r="E653" s="4"/>
      <c r="F653" s="4"/>
    </row>
    <row r="654" spans="1:6" x14ac:dyDescent="0.25">
      <c r="A654" s="4">
        <v>653</v>
      </c>
      <c r="B654" s="4"/>
      <c r="C654" s="4"/>
      <c r="D654" s="4"/>
      <c r="E654" s="4"/>
      <c r="F654" s="4"/>
    </row>
    <row r="655" spans="1:6" x14ac:dyDescent="0.25">
      <c r="A655" s="4">
        <v>654</v>
      </c>
      <c r="B655" s="4"/>
      <c r="C655" s="4"/>
      <c r="D655" s="4"/>
      <c r="E655" s="4"/>
      <c r="F655" s="4"/>
    </row>
    <row r="656" spans="1:6" x14ac:dyDescent="0.25">
      <c r="A656" s="4">
        <v>655</v>
      </c>
      <c r="B656" s="4"/>
      <c r="C656" s="4"/>
      <c r="D656" s="4"/>
      <c r="E656" s="4"/>
      <c r="F656" s="4"/>
    </row>
    <row r="657" spans="1:6" x14ac:dyDescent="0.25">
      <c r="A657" s="4">
        <v>656</v>
      </c>
      <c r="B657" s="4"/>
      <c r="C657" s="4"/>
      <c r="D657" s="4"/>
      <c r="E657" s="4"/>
      <c r="F657" s="4"/>
    </row>
    <row r="658" spans="1:6" x14ac:dyDescent="0.25">
      <c r="A658" s="4">
        <v>657</v>
      </c>
      <c r="B658" s="4"/>
      <c r="C658" s="4"/>
      <c r="D658" s="4"/>
      <c r="E658" s="4"/>
      <c r="F658" s="4"/>
    </row>
    <row r="659" spans="1:6" x14ac:dyDescent="0.25">
      <c r="A659" s="4">
        <v>658</v>
      </c>
      <c r="B659" s="4"/>
      <c r="C659" s="4"/>
      <c r="D659" s="4"/>
      <c r="E659" s="4"/>
      <c r="F659" s="4"/>
    </row>
    <row r="660" spans="1:6" x14ac:dyDescent="0.25">
      <c r="A660" s="4">
        <v>659</v>
      </c>
      <c r="B660" s="4"/>
      <c r="C660" s="4"/>
      <c r="D660" s="4"/>
      <c r="E660" s="4"/>
      <c r="F660" s="4"/>
    </row>
    <row r="661" spans="1:6" x14ac:dyDescent="0.25">
      <c r="A661" s="4">
        <v>660</v>
      </c>
      <c r="B661" s="4"/>
      <c r="C661" s="4"/>
      <c r="D661" s="4"/>
      <c r="E661" s="4"/>
      <c r="F661" s="4"/>
    </row>
    <row r="662" spans="1:6" x14ac:dyDescent="0.25">
      <c r="A662" s="4">
        <v>661</v>
      </c>
      <c r="B662" s="4"/>
      <c r="C662" s="4"/>
      <c r="D662" s="4"/>
      <c r="E662" s="4"/>
      <c r="F662" s="4"/>
    </row>
    <row r="663" spans="1:6" x14ac:dyDescent="0.25">
      <c r="A663" s="4">
        <v>662</v>
      </c>
      <c r="B663" s="4"/>
      <c r="C663" s="4"/>
      <c r="D663" s="4"/>
      <c r="E663" s="4"/>
      <c r="F663" s="4"/>
    </row>
    <row r="664" spans="1:6" x14ac:dyDescent="0.25">
      <c r="A664" s="4">
        <v>663</v>
      </c>
      <c r="B664" s="4"/>
      <c r="C664" s="4"/>
      <c r="D664" s="4"/>
      <c r="E664" s="4"/>
      <c r="F664" s="4"/>
    </row>
    <row r="665" spans="1:6" x14ac:dyDescent="0.25">
      <c r="A665" s="4">
        <v>664</v>
      </c>
      <c r="B665" s="4"/>
      <c r="C665" s="4"/>
      <c r="D665" s="4"/>
      <c r="E665" s="4"/>
      <c r="F665" s="4"/>
    </row>
    <row r="666" spans="1:6" x14ac:dyDescent="0.25">
      <c r="A666" s="4">
        <v>665</v>
      </c>
      <c r="B666" s="4"/>
      <c r="C666" s="4"/>
      <c r="D666" s="4"/>
      <c r="E666" s="4"/>
      <c r="F666" s="4"/>
    </row>
    <row r="667" spans="1:6" x14ac:dyDescent="0.25">
      <c r="A667" s="4">
        <v>666</v>
      </c>
      <c r="B667" s="4"/>
      <c r="C667" s="4"/>
      <c r="D667" s="4"/>
      <c r="E667" s="4"/>
      <c r="F667" s="4"/>
    </row>
    <row r="668" spans="1:6" x14ac:dyDescent="0.25">
      <c r="A668" s="4">
        <v>667</v>
      </c>
      <c r="B668" s="4"/>
      <c r="C668" s="4"/>
      <c r="D668" s="4"/>
      <c r="E668" s="4"/>
      <c r="F668" s="4"/>
    </row>
    <row r="669" spans="1:6" x14ac:dyDescent="0.25">
      <c r="A669" s="4">
        <v>668</v>
      </c>
      <c r="B669" s="4"/>
      <c r="C669" s="4"/>
      <c r="D669" s="4"/>
      <c r="E669" s="4"/>
      <c r="F669" s="4"/>
    </row>
    <row r="670" spans="1:6" x14ac:dyDescent="0.25">
      <c r="A670" s="4">
        <v>669</v>
      </c>
      <c r="B670" s="4"/>
      <c r="C670" s="4"/>
      <c r="D670" s="4"/>
      <c r="E670" s="4"/>
      <c r="F670" s="4"/>
    </row>
    <row r="671" spans="1:6" x14ac:dyDescent="0.25">
      <c r="A671" s="4">
        <v>670</v>
      </c>
      <c r="B671" s="4"/>
      <c r="C671" s="4"/>
      <c r="D671" s="4"/>
      <c r="E671" s="4"/>
      <c r="F671" s="4"/>
    </row>
    <row r="672" spans="1:6" x14ac:dyDescent="0.25">
      <c r="A672" s="4">
        <v>671</v>
      </c>
      <c r="B672" s="4"/>
      <c r="C672" s="4"/>
      <c r="D672" s="4"/>
      <c r="E672" s="4"/>
      <c r="F672" s="4"/>
    </row>
    <row r="673" spans="1:6" x14ac:dyDescent="0.25">
      <c r="A673" s="4">
        <v>672</v>
      </c>
      <c r="B673" s="4"/>
      <c r="C673" s="4"/>
      <c r="D673" s="4"/>
      <c r="E673" s="4"/>
      <c r="F673" s="4"/>
    </row>
    <row r="674" spans="1:6" x14ac:dyDescent="0.25">
      <c r="A674" s="4">
        <v>673</v>
      </c>
      <c r="B674" s="4"/>
      <c r="C674" s="4"/>
      <c r="D674" s="4"/>
      <c r="E674" s="4"/>
      <c r="F674" s="4"/>
    </row>
    <row r="675" spans="1:6" x14ac:dyDescent="0.25">
      <c r="A675" s="4">
        <v>674</v>
      </c>
      <c r="B675" s="4"/>
      <c r="C675" s="4"/>
      <c r="D675" s="4"/>
      <c r="E675" s="4"/>
      <c r="F675" s="4"/>
    </row>
    <row r="676" spans="1:6" x14ac:dyDescent="0.25">
      <c r="A676" s="4">
        <v>675</v>
      </c>
      <c r="B676" s="4"/>
      <c r="C676" s="4"/>
      <c r="D676" s="4"/>
      <c r="E676" s="4"/>
      <c r="F676" s="4"/>
    </row>
    <row r="677" spans="1:6" x14ac:dyDescent="0.25">
      <c r="A677" s="4">
        <v>676</v>
      </c>
      <c r="B677" s="4"/>
      <c r="C677" s="4"/>
      <c r="D677" s="4"/>
      <c r="E677" s="4"/>
      <c r="F677" s="4"/>
    </row>
    <row r="678" spans="1:6" x14ac:dyDescent="0.25">
      <c r="A678" s="4">
        <v>677</v>
      </c>
      <c r="B678" s="4"/>
      <c r="C678" s="4"/>
      <c r="D678" s="4"/>
      <c r="E678" s="4"/>
      <c r="F678" s="4"/>
    </row>
    <row r="679" spans="1:6" x14ac:dyDescent="0.25">
      <c r="A679" s="4">
        <v>678</v>
      </c>
      <c r="B679" s="4"/>
      <c r="C679" s="4"/>
      <c r="D679" s="4"/>
      <c r="E679" s="4"/>
      <c r="F679" s="4"/>
    </row>
    <row r="680" spans="1:6" x14ac:dyDescent="0.25">
      <c r="A680" s="4">
        <v>679</v>
      </c>
      <c r="B680" s="4"/>
      <c r="C680" s="4"/>
      <c r="D680" s="4"/>
      <c r="E680" s="4"/>
      <c r="F680" s="4"/>
    </row>
    <row r="681" spans="1:6" x14ac:dyDescent="0.25">
      <c r="A681" s="4">
        <v>680</v>
      </c>
      <c r="B681" s="4"/>
      <c r="C681" s="4"/>
      <c r="D681" s="4"/>
      <c r="E681" s="4"/>
      <c r="F681" s="4"/>
    </row>
    <row r="682" spans="1:6" x14ac:dyDescent="0.25">
      <c r="A682" s="4">
        <v>681</v>
      </c>
      <c r="B682" s="4"/>
      <c r="C682" s="4"/>
      <c r="D682" s="4"/>
      <c r="E682" s="4"/>
      <c r="F682" s="4"/>
    </row>
    <row r="683" spans="1:6" x14ac:dyDescent="0.25">
      <c r="A683" s="4">
        <v>682</v>
      </c>
      <c r="B683" s="4"/>
      <c r="C683" s="4"/>
      <c r="D683" s="4"/>
      <c r="E683" s="4"/>
      <c r="F683" s="4"/>
    </row>
    <row r="684" spans="1:6" x14ac:dyDescent="0.25">
      <c r="A684" s="4">
        <v>683</v>
      </c>
      <c r="B684" s="4"/>
      <c r="C684" s="4"/>
      <c r="D684" s="4"/>
      <c r="E684" s="4"/>
      <c r="F684" s="4"/>
    </row>
    <row r="685" spans="1:6" x14ac:dyDescent="0.25">
      <c r="A685" s="4">
        <v>684</v>
      </c>
      <c r="B685" s="4"/>
      <c r="C685" s="4"/>
      <c r="D685" s="4"/>
      <c r="E685" s="4"/>
      <c r="F685" s="4"/>
    </row>
    <row r="686" spans="1:6" x14ac:dyDescent="0.25">
      <c r="A686" s="4">
        <v>685</v>
      </c>
      <c r="B686" s="4"/>
      <c r="C686" s="4"/>
      <c r="D686" s="4"/>
      <c r="E686" s="4"/>
      <c r="F686" s="4"/>
    </row>
    <row r="687" spans="1:6" x14ac:dyDescent="0.25">
      <c r="A687" s="4">
        <v>686</v>
      </c>
      <c r="B687" s="4"/>
      <c r="C687" s="4"/>
      <c r="D687" s="4"/>
      <c r="E687" s="4"/>
      <c r="F687" s="4"/>
    </row>
    <row r="688" spans="1:6" x14ac:dyDescent="0.25">
      <c r="A688" s="4">
        <v>687</v>
      </c>
      <c r="B688" s="4"/>
      <c r="C688" s="4"/>
      <c r="D688" s="4"/>
      <c r="E688" s="4"/>
      <c r="F688" s="4"/>
    </row>
    <row r="689" spans="1:6" x14ac:dyDescent="0.25">
      <c r="A689" s="4">
        <v>688</v>
      </c>
      <c r="B689" s="4"/>
      <c r="C689" s="4"/>
      <c r="D689" s="4"/>
      <c r="E689" s="4"/>
      <c r="F689" s="4"/>
    </row>
    <row r="690" spans="1:6" x14ac:dyDescent="0.25">
      <c r="A690" s="4">
        <v>689</v>
      </c>
      <c r="B690" s="4"/>
      <c r="C690" s="4"/>
      <c r="D690" s="4"/>
      <c r="E690" s="4"/>
      <c r="F690" s="4"/>
    </row>
    <row r="691" spans="1:6" x14ac:dyDescent="0.25">
      <c r="A691" s="4">
        <v>690</v>
      </c>
      <c r="B691" s="4"/>
      <c r="C691" s="4"/>
      <c r="D691" s="4"/>
      <c r="E691" s="4"/>
      <c r="F691" s="4"/>
    </row>
    <row r="692" spans="1:6" x14ac:dyDescent="0.25">
      <c r="A692" s="4">
        <v>691</v>
      </c>
      <c r="B692" s="4"/>
      <c r="C692" s="4"/>
      <c r="D692" s="4"/>
      <c r="E692" s="4"/>
      <c r="F692" s="4"/>
    </row>
    <row r="693" spans="1:6" x14ac:dyDescent="0.25">
      <c r="A693" s="4">
        <v>692</v>
      </c>
      <c r="B693" s="4"/>
      <c r="C693" s="4"/>
      <c r="D693" s="4"/>
      <c r="E693" s="4"/>
      <c r="F693" s="4"/>
    </row>
    <row r="694" spans="1:6" x14ac:dyDescent="0.25">
      <c r="A694" s="4">
        <v>693</v>
      </c>
      <c r="B694" s="4"/>
      <c r="C694" s="4"/>
      <c r="D694" s="4"/>
      <c r="E694" s="4"/>
      <c r="F694" s="4"/>
    </row>
    <row r="695" spans="1:6" x14ac:dyDescent="0.25">
      <c r="A695" s="4">
        <v>694</v>
      </c>
      <c r="B695" s="4"/>
      <c r="C695" s="4"/>
      <c r="D695" s="4"/>
      <c r="E695" s="4"/>
      <c r="F695" s="4"/>
    </row>
    <row r="696" spans="1:6" x14ac:dyDescent="0.25">
      <c r="A696" s="4">
        <v>695</v>
      </c>
      <c r="B696" s="4"/>
      <c r="C696" s="4"/>
      <c r="D696" s="4"/>
      <c r="E696" s="4"/>
      <c r="F696" s="4"/>
    </row>
    <row r="697" spans="1:6" x14ac:dyDescent="0.25">
      <c r="A697" s="4">
        <v>696</v>
      </c>
      <c r="B697" s="4"/>
      <c r="C697" s="4"/>
      <c r="D697" s="4"/>
      <c r="E697" s="4"/>
      <c r="F697" s="4"/>
    </row>
    <row r="698" spans="1:6" x14ac:dyDescent="0.25">
      <c r="A698" s="4">
        <v>697</v>
      </c>
      <c r="B698" s="4"/>
      <c r="C698" s="4"/>
      <c r="D698" s="4"/>
      <c r="E698" s="4"/>
      <c r="F698" s="4"/>
    </row>
    <row r="699" spans="1:6" x14ac:dyDescent="0.25">
      <c r="A699" s="4">
        <v>698</v>
      </c>
      <c r="B699" s="4"/>
      <c r="C699" s="4"/>
      <c r="D699" s="4"/>
      <c r="E699" s="4"/>
      <c r="F699" s="4"/>
    </row>
    <row r="700" spans="1:6" x14ac:dyDescent="0.25">
      <c r="A700" s="4">
        <v>699</v>
      </c>
      <c r="B700" s="4"/>
      <c r="C700" s="4"/>
      <c r="D700" s="4"/>
      <c r="E700" s="4"/>
      <c r="F700" s="4"/>
    </row>
    <row r="701" spans="1:6" x14ac:dyDescent="0.25">
      <c r="A701" s="4">
        <v>700</v>
      </c>
      <c r="B701" s="4"/>
      <c r="C701" s="4"/>
      <c r="D701" s="4"/>
      <c r="E701" s="4"/>
      <c r="F701" s="4"/>
    </row>
    <row r="702" spans="1:6" x14ac:dyDescent="0.25">
      <c r="A702" s="4">
        <v>701</v>
      </c>
      <c r="B702" s="4"/>
      <c r="C702" s="4"/>
      <c r="D702" s="4"/>
      <c r="E702" s="4"/>
      <c r="F702" s="4"/>
    </row>
    <row r="703" spans="1:6" x14ac:dyDescent="0.25">
      <c r="A703" s="4">
        <v>702</v>
      </c>
      <c r="B703" s="4"/>
      <c r="C703" s="4"/>
      <c r="D703" s="4"/>
      <c r="E703" s="4"/>
      <c r="F703" s="4"/>
    </row>
    <row r="704" spans="1:6" x14ac:dyDescent="0.25">
      <c r="A704" s="4">
        <v>703</v>
      </c>
      <c r="B704" s="4"/>
      <c r="C704" s="4"/>
      <c r="D704" s="4"/>
      <c r="E704" s="4"/>
      <c r="F704" s="4"/>
    </row>
    <row r="705" spans="1:6" x14ac:dyDescent="0.25">
      <c r="A705" s="4">
        <v>704</v>
      </c>
      <c r="B705" s="4"/>
      <c r="C705" s="4"/>
      <c r="D705" s="4"/>
      <c r="E705" s="4"/>
      <c r="F705" s="4"/>
    </row>
    <row r="706" spans="1:6" x14ac:dyDescent="0.25">
      <c r="A706" s="4">
        <v>705</v>
      </c>
      <c r="B706" s="4"/>
      <c r="C706" s="4"/>
      <c r="D706" s="4"/>
      <c r="E706" s="4"/>
      <c r="F706" s="4"/>
    </row>
    <row r="707" spans="1:6" x14ac:dyDescent="0.25">
      <c r="A707" s="4">
        <v>706</v>
      </c>
      <c r="B707" s="4"/>
      <c r="C707" s="4"/>
      <c r="D707" s="4"/>
      <c r="E707" s="4"/>
      <c r="F707" s="4"/>
    </row>
    <row r="708" spans="1:6" x14ac:dyDescent="0.25">
      <c r="A708" s="4">
        <v>707</v>
      </c>
      <c r="B708" s="4"/>
      <c r="C708" s="4"/>
      <c r="D708" s="4"/>
      <c r="E708" s="4"/>
      <c r="F708" s="4"/>
    </row>
    <row r="709" spans="1:6" x14ac:dyDescent="0.25">
      <c r="A709" s="4">
        <v>708</v>
      </c>
      <c r="B709" s="4"/>
      <c r="C709" s="4"/>
      <c r="D709" s="4"/>
      <c r="E709" s="4"/>
      <c r="F709" s="4"/>
    </row>
    <row r="710" spans="1:6" x14ac:dyDescent="0.25">
      <c r="A710" s="4">
        <v>709</v>
      </c>
      <c r="B710" s="4"/>
      <c r="C710" s="4"/>
      <c r="D710" s="4"/>
      <c r="E710" s="4"/>
      <c r="F710" s="4"/>
    </row>
    <row r="711" spans="1:6" x14ac:dyDescent="0.25">
      <c r="A711" s="4">
        <v>710</v>
      </c>
      <c r="B711" s="4"/>
      <c r="C711" s="4"/>
      <c r="D711" s="4"/>
      <c r="E711" s="4"/>
      <c r="F711" s="4"/>
    </row>
    <row r="712" spans="1:6" x14ac:dyDescent="0.25">
      <c r="A712" s="4">
        <v>711</v>
      </c>
      <c r="B712" s="4"/>
      <c r="C712" s="4"/>
      <c r="D712" s="4"/>
      <c r="E712" s="4"/>
      <c r="F712" s="4"/>
    </row>
    <row r="713" spans="1:6" x14ac:dyDescent="0.25">
      <c r="A713" s="4">
        <v>712</v>
      </c>
      <c r="B713" s="4"/>
      <c r="C713" s="4"/>
      <c r="D713" s="4"/>
      <c r="E713" s="4"/>
      <c r="F713" s="4"/>
    </row>
    <row r="714" spans="1:6" x14ac:dyDescent="0.25">
      <c r="A714" s="4">
        <v>713</v>
      </c>
      <c r="B714" s="4"/>
      <c r="C714" s="4"/>
      <c r="D714" s="4"/>
      <c r="E714" s="4"/>
      <c r="F714" s="4"/>
    </row>
    <row r="715" spans="1:6" x14ac:dyDescent="0.25">
      <c r="A715" s="4">
        <v>714</v>
      </c>
      <c r="B715" s="4"/>
      <c r="C715" s="4"/>
      <c r="D715" s="4"/>
      <c r="E715" s="4"/>
      <c r="F715" s="4"/>
    </row>
    <row r="716" spans="1:6" x14ac:dyDescent="0.25">
      <c r="A716" s="4">
        <v>715</v>
      </c>
      <c r="B716" s="4"/>
      <c r="C716" s="4"/>
      <c r="D716" s="4"/>
      <c r="E716" s="4"/>
      <c r="F716" s="4"/>
    </row>
    <row r="717" spans="1:6" x14ac:dyDescent="0.25">
      <c r="A717" s="4">
        <v>716</v>
      </c>
      <c r="B717" s="4"/>
      <c r="C717" s="4"/>
      <c r="D717" s="4"/>
      <c r="E717" s="4"/>
      <c r="F717" s="4"/>
    </row>
    <row r="718" spans="1:6" x14ac:dyDescent="0.25">
      <c r="A718" s="4">
        <v>717</v>
      </c>
      <c r="B718" s="4"/>
      <c r="C718" s="4"/>
      <c r="D718" s="4"/>
      <c r="E718" s="4"/>
      <c r="F718" s="4"/>
    </row>
    <row r="719" spans="1:6" x14ac:dyDescent="0.25">
      <c r="A719" s="4">
        <v>718</v>
      </c>
      <c r="B719" s="4"/>
      <c r="C719" s="4"/>
      <c r="D719" s="4"/>
      <c r="E719" s="4"/>
      <c r="F719" s="4"/>
    </row>
    <row r="720" spans="1:6" x14ac:dyDescent="0.25">
      <c r="A720" s="4">
        <v>719</v>
      </c>
      <c r="B720" s="4"/>
      <c r="C720" s="4"/>
      <c r="D720" s="4"/>
      <c r="E720" s="4"/>
      <c r="F720" s="4"/>
    </row>
    <row r="721" spans="1:6" x14ac:dyDescent="0.25">
      <c r="A721" s="4">
        <v>720</v>
      </c>
      <c r="B721" s="4"/>
      <c r="C721" s="4"/>
      <c r="D721" s="4"/>
      <c r="E721" s="4"/>
      <c r="F721" s="4"/>
    </row>
    <row r="722" spans="1:6" x14ac:dyDescent="0.25">
      <c r="A722" s="4">
        <v>721</v>
      </c>
      <c r="B722" s="4"/>
      <c r="C722" s="4"/>
      <c r="D722" s="4"/>
      <c r="E722" s="4"/>
      <c r="F722" s="4"/>
    </row>
    <row r="723" spans="1:6" x14ac:dyDescent="0.25">
      <c r="A723" s="4">
        <v>722</v>
      </c>
      <c r="B723" s="4"/>
      <c r="C723" s="4"/>
      <c r="D723" s="4"/>
      <c r="E723" s="4"/>
      <c r="F723" s="4"/>
    </row>
    <row r="724" spans="1:6" x14ac:dyDescent="0.25">
      <c r="A724" s="4">
        <v>723</v>
      </c>
      <c r="B724" s="4"/>
      <c r="C724" s="4"/>
      <c r="D724" s="4"/>
      <c r="E724" s="4"/>
      <c r="F724" s="4"/>
    </row>
    <row r="725" spans="1:6" x14ac:dyDescent="0.25">
      <c r="A725" s="4">
        <v>724</v>
      </c>
      <c r="B725" s="4"/>
      <c r="C725" s="4"/>
      <c r="D725" s="4"/>
      <c r="E725" s="4"/>
      <c r="F725" s="4"/>
    </row>
    <row r="726" spans="1:6" x14ac:dyDescent="0.25">
      <c r="A726" s="4">
        <v>725</v>
      </c>
      <c r="B726" s="4"/>
      <c r="C726" s="4"/>
      <c r="D726" s="4"/>
      <c r="E726" s="4"/>
      <c r="F726" s="4"/>
    </row>
    <row r="727" spans="1:6" x14ac:dyDescent="0.25">
      <c r="A727" s="4">
        <v>726</v>
      </c>
      <c r="B727" s="4"/>
      <c r="C727" s="4"/>
      <c r="D727" s="4"/>
      <c r="E727" s="4"/>
      <c r="F727" s="4"/>
    </row>
    <row r="728" spans="1:6" x14ac:dyDescent="0.25">
      <c r="A728" s="4">
        <v>727</v>
      </c>
      <c r="B728" s="4"/>
      <c r="C728" s="4"/>
      <c r="D728" s="4"/>
      <c r="E728" s="4"/>
      <c r="F728" s="4"/>
    </row>
    <row r="729" spans="1:6" x14ac:dyDescent="0.25">
      <c r="A729" s="4">
        <v>728</v>
      </c>
      <c r="B729" s="4"/>
      <c r="C729" s="4"/>
      <c r="D729" s="4"/>
      <c r="E729" s="4"/>
      <c r="F729" s="4"/>
    </row>
    <row r="730" spans="1:6" x14ac:dyDescent="0.25">
      <c r="A730" s="4">
        <v>729</v>
      </c>
      <c r="B730" s="4"/>
      <c r="C730" s="4"/>
      <c r="D730" s="4"/>
      <c r="E730" s="4"/>
      <c r="F730" s="4"/>
    </row>
    <row r="731" spans="1:6" x14ac:dyDescent="0.25">
      <c r="A731" s="4">
        <v>730</v>
      </c>
      <c r="B731" s="4"/>
      <c r="C731" s="4"/>
      <c r="D731" s="4"/>
      <c r="E731" s="4"/>
      <c r="F731" s="4"/>
    </row>
    <row r="732" spans="1:6" x14ac:dyDescent="0.25">
      <c r="A732" s="4">
        <v>731</v>
      </c>
      <c r="B732" s="4"/>
      <c r="C732" s="4"/>
      <c r="D732" s="4"/>
      <c r="E732" s="4"/>
      <c r="F732" s="4"/>
    </row>
    <row r="733" spans="1:6" x14ac:dyDescent="0.25">
      <c r="A733" s="4">
        <v>732</v>
      </c>
      <c r="B733" s="4"/>
      <c r="C733" s="4"/>
      <c r="D733" s="4"/>
      <c r="E733" s="4"/>
      <c r="F733" s="4"/>
    </row>
    <row r="734" spans="1:6" x14ac:dyDescent="0.25">
      <c r="A734" s="4">
        <v>733</v>
      </c>
      <c r="B734" s="4"/>
      <c r="C734" s="4"/>
      <c r="D734" s="4"/>
      <c r="E734" s="4"/>
      <c r="F734" s="4"/>
    </row>
    <row r="735" spans="1:6" x14ac:dyDescent="0.25">
      <c r="A735" s="4">
        <v>734</v>
      </c>
      <c r="B735" s="4"/>
      <c r="C735" s="4"/>
      <c r="D735" s="4"/>
      <c r="E735" s="4"/>
      <c r="F735" s="4"/>
    </row>
    <row r="736" spans="1:6" x14ac:dyDescent="0.25">
      <c r="A736" s="4">
        <v>735</v>
      </c>
      <c r="B736" s="4"/>
      <c r="C736" s="4"/>
      <c r="D736" s="4"/>
      <c r="E736" s="4"/>
      <c r="F736" s="4"/>
    </row>
    <row r="737" spans="1:6" x14ac:dyDescent="0.25">
      <c r="A737" s="4">
        <v>736</v>
      </c>
      <c r="B737" s="4"/>
      <c r="C737" s="4"/>
      <c r="D737" s="4"/>
      <c r="E737" s="4"/>
      <c r="F737" s="4"/>
    </row>
    <row r="738" spans="1:6" x14ac:dyDescent="0.25">
      <c r="A738" s="4">
        <v>737</v>
      </c>
      <c r="B738" s="4"/>
      <c r="C738" s="4"/>
      <c r="D738" s="4"/>
      <c r="E738" s="4"/>
      <c r="F738" s="4"/>
    </row>
    <row r="739" spans="1:6" x14ac:dyDescent="0.25">
      <c r="A739" s="4">
        <v>738</v>
      </c>
      <c r="B739" s="4"/>
      <c r="C739" s="4"/>
      <c r="D739" s="4"/>
      <c r="E739" s="4"/>
      <c r="F739" s="4"/>
    </row>
    <row r="740" spans="1:6" x14ac:dyDescent="0.25">
      <c r="A740" s="4">
        <v>739</v>
      </c>
      <c r="B740" s="4"/>
      <c r="C740" s="4"/>
      <c r="D740" s="4"/>
      <c r="E740" s="4"/>
      <c r="F740" s="4"/>
    </row>
    <row r="741" spans="1:6" x14ac:dyDescent="0.25">
      <c r="A741" s="4">
        <v>740</v>
      </c>
      <c r="B741" s="4"/>
      <c r="C741" s="4"/>
      <c r="D741" s="4"/>
      <c r="E741" s="4"/>
      <c r="F741" s="4"/>
    </row>
    <row r="742" spans="1:6" x14ac:dyDescent="0.25">
      <c r="A742" s="4">
        <v>741</v>
      </c>
      <c r="B742" s="4"/>
      <c r="C742" s="4"/>
      <c r="D742" s="4"/>
      <c r="E742" s="4"/>
      <c r="F742" s="4"/>
    </row>
    <row r="743" spans="1:6" x14ac:dyDescent="0.25">
      <c r="A743" s="4">
        <v>742</v>
      </c>
      <c r="B743" s="4"/>
      <c r="C743" s="4"/>
      <c r="D743" s="4"/>
      <c r="E743" s="4"/>
      <c r="F743" s="4"/>
    </row>
    <row r="744" spans="1:6" x14ac:dyDescent="0.25">
      <c r="A744" s="4">
        <v>743</v>
      </c>
      <c r="B744" s="4"/>
      <c r="C744" s="4"/>
      <c r="D744" s="4"/>
      <c r="E744" s="4"/>
      <c r="F744" s="4"/>
    </row>
    <row r="745" spans="1:6" x14ac:dyDescent="0.25">
      <c r="A745" s="4">
        <v>744</v>
      </c>
      <c r="B745" s="4"/>
      <c r="C745" s="4"/>
      <c r="D745" s="4"/>
      <c r="E745" s="4"/>
      <c r="F745" s="4"/>
    </row>
    <row r="746" spans="1:6" x14ac:dyDescent="0.25">
      <c r="A746" s="4">
        <v>745</v>
      </c>
      <c r="B746" s="4"/>
      <c r="C746" s="4"/>
      <c r="D746" s="4"/>
      <c r="E746" s="4"/>
      <c r="F746" s="4"/>
    </row>
    <row r="747" spans="1:6" x14ac:dyDescent="0.25">
      <c r="A747" s="4">
        <v>746</v>
      </c>
      <c r="B747" s="4"/>
      <c r="C747" s="4"/>
      <c r="D747" s="4"/>
      <c r="E747" s="4"/>
      <c r="F747" s="4"/>
    </row>
    <row r="748" spans="1:6" x14ac:dyDescent="0.25">
      <c r="A748" s="4">
        <v>747</v>
      </c>
      <c r="B748" s="4"/>
      <c r="C748" s="4"/>
      <c r="D748" s="4"/>
      <c r="E748" s="4"/>
      <c r="F748" s="4"/>
    </row>
    <row r="749" spans="1:6" x14ac:dyDescent="0.25">
      <c r="A749" s="4">
        <v>748</v>
      </c>
      <c r="B749" s="4"/>
      <c r="C749" s="4"/>
      <c r="D749" s="4"/>
      <c r="E749" s="4"/>
      <c r="F749" s="4"/>
    </row>
    <row r="750" spans="1:6" x14ac:dyDescent="0.25">
      <c r="A750" s="4">
        <v>749</v>
      </c>
      <c r="B750" s="4"/>
      <c r="C750" s="4"/>
      <c r="D750" s="4"/>
      <c r="E750" s="4"/>
      <c r="F750" s="4"/>
    </row>
    <row r="751" spans="1:6" x14ac:dyDescent="0.25">
      <c r="A751" s="4">
        <v>750</v>
      </c>
      <c r="B751" s="4"/>
      <c r="C751" s="4"/>
      <c r="D751" s="4"/>
      <c r="E751" s="4"/>
      <c r="F751" s="4"/>
    </row>
    <row r="752" spans="1:6" x14ac:dyDescent="0.25">
      <c r="A752" s="4">
        <v>751</v>
      </c>
      <c r="B752" s="4"/>
      <c r="C752" s="4"/>
      <c r="D752" s="4"/>
      <c r="E752" s="4"/>
      <c r="F752" s="4"/>
    </row>
    <row r="753" spans="1:6" x14ac:dyDescent="0.25">
      <c r="A753" s="4">
        <v>752</v>
      </c>
      <c r="B753" s="4"/>
      <c r="C753" s="4"/>
      <c r="D753" s="4"/>
      <c r="E753" s="4"/>
      <c r="F753" s="4"/>
    </row>
    <row r="754" spans="1:6" x14ac:dyDescent="0.25">
      <c r="A754" s="4">
        <v>753</v>
      </c>
      <c r="B754" s="4"/>
      <c r="C754" s="4"/>
      <c r="D754" s="4"/>
      <c r="E754" s="4"/>
      <c r="F754" s="4"/>
    </row>
    <row r="755" spans="1:6" x14ac:dyDescent="0.25">
      <c r="A755" s="4">
        <v>754</v>
      </c>
      <c r="B755" s="4"/>
      <c r="C755" s="4"/>
      <c r="D755" s="4"/>
      <c r="E755" s="4"/>
      <c r="F755" s="4"/>
    </row>
    <row r="756" spans="1:6" x14ac:dyDescent="0.25">
      <c r="A756" s="4">
        <v>755</v>
      </c>
      <c r="B756" s="4"/>
      <c r="C756" s="4"/>
      <c r="D756" s="4"/>
      <c r="E756" s="4"/>
      <c r="F756" s="4"/>
    </row>
    <row r="757" spans="1:6" x14ac:dyDescent="0.25">
      <c r="A757" s="4">
        <v>756</v>
      </c>
      <c r="B757" s="4"/>
      <c r="C757" s="4"/>
      <c r="D757" s="4"/>
      <c r="E757" s="4"/>
      <c r="F757" s="4"/>
    </row>
    <row r="758" spans="1:6" x14ac:dyDescent="0.25">
      <c r="A758" s="4">
        <v>757</v>
      </c>
      <c r="B758" s="4"/>
      <c r="C758" s="4"/>
      <c r="D758" s="4"/>
      <c r="E758" s="4"/>
      <c r="F758" s="4"/>
    </row>
    <row r="759" spans="1:6" x14ac:dyDescent="0.25">
      <c r="A759" s="4">
        <v>758</v>
      </c>
      <c r="B759" s="4"/>
      <c r="C759" s="4"/>
      <c r="D759" s="4"/>
      <c r="E759" s="4"/>
      <c r="F759" s="4"/>
    </row>
    <row r="760" spans="1:6" x14ac:dyDescent="0.25">
      <c r="A760" s="4">
        <v>759</v>
      </c>
      <c r="B760" s="4"/>
      <c r="C760" s="4"/>
      <c r="D760" s="4"/>
      <c r="E760" s="4"/>
      <c r="F760" s="4"/>
    </row>
    <row r="761" spans="1:6" x14ac:dyDescent="0.25">
      <c r="A761" s="4">
        <v>760</v>
      </c>
      <c r="B761" s="4"/>
      <c r="C761" s="4"/>
      <c r="D761" s="4"/>
      <c r="E761" s="4"/>
      <c r="F761" s="4"/>
    </row>
    <row r="762" spans="1:6" x14ac:dyDescent="0.25">
      <c r="A762" s="4">
        <v>761</v>
      </c>
      <c r="B762" s="4"/>
      <c r="C762" s="4"/>
      <c r="D762" s="4"/>
      <c r="E762" s="4"/>
      <c r="F762" s="4"/>
    </row>
    <row r="763" spans="1:6" x14ac:dyDescent="0.25">
      <c r="A763" s="4">
        <v>762</v>
      </c>
      <c r="B763" s="4"/>
      <c r="C763" s="4"/>
      <c r="D763" s="4"/>
      <c r="E763" s="4"/>
      <c r="F763" s="4"/>
    </row>
    <row r="764" spans="1:6" x14ac:dyDescent="0.25">
      <c r="A764" s="4">
        <v>763</v>
      </c>
      <c r="B764" s="4"/>
      <c r="C764" s="4"/>
      <c r="D764" s="4"/>
      <c r="E764" s="4"/>
      <c r="F764" s="4"/>
    </row>
    <row r="765" spans="1:6" x14ac:dyDescent="0.25">
      <c r="A765" s="4">
        <v>764</v>
      </c>
      <c r="B765" s="4"/>
      <c r="C765" s="4"/>
      <c r="D765" s="4"/>
      <c r="E765" s="4"/>
      <c r="F765" s="4"/>
    </row>
    <row r="766" spans="1:6" x14ac:dyDescent="0.25">
      <c r="A766" s="4">
        <v>765</v>
      </c>
      <c r="B766" s="4"/>
      <c r="C766" s="4"/>
      <c r="D766" s="4"/>
      <c r="E766" s="4"/>
      <c r="F766" s="4"/>
    </row>
    <row r="767" spans="1:6" x14ac:dyDescent="0.25">
      <c r="A767" s="4">
        <v>766</v>
      </c>
      <c r="B767" s="4"/>
      <c r="C767" s="4"/>
      <c r="D767" s="4"/>
      <c r="E767" s="4"/>
      <c r="F767" s="4"/>
    </row>
    <row r="768" spans="1:6" x14ac:dyDescent="0.25">
      <c r="A768" s="4">
        <v>767</v>
      </c>
      <c r="B768" s="4"/>
      <c r="C768" s="4"/>
      <c r="D768" s="4"/>
      <c r="E768" s="4"/>
      <c r="F768" s="4"/>
    </row>
    <row r="769" spans="1:6" x14ac:dyDescent="0.25">
      <c r="A769" s="4">
        <v>768</v>
      </c>
      <c r="B769" s="4"/>
      <c r="C769" s="4"/>
      <c r="D769" s="4"/>
      <c r="E769" s="4"/>
      <c r="F769" s="4"/>
    </row>
    <row r="770" spans="1:6" x14ac:dyDescent="0.25">
      <c r="A770" s="4">
        <v>769</v>
      </c>
      <c r="B770" s="4"/>
      <c r="C770" s="4"/>
      <c r="D770" s="4"/>
      <c r="E770" s="4"/>
      <c r="F770" s="4"/>
    </row>
    <row r="771" spans="1:6" x14ac:dyDescent="0.25">
      <c r="A771" s="4">
        <v>770</v>
      </c>
      <c r="B771" s="4"/>
      <c r="C771" s="4"/>
      <c r="D771" s="4"/>
      <c r="E771" s="4"/>
      <c r="F771" s="4"/>
    </row>
    <row r="772" spans="1:6" x14ac:dyDescent="0.25">
      <c r="A772" s="4">
        <v>771</v>
      </c>
      <c r="B772" s="4"/>
      <c r="C772" s="4"/>
      <c r="D772" s="4"/>
      <c r="E772" s="4"/>
      <c r="F772" s="4"/>
    </row>
    <row r="773" spans="1:6" x14ac:dyDescent="0.25">
      <c r="A773" s="4">
        <v>772</v>
      </c>
      <c r="B773" s="4"/>
      <c r="C773" s="4"/>
      <c r="D773" s="4"/>
      <c r="E773" s="4"/>
      <c r="F773" s="4"/>
    </row>
    <row r="774" spans="1:6" x14ac:dyDescent="0.25">
      <c r="A774" s="4">
        <v>773</v>
      </c>
      <c r="B774" s="4"/>
      <c r="C774" s="4"/>
      <c r="D774" s="4"/>
      <c r="E774" s="4"/>
      <c r="F774" s="4"/>
    </row>
    <row r="775" spans="1:6" x14ac:dyDescent="0.25">
      <c r="A775" s="4">
        <v>774</v>
      </c>
      <c r="B775" s="4"/>
      <c r="C775" s="4"/>
      <c r="D775" s="4"/>
      <c r="E775" s="4"/>
      <c r="F775" s="4"/>
    </row>
    <row r="776" spans="1:6" x14ac:dyDescent="0.25">
      <c r="A776" s="4">
        <v>775</v>
      </c>
      <c r="B776" s="4"/>
      <c r="C776" s="4"/>
      <c r="D776" s="4"/>
      <c r="E776" s="4"/>
      <c r="F776" s="4"/>
    </row>
    <row r="777" spans="1:6" x14ac:dyDescent="0.25">
      <c r="A777" s="4">
        <v>776</v>
      </c>
      <c r="B777" s="4"/>
      <c r="C777" s="4"/>
      <c r="D777" s="4"/>
      <c r="E777" s="4"/>
      <c r="F777" s="4"/>
    </row>
    <row r="778" spans="1:6" x14ac:dyDescent="0.25">
      <c r="A778" s="4">
        <v>777</v>
      </c>
      <c r="B778" s="4"/>
      <c r="C778" s="4"/>
      <c r="D778" s="4"/>
      <c r="E778" s="4"/>
      <c r="F778" s="4"/>
    </row>
    <row r="779" spans="1:6" x14ac:dyDescent="0.25">
      <c r="A779" s="4">
        <v>778</v>
      </c>
      <c r="B779" s="4"/>
      <c r="C779" s="4"/>
      <c r="D779" s="4"/>
      <c r="E779" s="4"/>
      <c r="F779" s="4"/>
    </row>
    <row r="780" spans="1:6" x14ac:dyDescent="0.25">
      <c r="A780" s="4">
        <v>779</v>
      </c>
      <c r="B780" s="4"/>
      <c r="C780" s="4"/>
      <c r="D780" s="4"/>
      <c r="E780" s="4"/>
      <c r="F780" s="4"/>
    </row>
    <row r="781" spans="1:6" x14ac:dyDescent="0.25">
      <c r="A781" s="4">
        <v>780</v>
      </c>
      <c r="B781" s="4"/>
      <c r="C781" s="4"/>
      <c r="D781" s="4"/>
      <c r="E781" s="4"/>
      <c r="F781" s="4"/>
    </row>
    <row r="782" spans="1:6" x14ac:dyDescent="0.25">
      <c r="A782" s="4">
        <v>781</v>
      </c>
      <c r="B782" s="4"/>
      <c r="C782" s="4"/>
      <c r="D782" s="4"/>
      <c r="E782" s="4"/>
      <c r="F782" s="4"/>
    </row>
    <row r="783" spans="1:6" x14ac:dyDescent="0.25">
      <c r="A783" s="4">
        <v>782</v>
      </c>
      <c r="B783" s="4"/>
      <c r="C783" s="4"/>
      <c r="D783" s="4"/>
      <c r="E783" s="4"/>
      <c r="F783" s="4"/>
    </row>
    <row r="784" spans="1:6" x14ac:dyDescent="0.25">
      <c r="A784" s="4">
        <v>783</v>
      </c>
      <c r="B784" s="4"/>
      <c r="C784" s="4"/>
      <c r="D784" s="4"/>
      <c r="E784" s="4"/>
      <c r="F784" s="4"/>
    </row>
    <row r="785" spans="1:6" x14ac:dyDescent="0.25">
      <c r="A785" s="4">
        <v>784</v>
      </c>
      <c r="B785" s="4"/>
      <c r="C785" s="4"/>
      <c r="D785" s="4"/>
      <c r="E785" s="4"/>
      <c r="F785" s="4"/>
    </row>
    <row r="786" spans="1:6" x14ac:dyDescent="0.25">
      <c r="A786" s="4">
        <v>785</v>
      </c>
      <c r="B786" s="4"/>
      <c r="C786" s="4"/>
      <c r="D786" s="4"/>
      <c r="E786" s="4"/>
      <c r="F786" s="4"/>
    </row>
    <row r="787" spans="1:6" x14ac:dyDescent="0.25">
      <c r="A787" s="4">
        <v>786</v>
      </c>
      <c r="B787" s="4"/>
      <c r="C787" s="4"/>
      <c r="D787" s="4"/>
      <c r="E787" s="4"/>
      <c r="F787" s="4"/>
    </row>
    <row r="788" spans="1:6" x14ac:dyDescent="0.25">
      <c r="A788" s="4">
        <v>787</v>
      </c>
      <c r="B788" s="4"/>
      <c r="C788" s="4"/>
      <c r="D788" s="4"/>
      <c r="E788" s="4"/>
      <c r="F788" s="4"/>
    </row>
    <row r="789" spans="1:6" x14ac:dyDescent="0.25">
      <c r="A789" s="4">
        <v>788</v>
      </c>
      <c r="B789" s="4"/>
      <c r="C789" s="4"/>
      <c r="D789" s="4"/>
      <c r="E789" s="4"/>
      <c r="F789" s="4"/>
    </row>
    <row r="790" spans="1:6" x14ac:dyDescent="0.25">
      <c r="A790" s="4">
        <v>789</v>
      </c>
      <c r="B790" s="4"/>
      <c r="C790" s="4"/>
      <c r="D790" s="4"/>
      <c r="E790" s="4"/>
      <c r="F790" s="4"/>
    </row>
    <row r="791" spans="1:6" x14ac:dyDescent="0.25">
      <c r="A791" s="4">
        <v>790</v>
      </c>
      <c r="B791" s="4"/>
      <c r="C791" s="4"/>
      <c r="D791" s="4"/>
      <c r="E791" s="4"/>
      <c r="F791" s="4"/>
    </row>
    <row r="792" spans="1:6" x14ac:dyDescent="0.25">
      <c r="A792" s="4">
        <v>791</v>
      </c>
      <c r="B792" s="4"/>
      <c r="C792" s="4"/>
      <c r="D792" s="4"/>
      <c r="E792" s="4"/>
      <c r="F792" s="4"/>
    </row>
    <row r="793" spans="1:6" x14ac:dyDescent="0.25">
      <c r="A793" s="4">
        <v>792</v>
      </c>
      <c r="B793" s="4"/>
      <c r="C793" s="4"/>
      <c r="D793" s="4"/>
      <c r="E793" s="4"/>
      <c r="F793" s="4"/>
    </row>
    <row r="794" spans="1:6" x14ac:dyDescent="0.25">
      <c r="A794" s="4">
        <v>793</v>
      </c>
      <c r="B794" s="4"/>
      <c r="C794" s="4"/>
      <c r="D794" s="4"/>
      <c r="E794" s="4"/>
      <c r="F794" s="4"/>
    </row>
    <row r="795" spans="1:6" x14ac:dyDescent="0.25">
      <c r="A795" s="4">
        <v>794</v>
      </c>
      <c r="B795" s="4"/>
      <c r="C795" s="4"/>
      <c r="D795" s="4"/>
      <c r="E795" s="4"/>
      <c r="F795" s="4"/>
    </row>
    <row r="796" spans="1:6" x14ac:dyDescent="0.25">
      <c r="A796" s="4">
        <v>795</v>
      </c>
      <c r="B796" s="4"/>
      <c r="C796" s="4"/>
      <c r="D796" s="4"/>
      <c r="E796" s="4"/>
      <c r="F796" s="4"/>
    </row>
    <row r="797" spans="1:6" x14ac:dyDescent="0.25">
      <c r="A797" s="4">
        <v>796</v>
      </c>
      <c r="B797" s="4"/>
      <c r="C797" s="4"/>
      <c r="D797" s="4"/>
      <c r="E797" s="4"/>
      <c r="F797" s="4"/>
    </row>
    <row r="798" spans="1:6" x14ac:dyDescent="0.25">
      <c r="A798" s="4">
        <v>797</v>
      </c>
      <c r="B798" s="4"/>
      <c r="C798" s="4"/>
      <c r="D798" s="4"/>
      <c r="E798" s="4"/>
      <c r="F798" s="4"/>
    </row>
    <row r="799" spans="1:6" x14ac:dyDescent="0.25">
      <c r="A799" s="4">
        <v>798</v>
      </c>
      <c r="B799" s="4"/>
      <c r="C799" s="4"/>
      <c r="D799" s="4"/>
      <c r="E799" s="4"/>
      <c r="F799" s="4"/>
    </row>
    <row r="800" spans="1:6" x14ac:dyDescent="0.25">
      <c r="A800" s="4">
        <v>799</v>
      </c>
      <c r="B800" s="4"/>
      <c r="C800" s="4"/>
      <c r="D800" s="4"/>
      <c r="E800" s="4"/>
      <c r="F800" s="4"/>
    </row>
    <row r="801" spans="1:6" x14ac:dyDescent="0.25">
      <c r="A801" s="4">
        <v>800</v>
      </c>
      <c r="B801" s="4"/>
      <c r="C801" s="4"/>
      <c r="D801" s="4"/>
      <c r="E801" s="4"/>
      <c r="F801" s="4"/>
    </row>
    <row r="802" spans="1:6" x14ac:dyDescent="0.25">
      <c r="A802" s="4">
        <v>801</v>
      </c>
      <c r="B802" s="4"/>
      <c r="C802" s="4"/>
      <c r="D802" s="4"/>
      <c r="E802" s="4"/>
      <c r="F802" s="4"/>
    </row>
    <row r="803" spans="1:6" x14ac:dyDescent="0.25">
      <c r="A803" s="4">
        <v>802</v>
      </c>
      <c r="B803" s="4"/>
      <c r="C803" s="4"/>
      <c r="D803" s="4"/>
      <c r="E803" s="4"/>
      <c r="F803" s="4"/>
    </row>
    <row r="804" spans="1:6" x14ac:dyDescent="0.25">
      <c r="A804" s="4">
        <v>803</v>
      </c>
      <c r="B804" s="4"/>
      <c r="C804" s="4"/>
      <c r="D804" s="4"/>
      <c r="E804" s="4"/>
      <c r="F804" s="4"/>
    </row>
    <row r="805" spans="1:6" x14ac:dyDescent="0.25">
      <c r="A805" s="4">
        <v>804</v>
      </c>
      <c r="B805" s="4"/>
      <c r="C805" s="4"/>
      <c r="D805" s="4"/>
      <c r="E805" s="4"/>
      <c r="F805" s="4"/>
    </row>
    <row r="806" spans="1:6" x14ac:dyDescent="0.25">
      <c r="A806" s="4">
        <v>805</v>
      </c>
      <c r="B806" s="4"/>
      <c r="C806" s="4"/>
      <c r="D806" s="4"/>
      <c r="E806" s="4"/>
      <c r="F806" s="4"/>
    </row>
    <row r="807" spans="1:6" x14ac:dyDescent="0.25">
      <c r="A807" s="4">
        <v>806</v>
      </c>
      <c r="B807" s="4"/>
      <c r="C807" s="4"/>
      <c r="D807" s="4"/>
      <c r="E807" s="4"/>
      <c r="F807" s="4"/>
    </row>
    <row r="808" spans="1:6" x14ac:dyDescent="0.25">
      <c r="A808" s="4">
        <v>807</v>
      </c>
      <c r="B808" s="4"/>
      <c r="C808" s="4"/>
      <c r="D808" s="4"/>
      <c r="E808" s="4"/>
      <c r="F808" s="4"/>
    </row>
    <row r="809" spans="1:6" x14ac:dyDescent="0.25">
      <c r="A809" s="4">
        <v>808</v>
      </c>
      <c r="B809" s="4"/>
      <c r="C809" s="4"/>
      <c r="D809" s="4"/>
      <c r="E809" s="4"/>
      <c r="F809" s="4"/>
    </row>
    <row r="810" spans="1:6" x14ac:dyDescent="0.25">
      <c r="A810" s="4">
        <v>809</v>
      </c>
      <c r="B810" s="4"/>
      <c r="C810" s="4"/>
      <c r="D810" s="4"/>
      <c r="E810" s="4"/>
      <c r="F810" s="4"/>
    </row>
    <row r="811" spans="1:6" x14ac:dyDescent="0.25">
      <c r="A811" s="4">
        <v>810</v>
      </c>
      <c r="B811" s="4"/>
      <c r="C811" s="4"/>
      <c r="D811" s="4"/>
      <c r="E811" s="4"/>
      <c r="F811" s="4"/>
    </row>
    <row r="812" spans="1:6" x14ac:dyDescent="0.25">
      <c r="A812" s="4">
        <v>811</v>
      </c>
      <c r="B812" s="4"/>
      <c r="C812" s="4"/>
      <c r="D812" s="4"/>
      <c r="E812" s="4"/>
      <c r="F812" s="4"/>
    </row>
    <row r="813" spans="1:6" x14ac:dyDescent="0.25">
      <c r="A813" s="4">
        <v>812</v>
      </c>
      <c r="B813" s="4"/>
      <c r="C813" s="4"/>
      <c r="D813" s="4"/>
      <c r="E813" s="4"/>
      <c r="F813" s="4"/>
    </row>
    <row r="814" spans="1:6" x14ac:dyDescent="0.25">
      <c r="A814" s="4">
        <v>813</v>
      </c>
      <c r="B814" s="4"/>
      <c r="C814" s="4"/>
      <c r="D814" s="4"/>
      <c r="E814" s="4"/>
      <c r="F814" s="4"/>
    </row>
    <row r="815" spans="1:6" x14ac:dyDescent="0.25">
      <c r="A815" s="4">
        <v>814</v>
      </c>
      <c r="B815" s="4"/>
      <c r="C815" s="4"/>
      <c r="D815" s="4"/>
      <c r="E815" s="4"/>
      <c r="F815" s="4"/>
    </row>
    <row r="816" spans="1:6" x14ac:dyDescent="0.25">
      <c r="A816" s="4">
        <v>815</v>
      </c>
      <c r="B816" s="4"/>
      <c r="C816" s="4"/>
      <c r="D816" s="4"/>
      <c r="E816" s="4"/>
      <c r="F816" s="4"/>
    </row>
    <row r="817" spans="1:6" x14ac:dyDescent="0.25">
      <c r="A817" s="4">
        <v>816</v>
      </c>
      <c r="B817" s="4"/>
      <c r="C817" s="4"/>
      <c r="D817" s="4"/>
      <c r="E817" s="4"/>
      <c r="F817" s="4"/>
    </row>
    <row r="818" spans="1:6" x14ac:dyDescent="0.25">
      <c r="A818" s="4">
        <v>817</v>
      </c>
      <c r="B818" s="4"/>
      <c r="C818" s="4"/>
      <c r="D818" s="4"/>
      <c r="E818" s="4"/>
      <c r="F818" s="4"/>
    </row>
    <row r="819" spans="1:6" x14ac:dyDescent="0.25">
      <c r="A819" s="4">
        <v>818</v>
      </c>
      <c r="B819" s="4"/>
      <c r="C819" s="4"/>
      <c r="D819" s="4"/>
      <c r="E819" s="4"/>
      <c r="F819" s="4"/>
    </row>
    <row r="820" spans="1:6" x14ac:dyDescent="0.25">
      <c r="A820" s="4">
        <v>819</v>
      </c>
      <c r="B820" s="4"/>
      <c r="C820" s="4"/>
      <c r="D820" s="4"/>
      <c r="E820" s="4"/>
      <c r="F820" s="4"/>
    </row>
    <row r="821" spans="1:6" x14ac:dyDescent="0.25">
      <c r="A821" s="4">
        <v>820</v>
      </c>
      <c r="B821" s="4"/>
      <c r="C821" s="4"/>
      <c r="D821" s="4"/>
      <c r="E821" s="4"/>
      <c r="F821" s="4"/>
    </row>
    <row r="822" spans="1:6" x14ac:dyDescent="0.25">
      <c r="A822" s="4">
        <v>821</v>
      </c>
      <c r="B822" s="4"/>
      <c r="C822" s="4"/>
      <c r="D822" s="4"/>
      <c r="E822" s="4"/>
      <c r="F822" s="4"/>
    </row>
    <row r="823" spans="1:6" x14ac:dyDescent="0.25">
      <c r="A823" s="4">
        <v>822</v>
      </c>
      <c r="B823" s="4"/>
      <c r="C823" s="4"/>
      <c r="D823" s="4"/>
      <c r="E823" s="4"/>
      <c r="F823" s="4"/>
    </row>
    <row r="824" spans="1:6" x14ac:dyDescent="0.25">
      <c r="A824" s="4">
        <v>823</v>
      </c>
      <c r="B824" s="4"/>
      <c r="C824" s="4"/>
      <c r="D824" s="4"/>
      <c r="E824" s="4"/>
      <c r="F824" s="4"/>
    </row>
    <row r="825" spans="1:6" x14ac:dyDescent="0.25">
      <c r="A825" s="4">
        <v>824</v>
      </c>
      <c r="B825" s="4"/>
      <c r="C825" s="4"/>
      <c r="D825" s="4"/>
      <c r="E825" s="4"/>
      <c r="F825" s="4"/>
    </row>
    <row r="826" spans="1:6" x14ac:dyDescent="0.25">
      <c r="A826" s="4">
        <v>825</v>
      </c>
      <c r="B826" s="4"/>
      <c r="C826" s="4"/>
      <c r="D826" s="4"/>
      <c r="E826" s="4"/>
      <c r="F826" s="4"/>
    </row>
    <row r="827" spans="1:6" x14ac:dyDescent="0.25">
      <c r="A827" s="4">
        <v>826</v>
      </c>
      <c r="B827" s="4"/>
      <c r="C827" s="4"/>
      <c r="D827" s="4"/>
      <c r="E827" s="4"/>
      <c r="F827" s="4"/>
    </row>
    <row r="828" spans="1:6" x14ac:dyDescent="0.25">
      <c r="A828" s="4">
        <v>827</v>
      </c>
      <c r="B828" s="4"/>
      <c r="C828" s="4"/>
      <c r="D828" s="4"/>
      <c r="E828" s="4"/>
      <c r="F828" s="4"/>
    </row>
    <row r="829" spans="1:6" x14ac:dyDescent="0.25">
      <c r="A829" s="4">
        <v>828</v>
      </c>
      <c r="B829" s="4"/>
      <c r="C829" s="4"/>
      <c r="D829" s="4"/>
      <c r="E829" s="4"/>
      <c r="F829" s="4"/>
    </row>
    <row r="830" spans="1:6" x14ac:dyDescent="0.25">
      <c r="A830" s="4">
        <v>829</v>
      </c>
      <c r="B830" s="4"/>
      <c r="C830" s="4"/>
      <c r="D830" s="4"/>
      <c r="E830" s="4"/>
      <c r="F830" s="4"/>
    </row>
    <row r="831" spans="1:6" x14ac:dyDescent="0.25">
      <c r="A831" s="4">
        <v>830</v>
      </c>
      <c r="B831" s="4"/>
      <c r="C831" s="4"/>
      <c r="D831" s="4"/>
      <c r="E831" s="4"/>
      <c r="F831" s="4"/>
    </row>
    <row r="832" spans="1:6" x14ac:dyDescent="0.25">
      <c r="A832" s="4">
        <v>831</v>
      </c>
      <c r="B832" s="4"/>
      <c r="C832" s="4"/>
      <c r="D832" s="4"/>
      <c r="E832" s="4"/>
      <c r="F832" s="4"/>
    </row>
    <row r="833" spans="1:6" x14ac:dyDescent="0.25">
      <c r="A833" s="4">
        <v>832</v>
      </c>
      <c r="B833" s="4"/>
      <c r="C833" s="4"/>
      <c r="D833" s="4"/>
      <c r="E833" s="4"/>
      <c r="F833" s="4"/>
    </row>
    <row r="834" spans="1:6" x14ac:dyDescent="0.25">
      <c r="A834" s="4">
        <v>833</v>
      </c>
      <c r="B834" s="4"/>
      <c r="C834" s="4"/>
      <c r="D834" s="4"/>
      <c r="E834" s="4"/>
      <c r="F834" s="4"/>
    </row>
    <row r="835" spans="1:6" x14ac:dyDescent="0.25">
      <c r="A835" s="4">
        <v>834</v>
      </c>
      <c r="B835" s="4"/>
      <c r="C835" s="4"/>
      <c r="D835" s="4"/>
      <c r="E835" s="4"/>
      <c r="F835" s="4"/>
    </row>
    <row r="836" spans="1:6" x14ac:dyDescent="0.25">
      <c r="A836" s="4">
        <v>835</v>
      </c>
      <c r="B836" s="4"/>
      <c r="C836" s="4"/>
      <c r="D836" s="4"/>
      <c r="E836" s="4"/>
      <c r="F836" s="4"/>
    </row>
    <row r="837" spans="1:6" x14ac:dyDescent="0.25">
      <c r="A837" s="4">
        <v>836</v>
      </c>
      <c r="B837" s="4"/>
      <c r="C837" s="4"/>
      <c r="D837" s="4"/>
      <c r="E837" s="4"/>
      <c r="F837" s="4"/>
    </row>
    <row r="838" spans="1:6" x14ac:dyDescent="0.25">
      <c r="A838" s="4">
        <v>837</v>
      </c>
      <c r="B838" s="4"/>
      <c r="C838" s="4"/>
      <c r="D838" s="4"/>
      <c r="E838" s="4"/>
      <c r="F838" s="4"/>
    </row>
    <row r="839" spans="1:6" x14ac:dyDescent="0.25">
      <c r="A839" s="4">
        <v>838</v>
      </c>
      <c r="B839" s="4"/>
      <c r="C839" s="4"/>
      <c r="D839" s="4"/>
      <c r="E839" s="4"/>
      <c r="F839" s="4"/>
    </row>
    <row r="840" spans="1:6" x14ac:dyDescent="0.25">
      <c r="A840" s="4">
        <v>839</v>
      </c>
      <c r="B840" s="4"/>
      <c r="C840" s="4"/>
      <c r="D840" s="4"/>
      <c r="E840" s="4"/>
      <c r="F840" s="4"/>
    </row>
    <row r="841" spans="1:6" x14ac:dyDescent="0.25">
      <c r="A841" s="4">
        <v>840</v>
      </c>
      <c r="B841" s="4"/>
      <c r="C841" s="4"/>
      <c r="D841" s="4"/>
      <c r="E841" s="4"/>
      <c r="F841" s="4"/>
    </row>
    <row r="842" spans="1:6" x14ac:dyDescent="0.25">
      <c r="A842" s="4">
        <v>841</v>
      </c>
      <c r="B842" s="4"/>
      <c r="C842" s="4"/>
      <c r="D842" s="4"/>
      <c r="E842" s="4"/>
      <c r="F842" s="4"/>
    </row>
    <row r="843" spans="1:6" x14ac:dyDescent="0.25">
      <c r="A843" s="4">
        <v>842</v>
      </c>
      <c r="B843" s="4"/>
      <c r="C843" s="4"/>
      <c r="D843" s="4"/>
      <c r="E843" s="4"/>
      <c r="F843" s="4"/>
    </row>
    <row r="844" spans="1:6" x14ac:dyDescent="0.25">
      <c r="A844" s="4">
        <v>843</v>
      </c>
      <c r="B844" s="4"/>
      <c r="C844" s="4"/>
      <c r="D844" s="4"/>
      <c r="E844" s="4"/>
      <c r="F844" s="4"/>
    </row>
    <row r="845" spans="1:6" x14ac:dyDescent="0.25">
      <c r="A845" s="4">
        <v>844</v>
      </c>
      <c r="B845" s="4"/>
      <c r="C845" s="4"/>
      <c r="D845" s="4"/>
      <c r="E845" s="4"/>
      <c r="F845" s="4"/>
    </row>
    <row r="846" spans="1:6" x14ac:dyDescent="0.25">
      <c r="A846" s="4">
        <v>845</v>
      </c>
      <c r="B846" s="4"/>
      <c r="C846" s="4"/>
      <c r="D846" s="4"/>
      <c r="E846" s="4"/>
      <c r="F846" s="4"/>
    </row>
    <row r="847" spans="1:6" x14ac:dyDescent="0.25">
      <c r="A847" s="4">
        <v>846</v>
      </c>
      <c r="B847" s="4"/>
      <c r="C847" s="4"/>
      <c r="D847" s="4"/>
      <c r="E847" s="4"/>
      <c r="F847" s="4"/>
    </row>
    <row r="848" spans="1:6" x14ac:dyDescent="0.25">
      <c r="A848" s="4">
        <v>847</v>
      </c>
      <c r="B848" s="4"/>
      <c r="C848" s="4"/>
      <c r="D848" s="4"/>
      <c r="E848" s="4"/>
      <c r="F848" s="4"/>
    </row>
    <row r="849" spans="1:6" x14ac:dyDescent="0.25">
      <c r="A849" s="4">
        <v>848</v>
      </c>
      <c r="B849" s="4"/>
      <c r="C849" s="4"/>
      <c r="D849" s="4"/>
      <c r="E849" s="4"/>
      <c r="F849" s="4"/>
    </row>
    <row r="850" spans="1:6" x14ac:dyDescent="0.25">
      <c r="A850" s="4">
        <v>849</v>
      </c>
      <c r="B850" s="4"/>
      <c r="C850" s="4"/>
      <c r="D850" s="4"/>
      <c r="E850" s="4"/>
      <c r="F850" s="4"/>
    </row>
    <row r="851" spans="1:6" x14ac:dyDescent="0.25">
      <c r="A851" s="4">
        <v>850</v>
      </c>
      <c r="B851" s="4"/>
      <c r="C851" s="4"/>
      <c r="D851" s="4"/>
      <c r="E851" s="4"/>
      <c r="F851" s="4"/>
    </row>
    <row r="852" spans="1:6" x14ac:dyDescent="0.25">
      <c r="A852" s="4">
        <v>851</v>
      </c>
      <c r="B852" s="4"/>
      <c r="C852" s="4"/>
      <c r="D852" s="4"/>
      <c r="E852" s="4"/>
      <c r="F852" s="4"/>
    </row>
    <row r="853" spans="1:6" x14ac:dyDescent="0.25">
      <c r="A853" s="4">
        <v>852</v>
      </c>
      <c r="B853" s="4"/>
      <c r="C853" s="4"/>
      <c r="D853" s="4"/>
      <c r="E853" s="4"/>
      <c r="F853" s="4"/>
    </row>
    <row r="854" spans="1:6" x14ac:dyDescent="0.25">
      <c r="A854" s="4">
        <v>853</v>
      </c>
      <c r="B854" s="4"/>
      <c r="C854" s="4"/>
      <c r="D854" s="4"/>
      <c r="E854" s="4"/>
      <c r="F854" s="4"/>
    </row>
    <row r="855" spans="1:6" x14ac:dyDescent="0.25">
      <c r="A855" s="4">
        <v>854</v>
      </c>
      <c r="B855" s="4"/>
      <c r="C855" s="4"/>
      <c r="D855" s="4"/>
      <c r="E855" s="4"/>
      <c r="F855" s="4"/>
    </row>
    <row r="856" spans="1:6" x14ac:dyDescent="0.25">
      <c r="A856" s="4">
        <v>855</v>
      </c>
      <c r="B856" s="4"/>
      <c r="C856" s="4"/>
      <c r="D856" s="4"/>
      <c r="E856" s="4"/>
      <c r="F856" s="4"/>
    </row>
    <row r="857" spans="1:6" x14ac:dyDescent="0.25">
      <c r="A857" s="4">
        <v>856</v>
      </c>
      <c r="B857" s="4"/>
      <c r="C857" s="4"/>
      <c r="D857" s="4"/>
      <c r="E857" s="4"/>
      <c r="F857" s="4"/>
    </row>
    <row r="858" spans="1:6" x14ac:dyDescent="0.25">
      <c r="A858" s="4">
        <v>857</v>
      </c>
      <c r="B858" s="4"/>
      <c r="C858" s="4"/>
      <c r="D858" s="4"/>
      <c r="E858" s="4"/>
      <c r="F858" s="4"/>
    </row>
    <row r="859" spans="1:6" x14ac:dyDescent="0.25">
      <c r="A859" s="4">
        <v>858</v>
      </c>
      <c r="B859" s="4"/>
      <c r="C859" s="4"/>
      <c r="D859" s="4"/>
      <c r="E859" s="4"/>
      <c r="F859" s="4"/>
    </row>
    <row r="860" spans="1:6" x14ac:dyDescent="0.25">
      <c r="A860" s="4">
        <v>859</v>
      </c>
      <c r="B860" s="4"/>
      <c r="C860" s="4"/>
      <c r="D860" s="4"/>
      <c r="E860" s="4"/>
      <c r="F860" s="4"/>
    </row>
    <row r="861" spans="1:6" x14ac:dyDescent="0.25">
      <c r="A861" s="4">
        <v>860</v>
      </c>
      <c r="B861" s="4"/>
      <c r="C861" s="4"/>
      <c r="D861" s="4"/>
      <c r="E861" s="4"/>
      <c r="F861" s="4"/>
    </row>
    <row r="862" spans="1:6" x14ac:dyDescent="0.25">
      <c r="A862" s="4">
        <v>861</v>
      </c>
      <c r="B862" s="4"/>
      <c r="C862" s="4"/>
      <c r="D862" s="4"/>
      <c r="E862" s="4"/>
      <c r="F862" s="4"/>
    </row>
    <row r="863" spans="1:6" x14ac:dyDescent="0.25">
      <c r="A863" s="4">
        <v>862</v>
      </c>
      <c r="B863" s="4"/>
      <c r="C863" s="4"/>
      <c r="D863" s="4"/>
      <c r="E863" s="4"/>
      <c r="F863" s="4"/>
    </row>
    <row r="864" spans="1:6" x14ac:dyDescent="0.25">
      <c r="A864" s="4">
        <v>863</v>
      </c>
      <c r="B864" s="4"/>
      <c r="C864" s="4"/>
      <c r="D864" s="4"/>
      <c r="E864" s="4"/>
      <c r="F864" s="4"/>
    </row>
    <row r="865" spans="1:6" x14ac:dyDescent="0.25">
      <c r="A865" s="4">
        <v>864</v>
      </c>
      <c r="B865" s="4"/>
      <c r="C865" s="4"/>
      <c r="D865" s="4"/>
      <c r="E865" s="4"/>
      <c r="F865" s="4"/>
    </row>
    <row r="866" spans="1:6" x14ac:dyDescent="0.25">
      <c r="A866" s="4">
        <v>865</v>
      </c>
      <c r="B866" s="4"/>
      <c r="C866" s="4"/>
      <c r="D866" s="4"/>
      <c r="E866" s="4"/>
      <c r="F866" s="4"/>
    </row>
    <row r="867" spans="1:6" x14ac:dyDescent="0.25">
      <c r="A867" s="4">
        <v>866</v>
      </c>
      <c r="B867" s="4"/>
      <c r="C867" s="4"/>
      <c r="D867" s="4"/>
      <c r="E867" s="4"/>
      <c r="F867" s="4"/>
    </row>
    <row r="868" spans="1:6" x14ac:dyDescent="0.25">
      <c r="A868" s="4">
        <v>867</v>
      </c>
      <c r="B868" s="4"/>
      <c r="C868" s="4"/>
      <c r="D868" s="4"/>
      <c r="E868" s="4"/>
      <c r="F868" s="4"/>
    </row>
    <row r="869" spans="1:6" x14ac:dyDescent="0.25">
      <c r="A869" s="4">
        <v>868</v>
      </c>
      <c r="B869" s="4"/>
      <c r="C869" s="4"/>
      <c r="D869" s="4"/>
      <c r="E869" s="4"/>
      <c r="F869" s="4"/>
    </row>
    <row r="870" spans="1:6" x14ac:dyDescent="0.25">
      <c r="A870" s="4">
        <v>869</v>
      </c>
      <c r="B870" s="4"/>
      <c r="C870" s="4"/>
      <c r="D870" s="4"/>
      <c r="E870" s="4"/>
      <c r="F870" s="4"/>
    </row>
    <row r="871" spans="1:6" x14ac:dyDescent="0.25">
      <c r="A871" s="4">
        <v>870</v>
      </c>
      <c r="B871" s="4"/>
      <c r="C871" s="4"/>
      <c r="D871" s="4"/>
      <c r="E871" s="4"/>
      <c r="F871" s="4"/>
    </row>
    <row r="872" spans="1:6" x14ac:dyDescent="0.25">
      <c r="A872" s="4">
        <v>871</v>
      </c>
      <c r="B872" s="4"/>
      <c r="C872" s="4"/>
      <c r="D872" s="4"/>
      <c r="E872" s="4"/>
      <c r="F872" s="4"/>
    </row>
    <row r="873" spans="1:6" x14ac:dyDescent="0.25">
      <c r="A873" s="4">
        <v>872</v>
      </c>
      <c r="B873" s="4"/>
      <c r="C873" s="4"/>
      <c r="D873" s="4"/>
      <c r="E873" s="4"/>
      <c r="F873" s="4"/>
    </row>
    <row r="874" spans="1:6" x14ac:dyDescent="0.25">
      <c r="A874" s="4">
        <v>873</v>
      </c>
      <c r="B874" s="4"/>
      <c r="C874" s="4"/>
      <c r="D874" s="4"/>
      <c r="E874" s="4"/>
      <c r="F874" s="4"/>
    </row>
    <row r="875" spans="1:6" x14ac:dyDescent="0.25">
      <c r="A875" s="4">
        <v>874</v>
      </c>
      <c r="B875" s="4"/>
      <c r="C875" s="4"/>
      <c r="D875" s="4"/>
      <c r="E875" s="4"/>
      <c r="F875" s="4"/>
    </row>
    <row r="876" spans="1:6" x14ac:dyDescent="0.25">
      <c r="A876" s="4">
        <v>875</v>
      </c>
      <c r="B876" s="4"/>
      <c r="C876" s="4"/>
      <c r="D876" s="4"/>
      <c r="E876" s="4"/>
      <c r="F876" s="4"/>
    </row>
    <row r="877" spans="1:6" x14ac:dyDescent="0.25">
      <c r="A877" s="4">
        <v>876</v>
      </c>
      <c r="B877" s="4"/>
      <c r="C877" s="4"/>
      <c r="D877" s="4"/>
      <c r="E877" s="4"/>
      <c r="F877" s="4"/>
    </row>
    <row r="878" spans="1:6" x14ac:dyDescent="0.25">
      <c r="A878" s="4">
        <v>877</v>
      </c>
      <c r="B878" s="4"/>
      <c r="C878" s="4"/>
      <c r="D878" s="4"/>
      <c r="E878" s="4"/>
      <c r="F878" s="4"/>
    </row>
    <row r="879" spans="1:6" x14ac:dyDescent="0.25">
      <c r="A879" s="4">
        <v>878</v>
      </c>
      <c r="B879" s="4"/>
      <c r="C879" s="4"/>
      <c r="D879" s="4"/>
      <c r="E879" s="4"/>
      <c r="F879" s="4"/>
    </row>
    <row r="880" spans="1:6" x14ac:dyDescent="0.25">
      <c r="A880" s="4">
        <v>879</v>
      </c>
      <c r="B880" s="4"/>
      <c r="C880" s="4"/>
      <c r="D880" s="4"/>
      <c r="E880" s="4"/>
      <c r="F880" s="4"/>
    </row>
    <row r="881" spans="1:6" x14ac:dyDescent="0.25">
      <c r="A881" s="4">
        <v>880</v>
      </c>
      <c r="B881" s="4"/>
      <c r="C881" s="4"/>
      <c r="D881" s="4"/>
      <c r="E881" s="4"/>
      <c r="F881" s="4"/>
    </row>
    <row r="882" spans="1:6" x14ac:dyDescent="0.25">
      <c r="A882" s="4">
        <v>881</v>
      </c>
      <c r="B882" s="4"/>
      <c r="C882" s="4"/>
      <c r="D882" s="4"/>
      <c r="E882" s="4"/>
      <c r="F882" s="4"/>
    </row>
    <row r="883" spans="1:6" x14ac:dyDescent="0.25">
      <c r="A883" s="4">
        <v>882</v>
      </c>
      <c r="B883" s="4"/>
      <c r="C883" s="4"/>
      <c r="D883" s="4"/>
      <c r="E883" s="4"/>
      <c r="F883" s="4"/>
    </row>
    <row r="884" spans="1:6" x14ac:dyDescent="0.25">
      <c r="A884" s="4">
        <v>883</v>
      </c>
      <c r="B884" s="4"/>
      <c r="C884" s="4"/>
      <c r="D884" s="4"/>
      <c r="E884" s="4"/>
      <c r="F884" s="4"/>
    </row>
    <row r="885" spans="1:6" x14ac:dyDescent="0.25">
      <c r="A885" s="4">
        <v>884</v>
      </c>
      <c r="B885" s="4"/>
      <c r="C885" s="4"/>
      <c r="D885" s="4"/>
      <c r="E885" s="4"/>
      <c r="F885" s="4"/>
    </row>
    <row r="886" spans="1:6" x14ac:dyDescent="0.25">
      <c r="A886" s="4">
        <v>885</v>
      </c>
      <c r="B886" s="4"/>
      <c r="C886" s="4"/>
      <c r="D886" s="4"/>
      <c r="E886" s="4"/>
      <c r="F886" s="4"/>
    </row>
    <row r="887" spans="1:6" x14ac:dyDescent="0.25">
      <c r="A887" s="4">
        <v>886</v>
      </c>
      <c r="B887" s="4"/>
      <c r="C887" s="4"/>
      <c r="D887" s="4"/>
      <c r="E887" s="4"/>
      <c r="F887" s="4"/>
    </row>
    <row r="888" spans="1:6" x14ac:dyDescent="0.25">
      <c r="A888" s="4">
        <v>887</v>
      </c>
      <c r="B888" s="4"/>
      <c r="C888" s="4"/>
      <c r="D888" s="4"/>
      <c r="E888" s="4"/>
      <c r="F888" s="4"/>
    </row>
    <row r="889" spans="1:6" x14ac:dyDescent="0.25">
      <c r="A889" s="4">
        <v>888</v>
      </c>
      <c r="B889" s="4"/>
      <c r="C889" s="4"/>
      <c r="D889" s="4"/>
      <c r="E889" s="4"/>
      <c r="F889" s="4"/>
    </row>
    <row r="890" spans="1:6" x14ac:dyDescent="0.25">
      <c r="A890" s="4">
        <v>889</v>
      </c>
      <c r="B890" s="4"/>
      <c r="C890" s="4"/>
      <c r="D890" s="4"/>
      <c r="E890" s="4"/>
      <c r="F890" s="4"/>
    </row>
    <row r="891" spans="1:6" x14ac:dyDescent="0.25">
      <c r="A891" s="4">
        <v>890</v>
      </c>
      <c r="B891" s="4"/>
      <c r="C891" s="4"/>
      <c r="D891" s="4"/>
      <c r="E891" s="4"/>
      <c r="F891" s="4"/>
    </row>
    <row r="892" spans="1:6" x14ac:dyDescent="0.25">
      <c r="A892" s="4">
        <v>891</v>
      </c>
      <c r="B892" s="4"/>
      <c r="C892" s="4"/>
      <c r="D892" s="4"/>
      <c r="E892" s="4"/>
      <c r="F892" s="4"/>
    </row>
    <row r="893" spans="1:6" x14ac:dyDescent="0.25">
      <c r="A893" s="4">
        <v>892</v>
      </c>
      <c r="B893" s="4"/>
      <c r="C893" s="4"/>
      <c r="D893" s="4"/>
      <c r="E893" s="4"/>
      <c r="F893" s="4"/>
    </row>
    <row r="894" spans="1:6" x14ac:dyDescent="0.25">
      <c r="A894" s="4">
        <v>893</v>
      </c>
      <c r="B894" s="4"/>
      <c r="C894" s="4"/>
      <c r="D894" s="4"/>
      <c r="E894" s="4"/>
      <c r="F894" s="4"/>
    </row>
    <row r="895" spans="1:6" x14ac:dyDescent="0.25">
      <c r="A895" s="4">
        <v>894</v>
      </c>
      <c r="B895" s="4"/>
      <c r="C895" s="4"/>
      <c r="D895" s="4"/>
      <c r="E895" s="4"/>
      <c r="F895" s="4"/>
    </row>
    <row r="896" spans="1:6" x14ac:dyDescent="0.25">
      <c r="A896" s="4">
        <v>895</v>
      </c>
      <c r="B896" s="4"/>
      <c r="C896" s="4"/>
      <c r="D896" s="4"/>
      <c r="E896" s="4"/>
      <c r="F896" s="4"/>
    </row>
    <row r="897" spans="1:6" x14ac:dyDescent="0.25">
      <c r="A897" s="4">
        <v>896</v>
      </c>
      <c r="B897" s="4"/>
      <c r="C897" s="4"/>
      <c r="D897" s="4"/>
      <c r="E897" s="4"/>
      <c r="F897" s="4"/>
    </row>
    <row r="898" spans="1:6" x14ac:dyDescent="0.25">
      <c r="A898" s="4">
        <v>897</v>
      </c>
      <c r="B898" s="4"/>
      <c r="C898" s="4"/>
      <c r="D898" s="4"/>
      <c r="E898" s="4"/>
      <c r="F898" s="4"/>
    </row>
    <row r="899" spans="1:6" x14ac:dyDescent="0.25">
      <c r="A899" s="4">
        <v>898</v>
      </c>
      <c r="B899" s="4"/>
      <c r="C899" s="4"/>
      <c r="D899" s="4"/>
      <c r="E899" s="4"/>
      <c r="F899" s="4"/>
    </row>
    <row r="900" spans="1:6" x14ac:dyDescent="0.25">
      <c r="A900" s="4">
        <v>899</v>
      </c>
      <c r="B900" s="4"/>
      <c r="C900" s="4"/>
      <c r="D900" s="4"/>
      <c r="E900" s="4"/>
      <c r="F900" s="4"/>
    </row>
    <row r="901" spans="1:6" x14ac:dyDescent="0.25">
      <c r="A901" s="4">
        <v>900</v>
      </c>
      <c r="B901" s="4"/>
      <c r="C901" s="4"/>
      <c r="D901" s="4"/>
      <c r="E901" s="4"/>
      <c r="F901" s="4"/>
    </row>
    <row r="902" spans="1:6" x14ac:dyDescent="0.25">
      <c r="A902" s="4">
        <v>901</v>
      </c>
      <c r="B902" s="4"/>
      <c r="C902" s="4"/>
      <c r="D902" s="4"/>
      <c r="E902" s="4"/>
      <c r="F902" s="4"/>
    </row>
    <row r="903" spans="1:6" x14ac:dyDescent="0.25">
      <c r="A903" s="4">
        <v>902</v>
      </c>
      <c r="B903" s="4"/>
      <c r="C903" s="4"/>
      <c r="D903" s="4"/>
      <c r="E903" s="4"/>
      <c r="F903" s="4"/>
    </row>
    <row r="904" spans="1:6" x14ac:dyDescent="0.25">
      <c r="A904" s="4">
        <v>903</v>
      </c>
      <c r="B904" s="4"/>
      <c r="C904" s="4"/>
      <c r="D904" s="4"/>
      <c r="E904" s="4"/>
      <c r="F904" s="4"/>
    </row>
    <row r="905" spans="1:6" x14ac:dyDescent="0.25">
      <c r="A905" s="4">
        <v>904</v>
      </c>
      <c r="B905" s="4"/>
      <c r="C905" s="4"/>
      <c r="D905" s="4"/>
      <c r="E905" s="4"/>
      <c r="F905" s="4"/>
    </row>
    <row r="906" spans="1:6" x14ac:dyDescent="0.25">
      <c r="A906" s="4">
        <v>905</v>
      </c>
      <c r="B906" s="4"/>
      <c r="C906" s="4"/>
      <c r="D906" s="4"/>
      <c r="E906" s="4"/>
      <c r="F906" s="4"/>
    </row>
    <row r="907" spans="1:6" x14ac:dyDescent="0.25">
      <c r="A907" s="4">
        <v>906</v>
      </c>
      <c r="B907" s="4"/>
      <c r="C907" s="4"/>
      <c r="D907" s="4"/>
      <c r="E907" s="4"/>
      <c r="F907" s="4"/>
    </row>
    <row r="908" spans="1:6" x14ac:dyDescent="0.25">
      <c r="A908" s="4">
        <v>907</v>
      </c>
      <c r="B908" s="4"/>
      <c r="C908" s="4"/>
      <c r="D908" s="4"/>
      <c r="E908" s="4"/>
      <c r="F908" s="4"/>
    </row>
    <row r="909" spans="1:6" x14ac:dyDescent="0.25">
      <c r="A909" s="4">
        <v>908</v>
      </c>
      <c r="B909" s="4"/>
      <c r="C909" s="4"/>
      <c r="D909" s="4"/>
      <c r="E909" s="4"/>
      <c r="F909" s="4"/>
    </row>
    <row r="910" spans="1:6" x14ac:dyDescent="0.25">
      <c r="A910" s="4">
        <v>909</v>
      </c>
      <c r="B910" s="4"/>
      <c r="C910" s="4"/>
      <c r="D910" s="4"/>
      <c r="E910" s="4"/>
      <c r="F910" s="4"/>
    </row>
    <row r="911" spans="1:6" x14ac:dyDescent="0.25">
      <c r="A911" s="4">
        <v>910</v>
      </c>
      <c r="B911" s="4"/>
      <c r="C911" s="4"/>
      <c r="D911" s="4"/>
      <c r="E911" s="4"/>
      <c r="F911" s="4"/>
    </row>
    <row r="912" spans="1:6" x14ac:dyDescent="0.25">
      <c r="A912" s="4">
        <v>911</v>
      </c>
      <c r="B912" s="4"/>
      <c r="C912" s="4"/>
      <c r="D912" s="4"/>
      <c r="E912" s="4"/>
      <c r="F912" s="4"/>
    </row>
    <row r="913" spans="1:6" x14ac:dyDescent="0.25">
      <c r="A913" s="4">
        <v>912</v>
      </c>
      <c r="B913" s="4"/>
      <c r="C913" s="4"/>
      <c r="D913" s="4"/>
      <c r="E913" s="4"/>
      <c r="F913" s="4"/>
    </row>
    <row r="914" spans="1:6" x14ac:dyDescent="0.25">
      <c r="A914" s="4">
        <v>913</v>
      </c>
      <c r="B914" s="4"/>
      <c r="C914" s="4"/>
      <c r="D914" s="4"/>
      <c r="E914" s="4"/>
      <c r="F914" s="4"/>
    </row>
    <row r="915" spans="1:6" x14ac:dyDescent="0.25">
      <c r="A915" s="4">
        <v>914</v>
      </c>
      <c r="B915" s="4"/>
      <c r="C915" s="4"/>
      <c r="D915" s="4"/>
      <c r="E915" s="4"/>
      <c r="F915" s="4"/>
    </row>
    <row r="916" spans="1:6" x14ac:dyDescent="0.25">
      <c r="A916" s="4">
        <v>915</v>
      </c>
      <c r="B916" s="4"/>
      <c r="C916" s="4"/>
      <c r="D916" s="4"/>
      <c r="E916" s="4"/>
      <c r="F916" s="4"/>
    </row>
    <row r="917" spans="1:6" x14ac:dyDescent="0.25">
      <c r="A917" s="4">
        <v>916</v>
      </c>
      <c r="B917" s="4"/>
      <c r="C917" s="4"/>
      <c r="D917" s="4"/>
      <c r="E917" s="4"/>
      <c r="F917" s="4"/>
    </row>
    <row r="918" spans="1:6" x14ac:dyDescent="0.25">
      <c r="A918" s="4">
        <v>917</v>
      </c>
      <c r="B918" s="4"/>
      <c r="C918" s="4"/>
      <c r="D918" s="4"/>
      <c r="E918" s="4"/>
      <c r="F918" s="4"/>
    </row>
    <row r="919" spans="1:6" x14ac:dyDescent="0.25">
      <c r="A919" s="4">
        <v>918</v>
      </c>
      <c r="B919" s="4"/>
      <c r="C919" s="4"/>
      <c r="D919" s="4"/>
      <c r="E919" s="4"/>
      <c r="F919" s="4"/>
    </row>
    <row r="920" spans="1:6" x14ac:dyDescent="0.25">
      <c r="A920" s="4">
        <v>919</v>
      </c>
      <c r="B920" s="4"/>
      <c r="C920" s="4"/>
      <c r="D920" s="4"/>
      <c r="E920" s="4"/>
      <c r="F920" s="4"/>
    </row>
    <row r="921" spans="1:6" x14ac:dyDescent="0.25">
      <c r="A921" s="4">
        <v>920</v>
      </c>
      <c r="B921" s="4"/>
      <c r="C921" s="4"/>
      <c r="D921" s="4"/>
      <c r="E921" s="4"/>
      <c r="F921" s="4"/>
    </row>
    <row r="922" spans="1:6" x14ac:dyDescent="0.25">
      <c r="A922" s="4">
        <v>921</v>
      </c>
      <c r="B922" s="4"/>
      <c r="C922" s="4"/>
      <c r="D922" s="4"/>
      <c r="E922" s="4"/>
      <c r="F922" s="4"/>
    </row>
    <row r="923" spans="1:6" x14ac:dyDescent="0.25">
      <c r="A923" s="4">
        <v>922</v>
      </c>
      <c r="B923" s="4"/>
      <c r="C923" s="4"/>
      <c r="D923" s="4"/>
      <c r="E923" s="4"/>
      <c r="F923" s="4"/>
    </row>
    <row r="924" spans="1:6" x14ac:dyDescent="0.25">
      <c r="A924" s="4">
        <v>923</v>
      </c>
      <c r="B924" s="4"/>
      <c r="C924" s="4"/>
      <c r="D924" s="4"/>
      <c r="E924" s="4"/>
      <c r="F924" s="4"/>
    </row>
    <row r="925" spans="1:6" x14ac:dyDescent="0.25">
      <c r="A925" s="4">
        <v>924</v>
      </c>
      <c r="B925" s="4"/>
      <c r="C925" s="4"/>
      <c r="D925" s="4"/>
      <c r="E925" s="4"/>
      <c r="F925" s="4"/>
    </row>
    <row r="926" spans="1:6" x14ac:dyDescent="0.25">
      <c r="A926" s="4">
        <v>925</v>
      </c>
      <c r="B926" s="4"/>
      <c r="C926" s="4"/>
      <c r="D926" s="4"/>
      <c r="E926" s="4"/>
      <c r="F926" s="4"/>
    </row>
    <row r="927" spans="1:6" x14ac:dyDescent="0.25">
      <c r="A927" s="4">
        <v>926</v>
      </c>
      <c r="B927" s="4"/>
      <c r="C927" s="4"/>
      <c r="D927" s="4"/>
      <c r="E927" s="4"/>
      <c r="F927" s="4"/>
    </row>
    <row r="928" spans="1:6" x14ac:dyDescent="0.25">
      <c r="A928" s="4">
        <v>927</v>
      </c>
      <c r="B928" s="4"/>
      <c r="C928" s="4"/>
      <c r="D928" s="4"/>
      <c r="E928" s="4"/>
      <c r="F928" s="4"/>
    </row>
    <row r="929" spans="1:6" x14ac:dyDescent="0.25">
      <c r="A929" s="4">
        <v>928</v>
      </c>
      <c r="B929" s="4"/>
      <c r="C929" s="4"/>
      <c r="D929" s="4"/>
      <c r="E929" s="4"/>
      <c r="F929" s="4"/>
    </row>
    <row r="930" spans="1:6" x14ac:dyDescent="0.25">
      <c r="A930" s="4">
        <v>929</v>
      </c>
      <c r="B930" s="4"/>
      <c r="C930" s="4"/>
      <c r="D930" s="4"/>
      <c r="E930" s="4"/>
      <c r="F930" s="4"/>
    </row>
    <row r="931" spans="1:6" x14ac:dyDescent="0.25">
      <c r="A931" s="4">
        <v>930</v>
      </c>
      <c r="B931" s="4"/>
      <c r="C931" s="4"/>
      <c r="D931" s="4"/>
      <c r="E931" s="4"/>
      <c r="F931" s="4"/>
    </row>
    <row r="932" spans="1:6" x14ac:dyDescent="0.25">
      <c r="A932" s="4">
        <v>931</v>
      </c>
      <c r="B932" s="4"/>
      <c r="C932" s="4"/>
      <c r="D932" s="4"/>
      <c r="E932" s="4"/>
      <c r="F932" s="4"/>
    </row>
    <row r="933" spans="1:6" x14ac:dyDescent="0.25">
      <c r="A933" s="4">
        <v>932</v>
      </c>
      <c r="B933" s="4"/>
      <c r="C933" s="4"/>
      <c r="D933" s="4"/>
      <c r="E933" s="4"/>
      <c r="F933" s="4"/>
    </row>
    <row r="934" spans="1:6" x14ac:dyDescent="0.25">
      <c r="A934" s="4">
        <v>933</v>
      </c>
      <c r="B934" s="4"/>
      <c r="C934" s="4"/>
      <c r="D934" s="4"/>
      <c r="E934" s="4"/>
      <c r="F934" s="4"/>
    </row>
    <row r="935" spans="1:6" x14ac:dyDescent="0.25">
      <c r="A935" s="4">
        <v>934</v>
      </c>
      <c r="B935" s="4"/>
      <c r="C935" s="4"/>
      <c r="D935" s="4"/>
      <c r="E935" s="4"/>
      <c r="F935" s="4"/>
    </row>
    <row r="936" spans="1:6" x14ac:dyDescent="0.25">
      <c r="A936" s="4">
        <v>935</v>
      </c>
      <c r="B936" s="4"/>
      <c r="C936" s="4"/>
      <c r="D936" s="4"/>
      <c r="E936" s="4"/>
      <c r="F936" s="4"/>
    </row>
    <row r="937" spans="1:6" x14ac:dyDescent="0.25">
      <c r="A937" s="4">
        <v>936</v>
      </c>
      <c r="B937" s="4"/>
      <c r="C937" s="4"/>
      <c r="D937" s="4"/>
      <c r="E937" s="4"/>
      <c r="F937" s="4"/>
    </row>
    <row r="938" spans="1:6" x14ac:dyDescent="0.25">
      <c r="A938" s="4">
        <v>937</v>
      </c>
      <c r="B938" s="4"/>
      <c r="C938" s="4"/>
      <c r="D938" s="4"/>
      <c r="E938" s="4"/>
      <c r="F938" s="4"/>
    </row>
    <row r="939" spans="1:6" x14ac:dyDescent="0.25">
      <c r="A939" s="4">
        <v>938</v>
      </c>
      <c r="B939" s="4"/>
      <c r="C939" s="4"/>
      <c r="D939" s="4"/>
      <c r="E939" s="4"/>
      <c r="F939" s="4"/>
    </row>
    <row r="940" spans="1:6" x14ac:dyDescent="0.25">
      <c r="A940" s="4">
        <v>939</v>
      </c>
      <c r="B940" s="4"/>
      <c r="C940" s="4"/>
      <c r="D940" s="4"/>
      <c r="E940" s="4"/>
      <c r="F940" s="4"/>
    </row>
    <row r="941" spans="1:6" x14ac:dyDescent="0.25">
      <c r="A941" s="4">
        <v>940</v>
      </c>
      <c r="B941" s="4"/>
      <c r="C941" s="4"/>
      <c r="D941" s="4"/>
      <c r="E941" s="4"/>
      <c r="F941" s="4"/>
    </row>
    <row r="942" spans="1:6" x14ac:dyDescent="0.25">
      <c r="A942" s="4">
        <v>941</v>
      </c>
      <c r="B942" s="4"/>
      <c r="C942" s="4"/>
      <c r="D942" s="4"/>
      <c r="E942" s="4"/>
      <c r="F942" s="4"/>
    </row>
    <row r="943" spans="1:6" x14ac:dyDescent="0.25">
      <c r="A943" s="4">
        <v>942</v>
      </c>
      <c r="B943" s="4"/>
      <c r="C943" s="4"/>
      <c r="D943" s="4"/>
      <c r="E943" s="4"/>
      <c r="F943" s="4"/>
    </row>
    <row r="944" spans="1:6" x14ac:dyDescent="0.25">
      <c r="A944" s="4">
        <v>943</v>
      </c>
      <c r="B944" s="4"/>
      <c r="C944" s="4"/>
      <c r="D944" s="4"/>
      <c r="E944" s="4"/>
      <c r="F944" s="4"/>
    </row>
    <row r="945" spans="1:6" x14ac:dyDescent="0.25">
      <c r="A945" s="4">
        <v>944</v>
      </c>
      <c r="B945" s="4"/>
      <c r="C945" s="4"/>
      <c r="D945" s="4"/>
      <c r="E945" s="4"/>
      <c r="F945" s="4"/>
    </row>
    <row r="946" spans="1:6" x14ac:dyDescent="0.25">
      <c r="A946" s="4">
        <v>945</v>
      </c>
      <c r="B946" s="4"/>
      <c r="C946" s="4"/>
      <c r="D946" s="4"/>
      <c r="E946" s="4"/>
      <c r="F946" s="4"/>
    </row>
    <row r="947" spans="1:6" x14ac:dyDescent="0.25">
      <c r="A947" s="4">
        <v>946</v>
      </c>
      <c r="B947" s="4"/>
      <c r="C947" s="4"/>
      <c r="D947" s="4"/>
      <c r="E947" s="4"/>
      <c r="F947" s="4"/>
    </row>
    <row r="948" spans="1:6" x14ac:dyDescent="0.25">
      <c r="A948" s="4">
        <v>947</v>
      </c>
      <c r="B948" s="4"/>
      <c r="C948" s="4"/>
      <c r="D948" s="4"/>
      <c r="E948" s="4"/>
      <c r="F948" s="4"/>
    </row>
    <row r="949" spans="1:6" x14ac:dyDescent="0.25">
      <c r="A949" s="4">
        <v>948</v>
      </c>
      <c r="B949" s="4"/>
      <c r="C949" s="4"/>
      <c r="D949" s="4"/>
      <c r="E949" s="4"/>
      <c r="F949" s="4"/>
    </row>
    <row r="950" spans="1:6" x14ac:dyDescent="0.25">
      <c r="A950" s="4">
        <v>949</v>
      </c>
      <c r="B950" s="4"/>
      <c r="C950" s="4"/>
      <c r="D950" s="4"/>
      <c r="E950" s="4"/>
      <c r="F950" s="4"/>
    </row>
    <row r="951" spans="1:6" x14ac:dyDescent="0.25">
      <c r="A951" s="4">
        <v>950</v>
      </c>
      <c r="B951" s="4"/>
      <c r="C951" s="4"/>
      <c r="D951" s="4"/>
      <c r="E951" s="4"/>
      <c r="F951" s="4"/>
    </row>
    <row r="952" spans="1:6" x14ac:dyDescent="0.25">
      <c r="A952" s="4">
        <v>951</v>
      </c>
      <c r="B952" s="4"/>
      <c r="C952" s="4"/>
      <c r="D952" s="4"/>
      <c r="E952" s="4"/>
      <c r="F952" s="4"/>
    </row>
    <row r="953" spans="1:6" x14ac:dyDescent="0.25">
      <c r="A953" s="4">
        <v>952</v>
      </c>
      <c r="B953" s="4"/>
      <c r="C953" s="4"/>
      <c r="D953" s="4"/>
      <c r="E953" s="4"/>
      <c r="F953" s="4"/>
    </row>
    <row r="954" spans="1:6" x14ac:dyDescent="0.25">
      <c r="A954" s="4">
        <v>953</v>
      </c>
      <c r="B954" s="4"/>
      <c r="C954" s="4"/>
      <c r="D954" s="4"/>
      <c r="E954" s="4"/>
      <c r="F954" s="4"/>
    </row>
    <row r="955" spans="1:6" x14ac:dyDescent="0.25">
      <c r="A955" s="4">
        <v>954</v>
      </c>
      <c r="B955" s="4"/>
      <c r="C955" s="4"/>
      <c r="D955" s="4"/>
      <c r="E955" s="4"/>
      <c r="F955" s="4"/>
    </row>
    <row r="956" spans="1:6" x14ac:dyDescent="0.25">
      <c r="A956" s="4">
        <v>955</v>
      </c>
      <c r="B956" s="4"/>
      <c r="C956" s="4"/>
      <c r="D956" s="4"/>
      <c r="E956" s="4"/>
      <c r="F956" s="4"/>
    </row>
    <row r="957" spans="1:6" x14ac:dyDescent="0.25">
      <c r="A957" s="4">
        <v>956</v>
      </c>
      <c r="B957" s="4"/>
      <c r="C957" s="4"/>
      <c r="D957" s="4"/>
      <c r="E957" s="4"/>
      <c r="F957" s="4"/>
    </row>
    <row r="958" spans="1:6" x14ac:dyDescent="0.25">
      <c r="A958" s="4">
        <v>957</v>
      </c>
      <c r="B958" s="4"/>
      <c r="C958" s="4"/>
      <c r="D958" s="4"/>
      <c r="E958" s="4"/>
      <c r="F958" s="4"/>
    </row>
    <row r="959" spans="1:6" x14ac:dyDescent="0.25">
      <c r="A959" s="4">
        <v>958</v>
      </c>
      <c r="B959" s="4"/>
      <c r="C959" s="4"/>
      <c r="D959" s="4"/>
      <c r="E959" s="4"/>
      <c r="F959" s="4"/>
    </row>
    <row r="960" spans="1:6" x14ac:dyDescent="0.25">
      <c r="A960" s="4">
        <v>959</v>
      </c>
      <c r="B960" s="4"/>
      <c r="C960" s="4"/>
      <c r="D960" s="4"/>
      <c r="E960" s="4"/>
      <c r="F960" s="4"/>
    </row>
    <row r="961" spans="1:6" x14ac:dyDescent="0.25">
      <c r="A961" s="4">
        <v>960</v>
      </c>
      <c r="B961" s="4"/>
      <c r="C961" s="4"/>
      <c r="D961" s="4"/>
      <c r="E961" s="4"/>
      <c r="F961" s="4"/>
    </row>
    <row r="962" spans="1:6" x14ac:dyDescent="0.25">
      <c r="A962" s="4">
        <v>961</v>
      </c>
      <c r="B962" s="4"/>
      <c r="C962" s="4"/>
      <c r="D962" s="4"/>
      <c r="E962" s="4"/>
      <c r="F962" s="4"/>
    </row>
    <row r="963" spans="1:6" x14ac:dyDescent="0.25">
      <c r="A963" s="4">
        <v>962</v>
      </c>
      <c r="B963" s="4"/>
      <c r="C963" s="4"/>
      <c r="D963" s="4"/>
      <c r="E963" s="4"/>
      <c r="F963" s="4"/>
    </row>
    <row r="964" spans="1:6" x14ac:dyDescent="0.25">
      <c r="A964" s="4">
        <v>963</v>
      </c>
      <c r="B964" s="4"/>
      <c r="C964" s="4"/>
      <c r="D964" s="4"/>
      <c r="E964" s="4"/>
      <c r="F964" s="4"/>
    </row>
    <row r="965" spans="1:6" x14ac:dyDescent="0.25">
      <c r="A965" s="4">
        <v>964</v>
      </c>
      <c r="B965" s="4"/>
      <c r="C965" s="4"/>
      <c r="D965" s="4"/>
      <c r="E965" s="4"/>
      <c r="F965" s="4"/>
    </row>
    <row r="966" spans="1:6" x14ac:dyDescent="0.25">
      <c r="A966" s="4">
        <v>965</v>
      </c>
      <c r="B966" s="4"/>
      <c r="C966" s="4"/>
      <c r="D966" s="4"/>
      <c r="E966" s="4"/>
      <c r="F966" s="4"/>
    </row>
    <row r="967" spans="1:6" x14ac:dyDescent="0.25">
      <c r="A967" s="4">
        <v>966</v>
      </c>
      <c r="B967" s="4"/>
      <c r="C967" s="4"/>
      <c r="D967" s="4"/>
      <c r="E967" s="4"/>
      <c r="F967" s="4"/>
    </row>
    <row r="968" spans="1:6" x14ac:dyDescent="0.25">
      <c r="A968" s="4">
        <v>967</v>
      </c>
      <c r="B968" s="4"/>
      <c r="C968" s="4"/>
      <c r="D968" s="4"/>
      <c r="E968" s="4"/>
      <c r="F968" s="4"/>
    </row>
    <row r="969" spans="1:6" x14ac:dyDescent="0.25">
      <c r="A969" s="4">
        <v>968</v>
      </c>
      <c r="B969" s="4"/>
      <c r="C969" s="4"/>
      <c r="D969" s="4"/>
      <c r="E969" s="4"/>
      <c r="F969" s="4"/>
    </row>
    <row r="970" spans="1:6" x14ac:dyDescent="0.25">
      <c r="A970" s="4">
        <v>969</v>
      </c>
      <c r="B970" s="4"/>
      <c r="C970" s="4"/>
      <c r="D970" s="4"/>
      <c r="E970" s="4"/>
      <c r="F970" s="4"/>
    </row>
    <row r="971" spans="1:6" x14ac:dyDescent="0.25">
      <c r="A971" s="4">
        <v>970</v>
      </c>
      <c r="B971" s="4"/>
      <c r="C971" s="4"/>
      <c r="D971" s="4"/>
      <c r="E971" s="4"/>
      <c r="F971" s="4"/>
    </row>
    <row r="972" spans="1:6" x14ac:dyDescent="0.25">
      <c r="A972" s="4">
        <v>971</v>
      </c>
      <c r="B972" s="4"/>
      <c r="C972" s="4"/>
      <c r="D972" s="4"/>
      <c r="E972" s="4"/>
      <c r="F972" s="4"/>
    </row>
    <row r="973" spans="1:6" x14ac:dyDescent="0.25">
      <c r="A973" s="4">
        <v>972</v>
      </c>
      <c r="B973" s="4"/>
      <c r="C973" s="4"/>
      <c r="D973" s="4"/>
      <c r="E973" s="4"/>
      <c r="F973" s="4"/>
    </row>
    <row r="974" spans="1:6" x14ac:dyDescent="0.25">
      <c r="A974" s="4">
        <v>973</v>
      </c>
      <c r="B974" s="4"/>
      <c r="C974" s="4"/>
      <c r="D974" s="4"/>
      <c r="E974" s="4"/>
      <c r="F974" s="4"/>
    </row>
    <row r="975" spans="1:6" x14ac:dyDescent="0.25">
      <c r="A975" s="4">
        <v>974</v>
      </c>
      <c r="B975" s="4"/>
      <c r="C975" s="4"/>
      <c r="D975" s="4"/>
      <c r="E975" s="4"/>
      <c r="F975" s="4"/>
    </row>
    <row r="976" spans="1:6" x14ac:dyDescent="0.25">
      <c r="A976" s="4">
        <v>975</v>
      </c>
      <c r="B976" s="4"/>
      <c r="C976" s="4"/>
      <c r="D976" s="4"/>
      <c r="E976" s="4"/>
      <c r="F976" s="4"/>
    </row>
    <row r="977" spans="1:6" x14ac:dyDescent="0.25">
      <c r="A977" s="4">
        <v>976</v>
      </c>
      <c r="B977" s="4"/>
      <c r="C977" s="4"/>
      <c r="D977" s="4"/>
      <c r="E977" s="4"/>
      <c r="F977" s="4"/>
    </row>
    <row r="978" spans="1:6" x14ac:dyDescent="0.25">
      <c r="A978" s="4">
        <v>977</v>
      </c>
      <c r="B978" s="4"/>
      <c r="C978" s="4"/>
      <c r="D978" s="4"/>
      <c r="E978" s="4"/>
      <c r="F978" s="4"/>
    </row>
    <row r="979" spans="1:6" x14ac:dyDescent="0.25">
      <c r="A979" s="4">
        <v>978</v>
      </c>
      <c r="B979" s="4"/>
      <c r="C979" s="4"/>
      <c r="D979" s="4"/>
      <c r="E979" s="4"/>
      <c r="F979" s="4"/>
    </row>
    <row r="980" spans="1:6" x14ac:dyDescent="0.25">
      <c r="A980" s="4">
        <v>979</v>
      </c>
      <c r="B980" s="4"/>
      <c r="C980" s="4"/>
      <c r="D980" s="4"/>
      <c r="E980" s="4"/>
      <c r="F980" s="4"/>
    </row>
    <row r="981" spans="1:6" x14ac:dyDescent="0.25">
      <c r="A981" s="4">
        <v>980</v>
      </c>
      <c r="B981" s="4"/>
      <c r="C981" s="4"/>
      <c r="D981" s="4"/>
      <c r="E981" s="4"/>
      <c r="F981" s="4"/>
    </row>
    <row r="982" spans="1:6" x14ac:dyDescent="0.25">
      <c r="A982" s="4">
        <v>981</v>
      </c>
      <c r="B982" s="4"/>
      <c r="C982" s="4"/>
      <c r="D982" s="4"/>
      <c r="E982" s="4"/>
      <c r="F982" s="4"/>
    </row>
    <row r="983" spans="1:6" x14ac:dyDescent="0.25">
      <c r="A983" s="4">
        <v>982</v>
      </c>
      <c r="B983" s="4"/>
      <c r="C983" s="4"/>
      <c r="D983" s="4"/>
      <c r="E983" s="4"/>
      <c r="F983" s="4"/>
    </row>
    <row r="984" spans="1:6" x14ac:dyDescent="0.25">
      <c r="A984" s="4">
        <v>983</v>
      </c>
      <c r="B984" s="4"/>
      <c r="C984" s="4"/>
      <c r="D984" s="4"/>
      <c r="E984" s="4"/>
      <c r="F984" s="4"/>
    </row>
    <row r="985" spans="1:6" x14ac:dyDescent="0.25">
      <c r="A985" s="4">
        <v>984</v>
      </c>
      <c r="B985" s="4"/>
      <c r="C985" s="4"/>
      <c r="D985" s="4"/>
      <c r="E985" s="4"/>
      <c r="F985" s="4"/>
    </row>
    <row r="986" spans="1:6" x14ac:dyDescent="0.25">
      <c r="A986" s="4">
        <v>985</v>
      </c>
      <c r="B986" s="4"/>
      <c r="C986" s="4"/>
      <c r="D986" s="4"/>
      <c r="E986" s="4"/>
      <c r="F986" s="4"/>
    </row>
    <row r="987" spans="1:6" x14ac:dyDescent="0.25">
      <c r="A987" s="4">
        <v>986</v>
      </c>
      <c r="B987" s="4"/>
      <c r="C987" s="4"/>
      <c r="D987" s="4"/>
      <c r="E987" s="4"/>
      <c r="F987" s="4"/>
    </row>
    <row r="988" spans="1:6" x14ac:dyDescent="0.25">
      <c r="A988" s="4">
        <v>987</v>
      </c>
      <c r="B988" s="4"/>
      <c r="C988" s="4"/>
      <c r="D988" s="4"/>
      <c r="E988" s="4"/>
      <c r="F988" s="4"/>
    </row>
    <row r="989" spans="1:6" x14ac:dyDescent="0.25">
      <c r="A989" s="4">
        <v>988</v>
      </c>
      <c r="B989" s="4"/>
      <c r="C989" s="4"/>
      <c r="D989" s="4"/>
      <c r="E989" s="4"/>
      <c r="F989" s="4"/>
    </row>
    <row r="990" spans="1:6" x14ac:dyDescent="0.25">
      <c r="A990" s="4">
        <v>989</v>
      </c>
      <c r="B990" s="4"/>
      <c r="C990" s="4"/>
      <c r="D990" s="4"/>
      <c r="E990" s="4"/>
      <c r="F990" s="4"/>
    </row>
    <row r="991" spans="1:6" x14ac:dyDescent="0.25">
      <c r="A991" s="4">
        <v>990</v>
      </c>
      <c r="B991" s="4"/>
      <c r="C991" s="4"/>
      <c r="D991" s="4"/>
      <c r="E991" s="4"/>
      <c r="F991" s="4"/>
    </row>
    <row r="992" spans="1:6" x14ac:dyDescent="0.25">
      <c r="A992" s="4">
        <v>991</v>
      </c>
      <c r="B992" s="4"/>
      <c r="C992" s="4"/>
      <c r="D992" s="4"/>
      <c r="E992" s="4"/>
      <c r="F992" s="4"/>
    </row>
    <row r="993" spans="1:6" x14ac:dyDescent="0.25">
      <c r="A993" s="4">
        <v>992</v>
      </c>
      <c r="B993" s="4"/>
      <c r="C993" s="4"/>
      <c r="D993" s="4"/>
      <c r="E993" s="4"/>
      <c r="F993" s="4"/>
    </row>
    <row r="994" spans="1:6" x14ac:dyDescent="0.25">
      <c r="A994" s="4">
        <v>993</v>
      </c>
      <c r="B994" s="4"/>
      <c r="C994" s="4"/>
      <c r="D994" s="4"/>
      <c r="E994" s="4"/>
      <c r="F994" s="4"/>
    </row>
    <row r="995" spans="1:6" x14ac:dyDescent="0.25">
      <c r="A995" s="4">
        <v>994</v>
      </c>
      <c r="B995" s="4"/>
      <c r="C995" s="4"/>
      <c r="D995" s="4"/>
      <c r="E995" s="4"/>
      <c r="F995" s="4"/>
    </row>
    <row r="996" spans="1:6" x14ac:dyDescent="0.25">
      <c r="A996" s="4">
        <v>995</v>
      </c>
      <c r="B996" s="4"/>
      <c r="C996" s="4"/>
      <c r="D996" s="4"/>
      <c r="E996" s="4"/>
      <c r="F996" s="4"/>
    </row>
    <row r="997" spans="1:6" x14ac:dyDescent="0.25">
      <c r="A997" s="4">
        <v>996</v>
      </c>
      <c r="B997" s="4"/>
      <c r="C997" s="4"/>
      <c r="D997" s="4"/>
      <c r="E997" s="4"/>
      <c r="F997" s="4"/>
    </row>
    <row r="998" spans="1:6" x14ac:dyDescent="0.25">
      <c r="A998" s="4">
        <v>997</v>
      </c>
      <c r="B998" s="4"/>
      <c r="C998" s="4"/>
      <c r="D998" s="4"/>
      <c r="E998" s="4"/>
      <c r="F998" s="4"/>
    </row>
    <row r="999" spans="1:6" x14ac:dyDescent="0.25">
      <c r="A999" s="4">
        <v>998</v>
      </c>
      <c r="B999" s="4"/>
      <c r="C999" s="4"/>
      <c r="D999" s="4"/>
      <c r="E999" s="4"/>
      <c r="F999" s="4"/>
    </row>
    <row r="1000" spans="1:6" x14ac:dyDescent="0.25">
      <c r="A1000" s="4">
        <v>999</v>
      </c>
      <c r="B1000" s="4"/>
      <c r="C1000" s="4"/>
      <c r="D1000" s="4"/>
      <c r="E1000" s="4"/>
      <c r="F1000" s="4"/>
    </row>
    <row r="1001" spans="1:6" x14ac:dyDescent="0.25">
      <c r="A1001" s="4">
        <v>1000</v>
      </c>
      <c r="B1001" s="4"/>
      <c r="C1001" s="4"/>
      <c r="D1001" s="4"/>
      <c r="E1001" s="4"/>
      <c r="F100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810-1FD5-42E2-9ABA-F2825E11BB53}">
  <dimension ref="A1:T28"/>
  <sheetViews>
    <sheetView topLeftCell="A10" workbookViewId="0">
      <selection activeCell="E17" sqref="E17"/>
    </sheetView>
  </sheetViews>
  <sheetFormatPr defaultRowHeight="15" x14ac:dyDescent="0.25"/>
  <cols>
    <col min="2" max="3" width="6.42578125" bestFit="1" customWidth="1"/>
    <col min="4" max="4" width="15.28515625" bestFit="1" customWidth="1"/>
    <col min="5" max="5" width="10.140625" bestFit="1" customWidth="1"/>
    <col min="9" max="9" width="6.42578125" bestFit="1" customWidth="1"/>
    <col min="10" max="10" width="4.7109375" bestFit="1" customWidth="1"/>
    <col min="11" max="11" width="10.140625" bestFit="1" customWidth="1"/>
    <col min="14" max="15" width="6.42578125" bestFit="1" customWidth="1"/>
    <col min="16" max="16" width="4.7109375" bestFit="1" customWidth="1"/>
    <col min="17" max="17" width="10.140625" bestFit="1" customWidth="1"/>
    <col min="18" max="18" width="0" hidden="1" customWidth="1"/>
    <col min="19" max="19" width="20.140625" bestFit="1" customWidth="1"/>
    <col min="20" max="20" width="22.7109375" customWidth="1"/>
  </cols>
  <sheetData>
    <row r="1" spans="1:20" x14ac:dyDescent="0.25">
      <c r="A1" s="9">
        <v>24900</v>
      </c>
      <c r="B1" s="4" t="s">
        <v>975</v>
      </c>
      <c r="C1" s="4" t="s">
        <v>976</v>
      </c>
      <c r="D1" s="4" t="s">
        <v>977</v>
      </c>
      <c r="E1" s="4" t="s">
        <v>978</v>
      </c>
      <c r="G1" s="9">
        <f>A1+50</f>
        <v>24950</v>
      </c>
      <c r="H1" s="4" t="s">
        <v>975</v>
      </c>
      <c r="I1" s="4" t="s">
        <v>976</v>
      </c>
      <c r="J1" s="4" t="s">
        <v>977</v>
      </c>
      <c r="K1" s="4" t="s">
        <v>978</v>
      </c>
      <c r="M1" s="9">
        <f>G1+50</f>
        <v>25000</v>
      </c>
      <c r="N1" s="4" t="s">
        <v>975</v>
      </c>
      <c r="O1" s="4" t="s">
        <v>976</v>
      </c>
      <c r="P1" s="4" t="s">
        <v>977</v>
      </c>
      <c r="Q1" s="4" t="s">
        <v>978</v>
      </c>
      <c r="S1" t="s">
        <v>996</v>
      </c>
    </row>
    <row r="2" spans="1:20" x14ac:dyDescent="0.25">
      <c r="A2" s="8">
        <v>9.1999999999999993</v>
      </c>
      <c r="B2" s="4">
        <v>50</v>
      </c>
      <c r="C2" s="4">
        <v>86</v>
      </c>
      <c r="D2" s="4">
        <f>C2-B2</f>
        <v>36</v>
      </c>
      <c r="E2" s="4" t="str">
        <f t="shared" ref="E2:E15" si="0">IF(D2&gt;=15,"Strong Call",IF(D2&gt;5,"Call",IF(D2&gt;=-5,"Wait",IF(D2&gt;=-15,"Put","Strong Put"))))</f>
        <v>Strong Call</v>
      </c>
      <c r="G2" s="8">
        <v>9.1999999999999993</v>
      </c>
      <c r="H2" s="4">
        <v>32</v>
      </c>
      <c r="I2" s="4">
        <v>66</v>
      </c>
      <c r="J2" s="4">
        <f>I2-H2</f>
        <v>34</v>
      </c>
      <c r="K2" s="4" t="str">
        <f>IF(J2&gt;=15,"Strong Call",IF(J2&gt;5,"Call",IF(J2&gt;=-5,"Wait",IF(J2&gt;=-15,"Put","Strong Put"))))</f>
        <v>Strong Call</v>
      </c>
      <c r="M2" s="8">
        <v>9.1999999999999993</v>
      </c>
      <c r="N2" s="4">
        <v>107</v>
      </c>
      <c r="O2" s="4">
        <v>109</v>
      </c>
      <c r="P2" s="4">
        <f>O2-N2</f>
        <v>2</v>
      </c>
      <c r="Q2" s="4" t="str">
        <f>IF(P2&gt;=15,"Strong Call",IF(P2&gt;5,"Call",IF(P2&gt;=-5,"Wait",IF(P2&gt;=-15,"Put","Strong Put"))))</f>
        <v>Wait</v>
      </c>
      <c r="R2" t="str">
        <f t="shared" ref="R2:R15" si="1">E2&amp;K2&amp;Q2</f>
        <v>Strong CallStrong CallWait</v>
      </c>
      <c r="S2" t="str">
        <f>VLOOKUP(R2,Strategy!A:E,5,0)</f>
        <v>Strong Call</v>
      </c>
    </row>
    <row r="3" spans="1:20" x14ac:dyDescent="0.25">
      <c r="A3" s="8">
        <v>9.3000000000000007</v>
      </c>
      <c r="B3" s="4">
        <v>44</v>
      </c>
      <c r="C3" s="4">
        <v>96</v>
      </c>
      <c r="D3" s="4">
        <f t="shared" ref="D3:D15" si="2">C3-B3</f>
        <v>52</v>
      </c>
      <c r="E3" s="4" t="str">
        <f t="shared" si="0"/>
        <v>Strong Call</v>
      </c>
      <c r="G3" s="8">
        <v>9.3000000000000007</v>
      </c>
      <c r="H3" s="4">
        <v>26</v>
      </c>
      <c r="I3" s="4">
        <v>78</v>
      </c>
      <c r="J3" s="4">
        <f t="shared" ref="J3:J15" si="3">I3-H3</f>
        <v>52</v>
      </c>
      <c r="K3" s="4" t="str">
        <f t="shared" ref="K3:K15" si="4">IF(J3&gt;=15,"Strong Call",IF(J3&gt;5,"Call",IF(J3&gt;=-5,"Wait",IF(J3&gt;=-15,"Put","Strong Put"))))</f>
        <v>Strong Call</v>
      </c>
      <c r="M3" s="8">
        <v>9.3000000000000007</v>
      </c>
      <c r="N3" s="4">
        <v>103</v>
      </c>
      <c r="O3" s="4">
        <v>136</v>
      </c>
      <c r="P3" s="4">
        <f t="shared" ref="P3:P15" si="5">O3-N3</f>
        <v>33</v>
      </c>
      <c r="Q3" s="4" t="str">
        <f t="shared" ref="Q3:Q15" si="6">IF(P3&gt;=15,"Strong Call",IF(P3&gt;5,"Call",IF(P3&gt;=-5,"Wait",IF(P3&gt;=-15,"Put","Strong Put"))))</f>
        <v>Strong Call</v>
      </c>
      <c r="R3" t="str">
        <f t="shared" si="1"/>
        <v>Strong CallStrong CallStrong Call</v>
      </c>
      <c r="S3" t="str">
        <f>VLOOKUP(R3,Strategy!A:E,5,0)</f>
        <v>Strong Call</v>
      </c>
    </row>
    <row r="4" spans="1:20" x14ac:dyDescent="0.25">
      <c r="A4" s="8">
        <v>9.4499999999999993</v>
      </c>
      <c r="B4" s="4">
        <v>39</v>
      </c>
      <c r="C4" s="4">
        <v>69</v>
      </c>
      <c r="D4" s="4">
        <f t="shared" si="2"/>
        <v>30</v>
      </c>
      <c r="E4" s="4" t="str">
        <f t="shared" si="0"/>
        <v>Strong Call</v>
      </c>
      <c r="G4" s="8">
        <v>9.4499999999999993</v>
      </c>
      <c r="H4" s="4">
        <v>25</v>
      </c>
      <c r="I4" s="4">
        <v>84</v>
      </c>
      <c r="J4" s="4">
        <f t="shared" si="3"/>
        <v>59</v>
      </c>
      <c r="K4" s="4" t="str">
        <f t="shared" si="4"/>
        <v>Strong Call</v>
      </c>
      <c r="M4" s="8">
        <v>9.4499999999999993</v>
      </c>
      <c r="N4" s="4">
        <v>107</v>
      </c>
      <c r="O4" s="4">
        <v>166</v>
      </c>
      <c r="P4" s="4">
        <f t="shared" si="5"/>
        <v>59</v>
      </c>
      <c r="Q4" s="4" t="str">
        <f t="shared" si="6"/>
        <v>Strong Call</v>
      </c>
      <c r="R4" t="str">
        <f t="shared" si="1"/>
        <v>Strong CallStrong CallStrong Call</v>
      </c>
      <c r="S4" t="str">
        <f>VLOOKUP(R4,Strategy!A:E,5,0)</f>
        <v>Strong Call</v>
      </c>
      <c r="T4" t="s">
        <v>1283</v>
      </c>
    </row>
    <row r="5" spans="1:20" x14ac:dyDescent="0.25">
      <c r="A5" s="8">
        <v>9.5500000000000007</v>
      </c>
      <c r="B5" s="4">
        <v>38</v>
      </c>
      <c r="C5" s="4">
        <v>107</v>
      </c>
      <c r="D5" s="4">
        <f t="shared" si="2"/>
        <v>69</v>
      </c>
      <c r="E5" s="4" t="str">
        <f t="shared" si="0"/>
        <v>Strong Call</v>
      </c>
      <c r="G5" s="8">
        <v>9.5500000000000007</v>
      </c>
      <c r="H5" s="4">
        <v>23</v>
      </c>
      <c r="I5" s="4">
        <v>83</v>
      </c>
      <c r="J5" s="4">
        <f t="shared" si="3"/>
        <v>60</v>
      </c>
      <c r="K5" s="4" t="str">
        <f t="shared" si="4"/>
        <v>Strong Call</v>
      </c>
      <c r="M5" s="8">
        <v>9.5500000000000007</v>
      </c>
      <c r="N5" s="4">
        <v>110</v>
      </c>
      <c r="O5" s="4">
        <v>173</v>
      </c>
      <c r="P5" s="4">
        <f t="shared" si="5"/>
        <v>63</v>
      </c>
      <c r="Q5" s="4" t="str">
        <f t="shared" si="6"/>
        <v>Strong Call</v>
      </c>
      <c r="R5" t="str">
        <f t="shared" si="1"/>
        <v>Strong CallStrong CallStrong Call</v>
      </c>
      <c r="S5" t="str">
        <f>VLOOKUP(R5,Strategy!A:E,5,0)</f>
        <v>Strong Call</v>
      </c>
    </row>
    <row r="6" spans="1:20" x14ac:dyDescent="0.25">
      <c r="A6" s="11">
        <v>10.050000000000001</v>
      </c>
      <c r="B6" s="12">
        <v>40</v>
      </c>
      <c r="C6" s="12">
        <v>109</v>
      </c>
      <c r="D6" s="12">
        <f t="shared" si="2"/>
        <v>69</v>
      </c>
      <c r="E6" s="12" t="str">
        <f t="shared" si="0"/>
        <v>Strong Call</v>
      </c>
      <c r="G6" s="11">
        <v>10.050000000000001</v>
      </c>
      <c r="H6" s="12">
        <v>26</v>
      </c>
      <c r="I6" s="12">
        <v>86</v>
      </c>
      <c r="J6" s="12">
        <f t="shared" si="3"/>
        <v>60</v>
      </c>
      <c r="K6" s="12" t="str">
        <f t="shared" si="4"/>
        <v>Strong Call</v>
      </c>
      <c r="M6" s="11">
        <v>10.050000000000001</v>
      </c>
      <c r="N6" s="12">
        <v>124</v>
      </c>
      <c r="O6" s="12">
        <v>177</v>
      </c>
      <c r="P6" s="12">
        <f t="shared" si="5"/>
        <v>53</v>
      </c>
      <c r="Q6" s="12" t="str">
        <f t="shared" si="6"/>
        <v>Strong Call</v>
      </c>
      <c r="R6" t="str">
        <f t="shared" si="1"/>
        <v>Strong CallStrong CallStrong Call</v>
      </c>
      <c r="S6" t="str">
        <f>VLOOKUP(R6,Strategy!A:E,5,0)</f>
        <v>Strong Call</v>
      </c>
    </row>
    <row r="7" spans="1:20" x14ac:dyDescent="0.25">
      <c r="A7" s="11">
        <v>10.25</v>
      </c>
      <c r="B7" s="12"/>
      <c r="C7" s="12"/>
      <c r="D7" s="12">
        <f t="shared" si="2"/>
        <v>0</v>
      </c>
      <c r="E7" s="12" t="str">
        <f t="shared" si="0"/>
        <v>Wait</v>
      </c>
      <c r="G7" s="11">
        <v>10.25</v>
      </c>
      <c r="H7" s="12"/>
      <c r="I7" s="12"/>
      <c r="J7" s="12">
        <f t="shared" si="3"/>
        <v>0</v>
      </c>
      <c r="K7" s="12" t="str">
        <f t="shared" si="4"/>
        <v>Wait</v>
      </c>
      <c r="M7" s="11">
        <v>10.25</v>
      </c>
      <c r="N7" s="12"/>
      <c r="O7" s="12"/>
      <c r="P7" s="12">
        <f t="shared" si="5"/>
        <v>0</v>
      </c>
      <c r="Q7" s="12" t="str">
        <f t="shared" si="6"/>
        <v>Wait</v>
      </c>
      <c r="R7" t="str">
        <f t="shared" si="1"/>
        <v>WaitWaitWait</v>
      </c>
      <c r="S7" t="str">
        <f>VLOOKUP(R7,Strategy!A:E,5,0)</f>
        <v>Rangebound</v>
      </c>
    </row>
    <row r="8" spans="1:20" x14ac:dyDescent="0.25">
      <c r="A8" s="11">
        <v>10.4</v>
      </c>
      <c r="B8" s="12"/>
      <c r="C8" s="12"/>
      <c r="D8" s="12">
        <f t="shared" si="2"/>
        <v>0</v>
      </c>
      <c r="E8" s="12" t="str">
        <f t="shared" si="0"/>
        <v>Wait</v>
      </c>
      <c r="G8" s="11">
        <v>10.4</v>
      </c>
      <c r="H8" s="12"/>
      <c r="I8" s="12"/>
      <c r="J8" s="12">
        <f t="shared" si="3"/>
        <v>0</v>
      </c>
      <c r="K8" s="12" t="str">
        <f t="shared" si="4"/>
        <v>Wait</v>
      </c>
      <c r="M8" s="11">
        <v>10.4</v>
      </c>
      <c r="N8" s="12"/>
      <c r="O8" s="12"/>
      <c r="P8" s="12">
        <f t="shared" si="5"/>
        <v>0</v>
      </c>
      <c r="Q8" s="12" t="str">
        <f t="shared" si="6"/>
        <v>Wait</v>
      </c>
      <c r="R8" t="str">
        <f t="shared" si="1"/>
        <v>WaitWaitWait</v>
      </c>
      <c r="S8" t="str">
        <f>VLOOKUP(R8,Strategy!A:E,5,0)</f>
        <v>Rangebound</v>
      </c>
    </row>
    <row r="9" spans="1:20" x14ac:dyDescent="0.25">
      <c r="A9" s="11">
        <v>10.55</v>
      </c>
      <c r="B9" s="12"/>
      <c r="C9" s="12"/>
      <c r="D9" s="12">
        <f t="shared" si="2"/>
        <v>0</v>
      </c>
      <c r="E9" s="12" t="str">
        <f t="shared" si="0"/>
        <v>Wait</v>
      </c>
      <c r="G9" s="11">
        <v>10.55</v>
      </c>
      <c r="H9" s="12"/>
      <c r="I9" s="12"/>
      <c r="J9" s="12">
        <f t="shared" si="3"/>
        <v>0</v>
      </c>
      <c r="K9" s="12" t="str">
        <f t="shared" si="4"/>
        <v>Wait</v>
      </c>
      <c r="M9" s="11">
        <v>10.55</v>
      </c>
      <c r="N9" s="12"/>
      <c r="O9" s="12"/>
      <c r="P9" s="12">
        <f t="shared" si="5"/>
        <v>0</v>
      </c>
      <c r="Q9" s="12" t="str">
        <f t="shared" si="6"/>
        <v>Wait</v>
      </c>
      <c r="R9" t="str">
        <f t="shared" si="1"/>
        <v>WaitWaitWait</v>
      </c>
      <c r="S9" t="str">
        <f>VLOOKUP(R9,Strategy!A:E,5,0)</f>
        <v>Rangebound</v>
      </c>
    </row>
    <row r="10" spans="1:20" x14ac:dyDescent="0.25">
      <c r="A10" s="11">
        <v>11.05</v>
      </c>
      <c r="B10" s="12"/>
      <c r="C10" s="12"/>
      <c r="D10" s="12">
        <f t="shared" si="2"/>
        <v>0</v>
      </c>
      <c r="E10" s="12" t="str">
        <f t="shared" si="0"/>
        <v>Wait</v>
      </c>
      <c r="G10" s="11">
        <v>11.05</v>
      </c>
      <c r="H10" s="12"/>
      <c r="I10" s="12"/>
      <c r="J10" s="12">
        <f t="shared" si="3"/>
        <v>0</v>
      </c>
      <c r="K10" s="12" t="str">
        <f t="shared" si="4"/>
        <v>Wait</v>
      </c>
      <c r="M10" s="11">
        <v>11.05</v>
      </c>
      <c r="N10" s="12"/>
      <c r="O10" s="12"/>
      <c r="P10" s="12">
        <f t="shared" si="5"/>
        <v>0</v>
      </c>
      <c r="Q10" s="12" t="str">
        <f t="shared" si="6"/>
        <v>Wait</v>
      </c>
      <c r="R10" t="str">
        <f t="shared" si="1"/>
        <v>WaitWaitWait</v>
      </c>
      <c r="S10" t="str">
        <f>VLOOKUP(R10,Strategy!A:E,5,0)</f>
        <v>Rangebound</v>
      </c>
    </row>
    <row r="11" spans="1:20" x14ac:dyDescent="0.25">
      <c r="A11" s="11">
        <v>11.25</v>
      </c>
      <c r="B11" s="12"/>
      <c r="C11" s="12"/>
      <c r="D11" s="12">
        <f t="shared" si="2"/>
        <v>0</v>
      </c>
      <c r="E11" s="12" t="str">
        <f t="shared" si="0"/>
        <v>Wait</v>
      </c>
      <c r="G11" s="11">
        <v>11.25</v>
      </c>
      <c r="H11" s="12"/>
      <c r="I11" s="12"/>
      <c r="J11" s="12">
        <f t="shared" si="3"/>
        <v>0</v>
      </c>
      <c r="K11" s="12" t="str">
        <f t="shared" si="4"/>
        <v>Wait</v>
      </c>
      <c r="M11" s="11">
        <v>11.25</v>
      </c>
      <c r="N11" s="12"/>
      <c r="O11" s="12"/>
      <c r="P11" s="12">
        <f t="shared" si="5"/>
        <v>0</v>
      </c>
      <c r="Q11" s="12" t="str">
        <f t="shared" si="6"/>
        <v>Wait</v>
      </c>
      <c r="R11" t="str">
        <f t="shared" si="1"/>
        <v>WaitWaitWait</v>
      </c>
      <c r="S11" t="str">
        <f>VLOOKUP(R11,Strategy!A:E,5,0)</f>
        <v>Rangebound</v>
      </c>
    </row>
    <row r="12" spans="1:20" x14ac:dyDescent="0.25">
      <c r="A12" s="11">
        <v>11.35</v>
      </c>
      <c r="B12" s="12"/>
      <c r="C12" s="12"/>
      <c r="D12" s="12">
        <f t="shared" si="2"/>
        <v>0</v>
      </c>
      <c r="E12" s="12" t="str">
        <f t="shared" si="0"/>
        <v>Wait</v>
      </c>
      <c r="G12" s="11">
        <v>11.35</v>
      </c>
      <c r="H12" s="12"/>
      <c r="I12" s="12"/>
      <c r="J12" s="12">
        <f t="shared" si="3"/>
        <v>0</v>
      </c>
      <c r="K12" s="12" t="str">
        <f t="shared" si="4"/>
        <v>Wait</v>
      </c>
      <c r="M12" s="11">
        <v>11.35</v>
      </c>
      <c r="N12" s="12"/>
      <c r="O12" s="12"/>
      <c r="P12" s="12">
        <f t="shared" si="5"/>
        <v>0</v>
      </c>
      <c r="Q12" s="12" t="str">
        <f t="shared" si="6"/>
        <v>Wait</v>
      </c>
      <c r="R12" t="str">
        <f t="shared" si="1"/>
        <v>WaitWaitWait</v>
      </c>
      <c r="S12" t="str">
        <f>VLOOKUP(R12,Strategy!A:E,5,0)</f>
        <v>Rangebound</v>
      </c>
      <c r="T12" s="7"/>
    </row>
    <row r="13" spans="1:20" x14ac:dyDescent="0.25">
      <c r="A13" s="8">
        <v>12.25</v>
      </c>
      <c r="B13" s="4"/>
      <c r="C13" s="4"/>
      <c r="D13" s="4">
        <f t="shared" si="2"/>
        <v>0</v>
      </c>
      <c r="E13" s="4" t="str">
        <f t="shared" si="0"/>
        <v>Wait</v>
      </c>
      <c r="G13" s="8">
        <v>12.25</v>
      </c>
      <c r="H13" s="4"/>
      <c r="I13" s="4"/>
      <c r="J13" s="4">
        <f t="shared" si="3"/>
        <v>0</v>
      </c>
      <c r="K13" s="4" t="str">
        <f t="shared" si="4"/>
        <v>Wait</v>
      </c>
      <c r="M13" s="8">
        <v>12.25</v>
      </c>
      <c r="N13" s="4"/>
      <c r="O13" s="4"/>
      <c r="P13" s="4">
        <f t="shared" si="5"/>
        <v>0</v>
      </c>
      <c r="Q13" s="4" t="str">
        <f t="shared" si="6"/>
        <v>Wait</v>
      </c>
      <c r="R13" t="str">
        <f t="shared" si="1"/>
        <v>WaitWaitWait</v>
      </c>
      <c r="S13" t="str">
        <f>VLOOKUP(R13,Strategy!A:E,5,0)</f>
        <v>Rangebound</v>
      </c>
    </row>
    <row r="14" spans="1:20" x14ac:dyDescent="0.25">
      <c r="A14" s="8">
        <v>1.25</v>
      </c>
      <c r="B14" s="4"/>
      <c r="C14" s="4"/>
      <c r="D14" s="4">
        <f t="shared" si="2"/>
        <v>0</v>
      </c>
      <c r="E14" s="4" t="str">
        <f t="shared" si="0"/>
        <v>Wait</v>
      </c>
      <c r="G14" s="8">
        <v>1.25</v>
      </c>
      <c r="H14" s="4"/>
      <c r="I14" s="4"/>
      <c r="J14" s="4">
        <f t="shared" si="3"/>
        <v>0</v>
      </c>
      <c r="K14" s="4" t="str">
        <f t="shared" si="4"/>
        <v>Wait</v>
      </c>
      <c r="M14" s="8">
        <v>1.25</v>
      </c>
      <c r="N14" s="4"/>
      <c r="O14" s="4"/>
      <c r="P14" s="4">
        <f t="shared" si="5"/>
        <v>0</v>
      </c>
      <c r="Q14" s="4" t="str">
        <f t="shared" si="6"/>
        <v>Wait</v>
      </c>
      <c r="R14" t="str">
        <f t="shared" si="1"/>
        <v>WaitWaitWait</v>
      </c>
      <c r="S14" t="str">
        <f>VLOOKUP(R14,Strategy!A:E,5,0)</f>
        <v>Rangebound</v>
      </c>
    </row>
    <row r="15" spans="1:20" x14ac:dyDescent="0.25">
      <c r="A15" s="8">
        <v>2.15</v>
      </c>
      <c r="B15" s="4"/>
      <c r="C15" s="4"/>
      <c r="D15" s="4">
        <f t="shared" si="2"/>
        <v>0</v>
      </c>
      <c r="E15" s="4" t="str">
        <f t="shared" si="0"/>
        <v>Wait</v>
      </c>
      <c r="G15" s="8">
        <v>2.15</v>
      </c>
      <c r="H15" s="4"/>
      <c r="I15" s="4"/>
      <c r="J15" s="4">
        <f t="shared" si="3"/>
        <v>0</v>
      </c>
      <c r="K15" s="4" t="str">
        <f t="shared" si="4"/>
        <v>Wait</v>
      </c>
      <c r="M15" s="8">
        <v>2.15</v>
      </c>
      <c r="N15" s="4"/>
      <c r="O15" s="4"/>
      <c r="P15" s="4">
        <f t="shared" si="5"/>
        <v>0</v>
      </c>
      <c r="Q15" s="4" t="str">
        <f t="shared" si="6"/>
        <v>Wait</v>
      </c>
      <c r="R15" t="str">
        <f t="shared" si="1"/>
        <v>WaitWaitWait</v>
      </c>
      <c r="S15" t="str">
        <f>VLOOKUP(R15,Strategy!A:E,5,0)</f>
        <v>Rangebound</v>
      </c>
    </row>
    <row r="21" spans="1:13" x14ac:dyDescent="0.25">
      <c r="A21" s="3"/>
      <c r="G21" s="3"/>
      <c r="M21" s="3"/>
    </row>
    <row r="22" spans="1:13" x14ac:dyDescent="0.25">
      <c r="A22" s="3"/>
      <c r="G22" s="3"/>
      <c r="M22" s="3"/>
    </row>
    <row r="23" spans="1:13" x14ac:dyDescent="0.25">
      <c r="A23" s="3"/>
      <c r="G23" s="3"/>
      <c r="M23" s="3"/>
    </row>
    <row r="24" spans="1:13" x14ac:dyDescent="0.25">
      <c r="A24" s="3"/>
      <c r="G24" s="3"/>
      <c r="M24" s="3"/>
    </row>
    <row r="25" spans="1:13" x14ac:dyDescent="0.25">
      <c r="A25" s="3"/>
      <c r="G25" s="3"/>
      <c r="M25" s="3"/>
    </row>
    <row r="26" spans="1:13" x14ac:dyDescent="0.25">
      <c r="A26" s="3"/>
      <c r="G26" s="3"/>
      <c r="M26" s="3"/>
    </row>
    <row r="27" spans="1:13" x14ac:dyDescent="0.25">
      <c r="A27" s="3"/>
      <c r="G27" s="3"/>
      <c r="M27" s="3"/>
    </row>
    <row r="28" spans="1:13" x14ac:dyDescent="0.25">
      <c r="A28" s="3"/>
      <c r="G28" s="3"/>
      <c r="M28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977E-5ABF-4EE6-A9AA-B526B65C70BC}">
  <dimension ref="A1:U20"/>
  <sheetViews>
    <sheetView topLeftCell="D1" workbookViewId="0">
      <selection activeCell="Q4" sqref="Q4"/>
    </sheetView>
  </sheetViews>
  <sheetFormatPr defaultRowHeight="15" x14ac:dyDescent="0.25"/>
  <cols>
    <col min="4" max="4" width="14.140625" bestFit="1" customWidth="1"/>
    <col min="8" max="8" width="15.28515625" bestFit="1" customWidth="1"/>
    <col min="10" max="10" width="6" bestFit="1" customWidth="1"/>
    <col min="11" max="11" width="5.42578125" bestFit="1" customWidth="1"/>
    <col min="12" max="12" width="13.140625" bestFit="1" customWidth="1"/>
    <col min="14" max="14" width="5" bestFit="1" customWidth="1"/>
    <col min="15" max="15" width="5.42578125" bestFit="1" customWidth="1"/>
    <col min="16" max="16" width="14.140625" bestFit="1" customWidth="1"/>
    <col min="19" max="19" width="9.85546875" bestFit="1" customWidth="1"/>
  </cols>
  <sheetData>
    <row r="1" spans="1:21" x14ac:dyDescent="0.25">
      <c r="A1" s="22">
        <v>5200</v>
      </c>
      <c r="B1" s="22"/>
      <c r="C1" s="22"/>
      <c r="D1" s="22"/>
      <c r="E1" s="22"/>
      <c r="F1" s="22"/>
      <c r="G1" s="22"/>
      <c r="H1" s="22"/>
      <c r="I1" s="26">
        <v>5400</v>
      </c>
      <c r="J1" s="27"/>
      <c r="K1" s="27"/>
      <c r="L1" s="27"/>
      <c r="M1" s="27"/>
      <c r="N1" s="27"/>
      <c r="O1" s="27"/>
      <c r="P1" s="27"/>
      <c r="Q1" s="4" t="s">
        <v>4</v>
      </c>
      <c r="R1" s="4" t="s">
        <v>6</v>
      </c>
      <c r="S1" s="4" t="s">
        <v>1425</v>
      </c>
      <c r="T1" s="4" t="s">
        <v>1423</v>
      </c>
      <c r="U1" s="4" t="s">
        <v>1424</v>
      </c>
    </row>
    <row r="2" spans="1:21" x14ac:dyDescent="0.25">
      <c r="A2" s="23" t="s">
        <v>990</v>
      </c>
      <c r="B2" s="24"/>
      <c r="C2" s="24"/>
      <c r="D2" s="25"/>
      <c r="E2" s="23" t="s">
        <v>987</v>
      </c>
      <c r="F2" s="24"/>
      <c r="G2" s="24"/>
      <c r="H2" s="25"/>
      <c r="I2" s="23" t="s">
        <v>990</v>
      </c>
      <c r="J2" s="24"/>
      <c r="K2" s="24"/>
      <c r="L2" s="25"/>
      <c r="M2" s="23" t="s">
        <v>987</v>
      </c>
      <c r="N2" s="24"/>
      <c r="O2" s="24"/>
      <c r="P2" s="24"/>
      <c r="Q2" s="4">
        <v>100</v>
      </c>
      <c r="R2" s="4">
        <v>9</v>
      </c>
      <c r="S2" s="4">
        <f>100*R2</f>
        <v>900</v>
      </c>
      <c r="T2" s="19">
        <v>7.9</v>
      </c>
      <c r="U2" s="4"/>
    </row>
    <row r="3" spans="1:21" x14ac:dyDescent="0.25">
      <c r="A3" s="8" t="s">
        <v>1421</v>
      </c>
      <c r="B3" s="4" t="s">
        <v>1422</v>
      </c>
      <c r="C3" s="4" t="s">
        <v>6</v>
      </c>
      <c r="D3" s="4" t="s">
        <v>967</v>
      </c>
      <c r="E3" s="8" t="s">
        <v>1421</v>
      </c>
      <c r="F3" s="4" t="s">
        <v>1422</v>
      </c>
      <c r="G3" s="4" t="s">
        <v>6</v>
      </c>
      <c r="H3" s="4" t="s">
        <v>967</v>
      </c>
      <c r="I3" s="8" t="s">
        <v>1421</v>
      </c>
      <c r="J3" s="4" t="s">
        <v>1422</v>
      </c>
      <c r="K3" s="4" t="s">
        <v>6</v>
      </c>
      <c r="L3" s="4" t="s">
        <v>967</v>
      </c>
      <c r="M3" s="8" t="s">
        <v>1421</v>
      </c>
      <c r="N3" s="4" t="s">
        <v>1422</v>
      </c>
      <c r="O3" s="4" t="s">
        <v>6</v>
      </c>
      <c r="P3" s="15" t="s">
        <v>967</v>
      </c>
      <c r="Q3" s="4">
        <v>50</v>
      </c>
      <c r="R3" s="4">
        <v>7</v>
      </c>
      <c r="S3" s="4">
        <f t="shared" ref="S3:S5" si="0">100*R3</f>
        <v>700</v>
      </c>
      <c r="T3" s="20"/>
      <c r="U3" s="4"/>
    </row>
    <row r="4" spans="1:21" x14ac:dyDescent="0.25">
      <c r="A4" s="8">
        <v>5</v>
      </c>
      <c r="B4" s="4">
        <v>4691</v>
      </c>
      <c r="C4" s="4">
        <v>105</v>
      </c>
      <c r="D4" s="4"/>
      <c r="E4" s="8">
        <v>5</v>
      </c>
      <c r="F4" s="4">
        <v>11265</v>
      </c>
      <c r="G4" s="4">
        <v>9</v>
      </c>
      <c r="H4" s="4"/>
      <c r="I4" s="8">
        <v>5</v>
      </c>
      <c r="J4" s="4">
        <v>13512</v>
      </c>
      <c r="K4" s="4">
        <v>6.7</v>
      </c>
      <c r="L4" s="4"/>
      <c r="M4" s="8">
        <v>5</v>
      </c>
      <c r="N4" s="4">
        <v>6629</v>
      </c>
      <c r="O4" s="4">
        <v>104</v>
      </c>
      <c r="P4" s="15"/>
      <c r="Q4" s="4"/>
      <c r="R4" s="4"/>
      <c r="S4" s="4">
        <f t="shared" si="0"/>
        <v>0</v>
      </c>
      <c r="T4" s="20"/>
      <c r="U4" s="4"/>
    </row>
    <row r="5" spans="1:21" x14ac:dyDescent="0.25">
      <c r="A5" s="8">
        <v>5.15</v>
      </c>
      <c r="B5" s="4">
        <v>4598</v>
      </c>
      <c r="C5" s="4">
        <v>106</v>
      </c>
      <c r="D5" s="4" t="str">
        <f>IF(ISBLANK(B5),"",IF(AND(B5&gt;B4,C5&gt;C4),"Long Buildup",IF(AND(B5&gt;B4,C5&lt;C4),"Short Buildup",IF(AND(B5&lt;B4,C5&gt;C4),"Short Covering",IF(AND(B5&lt;B4,C5&lt;C4),"Long Unwinding")))))</f>
        <v>Short Covering</v>
      </c>
      <c r="E5" s="8">
        <v>5.15</v>
      </c>
      <c r="F5" s="4">
        <v>11228</v>
      </c>
      <c r="G5" s="4">
        <v>8.6999999999999993</v>
      </c>
      <c r="H5" s="4" t="str">
        <f>IF(ISBLANK(F5),"",IF(AND(F5&gt;F4,G5&gt;G4),"Long Buildup",IF(AND(F5&gt;F4,G5&lt;G4),"Short Buildup",IF(AND(F5&lt;F4,G5&gt;G4),"Short Covering",IF(AND(F5&lt;F4,G5&lt;G4),"Long Unwinding")))))</f>
        <v>Long Unwinding</v>
      </c>
      <c r="I5" s="8">
        <v>5.15</v>
      </c>
      <c r="J5" s="4">
        <v>13531</v>
      </c>
      <c r="K5" s="4">
        <v>6.4</v>
      </c>
      <c r="L5" s="4" t="str">
        <f>IF(ISBLANK(J5),"",IF(AND(J5&gt;J4,K5&gt;K4),"Long Buildup",IF(AND(J5&gt;J4,K5&lt;K4),"Short Buildup",IF(AND(J5&lt;J4,K5&gt;K4),"Short Covering",IF(AND(J5&lt;J4,K5&lt;K4),"Long Unwinding")))))</f>
        <v>Short Buildup</v>
      </c>
      <c r="M5" s="8">
        <v>5.15</v>
      </c>
      <c r="N5" s="4">
        <v>6559</v>
      </c>
      <c r="O5" s="4">
        <v>107</v>
      </c>
      <c r="P5" s="15" t="str">
        <f>IF(ISBLANK(N5),"",IF(AND(N5&gt;N4,O5&gt;O4),"Long Buildup",IF(AND(N5&gt;N4,O5&lt;O4),"Short Buildup",IF(AND(N5&lt;N4,O5&gt;O4),"Short Covering",IF(AND(N5&lt;N4,O5&lt;O4),"Long Unwinding")))))</f>
        <v>Short Covering</v>
      </c>
      <c r="Q5" s="4"/>
      <c r="R5" s="4"/>
      <c r="S5" s="4">
        <f t="shared" si="0"/>
        <v>0</v>
      </c>
      <c r="T5" s="21"/>
      <c r="U5" s="4"/>
    </row>
    <row r="6" spans="1:21" x14ac:dyDescent="0.25">
      <c r="A6" s="8">
        <v>5.3</v>
      </c>
      <c r="B6" s="4">
        <v>4599</v>
      </c>
      <c r="C6" s="4">
        <v>112</v>
      </c>
      <c r="D6" s="4" t="str">
        <f t="shared" ref="D6:D20" si="1">IF(ISBLANK(B6),"",IF(AND(B6&gt;B5,C6&gt;C5),"Long Buildup",IF(AND(B6&gt;B5,C6&lt;C5),"Short Buildup",IF(AND(B6&lt;B5,C6&gt;C5),"Short Covering",IF(AND(B6&lt;B5,C6&lt;C5),"Long Unwinding")))))</f>
        <v>Long Buildup</v>
      </c>
      <c r="E6" s="8">
        <v>5.3</v>
      </c>
      <c r="F6" s="4">
        <v>11300</v>
      </c>
      <c r="G6" s="4">
        <v>7.9</v>
      </c>
      <c r="H6" s="4" t="str">
        <f t="shared" ref="H6:H20" si="2">IF(ISBLANK(F6),"",IF(AND(F6&gt;F5,G6&gt;G5),"Long Buildup",IF(AND(F6&gt;F5,G6&lt;G5),"Short Buildup",IF(AND(F6&lt;F5,G6&gt;G5),"Short Covering",IF(AND(F6&lt;F5,G6&lt;G5),"Long Unwinding")))))</f>
        <v>Short Buildup</v>
      </c>
      <c r="I6" s="8">
        <v>5.3</v>
      </c>
      <c r="J6" s="4">
        <v>13791</v>
      </c>
      <c r="K6" s="4">
        <v>6</v>
      </c>
      <c r="L6" s="4" t="str">
        <f t="shared" ref="L6:L20" si="3">IF(ISBLANK(J6),"",IF(AND(J6&gt;J5,K6&gt;K5),"Long Buildup",IF(AND(J6&gt;J5,K6&lt;K5),"Short Buildup",IF(AND(J6&lt;J5,K6&gt;K5),"Short Covering",IF(AND(J6&lt;J5,K6&lt;K5),"Long Unwinding")))))</f>
        <v>Short Buildup</v>
      </c>
      <c r="M6" s="8">
        <v>5.3</v>
      </c>
      <c r="N6" s="4">
        <v>6554</v>
      </c>
      <c r="O6" s="4">
        <v>108</v>
      </c>
      <c r="P6" s="15" t="str">
        <f t="shared" ref="P6:P20" si="4">IF(ISBLANK(N6),"",IF(AND(N6&gt;N5,O6&gt;O5),"Long Buildup",IF(AND(N6&gt;N5,O6&lt;O5),"Short Buildup",IF(AND(N6&lt;N5,O6&gt;O5),"Short Covering",IF(AND(N6&lt;N5,O6&lt;O5),"Long Unwinding")))))</f>
        <v>Short Covering</v>
      </c>
      <c r="Q6" s="4">
        <f>SUM(Q2:Q5)</f>
        <v>150</v>
      </c>
      <c r="R6" s="4">
        <f>S6/Q6</f>
        <v>10.666666666666666</v>
      </c>
      <c r="S6" s="4">
        <f>SUM(S2:S5)</f>
        <v>1600</v>
      </c>
      <c r="T6" s="4"/>
      <c r="U6" s="4"/>
    </row>
    <row r="7" spans="1:21" x14ac:dyDescent="0.25">
      <c r="A7" s="8">
        <v>5.45</v>
      </c>
      <c r="B7" s="4">
        <v>4678</v>
      </c>
      <c r="C7" s="4">
        <v>106</v>
      </c>
      <c r="D7" s="4" t="str">
        <f t="shared" si="1"/>
        <v>Short Buildup</v>
      </c>
      <c r="E7" s="8">
        <v>5.45</v>
      </c>
      <c r="F7" s="4">
        <v>11282</v>
      </c>
      <c r="G7" s="4">
        <v>8.6999999999999993</v>
      </c>
      <c r="H7" s="4" t="str">
        <f t="shared" si="2"/>
        <v>Short Covering</v>
      </c>
      <c r="I7" s="8">
        <v>5.45</v>
      </c>
      <c r="J7" s="4">
        <v>13802</v>
      </c>
      <c r="K7" s="4">
        <v>5.9</v>
      </c>
      <c r="L7" s="4" t="str">
        <f t="shared" si="3"/>
        <v>Short Buildup</v>
      </c>
      <c r="M7" s="8">
        <v>5.45</v>
      </c>
      <c r="N7" s="4">
        <v>6659</v>
      </c>
      <c r="O7" s="4">
        <v>105</v>
      </c>
      <c r="P7" s="4" t="str">
        <f t="shared" si="4"/>
        <v>Short Buildup</v>
      </c>
    </row>
    <row r="8" spans="1:21" x14ac:dyDescent="0.25">
      <c r="A8" s="8">
        <v>6</v>
      </c>
      <c r="B8" s="4"/>
      <c r="C8" s="4"/>
      <c r="D8" s="4" t="str">
        <f t="shared" si="1"/>
        <v/>
      </c>
      <c r="E8" s="8">
        <v>6</v>
      </c>
      <c r="F8" s="4"/>
      <c r="G8" s="4"/>
      <c r="H8" s="4" t="str">
        <f t="shared" si="2"/>
        <v/>
      </c>
      <c r="I8" s="8">
        <v>6</v>
      </c>
      <c r="J8" s="4"/>
      <c r="K8" s="4"/>
      <c r="L8" s="4" t="str">
        <f t="shared" si="3"/>
        <v/>
      </c>
      <c r="M8" s="8">
        <v>6</v>
      </c>
      <c r="N8" s="4"/>
      <c r="O8" s="4"/>
      <c r="P8" s="4" t="str">
        <f t="shared" si="4"/>
        <v/>
      </c>
    </row>
    <row r="9" spans="1:21" x14ac:dyDescent="0.25">
      <c r="A9" s="8">
        <v>6.15</v>
      </c>
      <c r="B9" s="4"/>
      <c r="C9" s="4"/>
      <c r="D9" s="4" t="str">
        <f t="shared" si="1"/>
        <v/>
      </c>
      <c r="E9" s="8">
        <v>6.15</v>
      </c>
      <c r="F9" s="4"/>
      <c r="G9" s="4"/>
      <c r="H9" s="4" t="str">
        <f t="shared" si="2"/>
        <v/>
      </c>
      <c r="I9" s="8">
        <v>6.15</v>
      </c>
      <c r="J9" s="4"/>
      <c r="K9" s="4"/>
      <c r="L9" s="4" t="str">
        <f t="shared" si="3"/>
        <v/>
      </c>
      <c r="M9" s="8">
        <v>6.15</v>
      </c>
      <c r="N9" s="4"/>
      <c r="O9" s="4"/>
      <c r="P9" s="4" t="str">
        <f t="shared" si="4"/>
        <v/>
      </c>
    </row>
    <row r="10" spans="1:21" x14ac:dyDescent="0.25">
      <c r="A10" s="8">
        <v>6.3</v>
      </c>
      <c r="B10" s="4"/>
      <c r="C10" s="4"/>
      <c r="D10" s="4" t="str">
        <f t="shared" si="1"/>
        <v/>
      </c>
      <c r="E10" s="8">
        <v>6.3</v>
      </c>
      <c r="F10" s="4"/>
      <c r="G10" s="4"/>
      <c r="H10" s="4" t="str">
        <f t="shared" si="2"/>
        <v/>
      </c>
      <c r="I10" s="8">
        <v>6.3</v>
      </c>
      <c r="J10" s="4"/>
      <c r="K10" s="4"/>
      <c r="L10" s="4" t="str">
        <f t="shared" si="3"/>
        <v/>
      </c>
      <c r="M10" s="8">
        <v>6.3</v>
      </c>
      <c r="N10" s="4"/>
      <c r="O10" s="4"/>
      <c r="P10" s="4" t="str">
        <f t="shared" si="4"/>
        <v/>
      </c>
    </row>
    <row r="11" spans="1:21" x14ac:dyDescent="0.25">
      <c r="A11" s="4"/>
      <c r="B11" s="4"/>
      <c r="C11" s="4"/>
      <c r="D11" s="4" t="str">
        <f t="shared" si="1"/>
        <v/>
      </c>
      <c r="E11" s="4"/>
      <c r="F11" s="4"/>
      <c r="G11" s="4"/>
      <c r="H11" s="4" t="str">
        <f t="shared" si="2"/>
        <v/>
      </c>
      <c r="I11" s="4"/>
      <c r="J11" s="4"/>
      <c r="K11" s="4"/>
      <c r="L11" s="4" t="str">
        <f t="shared" si="3"/>
        <v/>
      </c>
      <c r="M11" s="4"/>
      <c r="N11" s="4"/>
      <c r="O11" s="4"/>
      <c r="P11" s="4" t="str">
        <f t="shared" si="4"/>
        <v/>
      </c>
    </row>
    <row r="12" spans="1:21" x14ac:dyDescent="0.25">
      <c r="A12" s="4"/>
      <c r="B12" s="4"/>
      <c r="C12" s="4"/>
      <c r="D12" s="4" t="str">
        <f t="shared" si="1"/>
        <v/>
      </c>
      <c r="E12" s="4"/>
      <c r="F12" s="4"/>
      <c r="G12" s="4"/>
      <c r="H12" s="4" t="str">
        <f t="shared" si="2"/>
        <v/>
      </c>
      <c r="I12" s="4"/>
      <c r="J12" s="4"/>
      <c r="K12" s="4"/>
      <c r="L12" s="4" t="str">
        <f t="shared" si="3"/>
        <v/>
      </c>
      <c r="M12" s="4"/>
      <c r="N12" s="4"/>
      <c r="O12" s="4"/>
      <c r="P12" s="4" t="str">
        <f t="shared" si="4"/>
        <v/>
      </c>
    </row>
    <row r="13" spans="1:21" x14ac:dyDescent="0.25">
      <c r="A13" s="4"/>
      <c r="B13" s="4"/>
      <c r="C13" s="4"/>
      <c r="D13" s="4" t="str">
        <f t="shared" si="1"/>
        <v/>
      </c>
      <c r="E13" s="4"/>
      <c r="F13" s="4"/>
      <c r="G13" s="4"/>
      <c r="H13" s="4" t="str">
        <f t="shared" si="2"/>
        <v/>
      </c>
      <c r="I13" s="4"/>
      <c r="J13" s="4"/>
      <c r="K13" s="4"/>
      <c r="L13" s="4" t="str">
        <f t="shared" si="3"/>
        <v/>
      </c>
      <c r="M13" s="4"/>
      <c r="N13" s="4"/>
      <c r="O13" s="4"/>
      <c r="P13" s="4" t="str">
        <f t="shared" si="4"/>
        <v/>
      </c>
    </row>
    <row r="14" spans="1:21" x14ac:dyDescent="0.25">
      <c r="A14" s="4"/>
      <c r="B14" s="4"/>
      <c r="C14" s="4"/>
      <c r="D14" s="4" t="str">
        <f t="shared" si="1"/>
        <v/>
      </c>
      <c r="E14" s="4"/>
      <c r="F14" s="4"/>
      <c r="G14" s="4"/>
      <c r="H14" s="4" t="str">
        <f t="shared" si="2"/>
        <v/>
      </c>
      <c r="I14" s="4"/>
      <c r="J14" s="4"/>
      <c r="K14" s="4"/>
      <c r="L14" s="4" t="str">
        <f t="shared" si="3"/>
        <v/>
      </c>
      <c r="M14" s="4"/>
      <c r="N14" s="4"/>
      <c r="O14" s="4"/>
      <c r="P14" s="4" t="str">
        <f t="shared" si="4"/>
        <v/>
      </c>
    </row>
    <row r="15" spans="1:21" x14ac:dyDescent="0.25">
      <c r="A15" s="4"/>
      <c r="B15" s="4"/>
      <c r="C15" s="4"/>
      <c r="D15" s="4" t="str">
        <f t="shared" si="1"/>
        <v/>
      </c>
      <c r="E15" s="4"/>
      <c r="F15" s="4"/>
      <c r="G15" s="4"/>
      <c r="H15" s="4" t="str">
        <f t="shared" si="2"/>
        <v/>
      </c>
      <c r="I15" s="4"/>
      <c r="J15" s="4"/>
      <c r="K15" s="4"/>
      <c r="L15" s="4" t="str">
        <f t="shared" si="3"/>
        <v/>
      </c>
      <c r="M15" s="4"/>
      <c r="N15" s="4"/>
      <c r="O15" s="4"/>
      <c r="P15" s="4" t="str">
        <f t="shared" si="4"/>
        <v/>
      </c>
    </row>
    <row r="16" spans="1:21" x14ac:dyDescent="0.25">
      <c r="A16" s="4"/>
      <c r="B16" s="4"/>
      <c r="C16" s="4"/>
      <c r="D16" s="4" t="str">
        <f t="shared" si="1"/>
        <v/>
      </c>
      <c r="E16" s="4"/>
      <c r="F16" s="4"/>
      <c r="G16" s="4"/>
      <c r="H16" s="4" t="str">
        <f t="shared" si="2"/>
        <v/>
      </c>
      <c r="I16" s="4"/>
      <c r="J16" s="4"/>
      <c r="K16" s="4"/>
      <c r="L16" s="4" t="str">
        <f t="shared" si="3"/>
        <v/>
      </c>
      <c r="M16" s="4"/>
      <c r="N16" s="4"/>
      <c r="O16" s="4"/>
      <c r="P16" s="4" t="str">
        <f t="shared" si="4"/>
        <v/>
      </c>
    </row>
    <row r="17" spans="1:16" x14ac:dyDescent="0.25">
      <c r="A17" s="4"/>
      <c r="B17" s="4"/>
      <c r="C17" s="4"/>
      <c r="D17" s="4" t="str">
        <f t="shared" si="1"/>
        <v/>
      </c>
      <c r="E17" s="4"/>
      <c r="F17" s="4"/>
      <c r="G17" s="4"/>
      <c r="H17" s="4" t="str">
        <f t="shared" si="2"/>
        <v/>
      </c>
      <c r="I17" s="4"/>
      <c r="J17" s="4"/>
      <c r="K17" s="4"/>
      <c r="L17" s="4" t="str">
        <f t="shared" si="3"/>
        <v/>
      </c>
      <c r="M17" s="4"/>
      <c r="N17" s="4"/>
      <c r="O17" s="4"/>
      <c r="P17" s="4" t="str">
        <f t="shared" si="4"/>
        <v/>
      </c>
    </row>
    <row r="18" spans="1:16" x14ac:dyDescent="0.25">
      <c r="A18" s="4"/>
      <c r="B18" s="4"/>
      <c r="C18" s="4"/>
      <c r="D18" s="4" t="str">
        <f t="shared" si="1"/>
        <v/>
      </c>
      <c r="E18" s="4"/>
      <c r="F18" s="4"/>
      <c r="G18" s="4"/>
      <c r="H18" s="4" t="str">
        <f t="shared" si="2"/>
        <v/>
      </c>
      <c r="I18" s="4"/>
      <c r="J18" s="4"/>
      <c r="K18" s="4"/>
      <c r="L18" s="4" t="str">
        <f t="shared" si="3"/>
        <v/>
      </c>
      <c r="M18" s="4"/>
      <c r="N18" s="4"/>
      <c r="O18" s="4"/>
      <c r="P18" s="4" t="str">
        <f t="shared" si="4"/>
        <v/>
      </c>
    </row>
    <row r="19" spans="1:16" x14ac:dyDescent="0.25">
      <c r="A19" s="4"/>
      <c r="B19" s="4"/>
      <c r="C19" s="4"/>
      <c r="D19" s="4" t="str">
        <f t="shared" si="1"/>
        <v/>
      </c>
      <c r="E19" s="4"/>
      <c r="F19" s="4"/>
      <c r="G19" s="4"/>
      <c r="H19" s="4" t="str">
        <f t="shared" si="2"/>
        <v/>
      </c>
      <c r="I19" s="4"/>
      <c r="J19" s="4"/>
      <c r="K19" s="4"/>
      <c r="L19" s="4" t="str">
        <f t="shared" si="3"/>
        <v/>
      </c>
      <c r="M19" s="4"/>
      <c r="N19" s="4"/>
      <c r="O19" s="4"/>
      <c r="P19" s="4" t="str">
        <f t="shared" si="4"/>
        <v/>
      </c>
    </row>
    <row r="20" spans="1:16" x14ac:dyDescent="0.25">
      <c r="A20" s="4"/>
      <c r="B20" s="4"/>
      <c r="C20" s="4"/>
      <c r="D20" s="4" t="str">
        <f t="shared" si="1"/>
        <v/>
      </c>
      <c r="E20" s="4"/>
      <c r="F20" s="4"/>
      <c r="G20" s="4"/>
      <c r="H20" s="4" t="str">
        <f t="shared" si="2"/>
        <v/>
      </c>
      <c r="I20" s="4"/>
      <c r="J20" s="4"/>
      <c r="K20" s="4"/>
      <c r="L20" s="4" t="str">
        <f t="shared" si="3"/>
        <v/>
      </c>
      <c r="M20" s="4"/>
      <c r="N20" s="4"/>
      <c r="O20" s="4"/>
      <c r="P20" s="4" t="str">
        <f t="shared" si="4"/>
        <v/>
      </c>
    </row>
  </sheetData>
  <mergeCells count="7">
    <mergeCell ref="T2:T5"/>
    <mergeCell ref="A1:H1"/>
    <mergeCell ref="E2:H2"/>
    <mergeCell ref="A2:D2"/>
    <mergeCell ref="I1:P1"/>
    <mergeCell ref="I2:L2"/>
    <mergeCell ref="M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0BCE-79D3-42DD-823D-4AF8E756B6DE}">
  <dimension ref="A1:O123"/>
  <sheetViews>
    <sheetView topLeftCell="C1" workbookViewId="0">
      <selection activeCell="K19" sqref="K19:Q24"/>
    </sheetView>
  </sheetViews>
  <sheetFormatPr defaultRowHeight="15" x14ac:dyDescent="0.25"/>
  <cols>
    <col min="1" max="1" width="29.28515625" bestFit="1" customWidth="1"/>
    <col min="2" max="3" width="10.42578125" bestFit="1" customWidth="1"/>
    <col min="4" max="4" width="10.140625" bestFit="1" customWidth="1"/>
    <col min="5" max="5" width="22.85546875" bestFit="1" customWidth="1"/>
    <col min="8" max="8" width="23.5703125" bestFit="1" customWidth="1"/>
    <col min="11" max="11" width="13.140625" bestFit="1" customWidth="1"/>
  </cols>
  <sheetData>
    <row r="1" spans="1:15" x14ac:dyDescent="0.25">
      <c r="A1" s="4" t="s">
        <v>993</v>
      </c>
      <c r="B1" s="4" t="s">
        <v>979</v>
      </c>
      <c r="C1" s="4" t="s">
        <v>980</v>
      </c>
      <c r="D1" s="4" t="s">
        <v>981</v>
      </c>
      <c r="E1" s="4" t="s">
        <v>994</v>
      </c>
      <c r="H1" s="16" t="s">
        <v>1619</v>
      </c>
      <c r="K1" t="s">
        <v>1282</v>
      </c>
      <c r="L1">
        <v>24000</v>
      </c>
    </row>
    <row r="2" spans="1:15" x14ac:dyDescent="0.25">
      <c r="A2" s="4" t="str">
        <f>B2&amp;C2&amp;D2</f>
        <v>CallCallCall</v>
      </c>
      <c r="B2" s="4" t="s">
        <v>990</v>
      </c>
      <c r="C2" s="4" t="s">
        <v>990</v>
      </c>
      <c r="D2" s="4" t="s">
        <v>990</v>
      </c>
      <c r="E2" s="4" t="s">
        <v>982</v>
      </c>
      <c r="H2" s="4" t="s">
        <v>1000</v>
      </c>
      <c r="K2" t="s">
        <v>1277</v>
      </c>
      <c r="L2">
        <v>5000</v>
      </c>
    </row>
    <row r="3" spans="1:15" x14ac:dyDescent="0.25">
      <c r="A3" s="4" t="str">
        <f t="shared" ref="A3:A26" si="0">B3&amp;C3&amp;D3</f>
        <v>CallCallWait</v>
      </c>
      <c r="B3" s="4" t="s">
        <v>990</v>
      </c>
      <c r="C3" s="4" t="s">
        <v>990</v>
      </c>
      <c r="D3" s="4" t="s">
        <v>991</v>
      </c>
      <c r="E3" s="4" t="s">
        <v>986</v>
      </c>
      <c r="H3" s="4" t="s">
        <v>1001</v>
      </c>
      <c r="K3" t="s">
        <v>1278</v>
      </c>
      <c r="L3">
        <f>L1-L2</f>
        <v>19000</v>
      </c>
    </row>
    <row r="4" spans="1:15" x14ac:dyDescent="0.25">
      <c r="A4" s="4" t="str">
        <f t="shared" si="0"/>
        <v>CallCallPut</v>
      </c>
      <c r="B4" s="4" t="s">
        <v>990</v>
      </c>
      <c r="C4" s="4" t="s">
        <v>990</v>
      </c>
      <c r="D4" s="4" t="s">
        <v>987</v>
      </c>
      <c r="E4" s="4" t="s">
        <v>991</v>
      </c>
      <c r="H4" s="4" t="s">
        <v>1002</v>
      </c>
      <c r="K4" t="s">
        <v>1279</v>
      </c>
      <c r="L4">
        <f>205*75</f>
        <v>15375</v>
      </c>
      <c r="M4" s="14">
        <f>(L4/L3)</f>
        <v>0.80921052631578949</v>
      </c>
      <c r="N4" t="s">
        <v>997</v>
      </c>
      <c r="O4">
        <f>L3-L4</f>
        <v>3625</v>
      </c>
    </row>
    <row r="5" spans="1:15" x14ac:dyDescent="0.25">
      <c r="A5" s="4" t="str">
        <f t="shared" si="0"/>
        <v>CallCallStrong Call</v>
      </c>
      <c r="B5" s="4" t="s">
        <v>990</v>
      </c>
      <c r="C5" s="4" t="s">
        <v>990</v>
      </c>
      <c r="D5" s="4" t="s">
        <v>982</v>
      </c>
      <c r="E5" s="4" t="s">
        <v>982</v>
      </c>
      <c r="K5" t="s">
        <v>1280</v>
      </c>
    </row>
    <row r="6" spans="1:15" x14ac:dyDescent="0.25">
      <c r="A6" s="4" t="str">
        <f t="shared" si="0"/>
        <v>CallCallStrong Put</v>
      </c>
      <c r="B6" s="4" t="s">
        <v>990</v>
      </c>
      <c r="C6" s="4" t="s">
        <v>990</v>
      </c>
      <c r="D6" s="4" t="s">
        <v>988</v>
      </c>
      <c r="E6" s="4" t="s">
        <v>984</v>
      </c>
      <c r="K6" t="s">
        <v>1281</v>
      </c>
    </row>
    <row r="7" spans="1:15" x14ac:dyDescent="0.25">
      <c r="A7" s="4" t="str">
        <f t="shared" si="0"/>
        <v>CallWaitCall</v>
      </c>
      <c r="B7" s="4" t="s">
        <v>990</v>
      </c>
      <c r="C7" s="4" t="s">
        <v>991</v>
      </c>
      <c r="D7" s="4" t="s">
        <v>990</v>
      </c>
      <c r="E7" s="4" t="s">
        <v>990</v>
      </c>
    </row>
    <row r="8" spans="1:15" x14ac:dyDescent="0.25">
      <c r="A8" s="4" t="str">
        <f t="shared" si="0"/>
        <v>CallWaitWait</v>
      </c>
      <c r="B8" s="4" t="s">
        <v>990</v>
      </c>
      <c r="C8" s="4" t="s">
        <v>991</v>
      </c>
      <c r="D8" s="4" t="s">
        <v>991</v>
      </c>
      <c r="E8" s="4" t="s">
        <v>989</v>
      </c>
    </row>
    <row r="9" spans="1:15" x14ac:dyDescent="0.25">
      <c r="A9" s="4" t="str">
        <f t="shared" si="0"/>
        <v>CallWaitPut</v>
      </c>
      <c r="B9" s="4" t="s">
        <v>990</v>
      </c>
      <c r="C9" s="4" t="s">
        <v>991</v>
      </c>
      <c r="D9" s="4" t="s">
        <v>987</v>
      </c>
      <c r="E9" s="4" t="s">
        <v>989</v>
      </c>
    </row>
    <row r="10" spans="1:15" x14ac:dyDescent="0.25">
      <c r="A10" s="4" t="str">
        <f t="shared" si="0"/>
        <v>CallWaitStrong Put</v>
      </c>
      <c r="B10" s="4" t="s">
        <v>990</v>
      </c>
      <c r="C10" s="4" t="s">
        <v>991</v>
      </c>
      <c r="D10" s="4" t="s">
        <v>988</v>
      </c>
      <c r="E10" s="4" t="s">
        <v>991</v>
      </c>
      <c r="K10" s="4"/>
      <c r="L10" s="4"/>
      <c r="M10" s="4">
        <f>K10*L10</f>
        <v>0</v>
      </c>
    </row>
    <row r="11" spans="1:15" x14ac:dyDescent="0.25">
      <c r="A11" s="4" t="str">
        <f t="shared" si="0"/>
        <v>CallWaitStrong Call</v>
      </c>
      <c r="B11" s="4" t="s">
        <v>990</v>
      </c>
      <c r="C11" s="4" t="s">
        <v>991</v>
      </c>
      <c r="D11" s="4" t="s">
        <v>982</v>
      </c>
      <c r="E11" s="4" t="s">
        <v>990</v>
      </c>
      <c r="K11" s="4"/>
      <c r="L11" s="4"/>
      <c r="M11" s="4">
        <f t="shared" ref="M11:M15" si="1">K11*L11</f>
        <v>0</v>
      </c>
    </row>
    <row r="12" spans="1:15" x14ac:dyDescent="0.25">
      <c r="A12" s="4" t="str">
        <f t="shared" si="0"/>
        <v>CallPutCall</v>
      </c>
      <c r="B12" s="4" t="s">
        <v>990</v>
      </c>
      <c r="C12" s="4" t="s">
        <v>987</v>
      </c>
      <c r="D12" s="4" t="s">
        <v>990</v>
      </c>
      <c r="E12" s="4" t="s">
        <v>989</v>
      </c>
      <c r="K12" s="4"/>
      <c r="L12" s="4"/>
      <c r="M12" s="4">
        <f t="shared" si="1"/>
        <v>0</v>
      </c>
    </row>
    <row r="13" spans="1:15" x14ac:dyDescent="0.25">
      <c r="A13" s="4" t="str">
        <f t="shared" si="0"/>
        <v>CallPutWait</v>
      </c>
      <c r="B13" s="4" t="s">
        <v>990</v>
      </c>
      <c r="C13" s="4" t="s">
        <v>987</v>
      </c>
      <c r="D13" s="4" t="s">
        <v>991</v>
      </c>
      <c r="E13" s="4" t="s">
        <v>989</v>
      </c>
      <c r="K13" s="4"/>
      <c r="L13" s="4"/>
      <c r="M13" s="4">
        <f t="shared" si="1"/>
        <v>0</v>
      </c>
    </row>
    <row r="14" spans="1:15" x14ac:dyDescent="0.25">
      <c r="A14" s="4" t="str">
        <f t="shared" si="0"/>
        <v>CallPutPut</v>
      </c>
      <c r="B14" s="4" t="s">
        <v>990</v>
      </c>
      <c r="C14" s="4" t="s">
        <v>987</v>
      </c>
      <c r="D14" s="4" t="s">
        <v>987</v>
      </c>
      <c r="E14" s="4" t="s">
        <v>983</v>
      </c>
      <c r="K14" s="4"/>
      <c r="L14" s="4"/>
      <c r="M14" s="4">
        <f t="shared" si="1"/>
        <v>0</v>
      </c>
    </row>
    <row r="15" spans="1:15" x14ac:dyDescent="0.25">
      <c r="A15" s="4" t="str">
        <f t="shared" si="0"/>
        <v>CallPutStrong Put</v>
      </c>
      <c r="B15" s="4" t="s">
        <v>990</v>
      </c>
      <c r="C15" s="4" t="s">
        <v>987</v>
      </c>
      <c r="D15" s="4" t="s">
        <v>988</v>
      </c>
      <c r="E15" s="4" t="s">
        <v>988</v>
      </c>
      <c r="K15" s="4"/>
      <c r="L15" s="4"/>
      <c r="M15" s="4">
        <f t="shared" si="1"/>
        <v>0</v>
      </c>
    </row>
    <row r="16" spans="1:15" x14ac:dyDescent="0.25">
      <c r="A16" s="4" t="str">
        <f t="shared" si="0"/>
        <v>CallPutStrong Call</v>
      </c>
      <c r="B16" s="4" t="s">
        <v>990</v>
      </c>
      <c r="C16" s="4" t="s">
        <v>987</v>
      </c>
      <c r="D16" s="4" t="s">
        <v>982</v>
      </c>
      <c r="E16" s="4" t="s">
        <v>990</v>
      </c>
      <c r="K16" s="4">
        <f>SUM(K10:K15)</f>
        <v>0</v>
      </c>
      <c r="L16" s="4" t="e">
        <f>M16/K16</f>
        <v>#DIV/0!</v>
      </c>
      <c r="M16" s="4">
        <f>SUM(M10:M15)</f>
        <v>0</v>
      </c>
    </row>
    <row r="17" spans="1:13" x14ac:dyDescent="0.25">
      <c r="A17" s="4" t="str">
        <f t="shared" si="0"/>
        <v>CallStrong CallCall</v>
      </c>
      <c r="B17" s="4" t="s">
        <v>990</v>
      </c>
      <c r="C17" s="4" t="s">
        <v>982</v>
      </c>
      <c r="D17" s="4" t="s">
        <v>990</v>
      </c>
      <c r="E17" s="4" t="s">
        <v>982</v>
      </c>
    </row>
    <row r="18" spans="1:13" x14ac:dyDescent="0.25">
      <c r="A18" s="4" t="str">
        <f t="shared" si="0"/>
        <v>CallStrong CallWait</v>
      </c>
      <c r="B18" s="4" t="s">
        <v>990</v>
      </c>
      <c r="C18" s="4" t="s">
        <v>982</v>
      </c>
      <c r="D18" s="4" t="s">
        <v>991</v>
      </c>
      <c r="E18" s="4" t="s">
        <v>990</v>
      </c>
    </row>
    <row r="19" spans="1:13" x14ac:dyDescent="0.25">
      <c r="A19" s="4" t="str">
        <f t="shared" si="0"/>
        <v>CallStrong CallPut</v>
      </c>
      <c r="B19" s="4" t="s">
        <v>990</v>
      </c>
      <c r="C19" s="4" t="s">
        <v>982</v>
      </c>
      <c r="D19" s="4" t="s">
        <v>987</v>
      </c>
      <c r="E19" s="4" t="s">
        <v>990</v>
      </c>
    </row>
    <row r="20" spans="1:13" x14ac:dyDescent="0.25">
      <c r="A20" s="4" t="str">
        <f t="shared" si="0"/>
        <v>CallStrong CallStrong Call</v>
      </c>
      <c r="B20" s="4" t="s">
        <v>990</v>
      </c>
      <c r="C20" s="4" t="s">
        <v>982</v>
      </c>
      <c r="D20" s="4" t="s">
        <v>982</v>
      </c>
      <c r="E20" s="4" t="s">
        <v>982</v>
      </c>
      <c r="M20" s="3"/>
    </row>
    <row r="21" spans="1:13" x14ac:dyDescent="0.25">
      <c r="A21" s="4" t="str">
        <f t="shared" si="0"/>
        <v>CallStrong CallStrong Put</v>
      </c>
      <c r="B21" s="4" t="s">
        <v>990</v>
      </c>
      <c r="C21" s="4" t="s">
        <v>982</v>
      </c>
      <c r="D21" s="4" t="s">
        <v>988</v>
      </c>
      <c r="E21" s="4" t="s">
        <v>995</v>
      </c>
      <c r="M21" s="3"/>
    </row>
    <row r="22" spans="1:13" x14ac:dyDescent="0.25">
      <c r="A22" s="4" t="str">
        <f t="shared" si="0"/>
        <v>CallStrong PutCall</v>
      </c>
      <c r="B22" s="4" t="s">
        <v>990</v>
      </c>
      <c r="C22" s="4" t="s">
        <v>988</v>
      </c>
      <c r="D22" s="4" t="s">
        <v>990</v>
      </c>
      <c r="E22" s="4" t="s">
        <v>985</v>
      </c>
    </row>
    <row r="23" spans="1:13" x14ac:dyDescent="0.25">
      <c r="A23" s="4" t="str">
        <f t="shared" si="0"/>
        <v>CallStrong PutWait</v>
      </c>
      <c r="B23" s="4" t="s">
        <v>990</v>
      </c>
      <c r="C23" s="4" t="s">
        <v>988</v>
      </c>
      <c r="D23" s="4" t="s">
        <v>991</v>
      </c>
      <c r="E23" s="4" t="s">
        <v>985</v>
      </c>
    </row>
    <row r="24" spans="1:13" x14ac:dyDescent="0.25">
      <c r="A24" s="4" t="str">
        <f t="shared" si="0"/>
        <v>CallStrong PutPut</v>
      </c>
      <c r="B24" s="4" t="s">
        <v>990</v>
      </c>
      <c r="C24" s="4" t="s">
        <v>988</v>
      </c>
      <c r="D24" s="4" t="s">
        <v>987</v>
      </c>
      <c r="E24" s="4" t="s">
        <v>985</v>
      </c>
    </row>
    <row r="25" spans="1:13" x14ac:dyDescent="0.25">
      <c r="A25" s="4" t="str">
        <f t="shared" si="0"/>
        <v>CallStrong PutStrong Call</v>
      </c>
      <c r="B25" s="4" t="s">
        <v>990</v>
      </c>
      <c r="C25" s="4" t="s">
        <v>988</v>
      </c>
      <c r="D25" s="4" t="s">
        <v>982</v>
      </c>
      <c r="E25" s="4" t="s">
        <v>995</v>
      </c>
    </row>
    <row r="26" spans="1:13" x14ac:dyDescent="0.25">
      <c r="A26" s="4" t="str">
        <f t="shared" si="0"/>
        <v>CallStrong PutStrong Put</v>
      </c>
      <c r="B26" s="4" t="s">
        <v>990</v>
      </c>
      <c r="C26" s="4" t="s">
        <v>988</v>
      </c>
      <c r="D26" s="4" t="s">
        <v>988</v>
      </c>
      <c r="E26" s="4" t="s">
        <v>988</v>
      </c>
    </row>
    <row r="27" spans="1:13" x14ac:dyDescent="0.25">
      <c r="A27" s="10" t="str">
        <f t="shared" ref="A27:A102" si="2">B27&amp;C27&amp;D27</f>
        <v>WaitCallCall</v>
      </c>
      <c r="B27" s="10" t="s">
        <v>991</v>
      </c>
      <c r="C27" s="10" t="s">
        <v>990</v>
      </c>
      <c r="D27" s="10" t="s">
        <v>990</v>
      </c>
      <c r="E27" s="10" t="s">
        <v>986</v>
      </c>
    </row>
    <row r="28" spans="1:13" x14ac:dyDescent="0.25">
      <c r="A28" s="10" t="str">
        <f t="shared" si="2"/>
        <v>WaitCallWait</v>
      </c>
      <c r="B28" s="10" t="s">
        <v>991</v>
      </c>
      <c r="C28" s="10" t="s">
        <v>990</v>
      </c>
      <c r="D28" s="10" t="s">
        <v>991</v>
      </c>
      <c r="E28" s="10" t="s">
        <v>991</v>
      </c>
    </row>
    <row r="29" spans="1:13" x14ac:dyDescent="0.25">
      <c r="A29" s="10" t="str">
        <f t="shared" si="2"/>
        <v>WaitCallPut</v>
      </c>
      <c r="B29" s="10" t="s">
        <v>991</v>
      </c>
      <c r="C29" s="10" t="s">
        <v>990</v>
      </c>
      <c r="D29" s="10" t="s">
        <v>987</v>
      </c>
      <c r="E29" s="10" t="s">
        <v>989</v>
      </c>
    </row>
    <row r="30" spans="1:13" x14ac:dyDescent="0.25">
      <c r="A30" s="10" t="str">
        <f t="shared" si="2"/>
        <v>WaitCallStrong Call</v>
      </c>
      <c r="B30" s="10" t="s">
        <v>991</v>
      </c>
      <c r="C30" s="10" t="s">
        <v>990</v>
      </c>
      <c r="D30" s="10" t="s">
        <v>982</v>
      </c>
      <c r="E30" s="10" t="s">
        <v>982</v>
      </c>
    </row>
    <row r="31" spans="1:13" x14ac:dyDescent="0.25">
      <c r="A31" s="10" t="str">
        <f t="shared" si="2"/>
        <v>WaitCallStrong Put</v>
      </c>
      <c r="B31" s="10" t="s">
        <v>991</v>
      </c>
      <c r="C31" s="10" t="s">
        <v>990</v>
      </c>
      <c r="D31" s="10" t="s">
        <v>988</v>
      </c>
      <c r="E31" s="10" t="s">
        <v>989</v>
      </c>
    </row>
    <row r="32" spans="1:13" x14ac:dyDescent="0.25">
      <c r="A32" s="10" t="str">
        <f t="shared" si="2"/>
        <v>WaitWaitCall</v>
      </c>
      <c r="B32" s="10" t="s">
        <v>991</v>
      </c>
      <c r="C32" s="10" t="s">
        <v>991</v>
      </c>
      <c r="D32" s="10" t="s">
        <v>990</v>
      </c>
      <c r="E32" s="10" t="s">
        <v>989</v>
      </c>
    </row>
    <row r="33" spans="1:5" x14ac:dyDescent="0.25">
      <c r="A33" s="10" t="str">
        <f t="shared" si="2"/>
        <v>WaitWaitWait</v>
      </c>
      <c r="B33" s="10" t="s">
        <v>991</v>
      </c>
      <c r="C33" s="10" t="s">
        <v>991</v>
      </c>
      <c r="D33" s="10" t="s">
        <v>991</v>
      </c>
      <c r="E33" s="10" t="s">
        <v>989</v>
      </c>
    </row>
    <row r="34" spans="1:5" x14ac:dyDescent="0.25">
      <c r="A34" s="10" t="str">
        <f t="shared" si="2"/>
        <v>WaitWaitPut</v>
      </c>
      <c r="B34" s="10" t="s">
        <v>991</v>
      </c>
      <c r="C34" s="10" t="s">
        <v>991</v>
      </c>
      <c r="D34" s="10" t="s">
        <v>987</v>
      </c>
      <c r="E34" s="10" t="s">
        <v>989</v>
      </c>
    </row>
    <row r="35" spans="1:5" x14ac:dyDescent="0.25">
      <c r="A35" s="10" t="str">
        <f t="shared" si="2"/>
        <v>WaitWaitStrong Call</v>
      </c>
      <c r="B35" s="10" t="s">
        <v>991</v>
      </c>
      <c r="C35" s="10" t="s">
        <v>991</v>
      </c>
      <c r="D35" s="10" t="s">
        <v>982</v>
      </c>
      <c r="E35" s="10" t="s">
        <v>989</v>
      </c>
    </row>
    <row r="36" spans="1:5" x14ac:dyDescent="0.25">
      <c r="A36" s="10" t="str">
        <f t="shared" si="2"/>
        <v>WaitWaitStrong Put</v>
      </c>
      <c r="B36" s="10" t="s">
        <v>991</v>
      </c>
      <c r="C36" s="10" t="s">
        <v>991</v>
      </c>
      <c r="D36" s="10" t="s">
        <v>988</v>
      </c>
      <c r="E36" s="10" t="s">
        <v>989</v>
      </c>
    </row>
    <row r="37" spans="1:5" x14ac:dyDescent="0.25">
      <c r="A37" s="10" t="str">
        <f t="shared" si="2"/>
        <v>WaitPutCall</v>
      </c>
      <c r="B37" s="10" t="s">
        <v>991</v>
      </c>
      <c r="C37" s="10" t="s">
        <v>987</v>
      </c>
      <c r="D37" s="10" t="s">
        <v>990</v>
      </c>
      <c r="E37" s="10" t="s">
        <v>989</v>
      </c>
    </row>
    <row r="38" spans="1:5" x14ac:dyDescent="0.25">
      <c r="A38" s="10" t="str">
        <f t="shared" si="2"/>
        <v>WaitPutWait</v>
      </c>
      <c r="B38" s="10" t="s">
        <v>991</v>
      </c>
      <c r="C38" s="10" t="s">
        <v>987</v>
      </c>
      <c r="D38" s="10" t="s">
        <v>991</v>
      </c>
      <c r="E38" s="10" t="s">
        <v>991</v>
      </c>
    </row>
    <row r="39" spans="1:5" x14ac:dyDescent="0.25">
      <c r="A39" s="10" t="str">
        <f t="shared" si="2"/>
        <v>WaitPutPut</v>
      </c>
      <c r="B39" s="10" t="s">
        <v>991</v>
      </c>
      <c r="C39" s="10" t="s">
        <v>987</v>
      </c>
      <c r="D39" s="10" t="s">
        <v>987</v>
      </c>
      <c r="E39" s="10" t="s">
        <v>983</v>
      </c>
    </row>
    <row r="40" spans="1:5" x14ac:dyDescent="0.25">
      <c r="A40" s="10" t="str">
        <f t="shared" si="2"/>
        <v>WaitPutStrong Call</v>
      </c>
      <c r="B40" s="10" t="s">
        <v>991</v>
      </c>
      <c r="C40" s="10" t="s">
        <v>987</v>
      </c>
      <c r="D40" s="10" t="s">
        <v>982</v>
      </c>
      <c r="E40" s="10" t="s">
        <v>985</v>
      </c>
    </row>
    <row r="41" spans="1:5" x14ac:dyDescent="0.25">
      <c r="A41" s="10" t="str">
        <f t="shared" si="2"/>
        <v>WaitPutStrong Put</v>
      </c>
      <c r="B41" s="10" t="s">
        <v>991</v>
      </c>
      <c r="C41" s="10" t="s">
        <v>987</v>
      </c>
      <c r="D41" s="10" t="s">
        <v>988</v>
      </c>
      <c r="E41" s="10" t="s">
        <v>987</v>
      </c>
    </row>
    <row r="42" spans="1:5" x14ac:dyDescent="0.25">
      <c r="A42" s="10" t="str">
        <f t="shared" si="2"/>
        <v>WaitStrong CallCall</v>
      </c>
      <c r="B42" s="10" t="s">
        <v>991</v>
      </c>
      <c r="C42" s="10" t="s">
        <v>982</v>
      </c>
      <c r="D42" s="10" t="s">
        <v>990</v>
      </c>
      <c r="E42" s="10" t="s">
        <v>990</v>
      </c>
    </row>
    <row r="43" spans="1:5" x14ac:dyDescent="0.25">
      <c r="A43" s="10" t="str">
        <f t="shared" si="2"/>
        <v>WaitStrong CallWait</v>
      </c>
      <c r="B43" s="10" t="s">
        <v>991</v>
      </c>
      <c r="C43" s="10" t="s">
        <v>982</v>
      </c>
      <c r="D43" s="10" t="s">
        <v>991</v>
      </c>
      <c r="E43" s="10" t="s">
        <v>990</v>
      </c>
    </row>
    <row r="44" spans="1:5" x14ac:dyDescent="0.25">
      <c r="A44" s="10" t="str">
        <f t="shared" si="2"/>
        <v>WaitStrong CallPut</v>
      </c>
      <c r="B44" s="10" t="s">
        <v>991</v>
      </c>
      <c r="C44" s="10" t="s">
        <v>982</v>
      </c>
      <c r="D44" s="10" t="s">
        <v>987</v>
      </c>
      <c r="E44" s="10" t="s">
        <v>990</v>
      </c>
    </row>
    <row r="45" spans="1:5" x14ac:dyDescent="0.25">
      <c r="A45" s="10" t="str">
        <f t="shared" si="2"/>
        <v>WaitStrong CallStrong Call</v>
      </c>
      <c r="B45" s="10" t="s">
        <v>991</v>
      </c>
      <c r="C45" s="10" t="s">
        <v>982</v>
      </c>
      <c r="D45" s="10" t="s">
        <v>982</v>
      </c>
      <c r="E45" s="10" t="s">
        <v>982</v>
      </c>
    </row>
    <row r="46" spans="1:5" x14ac:dyDescent="0.25">
      <c r="A46" s="10" t="str">
        <f t="shared" si="2"/>
        <v>WaitStrong CallStrong Put</v>
      </c>
      <c r="B46" s="10" t="s">
        <v>991</v>
      </c>
      <c r="C46" s="10" t="s">
        <v>982</v>
      </c>
      <c r="D46" s="10" t="s">
        <v>988</v>
      </c>
      <c r="E46" s="10" t="s">
        <v>995</v>
      </c>
    </row>
    <row r="47" spans="1:5" x14ac:dyDescent="0.25">
      <c r="A47" s="10" t="str">
        <f t="shared" si="2"/>
        <v>WaitStrong PutCall</v>
      </c>
      <c r="B47" s="10" t="s">
        <v>991</v>
      </c>
      <c r="C47" s="10" t="s">
        <v>988</v>
      </c>
      <c r="D47" s="10" t="s">
        <v>990</v>
      </c>
      <c r="E47" s="10" t="s">
        <v>987</v>
      </c>
    </row>
    <row r="48" spans="1:5" x14ac:dyDescent="0.25">
      <c r="A48" s="10" t="str">
        <f t="shared" si="2"/>
        <v>WaitStrong PutWait</v>
      </c>
      <c r="B48" s="10" t="s">
        <v>991</v>
      </c>
      <c r="C48" s="10" t="s">
        <v>988</v>
      </c>
      <c r="D48" s="10" t="s">
        <v>991</v>
      </c>
      <c r="E48" s="10" t="s">
        <v>987</v>
      </c>
    </row>
    <row r="49" spans="1:5" x14ac:dyDescent="0.25">
      <c r="A49" s="10" t="str">
        <f t="shared" si="2"/>
        <v>WaitStrong PutPut</v>
      </c>
      <c r="B49" s="10" t="s">
        <v>991</v>
      </c>
      <c r="C49" s="10" t="s">
        <v>988</v>
      </c>
      <c r="D49" s="10" t="s">
        <v>987</v>
      </c>
      <c r="E49" s="10" t="s">
        <v>987</v>
      </c>
    </row>
    <row r="50" spans="1:5" x14ac:dyDescent="0.25">
      <c r="A50" s="10" t="str">
        <f t="shared" si="2"/>
        <v>WaitStrong PutStrong Call</v>
      </c>
      <c r="B50" s="10" t="s">
        <v>991</v>
      </c>
      <c r="C50" s="10" t="s">
        <v>988</v>
      </c>
      <c r="D50" s="10" t="s">
        <v>982</v>
      </c>
      <c r="E50" s="10" t="s">
        <v>995</v>
      </c>
    </row>
    <row r="51" spans="1:5" x14ac:dyDescent="0.25">
      <c r="A51" s="10" t="str">
        <f t="shared" si="2"/>
        <v>WaitStrong PutStrong Put</v>
      </c>
      <c r="B51" s="10" t="s">
        <v>991</v>
      </c>
      <c r="C51" s="10" t="s">
        <v>988</v>
      </c>
      <c r="D51" s="10" t="s">
        <v>988</v>
      </c>
      <c r="E51" s="10" t="s">
        <v>988</v>
      </c>
    </row>
    <row r="52" spans="1:5" x14ac:dyDescent="0.25">
      <c r="A52" s="4" t="str">
        <f t="shared" si="2"/>
        <v>PutCallCall</v>
      </c>
      <c r="B52" s="4" t="s">
        <v>987</v>
      </c>
      <c r="C52" s="4" t="s">
        <v>990</v>
      </c>
      <c r="D52" s="4" t="s">
        <v>990</v>
      </c>
      <c r="E52" s="4" t="s">
        <v>991</v>
      </c>
    </row>
    <row r="53" spans="1:5" x14ac:dyDescent="0.25">
      <c r="A53" s="4" t="str">
        <f t="shared" si="2"/>
        <v>PutCallWait</v>
      </c>
      <c r="B53" s="4" t="s">
        <v>987</v>
      </c>
      <c r="C53" s="4" t="s">
        <v>990</v>
      </c>
      <c r="D53" s="4" t="s">
        <v>991</v>
      </c>
      <c r="E53" s="4" t="s">
        <v>991</v>
      </c>
    </row>
    <row r="54" spans="1:5" x14ac:dyDescent="0.25">
      <c r="A54" s="4" t="str">
        <f t="shared" si="2"/>
        <v>PutCallPut</v>
      </c>
      <c r="B54" s="4" t="s">
        <v>987</v>
      </c>
      <c r="C54" s="4" t="s">
        <v>990</v>
      </c>
      <c r="D54" s="4" t="s">
        <v>987</v>
      </c>
      <c r="E54" s="4" t="s">
        <v>989</v>
      </c>
    </row>
    <row r="55" spans="1:5" x14ac:dyDescent="0.25">
      <c r="A55" s="4" t="str">
        <f t="shared" si="2"/>
        <v>PutCallStrong Call</v>
      </c>
      <c r="B55" s="4" t="s">
        <v>987</v>
      </c>
      <c r="C55" s="4" t="s">
        <v>990</v>
      </c>
      <c r="D55" s="4" t="s">
        <v>982</v>
      </c>
      <c r="E55" s="4" t="s">
        <v>990</v>
      </c>
    </row>
    <row r="56" spans="1:5" x14ac:dyDescent="0.25">
      <c r="A56" s="4" t="str">
        <f t="shared" si="2"/>
        <v>PutCallStrong Put</v>
      </c>
      <c r="B56" s="4" t="s">
        <v>987</v>
      </c>
      <c r="C56" s="4" t="s">
        <v>990</v>
      </c>
      <c r="D56" s="4" t="s">
        <v>988</v>
      </c>
      <c r="E56" s="4" t="s">
        <v>987</v>
      </c>
    </row>
    <row r="57" spans="1:5" x14ac:dyDescent="0.25">
      <c r="A57" s="4" t="str">
        <f t="shared" si="2"/>
        <v>PutWaitCall</v>
      </c>
      <c r="B57" s="4" t="s">
        <v>987</v>
      </c>
      <c r="C57" s="4" t="s">
        <v>991</v>
      </c>
      <c r="D57" s="4" t="s">
        <v>990</v>
      </c>
      <c r="E57" s="4" t="s">
        <v>989</v>
      </c>
    </row>
    <row r="58" spans="1:5" x14ac:dyDescent="0.25">
      <c r="A58" s="4" t="str">
        <f t="shared" si="2"/>
        <v>PutWaitWait</v>
      </c>
      <c r="B58" s="4" t="s">
        <v>987</v>
      </c>
      <c r="C58" s="4" t="s">
        <v>991</v>
      </c>
      <c r="D58" s="4" t="s">
        <v>991</v>
      </c>
      <c r="E58" s="4" t="s">
        <v>991</v>
      </c>
    </row>
    <row r="59" spans="1:5" x14ac:dyDescent="0.25">
      <c r="A59" s="4" t="str">
        <f t="shared" si="2"/>
        <v>PutWaitPut</v>
      </c>
      <c r="B59" s="4" t="s">
        <v>987</v>
      </c>
      <c r="C59" s="4" t="s">
        <v>991</v>
      </c>
      <c r="D59" s="4" t="s">
        <v>987</v>
      </c>
      <c r="E59" s="4" t="s">
        <v>987</v>
      </c>
    </row>
    <row r="60" spans="1:5" x14ac:dyDescent="0.25">
      <c r="A60" s="4" t="str">
        <f t="shared" si="2"/>
        <v>PutWaitStrong Call</v>
      </c>
      <c r="B60" s="4" t="s">
        <v>987</v>
      </c>
      <c r="C60" s="4" t="s">
        <v>991</v>
      </c>
      <c r="D60" s="4" t="s">
        <v>982</v>
      </c>
      <c r="E60" s="4" t="s">
        <v>995</v>
      </c>
    </row>
    <row r="61" spans="1:5" x14ac:dyDescent="0.25">
      <c r="A61" s="4" t="str">
        <f t="shared" si="2"/>
        <v>PutWaitStrong Put</v>
      </c>
      <c r="B61" s="4" t="s">
        <v>987</v>
      </c>
      <c r="C61" s="4" t="s">
        <v>991</v>
      </c>
      <c r="D61" s="4" t="s">
        <v>988</v>
      </c>
      <c r="E61" s="4" t="s">
        <v>988</v>
      </c>
    </row>
    <row r="62" spans="1:5" x14ac:dyDescent="0.25">
      <c r="A62" s="4" t="str">
        <f t="shared" si="2"/>
        <v>PutPutCall</v>
      </c>
      <c r="B62" s="4" t="s">
        <v>987</v>
      </c>
      <c r="C62" s="4" t="s">
        <v>987</v>
      </c>
      <c r="D62" s="4" t="s">
        <v>990</v>
      </c>
      <c r="E62" s="4" t="s">
        <v>989</v>
      </c>
    </row>
    <row r="63" spans="1:5" x14ac:dyDescent="0.25">
      <c r="A63" s="4" t="str">
        <f t="shared" si="2"/>
        <v>PutPutWait</v>
      </c>
      <c r="B63" s="4" t="s">
        <v>987</v>
      </c>
      <c r="C63" s="4" t="s">
        <v>987</v>
      </c>
      <c r="D63" s="4" t="s">
        <v>991</v>
      </c>
      <c r="E63" s="4" t="s">
        <v>987</v>
      </c>
    </row>
    <row r="64" spans="1:5" x14ac:dyDescent="0.25">
      <c r="A64" s="4" t="str">
        <f t="shared" si="2"/>
        <v>PutPutPut</v>
      </c>
      <c r="B64" s="4" t="s">
        <v>987</v>
      </c>
      <c r="C64" s="4" t="s">
        <v>987</v>
      </c>
      <c r="D64" s="4" t="s">
        <v>987</v>
      </c>
      <c r="E64" s="4" t="s">
        <v>988</v>
      </c>
    </row>
    <row r="65" spans="1:5" x14ac:dyDescent="0.25">
      <c r="A65" s="4" t="str">
        <f t="shared" si="2"/>
        <v>PutPutStrong Call</v>
      </c>
      <c r="B65" s="4" t="s">
        <v>987</v>
      </c>
      <c r="C65" s="4" t="s">
        <v>987</v>
      </c>
      <c r="D65" s="4" t="s">
        <v>982</v>
      </c>
      <c r="E65" s="4" t="s">
        <v>989</v>
      </c>
    </row>
    <row r="66" spans="1:5" x14ac:dyDescent="0.25">
      <c r="A66" s="4" t="str">
        <f t="shared" si="2"/>
        <v>PutPutStrong Put</v>
      </c>
      <c r="B66" s="4" t="s">
        <v>987</v>
      </c>
      <c r="C66" s="4" t="s">
        <v>987</v>
      </c>
      <c r="D66" s="4" t="s">
        <v>988</v>
      </c>
      <c r="E66" s="4" t="s">
        <v>988</v>
      </c>
    </row>
    <row r="67" spans="1:5" x14ac:dyDescent="0.25">
      <c r="A67" s="4" t="str">
        <f t="shared" si="2"/>
        <v>PutStrong CallCall</v>
      </c>
      <c r="B67" s="4" t="s">
        <v>987</v>
      </c>
      <c r="C67" s="4" t="s">
        <v>982</v>
      </c>
      <c r="D67" s="4" t="s">
        <v>990</v>
      </c>
      <c r="E67" s="4" t="s">
        <v>982</v>
      </c>
    </row>
    <row r="68" spans="1:5" x14ac:dyDescent="0.25">
      <c r="A68" s="4" t="str">
        <f t="shared" si="2"/>
        <v>PutStrong CallWait</v>
      </c>
      <c r="B68" s="4" t="s">
        <v>987</v>
      </c>
      <c r="C68" s="4" t="s">
        <v>982</v>
      </c>
      <c r="D68" s="4" t="s">
        <v>991</v>
      </c>
      <c r="E68" s="4" t="s">
        <v>982</v>
      </c>
    </row>
    <row r="69" spans="1:5" x14ac:dyDescent="0.25">
      <c r="A69" s="4" t="str">
        <f t="shared" si="2"/>
        <v>PutStrong CallPut</v>
      </c>
      <c r="B69" s="4" t="s">
        <v>987</v>
      </c>
      <c r="C69" s="4" t="s">
        <v>982</v>
      </c>
      <c r="D69" s="4" t="s">
        <v>987</v>
      </c>
      <c r="E69" s="4" t="s">
        <v>982</v>
      </c>
    </row>
    <row r="70" spans="1:5" x14ac:dyDescent="0.25">
      <c r="A70" s="4" t="str">
        <f t="shared" si="2"/>
        <v>PutStrong CallStrong Call</v>
      </c>
      <c r="B70" s="4" t="s">
        <v>987</v>
      </c>
      <c r="C70" s="4" t="s">
        <v>982</v>
      </c>
      <c r="D70" s="4" t="s">
        <v>982</v>
      </c>
      <c r="E70" s="4" t="s">
        <v>982</v>
      </c>
    </row>
    <row r="71" spans="1:5" x14ac:dyDescent="0.25">
      <c r="A71" s="4" t="str">
        <f t="shared" si="2"/>
        <v>PutStrong CallStrong Put</v>
      </c>
      <c r="B71" s="4" t="s">
        <v>987</v>
      </c>
      <c r="C71" s="4" t="s">
        <v>982</v>
      </c>
      <c r="D71" s="4" t="s">
        <v>988</v>
      </c>
      <c r="E71" s="4" t="s">
        <v>995</v>
      </c>
    </row>
    <row r="72" spans="1:5" x14ac:dyDescent="0.25">
      <c r="A72" s="4" t="str">
        <f t="shared" si="2"/>
        <v>PutStrong PutCall</v>
      </c>
      <c r="B72" s="4" t="s">
        <v>987</v>
      </c>
      <c r="C72" s="4" t="s">
        <v>988</v>
      </c>
      <c r="D72" s="4" t="s">
        <v>990</v>
      </c>
      <c r="E72" s="4" t="s">
        <v>988</v>
      </c>
    </row>
    <row r="73" spans="1:5" x14ac:dyDescent="0.25">
      <c r="A73" s="4" t="str">
        <f t="shared" si="2"/>
        <v>PutStrong PutWait</v>
      </c>
      <c r="B73" s="4" t="s">
        <v>987</v>
      </c>
      <c r="C73" s="4" t="s">
        <v>988</v>
      </c>
      <c r="D73" s="4" t="s">
        <v>991</v>
      </c>
      <c r="E73" s="4" t="s">
        <v>988</v>
      </c>
    </row>
    <row r="74" spans="1:5" x14ac:dyDescent="0.25">
      <c r="A74" s="4" t="str">
        <f t="shared" si="2"/>
        <v>PutStrong PutPut</v>
      </c>
      <c r="B74" s="4" t="s">
        <v>987</v>
      </c>
      <c r="C74" s="4" t="s">
        <v>988</v>
      </c>
      <c r="D74" s="4" t="s">
        <v>987</v>
      </c>
      <c r="E74" s="4" t="s">
        <v>988</v>
      </c>
    </row>
    <row r="75" spans="1:5" x14ac:dyDescent="0.25">
      <c r="A75" s="4" t="str">
        <f t="shared" si="2"/>
        <v>PutStrong PutStrong Call</v>
      </c>
      <c r="B75" s="4" t="s">
        <v>987</v>
      </c>
      <c r="C75" s="4" t="s">
        <v>988</v>
      </c>
      <c r="D75" s="4" t="s">
        <v>982</v>
      </c>
      <c r="E75" s="4" t="s">
        <v>995</v>
      </c>
    </row>
    <row r="76" spans="1:5" x14ac:dyDescent="0.25">
      <c r="A76" s="4" t="str">
        <f t="shared" si="2"/>
        <v>PutStrong PutStrong Put</v>
      </c>
      <c r="B76" s="4" t="s">
        <v>987</v>
      </c>
      <c r="C76" s="4" t="s">
        <v>988</v>
      </c>
      <c r="D76" s="4" t="s">
        <v>988</v>
      </c>
      <c r="E76" s="4" t="s">
        <v>988</v>
      </c>
    </row>
    <row r="77" spans="1:5" x14ac:dyDescent="0.25">
      <c r="A77" s="10" t="str">
        <f t="shared" si="2"/>
        <v>Strong CallCallCall</v>
      </c>
      <c r="B77" s="10" t="s">
        <v>982</v>
      </c>
      <c r="C77" s="10" t="s">
        <v>990</v>
      </c>
      <c r="D77" s="10" t="s">
        <v>990</v>
      </c>
      <c r="E77" s="10" t="s">
        <v>982</v>
      </c>
    </row>
    <row r="78" spans="1:5" x14ac:dyDescent="0.25">
      <c r="A78" s="10" t="str">
        <f t="shared" si="2"/>
        <v>Strong CallCallWait</v>
      </c>
      <c r="B78" s="10" t="s">
        <v>982</v>
      </c>
      <c r="C78" s="10" t="s">
        <v>990</v>
      </c>
      <c r="D78" s="10" t="s">
        <v>991</v>
      </c>
      <c r="E78" s="10" t="s">
        <v>982</v>
      </c>
    </row>
    <row r="79" spans="1:5" x14ac:dyDescent="0.25">
      <c r="A79" s="10" t="str">
        <f t="shared" si="2"/>
        <v>Strong CallCallPut</v>
      </c>
      <c r="B79" s="10" t="s">
        <v>982</v>
      </c>
      <c r="C79" s="10" t="s">
        <v>990</v>
      </c>
      <c r="D79" s="10" t="s">
        <v>987</v>
      </c>
      <c r="E79" s="10" t="s">
        <v>991</v>
      </c>
    </row>
    <row r="80" spans="1:5" x14ac:dyDescent="0.25">
      <c r="A80" s="10" t="str">
        <f t="shared" si="2"/>
        <v>Strong CallCallStrong Call</v>
      </c>
      <c r="B80" s="10" t="s">
        <v>982</v>
      </c>
      <c r="C80" s="10" t="s">
        <v>990</v>
      </c>
      <c r="D80" s="10" t="s">
        <v>982</v>
      </c>
      <c r="E80" s="10" t="s">
        <v>982</v>
      </c>
    </row>
    <row r="81" spans="1:5" x14ac:dyDescent="0.25">
      <c r="A81" s="10" t="str">
        <f t="shared" si="2"/>
        <v>Strong CallCallStrong Put</v>
      </c>
      <c r="B81" s="10" t="s">
        <v>982</v>
      </c>
      <c r="C81" s="10" t="s">
        <v>990</v>
      </c>
      <c r="D81" s="10" t="s">
        <v>988</v>
      </c>
      <c r="E81" s="10" t="s">
        <v>989</v>
      </c>
    </row>
    <row r="82" spans="1:5" x14ac:dyDescent="0.25">
      <c r="A82" s="10" t="str">
        <f t="shared" si="2"/>
        <v>Strong CallWaitCall</v>
      </c>
      <c r="B82" s="10" t="s">
        <v>982</v>
      </c>
      <c r="C82" s="10" t="s">
        <v>991</v>
      </c>
      <c r="D82" s="10" t="s">
        <v>990</v>
      </c>
      <c r="E82" s="10" t="s">
        <v>982</v>
      </c>
    </row>
    <row r="83" spans="1:5" x14ac:dyDescent="0.25">
      <c r="A83" s="10" t="str">
        <f t="shared" si="2"/>
        <v>Strong CallWaitWait</v>
      </c>
      <c r="B83" s="10" t="s">
        <v>982</v>
      </c>
      <c r="C83" s="10" t="s">
        <v>991</v>
      </c>
      <c r="D83" s="10" t="s">
        <v>991</v>
      </c>
      <c r="E83" s="10" t="s">
        <v>990</v>
      </c>
    </row>
    <row r="84" spans="1:5" x14ac:dyDescent="0.25">
      <c r="A84" s="10" t="str">
        <f t="shared" si="2"/>
        <v>Strong CallWaitPut</v>
      </c>
      <c r="B84" s="10" t="s">
        <v>982</v>
      </c>
      <c r="C84" s="10" t="s">
        <v>991</v>
      </c>
      <c r="D84" s="10" t="s">
        <v>987</v>
      </c>
      <c r="E84" s="10" t="s">
        <v>992</v>
      </c>
    </row>
    <row r="85" spans="1:5" x14ac:dyDescent="0.25">
      <c r="A85" s="10" t="str">
        <f t="shared" si="2"/>
        <v>Strong CallWaitStrong Call</v>
      </c>
      <c r="B85" s="10" t="s">
        <v>982</v>
      </c>
      <c r="C85" s="10" t="s">
        <v>991</v>
      </c>
      <c r="D85" s="10" t="s">
        <v>982</v>
      </c>
      <c r="E85" s="10" t="s">
        <v>982</v>
      </c>
    </row>
    <row r="86" spans="1:5" x14ac:dyDescent="0.25">
      <c r="A86" s="10" t="str">
        <f t="shared" si="2"/>
        <v>Strong CallWaitStrong Put</v>
      </c>
      <c r="B86" s="10" t="s">
        <v>982</v>
      </c>
      <c r="C86" s="10" t="s">
        <v>991</v>
      </c>
      <c r="D86" s="10" t="s">
        <v>988</v>
      </c>
      <c r="E86" s="10" t="s">
        <v>989</v>
      </c>
    </row>
    <row r="87" spans="1:5" x14ac:dyDescent="0.25">
      <c r="A87" s="10" t="str">
        <f t="shared" si="2"/>
        <v>Strong CallPutCall</v>
      </c>
      <c r="B87" s="10" t="s">
        <v>982</v>
      </c>
      <c r="C87" s="10" t="s">
        <v>987</v>
      </c>
      <c r="D87" s="10" t="s">
        <v>990</v>
      </c>
      <c r="E87" s="10" t="s">
        <v>990</v>
      </c>
    </row>
    <row r="88" spans="1:5" x14ac:dyDescent="0.25">
      <c r="A88" s="10" t="str">
        <f t="shared" si="2"/>
        <v>Strong CallPutWait</v>
      </c>
      <c r="B88" s="10" t="s">
        <v>982</v>
      </c>
      <c r="C88" s="10" t="s">
        <v>987</v>
      </c>
      <c r="D88" s="10" t="s">
        <v>991</v>
      </c>
      <c r="E88" s="10" t="s">
        <v>990</v>
      </c>
    </row>
    <row r="89" spans="1:5" x14ac:dyDescent="0.25">
      <c r="A89" s="10" t="str">
        <f t="shared" si="2"/>
        <v>Strong CallPutPut</v>
      </c>
      <c r="B89" s="10" t="s">
        <v>982</v>
      </c>
      <c r="C89" s="10" t="s">
        <v>987</v>
      </c>
      <c r="D89" s="10" t="s">
        <v>987</v>
      </c>
      <c r="E89" s="10" t="s">
        <v>991</v>
      </c>
    </row>
    <row r="90" spans="1:5" x14ac:dyDescent="0.25">
      <c r="A90" s="10" t="str">
        <f t="shared" si="2"/>
        <v>Strong CallPutStrong Call</v>
      </c>
      <c r="B90" s="10" t="s">
        <v>982</v>
      </c>
      <c r="C90" s="10" t="s">
        <v>987</v>
      </c>
      <c r="D90" s="10" t="s">
        <v>982</v>
      </c>
      <c r="E90" s="10" t="s">
        <v>990</v>
      </c>
    </row>
    <row r="91" spans="1:5" x14ac:dyDescent="0.25">
      <c r="A91" s="10" t="str">
        <f t="shared" si="2"/>
        <v>Strong CallPutStrong Put</v>
      </c>
      <c r="B91" s="10" t="s">
        <v>982</v>
      </c>
      <c r="C91" s="10" t="s">
        <v>987</v>
      </c>
      <c r="D91" s="10" t="s">
        <v>988</v>
      </c>
      <c r="E91" s="10" t="s">
        <v>989</v>
      </c>
    </row>
    <row r="92" spans="1:5" x14ac:dyDescent="0.25">
      <c r="A92" s="10" t="str">
        <f t="shared" si="2"/>
        <v>Strong CallStrong CallCall</v>
      </c>
      <c r="B92" s="10" t="s">
        <v>982</v>
      </c>
      <c r="C92" s="10" t="s">
        <v>982</v>
      </c>
      <c r="D92" s="10" t="s">
        <v>990</v>
      </c>
      <c r="E92" s="10" t="s">
        <v>982</v>
      </c>
    </row>
    <row r="93" spans="1:5" x14ac:dyDescent="0.25">
      <c r="A93" s="10" t="str">
        <f t="shared" si="2"/>
        <v>Strong CallStrong CallWait</v>
      </c>
      <c r="B93" s="10" t="s">
        <v>982</v>
      </c>
      <c r="C93" s="10" t="s">
        <v>982</v>
      </c>
      <c r="D93" s="10" t="s">
        <v>991</v>
      </c>
      <c r="E93" s="10" t="s">
        <v>982</v>
      </c>
    </row>
    <row r="94" spans="1:5" x14ac:dyDescent="0.25">
      <c r="A94" s="10" t="str">
        <f t="shared" si="2"/>
        <v>Strong CallStrong CallPut</v>
      </c>
      <c r="B94" s="10" t="s">
        <v>982</v>
      </c>
      <c r="C94" s="10" t="s">
        <v>982</v>
      </c>
      <c r="D94" s="10" t="s">
        <v>987</v>
      </c>
      <c r="E94" s="10" t="s">
        <v>982</v>
      </c>
    </row>
    <row r="95" spans="1:5" x14ac:dyDescent="0.25">
      <c r="A95" s="10" t="str">
        <f t="shared" si="2"/>
        <v>Strong CallStrong CallStrong Call</v>
      </c>
      <c r="B95" s="10" t="s">
        <v>982</v>
      </c>
      <c r="C95" s="10" t="s">
        <v>982</v>
      </c>
      <c r="D95" s="10" t="s">
        <v>982</v>
      </c>
      <c r="E95" s="10" t="s">
        <v>982</v>
      </c>
    </row>
    <row r="96" spans="1:5" x14ac:dyDescent="0.25">
      <c r="A96" s="10" t="str">
        <f t="shared" si="2"/>
        <v>Strong CallStrong CallStrong Put</v>
      </c>
      <c r="B96" s="10" t="s">
        <v>982</v>
      </c>
      <c r="C96" s="10" t="s">
        <v>982</v>
      </c>
      <c r="D96" s="10" t="s">
        <v>988</v>
      </c>
      <c r="E96" s="10" t="s">
        <v>992</v>
      </c>
    </row>
    <row r="97" spans="1:5" x14ac:dyDescent="0.25">
      <c r="A97" s="10" t="str">
        <f t="shared" si="2"/>
        <v>Strong CallStrong PutCall</v>
      </c>
      <c r="B97" s="10" t="s">
        <v>982</v>
      </c>
      <c r="C97" s="10" t="s">
        <v>988</v>
      </c>
      <c r="D97" s="10" t="s">
        <v>990</v>
      </c>
      <c r="E97" s="10" t="s">
        <v>992</v>
      </c>
    </row>
    <row r="98" spans="1:5" x14ac:dyDescent="0.25">
      <c r="A98" s="10" t="str">
        <f t="shared" si="2"/>
        <v>Strong CallStrong PutWait</v>
      </c>
      <c r="B98" s="10" t="s">
        <v>982</v>
      </c>
      <c r="C98" s="10" t="s">
        <v>988</v>
      </c>
      <c r="D98" s="10" t="s">
        <v>991</v>
      </c>
      <c r="E98" s="10" t="s">
        <v>992</v>
      </c>
    </row>
    <row r="99" spans="1:5" x14ac:dyDescent="0.25">
      <c r="A99" s="10" t="str">
        <f t="shared" si="2"/>
        <v>Strong CallStrong PutPut</v>
      </c>
      <c r="B99" s="10" t="s">
        <v>982</v>
      </c>
      <c r="C99" s="10" t="s">
        <v>988</v>
      </c>
      <c r="D99" s="10" t="s">
        <v>987</v>
      </c>
      <c r="E99" s="10" t="s">
        <v>992</v>
      </c>
    </row>
    <row r="100" spans="1:5" x14ac:dyDescent="0.25">
      <c r="A100" s="10" t="str">
        <f t="shared" si="2"/>
        <v>Strong CallStrong PutStrong Call</v>
      </c>
      <c r="B100" s="10" t="s">
        <v>982</v>
      </c>
      <c r="C100" s="10" t="s">
        <v>988</v>
      </c>
      <c r="D100" s="10" t="s">
        <v>982</v>
      </c>
      <c r="E100" s="10" t="s">
        <v>992</v>
      </c>
    </row>
    <row r="101" spans="1:5" x14ac:dyDescent="0.25">
      <c r="A101" s="10" t="str">
        <f t="shared" si="2"/>
        <v>Strong CallStrong PutStrong Put</v>
      </c>
      <c r="B101" s="10" t="s">
        <v>982</v>
      </c>
      <c r="C101" s="10" t="s">
        <v>988</v>
      </c>
      <c r="D101" s="10" t="s">
        <v>988</v>
      </c>
      <c r="E101" s="10" t="s">
        <v>992</v>
      </c>
    </row>
    <row r="102" spans="1:5" x14ac:dyDescent="0.25">
      <c r="A102" s="4" t="str">
        <f t="shared" si="2"/>
        <v>Strong PutCallCall</v>
      </c>
      <c r="B102" s="4" t="s">
        <v>988</v>
      </c>
      <c r="C102" s="4" t="s">
        <v>990</v>
      </c>
      <c r="D102" s="4" t="s">
        <v>990</v>
      </c>
      <c r="E102" s="4" t="s">
        <v>985</v>
      </c>
    </row>
    <row r="103" spans="1:5" x14ac:dyDescent="0.25">
      <c r="A103" s="4" t="str">
        <f t="shared" ref="A103:A123" si="3">B103&amp;C103&amp;D103</f>
        <v>Strong PutCallWait</v>
      </c>
      <c r="B103" s="4" t="s">
        <v>988</v>
      </c>
      <c r="C103" s="4" t="s">
        <v>990</v>
      </c>
      <c r="D103" s="4" t="s">
        <v>991</v>
      </c>
      <c r="E103" s="4" t="s">
        <v>985</v>
      </c>
    </row>
    <row r="104" spans="1:5" x14ac:dyDescent="0.25">
      <c r="A104" s="4" t="str">
        <f t="shared" si="3"/>
        <v>Strong PutCallPut</v>
      </c>
      <c r="B104" s="4" t="s">
        <v>988</v>
      </c>
      <c r="C104" s="4" t="s">
        <v>990</v>
      </c>
      <c r="D104" s="4" t="s">
        <v>987</v>
      </c>
      <c r="E104" s="4" t="s">
        <v>985</v>
      </c>
    </row>
    <row r="105" spans="1:5" x14ac:dyDescent="0.25">
      <c r="A105" s="4" t="str">
        <f t="shared" si="3"/>
        <v/>
      </c>
      <c r="B105" s="4"/>
      <c r="C105" s="4"/>
      <c r="D105" s="4"/>
      <c r="E105" s="4"/>
    </row>
    <row r="106" spans="1:5" x14ac:dyDescent="0.25">
      <c r="A106" s="4" t="str">
        <f t="shared" si="3"/>
        <v>Strong PutCallStrong Put</v>
      </c>
      <c r="B106" s="4" t="s">
        <v>988</v>
      </c>
      <c r="C106" s="4" t="s">
        <v>990</v>
      </c>
      <c r="D106" s="4" t="s">
        <v>988</v>
      </c>
      <c r="E106" s="4" t="s">
        <v>988</v>
      </c>
    </row>
    <row r="107" spans="1:5" x14ac:dyDescent="0.25">
      <c r="A107" s="4" t="str">
        <f t="shared" si="3"/>
        <v>Strong PutWaitCall</v>
      </c>
      <c r="B107" s="4" t="s">
        <v>988</v>
      </c>
      <c r="C107" s="4" t="s">
        <v>991</v>
      </c>
      <c r="D107" s="4" t="s">
        <v>990</v>
      </c>
      <c r="E107" s="4" t="s">
        <v>985</v>
      </c>
    </row>
    <row r="108" spans="1:5" x14ac:dyDescent="0.25">
      <c r="A108" s="4" t="str">
        <f t="shared" si="3"/>
        <v>Strong PutWaitWait</v>
      </c>
      <c r="B108" s="4" t="s">
        <v>988</v>
      </c>
      <c r="C108" s="4" t="s">
        <v>991</v>
      </c>
      <c r="D108" s="4" t="s">
        <v>991</v>
      </c>
      <c r="E108" s="4" t="s">
        <v>985</v>
      </c>
    </row>
    <row r="109" spans="1:5" x14ac:dyDescent="0.25">
      <c r="A109" s="4" t="str">
        <f t="shared" si="3"/>
        <v>Strong PutWaitPut</v>
      </c>
      <c r="B109" s="4" t="s">
        <v>988</v>
      </c>
      <c r="C109" s="4" t="s">
        <v>991</v>
      </c>
      <c r="D109" s="4" t="s">
        <v>987</v>
      </c>
      <c r="E109" s="4" t="s">
        <v>987</v>
      </c>
    </row>
    <row r="110" spans="1:5" x14ac:dyDescent="0.25">
      <c r="A110" s="4" t="str">
        <f t="shared" si="3"/>
        <v/>
      </c>
      <c r="B110" s="4"/>
      <c r="C110" s="4"/>
      <c r="D110" s="4"/>
      <c r="E110" s="4"/>
    </row>
    <row r="111" spans="1:5" x14ac:dyDescent="0.25">
      <c r="A111" s="4" t="str">
        <f t="shared" si="3"/>
        <v>Strong PutWaitStrong Put</v>
      </c>
      <c r="B111" s="4" t="s">
        <v>988</v>
      </c>
      <c r="C111" s="4" t="s">
        <v>991</v>
      </c>
      <c r="D111" s="4" t="s">
        <v>988</v>
      </c>
      <c r="E111" s="4" t="s">
        <v>988</v>
      </c>
    </row>
    <row r="112" spans="1:5" x14ac:dyDescent="0.25">
      <c r="A112" s="4" t="str">
        <f t="shared" si="3"/>
        <v>Strong PutPutCall</v>
      </c>
      <c r="B112" s="4" t="s">
        <v>988</v>
      </c>
      <c r="C112" s="4" t="s">
        <v>987</v>
      </c>
      <c r="D112" s="4" t="s">
        <v>990</v>
      </c>
      <c r="E112" s="4" t="s">
        <v>988</v>
      </c>
    </row>
    <row r="113" spans="1:5" x14ac:dyDescent="0.25">
      <c r="A113" s="4" t="str">
        <f t="shared" si="3"/>
        <v>Strong PutPutWait</v>
      </c>
      <c r="B113" s="4" t="s">
        <v>988</v>
      </c>
      <c r="C113" s="4" t="s">
        <v>987</v>
      </c>
      <c r="D113" s="4" t="s">
        <v>991</v>
      </c>
      <c r="E113" s="4" t="s">
        <v>988</v>
      </c>
    </row>
    <row r="114" spans="1:5" x14ac:dyDescent="0.25">
      <c r="A114" s="4" t="str">
        <f t="shared" si="3"/>
        <v>Strong PutPutPut</v>
      </c>
      <c r="B114" s="4" t="s">
        <v>988</v>
      </c>
      <c r="C114" s="4" t="s">
        <v>987</v>
      </c>
      <c r="D114" s="4" t="s">
        <v>987</v>
      </c>
      <c r="E114" s="4" t="s">
        <v>988</v>
      </c>
    </row>
    <row r="115" spans="1:5" x14ac:dyDescent="0.25">
      <c r="A115" s="4" t="str">
        <f t="shared" si="3"/>
        <v/>
      </c>
      <c r="B115" s="4"/>
      <c r="C115" s="4"/>
      <c r="D115" s="4"/>
      <c r="E115" s="4"/>
    </row>
    <row r="116" spans="1:5" x14ac:dyDescent="0.25">
      <c r="A116" s="4" t="str">
        <f t="shared" si="3"/>
        <v>Strong PutPutStrong Put</v>
      </c>
      <c r="B116" s="4" t="s">
        <v>988</v>
      </c>
      <c r="C116" s="4" t="s">
        <v>987</v>
      </c>
      <c r="D116" s="4" t="s">
        <v>988</v>
      </c>
      <c r="E116" s="4" t="s">
        <v>988</v>
      </c>
    </row>
    <row r="117" spans="1:5" x14ac:dyDescent="0.25">
      <c r="A117" s="4" t="str">
        <f t="shared" si="3"/>
        <v>Strong PutStrong PutCall</v>
      </c>
      <c r="B117" s="4" t="s">
        <v>988</v>
      </c>
      <c r="C117" s="4" t="s">
        <v>988</v>
      </c>
      <c r="D117" s="4" t="s">
        <v>990</v>
      </c>
      <c r="E117" s="4" t="s">
        <v>988</v>
      </c>
    </row>
    <row r="118" spans="1:5" x14ac:dyDescent="0.25">
      <c r="A118" s="4" t="str">
        <f t="shared" si="3"/>
        <v>Strong PutStrong PutWait</v>
      </c>
      <c r="B118" s="4" t="s">
        <v>988</v>
      </c>
      <c r="C118" s="4" t="s">
        <v>988</v>
      </c>
      <c r="D118" s="4" t="s">
        <v>991</v>
      </c>
      <c r="E118" s="4" t="s">
        <v>988</v>
      </c>
    </row>
    <row r="119" spans="1:5" x14ac:dyDescent="0.25">
      <c r="A119" s="4" t="str">
        <f t="shared" si="3"/>
        <v>Strong PutStrong PutPut</v>
      </c>
      <c r="B119" s="4" t="s">
        <v>988</v>
      </c>
      <c r="C119" s="4" t="s">
        <v>988</v>
      </c>
      <c r="D119" s="4" t="s">
        <v>987</v>
      </c>
      <c r="E119" s="4" t="s">
        <v>988</v>
      </c>
    </row>
    <row r="120" spans="1:5" x14ac:dyDescent="0.25">
      <c r="A120" s="4" t="str">
        <f t="shared" si="3"/>
        <v/>
      </c>
      <c r="B120" s="4"/>
      <c r="C120" s="4"/>
      <c r="D120" s="4"/>
      <c r="E120" s="4"/>
    </row>
    <row r="121" spans="1:5" x14ac:dyDescent="0.25">
      <c r="A121" s="4" t="str">
        <f t="shared" si="3"/>
        <v>Strong PutStrong PutStrong Put</v>
      </c>
      <c r="B121" s="4" t="s">
        <v>988</v>
      </c>
      <c r="C121" s="4" t="s">
        <v>988</v>
      </c>
      <c r="D121" s="4" t="s">
        <v>988</v>
      </c>
      <c r="E121" s="4" t="s">
        <v>988</v>
      </c>
    </row>
    <row r="122" spans="1:5" x14ac:dyDescent="0.25">
      <c r="A122" s="4" t="str">
        <f t="shared" si="3"/>
        <v/>
      </c>
    </row>
    <row r="123" spans="1:5" x14ac:dyDescent="0.25">
      <c r="A123" s="4" t="str">
        <f t="shared" si="3"/>
        <v/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Details</vt:lpstr>
      <vt:lpstr>Interest</vt:lpstr>
      <vt:lpstr>Pivot</vt:lpstr>
      <vt:lpstr>ICICI</vt:lpstr>
      <vt:lpstr>Others</vt:lpstr>
      <vt:lpstr>OI Trend</vt:lpstr>
      <vt:lpstr>PV Analysis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2026-02-24T10:49:56Z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2025-01-20T06:25:47Z</vt:lpwstr>
  </property>
  <property fmtid="{D5CDD505-2E9C-101B-9397-08002B2CF9AE}" pid="4" name="MSIP_Label_1b5d643d-5daa-4182-b4ec-05c4e602cf56_Method">
    <vt:lpwstr>Privileged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42e3523c-823d-428e-af66-f5daba127c70</vt:lpwstr>
  </property>
  <property fmtid="{D5CDD505-2E9C-101B-9397-08002B2CF9AE}" pid="8" name="MSIP_Label_1b5d643d-5daa-4182-b4ec-05c4e602cf56_ContentBits">
    <vt:lpwstr>0</vt:lpwstr>
  </property>
</Properties>
</file>