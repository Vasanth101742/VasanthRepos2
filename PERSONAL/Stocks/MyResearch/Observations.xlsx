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8010" activeTab="2"/>
  </bookViews>
  <sheets>
    <sheet name="Sheet5" sheetId="5" r:id="rId1"/>
    <sheet name="Options" sheetId="13" r:id="rId2"/>
    <sheet name="Observations" sheetId="12" r:id="rId3"/>
    <sheet name="Bonus" sheetId="15" r:id="rId4"/>
    <sheet name="StockSpecific" sheetId="16" r:id="rId5"/>
  </sheets>
  <definedNames>
    <definedName name="_xlnm._FilterDatabase" localSheetId="2" hidden="1">Observations!$A$1:$I$8</definedName>
  </definedNames>
  <calcPr calcId="152511"/>
</workbook>
</file>

<file path=xl/calcChain.xml><?xml version="1.0" encoding="utf-8"?>
<calcChain xmlns="http://schemas.openxmlformats.org/spreadsheetml/2006/main">
  <c r="H16" i="12" l="1"/>
  <c r="I16" i="12"/>
  <c r="H15" i="12" l="1"/>
  <c r="I15" i="12"/>
  <c r="I10" i="12" l="1"/>
  <c r="I11" i="12"/>
  <c r="I14" i="12"/>
  <c r="H10" i="12"/>
  <c r="H11" i="12"/>
  <c r="H14" i="12"/>
  <c r="H4" i="12" l="1"/>
  <c r="I4" i="12"/>
  <c r="I2" i="15" l="1"/>
  <c r="H2" i="15"/>
  <c r="G2" i="15"/>
  <c r="H5" i="12" l="1"/>
  <c r="I5" i="12"/>
  <c r="J2" i="13" l="1"/>
  <c r="K2" i="13" s="1"/>
  <c r="H2" i="13"/>
  <c r="G2" i="13"/>
  <c r="I2" i="13" s="1"/>
  <c r="H8" i="12"/>
  <c r="I8" i="12"/>
  <c r="L2" i="13" l="1"/>
  <c r="I6" i="12"/>
  <c r="H6" i="12"/>
  <c r="I3" i="12" l="1"/>
  <c r="H3" i="12"/>
  <c r="I2" i="12"/>
  <c r="H2" i="12"/>
</calcChain>
</file>

<file path=xl/sharedStrings.xml><?xml version="1.0" encoding="utf-8"?>
<sst xmlns="http://schemas.openxmlformats.org/spreadsheetml/2006/main" count="161" uniqueCount="129">
  <si>
    <t>Date</t>
  </si>
  <si>
    <t>slno</t>
  </si>
  <si>
    <t>Checkpoint</t>
  </si>
  <si>
    <t>Buy on Dips</t>
  </si>
  <si>
    <t>Shareholding Pattern</t>
  </si>
  <si>
    <t>Mutual Fund Activity on the Stock</t>
  </si>
  <si>
    <t>Category</t>
  </si>
  <si>
    <t>General</t>
  </si>
  <si>
    <t>StockSpecific</t>
  </si>
  <si>
    <t>Recent Updates from the Company</t>
  </si>
  <si>
    <t>Balance Sheet</t>
  </si>
  <si>
    <t>Macros</t>
  </si>
  <si>
    <t>Inflation</t>
  </si>
  <si>
    <t>GDP</t>
  </si>
  <si>
    <t>Global</t>
  </si>
  <si>
    <t>Trade war</t>
  </si>
  <si>
    <t>Political war</t>
  </si>
  <si>
    <t>Fed Policy Outcome</t>
  </si>
  <si>
    <t>FII/DII Fund Flow</t>
  </si>
  <si>
    <t>New orders</t>
  </si>
  <si>
    <t>Dividend/Stock Split/Bonus/Rights Issue</t>
  </si>
  <si>
    <t>Currency variation</t>
  </si>
  <si>
    <t>Crude Price variation</t>
  </si>
  <si>
    <t>Political</t>
  </si>
  <si>
    <t>Budget</t>
  </si>
  <si>
    <t>Sector news</t>
  </si>
  <si>
    <t>MPC Outcome</t>
  </si>
  <si>
    <t>Do not Buy on Result date</t>
  </si>
  <si>
    <t>Buy small Qty and then increase the Qty</t>
  </si>
  <si>
    <t>Month</t>
  </si>
  <si>
    <t>Observations</t>
  </si>
  <si>
    <t>Slno</t>
  </si>
  <si>
    <t>Nifty Status</t>
  </si>
  <si>
    <t>Example</t>
  </si>
  <si>
    <t>9.15 to 11AM</t>
  </si>
  <si>
    <t>Time frame</t>
  </si>
  <si>
    <t>If A company sells its stake in B Company then B company shares will fall definitely ateast 1-1.5% intraday</t>
  </si>
  <si>
    <t>Type</t>
  </si>
  <si>
    <t>Stake Sale</t>
  </si>
  <si>
    <t>Year</t>
  </si>
  <si>
    <t>Christmas</t>
  </si>
  <si>
    <t>Dec 1-20</t>
  </si>
  <si>
    <t>Positive</t>
  </si>
  <si>
    <t>Season</t>
  </si>
  <si>
    <t>Buy the share on Dec 1 and Sell the shares before 2 or 3 days before Christmas</t>
  </si>
  <si>
    <t>100 points down</t>
  </si>
  <si>
    <t>Quarterly Result strategy</t>
  </si>
  <si>
    <t>if a company result is negative and announced within market hours and if the stock price keeps on increasing, it will definitely fall on the next day morning within 10 mins after market open.</t>
  </si>
  <si>
    <t>Always</t>
  </si>
  <si>
    <t>No dependancy</t>
  </si>
  <si>
    <t>Result</t>
  </si>
  <si>
    <t>Graph Prediction</t>
  </si>
  <si>
    <t>Eg: Bharti Airtel plans to sell its 32% stake in Bharti Infratel. Hence Infratel shares fall from 260 to 250 before 11AM but after 11AM , it slowly gains momentum and reached to 260 at 3pm.
where as Airtel shares reacts exactly opposite i.e 216-223 before 11AM and after 11AM 223-208</t>
  </si>
  <si>
    <t>Loan Defaults</t>
  </si>
  <si>
    <t>JetAirways defaults on debt Payment to Banks</t>
  </si>
  <si>
    <t>70 Points down</t>
  </si>
  <si>
    <t>Strike Price</t>
  </si>
  <si>
    <t>Current Price</t>
  </si>
  <si>
    <t>Premium</t>
  </si>
  <si>
    <t>LotSize</t>
  </si>
  <si>
    <t>OptionValue</t>
  </si>
  <si>
    <t>StockValue</t>
  </si>
  <si>
    <t>premium%</t>
  </si>
  <si>
    <t>Stock</t>
  </si>
  <si>
    <t>FEDBAN</t>
  </si>
  <si>
    <t>Put</t>
  </si>
  <si>
    <t>CurrentValue</t>
  </si>
  <si>
    <t>P / L</t>
  </si>
  <si>
    <t>PremiumPending</t>
  </si>
  <si>
    <t>Brokerage Rating</t>
  </si>
  <si>
    <t>CLSA Rating to BUY indicates that stock price will move atleast 5-7 Rs on Intraday only</t>
  </si>
  <si>
    <t>MPC Committee changes the repo rate from 6 to 5.75% in order to encounter the economic slowdown. But the bank shares fell heavily intraday. So On the day of MPC meeting, Sell call on Banks is the Best option</t>
  </si>
  <si>
    <t>MPC Policy</t>
  </si>
  <si>
    <t>Corporate Governance Issue</t>
  </si>
  <si>
    <t>RBI</t>
  </si>
  <si>
    <t>if a stock rise/fall more than 3-3.5% before 10AM, it will definitely behave opposite by atleast 0.5 to 1% after 10 AM</t>
  </si>
  <si>
    <t>Statistics</t>
  </si>
  <si>
    <t>On the day of the Statistics data announcement such as CPI,IIP,WPI,PPI,Inflation,etc, Stocks will be moving downward by atleast 1-1.5%</t>
  </si>
  <si>
    <t>70 Points down
BankNifty 300 Points down</t>
  </si>
  <si>
    <t>Bonus Issue</t>
  </si>
  <si>
    <t>Shares on Ex bonus date will decrease by ateast 1.5-2% between 9.15 - 10AM. 
On Record Date share price will decrease by atleast 1.5-2% and then starts increasing on the same day by atleast 2% from the day's Low value</t>
  </si>
  <si>
    <t>Diwali(Muharat), NewYear</t>
  </si>
  <si>
    <t>Buy the Shares gradually from Sep 1 to Dec 15 and sell it at high in before Dec 25</t>
  </si>
  <si>
    <t>Sep 1-Dec 20</t>
  </si>
  <si>
    <t>Balmer Lawrie</t>
  </si>
  <si>
    <t>ExDate</t>
  </si>
  <si>
    <t>RecordDate</t>
  </si>
  <si>
    <t>PrevDaySharePrice</t>
  </si>
  <si>
    <t>ExDateSharePrice</t>
  </si>
  <si>
    <t>RecordDateSharePrice</t>
  </si>
  <si>
    <t>CurrentSharePrice</t>
  </si>
  <si>
    <t>BonusRatio</t>
  </si>
  <si>
    <t>MktCap(cr)</t>
  </si>
  <si>
    <t>OutstandingShares(cr)</t>
  </si>
  <si>
    <t>PriceafterBonus</t>
  </si>
  <si>
    <t>OutstandingSharesafterBonus(cr)</t>
  </si>
  <si>
    <t>YearEnd</t>
  </si>
  <si>
    <t>Since All global markets already closed in red and fiscal related announcement is awaited , shares were traded in red inspite of Announcement of Finance Minister addressing Press at 3.00 PM</t>
  </si>
  <si>
    <t>Dec 29</t>
  </si>
  <si>
    <t>50 points down</t>
  </si>
  <si>
    <t>Corporate Action</t>
  </si>
  <si>
    <t>Disease spread</t>
  </si>
  <si>
    <t>Global Issue</t>
  </si>
  <si>
    <t>Corono virus in China</t>
  </si>
  <si>
    <t xml:space="preserve">Nifty became highly volatile till budget date of Feb1 </t>
  </si>
  <si>
    <t>if a company result is negative and announced after market hours i.e after 7.00 PM and on  the next dayd ,if the stock price keeps on increasing, it will definitely fall on the next day morning within 10 mins after market open.</t>
  </si>
  <si>
    <t>Nifty will be highly volatile till the range og-800 to +800. Sell all the shares before 1 week ahead of budget.</t>
  </si>
  <si>
    <t>Nifty highly volatile on Feb1 .Mostly downtrend favours</t>
  </si>
  <si>
    <t>Government</t>
  </si>
  <si>
    <t>Budget Day</t>
  </si>
  <si>
    <t>Coal India</t>
  </si>
  <si>
    <t>Action</t>
  </si>
  <si>
    <t>Start at</t>
  </si>
  <si>
    <t>end at</t>
  </si>
  <si>
    <t>Remarks</t>
  </si>
  <si>
    <t>9.19 AM</t>
  </si>
  <si>
    <t>10.45 AM</t>
  </si>
  <si>
    <t>short Sell</t>
  </si>
  <si>
    <t>Downfall atleast 2 Rs.</t>
  </si>
  <si>
    <t>Biocon</t>
  </si>
  <si>
    <t>7 days before</t>
  </si>
  <si>
    <t>Position Buy</t>
  </si>
  <si>
    <t>NA</t>
  </si>
  <si>
    <t>expect 5-7 Rs profit</t>
  </si>
  <si>
    <t>Federal Bank</t>
  </si>
  <si>
    <t>1.00 PM</t>
  </si>
  <si>
    <t>Enforcement Directorate issues summons to Promoters for non payment of Loans from Yes Bank</t>
  </si>
  <si>
    <t>Zee Entertainment,Jet airways and DHFL were locked in lower circuit</t>
  </si>
  <si>
    <t>Enforcement Directorate Action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</si>
</sst>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 x14ac:knownFonts="1">
    <font>
      <sz val="11"/>
      <color theme="1"/>
      <name val="Calibri"/>
      <family val="2"/>
      <scheme val="minor"/>
    </font>
    <font>
      <sz val="11"/>
      <color rgb="FFFF0000"/>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0" fillId="0" borderId="0" xfId="0" applyFill="1"/>
    <xf numFmtId="0" fontId="0" fillId="0" borderId="0" xfId="0" applyAlignment="1">
      <alignment wrapText="1"/>
    </xf>
    <xf numFmtId="0" fontId="1" fillId="0" borderId="0" xfId="0" applyFont="1"/>
    <xf numFmtId="164" fontId="0" fillId="0" borderId="0" xfId="0" applyNumberFormat="1"/>
    <xf numFmtId="164" fontId="0" fillId="0" borderId="0" xfId="0" applyNumberFormat="1" applyAlignment="1">
      <alignment wrapText="1"/>
    </xf>
    <xf numFmtId="49" fontId="0" fillId="0" borderId="0" xfId="0" applyNumberFormat="1"/>
    <xf numFmtId="49" fontId="0" fillId="0" borderId="0" xfId="0" applyNumberFormat="1" applyAlignment="1">
      <alignment wrapText="1"/>
    </xf>
    <xf numFmtId="9" fontId="0" fillId="0" borderId="0" xfId="1" applyFont="1"/>
    <xf numFmtId="0" fontId="1" fillId="0" borderId="0" xfId="0" applyFont="1" applyAlignment="1">
      <alignment wrapText="1"/>
    </xf>
    <xf numFmtId="14" fontId="0" fillId="0" borderId="0" xfId="0" applyNumberFormat="1"/>
    <xf numFmtId="2" fontId="0" fillId="0" borderId="0" xfId="0" applyNumberFormat="1"/>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topLeftCell="B1" workbookViewId="0">
      <selection activeCell="K8" sqref="K8"/>
    </sheetView>
  </sheetViews>
  <sheetFormatPr defaultRowHeight="15" x14ac:dyDescent="0.25"/>
  <cols>
    <col min="2" max="2" width="12.5703125" bestFit="1" customWidth="1"/>
    <col min="3" max="3" width="37.42578125" bestFit="1" customWidth="1"/>
  </cols>
  <sheetData>
    <row r="1" spans="1:3" x14ac:dyDescent="0.25">
      <c r="A1" t="s">
        <v>1</v>
      </c>
      <c r="B1" t="s">
        <v>6</v>
      </c>
      <c r="C1" t="s">
        <v>2</v>
      </c>
    </row>
    <row r="2" spans="1:3" x14ac:dyDescent="0.25">
      <c r="A2">
        <v>1</v>
      </c>
      <c r="B2" t="s">
        <v>7</v>
      </c>
      <c r="C2" t="s">
        <v>28</v>
      </c>
    </row>
    <row r="3" spans="1:3" x14ac:dyDescent="0.25">
      <c r="A3">
        <v>2</v>
      </c>
      <c r="B3" t="s">
        <v>7</v>
      </c>
      <c r="C3" s="1" t="s">
        <v>3</v>
      </c>
    </row>
    <row r="4" spans="1:3" x14ac:dyDescent="0.25">
      <c r="A4">
        <v>3</v>
      </c>
      <c r="B4" t="s">
        <v>7</v>
      </c>
      <c r="C4" s="1" t="s">
        <v>27</v>
      </c>
    </row>
    <row r="5" spans="1:3" x14ac:dyDescent="0.25">
      <c r="A5">
        <v>4</v>
      </c>
      <c r="B5" t="s">
        <v>7</v>
      </c>
      <c r="C5" t="s">
        <v>18</v>
      </c>
    </row>
    <row r="6" spans="1:3" x14ac:dyDescent="0.25">
      <c r="A6">
        <v>5</v>
      </c>
      <c r="B6" t="s">
        <v>7</v>
      </c>
      <c r="C6" t="s">
        <v>22</v>
      </c>
    </row>
    <row r="7" spans="1:3" x14ac:dyDescent="0.25">
      <c r="A7">
        <v>6</v>
      </c>
      <c r="B7" t="s">
        <v>7</v>
      </c>
      <c r="C7" t="s">
        <v>21</v>
      </c>
    </row>
    <row r="8" spans="1:3" x14ac:dyDescent="0.25">
      <c r="A8">
        <v>7</v>
      </c>
      <c r="B8" t="s">
        <v>11</v>
      </c>
      <c r="C8" t="s">
        <v>12</v>
      </c>
    </row>
    <row r="9" spans="1:3" x14ac:dyDescent="0.25">
      <c r="A9">
        <v>8</v>
      </c>
      <c r="B9" t="s">
        <v>11</v>
      </c>
      <c r="C9" t="s">
        <v>26</v>
      </c>
    </row>
    <row r="10" spans="1:3" x14ac:dyDescent="0.25">
      <c r="A10">
        <v>9</v>
      </c>
      <c r="B10" t="s">
        <v>11</v>
      </c>
      <c r="C10" t="s">
        <v>13</v>
      </c>
    </row>
    <row r="11" spans="1:3" x14ac:dyDescent="0.25">
      <c r="A11">
        <v>10</v>
      </c>
      <c r="B11" t="s">
        <v>14</v>
      </c>
      <c r="C11" t="s">
        <v>15</v>
      </c>
    </row>
    <row r="12" spans="1:3" x14ac:dyDescent="0.25">
      <c r="A12">
        <v>11</v>
      </c>
      <c r="B12" t="s">
        <v>14</v>
      </c>
      <c r="C12" t="s">
        <v>16</v>
      </c>
    </row>
    <row r="13" spans="1:3" x14ac:dyDescent="0.25">
      <c r="A13">
        <v>12</v>
      </c>
      <c r="B13" t="s">
        <v>14</v>
      </c>
      <c r="C13" t="s">
        <v>17</v>
      </c>
    </row>
    <row r="14" spans="1:3" x14ac:dyDescent="0.25">
      <c r="A14">
        <v>13</v>
      </c>
      <c r="B14" t="s">
        <v>23</v>
      </c>
      <c r="C14" t="s">
        <v>24</v>
      </c>
    </row>
    <row r="15" spans="1:3" x14ac:dyDescent="0.25">
      <c r="A15">
        <v>14</v>
      </c>
      <c r="B15" t="s">
        <v>23</v>
      </c>
      <c r="C15" t="s">
        <v>25</v>
      </c>
    </row>
    <row r="16" spans="1:3" x14ac:dyDescent="0.25">
      <c r="A16">
        <v>15</v>
      </c>
      <c r="B16" t="s">
        <v>8</v>
      </c>
      <c r="C16" t="s">
        <v>5</v>
      </c>
    </row>
    <row r="17" spans="1:3" x14ac:dyDescent="0.25">
      <c r="A17">
        <v>16</v>
      </c>
      <c r="B17" t="s">
        <v>8</v>
      </c>
      <c r="C17" t="s">
        <v>4</v>
      </c>
    </row>
    <row r="18" spans="1:3" x14ac:dyDescent="0.25">
      <c r="A18">
        <v>17</v>
      </c>
      <c r="B18" t="s">
        <v>8</v>
      </c>
      <c r="C18" t="s">
        <v>9</v>
      </c>
    </row>
    <row r="19" spans="1:3" x14ac:dyDescent="0.25">
      <c r="A19">
        <v>18</v>
      </c>
      <c r="B19" t="s">
        <v>8</v>
      </c>
      <c r="C19" t="s">
        <v>10</v>
      </c>
    </row>
    <row r="20" spans="1:3" x14ac:dyDescent="0.25">
      <c r="A20">
        <v>19</v>
      </c>
      <c r="B20" t="s">
        <v>8</v>
      </c>
      <c r="C20" t="s">
        <v>19</v>
      </c>
    </row>
    <row r="21" spans="1:3" x14ac:dyDescent="0.25">
      <c r="A21">
        <v>20</v>
      </c>
      <c r="B21" t="s">
        <v>8</v>
      </c>
      <c r="C2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selection activeCell="A2" sqref="A2"/>
    </sheetView>
  </sheetViews>
  <sheetFormatPr defaultRowHeight="15" x14ac:dyDescent="0.25"/>
  <cols>
    <col min="3" max="3" width="11" bestFit="1" customWidth="1"/>
    <col min="4" max="4" width="12.5703125" bestFit="1" customWidth="1"/>
    <col min="6" max="6" width="7.28515625" bestFit="1" customWidth="1"/>
    <col min="7" max="7" width="12.28515625" bestFit="1" customWidth="1"/>
    <col min="8" max="8" width="10.85546875" bestFit="1" customWidth="1"/>
    <col min="9" max="9" width="10.7109375" bestFit="1" customWidth="1"/>
    <col min="10" max="10" width="12.85546875" bestFit="1" customWidth="1"/>
    <col min="12" max="12" width="16.5703125" bestFit="1" customWidth="1"/>
  </cols>
  <sheetData>
    <row r="1" spans="1:12" x14ac:dyDescent="0.25">
      <c r="A1" t="s">
        <v>63</v>
      </c>
      <c r="B1" t="s">
        <v>37</v>
      </c>
      <c r="C1" t="s">
        <v>56</v>
      </c>
      <c r="D1" t="s">
        <v>57</v>
      </c>
      <c r="E1" t="s">
        <v>58</v>
      </c>
      <c r="F1" t="s">
        <v>59</v>
      </c>
      <c r="G1" t="s">
        <v>60</v>
      </c>
      <c r="H1" t="s">
        <v>61</v>
      </c>
      <c r="I1" t="s">
        <v>62</v>
      </c>
      <c r="J1" t="s">
        <v>66</v>
      </c>
      <c r="K1" t="s">
        <v>67</v>
      </c>
      <c r="L1" t="s">
        <v>68</v>
      </c>
    </row>
    <row r="2" spans="1:12" x14ac:dyDescent="0.25">
      <c r="A2" t="s">
        <v>64</v>
      </c>
      <c r="B2" t="s">
        <v>65</v>
      </c>
      <c r="C2">
        <v>95</v>
      </c>
      <c r="D2">
        <v>97</v>
      </c>
      <c r="E2">
        <v>4.5</v>
      </c>
      <c r="F2">
        <v>7000</v>
      </c>
      <c r="G2">
        <f>E2*F2</f>
        <v>31500</v>
      </c>
      <c r="H2">
        <f>C2*F2</f>
        <v>665000</v>
      </c>
      <c r="I2" s="8">
        <f>G2/H2</f>
        <v>4.736842105263158E-2</v>
      </c>
      <c r="J2">
        <f>F2*D2</f>
        <v>679000</v>
      </c>
      <c r="K2">
        <f>H2-J2</f>
        <v>-14000</v>
      </c>
      <c r="L2">
        <f>K2-G2</f>
        <v>-45500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abSelected="1" topLeftCell="A10" workbookViewId="0">
      <selection activeCell="A16" sqref="A16"/>
    </sheetView>
  </sheetViews>
  <sheetFormatPr defaultRowHeight="15" x14ac:dyDescent="0.25"/>
  <cols>
    <col min="2" max="2" width="51.28515625" customWidth="1"/>
    <col min="3" max="3" width="10.7109375" style="4" bestFit="1" customWidth="1"/>
    <col min="4" max="4" width="54" customWidth="1"/>
    <col min="5" max="5" width="12.28515625" style="6" bestFit="1" customWidth="1"/>
    <col min="6" max="6" width="48.5703125" bestFit="1" customWidth="1"/>
    <col min="7" max="7" width="16" bestFit="1" customWidth="1"/>
  </cols>
  <sheetData>
    <row r="1" spans="1:9" x14ac:dyDescent="0.25">
      <c r="A1" t="s">
        <v>31</v>
      </c>
      <c r="B1" t="s">
        <v>30</v>
      </c>
      <c r="C1" s="4" t="s">
        <v>0</v>
      </c>
      <c r="D1" t="s">
        <v>33</v>
      </c>
      <c r="E1" s="6" t="s">
        <v>35</v>
      </c>
      <c r="F1" t="s">
        <v>32</v>
      </c>
      <c r="G1" t="s">
        <v>37</v>
      </c>
      <c r="H1" t="s">
        <v>39</v>
      </c>
      <c r="I1" t="s">
        <v>29</v>
      </c>
    </row>
    <row r="2" spans="1:9" ht="90" x14ac:dyDescent="0.25">
      <c r="A2">
        <v>1</v>
      </c>
      <c r="B2" s="2" t="s">
        <v>36</v>
      </c>
      <c r="C2" s="5">
        <v>43455</v>
      </c>
      <c r="D2" s="2" t="s">
        <v>52</v>
      </c>
      <c r="E2" s="7" t="s">
        <v>34</v>
      </c>
      <c r="F2" s="3" t="s">
        <v>45</v>
      </c>
      <c r="G2" s="2" t="s">
        <v>38</v>
      </c>
      <c r="H2">
        <f>YEAR(C2)</f>
        <v>2018</v>
      </c>
      <c r="I2">
        <f>MONTH(C2)</f>
        <v>12</v>
      </c>
    </row>
    <row r="3" spans="1:9" ht="30" x14ac:dyDescent="0.25">
      <c r="A3">
        <v>2</v>
      </c>
      <c r="B3" t="s">
        <v>40</v>
      </c>
      <c r="C3" s="5">
        <v>43459</v>
      </c>
      <c r="D3" s="2" t="s">
        <v>44</v>
      </c>
      <c r="E3" s="6" t="s">
        <v>41</v>
      </c>
      <c r="F3" t="s">
        <v>42</v>
      </c>
      <c r="G3" t="s">
        <v>43</v>
      </c>
      <c r="H3">
        <f>YEAR(C3)</f>
        <v>2018</v>
      </c>
      <c r="I3">
        <f>MONTH(C3)</f>
        <v>12</v>
      </c>
    </row>
    <row r="4" spans="1:9" ht="60" x14ac:dyDescent="0.25">
      <c r="A4">
        <v>3</v>
      </c>
      <c r="B4" t="s">
        <v>96</v>
      </c>
      <c r="C4" s="5">
        <v>43825</v>
      </c>
      <c r="D4" s="2" t="s">
        <v>97</v>
      </c>
      <c r="E4" s="6" t="s">
        <v>98</v>
      </c>
      <c r="F4" s="3" t="s">
        <v>99</v>
      </c>
      <c r="G4" t="s">
        <v>43</v>
      </c>
      <c r="H4">
        <f>YEAR(C4)</f>
        <v>2019</v>
      </c>
      <c r="I4">
        <f>MONTH(C4)</f>
        <v>12</v>
      </c>
    </row>
    <row r="5" spans="1:9" ht="30" x14ac:dyDescent="0.25">
      <c r="A5">
        <v>4</v>
      </c>
      <c r="B5" t="s">
        <v>81</v>
      </c>
      <c r="C5" s="5">
        <v>43356</v>
      </c>
      <c r="D5" s="2" t="s">
        <v>82</v>
      </c>
      <c r="E5" s="6" t="s">
        <v>83</v>
      </c>
      <c r="G5" t="s">
        <v>43</v>
      </c>
      <c r="H5">
        <f>YEAR(C5)</f>
        <v>2018</v>
      </c>
      <c r="I5">
        <f>MONTH(C5)</f>
        <v>9</v>
      </c>
    </row>
    <row r="6" spans="1:9" ht="60" x14ac:dyDescent="0.25">
      <c r="A6">
        <v>3</v>
      </c>
      <c r="B6" t="s">
        <v>46</v>
      </c>
      <c r="C6" s="4">
        <v>2958101</v>
      </c>
      <c r="D6" s="2" t="s">
        <v>47</v>
      </c>
      <c r="E6" s="6" t="s">
        <v>48</v>
      </c>
      <c r="F6" t="s">
        <v>49</v>
      </c>
      <c r="G6" t="s">
        <v>50</v>
      </c>
      <c r="H6">
        <f>YEAR(C6)</f>
        <v>9999</v>
      </c>
      <c r="I6">
        <f>MONTH(C6)</f>
        <v>1</v>
      </c>
    </row>
    <row r="7" spans="1:9" ht="60" x14ac:dyDescent="0.25">
      <c r="B7" t="s">
        <v>46</v>
      </c>
      <c r="D7" s="2" t="s">
        <v>105</v>
      </c>
    </row>
    <row r="8" spans="1:9" x14ac:dyDescent="0.25">
      <c r="A8">
        <v>4</v>
      </c>
      <c r="B8" t="s">
        <v>53</v>
      </c>
      <c r="C8" s="4">
        <v>43467</v>
      </c>
      <c r="D8" s="2" t="s">
        <v>54</v>
      </c>
      <c r="F8" s="3" t="s">
        <v>55</v>
      </c>
      <c r="G8" t="s">
        <v>73</v>
      </c>
      <c r="H8">
        <f t="shared" ref="H8:H14" si="0">YEAR(C8)</f>
        <v>2019</v>
      </c>
      <c r="I8">
        <f t="shared" ref="I8:I14" si="1">MONTH(C8)</f>
        <v>1</v>
      </c>
    </row>
    <row r="9" spans="1:9" ht="30" x14ac:dyDescent="0.25">
      <c r="A9">
        <v>5</v>
      </c>
      <c r="B9" t="s">
        <v>69</v>
      </c>
      <c r="D9" s="2" t="s">
        <v>70</v>
      </c>
      <c r="E9" s="6" t="s">
        <v>48</v>
      </c>
      <c r="F9" s="3"/>
    </row>
    <row r="10" spans="1:9" ht="60" x14ac:dyDescent="0.25">
      <c r="A10">
        <v>6</v>
      </c>
      <c r="B10" t="s">
        <v>72</v>
      </c>
      <c r="C10" s="4">
        <v>43622</v>
      </c>
      <c r="D10" s="2" t="s">
        <v>71</v>
      </c>
      <c r="E10" s="6" t="s">
        <v>48</v>
      </c>
      <c r="F10" s="3"/>
      <c r="G10" t="s">
        <v>74</v>
      </c>
      <c r="H10">
        <f t="shared" si="0"/>
        <v>2019</v>
      </c>
      <c r="I10">
        <f t="shared" si="1"/>
        <v>6</v>
      </c>
    </row>
    <row r="11" spans="1:9" ht="45" x14ac:dyDescent="0.25">
      <c r="A11">
        <v>7</v>
      </c>
      <c r="B11" t="s">
        <v>76</v>
      </c>
      <c r="C11" s="4">
        <v>43628</v>
      </c>
      <c r="D11" s="2" t="s">
        <v>77</v>
      </c>
      <c r="E11" s="6" t="s">
        <v>48</v>
      </c>
      <c r="F11" s="9" t="s">
        <v>78</v>
      </c>
      <c r="G11" t="s">
        <v>76</v>
      </c>
      <c r="H11">
        <f t="shared" si="0"/>
        <v>2019</v>
      </c>
      <c r="I11">
        <f t="shared" si="1"/>
        <v>6</v>
      </c>
    </row>
    <row r="12" spans="1:9" ht="45" x14ac:dyDescent="0.25">
      <c r="A12">
        <v>8</v>
      </c>
      <c r="B12" t="s">
        <v>51</v>
      </c>
      <c r="D12" s="2" t="s">
        <v>75</v>
      </c>
      <c r="G12" t="s">
        <v>51</v>
      </c>
    </row>
    <row r="13" spans="1:9" ht="75" x14ac:dyDescent="0.25">
      <c r="A13">
        <v>9</v>
      </c>
      <c r="B13" t="s">
        <v>79</v>
      </c>
      <c r="D13" s="2" t="s">
        <v>80</v>
      </c>
      <c r="G13" t="s">
        <v>100</v>
      </c>
    </row>
    <row r="14" spans="1:9" x14ac:dyDescent="0.25">
      <c r="A14">
        <v>10</v>
      </c>
      <c r="B14" t="s">
        <v>101</v>
      </c>
      <c r="C14" s="4">
        <v>43845</v>
      </c>
      <c r="D14" t="s">
        <v>103</v>
      </c>
      <c r="E14" s="6" t="s">
        <v>48</v>
      </c>
      <c r="F14" t="s">
        <v>104</v>
      </c>
      <c r="G14" t="s">
        <v>102</v>
      </c>
      <c r="H14">
        <f t="shared" si="0"/>
        <v>2020</v>
      </c>
      <c r="I14">
        <f t="shared" si="1"/>
        <v>1</v>
      </c>
    </row>
    <row r="15" spans="1:9" ht="30" x14ac:dyDescent="0.25">
      <c r="A15">
        <v>11</v>
      </c>
      <c r="B15" t="s">
        <v>109</v>
      </c>
      <c r="C15" s="4">
        <v>43862</v>
      </c>
      <c r="D15" s="2" t="s">
        <v>106</v>
      </c>
      <c r="E15" s="6" t="s">
        <v>48</v>
      </c>
      <c r="F15" t="s">
        <v>107</v>
      </c>
      <c r="G15" t="s">
        <v>108</v>
      </c>
      <c r="H15">
        <f t="shared" ref="H15" si="2">YEAR(C15)</f>
        <v>2020</v>
      </c>
      <c r="I15">
        <f t="shared" ref="I15" si="3">MONTH(C15)</f>
        <v>2</v>
      </c>
    </row>
    <row r="16" spans="1:9" ht="30" x14ac:dyDescent="0.25">
      <c r="A16">
        <v>12</v>
      </c>
      <c r="B16" t="s">
        <v>128</v>
      </c>
      <c r="C16" s="4">
        <v>43907</v>
      </c>
      <c r="D16" s="2" t="s">
        <v>127</v>
      </c>
      <c r="E16" s="6" t="s">
        <v>48</v>
      </c>
      <c r="F16" s="2" t="s">
        <v>126</v>
      </c>
      <c r="G16" t="s">
        <v>108</v>
      </c>
      <c r="H16">
        <f t="shared" ref="H16" si="4">YEAR(C16)</f>
        <v>2020</v>
      </c>
      <c r="I16">
        <f t="shared" ref="I16" si="5">MONTH(C16)</f>
        <v>3</v>
      </c>
    </row>
  </sheetData>
  <autoFilter ref="A1:I8"/>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selection activeCell="D18" sqref="D18"/>
    </sheetView>
  </sheetViews>
  <sheetFormatPr defaultRowHeight="15" x14ac:dyDescent="0.25"/>
  <cols>
    <col min="1" max="1" width="13.7109375" bestFit="1" customWidth="1"/>
    <col min="2" max="2" width="10.7109375" bestFit="1" customWidth="1"/>
    <col min="3" max="3" width="11.28515625" bestFit="1" customWidth="1"/>
    <col min="4" max="4" width="10.7109375" bestFit="1" customWidth="1"/>
    <col min="5" max="5" width="17.42578125" bestFit="1" customWidth="1"/>
    <col min="6" max="6" width="11" bestFit="1" customWidth="1"/>
    <col min="7" max="7" width="21" style="11" bestFit="1" customWidth="1"/>
    <col min="8" max="8" width="15.28515625" style="11" bestFit="1" customWidth="1"/>
    <col min="9" max="9" width="31.140625" style="11" bestFit="1" customWidth="1"/>
    <col min="10" max="10" width="18" bestFit="1" customWidth="1"/>
    <col min="11" max="11" width="16.7109375" bestFit="1" customWidth="1"/>
    <col min="12" max="12" width="21" bestFit="1" customWidth="1"/>
  </cols>
  <sheetData>
    <row r="1" spans="1:12" x14ac:dyDescent="0.25">
      <c r="A1" t="s">
        <v>63</v>
      </c>
      <c r="B1" t="s">
        <v>85</v>
      </c>
      <c r="C1" t="s">
        <v>86</v>
      </c>
      <c r="D1" t="s">
        <v>92</v>
      </c>
      <c r="E1" t="s">
        <v>90</v>
      </c>
      <c r="F1" t="s">
        <v>91</v>
      </c>
      <c r="G1" s="11" t="s">
        <v>93</v>
      </c>
      <c r="H1" s="11" t="s">
        <v>94</v>
      </c>
      <c r="I1" s="11" t="s">
        <v>95</v>
      </c>
      <c r="J1" t="s">
        <v>87</v>
      </c>
      <c r="K1" t="s">
        <v>88</v>
      </c>
      <c r="L1" t="s">
        <v>89</v>
      </c>
    </row>
    <row r="2" spans="1:12" x14ac:dyDescent="0.25">
      <c r="A2" t="s">
        <v>84</v>
      </c>
      <c r="B2" s="10">
        <v>43825</v>
      </c>
      <c r="C2" s="10">
        <v>43827</v>
      </c>
      <c r="D2">
        <v>2199</v>
      </c>
      <c r="E2">
        <v>193</v>
      </c>
      <c r="F2">
        <v>2</v>
      </c>
      <c r="G2" s="11">
        <f>D2/E2</f>
        <v>11.393782383419689</v>
      </c>
      <c r="H2" s="11">
        <f>E2*(F2/(F2+1))</f>
        <v>128.66666666666666</v>
      </c>
      <c r="I2" s="11">
        <f>D2/H2</f>
        <v>17.090673575129536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activeCell="F4" sqref="F4"/>
    </sheetView>
  </sheetViews>
  <sheetFormatPr defaultRowHeight="15" x14ac:dyDescent="0.25"/>
  <cols>
    <col min="2" max="2" width="12.42578125" bestFit="1" customWidth="1"/>
    <col min="4" max="4" width="12" bestFit="1" customWidth="1"/>
    <col min="6" max="6" width="20.140625" bestFit="1" customWidth="1"/>
  </cols>
  <sheetData>
    <row r="1" spans="1:6" x14ac:dyDescent="0.25">
      <c r="A1" t="s">
        <v>31</v>
      </c>
      <c r="B1" t="s">
        <v>63</v>
      </c>
      <c r="C1" t="s">
        <v>112</v>
      </c>
      <c r="D1" t="s">
        <v>111</v>
      </c>
      <c r="E1" t="s">
        <v>113</v>
      </c>
      <c r="F1" t="s">
        <v>114</v>
      </c>
    </row>
    <row r="2" spans="1:6" x14ac:dyDescent="0.25">
      <c r="A2">
        <v>1</v>
      </c>
      <c r="B2" t="s">
        <v>110</v>
      </c>
      <c r="C2" t="s">
        <v>115</v>
      </c>
      <c r="D2" t="s">
        <v>117</v>
      </c>
      <c r="E2" t="s">
        <v>116</v>
      </c>
      <c r="F2" t="s">
        <v>118</v>
      </c>
    </row>
    <row r="3" spans="1:6" x14ac:dyDescent="0.25">
      <c r="A3">
        <v>2</v>
      </c>
      <c r="B3" t="s">
        <v>119</v>
      </c>
      <c r="C3" t="s">
        <v>120</v>
      </c>
      <c r="D3" t="s">
        <v>121</v>
      </c>
      <c r="E3" t="s">
        <v>122</v>
      </c>
      <c r="F3" t="s">
        <v>123</v>
      </c>
    </row>
    <row r="4" spans="1:6" x14ac:dyDescent="0.25">
      <c r="A4">
        <v>3</v>
      </c>
      <c r="B4" t="s">
        <v>124</v>
      </c>
      <c r="C4">
        <v>9.15</v>
      </c>
      <c r="D4" t="s">
        <v>117</v>
      </c>
      <c r="E4"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Sheet5</vt:lpstr>
      <vt:lpstr>Options</vt:lpstr>
      <vt:lpstr>Observations</vt:lpstr>
      <vt:lpstr>Bonus</vt:lpstr>
      <vt:lpstr>StockSpecific</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2020-03-17T08:51:55Z</dcterms:modified>
</cp:coreProperties>
</file>