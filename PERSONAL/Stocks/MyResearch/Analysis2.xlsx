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Vasanth Backup Files from Desktop\Vasanth Desktop Items\Vasanth\Stk2\Options\"/>
    </mc:Choice>
  </mc:AlternateContent>
  <xr:revisionPtr revIDLastSave="0" documentId="13_ncr:1_{4268F74A-8725-4327-B021-4600D3E3D73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Upcoming News" sheetId="1" r:id="rId1"/>
    <sheet name="Insights" sheetId="2" r:id="rId2"/>
    <sheet name="Strategy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O23" i="3"/>
  <c r="O27" i="3" s="1"/>
  <c r="O24" i="3"/>
  <c r="O26" i="3"/>
  <c r="N26" i="3"/>
  <c r="N24" i="3"/>
  <c r="N23" i="3"/>
  <c r="N25" i="3" s="1"/>
  <c r="M26" i="3"/>
  <c r="M24" i="3"/>
  <c r="M23" i="3"/>
  <c r="M27" i="3" s="1"/>
  <c r="L26" i="3"/>
  <c r="L24" i="3"/>
  <c r="L23" i="3"/>
  <c r="L27" i="3" s="1"/>
  <c r="L15" i="3"/>
  <c r="L14" i="3"/>
  <c r="K26" i="3"/>
  <c r="K24" i="3"/>
  <c r="K23" i="3"/>
  <c r="K27" i="3" s="1"/>
  <c r="I19" i="3"/>
  <c r="J19" i="3"/>
  <c r="K19" i="3"/>
  <c r="G50" i="3"/>
  <c r="G49" i="3"/>
  <c r="G48" i="3"/>
  <c r="G47" i="3"/>
  <c r="G46" i="3"/>
  <c r="G45" i="3"/>
  <c r="G44" i="3"/>
  <c r="G43" i="3"/>
  <c r="C36" i="3"/>
  <c r="E33" i="3"/>
  <c r="E34" i="3"/>
  <c r="E35" i="3"/>
  <c r="E32" i="3"/>
  <c r="G42" i="3"/>
  <c r="J23" i="3"/>
  <c r="J27" i="3" s="1"/>
  <c r="J24" i="3"/>
  <c r="J26" i="3"/>
  <c r="J14" i="3"/>
  <c r="J15" i="3" s="1"/>
  <c r="I23" i="3"/>
  <c r="I24" i="3"/>
  <c r="I14" i="3"/>
  <c r="I15" i="3" s="1"/>
  <c r="C14" i="3"/>
  <c r="C15" i="3" s="1"/>
  <c r="D14" i="3"/>
  <c r="D15" i="3" s="1"/>
  <c r="E14" i="3"/>
  <c r="E15" i="3" s="1"/>
  <c r="F14" i="3"/>
  <c r="F15" i="3" s="1"/>
  <c r="G14" i="3"/>
  <c r="G15" i="3" s="1"/>
  <c r="H14" i="3"/>
  <c r="H15" i="3" s="1"/>
  <c r="H19" i="3"/>
  <c r="H26" i="3"/>
  <c r="H24" i="3"/>
  <c r="H23" i="3"/>
  <c r="H25" i="3" s="1"/>
  <c r="D26" i="3"/>
  <c r="E26" i="3"/>
  <c r="F26" i="3"/>
  <c r="G26" i="3"/>
  <c r="C26" i="3"/>
  <c r="D23" i="3"/>
  <c r="D27" i="3" s="1"/>
  <c r="G23" i="3"/>
  <c r="G24" i="3"/>
  <c r="F24" i="3"/>
  <c r="E23" i="3"/>
  <c r="E27" i="3" s="1"/>
  <c r="F23" i="3"/>
  <c r="F27" i="3" s="1"/>
  <c r="F19" i="3"/>
  <c r="E24" i="3"/>
  <c r="E19" i="3"/>
  <c r="C24" i="3"/>
  <c r="D24" i="3"/>
  <c r="D19" i="3"/>
  <c r="O25" i="3" l="1"/>
  <c r="F25" i="3"/>
  <c r="G25" i="3"/>
  <c r="I25" i="3"/>
  <c r="J25" i="3"/>
  <c r="N27" i="3"/>
  <c r="M25" i="3"/>
  <c r="L25" i="3"/>
  <c r="K25" i="3"/>
  <c r="E36" i="3"/>
  <c r="D36" i="3" s="1"/>
  <c r="E41" i="3" s="1"/>
  <c r="F49" i="3" s="1"/>
  <c r="H43" i="3"/>
  <c r="I26" i="3"/>
  <c r="I27" i="3"/>
  <c r="H27" i="3"/>
  <c r="G27" i="3"/>
  <c r="A24" i="3"/>
  <c r="E25" i="3"/>
  <c r="A22" i="3"/>
  <c r="A21" i="3"/>
  <c r="C19" i="3"/>
  <c r="C23" i="3"/>
  <c r="C27" i="3" s="1"/>
  <c r="C25" i="3" l="1"/>
  <c r="H42" i="3"/>
  <c r="H41" i="3"/>
  <c r="F45" i="3"/>
  <c r="F48" i="3"/>
  <c r="F42" i="3"/>
  <c r="I42" i="3" s="1"/>
  <c r="F47" i="3"/>
  <c r="F50" i="3"/>
  <c r="F46" i="3"/>
  <c r="F41" i="3"/>
  <c r="F44" i="3"/>
  <c r="F43" i="3"/>
  <c r="I43" i="3" s="1"/>
  <c r="H44" i="3"/>
  <c r="D25" i="3"/>
  <c r="O14" i="3"/>
  <c r="P14" i="3"/>
  <c r="K14" i="3"/>
  <c r="K15" i="3" s="1"/>
  <c r="M14" i="3"/>
  <c r="M15" i="3" s="1"/>
  <c r="N14" i="3"/>
  <c r="N15" i="3" s="1"/>
  <c r="A25" i="3" l="1"/>
  <c r="I41" i="3"/>
  <c r="I44" i="3"/>
  <c r="H45" i="3"/>
  <c r="I45" i="3" s="1"/>
  <c r="A23" i="3"/>
  <c r="H46" i="3" l="1"/>
  <c r="I46" i="3" s="1"/>
  <c r="H47" i="3" l="1"/>
  <c r="I47" i="3" s="1"/>
  <c r="H48" i="3" l="1"/>
  <c r="I48" i="3" s="1"/>
  <c r="H49" i="3" l="1"/>
  <c r="I49" i="3" s="1"/>
  <c r="H50" i="3" l="1"/>
  <c r="I50" i="3" s="1"/>
</calcChain>
</file>

<file path=xl/sharedStrings.xml><?xml version="1.0" encoding="utf-8"?>
<sst xmlns="http://schemas.openxmlformats.org/spreadsheetml/2006/main" count="168" uniqueCount="92">
  <si>
    <t>Date</t>
  </si>
  <si>
    <t>MACD</t>
  </si>
  <si>
    <t>Technical Indicator</t>
  </si>
  <si>
    <t>Bollinger Bands</t>
  </si>
  <si>
    <t>Fibonacci Retracement</t>
  </si>
  <si>
    <t>RSI</t>
  </si>
  <si>
    <t>VIX</t>
  </si>
  <si>
    <t>Domestic Indicator</t>
  </si>
  <si>
    <t>RBI</t>
  </si>
  <si>
    <t>Statistics</t>
  </si>
  <si>
    <t>Politics</t>
  </si>
  <si>
    <t>Global Indicator</t>
  </si>
  <si>
    <t>Oil</t>
  </si>
  <si>
    <t>Fed</t>
  </si>
  <si>
    <t>Remarks</t>
  </si>
  <si>
    <t>outlook</t>
  </si>
  <si>
    <t>TradeType</t>
  </si>
  <si>
    <t>Estimation</t>
  </si>
  <si>
    <t>Holiday</t>
  </si>
  <si>
    <t>Rangebound</t>
  </si>
  <si>
    <t>25 bps possible in upcoming meet on 17 and 18 Dec 2024 as CPI rises</t>
  </si>
  <si>
    <t>Gradual Fall</t>
  </si>
  <si>
    <t>Sharp Rise to 200 pts favouring Fed Rate Cut of 25 bps</t>
  </si>
  <si>
    <t>RateCut Decision</t>
  </si>
  <si>
    <t>Forecast and Policy Update</t>
  </si>
  <si>
    <t>Sharp fall to -350 pts as Fed announced only 2 further rate cuts against earlier announcement of 4 possible rate cuts which affected  adversely market sentiment</t>
  </si>
  <si>
    <t>Slno</t>
  </si>
  <si>
    <t>Observation</t>
  </si>
  <si>
    <t>Don’t Trade on Feb and March. Market will be highly volatile and MAD. OI Trend , Price Volume ananlysis wont work out</t>
  </si>
  <si>
    <t>If market is in rangebound, definite breakout on any side is guaranteed, specifically on market watch days like budget day, election result day</t>
  </si>
  <si>
    <t>Stop Loss is Mandatory for every Trade. Previous candle downside should be the stop loss</t>
  </si>
  <si>
    <t>A Trade should not exceed 15 to 20 Mins. If so it is considered as Bad trade</t>
  </si>
  <si>
    <t>OI Should be considered before initiating Trade.</t>
  </si>
  <si>
    <t>All Indicators should be followed before initiating Trade.</t>
  </si>
  <si>
    <t>If MACD is Negative, Buy after 4th or 5th Light Red Candle only . Else wait</t>
  </si>
  <si>
    <t>If MACD is Positive, Buy only at first or Second Dark Green Candle only . Else Leave the trade.
if candle becomes Light Green, exit the trade</t>
  </si>
  <si>
    <t>Daytype</t>
  </si>
  <si>
    <t>Normal/Expiry/Critical</t>
  </si>
  <si>
    <t>YES/NO</t>
  </si>
  <si>
    <t>Triangle Pattern</t>
  </si>
  <si>
    <t>Normal</t>
  </si>
  <si>
    <t>Expiry</t>
  </si>
  <si>
    <t>Critical</t>
  </si>
  <si>
    <t>Column1</t>
  </si>
  <si>
    <t>OI Favourable</t>
  </si>
  <si>
    <t>SL: Prev Candle bottom</t>
  </si>
  <si>
    <t>Indicators Favourable</t>
  </si>
  <si>
    <t>YES</t>
  </si>
  <si>
    <t>NO</t>
  </si>
  <si>
    <t>Checklist</t>
  </si>
  <si>
    <t>Values</t>
  </si>
  <si>
    <t>Hurry Buy</t>
  </si>
  <si>
    <t>Pulse</t>
  </si>
  <si>
    <t>Fear</t>
  </si>
  <si>
    <t>Careless</t>
  </si>
  <si>
    <t>Greed</t>
  </si>
  <si>
    <t>15 Mins Period</t>
  </si>
  <si>
    <t>Horizontal</t>
  </si>
  <si>
    <t>Vertical</t>
  </si>
  <si>
    <t>Fooling</t>
  </si>
  <si>
    <t>Spinning</t>
  </si>
  <si>
    <t>Volatile</t>
  </si>
  <si>
    <t>Normal/Rangebound/Volatile</t>
  </si>
  <si>
    <t>Normal/Fear/Careless/Greed</t>
  </si>
  <si>
    <t>Horizontal/Vertical/Fooling/Spinning</t>
  </si>
  <si>
    <t>Reversal Bulk Buy</t>
  </si>
  <si>
    <t>Estimated P/L</t>
  </si>
  <si>
    <t>Actual P/L</t>
  </si>
  <si>
    <t>CD Pattern</t>
  </si>
  <si>
    <t>Brokerage</t>
  </si>
  <si>
    <t>Trade Quality</t>
  </si>
  <si>
    <t>Trade Level</t>
  </si>
  <si>
    <t>Total Lots</t>
  </si>
  <si>
    <t>Tax</t>
  </si>
  <si>
    <t>Commission</t>
  </si>
  <si>
    <t>Bought below 100</t>
  </si>
  <si>
    <t>Situation Based Trade</t>
  </si>
  <si>
    <r>
      <rPr>
        <b/>
        <sz val="11"/>
        <color theme="1"/>
        <rFont val="Calibri"/>
        <family val="2"/>
        <scheme val="minor"/>
      </rPr>
      <t xml:space="preserve">NatGas Commodity </t>
    </r>
    <r>
      <rPr>
        <sz val="11"/>
        <color theme="1"/>
        <rFont val="Calibri"/>
        <family val="2"/>
        <scheme val="minor"/>
      </rPr>
      <t>: It is traded based on Climate Condition. On Cold Climate, Natgas Price Increases i.e  from Nov to Feb then Warmer climate Starts and Sudden fall in Price is expected.</t>
    </r>
  </si>
  <si>
    <t>Don’t Trade on Expiry Day, price movement will drag downwards only. Lack of strength for upmove. Nifty will mostly in Rangebound causing the Options to Decay</t>
  </si>
  <si>
    <t>If Sensitive News is known earlier, then there will be No impact or Opposite Impact on the News Execution Day. For Eg: Trump Announced Reciprocal Tariff to be executed on all countries on Apr 2 2025, but Market increased by 150 Points on Apr 2 instead of drastic Fall. but on the previous day i.e. Apr 1, Market falls around -250 Points. with this expectation if put is bought on Apr 2, then there will be a huge Loss</t>
  </si>
  <si>
    <t>StopLoss Calculation</t>
  </si>
  <si>
    <t>Lots</t>
  </si>
  <si>
    <t>Price</t>
  </si>
  <si>
    <t>Percent</t>
  </si>
  <si>
    <t>SL Value</t>
  </si>
  <si>
    <t>BuyValue</t>
  </si>
  <si>
    <t>Lot Qty</t>
  </si>
  <si>
    <t>Avg Price</t>
  </si>
  <si>
    <t>Avg Price Calculation</t>
  </si>
  <si>
    <t>Value</t>
  </si>
  <si>
    <t>Loss Value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</si>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</sst>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5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2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2" fontId="0" fillId="6" borderId="0" xfId="0" applyNumberFormat="1" applyFill="1"/>
    <xf numFmtId="2" fontId="1" fillId="6" borderId="0" xfId="0" applyNumberFormat="1" applyFont="1" applyFill="1"/>
    <xf numFmtId="2" fontId="1" fillId="4" borderId="0" xfId="0" applyNumberFormat="1" applyFont="1" applyFill="1"/>
    <xf numFmtId="0" fontId="0" fillId="7" borderId="1" xfId="0" applyFill="1" applyBorder="1"/>
    <xf numFmtId="0" fontId="2" fillId="0" borderId="1" xfId="0" applyFont="1" applyBorder="1"/>
    <xf numFmtId="9" fontId="0" fillId="0" borderId="0" xfId="1" applyFont="1"/>
    <xf numFmtId="0" fontId="1" fillId="3" borderId="1" xfId="0" applyFont="1" applyFill="1" applyBorder="1"/>
    <xf numFmtId="0" fontId="1" fillId="4" borderId="1" xfId="0" applyFont="1" applyFill="1" applyBorder="1"/>
    <xf numFmtId="0" fontId="4" fillId="0" borderId="1" xfId="0" applyFont="1" applyBorder="1"/>
    <xf numFmtId="2" fontId="0" fillId="0" borderId="1" xfId="1" applyNumberFormat="1" applyFont="1" applyBorder="1"/>
    <xf numFmtId="2" fontId="0" fillId="0" borderId="1" xfId="0" applyNumberFormat="1" applyBorder="1"/>
    <xf numFmtId="0" fontId="1" fillId="0" borderId="0" xfId="0" applyFont="1"/>
    <xf numFmtId="2" fontId="1" fillId="2" borderId="1" xfId="0" applyNumberFormat="1" applyFont="1" applyFill="1" applyBorder="1"/>
    <xf numFmtId="1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0170E-01EE-4D35-B8FD-58733F38E4A9}" name="Table1" displayName="Table1" ref="A1:A4" totalsRowShown="0">
  <autoFilter ref="A1:A4" xr:uid="{ADB0170E-01EE-4D35-B8FD-58733F38E4A9}"/>
  <tableColumns count="1">
    <tableColumn id="1" xr3:uid="{584F2D93-7E95-4AC7-AA98-05A4B6A6EDD7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0FDB6-163C-4CE5-94D8-A564CBAC9355}" name="Table2" displayName="Table2" ref="C1:C3" totalsRowShown="0">
  <autoFilter ref="C1:C3" xr:uid="{B7E0FDB6-163C-4CE5-94D8-A564CBAC9355}"/>
  <tableColumns count="1">
    <tableColumn id="1" xr3:uid="{C32E0BB6-601D-462F-9636-4F86F173096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6FFBF4-DFD8-41FB-A3E5-97C314BB49EB}" name="Table3" displayName="Table3" ref="E1:E5" totalsRowShown="0">
  <autoFilter ref="E1:E5" xr:uid="{D06FFBF4-DFD8-41FB-A3E5-97C314BB49EB}"/>
  <tableColumns count="1">
    <tableColumn id="1" xr3:uid="{8505FF16-932D-4548-B1C6-F592FAFB12B8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281ADF-E846-4DA2-8F3D-3C7DD133A415}" name="Table4" displayName="Table4" ref="G1:G5" totalsRowShown="0">
  <autoFilter ref="G1:G5" xr:uid="{36281ADF-E846-4DA2-8F3D-3C7DD133A415}"/>
  <tableColumns count="1">
    <tableColumn id="1" xr3:uid="{A5763889-07AE-4753-9D85-1AB4B3E98690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4B98F9-F3EB-4CF0-8EAA-1DDC6E6367D1}" name="Table5" displayName="Table5" ref="I1:I4" totalsRowShown="0">
  <autoFilter ref="I1:I4" xr:uid="{194B98F9-F3EB-4CF0-8EAA-1DDC6E6367D1}"/>
  <tableColumns count="1">
    <tableColumn id="1" xr3:uid="{844F74BF-BFC0-44C8-B5C0-D63F596D4B9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A4" sqref="A4"/>
    </sheetView>
  </sheetViews>
  <sheetFormatPr defaultRowHeight="15" x14ac:dyDescent="0.25"/>
  <cols>
    <col min="1" max="1" width="9.7109375" bestFit="1" customWidth="1"/>
    <col min="2" max="2" width="12.140625" bestFit="1" customWidth="1"/>
    <col min="12" max="12" width="22.85546875" customWidth="1"/>
    <col min="13" max="13" width="25.140625" bestFit="1" customWidth="1"/>
    <col min="16" max="16" width="12.140625" bestFit="1" customWidth="1"/>
    <col min="17" max="17" width="25.28515625" customWidth="1"/>
    <col min="18" max="18" width="27.42578125" customWidth="1"/>
  </cols>
  <sheetData>
    <row r="1" spans="1:18" x14ac:dyDescent="0.25">
      <c r="A1" s="1"/>
      <c r="B1" s="1" t="s">
        <v>15</v>
      </c>
      <c r="C1" s="33" t="s">
        <v>2</v>
      </c>
      <c r="D1" s="33"/>
      <c r="E1" s="33"/>
      <c r="F1" s="33"/>
      <c r="G1" s="33"/>
      <c r="H1" s="33" t="s">
        <v>7</v>
      </c>
      <c r="I1" s="33"/>
      <c r="J1" s="33"/>
      <c r="K1" s="33"/>
      <c r="L1" s="33" t="s">
        <v>11</v>
      </c>
      <c r="M1" s="33"/>
      <c r="N1" s="33"/>
      <c r="O1" s="33"/>
      <c r="P1" s="2" t="s">
        <v>16</v>
      </c>
      <c r="Q1" s="2" t="s">
        <v>17</v>
      </c>
      <c r="R1" s="1" t="s">
        <v>14</v>
      </c>
    </row>
    <row r="2" spans="1:18" x14ac:dyDescent="0.25">
      <c r="A2" s="1" t="s">
        <v>0</v>
      </c>
      <c r="B2" s="1"/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18</v>
      </c>
      <c r="L2" s="34" t="s">
        <v>13</v>
      </c>
      <c r="M2" s="35"/>
      <c r="N2" s="1" t="s">
        <v>12</v>
      </c>
      <c r="O2" s="1" t="s">
        <v>10</v>
      </c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23</v>
      </c>
      <c r="M3" s="1" t="s">
        <v>24</v>
      </c>
      <c r="N3" s="1"/>
      <c r="O3" s="1"/>
      <c r="P3" s="1"/>
      <c r="Q3" s="1"/>
      <c r="R3" s="1"/>
    </row>
    <row r="4" spans="1:18" s="3" customFormat="1" ht="60" x14ac:dyDescent="0.25">
      <c r="A4" s="4">
        <v>45638</v>
      </c>
      <c r="B4" s="5" t="s">
        <v>19</v>
      </c>
      <c r="C4" s="5"/>
      <c r="D4" s="5"/>
      <c r="E4" s="5"/>
      <c r="F4" s="5"/>
      <c r="G4" s="5"/>
      <c r="H4" s="5"/>
      <c r="I4" s="5"/>
      <c r="J4" s="5"/>
      <c r="K4" s="5"/>
      <c r="L4" s="6" t="s">
        <v>20</v>
      </c>
      <c r="M4" s="6"/>
      <c r="N4" s="5"/>
      <c r="O4" s="5"/>
      <c r="P4" s="5" t="s">
        <v>19</v>
      </c>
      <c r="Q4" s="5"/>
      <c r="R4" s="5"/>
    </row>
    <row r="5" spans="1:18" x14ac:dyDescent="0.25">
      <c r="A5" s="7">
        <v>45644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21</v>
      </c>
      <c r="Q5" s="1"/>
      <c r="R5" s="1"/>
    </row>
    <row r="6" spans="1:18" s="3" customFormat="1" ht="90" x14ac:dyDescent="0.25">
      <c r="A6" s="4">
        <v>45645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 t="s">
        <v>22</v>
      </c>
      <c r="R6" s="8" t="s">
        <v>25</v>
      </c>
    </row>
  </sheetData>
  <mergeCells count="4">
    <mergeCell ref="C1:G1"/>
    <mergeCell ref="L1:O1"/>
    <mergeCell ref="H1:K1"/>
    <mergeCell ref="L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95-22F6-48FD-AE6E-1BC339CEDF0C}">
  <dimension ref="A1:B12"/>
  <sheetViews>
    <sheetView workbookViewId="0">
      <selection activeCell="A13" sqref="A13"/>
    </sheetView>
  </sheetViews>
  <sheetFormatPr defaultRowHeight="15" x14ac:dyDescent="0.25"/>
  <cols>
    <col min="2" max="2" width="147.57031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ht="30" x14ac:dyDescent="0.25">
      <c r="A8">
        <v>7</v>
      </c>
      <c r="B8" s="9" t="s">
        <v>35</v>
      </c>
    </row>
    <row r="9" spans="1:2" x14ac:dyDescent="0.25">
      <c r="A9">
        <v>8</v>
      </c>
      <c r="B9" t="s">
        <v>34</v>
      </c>
    </row>
    <row r="10" spans="1:2" x14ac:dyDescent="0.25">
      <c r="A10">
        <v>9</v>
      </c>
      <c r="B10" t="s">
        <v>78</v>
      </c>
    </row>
    <row r="11" spans="1:2" ht="30" x14ac:dyDescent="0.25">
      <c r="A11">
        <v>10</v>
      </c>
      <c r="B11" s="9" t="s">
        <v>77</v>
      </c>
    </row>
    <row r="12" spans="1:2" ht="45" x14ac:dyDescent="0.25">
      <c r="A12">
        <v>11</v>
      </c>
      <c r="B12" s="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AFB2-D62E-4434-A747-7DCD21994197}">
  <dimension ref="A1:P50"/>
  <sheetViews>
    <sheetView tabSelected="1" topLeftCell="A13" zoomScaleNormal="100" workbookViewId="0">
      <selection activeCell="G19" sqref="G19"/>
    </sheetView>
  </sheetViews>
  <sheetFormatPr defaultRowHeight="15" x14ac:dyDescent="0.25"/>
  <cols>
    <col min="1" max="1" width="21.85546875" bestFit="1" customWidth="1"/>
    <col min="2" max="2" width="34.7109375" bestFit="1" customWidth="1"/>
    <col min="3" max="4" width="12.140625" bestFit="1" customWidth="1"/>
    <col min="5" max="5" width="9.7109375" bestFit="1" customWidth="1"/>
    <col min="6" max="6" width="12.140625" bestFit="1" customWidth="1"/>
    <col min="7" max="10" width="9.7109375" bestFit="1" customWidth="1"/>
    <col min="11" max="13" width="12.140625" bestFit="1" customWidth="1"/>
    <col min="14" max="16" width="9.85546875" bestFit="1" customWidth="1"/>
  </cols>
  <sheetData>
    <row r="1" spans="1:16" x14ac:dyDescent="0.25">
      <c r="A1" s="1" t="s">
        <v>49</v>
      </c>
      <c r="B1" s="1" t="s">
        <v>50</v>
      </c>
      <c r="C1" s="7">
        <v>45779</v>
      </c>
      <c r="D1" s="7">
        <v>45782</v>
      </c>
      <c r="E1" s="7">
        <v>45784</v>
      </c>
      <c r="F1" s="32">
        <v>45785</v>
      </c>
      <c r="G1" s="32">
        <v>45786</v>
      </c>
      <c r="H1" s="7"/>
      <c r="I1" s="7"/>
      <c r="J1" s="7"/>
      <c r="K1" s="31"/>
      <c r="L1" s="31"/>
      <c r="M1" s="31"/>
      <c r="N1" s="31"/>
      <c r="O1" s="7"/>
      <c r="P1" s="7"/>
    </row>
    <row r="2" spans="1:16" x14ac:dyDescent="0.25">
      <c r="A2" s="11" t="s">
        <v>36</v>
      </c>
      <c r="B2" s="1" t="s">
        <v>37</v>
      </c>
      <c r="C2" s="1" t="s">
        <v>40</v>
      </c>
      <c r="D2" s="1" t="s">
        <v>40</v>
      </c>
      <c r="E2" s="1" t="s">
        <v>40</v>
      </c>
      <c r="F2" s="26" t="s">
        <v>41</v>
      </c>
      <c r="G2" s="1" t="s">
        <v>42</v>
      </c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1" t="s">
        <v>44</v>
      </c>
      <c r="B3" s="1" t="s">
        <v>62</v>
      </c>
      <c r="C3" s="1" t="s">
        <v>40</v>
      </c>
      <c r="D3" s="1" t="s">
        <v>40</v>
      </c>
      <c r="E3" s="1" t="s">
        <v>40</v>
      </c>
      <c r="F3" s="26" t="s">
        <v>19</v>
      </c>
      <c r="G3" s="1" t="s">
        <v>40</v>
      </c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1" t="s">
        <v>46</v>
      </c>
      <c r="B4" s="1" t="s">
        <v>38</v>
      </c>
      <c r="C4" s="1" t="s">
        <v>47</v>
      </c>
      <c r="D4" s="1" t="s">
        <v>47</v>
      </c>
      <c r="E4" s="1" t="s">
        <v>47</v>
      </c>
      <c r="F4" s="1" t="s">
        <v>48</v>
      </c>
      <c r="G4" s="1" t="s">
        <v>47</v>
      </c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2" t="s">
        <v>68</v>
      </c>
      <c r="B5" s="1" t="s">
        <v>64</v>
      </c>
      <c r="C5" s="1" t="s">
        <v>58</v>
      </c>
      <c r="D5" s="1" t="s">
        <v>58</v>
      </c>
      <c r="E5" s="1" t="s">
        <v>59</v>
      </c>
      <c r="F5" s="1" t="s">
        <v>57</v>
      </c>
      <c r="G5" s="1" t="s">
        <v>58</v>
      </c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2" t="s">
        <v>39</v>
      </c>
      <c r="B6" s="1" t="s">
        <v>38</v>
      </c>
      <c r="C6" s="1" t="s">
        <v>48</v>
      </c>
      <c r="D6" s="1" t="s">
        <v>48</v>
      </c>
      <c r="E6" s="1" t="s">
        <v>47</v>
      </c>
      <c r="F6" s="1" t="s">
        <v>47</v>
      </c>
      <c r="G6" s="1" t="s">
        <v>48</v>
      </c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24" t="s">
        <v>45</v>
      </c>
      <c r="B7" s="1" t="s">
        <v>38</v>
      </c>
      <c r="C7" s="1" t="s">
        <v>47</v>
      </c>
      <c r="D7" s="1" t="s">
        <v>48</v>
      </c>
      <c r="E7" s="26" t="s">
        <v>48</v>
      </c>
      <c r="F7" s="26" t="s">
        <v>48</v>
      </c>
      <c r="G7" s="22" t="s">
        <v>48</v>
      </c>
      <c r="H7" s="1"/>
      <c r="I7" s="26"/>
      <c r="J7" s="26"/>
      <c r="K7" s="1"/>
      <c r="L7" s="1"/>
      <c r="M7" s="1"/>
      <c r="N7" s="1"/>
      <c r="O7" s="1"/>
      <c r="P7" s="1"/>
    </row>
    <row r="8" spans="1:16" x14ac:dyDescent="0.25">
      <c r="A8" s="12" t="s">
        <v>65</v>
      </c>
      <c r="B8" s="1" t="s">
        <v>38</v>
      </c>
      <c r="C8" s="1" t="s">
        <v>48</v>
      </c>
      <c r="D8" s="1" t="s">
        <v>48</v>
      </c>
      <c r="E8" s="1" t="s">
        <v>48</v>
      </c>
      <c r="F8" s="1" t="s">
        <v>48</v>
      </c>
      <c r="G8" s="1" t="s">
        <v>48</v>
      </c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2" t="s">
        <v>51</v>
      </c>
      <c r="B9" s="1" t="s">
        <v>38</v>
      </c>
      <c r="C9" s="1" t="s">
        <v>48</v>
      </c>
      <c r="D9" s="1" t="s">
        <v>48</v>
      </c>
      <c r="E9" s="26" t="s">
        <v>47</v>
      </c>
      <c r="F9" s="1" t="s">
        <v>48</v>
      </c>
      <c r="G9" s="1" t="s">
        <v>48</v>
      </c>
      <c r="H9" s="1"/>
      <c r="I9" s="26"/>
      <c r="J9" s="26"/>
      <c r="K9" s="1"/>
      <c r="L9" s="1"/>
      <c r="M9" s="1"/>
      <c r="N9" s="1"/>
      <c r="O9" s="1"/>
      <c r="P9" s="1"/>
    </row>
    <row r="10" spans="1:16" x14ac:dyDescent="0.25">
      <c r="A10" s="13" t="s">
        <v>52</v>
      </c>
      <c r="B10" s="1" t="s">
        <v>63</v>
      </c>
      <c r="C10" s="1" t="s">
        <v>40</v>
      </c>
      <c r="D10" s="1" t="s">
        <v>40</v>
      </c>
      <c r="E10" s="1" t="s">
        <v>40</v>
      </c>
      <c r="F10" s="1" t="s">
        <v>40</v>
      </c>
      <c r="G10" s="1" t="s">
        <v>40</v>
      </c>
      <c r="H10" s="1"/>
      <c r="I10" s="26"/>
      <c r="J10" s="1"/>
      <c r="K10" s="1"/>
      <c r="L10" s="1"/>
      <c r="M10" s="1"/>
      <c r="N10" s="1"/>
      <c r="O10" s="1"/>
      <c r="P10" s="1"/>
    </row>
    <row r="11" spans="1:16" x14ac:dyDescent="0.25">
      <c r="A11" s="25" t="s">
        <v>56</v>
      </c>
      <c r="B11" s="1" t="s">
        <v>38</v>
      </c>
      <c r="C11" s="1" t="s">
        <v>47</v>
      </c>
      <c r="D11" s="1" t="s">
        <v>47</v>
      </c>
      <c r="E11" s="26" t="s">
        <v>48</v>
      </c>
      <c r="F11" s="26" t="s">
        <v>48</v>
      </c>
      <c r="G11" s="22" t="s">
        <v>48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21" t="s">
        <v>75</v>
      </c>
      <c r="B12" s="1" t="s">
        <v>38</v>
      </c>
      <c r="C12" s="1" t="s">
        <v>48</v>
      </c>
      <c r="D12" s="1" t="s">
        <v>48</v>
      </c>
      <c r="E12" s="1" t="s">
        <v>48</v>
      </c>
      <c r="F12" s="26" t="s">
        <v>47</v>
      </c>
      <c r="G12" s="1" t="s">
        <v>48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21" t="s">
        <v>76</v>
      </c>
      <c r="B13" s="1" t="s">
        <v>38</v>
      </c>
      <c r="C13" s="1" t="s">
        <v>48</v>
      </c>
      <c r="D13" s="1" t="s">
        <v>48</v>
      </c>
      <c r="E13" s="1" t="s">
        <v>48</v>
      </c>
      <c r="F13" s="1" t="s">
        <v>48</v>
      </c>
      <c r="G13" s="1" t="s">
        <v>48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4" t="s">
        <v>71</v>
      </c>
      <c r="B14" s="1"/>
      <c r="C14" s="2">
        <f t="shared" ref="C14:G14" si="0">SUM(IF(C2="Normal",1,0))+SUM(IF(C3="Normal",1,-1))+SUM(IF(C4="YES",1,0))+SUM(IF(C5="Vertical",1,-1))+
SUM(IF(C6="YES",1,0))+SUM(IF(C7="YES",1,0))+SUM(IF(C8="YES",-1,1))+SUM(IF(C9="YES",-1,1))+SUM(IF(C10="Normal",1,-1))+
SUM(IF(C11="YES",1,-1))+SUM(IF(C11="YES",-1,1))+SUM(IF(C12="YES",1,0))+SUM(IF(C13="YES",1,0))</f>
        <v>8</v>
      </c>
      <c r="D14" s="2">
        <f t="shared" si="0"/>
        <v>7</v>
      </c>
      <c r="E14" s="2">
        <f t="shared" si="0"/>
        <v>4</v>
      </c>
      <c r="F14" s="2">
        <f t="shared" si="0"/>
        <v>3</v>
      </c>
      <c r="G14" s="2">
        <f t="shared" si="0"/>
        <v>6</v>
      </c>
      <c r="H14" s="2">
        <f>SUM(IF(H2="Normal",1,0))+SUM(IF(H3="Normal",1,-1))+SUM(IF(H4="YES",1,0))+SUM(IF(H5="Vertical",1,-1))+
SUM(IF(H6="YES",1,0))+SUM(IF(H7="YES",1,0))+SUM(IF(H8="YES",-1,1))+SUM(IF(H9="YES",-1,1))+SUM(IF(H10="Normal",1,-1))+
SUM(IF(H11="YES",1,-1))+SUM(IF(H11="YES",-1,1))+SUM(IF(H12="YES",1,0))+SUM(IF(H13="YES",1,0))</f>
        <v>-1</v>
      </c>
      <c r="I14" s="2">
        <f>SUM(IF(I2="Normal",1,0))+SUM(IF(I3="Normal",1,-1))+SUM(IF(I4="YES",1,0))+SUM(IF(I5="Vertical",1,-1))+
SUM(IF(I6="YES",1,0))+SUM(IF(I7="YES",1,0))+SUM(IF(I8="YES",-1,1))+SUM(IF(I9="YES",-1,1))+SUM(IF(I10="Normal",1,-1))+
SUM(IF(I11="YES",1,-1))+SUM(IF(I11="YES",-1,1))+SUM(IF(I12="YES",1,0))+SUM(IF(I13="YES",1,0))</f>
        <v>-1</v>
      </c>
      <c r="J14" s="2">
        <f>SUM(IF(J2="Normal",1,0))+SUM(IF(J3="Normal",1,-1))+SUM(IF(J4="YES",1,0))+SUM(IF(J5="Vertical",1,-1))+
SUM(IF(J6="YES",1,0))+SUM(IF(J7="YES",1,0))+SUM(IF(J8="YES",-1,1))+SUM(IF(J9="YES",-1,1))+SUM(IF(J10="Normal",1,-1))+
SUM(IF(J11="YES",1,-1))+SUM(IF(J11="YES",1,-1))+SUM(IF(J12="YES",0,1))+SUM(IF(J13="YES",1,0))</f>
        <v>-2</v>
      </c>
      <c r="K14" s="2" t="str">
        <f t="shared" ref="K14:P14" si="1">IF(SUM(IF(K2="Normal",1,0))+SUM(IF(K3="Normal",1,-1))+SUM(IF(K7="YES",1,0))+SUM(IF(K4="YES",1,0))+SUM(IF(K6="YES",1,0))+SUM(IF(K8="YES",-1,0))&lt;=0,"",SUM(IF(K2="Normal",1,0))+SUM(IF(K3="Normal",1,-1))+SUM(IF(K7="YES",1,0))+SUM(IF(K4="YES",1,0))+SUM(IF(K6="YES",1,0))+SUM(IF(K8="YES",-1,1)+SUM(IF(K9="YES",-1,1))+SUM(IF(K10="Normal",1,-1))+SUM(IF(K11="YES",1,-1)+SUM(IF(K5="Vertical",1,-1)))))</f>
        <v/>
      </c>
      <c r="L14" s="2" t="str">
        <f t="shared" si="1"/>
        <v/>
      </c>
      <c r="M14" s="2" t="str">
        <f t="shared" si="1"/>
        <v/>
      </c>
      <c r="N14" s="2" t="str">
        <f t="shared" si="1"/>
        <v/>
      </c>
      <c r="O14" s="2" t="str">
        <f t="shared" si="1"/>
        <v/>
      </c>
      <c r="P14" s="2" t="str">
        <f t="shared" si="1"/>
        <v/>
      </c>
    </row>
    <row r="15" spans="1:16" x14ac:dyDescent="0.25">
      <c r="A15" s="14" t="s">
        <v>70</v>
      </c>
      <c r="B15" s="1"/>
      <c r="C15" s="2" t="str">
        <f>IF(C14&gt;=10,"Very Good",IF(C14 &gt;=7,"Good",IF(C14&gt;=5,"Avg",IF(C14&lt;5,"Poor",IF(C14="","Poor","Poor")))))</f>
        <v>Good</v>
      </c>
      <c r="D15" s="2" t="str">
        <f t="shared" ref="D15:N15" si="2">IF(D14&gt;=10,"Very Good",IF(D14 &gt;=7,"Good",IF(D14&gt;=5,"Avg",IF(D14&lt;5,"Poor",IF(D14="","Poor","Poor")))))</f>
        <v>Good</v>
      </c>
      <c r="E15" s="2" t="str">
        <f t="shared" si="2"/>
        <v>Poor</v>
      </c>
      <c r="F15" s="2" t="str">
        <f t="shared" si="2"/>
        <v>Poor</v>
      </c>
      <c r="G15" s="2" t="str">
        <f t="shared" si="2"/>
        <v>Avg</v>
      </c>
      <c r="H15" s="2" t="str">
        <f t="shared" si="2"/>
        <v>Poor</v>
      </c>
      <c r="I15" s="2" t="str">
        <f t="shared" si="2"/>
        <v>Poor</v>
      </c>
      <c r="J15" s="2" t="str">
        <f t="shared" si="2"/>
        <v>Poor</v>
      </c>
      <c r="K15" s="2" t="str">
        <f t="shared" si="2"/>
        <v>Very Good</v>
      </c>
      <c r="L15" s="2" t="str">
        <f t="shared" si="2"/>
        <v>Very Good</v>
      </c>
      <c r="M15" s="2" t="str">
        <f t="shared" si="2"/>
        <v>Very Good</v>
      </c>
      <c r="N15" s="2" t="str">
        <f t="shared" si="2"/>
        <v>Very Good</v>
      </c>
      <c r="O15" s="2"/>
      <c r="P15" s="2"/>
    </row>
    <row r="16" spans="1:16" x14ac:dyDescent="0.25">
      <c r="C16" s="10">
        <v>0.39374999999999999</v>
      </c>
      <c r="D16" s="10"/>
      <c r="E16" s="10"/>
      <c r="F16" s="10"/>
      <c r="G16" s="10"/>
      <c r="H16" s="10"/>
      <c r="K16" s="10"/>
    </row>
    <row r="17" spans="1:15" x14ac:dyDescent="0.25">
      <c r="C17" s="10">
        <v>0.39444444444444443</v>
      </c>
      <c r="D17" s="10"/>
      <c r="E17" s="10"/>
      <c r="F17" s="10"/>
      <c r="G17" s="10"/>
      <c r="H17" s="10"/>
      <c r="K17" s="10"/>
    </row>
    <row r="18" spans="1:15" x14ac:dyDescent="0.25">
      <c r="C18" s="10">
        <v>0.48680555555555555</v>
      </c>
      <c r="D18" s="10"/>
      <c r="E18" s="10"/>
      <c r="F18" s="10"/>
      <c r="G18" s="10"/>
      <c r="H18" s="10"/>
      <c r="K18" s="10"/>
    </row>
    <row r="19" spans="1:15" x14ac:dyDescent="0.25">
      <c r="C19" s="10">
        <f>C18-C16</f>
        <v>9.3055555555555558E-2</v>
      </c>
      <c r="D19" s="10">
        <f>D18-D16</f>
        <v>0</v>
      </c>
      <c r="E19" s="10">
        <f>E18-E16</f>
        <v>0</v>
      </c>
      <c r="F19" s="10">
        <f>F18-F16</f>
        <v>0</v>
      </c>
      <c r="G19" s="10">
        <f>G18-G16</f>
        <v>0</v>
      </c>
      <c r="H19" s="10">
        <f>H18-H16</f>
        <v>0</v>
      </c>
      <c r="I19" s="10">
        <f t="shared" ref="I19:K19" si="3">I18-I16</f>
        <v>0</v>
      </c>
      <c r="J19" s="10">
        <f t="shared" si="3"/>
        <v>0</v>
      </c>
      <c r="K19" s="10">
        <f t="shared" si="3"/>
        <v>0</v>
      </c>
    </row>
    <row r="20" spans="1:15" x14ac:dyDescent="0.25">
      <c r="B20" t="s">
        <v>72</v>
      </c>
      <c r="C20" s="16">
        <v>13</v>
      </c>
      <c r="D20" s="17">
        <v>1</v>
      </c>
      <c r="E20" s="17">
        <v>6</v>
      </c>
      <c r="F20" s="17">
        <v>7</v>
      </c>
      <c r="G20" s="17">
        <v>4</v>
      </c>
      <c r="H20" s="17"/>
      <c r="I20" s="17"/>
      <c r="J20" s="17"/>
      <c r="K20" s="17"/>
      <c r="L20" s="17"/>
      <c r="M20" s="17"/>
      <c r="N20" s="17"/>
      <c r="O20" s="17"/>
    </row>
    <row r="21" spans="1:15" x14ac:dyDescent="0.25">
      <c r="A21" s="19">
        <f>SUM(C21:P21)</f>
        <v>-1232.06</v>
      </c>
      <c r="B21" t="s">
        <v>66</v>
      </c>
      <c r="C21">
        <v>6791.25</v>
      </c>
      <c r="D21" s="15">
        <v>812.5</v>
      </c>
      <c r="E21" s="15">
        <v>-3007.5</v>
      </c>
      <c r="F21" s="15">
        <v>-5628.75</v>
      </c>
      <c r="G21" s="15">
        <v>-199.56</v>
      </c>
      <c r="H21" s="15"/>
      <c r="I21" s="15"/>
      <c r="J21" s="15"/>
      <c r="K21" s="15"/>
      <c r="L21" s="15"/>
      <c r="M21" s="15"/>
      <c r="N21" s="15"/>
      <c r="O21" s="15"/>
    </row>
    <row r="22" spans="1:15" x14ac:dyDescent="0.25">
      <c r="A22" s="20">
        <f>SUM(C22:P22)</f>
        <v>-3823.28</v>
      </c>
      <c r="B22" t="s">
        <v>67</v>
      </c>
      <c r="C22" s="18">
        <v>5547.12</v>
      </c>
      <c r="D22" s="18">
        <v>734.77</v>
      </c>
      <c r="E22" s="18">
        <v>-3495.85</v>
      </c>
      <c r="F22" s="18">
        <v>-6609.32</v>
      </c>
      <c r="G22" s="18"/>
      <c r="H22" s="18"/>
      <c r="I22" s="18"/>
      <c r="J22" s="15"/>
      <c r="K22" s="18"/>
      <c r="L22" s="18"/>
      <c r="M22" s="18"/>
      <c r="N22" s="18"/>
      <c r="O22" s="18"/>
    </row>
    <row r="23" spans="1:15" x14ac:dyDescent="0.25">
      <c r="A23" s="19">
        <f t="shared" ref="A23:A25" si="4">SUM(C23:P23)</f>
        <v>2591.2199999999998</v>
      </c>
      <c r="B23" t="s">
        <v>69</v>
      </c>
      <c r="C23" s="15">
        <f t="shared" ref="C23:H23" si="5">C21-C22</f>
        <v>1244.1300000000001</v>
      </c>
      <c r="D23" s="15">
        <f t="shared" si="5"/>
        <v>77.730000000000018</v>
      </c>
      <c r="E23" s="15">
        <f t="shared" si="5"/>
        <v>488.34999999999991</v>
      </c>
      <c r="F23" s="15">
        <f t="shared" si="5"/>
        <v>980.56999999999971</v>
      </c>
      <c r="G23" s="15">
        <f t="shared" si="5"/>
        <v>-199.56</v>
      </c>
      <c r="H23" s="15">
        <f t="shared" si="5"/>
        <v>0</v>
      </c>
      <c r="I23" s="15">
        <f t="shared" ref="I23:N23" si="6">I21-I22</f>
        <v>0</v>
      </c>
      <c r="J23" s="15">
        <f t="shared" si="6"/>
        <v>0</v>
      </c>
      <c r="K23" s="15">
        <f t="shared" si="6"/>
        <v>0</v>
      </c>
      <c r="L23" s="15">
        <f t="shared" si="6"/>
        <v>0</v>
      </c>
      <c r="M23" s="15">
        <f t="shared" si="6"/>
        <v>0</v>
      </c>
      <c r="N23" s="15">
        <f t="shared" si="6"/>
        <v>0</v>
      </c>
      <c r="O23" s="15">
        <f t="shared" ref="O23" si="7">O21-O22</f>
        <v>0</v>
      </c>
    </row>
    <row r="24" spans="1:15" x14ac:dyDescent="0.25">
      <c r="A24" s="19">
        <f t="shared" si="4"/>
        <v>1240</v>
      </c>
      <c r="B24" t="s">
        <v>74</v>
      </c>
      <c r="C24" s="15">
        <f t="shared" ref="C24:H24" si="8">C20*40</f>
        <v>520</v>
      </c>
      <c r="D24" s="15">
        <f t="shared" si="8"/>
        <v>40</v>
      </c>
      <c r="E24" s="15">
        <f t="shared" si="8"/>
        <v>240</v>
      </c>
      <c r="F24" s="15">
        <f t="shared" si="8"/>
        <v>280</v>
      </c>
      <c r="G24" s="15">
        <f t="shared" si="8"/>
        <v>160</v>
      </c>
      <c r="H24" s="15">
        <f t="shared" si="8"/>
        <v>0</v>
      </c>
      <c r="I24" s="15">
        <f t="shared" ref="I24:N24" si="9">I20*40</f>
        <v>0</v>
      </c>
      <c r="J24" s="15">
        <f t="shared" si="9"/>
        <v>0</v>
      </c>
      <c r="K24" s="15">
        <f t="shared" si="9"/>
        <v>0</v>
      </c>
      <c r="L24" s="15">
        <f t="shared" si="9"/>
        <v>0</v>
      </c>
      <c r="M24" s="15">
        <f t="shared" si="9"/>
        <v>0</v>
      </c>
      <c r="N24" s="15">
        <f t="shared" si="9"/>
        <v>0</v>
      </c>
      <c r="O24" s="15">
        <f t="shared" ref="O24" si="10">O20*40</f>
        <v>0</v>
      </c>
    </row>
    <row r="25" spans="1:15" x14ac:dyDescent="0.25">
      <c r="A25" s="19">
        <f t="shared" si="4"/>
        <v>1351.2199999999998</v>
      </c>
      <c r="B25" t="s">
        <v>73</v>
      </c>
      <c r="C25">
        <f t="shared" ref="C25:H25" si="11">C23-C24</f>
        <v>724.13000000000011</v>
      </c>
      <c r="D25" s="15">
        <f t="shared" si="11"/>
        <v>37.730000000000018</v>
      </c>
      <c r="E25" s="15">
        <f t="shared" si="11"/>
        <v>248.34999999999991</v>
      </c>
      <c r="F25" s="15">
        <f t="shared" si="11"/>
        <v>700.56999999999971</v>
      </c>
      <c r="G25" s="15">
        <f t="shared" si="11"/>
        <v>-359.56</v>
      </c>
      <c r="H25" s="15">
        <f t="shared" si="11"/>
        <v>0</v>
      </c>
      <c r="I25" s="15">
        <f t="shared" ref="I25:M25" si="12">I23-I24</f>
        <v>0</v>
      </c>
      <c r="J25" s="15">
        <f t="shared" si="12"/>
        <v>0</v>
      </c>
      <c r="K25" s="15">
        <f t="shared" si="12"/>
        <v>0</v>
      </c>
      <c r="L25" s="15">
        <f t="shared" si="12"/>
        <v>0</v>
      </c>
      <c r="M25" s="15">
        <f t="shared" si="12"/>
        <v>0</v>
      </c>
      <c r="N25" s="15">
        <f t="shared" ref="N25:O25" si="13">N23-N24</f>
        <v>0</v>
      </c>
      <c r="O25" s="15">
        <f t="shared" si="13"/>
        <v>0</v>
      </c>
    </row>
    <row r="26" spans="1:15" x14ac:dyDescent="0.25">
      <c r="C26" s="23">
        <f>C22/C21</f>
        <v>0.81680397570403096</v>
      </c>
      <c r="D26" s="23">
        <f t="shared" ref="D26:H26" si="14">D22/D21</f>
        <v>0.90433230769230766</v>
      </c>
      <c r="E26" s="23">
        <f t="shared" si="14"/>
        <v>1.1623773898586867</v>
      </c>
      <c r="F26" s="23">
        <f t="shared" si="14"/>
        <v>1.1742074172773707</v>
      </c>
      <c r="G26" s="23">
        <f t="shared" si="14"/>
        <v>0</v>
      </c>
      <c r="H26" s="23" t="e">
        <f t="shared" si="14"/>
        <v>#DIV/0!</v>
      </c>
      <c r="I26" s="23" t="e">
        <f t="shared" ref="I26:M26" si="15">I22/I21</f>
        <v>#DIV/0!</v>
      </c>
      <c r="J26" s="23" t="e">
        <f t="shared" si="15"/>
        <v>#DIV/0!</v>
      </c>
      <c r="K26" s="23" t="e">
        <f t="shared" si="15"/>
        <v>#DIV/0!</v>
      </c>
      <c r="L26" s="23" t="e">
        <f t="shared" si="15"/>
        <v>#DIV/0!</v>
      </c>
      <c r="M26" s="23" t="e">
        <f t="shared" si="15"/>
        <v>#DIV/0!</v>
      </c>
      <c r="N26" s="23" t="e">
        <f t="shared" ref="N26:O26" si="16">N22/N21</f>
        <v>#DIV/0!</v>
      </c>
      <c r="O26" s="23" t="e">
        <f t="shared" si="16"/>
        <v>#DIV/0!</v>
      </c>
    </row>
    <row r="27" spans="1:15" x14ac:dyDescent="0.25">
      <c r="C27" s="23">
        <f>C23/C21</f>
        <v>0.1831960242959691</v>
      </c>
      <c r="D27" s="23">
        <f t="shared" ref="D27:H27" si="17">D23/D21</f>
        <v>9.5667692307692329E-2</v>
      </c>
      <c r="E27" s="23">
        <f t="shared" si="17"/>
        <v>-0.16237738985868658</v>
      </c>
      <c r="F27" s="23">
        <f t="shared" si="17"/>
        <v>-0.1742074172773706</v>
      </c>
      <c r="G27" s="23">
        <f t="shared" si="17"/>
        <v>1</v>
      </c>
      <c r="H27" s="23" t="e">
        <f t="shared" si="17"/>
        <v>#DIV/0!</v>
      </c>
      <c r="I27" s="23" t="e">
        <f t="shared" ref="I27:M27" si="18">I23/I21</f>
        <v>#DIV/0!</v>
      </c>
      <c r="J27" s="23" t="e">
        <f t="shared" si="18"/>
        <v>#DIV/0!</v>
      </c>
      <c r="K27" s="23" t="e">
        <f t="shared" si="18"/>
        <v>#DIV/0!</v>
      </c>
      <c r="L27" s="23" t="e">
        <f t="shared" si="18"/>
        <v>#DIV/0!</v>
      </c>
      <c r="M27" s="23" t="e">
        <f t="shared" si="18"/>
        <v>#DIV/0!</v>
      </c>
      <c r="N27" s="23" t="e">
        <f t="shared" ref="N27:O27" si="19">N23/N21</f>
        <v>#DIV/0!</v>
      </c>
      <c r="O27" s="23" t="e">
        <f t="shared" si="19"/>
        <v>#DIV/0!</v>
      </c>
    </row>
    <row r="30" spans="1:15" x14ac:dyDescent="0.25">
      <c r="C30" s="29" t="s">
        <v>88</v>
      </c>
    </row>
    <row r="31" spans="1:15" x14ac:dyDescent="0.25">
      <c r="C31" s="1" t="s">
        <v>91</v>
      </c>
      <c r="D31" s="1" t="s">
        <v>82</v>
      </c>
      <c r="E31" s="1" t="s">
        <v>89</v>
      </c>
    </row>
    <row r="32" spans="1:15" x14ac:dyDescent="0.25">
      <c r="C32" s="1">
        <v>150</v>
      </c>
      <c r="D32" s="1">
        <v>208</v>
      </c>
      <c r="E32" s="1">
        <f>C32*D32</f>
        <v>31200</v>
      </c>
    </row>
    <row r="33" spans="3:9" x14ac:dyDescent="0.25">
      <c r="C33" s="1"/>
      <c r="D33" s="1"/>
      <c r="E33" s="1">
        <f t="shared" ref="E33:E35" si="20">C33*D33</f>
        <v>0</v>
      </c>
    </row>
    <row r="34" spans="3:9" x14ac:dyDescent="0.25">
      <c r="C34" s="1"/>
      <c r="D34" s="1"/>
      <c r="E34" s="1">
        <f t="shared" si="20"/>
        <v>0</v>
      </c>
    </row>
    <row r="35" spans="3:9" x14ac:dyDescent="0.25">
      <c r="C35" s="1"/>
      <c r="D35" s="1"/>
      <c r="E35" s="1">
        <f t="shared" si="20"/>
        <v>0</v>
      </c>
    </row>
    <row r="36" spans="3:9" x14ac:dyDescent="0.25">
      <c r="C36" s="11">
        <f>SUM(C32:C35)</f>
        <v>150</v>
      </c>
      <c r="D36" s="30">
        <f>E36/C36</f>
        <v>208</v>
      </c>
      <c r="E36" s="11">
        <f>SUM(E32:E35)</f>
        <v>31200</v>
      </c>
    </row>
    <row r="39" spans="3:9" x14ac:dyDescent="0.25">
      <c r="C39" s="29" t="s">
        <v>80</v>
      </c>
    </row>
    <row r="40" spans="3:9" x14ac:dyDescent="0.25">
      <c r="C40" s="1" t="s">
        <v>81</v>
      </c>
      <c r="D40" s="1" t="s">
        <v>86</v>
      </c>
      <c r="E40" s="1" t="s">
        <v>87</v>
      </c>
      <c r="F40" s="1" t="s">
        <v>85</v>
      </c>
      <c r="G40" s="1" t="s">
        <v>83</v>
      </c>
      <c r="H40" s="1" t="s">
        <v>84</v>
      </c>
      <c r="I40" s="1" t="s">
        <v>90</v>
      </c>
    </row>
    <row r="41" spans="3:9" x14ac:dyDescent="0.25">
      <c r="C41" s="1">
        <v>1</v>
      </c>
      <c r="D41" s="37">
        <v>75</v>
      </c>
      <c r="E41" s="36">
        <f>D36</f>
        <v>208</v>
      </c>
      <c r="F41" s="28">
        <f>C41*D41*E41</f>
        <v>15600</v>
      </c>
      <c r="G41" s="27">
        <v>0.1</v>
      </c>
      <c r="H41" s="28">
        <f>E41-(G41*(E41))</f>
        <v>187.2</v>
      </c>
      <c r="I41" s="28">
        <f>(C41*D41*H41)-F41</f>
        <v>-1560</v>
      </c>
    </row>
    <row r="42" spans="3:9" x14ac:dyDescent="0.25">
      <c r="C42" s="1">
        <v>2</v>
      </c>
      <c r="D42" s="37"/>
      <c r="E42" s="37"/>
      <c r="F42" s="28">
        <f>C42*D41*E41</f>
        <v>31200</v>
      </c>
      <c r="G42" s="28">
        <f>G41/2</f>
        <v>0.05</v>
      </c>
      <c r="H42" s="28">
        <f>E41-(G42*(E41))</f>
        <v>197.6</v>
      </c>
      <c r="I42" s="28">
        <f>(C42*D41*H42)-F42</f>
        <v>-1560</v>
      </c>
    </row>
    <row r="43" spans="3:9" x14ac:dyDescent="0.25">
      <c r="C43" s="1">
        <v>3</v>
      </c>
      <c r="D43" s="37"/>
      <c r="E43" s="37"/>
      <c r="F43" s="28">
        <f>C43*D41*E41</f>
        <v>46800</v>
      </c>
      <c r="G43" s="28">
        <f>G42/1.5</f>
        <v>3.3333333333333333E-2</v>
      </c>
      <c r="H43" s="28">
        <f>E41-(G43*(E41))</f>
        <v>201.06666666666666</v>
      </c>
      <c r="I43" s="28">
        <f>(C43*D41*H43)-F43</f>
        <v>-1560</v>
      </c>
    </row>
    <row r="44" spans="3:9" x14ac:dyDescent="0.25">
      <c r="C44" s="11">
        <v>4</v>
      </c>
      <c r="D44" s="37"/>
      <c r="E44" s="37"/>
      <c r="F44" s="28">
        <f>C44*D41*E41</f>
        <v>62400</v>
      </c>
      <c r="G44" s="28">
        <f>G43/1.33</f>
        <v>2.5062656641604009E-2</v>
      </c>
      <c r="H44" s="28">
        <f>E41-(G44*(E41))</f>
        <v>202.78696741854637</v>
      </c>
      <c r="I44" s="28">
        <f>(C44*D41*H44)-F44</f>
        <v>-1563.9097744360915</v>
      </c>
    </row>
    <row r="45" spans="3:9" x14ac:dyDescent="0.25">
      <c r="C45" s="1">
        <v>5</v>
      </c>
      <c r="D45" s="37"/>
      <c r="E45" s="37"/>
      <c r="F45" s="28">
        <f>C45*D41*E41</f>
        <v>78000</v>
      </c>
      <c r="G45" s="28">
        <f>G44/1.25</f>
        <v>2.0050125313283207E-2</v>
      </c>
      <c r="H45" s="28">
        <f>E41-(G45*(E41))</f>
        <v>203.8295739348371</v>
      </c>
      <c r="I45" s="28">
        <f>(C45*D41*H45)-F45</f>
        <v>-1563.9097744360915</v>
      </c>
    </row>
    <row r="46" spans="3:9" x14ac:dyDescent="0.25">
      <c r="C46" s="1">
        <v>6</v>
      </c>
      <c r="D46" s="37"/>
      <c r="E46" s="37"/>
      <c r="F46" s="28">
        <f>C46*D41*E41</f>
        <v>93600</v>
      </c>
      <c r="G46" s="28">
        <f>G45/1.2</f>
        <v>1.6708437761069339E-2</v>
      </c>
      <c r="H46" s="28">
        <f>E41-(G46*(E41))</f>
        <v>204.52464494569759</v>
      </c>
      <c r="I46" s="28">
        <f>(C46*D41*H46)-F46</f>
        <v>-1563.9097744360915</v>
      </c>
    </row>
    <row r="47" spans="3:9" x14ac:dyDescent="0.25">
      <c r="C47" s="1">
        <v>7</v>
      </c>
      <c r="D47" s="37"/>
      <c r="E47" s="37"/>
      <c r="F47" s="28">
        <f>C47*D41*E41</f>
        <v>109200</v>
      </c>
      <c r="G47" s="28">
        <f>G46/1.17</f>
        <v>1.4280716035102E-2</v>
      </c>
      <c r="H47" s="28">
        <f>E41-(G47*(E41))</f>
        <v>205.02961106469877</v>
      </c>
      <c r="I47" s="28">
        <f>(C47*D41*H47)-F47</f>
        <v>-1559.4541910331463</v>
      </c>
    </row>
    <row r="48" spans="3:9" x14ac:dyDescent="0.25">
      <c r="C48" s="1">
        <v>8</v>
      </c>
      <c r="D48" s="37"/>
      <c r="E48" s="37"/>
      <c r="F48" s="28">
        <f>C48*D41*E41</f>
        <v>124800</v>
      </c>
      <c r="G48" s="28">
        <f>G47/1.15</f>
        <v>1.2418013943566958E-2</v>
      </c>
      <c r="H48" s="28">
        <f>E41-(G48*(E41))</f>
        <v>205.41705309973807</v>
      </c>
      <c r="I48" s="28">
        <f>(C48*D41*H48)-F48</f>
        <v>-1549.7681401571608</v>
      </c>
    </row>
    <row r="49" spans="3:9" x14ac:dyDescent="0.25">
      <c r="C49" s="1">
        <v>9</v>
      </c>
      <c r="D49" s="37"/>
      <c r="E49" s="37"/>
      <c r="F49" s="28">
        <f>C49*D41*E41</f>
        <v>140400</v>
      </c>
      <c r="G49" s="28">
        <f>G48/1.12</f>
        <v>1.1087512449613354E-2</v>
      </c>
      <c r="H49" s="28">
        <f>E41-(G49*(E41))</f>
        <v>205.69379741048041</v>
      </c>
      <c r="I49" s="28">
        <f>(C49*D41*H49)-F49</f>
        <v>-1556.6867479257344</v>
      </c>
    </row>
    <row r="50" spans="3:9" x14ac:dyDescent="0.25">
      <c r="C50" s="1">
        <v>10</v>
      </c>
      <c r="D50" s="37"/>
      <c r="E50" s="37"/>
      <c r="F50" s="28">
        <f>C50*D41*E41</f>
        <v>156000</v>
      </c>
      <c r="G50" s="28">
        <f>G49/1.1</f>
        <v>1.0079556772375776E-2</v>
      </c>
      <c r="H50" s="28">
        <f>E41-(G50*(E41))</f>
        <v>205.90345219134585</v>
      </c>
      <c r="I50" s="28">
        <f>(C50*D41*H50)-F50</f>
        <v>-1572.4108564906055</v>
      </c>
    </row>
  </sheetData>
  <mergeCells count="2">
    <mergeCell ref="E41:E50"/>
    <mergeCell ref="D41:D50"/>
  </mergeCells>
  <conditionalFormatting sqref="C2">
    <cfRule type="expression" dxfId="143" priority="152">
      <formula>$C$2="Normal"</formula>
    </cfRule>
  </conditionalFormatting>
  <conditionalFormatting sqref="C3">
    <cfRule type="expression" dxfId="142" priority="149">
      <formula>$C$3="Normal"</formula>
    </cfRule>
  </conditionalFormatting>
  <conditionalFormatting sqref="C4">
    <cfRule type="expression" dxfId="141" priority="133">
      <formula>$C$4="YES"</formula>
    </cfRule>
  </conditionalFormatting>
  <conditionalFormatting sqref="C5">
    <cfRule type="expression" dxfId="140" priority="141">
      <formula>$C$5="Vertical"</formula>
    </cfRule>
  </conditionalFormatting>
  <conditionalFormatting sqref="C6">
    <cfRule type="expression" dxfId="139" priority="131">
      <formula>$C$6="YES"</formula>
    </cfRule>
  </conditionalFormatting>
  <conditionalFormatting sqref="C7">
    <cfRule type="expression" dxfId="138" priority="148">
      <formula>$C$7="YES"</formula>
    </cfRule>
  </conditionalFormatting>
  <conditionalFormatting sqref="C8">
    <cfRule type="expression" dxfId="137" priority="145">
      <formula>$C$8="NO"</formula>
    </cfRule>
  </conditionalFormatting>
  <conditionalFormatting sqref="C9">
    <cfRule type="expression" dxfId="136" priority="144">
      <formula>$C$9="NO"</formula>
    </cfRule>
  </conditionalFormatting>
  <conditionalFormatting sqref="C10">
    <cfRule type="expression" dxfId="135" priority="127">
      <formula>$C$10="Normal"</formula>
    </cfRule>
  </conditionalFormatting>
  <conditionalFormatting sqref="C11">
    <cfRule type="expression" dxfId="134" priority="142">
      <formula>$C$11="YES"</formula>
    </cfRule>
  </conditionalFormatting>
  <conditionalFormatting sqref="C12">
    <cfRule type="expression" dxfId="133" priority="111">
      <formula>$C$12="NO"</formula>
    </cfRule>
  </conditionalFormatting>
  <conditionalFormatting sqref="C13">
    <cfRule type="expression" dxfId="132" priority="78">
      <formula>$C$13="YES"</formula>
    </cfRule>
  </conditionalFormatting>
  <conditionalFormatting sqref="C20">
    <cfRule type="colorScale" priority="126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D2">
    <cfRule type="expression" dxfId="131" priority="140">
      <formula>$D$2="Normal"</formula>
    </cfRule>
  </conditionalFormatting>
  <conditionalFormatting sqref="D3">
    <cfRule type="expression" dxfId="130" priority="124">
      <formula>$D$3="Normal"</formula>
    </cfRule>
  </conditionalFormatting>
  <conditionalFormatting sqref="D4">
    <cfRule type="expression" dxfId="129" priority="123">
      <formula>$D$4="YES"</formula>
    </cfRule>
  </conditionalFormatting>
  <conditionalFormatting sqref="D5">
    <cfRule type="expression" dxfId="128" priority="122">
      <formula>$D$5="Vertical"</formula>
    </cfRule>
  </conditionalFormatting>
  <conditionalFormatting sqref="D6">
    <cfRule type="expression" dxfId="127" priority="146">
      <formula>$D$6="YES"</formula>
    </cfRule>
  </conditionalFormatting>
  <conditionalFormatting sqref="D7">
    <cfRule type="expression" dxfId="126" priority="130">
      <formula>$D$7="YES"</formula>
    </cfRule>
  </conditionalFormatting>
  <conditionalFormatting sqref="D8">
    <cfRule type="expression" dxfId="125" priority="129">
      <formula>$D$8="NO"</formula>
    </cfRule>
  </conditionalFormatting>
  <conditionalFormatting sqref="D9">
    <cfRule type="expression" dxfId="124" priority="128">
      <formula>$D$9="NO"</formula>
    </cfRule>
  </conditionalFormatting>
  <conditionalFormatting sqref="D10">
    <cfRule type="expression" dxfId="123" priority="143">
      <formula>$D$10="Normal"</formula>
    </cfRule>
  </conditionalFormatting>
  <conditionalFormatting sqref="D11">
    <cfRule type="expression" dxfId="122" priority="112">
      <formula>$D$11="YES"</formula>
    </cfRule>
  </conditionalFormatting>
  <conditionalFormatting sqref="D12">
    <cfRule type="expression" dxfId="121" priority="116">
      <formula>$D$12="NO"</formula>
    </cfRule>
  </conditionalFormatting>
  <conditionalFormatting sqref="D13">
    <cfRule type="expression" dxfId="120" priority="77">
      <formula>$D$13="YES"</formula>
    </cfRule>
  </conditionalFormatting>
  <conditionalFormatting sqref="D20:O20">
    <cfRule type="colorScale" priority="125">
      <colorScale>
        <cfvo type="num" val="5"/>
        <cfvo type="num" val="15"/>
        <cfvo type="num" val="25"/>
        <color rgb="FF92D050"/>
        <color rgb="FFFFEB84"/>
        <color rgb="FFFF0000"/>
      </colorScale>
    </cfRule>
  </conditionalFormatting>
  <conditionalFormatting sqref="E2">
    <cfRule type="expression" dxfId="119" priority="135">
      <formula>$E$2="Normal"</formula>
    </cfRule>
  </conditionalFormatting>
  <conditionalFormatting sqref="E3">
    <cfRule type="expression" dxfId="118" priority="134">
      <formula>$E$3="Normal"</formula>
    </cfRule>
  </conditionalFormatting>
  <conditionalFormatting sqref="E4">
    <cfRule type="expression" dxfId="117" priority="147">
      <formula>$E$4="YES"</formula>
    </cfRule>
  </conditionalFormatting>
  <conditionalFormatting sqref="E5">
    <cfRule type="expression" dxfId="116" priority="132">
      <formula>$E$5="Vertical"</formula>
    </cfRule>
  </conditionalFormatting>
  <conditionalFormatting sqref="E6">
    <cfRule type="expression" dxfId="115" priority="121">
      <formula>$E$6="YES"</formula>
    </cfRule>
  </conditionalFormatting>
  <conditionalFormatting sqref="E7">
    <cfRule type="expression" dxfId="114" priority="120">
      <formula>$E$7="YES"</formula>
    </cfRule>
  </conditionalFormatting>
  <conditionalFormatting sqref="E8">
    <cfRule type="expression" dxfId="113" priority="119">
      <formula>$E$8="NO"</formula>
    </cfRule>
  </conditionalFormatting>
  <conditionalFormatting sqref="E9">
    <cfRule type="expression" dxfId="112" priority="118">
      <formula>$E$9="NO"</formula>
    </cfRule>
  </conditionalFormatting>
  <conditionalFormatting sqref="E10">
    <cfRule type="expression" dxfId="111" priority="117">
      <formula>$E$10="Normal"</formula>
    </cfRule>
  </conditionalFormatting>
  <conditionalFormatting sqref="E11">
    <cfRule type="expression" dxfId="110" priority="113">
      <formula>$E$11="YES"</formula>
    </cfRule>
  </conditionalFormatting>
  <conditionalFormatting sqref="E12">
    <cfRule type="expression" dxfId="109" priority="110">
      <formula>$E$12="NO"</formula>
    </cfRule>
  </conditionalFormatting>
  <conditionalFormatting sqref="E13">
    <cfRule type="expression" dxfId="108" priority="76">
      <formula>$E$13="YES"</formula>
    </cfRule>
  </conditionalFormatting>
  <conditionalFormatting sqref="F2">
    <cfRule type="expression" dxfId="107" priority="136">
      <formula>$F$2="Normal"</formula>
    </cfRule>
  </conditionalFormatting>
  <conditionalFormatting sqref="F3">
    <cfRule type="expression" dxfId="106" priority="109">
      <formula>$F$3="Normal"</formula>
    </cfRule>
  </conditionalFormatting>
  <conditionalFormatting sqref="F4">
    <cfRule type="expression" dxfId="105" priority="108">
      <formula>$F$4="YES"</formula>
    </cfRule>
  </conditionalFormatting>
  <conditionalFormatting sqref="F5">
    <cfRule type="expression" dxfId="104" priority="107">
      <formula>$F$5="Vertical"</formula>
    </cfRule>
  </conditionalFormatting>
  <conditionalFormatting sqref="F6">
    <cfRule type="expression" dxfId="103" priority="106">
      <formula>$F$6="YES"</formula>
    </cfRule>
  </conditionalFormatting>
  <conditionalFormatting sqref="F7">
    <cfRule type="expression" dxfId="102" priority="105">
      <formula>$F$7="YES"</formula>
    </cfRule>
  </conditionalFormatting>
  <conditionalFormatting sqref="F8">
    <cfRule type="expression" dxfId="101" priority="104">
      <formula>$F$8="NO"</formula>
    </cfRule>
  </conditionalFormatting>
  <conditionalFormatting sqref="F9">
    <cfRule type="expression" dxfId="100" priority="103">
      <formula>$F$9="NO"</formula>
    </cfRule>
  </conditionalFormatting>
  <conditionalFormatting sqref="F10">
    <cfRule type="expression" dxfId="99" priority="102">
      <formula>$F$10="Normal"</formula>
    </cfRule>
  </conditionalFormatting>
  <conditionalFormatting sqref="F11">
    <cfRule type="expression" dxfId="98" priority="101">
      <formula>$F$11="YES"</formula>
    </cfRule>
  </conditionalFormatting>
  <conditionalFormatting sqref="F12">
    <cfRule type="expression" dxfId="97" priority="100">
      <formula>$F$12="NO"</formula>
    </cfRule>
  </conditionalFormatting>
  <conditionalFormatting sqref="F13">
    <cfRule type="expression" dxfId="96" priority="75">
      <formula>$F$13="YES"</formula>
    </cfRule>
  </conditionalFormatting>
  <conditionalFormatting sqref="G2">
    <cfRule type="expression" dxfId="95" priority="137">
      <formula>$G$2="Normal"</formula>
    </cfRule>
  </conditionalFormatting>
  <conditionalFormatting sqref="G3">
    <cfRule type="expression" dxfId="94" priority="99">
      <formula>$G$3="Normal"</formula>
    </cfRule>
  </conditionalFormatting>
  <conditionalFormatting sqref="G4">
    <cfRule type="expression" dxfId="93" priority="98">
      <formula>$G$4="YES"</formula>
    </cfRule>
  </conditionalFormatting>
  <conditionalFormatting sqref="G5">
    <cfRule type="expression" dxfId="92" priority="97">
      <formula>$G$5="Vertical"</formula>
    </cfRule>
  </conditionalFormatting>
  <conditionalFormatting sqref="G6">
    <cfRule type="expression" dxfId="91" priority="96">
      <formula>$G$6="YES"</formula>
    </cfRule>
  </conditionalFormatting>
  <conditionalFormatting sqref="G7">
    <cfRule type="expression" dxfId="90" priority="95">
      <formula>$G$7="YES"</formula>
    </cfRule>
  </conditionalFormatting>
  <conditionalFormatting sqref="G8">
    <cfRule type="expression" dxfId="89" priority="94">
      <formula>$G$8="NO"</formula>
    </cfRule>
  </conditionalFormatting>
  <conditionalFormatting sqref="G9">
    <cfRule type="expression" dxfId="88" priority="93">
      <formula>$G$9="NO"</formula>
    </cfRule>
  </conditionalFormatting>
  <conditionalFormatting sqref="G10">
    <cfRule type="expression" dxfId="87" priority="92">
      <formula>$G$10="Normal"</formula>
    </cfRule>
  </conditionalFormatting>
  <conditionalFormatting sqref="G11">
    <cfRule type="expression" dxfId="86" priority="91">
      <formula>$G$11="YES"</formula>
    </cfRule>
  </conditionalFormatting>
  <conditionalFormatting sqref="G12">
    <cfRule type="expression" dxfId="85" priority="90">
      <formula>$G$12="NO"</formula>
    </cfRule>
  </conditionalFormatting>
  <conditionalFormatting sqref="G13">
    <cfRule type="expression" dxfId="84" priority="74">
      <formula>$G$13="YES"</formula>
    </cfRule>
  </conditionalFormatting>
  <conditionalFormatting sqref="H2">
    <cfRule type="expression" dxfId="83" priority="89">
      <formula>$H$2="Normal"</formula>
    </cfRule>
  </conditionalFormatting>
  <conditionalFormatting sqref="H3">
    <cfRule type="expression" dxfId="82" priority="88">
      <formula>$H$3="Normal"</formula>
    </cfRule>
  </conditionalFormatting>
  <conditionalFormatting sqref="H4">
    <cfRule type="expression" dxfId="81" priority="87">
      <formula>$H$4="YES"</formula>
    </cfRule>
  </conditionalFormatting>
  <conditionalFormatting sqref="H5">
    <cfRule type="expression" dxfId="80" priority="86">
      <formula>$H$5="Vertical"</formula>
    </cfRule>
  </conditionalFormatting>
  <conditionalFormatting sqref="H6">
    <cfRule type="expression" dxfId="79" priority="85">
      <formula>$H$6="YES"</formula>
    </cfRule>
  </conditionalFormatting>
  <conditionalFormatting sqref="H7">
    <cfRule type="expression" dxfId="78" priority="84">
      <formula>$H$7="YES"</formula>
    </cfRule>
  </conditionalFormatting>
  <conditionalFormatting sqref="H8">
    <cfRule type="expression" dxfId="77" priority="83">
      <formula>$H$8="NO"</formula>
    </cfRule>
  </conditionalFormatting>
  <conditionalFormatting sqref="H9">
    <cfRule type="expression" dxfId="76" priority="82">
      <formula>$H$9="NO"</formula>
    </cfRule>
  </conditionalFormatting>
  <conditionalFormatting sqref="H10">
    <cfRule type="expression" dxfId="75" priority="81">
      <formula>$H$10="Normal"</formula>
    </cfRule>
  </conditionalFormatting>
  <conditionalFormatting sqref="H11">
    <cfRule type="expression" dxfId="74" priority="80">
      <formula>$H$11="YES"</formula>
    </cfRule>
  </conditionalFormatting>
  <conditionalFormatting sqref="H12">
    <cfRule type="expression" dxfId="73" priority="79">
      <formula>$H$12="NO"</formula>
    </cfRule>
  </conditionalFormatting>
  <conditionalFormatting sqref="H13">
    <cfRule type="expression" dxfId="72" priority="73">
      <formula>$H$13="YES"</formula>
    </cfRule>
  </conditionalFormatting>
  <conditionalFormatting sqref="I2">
    <cfRule type="expression" dxfId="71" priority="72">
      <formula>$I$2="Normal"</formula>
    </cfRule>
  </conditionalFormatting>
  <conditionalFormatting sqref="I3">
    <cfRule type="expression" dxfId="70" priority="71">
      <formula>$I$3="Normal"</formula>
    </cfRule>
  </conditionalFormatting>
  <conditionalFormatting sqref="I4">
    <cfRule type="expression" dxfId="69" priority="70">
      <formula>$I$4="YES"</formula>
    </cfRule>
  </conditionalFormatting>
  <conditionalFormatting sqref="I5">
    <cfRule type="expression" dxfId="68" priority="69">
      <formula>$I$5="Vertical"</formula>
    </cfRule>
  </conditionalFormatting>
  <conditionalFormatting sqref="I6">
    <cfRule type="expression" dxfId="67" priority="68">
      <formula>$I$6="YES"</formula>
    </cfRule>
  </conditionalFormatting>
  <conditionalFormatting sqref="I7">
    <cfRule type="expression" dxfId="66" priority="67">
      <formula>$I$7="YES"</formula>
    </cfRule>
  </conditionalFormatting>
  <conditionalFormatting sqref="I8">
    <cfRule type="expression" dxfId="65" priority="66">
      <formula>$I$8="NO"</formula>
    </cfRule>
  </conditionalFormatting>
  <conditionalFormatting sqref="I9">
    <cfRule type="expression" dxfId="64" priority="65">
      <formula>$I$9="NO"</formula>
    </cfRule>
  </conditionalFormatting>
  <conditionalFormatting sqref="I10">
    <cfRule type="expression" dxfId="63" priority="64">
      <formula>$I$10="Normal"</formula>
    </cfRule>
  </conditionalFormatting>
  <conditionalFormatting sqref="I11">
    <cfRule type="expression" dxfId="62" priority="63">
      <formula>$I$11="YES"</formula>
    </cfRule>
  </conditionalFormatting>
  <conditionalFormatting sqref="I12">
    <cfRule type="expression" dxfId="61" priority="62">
      <formula>$I$12="NO"</formula>
    </cfRule>
  </conditionalFormatting>
  <conditionalFormatting sqref="I13">
    <cfRule type="expression" dxfId="60" priority="61">
      <formula>$I$13="YES"</formula>
    </cfRule>
  </conditionalFormatting>
  <conditionalFormatting sqref="J2">
    <cfRule type="expression" dxfId="59" priority="48">
      <formula>$J$2="Normal"</formula>
    </cfRule>
  </conditionalFormatting>
  <conditionalFormatting sqref="J3">
    <cfRule type="expression" dxfId="58" priority="47">
      <formula>$J$3="Normal"</formula>
    </cfRule>
  </conditionalFormatting>
  <conditionalFormatting sqref="J4">
    <cfRule type="expression" dxfId="57" priority="46">
      <formula>$J$4="YES"</formula>
    </cfRule>
  </conditionalFormatting>
  <conditionalFormatting sqref="J5">
    <cfRule type="expression" dxfId="56" priority="45">
      <formula>$J$5="Vertical"</formula>
    </cfRule>
  </conditionalFormatting>
  <conditionalFormatting sqref="J6">
    <cfRule type="expression" dxfId="55" priority="44">
      <formula>$J$6="YES"</formula>
    </cfRule>
  </conditionalFormatting>
  <conditionalFormatting sqref="J7">
    <cfRule type="expression" dxfId="54" priority="43">
      <formula>$J$7="YES"</formula>
    </cfRule>
  </conditionalFormatting>
  <conditionalFormatting sqref="J8">
    <cfRule type="expression" dxfId="53" priority="42">
      <formula>$J$8="NO"</formula>
    </cfRule>
  </conditionalFormatting>
  <conditionalFormatting sqref="J9">
    <cfRule type="expression" dxfId="52" priority="53">
      <formula>$J$9="NO"</formula>
    </cfRule>
  </conditionalFormatting>
  <conditionalFormatting sqref="J10">
    <cfRule type="expression" dxfId="51" priority="40">
      <formula>$J$10="Normal"</formula>
    </cfRule>
  </conditionalFormatting>
  <conditionalFormatting sqref="J11">
    <cfRule type="expression" dxfId="50" priority="39">
      <formula>$J$11="YES"</formula>
    </cfRule>
  </conditionalFormatting>
  <conditionalFormatting sqref="J12">
    <cfRule type="expression" dxfId="49" priority="38">
      <formula>$J$12="NO"</formula>
    </cfRule>
  </conditionalFormatting>
  <conditionalFormatting sqref="J13">
    <cfRule type="expression" dxfId="48" priority="49">
      <formula>$J$13="YES"</formula>
    </cfRule>
  </conditionalFormatting>
  <conditionalFormatting sqref="K2">
    <cfRule type="expression" dxfId="47" priority="36">
      <formula>$K$2="Normal"</formula>
    </cfRule>
  </conditionalFormatting>
  <conditionalFormatting sqref="K3">
    <cfRule type="expression" dxfId="46" priority="35">
      <formula>$K$3="Normal"</formula>
    </cfRule>
  </conditionalFormatting>
  <conditionalFormatting sqref="K4">
    <cfRule type="expression" dxfId="45" priority="34">
      <formula>$K$4="YES"</formula>
    </cfRule>
  </conditionalFormatting>
  <conditionalFormatting sqref="K5">
    <cfRule type="expression" dxfId="44" priority="33">
      <formula>$K$5="Vertical"</formula>
    </cfRule>
  </conditionalFormatting>
  <conditionalFormatting sqref="K6">
    <cfRule type="expression" dxfId="43" priority="32">
      <formula>$K$6="YES"</formula>
    </cfRule>
  </conditionalFormatting>
  <conditionalFormatting sqref="K7">
    <cfRule type="expression" dxfId="42" priority="31">
      <formula>$K$7="YES"</formula>
    </cfRule>
  </conditionalFormatting>
  <conditionalFormatting sqref="K8">
    <cfRule type="expression" dxfId="41" priority="30">
      <formula>$K$8="NO"</formula>
    </cfRule>
  </conditionalFormatting>
  <conditionalFormatting sqref="K9">
    <cfRule type="expression" dxfId="40" priority="29">
      <formula>$K$9="NO"</formula>
    </cfRule>
  </conditionalFormatting>
  <conditionalFormatting sqref="K10">
    <cfRule type="expression" dxfId="39" priority="28">
      <formula>$K$10="Normal"</formula>
    </cfRule>
  </conditionalFormatting>
  <conditionalFormatting sqref="K11">
    <cfRule type="expression" dxfId="38" priority="27">
      <formula>$K$11="YES"</formula>
    </cfRule>
  </conditionalFormatting>
  <conditionalFormatting sqref="K12">
    <cfRule type="expression" dxfId="37" priority="26">
      <formula>$K$12="NO"</formula>
    </cfRule>
  </conditionalFormatting>
  <conditionalFormatting sqref="K13">
    <cfRule type="expression" dxfId="36" priority="25">
      <formula>$K$13="YES"</formula>
    </cfRule>
  </conditionalFormatting>
  <conditionalFormatting sqref="L2">
    <cfRule type="expression" dxfId="35" priority="24">
      <formula>$L$2="Normal"</formula>
    </cfRule>
  </conditionalFormatting>
  <conditionalFormatting sqref="L3">
    <cfRule type="expression" dxfId="34" priority="23">
      <formula>$L$3="Normal"</formula>
    </cfRule>
  </conditionalFormatting>
  <conditionalFormatting sqref="L4">
    <cfRule type="expression" dxfId="33" priority="22">
      <formula>$L$4="YES"</formula>
    </cfRule>
  </conditionalFormatting>
  <conditionalFormatting sqref="L5">
    <cfRule type="expression" dxfId="32" priority="21">
      <formula>$L$5="Vertical"</formula>
    </cfRule>
  </conditionalFormatting>
  <conditionalFormatting sqref="L6">
    <cfRule type="expression" dxfId="31" priority="20">
      <formula>$L$6="YES"</formula>
    </cfRule>
  </conditionalFormatting>
  <conditionalFormatting sqref="L7">
    <cfRule type="expression" dxfId="30" priority="19">
      <formula>$L$7="YES"</formula>
    </cfRule>
  </conditionalFormatting>
  <conditionalFormatting sqref="L8">
    <cfRule type="expression" dxfId="29" priority="18">
      <formula>$L$8="NO"</formula>
    </cfRule>
  </conditionalFormatting>
  <conditionalFormatting sqref="L9">
    <cfRule type="expression" dxfId="28" priority="17">
      <formula>$L$9="NO"</formula>
    </cfRule>
  </conditionalFormatting>
  <conditionalFormatting sqref="L10">
    <cfRule type="expression" dxfId="27" priority="16">
      <formula>$L$10="Normal"</formula>
    </cfRule>
  </conditionalFormatting>
  <conditionalFormatting sqref="L11">
    <cfRule type="expression" dxfId="26" priority="15">
      <formula>$L$11="YES"</formula>
    </cfRule>
  </conditionalFormatting>
  <conditionalFormatting sqref="L12">
    <cfRule type="expression" dxfId="25" priority="14">
      <formula>$L$12="NO"</formula>
    </cfRule>
  </conditionalFormatting>
  <conditionalFormatting sqref="L13">
    <cfRule type="expression" dxfId="24" priority="13">
      <formula>$L$13="YES"</formula>
    </cfRule>
  </conditionalFormatting>
  <conditionalFormatting sqref="M2">
    <cfRule type="expression" dxfId="23" priority="12">
      <formula>$M$2="Normal"</formula>
    </cfRule>
  </conditionalFormatting>
  <conditionalFormatting sqref="M3">
    <cfRule type="expression" dxfId="22" priority="11">
      <formula>$M$3="Normal"</formula>
    </cfRule>
  </conditionalFormatting>
  <conditionalFormatting sqref="M4">
    <cfRule type="expression" dxfId="21" priority="10">
      <formula>$M$4="YES"</formula>
    </cfRule>
  </conditionalFormatting>
  <conditionalFormatting sqref="M5">
    <cfRule type="expression" dxfId="20" priority="9">
      <formula>$M$5="Vertical"</formula>
    </cfRule>
  </conditionalFormatting>
  <conditionalFormatting sqref="M6">
    <cfRule type="expression" dxfId="19" priority="8">
      <formula>$M$6="YES"</formula>
    </cfRule>
  </conditionalFormatting>
  <conditionalFormatting sqref="M7">
    <cfRule type="expression" dxfId="18" priority="7">
      <formula>$M$7="YES"</formula>
    </cfRule>
  </conditionalFormatting>
  <conditionalFormatting sqref="M8">
    <cfRule type="expression" dxfId="17" priority="6">
      <formula>$M$8="NO"</formula>
    </cfRule>
  </conditionalFormatting>
  <conditionalFormatting sqref="M9">
    <cfRule type="expression" dxfId="16" priority="5">
      <formula>$M$9="NO"</formula>
    </cfRule>
  </conditionalFormatting>
  <conditionalFormatting sqref="M10">
    <cfRule type="expression" dxfId="15" priority="4">
      <formula>$M$10="Normal"</formula>
    </cfRule>
  </conditionalFormatting>
  <conditionalFormatting sqref="M11">
    <cfRule type="expression" dxfId="14" priority="3">
      <formula>$M$11="YES"</formula>
    </cfRule>
  </conditionalFormatting>
  <conditionalFormatting sqref="M12">
    <cfRule type="expression" dxfId="13" priority="2">
      <formula>$M$12="NO"</formula>
    </cfRule>
  </conditionalFormatting>
  <conditionalFormatting sqref="M13">
    <cfRule type="expression" dxfId="12" priority="1">
      <formula>$M$13="YES"</formula>
    </cfRule>
  </conditionalFormatting>
  <conditionalFormatting sqref="N2">
    <cfRule type="expression" dxfId="11" priority="60">
      <formula>$N$2="Normal"</formula>
    </cfRule>
  </conditionalFormatting>
  <conditionalFormatting sqref="N3">
    <cfRule type="expression" dxfId="10" priority="59">
      <formula>$N$3="Normal"</formula>
    </cfRule>
  </conditionalFormatting>
  <conditionalFormatting sqref="N4">
    <cfRule type="expression" dxfId="9" priority="58">
      <formula>$N$4="YES"</formula>
    </cfRule>
  </conditionalFormatting>
  <conditionalFormatting sqref="N5">
    <cfRule type="expression" dxfId="8" priority="57">
      <formula>$N$5="Vertical"</formula>
    </cfRule>
  </conditionalFormatting>
  <conditionalFormatting sqref="N6">
    <cfRule type="expression" dxfId="7" priority="56">
      <formula>$N$6="YES"</formula>
    </cfRule>
  </conditionalFormatting>
  <conditionalFormatting sqref="N7">
    <cfRule type="expression" dxfId="6" priority="55">
      <formula>$N$7="YES"</formula>
    </cfRule>
  </conditionalFormatting>
  <conditionalFormatting sqref="N8">
    <cfRule type="expression" dxfId="5" priority="54">
      <formula>$N$8="NO"</formula>
    </cfRule>
  </conditionalFormatting>
  <conditionalFormatting sqref="N9">
    <cfRule type="expression" dxfId="4" priority="41">
      <formula>$N$9="NO"</formula>
    </cfRule>
  </conditionalFormatting>
  <conditionalFormatting sqref="N10">
    <cfRule type="expression" dxfId="3" priority="52">
      <formula>$N$10="Normal"</formula>
    </cfRule>
  </conditionalFormatting>
  <conditionalFormatting sqref="N11">
    <cfRule type="expression" dxfId="2" priority="51">
      <formula>$N$11="YES"</formula>
    </cfRule>
  </conditionalFormatting>
  <conditionalFormatting sqref="N12">
    <cfRule type="expression" dxfId="1" priority="50">
      <formula>$N$12="NO"</formula>
    </cfRule>
  </conditionalFormatting>
  <conditionalFormatting sqref="N13">
    <cfRule type="expression" dxfId="0" priority="37">
      <formula>$N$13="YES"</formula>
    </cfRule>
  </conditionalFormatting>
  <pageMargins left="0.7" right="0.7" top="0.75" bottom="0.75" header="0.3" footer="0.3"/>
  <pageSetup orientation="portrait" r:id="rId1"/>
  <ignoredErrors>
    <ignoredError sqref="C24:D24" formula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7B1B4F3-5A64-4261-8D85-A81CB62D0792}">
          <x14:formula1>
            <xm:f>Sheet4!$A$2:$A$4</xm:f>
          </x14:formula1>
          <xm:sqref>C2:P2</xm:sqref>
        </x14:dataValidation>
        <x14:dataValidation type="list" allowBlank="1" showInputMessage="1" showErrorMessage="1" xr:uid="{92255CDC-50DD-4C3E-A07F-E938F7431E3A}">
          <x14:formula1>
            <xm:f>Sheet4!$C$2:$C$3</xm:f>
          </x14:formula1>
          <xm:sqref>C4:P4 C6:P9 C11:P13</xm:sqref>
        </x14:dataValidation>
        <x14:dataValidation type="list" allowBlank="1" showInputMessage="1" showErrorMessage="1" xr:uid="{057E112D-38E1-49CD-91AE-D63EAFFD4531}">
          <x14:formula1>
            <xm:f>Sheet4!$E$2:$E$5</xm:f>
          </x14:formula1>
          <xm:sqref>C10:P10</xm:sqref>
        </x14:dataValidation>
        <x14:dataValidation type="list" allowBlank="1" showInputMessage="1" showErrorMessage="1" xr:uid="{6C94E3F2-D8BC-4166-B92C-E0DB877A8B74}">
          <x14:formula1>
            <xm:f>Sheet4!$G$2:$G$5</xm:f>
          </x14:formula1>
          <xm:sqref>C5:P5</xm:sqref>
        </x14:dataValidation>
        <x14:dataValidation type="list" allowBlank="1" showInputMessage="1" showErrorMessage="1" xr:uid="{7AEDE07D-B334-449E-A522-160C80039975}">
          <x14:formula1>
            <xm:f>Sheet4!$I$2:$I$4</xm:f>
          </x14:formula1>
          <xm:sqref>C3:P6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99F9-CE2B-46D8-BAB9-12985C21ACBF}">
  <dimension ref="A1:I5"/>
  <sheetViews>
    <sheetView workbookViewId="0">
      <selection activeCell="I1" sqref="A1:XFD1048576"/>
    </sheetView>
  </sheetViews>
  <sheetFormatPr defaultRowHeight="15" x14ac:dyDescent="0.25"/>
  <cols>
    <col min="1" max="1" width="11" customWidth="1"/>
    <col min="3" max="3" width="11" customWidth="1"/>
    <col min="5" max="5" width="11" customWidth="1"/>
    <col min="7" max="7" width="11" customWidth="1"/>
    <col min="9" max="9" width="11" customWidth="1"/>
  </cols>
  <sheetData>
    <row r="1" spans="1:9" x14ac:dyDescent="0.25">
      <c r="A1" t="s">
        <v>43</v>
      </c>
      <c r="C1" t="s">
        <v>43</v>
      </c>
      <c r="E1" t="s">
        <v>43</v>
      </c>
      <c r="G1" t="s">
        <v>43</v>
      </c>
      <c r="I1" t="s">
        <v>43</v>
      </c>
    </row>
    <row r="2" spans="1:9" x14ac:dyDescent="0.25">
      <c r="A2" t="s">
        <v>40</v>
      </c>
      <c r="C2" t="s">
        <v>47</v>
      </c>
      <c r="E2" t="s">
        <v>40</v>
      </c>
      <c r="G2" t="s">
        <v>57</v>
      </c>
      <c r="I2" t="s">
        <v>40</v>
      </c>
    </row>
    <row r="3" spans="1:9" x14ac:dyDescent="0.25">
      <c r="A3" t="s">
        <v>41</v>
      </c>
      <c r="C3" t="s">
        <v>48</v>
      </c>
      <c r="E3" t="s">
        <v>53</v>
      </c>
      <c r="G3" t="s">
        <v>58</v>
      </c>
      <c r="I3" t="s">
        <v>19</v>
      </c>
    </row>
    <row r="4" spans="1:9" x14ac:dyDescent="0.25">
      <c r="A4" t="s">
        <v>42</v>
      </c>
      <c r="E4" t="s">
        <v>54</v>
      </c>
      <c r="G4" t="s">
        <v>59</v>
      </c>
      <c r="I4" t="s">
        <v>61</v>
      </c>
    </row>
    <row r="5" spans="1:9" x14ac:dyDescent="0.25">
      <c r="E5" t="s">
        <v>55</v>
      </c>
      <c r="G5" t="s">
        <v>60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Upcoming News</vt:lpstr>
      <vt:lpstr>Insights</vt:lpstr>
      <vt:lpstr>Strategy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2015-06-05T18:17:20Z</dcterms:created>
  <dcterms:modified xsi:type="dcterms:W3CDTF">2025-05-09T08:35:26Z</dcterms:modified>
</cp:coreProperties>
</file>