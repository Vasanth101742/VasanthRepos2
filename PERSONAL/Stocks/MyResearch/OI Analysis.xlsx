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lgi-my.sharepoint.com/personal/vasanthk_elgi_com/Documents/Desktop/Desktop Files/Personal/Vasanth Desktop Items/Vasanth/Stk2/Options/"/>
    </mc:Choice>
  </mc:AlternateContent>
  <xr:revisionPtr revIDLastSave="2540" documentId="11_F25DC773A252ABDACC104860B99F5E005BDE58EE" xr6:coauthVersionLast="47" xr6:coauthVersionMax="47" xr10:uidLastSave="{DB3DCE9F-30FC-44D2-8605-4E063ADFEDDA}"/>
  <bookViews>
    <workbookView xWindow="-120" yWindow="-120" windowWidth="20730" windowHeight="11040" activeTab="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definedNames>
    <definedName name="_xlnm._FilterDatabase" localSheetId="4" hidden="1">Sheet5!$A$1:$K$20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2" i="7" l="1"/>
  <c r="O73" i="7"/>
  <c r="I6" i="1" l="1"/>
  <c r="A27" i="5" l="1"/>
  <c r="F5" i="3" l="1"/>
  <c r="E5" i="3"/>
  <c r="C5" i="3"/>
  <c r="K20" i="5"/>
  <c r="K19" i="5"/>
  <c r="K16" i="5"/>
  <c r="K13" i="5"/>
  <c r="K8" i="5"/>
  <c r="K7" i="5"/>
  <c r="K6" i="5"/>
  <c r="K5" i="5"/>
  <c r="K3" i="5"/>
  <c r="K2" i="5"/>
  <c r="K4" i="5"/>
  <c r="K9" i="5"/>
  <c r="K10" i="5"/>
  <c r="K11" i="5"/>
  <c r="K12" i="5"/>
  <c r="K14" i="5"/>
  <c r="K15" i="5"/>
  <c r="K17" i="5"/>
  <c r="K18" i="5"/>
  <c r="S3" i="1"/>
  <c r="S8" i="1"/>
  <c r="Q12" i="1"/>
  <c r="G7" i="4" l="1"/>
  <c r="F7" i="4"/>
  <c r="D7" i="4"/>
  <c r="D2" i="4"/>
  <c r="D3" i="4"/>
  <c r="D4" i="4"/>
  <c r="D5" i="4"/>
  <c r="D6" i="4"/>
  <c r="D1" i="4"/>
  <c r="C7" i="4"/>
  <c r="I19" i="2"/>
  <c r="K19" i="2" s="1"/>
  <c r="J19" i="2"/>
  <c r="I20" i="2"/>
  <c r="J20" i="2"/>
  <c r="I21" i="2"/>
  <c r="J21" i="2"/>
  <c r="I22" i="2"/>
  <c r="J22" i="2"/>
  <c r="K22" i="2" s="1"/>
  <c r="I23" i="2"/>
  <c r="J23" i="2"/>
  <c r="K23" i="2"/>
  <c r="I24" i="2"/>
  <c r="J24" i="2"/>
  <c r="I25" i="2"/>
  <c r="J25" i="2"/>
  <c r="I26" i="2"/>
  <c r="J26" i="2"/>
  <c r="K26" i="2"/>
  <c r="I27" i="2"/>
  <c r="K27" i="2" s="1"/>
  <c r="J27" i="2"/>
  <c r="I28" i="2"/>
  <c r="J28" i="2"/>
  <c r="K28" i="2" s="1"/>
  <c r="I29" i="2"/>
  <c r="J29" i="2"/>
  <c r="I30" i="2"/>
  <c r="J30" i="2"/>
  <c r="K30" i="2"/>
  <c r="H19" i="2"/>
  <c r="H20" i="2"/>
  <c r="H21" i="2"/>
  <c r="H22" i="2"/>
  <c r="H23" i="2"/>
  <c r="H24" i="2"/>
  <c r="H25" i="2"/>
  <c r="H26" i="2"/>
  <c r="H27" i="2"/>
  <c r="H28" i="2"/>
  <c r="H29" i="2"/>
  <c r="H30" i="2"/>
  <c r="J3" i="2"/>
  <c r="J4" i="2"/>
  <c r="J5" i="2"/>
  <c r="J6" i="2"/>
  <c r="J7" i="2"/>
  <c r="J8" i="2"/>
  <c r="J9" i="2"/>
  <c r="J10" i="2"/>
  <c r="J11" i="2"/>
  <c r="J12" i="2"/>
  <c r="J13" i="2"/>
  <c r="J14" i="2"/>
  <c r="I3" i="2"/>
  <c r="K3" i="2" s="1"/>
  <c r="I4" i="2"/>
  <c r="K4" i="2" s="1"/>
  <c r="I5" i="2"/>
  <c r="K5" i="2" s="1"/>
  <c r="I6" i="2"/>
  <c r="K6" i="2" s="1"/>
  <c r="I7" i="2"/>
  <c r="K7" i="2" s="1"/>
  <c r="I8" i="2"/>
  <c r="I9" i="2"/>
  <c r="K9" i="2" s="1"/>
  <c r="I10" i="2"/>
  <c r="K10" i="2" s="1"/>
  <c r="I11" i="2"/>
  <c r="K11" i="2" s="1"/>
  <c r="I12" i="2"/>
  <c r="K12" i="2" s="1"/>
  <c r="I13" i="2"/>
  <c r="K13" i="2" s="1"/>
  <c r="I14" i="2"/>
  <c r="K14" i="2" s="1"/>
  <c r="H3" i="2"/>
  <c r="H4" i="2"/>
  <c r="H5" i="2"/>
  <c r="H6" i="2"/>
  <c r="H7" i="2"/>
  <c r="H8" i="2"/>
  <c r="H9" i="2"/>
  <c r="H10" i="2"/>
  <c r="H11" i="2"/>
  <c r="H12" i="2"/>
  <c r="H13" i="2"/>
  <c r="H14" i="2"/>
  <c r="D4" i="3"/>
  <c r="D3" i="3"/>
  <c r="D2" i="3"/>
  <c r="D1" i="3"/>
  <c r="J18" i="2"/>
  <c r="I18" i="2"/>
  <c r="K18" i="2" s="1"/>
  <c r="H18" i="2"/>
  <c r="J2" i="2"/>
  <c r="I2" i="2"/>
  <c r="K2" i="2" s="1"/>
  <c r="H2" i="2"/>
  <c r="D5" i="3" l="1"/>
  <c r="K8" i="2"/>
  <c r="K20" i="2"/>
  <c r="K21" i="2"/>
  <c r="K25" i="2"/>
  <c r="K24" i="2"/>
  <c r="K29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G1" i="1"/>
  <c r="L1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2" i="1"/>
  <c r="I3" i="1"/>
  <c r="I4" i="1"/>
  <c r="I5" i="1"/>
  <c r="I7" i="1"/>
  <c r="I8" i="1"/>
  <c r="I9" i="1"/>
  <c r="I10" i="1"/>
  <c r="I11" i="1"/>
  <c r="I12" i="1"/>
  <c r="I13" i="1"/>
  <c r="I14" i="1"/>
  <c r="I15" i="1"/>
  <c r="I2" i="1"/>
  <c r="D2" i="1"/>
  <c r="E6" i="1" l="1"/>
  <c r="E5" i="1"/>
  <c r="E4" i="1"/>
  <c r="E3" i="1"/>
  <c r="S5" i="1" l="1"/>
  <c r="S6" i="1"/>
  <c r="S7" i="1"/>
  <c r="S13" i="1"/>
  <c r="S4" i="1"/>
  <c r="S2" i="1"/>
  <c r="O4" i="1"/>
  <c r="O14" i="1"/>
  <c r="O15" i="1"/>
  <c r="J11" i="1"/>
  <c r="J14" i="1"/>
  <c r="J15" i="1"/>
  <c r="E10" i="1"/>
  <c r="E14" i="1"/>
  <c r="E15" i="1"/>
  <c r="S12" i="1" l="1"/>
  <c r="O13" i="1"/>
  <c r="J13" i="1"/>
  <c r="E13" i="1"/>
  <c r="E12" i="1"/>
  <c r="O12" i="1"/>
  <c r="J12" i="1"/>
  <c r="O11" i="1"/>
  <c r="O10" i="1"/>
  <c r="J10" i="1"/>
  <c r="O9" i="1"/>
  <c r="E9" i="1"/>
  <c r="J8" i="1"/>
  <c r="O7" i="1"/>
  <c r="J7" i="1"/>
  <c r="E7" i="1"/>
  <c r="O6" i="1"/>
  <c r="J6" i="1"/>
  <c r="O5" i="1"/>
  <c r="J4" i="1"/>
  <c r="O3" i="1"/>
  <c r="J3" i="1"/>
  <c r="J9" i="1"/>
  <c r="J5" i="1"/>
  <c r="E11" i="1"/>
  <c r="E8" i="1"/>
  <c r="O8" i="1"/>
  <c r="T11" i="1" l="1"/>
  <c r="T10" i="1" s="1"/>
  <c r="V11" i="1"/>
  <c r="V10" i="1" s="1"/>
  <c r="T12" i="1"/>
  <c r="T13" i="1" s="1"/>
  <c r="R12" i="1"/>
  <c r="U12" i="1"/>
  <c r="U13" i="1" s="1"/>
</calcChain>
</file>

<file path=xl/sharedStrings.xml><?xml version="1.0" encoding="utf-8"?>
<sst xmlns="http://schemas.openxmlformats.org/spreadsheetml/2006/main" count="2176" uniqueCount="322">
  <si>
    <t>0-3</t>
  </si>
  <si>
    <t>3-6</t>
  </si>
  <si>
    <t>6-9</t>
  </si>
  <si>
    <t>9-12</t>
  </si>
  <si>
    <t>12-15</t>
  </si>
  <si>
    <t>&gt;15</t>
  </si>
  <si>
    <t>Column_name</t>
  </si>
  <si>
    <t>Type</t>
  </si>
  <si>
    <t>Computed</t>
  </si>
  <si>
    <t>Length</t>
  </si>
  <si>
    <t>Prec</t>
  </si>
  <si>
    <t>Scale</t>
  </si>
  <si>
    <t>Nullable</t>
  </si>
  <si>
    <t>TrimTrailingBlanks</t>
  </si>
  <si>
    <t>FixedLenNullInSource</t>
  </si>
  <si>
    <t>Collation</t>
  </si>
  <si>
    <t>COMPANY</t>
  </si>
  <si>
    <t>decimal</t>
  </si>
  <si>
    <t>no</t>
  </si>
  <si>
    <t>yes</t>
  </si>
  <si>
    <t>(n/a)</t>
  </si>
  <si>
    <t>NULL</t>
  </si>
  <si>
    <t>UQNO</t>
  </si>
  <si>
    <t>ORNO</t>
  </si>
  <si>
    <t>nvarchar</t>
  </si>
  <si>
    <t xml:space="preserve">     </t>
  </si>
  <si>
    <t>SQL_Latin1_General_CP1_CI_AS</t>
  </si>
  <si>
    <t>PONO</t>
  </si>
  <si>
    <t>SRNB</t>
  </si>
  <si>
    <t>SCHD</t>
  </si>
  <si>
    <t>PACK</t>
  </si>
  <si>
    <t>DDAT</t>
  </si>
  <si>
    <t>datetime2</t>
  </si>
  <si>
    <t>CLDT</t>
  </si>
  <si>
    <t>PDNO</t>
  </si>
  <si>
    <t>UPDT</t>
  </si>
  <si>
    <t>UPTM</t>
  </si>
  <si>
    <t>LOGN</t>
  </si>
  <si>
    <t>PDAT</t>
  </si>
  <si>
    <t>PTIM</t>
  </si>
  <si>
    <t>PLOG</t>
  </si>
  <si>
    <t>ITEM</t>
  </si>
  <si>
    <t>REFCNTD</t>
  </si>
  <si>
    <t>REFCNTU</t>
  </si>
  <si>
    <t>Sl. No</t>
  </si>
  <si>
    <t>Project / Requirement</t>
  </si>
  <si>
    <t>Responsible</t>
  </si>
  <si>
    <t>Status</t>
  </si>
  <si>
    <t>Project PACE – Dashboard on key customer visits</t>
  </si>
  <si>
    <t>Nagaveni</t>
  </si>
  <si>
    <t>Completed</t>
  </si>
  <si>
    <t>Automatic Review Deck</t>
  </si>
  <si>
    <t>Vasanth</t>
  </si>
  <si>
    <t>In progress</t>
  </si>
  <si>
    <t>Data available – need this in Mar’25</t>
  </si>
  <si>
    <t>Service Due Report – Modification on logic</t>
  </si>
  <si>
    <t>Vasanth / Nagaveni</t>
  </si>
  <si>
    <t>Yet to start –</t>
  </si>
  <si>
    <t>Required in Mar’26 at least on basic</t>
  </si>
  <si>
    <r>
      <t xml:space="preserve">This is a very critical file </t>
    </r>
    <r>
      <rPr>
        <sz val="11"/>
        <color theme="1"/>
        <rFont val="Aptos"/>
        <family val="2"/>
      </rPr>
      <t>which we review every week with regional team. Helps us in Service &amp; Sales.</t>
    </r>
  </si>
  <si>
    <t>Service Due Report – Dryer ( New Requirement)</t>
  </si>
  <si>
    <t>BI Team</t>
  </si>
  <si>
    <t>Yet to start</t>
  </si>
  <si>
    <t>User Remarks</t>
  </si>
  <si>
    <t>BI Remarks</t>
  </si>
  <si>
    <t xml:space="preserve">Requirement is not clear. Hence it is not possible to conclude Number of Tasks required with Effort estimation </t>
  </si>
  <si>
    <r>
      <t xml:space="preserve">Can be completed by March 2026 considering the </t>
    </r>
    <r>
      <rPr>
        <b/>
        <sz val="11"/>
        <color theme="1"/>
        <rFont val="Calibri"/>
        <family val="2"/>
        <scheme val="minor"/>
      </rPr>
      <t xml:space="preserve">User requirements given as of 25-02-2026 will be considered final </t>
    </r>
    <r>
      <rPr>
        <sz val="11"/>
        <color theme="1"/>
        <rFont val="Calibri"/>
        <family val="2"/>
        <scheme val="minor"/>
      </rPr>
      <t>and no additional requirements will be added further</t>
    </r>
  </si>
  <si>
    <t>750 C</t>
  </si>
  <si>
    <t>compnr</t>
  </si>
  <si>
    <t>bigint</t>
  </si>
  <si>
    <t>ttyp</t>
  </si>
  <si>
    <t>ninv</t>
  </si>
  <si>
    <t>line</t>
  </si>
  <si>
    <t>tdoc</t>
  </si>
  <si>
    <t>docn</t>
  </si>
  <si>
    <t>lino</t>
  </si>
  <si>
    <t>itbp</t>
  </si>
  <si>
    <t>docd</t>
  </si>
  <si>
    <t>date</t>
  </si>
  <si>
    <t>trec</t>
  </si>
  <si>
    <t>trec_kw</t>
  </si>
  <si>
    <t>ccur</t>
  </si>
  <si>
    <t>rate_1</t>
  </si>
  <si>
    <t>float</t>
  </si>
  <si>
    <t>rate_2</t>
  </si>
  <si>
    <t>rate_3</t>
  </si>
  <si>
    <t>ratf_1</t>
  </si>
  <si>
    <t>ratf_2</t>
  </si>
  <si>
    <t>ratf_3</t>
  </si>
  <si>
    <t>rade</t>
  </si>
  <si>
    <t>rade_kw</t>
  </si>
  <si>
    <t>amnt</t>
  </si>
  <si>
    <t>amti</t>
  </si>
  <si>
    <t>amth_1</t>
  </si>
  <si>
    <t>amth_2</t>
  </si>
  <si>
    <t>amth_3</t>
  </si>
  <si>
    <t>ratd</t>
  </si>
  <si>
    <t>datetime</t>
  </si>
  <si>
    <t>rtyp</t>
  </si>
  <si>
    <t>vatc</t>
  </si>
  <si>
    <t>cvat</t>
  </si>
  <si>
    <t>vata</t>
  </si>
  <si>
    <t>vati</t>
  </si>
  <si>
    <t>vath_1</t>
  </si>
  <si>
    <t>vath_2</t>
  </si>
  <si>
    <t>vath_3</t>
  </si>
  <si>
    <t>svam</t>
  </si>
  <si>
    <t>svah_1</t>
  </si>
  <si>
    <t>svah_2</t>
  </si>
  <si>
    <t>svah_3</t>
  </si>
  <si>
    <t>lpdt</t>
  </si>
  <si>
    <t>lapa</t>
  </si>
  <si>
    <t>lapi</t>
  </si>
  <si>
    <t>laph_1</t>
  </si>
  <si>
    <t>laph_2</t>
  </si>
  <si>
    <t>laph_3</t>
  </si>
  <si>
    <t>did1</t>
  </si>
  <si>
    <t>dc1a</t>
  </si>
  <si>
    <t>dc1i</t>
  </si>
  <si>
    <t>dc1h_1</t>
  </si>
  <si>
    <t>dc1h_2</t>
  </si>
  <si>
    <t>dc1h_3</t>
  </si>
  <si>
    <t>did2</t>
  </si>
  <si>
    <t>dc2a</t>
  </si>
  <si>
    <t>dc2i</t>
  </si>
  <si>
    <t>dc2h_1</t>
  </si>
  <si>
    <t>dc2h_2</t>
  </si>
  <si>
    <t>dc2h_3</t>
  </si>
  <si>
    <t>did3</t>
  </si>
  <si>
    <t>dc3a</t>
  </si>
  <si>
    <t>dc3i</t>
  </si>
  <si>
    <t>dc3h_1</t>
  </si>
  <si>
    <t>dc3h_2</t>
  </si>
  <si>
    <t>dc3h_3</t>
  </si>
  <si>
    <t>pada</t>
  </si>
  <si>
    <t>padi</t>
  </si>
  <si>
    <t>padh_1</t>
  </si>
  <si>
    <t>padh_2</t>
  </si>
  <si>
    <t>padh_3</t>
  </si>
  <si>
    <t>baco</t>
  </si>
  <si>
    <t>baca_1</t>
  </si>
  <si>
    <t>baca_2</t>
  </si>
  <si>
    <t>baca_3</t>
  </si>
  <si>
    <t>basi</t>
  </si>
  <si>
    <t>cdam_1</t>
  </si>
  <si>
    <t>cdam_2</t>
  </si>
  <si>
    <t>cdam_3</t>
  </si>
  <si>
    <t>tore_1</t>
  </si>
  <si>
    <t>tore_2</t>
  </si>
  <si>
    <t>tore_3</t>
  </si>
  <si>
    <t>dued</t>
  </si>
  <si>
    <t>refr</t>
  </si>
  <si>
    <t>ccrs</t>
  </si>
  <si>
    <t>cpay</t>
  </si>
  <si>
    <t>otyp</t>
  </si>
  <si>
    <t>oinv</t>
  </si>
  <si>
    <t>paym</t>
  </si>
  <si>
    <t>proj</t>
  </si>
  <si>
    <t>orno</t>
  </si>
  <si>
    <t>prob</t>
  </si>
  <si>
    <t>prop</t>
  </si>
  <si>
    <t>pref</t>
  </si>
  <si>
    <t>bank</t>
  </si>
  <si>
    <t>lett</t>
  </si>
  <si>
    <t>post</t>
  </si>
  <si>
    <t>pdat</t>
  </si>
  <si>
    <t>balc</t>
  </si>
  <si>
    <t>balh_1</t>
  </si>
  <si>
    <t>balh_2</t>
  </si>
  <si>
    <t>balh_3</t>
  </si>
  <si>
    <t>bala</t>
  </si>
  <si>
    <t>bahc_1</t>
  </si>
  <si>
    <t>bahc_2</t>
  </si>
  <si>
    <t>bahc_3</t>
  </si>
  <si>
    <t>stat</t>
  </si>
  <si>
    <t>stat_kw</t>
  </si>
  <si>
    <t>year</t>
  </si>
  <si>
    <t>prod</t>
  </si>
  <si>
    <t>btno</t>
  </si>
  <si>
    <t>vaty</t>
  </si>
  <si>
    <t>vatp</t>
  </si>
  <si>
    <t>crep</t>
  </si>
  <si>
    <t>liqd</t>
  </si>
  <si>
    <t>adrs</t>
  </si>
  <si>
    <t>lamt</t>
  </si>
  <si>
    <t>step</t>
  </si>
  <si>
    <t>step_kw</t>
  </si>
  <si>
    <t>rcpt</t>
  </si>
  <si>
    <t>rcpt_kw</t>
  </si>
  <si>
    <t>doub</t>
  </si>
  <si>
    <t>doub_kw</t>
  </si>
  <si>
    <t>cain</t>
  </si>
  <si>
    <t>cain_kw</t>
  </si>
  <si>
    <t>lvat</t>
  </si>
  <si>
    <t>lvat_kw</t>
  </si>
  <si>
    <t>typa</t>
  </si>
  <si>
    <t>doca</t>
  </si>
  <si>
    <t>pfbp</t>
  </si>
  <si>
    <t>ofbp</t>
  </si>
  <si>
    <t>leac</t>
  </si>
  <si>
    <t>dim1</t>
  </si>
  <si>
    <t>dim2</t>
  </si>
  <si>
    <t>dim3</t>
  </si>
  <si>
    <t>dim4</t>
  </si>
  <si>
    <t>dim5</t>
  </si>
  <si>
    <t>dim6</t>
  </si>
  <si>
    <t>dim7</t>
  </si>
  <si>
    <t>dim8</t>
  </si>
  <si>
    <t>dim9</t>
  </si>
  <si>
    <t>dm10</t>
  </si>
  <si>
    <t>dm11</t>
  </si>
  <si>
    <t>dm12</t>
  </si>
  <si>
    <t>arrq</t>
  </si>
  <si>
    <t>arrq_kw</t>
  </si>
  <si>
    <t>bppn</t>
  </si>
  <si>
    <t>rcod</t>
  </si>
  <si>
    <t>dbnt</t>
  </si>
  <si>
    <t>dbnt_kw</t>
  </si>
  <si>
    <t>bkrn</t>
  </si>
  <si>
    <t>lcdt</t>
  </si>
  <si>
    <t>styp</t>
  </si>
  <si>
    <t>opbp</t>
  </si>
  <si>
    <t>fcmi</t>
  </si>
  <si>
    <t>fcmt</t>
  </si>
  <si>
    <t>fcmh_1</t>
  </si>
  <si>
    <t>fcmh_2</t>
  </si>
  <si>
    <t>fcmh_3</t>
  </si>
  <si>
    <t>fact</t>
  </si>
  <si>
    <t>fact_kw</t>
  </si>
  <si>
    <t>tnrn</t>
  </si>
  <si>
    <t>cfrs</t>
  </si>
  <si>
    <t>lmbi</t>
  </si>
  <si>
    <t>lmbi_kw</t>
  </si>
  <si>
    <t>mbno</t>
  </si>
  <si>
    <t>osch</t>
  </si>
  <si>
    <t>pysh</t>
  </si>
  <si>
    <t>pysh_kw</t>
  </si>
  <si>
    <t>schn</t>
  </si>
  <si>
    <t>sbid</t>
  </si>
  <si>
    <t>csbi</t>
  </si>
  <si>
    <t>rcom</t>
  </si>
  <si>
    <t>rect</t>
  </si>
  <si>
    <t>recd</t>
  </si>
  <si>
    <t>recl</t>
  </si>
  <si>
    <t>nuid</t>
  </si>
  <si>
    <t>sgtp</t>
  </si>
  <si>
    <t>sgtp_kw</t>
  </si>
  <si>
    <t>tbrl</t>
  </si>
  <si>
    <t>bdsp</t>
  </si>
  <si>
    <t>bdsp_kw</t>
  </si>
  <si>
    <t>wros</t>
  </si>
  <si>
    <t>wros_kw</t>
  </si>
  <si>
    <t>reas</t>
  </si>
  <si>
    <t>user</t>
  </si>
  <si>
    <t>txdt</t>
  </si>
  <si>
    <t>owbk</t>
  </si>
  <si>
    <t>regc</t>
  </si>
  <si>
    <t>bpri</t>
  </si>
  <si>
    <t>text</t>
  </si>
  <si>
    <t>txtb</t>
  </si>
  <si>
    <t>cdf_rema</t>
  </si>
  <si>
    <t>ttyp_ref_compnr</t>
  </si>
  <si>
    <t>tdoc_ref_compnr</t>
  </si>
  <si>
    <t>itbp_ref_compnr</t>
  </si>
  <si>
    <t>ccur_ref_compnr</t>
  </si>
  <si>
    <t>vatc_cvat_ref_compnr</t>
  </si>
  <si>
    <t>vatc_ref_compnr</t>
  </si>
  <si>
    <t>cvat_ref_compnr</t>
  </si>
  <si>
    <t>ccrs_ref_compnr</t>
  </si>
  <si>
    <t>cpay_ref_compnr</t>
  </si>
  <si>
    <t>otyp_ref_compnr</t>
  </si>
  <si>
    <t>paym_ref_compnr</t>
  </si>
  <si>
    <t>prob_ref_compnr</t>
  </si>
  <si>
    <t>pref_ref_compnr</t>
  </si>
  <si>
    <t>crep_ref_compnr</t>
  </si>
  <si>
    <t>adrs_ref_compnr</t>
  </si>
  <si>
    <t>typa_ref_compnr</t>
  </si>
  <si>
    <t>pfbp_bank_ref_compnr</t>
  </si>
  <si>
    <t>pfbp_ref_compnr</t>
  </si>
  <si>
    <t>leac_ref_compnr</t>
  </si>
  <si>
    <t>styp_ref_compnr</t>
  </si>
  <si>
    <t>opbp_ref_compnr</t>
  </si>
  <si>
    <t>cfrs_ref_compnr</t>
  </si>
  <si>
    <t>reas_ref_compnr</t>
  </si>
  <si>
    <t>owbk_ref_compnr</t>
  </si>
  <si>
    <t>regc_ref_compnr</t>
  </si>
  <si>
    <t>text_ref_compnr</t>
  </si>
  <si>
    <t>txtb_ref_compnr</t>
  </si>
  <si>
    <t>amth_rfrc</t>
  </si>
  <si>
    <t>amth_dtwc</t>
  </si>
  <si>
    <t>vath_rfrc</t>
  </si>
  <si>
    <t>vath_dtwc</t>
  </si>
  <si>
    <t>laph_rfrc</t>
  </si>
  <si>
    <t>laph_dtwc</t>
  </si>
  <si>
    <t>dc1h_rfrc</t>
  </si>
  <si>
    <t>dc1h_dtwc</t>
  </si>
  <si>
    <t>dc2h_rfrc</t>
  </si>
  <si>
    <t>dc2h_dtwc</t>
  </si>
  <si>
    <t>dc3h_rfrc</t>
  </si>
  <si>
    <t>dc3h_dtwc</t>
  </si>
  <si>
    <t>padh_rfrc</t>
  </si>
  <si>
    <t>padh_dtwc</t>
  </si>
  <si>
    <t>baca_rfrc</t>
  </si>
  <si>
    <t>baca_dtwc</t>
  </si>
  <si>
    <t>baca_invc</t>
  </si>
  <si>
    <t>balh_rfrc</t>
  </si>
  <si>
    <t>balh_dtwc</t>
  </si>
  <si>
    <t>bahc_rfrc</t>
  </si>
  <si>
    <t>bahc_dtwc</t>
  </si>
  <si>
    <t>cdam_rfrc</t>
  </si>
  <si>
    <t>cdam_dtwc</t>
  </si>
  <si>
    <t>cdam_invc</t>
  </si>
  <si>
    <t>tore_rfrc</t>
  </si>
  <si>
    <t>tore_dtwc</t>
  </si>
  <si>
    <t>tore_invc</t>
  </si>
  <si>
    <t>deleted</t>
  </si>
  <si>
    <t>nchar</t>
  </si>
  <si>
    <t>username</t>
  </si>
  <si>
    <t>timestamp</t>
  </si>
  <si>
    <t>sequencenumber</t>
  </si>
  <si>
    <t>dlDocumentDate</t>
  </si>
  <si>
    <t>500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</si>
</sst>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20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9" fontId="0" fillId="0" borderId="0" xfId="1" applyFont="1"/>
    <xf numFmtId="0" fontId="2" fillId="0" borderId="0" xfId="0" applyFont="1"/>
    <xf numFmtId="2" fontId="2" fillId="0" borderId="0" xfId="0" applyNumberFormat="1" applyFont="1"/>
    <xf numFmtId="1" fontId="0" fillId="0" borderId="0" xfId="0" applyNumberFormat="1" applyAlignment="1">
      <alignment horizontal="center"/>
    </xf>
    <xf numFmtId="1" fontId="0" fillId="0" borderId="0" xfId="0" applyNumberFormat="1"/>
    <xf numFmtId="49" fontId="0" fillId="0" borderId="0" xfId="0" applyNumberFormat="1"/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0" fillId="2" borderId="1" xfId="0" applyFill="1" applyBorder="1" applyAlignment="1">
      <alignment horizontal="left" wrapText="1"/>
    </xf>
    <xf numFmtId="164" fontId="0" fillId="0" borderId="0" xfId="1" applyNumberFormat="1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</cellXfs>
  <cellStyles count="2">
    <cellStyle name="Normal" xfId="0" builtinId="0"/>
    <cellStyle name="Percent" xfId="1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15"/>
  <sheetViews>
    <sheetView workbookViewId="0">
      <selection activeCell="L2" sqref="L2:M13"/>
    </sheetView>
  </sheetViews>
  <sheetFormatPr defaultRowHeight="15" x14ac:dyDescent="0.25"/>
  <cols>
    <col min="5" max="5" width="6.140625" hidden="1" customWidth="1"/>
    <col min="10" max="10" width="6.42578125" hidden="1" customWidth="1"/>
    <col min="15" max="15" width="6.85546875" hidden="1" customWidth="1"/>
    <col min="18" max="18" width="9.140625" style="3"/>
    <col min="19" max="19" width="9.5703125" style="3" bestFit="1" customWidth="1"/>
    <col min="20" max="20" width="9.140625" style="3"/>
  </cols>
  <sheetData>
    <row r="1" spans="1:22" x14ac:dyDescent="0.25">
      <c r="B1" s="14">
        <v>23450</v>
      </c>
      <c r="C1" s="14"/>
      <c r="D1" s="2"/>
      <c r="G1" s="14">
        <f>B1+50</f>
        <v>23500</v>
      </c>
      <c r="H1" s="14"/>
      <c r="I1" s="2"/>
      <c r="L1" s="14">
        <f>G1+50</f>
        <v>23550</v>
      </c>
      <c r="M1" s="14"/>
    </row>
    <row r="2" spans="1:22" x14ac:dyDescent="0.25">
      <c r="A2" s="1">
        <v>0.39583333333333331</v>
      </c>
      <c r="D2">
        <f>C2-B2</f>
        <v>0</v>
      </c>
      <c r="I2">
        <f>H2-G2</f>
        <v>0</v>
      </c>
      <c r="N2">
        <f>M2-L2</f>
        <v>0</v>
      </c>
      <c r="Q2">
        <v>65</v>
      </c>
      <c r="S2" s="3">
        <f>Q2*R2</f>
        <v>0</v>
      </c>
    </row>
    <row r="3" spans="1:22" x14ac:dyDescent="0.25">
      <c r="A3" s="1">
        <v>0.40625</v>
      </c>
      <c r="D3">
        <f>C3-B3</f>
        <v>0</v>
      </c>
      <c r="E3">
        <f>D3-D2</f>
        <v>0</v>
      </c>
      <c r="I3">
        <f>H3-G3</f>
        <v>0</v>
      </c>
      <c r="J3">
        <f>I3-I2</f>
        <v>0</v>
      </c>
      <c r="N3">
        <f>M3-L3</f>
        <v>0</v>
      </c>
      <c r="O3">
        <f>N3-N2</f>
        <v>0</v>
      </c>
      <c r="Q3">
        <v>195</v>
      </c>
      <c r="S3" s="3">
        <f>Q3*R3</f>
        <v>0</v>
      </c>
    </row>
    <row r="4" spans="1:22" x14ac:dyDescent="0.25">
      <c r="A4" s="1">
        <v>0.41666666666666669</v>
      </c>
      <c r="D4">
        <f t="shared" ref="D4:D15" si="0">C4-B4</f>
        <v>0</v>
      </c>
      <c r="E4">
        <f>D4-D3</f>
        <v>0</v>
      </c>
      <c r="I4">
        <f>H4-G4</f>
        <v>0</v>
      </c>
      <c r="J4">
        <f t="shared" ref="J4:J15" si="1">I4-I3</f>
        <v>0</v>
      </c>
      <c r="N4">
        <f t="shared" ref="N4:N15" si="2">M4-L4</f>
        <v>0</v>
      </c>
      <c r="O4">
        <f t="shared" ref="O4:O15" si="3">N4-N3</f>
        <v>0</v>
      </c>
      <c r="Q4">
        <v>195</v>
      </c>
      <c r="S4" s="3">
        <f t="shared" ref="S4:S8" si="4">Q4*R4</f>
        <v>0</v>
      </c>
    </row>
    <row r="5" spans="1:22" x14ac:dyDescent="0.25">
      <c r="A5" s="1">
        <v>0.42708333333333331</v>
      </c>
      <c r="D5">
        <f>C5-B5</f>
        <v>0</v>
      </c>
      <c r="E5">
        <f>D5-D4</f>
        <v>0</v>
      </c>
      <c r="I5">
        <f>H5-G5</f>
        <v>0</v>
      </c>
      <c r="J5">
        <f t="shared" si="1"/>
        <v>0</v>
      </c>
      <c r="N5">
        <f t="shared" si="2"/>
        <v>0</v>
      </c>
      <c r="O5">
        <f t="shared" si="3"/>
        <v>0</v>
      </c>
      <c r="Q5">
        <v>195</v>
      </c>
      <c r="S5" s="3">
        <f t="shared" si="4"/>
        <v>0</v>
      </c>
    </row>
    <row r="6" spans="1:22" x14ac:dyDescent="0.25">
      <c r="A6" s="1">
        <v>0.4375</v>
      </c>
      <c r="D6">
        <f t="shared" si="0"/>
        <v>0</v>
      </c>
      <c r="E6">
        <f>D6-D5</f>
        <v>0</v>
      </c>
      <c r="I6">
        <f t="shared" ref="I6:I15" si="5">H6-G6</f>
        <v>0</v>
      </c>
      <c r="J6">
        <f t="shared" si="1"/>
        <v>0</v>
      </c>
      <c r="N6">
        <f t="shared" si="2"/>
        <v>0</v>
      </c>
      <c r="O6">
        <f t="shared" si="3"/>
        <v>0</v>
      </c>
      <c r="Q6">
        <v>130</v>
      </c>
      <c r="S6" s="3">
        <f t="shared" si="4"/>
        <v>0</v>
      </c>
    </row>
    <row r="7" spans="1:22" x14ac:dyDescent="0.25">
      <c r="A7" s="1">
        <v>0.44791666666666702</v>
      </c>
      <c r="D7">
        <f t="shared" si="0"/>
        <v>0</v>
      </c>
      <c r="E7">
        <f t="shared" ref="E7:E15" si="6">D7-D6</f>
        <v>0</v>
      </c>
      <c r="I7">
        <f t="shared" si="5"/>
        <v>0</v>
      </c>
      <c r="J7">
        <f t="shared" si="1"/>
        <v>0</v>
      </c>
      <c r="N7">
        <f t="shared" si="2"/>
        <v>0</v>
      </c>
      <c r="O7">
        <f t="shared" si="3"/>
        <v>0</v>
      </c>
      <c r="S7" s="3">
        <f t="shared" si="4"/>
        <v>0</v>
      </c>
    </row>
    <row r="8" spans="1:22" x14ac:dyDescent="0.25">
      <c r="A8" s="1">
        <v>0.45833333333333298</v>
      </c>
      <c r="D8">
        <f t="shared" si="0"/>
        <v>0</v>
      </c>
      <c r="E8">
        <f>D3-D7</f>
        <v>0</v>
      </c>
      <c r="I8">
        <f>H8-G8</f>
        <v>0</v>
      </c>
      <c r="J8">
        <f t="shared" si="1"/>
        <v>0</v>
      </c>
      <c r="N8">
        <f t="shared" si="2"/>
        <v>0</v>
      </c>
      <c r="O8">
        <f t="shared" si="3"/>
        <v>0</v>
      </c>
      <c r="S8" s="3">
        <f t="shared" si="4"/>
        <v>0</v>
      </c>
    </row>
    <row r="9" spans="1:22" x14ac:dyDescent="0.25">
      <c r="A9" s="1">
        <v>0.46875</v>
      </c>
      <c r="D9">
        <f t="shared" si="0"/>
        <v>0</v>
      </c>
      <c r="E9">
        <f>D4-D3</f>
        <v>0</v>
      </c>
      <c r="I9">
        <f>H9-G9</f>
        <v>0</v>
      </c>
      <c r="J9">
        <f t="shared" si="1"/>
        <v>0</v>
      </c>
      <c r="N9">
        <f>M9-L9</f>
        <v>0</v>
      </c>
      <c r="O9">
        <f t="shared" si="3"/>
        <v>0</v>
      </c>
    </row>
    <row r="10" spans="1:22" x14ac:dyDescent="0.25">
      <c r="A10" s="1">
        <v>0.47916666666666702</v>
      </c>
      <c r="D10">
        <f t="shared" si="0"/>
        <v>0</v>
      </c>
      <c r="E10">
        <f>D5-D4</f>
        <v>0</v>
      </c>
      <c r="I10">
        <f>H10-G10</f>
        <v>0</v>
      </c>
      <c r="J10">
        <f t="shared" si="1"/>
        <v>0</v>
      </c>
      <c r="N10">
        <f t="shared" si="2"/>
        <v>0</v>
      </c>
      <c r="O10">
        <f t="shared" si="3"/>
        <v>0</v>
      </c>
      <c r="T10" s="16" t="e">
        <f>T11/S12</f>
        <v>#DIV/0!</v>
      </c>
      <c r="U10" s="16"/>
      <c r="V10" s="4" t="e">
        <f>V11/S12</f>
        <v>#DIV/0!</v>
      </c>
    </row>
    <row r="11" spans="1:22" x14ac:dyDescent="0.25">
      <c r="A11" s="1">
        <v>0.48958333333333298</v>
      </c>
      <c r="D11">
        <f t="shared" si="0"/>
        <v>0</v>
      </c>
      <c r="E11">
        <f>D11-D5</f>
        <v>0</v>
      </c>
      <c r="I11">
        <f t="shared" si="5"/>
        <v>0</v>
      </c>
      <c r="J11">
        <f t="shared" si="1"/>
        <v>0</v>
      </c>
      <c r="N11">
        <f t="shared" si="2"/>
        <v>0</v>
      </c>
      <c r="O11">
        <f t="shared" si="3"/>
        <v>0</v>
      </c>
      <c r="T11" s="15">
        <f>0.1*S12</f>
        <v>0</v>
      </c>
      <c r="U11" s="15"/>
      <c r="V11" s="3">
        <f>S13-S12</f>
        <v>137139.6</v>
      </c>
    </row>
    <row r="12" spans="1:22" x14ac:dyDescent="0.25">
      <c r="A12" s="1">
        <v>0.5</v>
      </c>
      <c r="D12">
        <f t="shared" si="0"/>
        <v>0</v>
      </c>
      <c r="E12">
        <f t="shared" si="6"/>
        <v>0</v>
      </c>
      <c r="I12">
        <f t="shared" si="5"/>
        <v>0</v>
      </c>
      <c r="J12">
        <f t="shared" si="1"/>
        <v>0</v>
      </c>
      <c r="N12">
        <f t="shared" si="2"/>
        <v>0</v>
      </c>
      <c r="O12">
        <f t="shared" si="3"/>
        <v>0</v>
      </c>
      <c r="Q12" s="5">
        <f>SUM(Q2:Q11)</f>
        <v>780</v>
      </c>
      <c r="R12" s="6">
        <f>S12/Q12</f>
        <v>0</v>
      </c>
      <c r="S12" s="6">
        <f>SUM(S2:S11)</f>
        <v>0</v>
      </c>
      <c r="T12" s="6">
        <f>S12-0.1*S12</f>
        <v>0</v>
      </c>
      <c r="U12">
        <f>S12+0.1*S12</f>
        <v>0</v>
      </c>
    </row>
    <row r="13" spans="1:22" x14ac:dyDescent="0.25">
      <c r="A13" s="1">
        <v>0.51041666666666696</v>
      </c>
      <c r="D13">
        <f t="shared" si="0"/>
        <v>0</v>
      </c>
      <c r="E13">
        <f t="shared" si="6"/>
        <v>0</v>
      </c>
      <c r="I13">
        <f t="shared" si="5"/>
        <v>0</v>
      </c>
      <c r="J13">
        <f t="shared" si="1"/>
        <v>0</v>
      </c>
      <c r="N13">
        <f t="shared" si="2"/>
        <v>0</v>
      </c>
      <c r="O13">
        <f t="shared" si="3"/>
        <v>0</v>
      </c>
      <c r="R13" s="3">
        <v>175.82</v>
      </c>
      <c r="S13" s="3">
        <f>Q12*R13</f>
        <v>137139.6</v>
      </c>
      <c r="T13" s="3">
        <f>T12/Q12</f>
        <v>0</v>
      </c>
      <c r="U13" s="3">
        <f>U12/Q12</f>
        <v>0</v>
      </c>
    </row>
    <row r="14" spans="1:22" x14ac:dyDescent="0.25">
      <c r="A14" s="1">
        <v>0.57638888888888884</v>
      </c>
      <c r="D14">
        <f t="shared" si="0"/>
        <v>0</v>
      </c>
      <c r="E14">
        <f t="shared" si="6"/>
        <v>0</v>
      </c>
      <c r="I14">
        <f t="shared" si="5"/>
        <v>0</v>
      </c>
      <c r="J14">
        <f t="shared" si="1"/>
        <v>0</v>
      </c>
      <c r="N14">
        <f t="shared" si="2"/>
        <v>0</v>
      </c>
      <c r="O14">
        <f t="shared" si="3"/>
        <v>0</v>
      </c>
    </row>
    <row r="15" spans="1:22" x14ac:dyDescent="0.25">
      <c r="A15" s="1">
        <v>0.625</v>
      </c>
      <c r="D15">
        <f t="shared" si="0"/>
        <v>0</v>
      </c>
      <c r="E15">
        <f t="shared" si="6"/>
        <v>0</v>
      </c>
      <c r="I15">
        <f t="shared" si="5"/>
        <v>0</v>
      </c>
      <c r="J15">
        <f t="shared" si="1"/>
        <v>0</v>
      </c>
      <c r="N15">
        <f t="shared" si="2"/>
        <v>0</v>
      </c>
      <c r="O15">
        <f t="shared" si="3"/>
        <v>0</v>
      </c>
    </row>
  </sheetData>
  <mergeCells count="5">
    <mergeCell ref="B1:C1"/>
    <mergeCell ref="G1:H1"/>
    <mergeCell ref="L1:M1"/>
    <mergeCell ref="T11:U11"/>
    <mergeCell ref="T10:U10"/>
  </mergeCells>
  <conditionalFormatting sqref="E1:F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:O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F4DA7-7530-45B4-AC50-834459734A05}">
  <sheetPr codeName="Sheet2"/>
  <dimension ref="A1:K30"/>
  <sheetViews>
    <sheetView tabSelected="1" workbookViewId="0">
      <selection activeCell="B2" sqref="B2:G6"/>
    </sheetView>
  </sheetViews>
  <sheetFormatPr defaultRowHeight="15" x14ac:dyDescent="0.25"/>
  <sheetData>
    <row r="1" spans="1:11" x14ac:dyDescent="0.25">
      <c r="A1" t="s">
        <v>321</v>
      </c>
      <c r="B1" s="2">
        <v>60</v>
      </c>
      <c r="C1" s="7">
        <v>30</v>
      </c>
      <c r="D1" s="7">
        <v>15</v>
      </c>
      <c r="E1" s="7">
        <v>10</v>
      </c>
      <c r="F1" s="7">
        <v>5</v>
      </c>
      <c r="G1" s="7">
        <v>1</v>
      </c>
      <c r="H1" s="7"/>
    </row>
    <row r="2" spans="1:11" x14ac:dyDescent="0.25">
      <c r="A2" s="1">
        <v>0.38541666666666669</v>
      </c>
      <c r="H2" s="8">
        <f>SUM(B2:G2)</f>
        <v>0</v>
      </c>
      <c r="I2">
        <f>6*B2+5*C2+4*D2+3*E2+2*F2+1*G2</f>
        <v>0</v>
      </c>
      <c r="J2">
        <f>30+25+20+15+10+5</f>
        <v>105</v>
      </c>
      <c r="K2" s="4">
        <f>I2/J2</f>
        <v>0</v>
      </c>
    </row>
    <row r="3" spans="1:11" x14ac:dyDescent="0.25">
      <c r="A3" s="1">
        <v>0.39583333333333331</v>
      </c>
      <c r="H3" s="8">
        <f t="shared" ref="H3:H14" si="0">SUM(B3:G3)</f>
        <v>0</v>
      </c>
      <c r="I3">
        <f t="shared" ref="I3:I14" si="1">6*B3+5*C3+4*D3+3*E3+2*F3+1*G3</f>
        <v>0</v>
      </c>
      <c r="J3">
        <f t="shared" ref="J3:J14" si="2">30+25+20+15+10+5</f>
        <v>105</v>
      </c>
      <c r="K3" s="4">
        <f t="shared" ref="K3:K14" si="3">I3/J3</f>
        <v>0</v>
      </c>
    </row>
    <row r="4" spans="1:11" x14ac:dyDescent="0.25">
      <c r="A4" s="1">
        <v>0.40625</v>
      </c>
      <c r="H4" s="8">
        <f t="shared" si="0"/>
        <v>0</v>
      </c>
      <c r="I4">
        <f t="shared" si="1"/>
        <v>0</v>
      </c>
      <c r="J4">
        <f t="shared" si="2"/>
        <v>105</v>
      </c>
      <c r="K4" s="4">
        <f t="shared" si="3"/>
        <v>0</v>
      </c>
    </row>
    <row r="5" spans="1:11" x14ac:dyDescent="0.25">
      <c r="A5" s="1">
        <v>0.41666666666666669</v>
      </c>
      <c r="H5" s="8">
        <f t="shared" si="0"/>
        <v>0</v>
      </c>
      <c r="I5">
        <f t="shared" si="1"/>
        <v>0</v>
      </c>
      <c r="J5">
        <f t="shared" si="2"/>
        <v>105</v>
      </c>
      <c r="K5" s="4">
        <f t="shared" si="3"/>
        <v>0</v>
      </c>
    </row>
    <row r="6" spans="1:11" x14ac:dyDescent="0.25">
      <c r="A6" s="1">
        <v>0.42708333333333331</v>
      </c>
      <c r="H6" s="8">
        <f t="shared" si="0"/>
        <v>0</v>
      </c>
      <c r="I6">
        <f t="shared" si="1"/>
        <v>0</v>
      </c>
      <c r="J6">
        <f t="shared" si="2"/>
        <v>105</v>
      </c>
      <c r="K6" s="4">
        <f t="shared" si="3"/>
        <v>0</v>
      </c>
    </row>
    <row r="7" spans="1:11" x14ac:dyDescent="0.25">
      <c r="A7" s="1">
        <v>0.4375</v>
      </c>
      <c r="H7" s="8">
        <f t="shared" si="0"/>
        <v>0</v>
      </c>
      <c r="I7">
        <f t="shared" si="1"/>
        <v>0</v>
      </c>
      <c r="J7">
        <f t="shared" si="2"/>
        <v>105</v>
      </c>
      <c r="K7" s="4">
        <f t="shared" si="3"/>
        <v>0</v>
      </c>
    </row>
    <row r="8" spans="1:11" x14ac:dyDescent="0.25">
      <c r="A8" s="1">
        <v>0.44791666666666669</v>
      </c>
      <c r="H8" s="8">
        <f t="shared" si="0"/>
        <v>0</v>
      </c>
      <c r="I8">
        <f t="shared" si="1"/>
        <v>0</v>
      </c>
      <c r="J8">
        <f t="shared" si="2"/>
        <v>105</v>
      </c>
      <c r="K8" s="4">
        <f t="shared" si="3"/>
        <v>0</v>
      </c>
    </row>
    <row r="9" spans="1:11" x14ac:dyDescent="0.25">
      <c r="A9" s="1">
        <v>0.45833333333333331</v>
      </c>
      <c r="H9" s="8">
        <f t="shared" si="0"/>
        <v>0</v>
      </c>
      <c r="I9">
        <f t="shared" si="1"/>
        <v>0</v>
      </c>
      <c r="J9">
        <f t="shared" si="2"/>
        <v>105</v>
      </c>
      <c r="K9" s="4">
        <f t="shared" si="3"/>
        <v>0</v>
      </c>
    </row>
    <row r="10" spans="1:11" x14ac:dyDescent="0.25">
      <c r="A10" s="1">
        <v>0.46875</v>
      </c>
      <c r="H10" s="8">
        <f t="shared" si="0"/>
        <v>0</v>
      </c>
      <c r="I10">
        <f t="shared" si="1"/>
        <v>0</v>
      </c>
      <c r="J10">
        <f t="shared" si="2"/>
        <v>105</v>
      </c>
      <c r="K10" s="4">
        <f t="shared" si="3"/>
        <v>0</v>
      </c>
    </row>
    <row r="11" spans="1:11" x14ac:dyDescent="0.25">
      <c r="A11" s="1">
        <v>0.47916666666666669</v>
      </c>
      <c r="H11" s="8">
        <f t="shared" si="0"/>
        <v>0</v>
      </c>
      <c r="I11">
        <f t="shared" si="1"/>
        <v>0</v>
      </c>
      <c r="J11">
        <f t="shared" si="2"/>
        <v>105</v>
      </c>
      <c r="K11" s="4">
        <f t="shared" si="3"/>
        <v>0</v>
      </c>
    </row>
    <row r="12" spans="1:11" x14ac:dyDescent="0.25">
      <c r="A12" s="1">
        <v>0.48958333333333331</v>
      </c>
      <c r="H12" s="8">
        <f t="shared" si="0"/>
        <v>0</v>
      </c>
      <c r="I12">
        <f t="shared" si="1"/>
        <v>0</v>
      </c>
      <c r="J12">
        <f t="shared" si="2"/>
        <v>105</v>
      </c>
      <c r="K12" s="4">
        <f t="shared" si="3"/>
        <v>0</v>
      </c>
    </row>
    <row r="13" spans="1:11" x14ac:dyDescent="0.25">
      <c r="A13" s="1">
        <v>0.5</v>
      </c>
      <c r="H13" s="8">
        <f t="shared" si="0"/>
        <v>0</v>
      </c>
      <c r="I13">
        <f t="shared" si="1"/>
        <v>0</v>
      </c>
      <c r="J13">
        <f t="shared" si="2"/>
        <v>105</v>
      </c>
      <c r="K13" s="4">
        <f t="shared" si="3"/>
        <v>0</v>
      </c>
    </row>
    <row r="14" spans="1:11" x14ac:dyDescent="0.25">
      <c r="A14" s="1">
        <v>0.51041666666666663</v>
      </c>
      <c r="H14" s="8">
        <f t="shared" si="0"/>
        <v>0</v>
      </c>
      <c r="I14">
        <f t="shared" si="1"/>
        <v>0</v>
      </c>
      <c r="J14">
        <f t="shared" si="2"/>
        <v>105</v>
      </c>
      <c r="K14" s="4">
        <f t="shared" si="3"/>
        <v>0</v>
      </c>
    </row>
    <row r="17" spans="1:11" x14ac:dyDescent="0.25">
      <c r="A17" t="s">
        <v>67</v>
      </c>
      <c r="B17" s="2">
        <v>60</v>
      </c>
      <c r="C17" s="7">
        <v>30</v>
      </c>
      <c r="D17" s="7">
        <v>15</v>
      </c>
      <c r="E17" s="7">
        <v>10</v>
      </c>
      <c r="F17" s="7">
        <v>5</v>
      </c>
      <c r="G17" s="7">
        <v>1</v>
      </c>
    </row>
    <row r="18" spans="1:11" x14ac:dyDescent="0.25">
      <c r="A18" s="1">
        <v>0.38541666666666669</v>
      </c>
      <c r="H18" s="8">
        <f>SUM(B18:G18)</f>
        <v>0</v>
      </c>
      <c r="I18">
        <f>6*B18+5*C18+4*D18+3*E18+2*F18+1*G18</f>
        <v>0</v>
      </c>
      <c r="J18">
        <f>30+25+20+15+10+5</f>
        <v>105</v>
      </c>
      <c r="K18" s="4">
        <f>I18/J18</f>
        <v>0</v>
      </c>
    </row>
    <row r="19" spans="1:11" x14ac:dyDescent="0.25">
      <c r="A19" s="1">
        <v>0.39583333333333331</v>
      </c>
      <c r="H19" s="8">
        <f t="shared" ref="H19:H30" si="4">SUM(B19:G19)</f>
        <v>0</v>
      </c>
      <c r="I19">
        <f t="shared" ref="I19:I30" si="5">6*B19+5*C19+4*D19+3*E19+2*F19+1*G19</f>
        <v>0</v>
      </c>
      <c r="J19">
        <f t="shared" ref="J19:J30" si="6">30+25+20+15+10+5</f>
        <v>105</v>
      </c>
      <c r="K19" s="4">
        <f t="shared" ref="K19:K30" si="7">I19/J19</f>
        <v>0</v>
      </c>
    </row>
    <row r="20" spans="1:11" x14ac:dyDescent="0.25">
      <c r="A20" s="1">
        <v>0.40625</v>
      </c>
      <c r="B20" s="8">
        <v>3</v>
      </c>
      <c r="C20" s="8">
        <v>3</v>
      </c>
      <c r="D20" s="8">
        <v>2</v>
      </c>
      <c r="E20" s="8">
        <v>-4</v>
      </c>
      <c r="F20" s="8">
        <v>-3</v>
      </c>
      <c r="G20" s="8">
        <v>1</v>
      </c>
      <c r="H20" s="8">
        <f t="shared" si="4"/>
        <v>2</v>
      </c>
      <c r="I20">
        <f t="shared" si="5"/>
        <v>24</v>
      </c>
      <c r="J20">
        <f t="shared" si="6"/>
        <v>105</v>
      </c>
      <c r="K20" s="4">
        <f t="shared" si="7"/>
        <v>0.22857142857142856</v>
      </c>
    </row>
    <row r="21" spans="1:11" x14ac:dyDescent="0.25">
      <c r="A21" s="1">
        <v>0.41666666666666669</v>
      </c>
      <c r="B21" s="8"/>
      <c r="C21" s="8"/>
      <c r="D21" s="8"/>
      <c r="E21" s="8">
        <v>-3</v>
      </c>
      <c r="F21" s="8">
        <v>-3</v>
      </c>
      <c r="G21" s="8">
        <v>3</v>
      </c>
      <c r="H21" s="8">
        <f t="shared" si="4"/>
        <v>-3</v>
      </c>
      <c r="I21">
        <f t="shared" si="5"/>
        <v>-12</v>
      </c>
      <c r="J21">
        <f t="shared" si="6"/>
        <v>105</v>
      </c>
      <c r="K21" s="4">
        <f t="shared" si="7"/>
        <v>-0.11428571428571428</v>
      </c>
    </row>
    <row r="22" spans="1:11" x14ac:dyDescent="0.25">
      <c r="A22" s="1">
        <v>0.42708333333333331</v>
      </c>
      <c r="B22" s="8"/>
      <c r="C22" s="8"/>
      <c r="D22" s="8"/>
      <c r="E22" s="8"/>
      <c r="F22" s="8"/>
      <c r="G22" s="8"/>
      <c r="H22" s="8">
        <f t="shared" si="4"/>
        <v>0</v>
      </c>
      <c r="I22">
        <f t="shared" si="5"/>
        <v>0</v>
      </c>
      <c r="J22">
        <f t="shared" si="6"/>
        <v>105</v>
      </c>
      <c r="K22" s="4">
        <f t="shared" si="7"/>
        <v>0</v>
      </c>
    </row>
    <row r="23" spans="1:11" x14ac:dyDescent="0.25">
      <c r="A23" s="1">
        <v>0.4375</v>
      </c>
      <c r="B23" s="8"/>
      <c r="C23" s="8"/>
      <c r="D23" s="8"/>
      <c r="E23" s="8"/>
      <c r="F23" s="8"/>
      <c r="G23" s="8"/>
      <c r="H23" s="8">
        <f t="shared" si="4"/>
        <v>0</v>
      </c>
      <c r="I23">
        <f t="shared" si="5"/>
        <v>0</v>
      </c>
      <c r="J23">
        <f t="shared" si="6"/>
        <v>105</v>
      </c>
      <c r="K23" s="4">
        <f t="shared" si="7"/>
        <v>0</v>
      </c>
    </row>
    <row r="24" spans="1:11" x14ac:dyDescent="0.25">
      <c r="A24" s="1">
        <v>0.44791666666666669</v>
      </c>
      <c r="H24" s="8">
        <f t="shared" si="4"/>
        <v>0</v>
      </c>
      <c r="I24">
        <f t="shared" si="5"/>
        <v>0</v>
      </c>
      <c r="J24">
        <f t="shared" si="6"/>
        <v>105</v>
      </c>
      <c r="K24" s="4">
        <f t="shared" si="7"/>
        <v>0</v>
      </c>
    </row>
    <row r="25" spans="1:11" x14ac:dyDescent="0.25">
      <c r="A25" s="1">
        <v>0.45833333333333331</v>
      </c>
      <c r="H25" s="8">
        <f t="shared" si="4"/>
        <v>0</v>
      </c>
      <c r="I25">
        <f t="shared" si="5"/>
        <v>0</v>
      </c>
      <c r="J25">
        <f t="shared" si="6"/>
        <v>105</v>
      </c>
      <c r="K25" s="4">
        <f t="shared" si="7"/>
        <v>0</v>
      </c>
    </row>
    <row r="26" spans="1:11" x14ac:dyDescent="0.25">
      <c r="A26" s="1">
        <v>0.46875</v>
      </c>
      <c r="H26" s="8">
        <f t="shared" si="4"/>
        <v>0</v>
      </c>
      <c r="I26">
        <f t="shared" si="5"/>
        <v>0</v>
      </c>
      <c r="J26">
        <f t="shared" si="6"/>
        <v>105</v>
      </c>
      <c r="K26" s="4">
        <f t="shared" si="7"/>
        <v>0</v>
      </c>
    </row>
    <row r="27" spans="1:11" x14ac:dyDescent="0.25">
      <c r="A27" s="1">
        <v>0.47916666666666669</v>
      </c>
      <c r="H27" s="8">
        <f t="shared" si="4"/>
        <v>0</v>
      </c>
      <c r="I27">
        <f t="shared" si="5"/>
        <v>0</v>
      </c>
      <c r="J27">
        <f t="shared" si="6"/>
        <v>105</v>
      </c>
      <c r="K27" s="4">
        <f t="shared" si="7"/>
        <v>0</v>
      </c>
    </row>
    <row r="28" spans="1:11" x14ac:dyDescent="0.25">
      <c r="A28" s="1">
        <v>0.48958333333333331</v>
      </c>
      <c r="H28" s="8">
        <f t="shared" si="4"/>
        <v>0</v>
      </c>
      <c r="I28">
        <f t="shared" si="5"/>
        <v>0</v>
      </c>
      <c r="J28">
        <f t="shared" si="6"/>
        <v>105</v>
      </c>
      <c r="K28" s="4">
        <f t="shared" si="7"/>
        <v>0</v>
      </c>
    </row>
    <row r="29" spans="1:11" x14ac:dyDescent="0.25">
      <c r="A29" s="1">
        <v>0.5</v>
      </c>
      <c r="H29" s="8">
        <f t="shared" si="4"/>
        <v>0</v>
      </c>
      <c r="I29">
        <f t="shared" si="5"/>
        <v>0</v>
      </c>
      <c r="J29">
        <f t="shared" si="6"/>
        <v>105</v>
      </c>
      <c r="K29" s="4">
        <f t="shared" si="7"/>
        <v>0</v>
      </c>
    </row>
    <row r="30" spans="1:11" x14ac:dyDescent="0.25">
      <c r="A30" s="1">
        <v>0.51041666666666663</v>
      </c>
      <c r="H30" s="8">
        <f t="shared" si="4"/>
        <v>0</v>
      </c>
      <c r="I30">
        <f t="shared" si="5"/>
        <v>0</v>
      </c>
      <c r="J30">
        <f t="shared" si="6"/>
        <v>105</v>
      </c>
      <c r="K30" s="4">
        <f t="shared" si="7"/>
        <v>0</v>
      </c>
    </row>
  </sheetData>
  <conditionalFormatting sqref="B20:G2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048576">
    <cfRule type="cellIs" dxfId="0" priority="1" operator="greaterThan">
      <formula>0.4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1DC8B-921C-4500-8D50-9F9F9DD6CBB0}">
  <dimension ref="A1:F5"/>
  <sheetViews>
    <sheetView workbookViewId="0">
      <selection activeCell="A3" sqref="A3"/>
    </sheetView>
  </sheetViews>
  <sheetFormatPr defaultRowHeight="15" x14ac:dyDescent="0.25"/>
  <cols>
    <col min="4" max="4" width="9.140625" style="3"/>
  </cols>
  <sheetData>
    <row r="1" spans="1:6" x14ac:dyDescent="0.25">
      <c r="A1">
        <v>130.19999999999999</v>
      </c>
      <c r="B1">
        <v>124.5</v>
      </c>
      <c r="C1">
        <v>715</v>
      </c>
      <c r="D1" s="3">
        <f>-1*(A1-B1)*C1</f>
        <v>-4075.4999999999918</v>
      </c>
    </row>
    <row r="2" spans="1:6" x14ac:dyDescent="0.25">
      <c r="A2">
        <v>129.05000000000001</v>
      </c>
      <c r="B2">
        <v>115.15</v>
      </c>
      <c r="C2">
        <v>780</v>
      </c>
      <c r="D2" s="3">
        <f>-1*(A2-B2)*C2</f>
        <v>-10842.000000000004</v>
      </c>
    </row>
    <row r="3" spans="1:6" x14ac:dyDescent="0.25">
      <c r="A3">
        <v>84.15</v>
      </c>
      <c r="B3">
        <v>80</v>
      </c>
      <c r="C3">
        <v>715</v>
      </c>
      <c r="D3" s="3">
        <f>-1*(A3-B3)*C3</f>
        <v>-2967.2500000000041</v>
      </c>
    </row>
    <row r="4" spans="1:6" x14ac:dyDescent="0.25">
      <c r="A4">
        <v>81.180000000000007</v>
      </c>
      <c r="B4">
        <v>109.9</v>
      </c>
      <c r="C4">
        <v>780</v>
      </c>
      <c r="D4" s="3">
        <f>-1*(A4-B4)*C4</f>
        <v>22401.599999999999</v>
      </c>
    </row>
    <row r="5" spans="1:6" x14ac:dyDescent="0.25">
      <c r="C5">
        <f>SUM(C1:C4)</f>
        <v>2990</v>
      </c>
      <c r="D5" s="3">
        <f>SUM(D1:D4)</f>
        <v>4516.8499999999985</v>
      </c>
      <c r="E5">
        <f>C5/65</f>
        <v>46</v>
      </c>
      <c r="F5">
        <f>E5*40</f>
        <v>1840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8BD02-6DA5-4BAE-A116-88FB7FECD05C}">
  <dimension ref="A1:G7"/>
  <sheetViews>
    <sheetView workbookViewId="0">
      <selection activeCell="D5" sqref="D5"/>
    </sheetView>
  </sheetViews>
  <sheetFormatPr defaultRowHeight="15" x14ac:dyDescent="0.25"/>
  <cols>
    <col min="1" max="1" width="9.140625" style="9"/>
  </cols>
  <sheetData>
    <row r="1" spans="1:7" x14ac:dyDescent="0.25">
      <c r="A1" s="9" t="s">
        <v>0</v>
      </c>
      <c r="B1">
        <v>0</v>
      </c>
      <c r="C1">
        <v>3</v>
      </c>
      <c r="D1">
        <f>C1*(B1/100)</f>
        <v>0</v>
      </c>
    </row>
    <row r="2" spans="1:7" x14ac:dyDescent="0.25">
      <c r="A2" s="9" t="s">
        <v>1</v>
      </c>
      <c r="B2">
        <v>5</v>
      </c>
      <c r="C2">
        <v>3</v>
      </c>
      <c r="D2">
        <f t="shared" ref="D2:D6" si="0">C2*(B2/100)</f>
        <v>0.15000000000000002</v>
      </c>
    </row>
    <row r="3" spans="1:7" x14ac:dyDescent="0.25">
      <c r="A3" s="9" t="s">
        <v>2</v>
      </c>
      <c r="B3">
        <v>10</v>
      </c>
      <c r="C3">
        <v>3</v>
      </c>
      <c r="D3">
        <f t="shared" si="0"/>
        <v>0.30000000000000004</v>
      </c>
    </row>
    <row r="4" spans="1:7" x14ac:dyDescent="0.25">
      <c r="A4" s="9" t="s">
        <v>3</v>
      </c>
      <c r="B4">
        <v>15</v>
      </c>
      <c r="C4">
        <v>3</v>
      </c>
      <c r="D4">
        <f t="shared" si="0"/>
        <v>0.44999999999999996</v>
      </c>
    </row>
    <row r="5" spans="1:7" x14ac:dyDescent="0.25">
      <c r="A5" s="9" t="s">
        <v>4</v>
      </c>
      <c r="B5">
        <v>20</v>
      </c>
      <c r="C5">
        <v>3</v>
      </c>
      <c r="D5">
        <f t="shared" si="0"/>
        <v>0.60000000000000009</v>
      </c>
    </row>
    <row r="6" spans="1:7" x14ac:dyDescent="0.25">
      <c r="A6" s="9" t="s">
        <v>5</v>
      </c>
      <c r="B6">
        <v>30</v>
      </c>
      <c r="C6">
        <v>15</v>
      </c>
      <c r="D6">
        <f t="shared" si="0"/>
        <v>4.5</v>
      </c>
    </row>
    <row r="7" spans="1:7" x14ac:dyDescent="0.25">
      <c r="C7">
        <f>SUM(C1:C6)</f>
        <v>30</v>
      </c>
      <c r="D7">
        <f>SUM(D1:D6)</f>
        <v>6</v>
      </c>
      <c r="E7">
        <v>4</v>
      </c>
      <c r="F7">
        <f>D7*(E7/100)</f>
        <v>0.24</v>
      </c>
      <c r="G7">
        <f>D7+F7</f>
        <v>6.24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BD54A-A6B4-454E-889E-C4FEAA87E6FB}">
  <sheetPr filterMode="1"/>
  <dimension ref="A1:K27"/>
  <sheetViews>
    <sheetView workbookViewId="0">
      <selection activeCell="A28" sqref="A28"/>
    </sheetView>
  </sheetViews>
  <sheetFormatPr defaultRowHeight="15" x14ac:dyDescent="0.25"/>
  <sheetData>
    <row r="1" spans="1:11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1" x14ac:dyDescent="0.25">
      <c r="A2" t="s">
        <v>16</v>
      </c>
      <c r="B2" t="s">
        <v>17</v>
      </c>
      <c r="C2" t="s">
        <v>18</v>
      </c>
      <c r="D2">
        <v>17</v>
      </c>
      <c r="E2">
        <v>38</v>
      </c>
      <c r="F2">
        <v>18</v>
      </c>
      <c r="G2" t="s">
        <v>19</v>
      </c>
      <c r="H2" t="s">
        <v>20</v>
      </c>
      <c r="I2" t="s">
        <v>20</v>
      </c>
      <c r="J2" t="s">
        <v>21</v>
      </c>
      <c r="K2" t="str">
        <f>"Alter table TZZSFC230ALL alter column "&amp;A2&amp;" decimal"</f>
        <v>Alter table TZZSFC230ALL alter column COMPANY decimal</v>
      </c>
    </row>
    <row r="3" spans="1:11" x14ac:dyDescent="0.25">
      <c r="A3" t="s">
        <v>22</v>
      </c>
      <c r="B3" t="s">
        <v>17</v>
      </c>
      <c r="C3" t="s">
        <v>18</v>
      </c>
      <c r="D3">
        <v>17</v>
      </c>
      <c r="E3">
        <v>38</v>
      </c>
      <c r="F3">
        <v>18</v>
      </c>
      <c r="G3" t="s">
        <v>19</v>
      </c>
      <c r="H3" t="s">
        <v>20</v>
      </c>
      <c r="I3" t="s">
        <v>20</v>
      </c>
      <c r="J3" t="s">
        <v>21</v>
      </c>
      <c r="K3" t="str">
        <f>"Alter table TZZSFC230ALL alter column "&amp;A3&amp;" decimal"</f>
        <v>Alter table TZZSFC230ALL alter column UQNO decimal</v>
      </c>
    </row>
    <row r="4" spans="1:11" hidden="1" x14ac:dyDescent="0.25">
      <c r="A4" t="s">
        <v>23</v>
      </c>
      <c r="B4" t="s">
        <v>24</v>
      </c>
      <c r="C4" t="s">
        <v>18</v>
      </c>
      <c r="D4">
        <v>18</v>
      </c>
      <c r="E4" t="s">
        <v>25</v>
      </c>
      <c r="F4" t="s">
        <v>25</v>
      </c>
      <c r="G4" t="s">
        <v>19</v>
      </c>
      <c r="H4" t="s">
        <v>20</v>
      </c>
      <c r="I4" t="s">
        <v>20</v>
      </c>
      <c r="J4" t="s">
        <v>26</v>
      </c>
      <c r="K4" t="str">
        <f t="shared" ref="K4:K18" si="0">"Alter table TZZSFC230ALL alter column "&amp;A4&amp;" float"</f>
        <v>Alter table TZZSFC230ALL alter column ORNO float</v>
      </c>
    </row>
    <row r="5" spans="1:11" x14ac:dyDescent="0.25">
      <c r="A5" t="s">
        <v>27</v>
      </c>
      <c r="B5" t="s">
        <v>17</v>
      </c>
      <c r="C5" t="s">
        <v>18</v>
      </c>
      <c r="D5">
        <v>17</v>
      </c>
      <c r="E5">
        <v>38</v>
      </c>
      <c r="F5">
        <v>18</v>
      </c>
      <c r="G5" t="s">
        <v>19</v>
      </c>
      <c r="H5" t="s">
        <v>20</v>
      </c>
      <c r="I5" t="s">
        <v>20</v>
      </c>
      <c r="J5" t="s">
        <v>21</v>
      </c>
      <c r="K5" t="str">
        <f t="shared" ref="K5:K8" si="1">"Alter table TZZSFC230ALL alter column "&amp;A5&amp;" decimal"</f>
        <v>Alter table TZZSFC230ALL alter column PONO decimal</v>
      </c>
    </row>
    <row r="6" spans="1:11" x14ac:dyDescent="0.25">
      <c r="A6" t="s">
        <v>28</v>
      </c>
      <c r="B6" t="s">
        <v>17</v>
      </c>
      <c r="C6" t="s">
        <v>18</v>
      </c>
      <c r="D6">
        <v>17</v>
      </c>
      <c r="E6">
        <v>38</v>
      </c>
      <c r="F6">
        <v>18</v>
      </c>
      <c r="G6" t="s">
        <v>19</v>
      </c>
      <c r="H6" t="s">
        <v>20</v>
      </c>
      <c r="I6" t="s">
        <v>20</v>
      </c>
      <c r="J6" t="s">
        <v>21</v>
      </c>
      <c r="K6" t="str">
        <f t="shared" si="1"/>
        <v>Alter table TZZSFC230ALL alter column SRNB decimal</v>
      </c>
    </row>
    <row r="7" spans="1:11" x14ac:dyDescent="0.25">
      <c r="A7" t="s">
        <v>29</v>
      </c>
      <c r="B7" t="s">
        <v>17</v>
      </c>
      <c r="C7" t="s">
        <v>18</v>
      </c>
      <c r="D7">
        <v>17</v>
      </c>
      <c r="E7">
        <v>38</v>
      </c>
      <c r="F7">
        <v>18</v>
      </c>
      <c r="G7" t="s">
        <v>19</v>
      </c>
      <c r="H7" t="s">
        <v>20</v>
      </c>
      <c r="I7" t="s">
        <v>20</v>
      </c>
      <c r="J7" t="s">
        <v>21</v>
      </c>
      <c r="K7" t="str">
        <f t="shared" si="1"/>
        <v>Alter table TZZSFC230ALL alter column SCHD decimal</v>
      </c>
    </row>
    <row r="8" spans="1:11" x14ac:dyDescent="0.25">
      <c r="A8" t="s">
        <v>30</v>
      </c>
      <c r="B8" t="s">
        <v>17</v>
      </c>
      <c r="C8" t="s">
        <v>18</v>
      </c>
      <c r="D8">
        <v>17</v>
      </c>
      <c r="E8">
        <v>38</v>
      </c>
      <c r="F8">
        <v>18</v>
      </c>
      <c r="G8" t="s">
        <v>19</v>
      </c>
      <c r="H8" t="s">
        <v>20</v>
      </c>
      <c r="I8" t="s">
        <v>20</v>
      </c>
      <c r="J8" t="s">
        <v>21</v>
      </c>
      <c r="K8" t="str">
        <f t="shared" si="1"/>
        <v>Alter table TZZSFC230ALL alter column PACK decimal</v>
      </c>
    </row>
    <row r="9" spans="1:11" hidden="1" x14ac:dyDescent="0.25">
      <c r="A9" t="s">
        <v>31</v>
      </c>
      <c r="B9" t="s">
        <v>32</v>
      </c>
      <c r="C9" t="s">
        <v>18</v>
      </c>
      <c r="D9">
        <v>8</v>
      </c>
      <c r="E9">
        <v>27</v>
      </c>
      <c r="F9">
        <v>7</v>
      </c>
      <c r="G9" t="s">
        <v>19</v>
      </c>
      <c r="H9" t="s">
        <v>20</v>
      </c>
      <c r="I9" t="s">
        <v>20</v>
      </c>
      <c r="J9" t="s">
        <v>21</v>
      </c>
      <c r="K9" t="str">
        <f t="shared" si="0"/>
        <v>Alter table TZZSFC230ALL alter column DDAT float</v>
      </c>
    </row>
    <row r="10" spans="1:11" hidden="1" x14ac:dyDescent="0.25">
      <c r="A10" t="s">
        <v>33</v>
      </c>
      <c r="B10" t="s">
        <v>32</v>
      </c>
      <c r="C10" t="s">
        <v>18</v>
      </c>
      <c r="D10">
        <v>8</v>
      </c>
      <c r="E10">
        <v>27</v>
      </c>
      <c r="F10">
        <v>7</v>
      </c>
      <c r="G10" t="s">
        <v>19</v>
      </c>
      <c r="H10" t="s">
        <v>20</v>
      </c>
      <c r="I10" t="s">
        <v>20</v>
      </c>
      <c r="J10" t="s">
        <v>21</v>
      </c>
      <c r="K10" t="str">
        <f t="shared" si="0"/>
        <v>Alter table TZZSFC230ALL alter column CLDT float</v>
      </c>
    </row>
    <row r="11" spans="1:11" hidden="1" x14ac:dyDescent="0.25">
      <c r="A11" t="s">
        <v>34</v>
      </c>
      <c r="B11" t="s">
        <v>24</v>
      </c>
      <c r="C11" t="s">
        <v>18</v>
      </c>
      <c r="D11">
        <v>18</v>
      </c>
      <c r="E11" t="s">
        <v>25</v>
      </c>
      <c r="F11" t="s">
        <v>25</v>
      </c>
      <c r="G11" t="s">
        <v>19</v>
      </c>
      <c r="H11" t="s">
        <v>20</v>
      </c>
      <c r="I11" t="s">
        <v>20</v>
      </c>
      <c r="J11" t="s">
        <v>26</v>
      </c>
      <c r="K11" t="str">
        <f t="shared" si="0"/>
        <v>Alter table TZZSFC230ALL alter column PDNO float</v>
      </c>
    </row>
    <row r="12" spans="1:11" hidden="1" x14ac:dyDescent="0.25">
      <c r="A12" t="s">
        <v>35</v>
      </c>
      <c r="B12" t="s">
        <v>32</v>
      </c>
      <c r="C12" t="s">
        <v>18</v>
      </c>
      <c r="D12">
        <v>8</v>
      </c>
      <c r="E12">
        <v>27</v>
      </c>
      <c r="F12">
        <v>7</v>
      </c>
      <c r="G12" t="s">
        <v>19</v>
      </c>
      <c r="H12" t="s">
        <v>20</v>
      </c>
      <c r="I12" t="s">
        <v>20</v>
      </c>
      <c r="J12" t="s">
        <v>21</v>
      </c>
      <c r="K12" t="str">
        <f t="shared" si="0"/>
        <v>Alter table TZZSFC230ALL alter column UPDT float</v>
      </c>
    </row>
    <row r="13" spans="1:11" x14ac:dyDescent="0.25">
      <c r="A13" t="s">
        <v>36</v>
      </c>
      <c r="B13" t="s">
        <v>17</v>
      </c>
      <c r="C13" t="s">
        <v>18</v>
      </c>
      <c r="D13">
        <v>17</v>
      </c>
      <c r="E13">
        <v>38</v>
      </c>
      <c r="F13">
        <v>18</v>
      </c>
      <c r="G13" t="s">
        <v>19</v>
      </c>
      <c r="H13" t="s">
        <v>20</v>
      </c>
      <c r="I13" t="s">
        <v>20</v>
      </c>
      <c r="J13" t="s">
        <v>21</v>
      </c>
      <c r="K13" t="str">
        <f>"Alter table TZZSFC230ALL alter column "&amp;A13&amp;" decimal"</f>
        <v>Alter table TZZSFC230ALL alter column UPTM decimal</v>
      </c>
    </row>
    <row r="14" spans="1:11" hidden="1" x14ac:dyDescent="0.25">
      <c r="A14" t="s">
        <v>37</v>
      </c>
      <c r="B14" t="s">
        <v>24</v>
      </c>
      <c r="C14" t="s">
        <v>18</v>
      </c>
      <c r="D14">
        <v>32</v>
      </c>
      <c r="E14" t="s">
        <v>25</v>
      </c>
      <c r="F14" t="s">
        <v>25</v>
      </c>
      <c r="G14" t="s">
        <v>19</v>
      </c>
      <c r="H14" t="s">
        <v>20</v>
      </c>
      <c r="I14" t="s">
        <v>20</v>
      </c>
      <c r="J14" t="s">
        <v>26</v>
      </c>
      <c r="K14" t="str">
        <f t="shared" si="0"/>
        <v>Alter table TZZSFC230ALL alter column LOGN float</v>
      </c>
    </row>
    <row r="15" spans="1:11" hidden="1" x14ac:dyDescent="0.25">
      <c r="A15" t="s">
        <v>38</v>
      </c>
      <c r="B15" t="s">
        <v>32</v>
      </c>
      <c r="C15" t="s">
        <v>18</v>
      </c>
      <c r="D15">
        <v>8</v>
      </c>
      <c r="E15">
        <v>27</v>
      </c>
      <c r="F15">
        <v>7</v>
      </c>
      <c r="G15" t="s">
        <v>19</v>
      </c>
      <c r="H15" t="s">
        <v>20</v>
      </c>
      <c r="I15" t="s">
        <v>20</v>
      </c>
      <c r="J15" t="s">
        <v>21</v>
      </c>
      <c r="K15" t="str">
        <f t="shared" si="0"/>
        <v>Alter table TZZSFC230ALL alter column PDAT float</v>
      </c>
    </row>
    <row r="16" spans="1:11" x14ac:dyDescent="0.25">
      <c r="A16" t="s">
        <v>39</v>
      </c>
      <c r="B16" t="s">
        <v>17</v>
      </c>
      <c r="C16" t="s">
        <v>18</v>
      </c>
      <c r="D16">
        <v>17</v>
      </c>
      <c r="E16">
        <v>38</v>
      </c>
      <c r="F16">
        <v>18</v>
      </c>
      <c r="G16" t="s">
        <v>19</v>
      </c>
      <c r="H16" t="s">
        <v>20</v>
      </c>
      <c r="I16" t="s">
        <v>20</v>
      </c>
      <c r="J16" t="s">
        <v>21</v>
      </c>
      <c r="K16" t="str">
        <f>"Alter table TZZSFC230ALL alter column "&amp;A16&amp;" decimal"</f>
        <v>Alter table TZZSFC230ALL alter column PTIM decimal</v>
      </c>
    </row>
    <row r="17" spans="1:11" hidden="1" x14ac:dyDescent="0.25">
      <c r="A17" t="s">
        <v>40</v>
      </c>
      <c r="B17" t="s">
        <v>24</v>
      </c>
      <c r="C17" t="s">
        <v>18</v>
      </c>
      <c r="D17">
        <v>32</v>
      </c>
      <c r="E17" t="s">
        <v>25</v>
      </c>
      <c r="F17" t="s">
        <v>25</v>
      </c>
      <c r="G17" t="s">
        <v>19</v>
      </c>
      <c r="H17" t="s">
        <v>20</v>
      </c>
      <c r="I17" t="s">
        <v>20</v>
      </c>
      <c r="J17" t="s">
        <v>26</v>
      </c>
      <c r="K17" t="str">
        <f t="shared" si="0"/>
        <v>Alter table TZZSFC230ALL alter column PLOG float</v>
      </c>
    </row>
    <row r="18" spans="1:11" hidden="1" x14ac:dyDescent="0.25">
      <c r="A18" t="s">
        <v>41</v>
      </c>
      <c r="B18" t="s">
        <v>24</v>
      </c>
      <c r="C18" t="s">
        <v>18</v>
      </c>
      <c r="D18">
        <v>94</v>
      </c>
      <c r="E18" t="s">
        <v>25</v>
      </c>
      <c r="F18" t="s">
        <v>25</v>
      </c>
      <c r="G18" t="s">
        <v>19</v>
      </c>
      <c r="H18" t="s">
        <v>20</v>
      </c>
      <c r="I18" t="s">
        <v>20</v>
      </c>
      <c r="J18" t="s">
        <v>26</v>
      </c>
      <c r="K18" t="str">
        <f t="shared" si="0"/>
        <v>Alter table TZZSFC230ALL alter column ITEM float</v>
      </c>
    </row>
    <row r="19" spans="1:11" x14ac:dyDescent="0.25">
      <c r="A19" t="s">
        <v>42</v>
      </c>
      <c r="B19" t="s">
        <v>17</v>
      </c>
      <c r="C19" t="s">
        <v>18</v>
      </c>
      <c r="D19">
        <v>17</v>
      </c>
      <c r="E19">
        <v>38</v>
      </c>
      <c r="F19">
        <v>18</v>
      </c>
      <c r="G19" t="s">
        <v>19</v>
      </c>
      <c r="H19" t="s">
        <v>20</v>
      </c>
      <c r="I19" t="s">
        <v>20</v>
      </c>
      <c r="J19" t="s">
        <v>21</v>
      </c>
      <c r="K19" t="str">
        <f t="shared" ref="K19:K20" si="2">"Alter table TZZSFC230ALL alter column "&amp;A19&amp;" decimal"</f>
        <v>Alter table TZZSFC230ALL alter column REFCNTD decimal</v>
      </c>
    </row>
    <row r="20" spans="1:11" x14ac:dyDescent="0.25">
      <c r="A20" t="s">
        <v>43</v>
      </c>
      <c r="B20" t="s">
        <v>17</v>
      </c>
      <c r="C20" t="s">
        <v>18</v>
      </c>
      <c r="D20">
        <v>17</v>
      </c>
      <c r="E20">
        <v>38</v>
      </c>
      <c r="F20">
        <v>18</v>
      </c>
      <c r="G20" t="s">
        <v>19</v>
      </c>
      <c r="H20" t="s">
        <v>20</v>
      </c>
      <c r="I20" t="s">
        <v>20</v>
      </c>
      <c r="J20" t="s">
        <v>21</v>
      </c>
      <c r="K20" t="str">
        <f t="shared" si="2"/>
        <v>Alter table TZZSFC230ALL alter column REFCNTU decimal</v>
      </c>
    </row>
    <row r="24" spans="1:11" x14ac:dyDescent="0.25">
      <c r="A24">
        <v>466</v>
      </c>
    </row>
    <row r="25" spans="1:11" x14ac:dyDescent="0.25">
      <c r="A25">
        <v>23</v>
      </c>
    </row>
    <row r="26" spans="1:11" x14ac:dyDescent="0.25">
      <c r="A26">
        <v>439</v>
      </c>
    </row>
    <row r="27" spans="1:11" x14ac:dyDescent="0.25">
      <c r="A27">
        <f>A25+A26</f>
        <v>462</v>
      </c>
    </row>
  </sheetData>
  <autoFilter ref="A1:K20" xr:uid="{E95BD54A-A6B4-454E-889E-C4FEAA87E6FB}">
    <filterColumn colId="1">
      <filters>
        <filter val="decimal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DB21F-3C64-48B6-B096-4E16189E549B}">
  <dimension ref="A1:F6"/>
  <sheetViews>
    <sheetView topLeftCell="C1" workbookViewId="0">
      <selection activeCell="F3" sqref="F3"/>
    </sheetView>
  </sheetViews>
  <sheetFormatPr defaultColWidth="56.5703125" defaultRowHeight="15" x14ac:dyDescent="0.25"/>
  <cols>
    <col min="1" max="1" width="6.42578125" bestFit="1" customWidth="1"/>
    <col min="2" max="2" width="47.28515625" bestFit="1" customWidth="1"/>
    <col min="3" max="3" width="19.140625" bestFit="1" customWidth="1"/>
    <col min="4" max="4" width="34.5703125" bestFit="1" customWidth="1"/>
    <col min="5" max="5" width="56.28515625" bestFit="1" customWidth="1"/>
  </cols>
  <sheetData>
    <row r="1" spans="1:6" x14ac:dyDescent="0.25">
      <c r="A1" s="10" t="s">
        <v>44</v>
      </c>
      <c r="B1" s="10" t="s">
        <v>45</v>
      </c>
      <c r="C1" s="10" t="s">
        <v>46</v>
      </c>
      <c r="D1" s="10" t="s">
        <v>47</v>
      </c>
      <c r="E1" s="10" t="s">
        <v>63</v>
      </c>
      <c r="F1" s="10" t="s">
        <v>64</v>
      </c>
    </row>
    <row r="2" spans="1:6" x14ac:dyDescent="0.25">
      <c r="A2" s="10">
        <v>1</v>
      </c>
      <c r="B2" s="10" t="s">
        <v>48</v>
      </c>
      <c r="C2" s="10" t="s">
        <v>49</v>
      </c>
      <c r="D2" s="10" t="s">
        <v>50</v>
      </c>
      <c r="E2" s="10" t="s">
        <v>50</v>
      </c>
      <c r="F2" s="11"/>
    </row>
    <row r="3" spans="1:6" ht="45" x14ac:dyDescent="0.25">
      <c r="A3" s="10">
        <v>2</v>
      </c>
      <c r="B3" s="10" t="s">
        <v>51</v>
      </c>
      <c r="C3" s="10" t="s">
        <v>52</v>
      </c>
      <c r="D3" s="10" t="s">
        <v>53</v>
      </c>
      <c r="E3" s="10" t="s">
        <v>54</v>
      </c>
      <c r="F3" s="12" t="s">
        <v>66</v>
      </c>
    </row>
    <row r="4" spans="1:6" x14ac:dyDescent="0.25">
      <c r="A4" s="17">
        <v>3</v>
      </c>
      <c r="B4" s="17" t="s">
        <v>55</v>
      </c>
      <c r="C4" s="17" t="s">
        <v>56</v>
      </c>
      <c r="D4" s="10" t="s">
        <v>57</v>
      </c>
      <c r="E4" s="18" t="s">
        <v>59</v>
      </c>
      <c r="F4" s="19" t="s">
        <v>65</v>
      </c>
    </row>
    <row r="5" spans="1:6" x14ac:dyDescent="0.25">
      <c r="A5" s="17"/>
      <c r="B5" s="17"/>
      <c r="C5" s="17"/>
      <c r="D5" s="10" t="s">
        <v>58</v>
      </c>
      <c r="E5" s="18"/>
      <c r="F5" s="20"/>
    </row>
    <row r="6" spans="1:6" x14ac:dyDescent="0.25">
      <c r="A6" s="10">
        <v>4</v>
      </c>
      <c r="B6" s="10" t="s">
        <v>60</v>
      </c>
      <c r="C6" s="10" t="s">
        <v>61</v>
      </c>
      <c r="D6" s="10" t="s">
        <v>62</v>
      </c>
      <c r="E6" s="10"/>
      <c r="F6" s="11"/>
    </row>
  </sheetData>
  <mergeCells count="5">
    <mergeCell ref="A4:A5"/>
    <mergeCell ref="B4:B5"/>
    <mergeCell ref="C4:C5"/>
    <mergeCell ref="E4:E5"/>
    <mergeCell ref="F4:F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47271-98B6-46CC-8017-09A9D6CC2982}">
  <dimension ref="A1:P249"/>
  <sheetViews>
    <sheetView topLeftCell="A71" workbookViewId="0">
      <selection activeCell="N71" sqref="N71"/>
    </sheetView>
  </sheetViews>
  <sheetFormatPr defaultRowHeight="15" x14ac:dyDescent="0.25"/>
  <sheetData>
    <row r="1" spans="1:10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25">
      <c r="A2" t="s">
        <v>68</v>
      </c>
      <c r="B2" t="s">
        <v>69</v>
      </c>
      <c r="C2" t="s">
        <v>18</v>
      </c>
      <c r="D2">
        <v>8</v>
      </c>
      <c r="E2">
        <v>19</v>
      </c>
      <c r="F2">
        <v>0</v>
      </c>
      <c r="G2" t="s">
        <v>19</v>
      </c>
      <c r="H2" t="s">
        <v>20</v>
      </c>
      <c r="I2" t="s">
        <v>20</v>
      </c>
      <c r="J2" t="s">
        <v>21</v>
      </c>
    </row>
    <row r="3" spans="1:10" x14ac:dyDescent="0.25">
      <c r="A3" t="s">
        <v>70</v>
      </c>
      <c r="B3" t="s">
        <v>24</v>
      </c>
      <c r="C3" t="s">
        <v>18</v>
      </c>
      <c r="D3">
        <v>6</v>
      </c>
      <c r="E3" t="s">
        <v>25</v>
      </c>
      <c r="F3" t="s">
        <v>25</v>
      </c>
      <c r="G3" t="s">
        <v>19</v>
      </c>
      <c r="H3" t="s">
        <v>20</v>
      </c>
      <c r="I3" t="s">
        <v>20</v>
      </c>
      <c r="J3" t="s">
        <v>26</v>
      </c>
    </row>
    <row r="4" spans="1:10" x14ac:dyDescent="0.25">
      <c r="A4" t="s">
        <v>71</v>
      </c>
      <c r="B4" t="s">
        <v>69</v>
      </c>
      <c r="C4" t="s">
        <v>18</v>
      </c>
      <c r="D4">
        <v>8</v>
      </c>
      <c r="E4">
        <v>19</v>
      </c>
      <c r="F4">
        <v>0</v>
      </c>
      <c r="G4" t="s">
        <v>19</v>
      </c>
      <c r="H4" t="s">
        <v>20</v>
      </c>
      <c r="I4" t="s">
        <v>20</v>
      </c>
      <c r="J4" t="s">
        <v>21</v>
      </c>
    </row>
    <row r="5" spans="1:10" x14ac:dyDescent="0.25">
      <c r="A5" t="s">
        <v>72</v>
      </c>
      <c r="B5" t="s">
        <v>69</v>
      </c>
      <c r="C5" t="s">
        <v>18</v>
      </c>
      <c r="D5">
        <v>8</v>
      </c>
      <c r="E5">
        <v>19</v>
      </c>
      <c r="F5">
        <v>0</v>
      </c>
      <c r="G5" t="s">
        <v>19</v>
      </c>
      <c r="H5" t="s">
        <v>20</v>
      </c>
      <c r="I5" t="s">
        <v>20</v>
      </c>
      <c r="J5" t="s">
        <v>21</v>
      </c>
    </row>
    <row r="6" spans="1:10" x14ac:dyDescent="0.25">
      <c r="A6" t="s">
        <v>73</v>
      </c>
      <c r="B6" t="s">
        <v>24</v>
      </c>
      <c r="C6" t="s">
        <v>18</v>
      </c>
      <c r="D6">
        <v>6</v>
      </c>
      <c r="E6" t="s">
        <v>25</v>
      </c>
      <c r="F6" t="s">
        <v>25</v>
      </c>
      <c r="G6" t="s">
        <v>19</v>
      </c>
      <c r="H6" t="s">
        <v>20</v>
      </c>
      <c r="I6" t="s">
        <v>20</v>
      </c>
      <c r="J6" t="s">
        <v>26</v>
      </c>
    </row>
    <row r="7" spans="1:10" x14ac:dyDescent="0.25">
      <c r="A7" t="s">
        <v>74</v>
      </c>
      <c r="B7" t="s">
        <v>69</v>
      </c>
      <c r="C7" t="s">
        <v>18</v>
      </c>
      <c r="D7">
        <v>8</v>
      </c>
      <c r="E7">
        <v>19</v>
      </c>
      <c r="F7">
        <v>0</v>
      </c>
      <c r="G7" t="s">
        <v>19</v>
      </c>
      <c r="H7" t="s">
        <v>20</v>
      </c>
      <c r="I7" t="s">
        <v>20</v>
      </c>
      <c r="J7" t="s">
        <v>21</v>
      </c>
    </row>
    <row r="8" spans="1:10" x14ac:dyDescent="0.25">
      <c r="A8" t="s">
        <v>75</v>
      </c>
      <c r="B8" t="s">
        <v>69</v>
      </c>
      <c r="C8" t="s">
        <v>18</v>
      </c>
      <c r="D8">
        <v>8</v>
      </c>
      <c r="E8">
        <v>19</v>
      </c>
      <c r="F8">
        <v>0</v>
      </c>
      <c r="G8" t="s">
        <v>19</v>
      </c>
      <c r="H8" t="s">
        <v>20</v>
      </c>
      <c r="I8" t="s">
        <v>20</v>
      </c>
      <c r="J8" t="s">
        <v>21</v>
      </c>
    </row>
    <row r="9" spans="1:10" x14ac:dyDescent="0.25">
      <c r="A9" t="s">
        <v>76</v>
      </c>
      <c r="B9" t="s">
        <v>24</v>
      </c>
      <c r="C9" t="s">
        <v>18</v>
      </c>
      <c r="D9">
        <v>18</v>
      </c>
      <c r="E9" t="s">
        <v>25</v>
      </c>
      <c r="F9" t="s">
        <v>25</v>
      </c>
      <c r="G9" t="s">
        <v>19</v>
      </c>
      <c r="H9" t="s">
        <v>20</v>
      </c>
      <c r="I9" t="s">
        <v>20</v>
      </c>
      <c r="J9" t="s">
        <v>26</v>
      </c>
    </row>
    <row r="10" spans="1:10" x14ac:dyDescent="0.25">
      <c r="A10" t="s">
        <v>77</v>
      </c>
      <c r="B10" t="s">
        <v>78</v>
      </c>
      <c r="C10" t="s">
        <v>18</v>
      </c>
      <c r="D10">
        <v>3</v>
      </c>
      <c r="E10">
        <v>10</v>
      </c>
      <c r="F10">
        <v>0</v>
      </c>
      <c r="G10" t="s">
        <v>19</v>
      </c>
      <c r="H10" t="s">
        <v>20</v>
      </c>
      <c r="I10" t="s">
        <v>20</v>
      </c>
      <c r="J10" t="s">
        <v>21</v>
      </c>
    </row>
    <row r="11" spans="1:10" x14ac:dyDescent="0.25">
      <c r="A11" t="s">
        <v>79</v>
      </c>
      <c r="B11" t="s">
        <v>69</v>
      </c>
      <c r="C11" t="s">
        <v>18</v>
      </c>
      <c r="D11">
        <v>8</v>
      </c>
      <c r="E11">
        <v>19</v>
      </c>
      <c r="F11">
        <v>0</v>
      </c>
      <c r="G11" t="s">
        <v>19</v>
      </c>
      <c r="H11" t="s">
        <v>20</v>
      </c>
      <c r="I11" t="s">
        <v>20</v>
      </c>
      <c r="J11" t="s">
        <v>21</v>
      </c>
    </row>
    <row r="12" spans="1:10" x14ac:dyDescent="0.25">
      <c r="A12" t="s">
        <v>80</v>
      </c>
      <c r="B12" t="s">
        <v>24</v>
      </c>
      <c r="C12" t="s">
        <v>18</v>
      </c>
      <c r="D12">
        <v>200</v>
      </c>
      <c r="E12" t="s">
        <v>25</v>
      </c>
      <c r="F12" t="s">
        <v>25</v>
      </c>
      <c r="G12" t="s">
        <v>19</v>
      </c>
      <c r="H12" t="s">
        <v>20</v>
      </c>
      <c r="I12" t="s">
        <v>20</v>
      </c>
      <c r="J12" t="s">
        <v>26</v>
      </c>
    </row>
    <row r="13" spans="1:10" x14ac:dyDescent="0.25">
      <c r="A13" t="s">
        <v>81</v>
      </c>
      <c r="B13" t="s">
        <v>24</v>
      </c>
      <c r="C13" t="s">
        <v>18</v>
      </c>
      <c r="D13">
        <v>6</v>
      </c>
      <c r="E13" t="s">
        <v>25</v>
      </c>
      <c r="F13" t="s">
        <v>25</v>
      </c>
      <c r="G13" t="s">
        <v>19</v>
      </c>
      <c r="H13" t="s">
        <v>20</v>
      </c>
      <c r="I13" t="s">
        <v>20</v>
      </c>
      <c r="J13" t="s">
        <v>26</v>
      </c>
    </row>
    <row r="14" spans="1:10" x14ac:dyDescent="0.25">
      <c r="A14" t="s">
        <v>82</v>
      </c>
      <c r="B14" t="s">
        <v>83</v>
      </c>
      <c r="C14" t="s">
        <v>18</v>
      </c>
      <c r="D14">
        <v>8</v>
      </c>
      <c r="E14">
        <v>53</v>
      </c>
      <c r="F14" t="s">
        <v>21</v>
      </c>
      <c r="G14" t="s">
        <v>19</v>
      </c>
      <c r="H14" t="s">
        <v>20</v>
      </c>
      <c r="I14" t="s">
        <v>20</v>
      </c>
      <c r="J14" t="s">
        <v>21</v>
      </c>
    </row>
    <row r="15" spans="1:10" x14ac:dyDescent="0.25">
      <c r="A15" t="s">
        <v>84</v>
      </c>
      <c r="B15" t="s">
        <v>83</v>
      </c>
      <c r="C15" t="s">
        <v>18</v>
      </c>
      <c r="D15">
        <v>8</v>
      </c>
      <c r="E15">
        <v>53</v>
      </c>
      <c r="F15" t="s">
        <v>21</v>
      </c>
      <c r="G15" t="s">
        <v>19</v>
      </c>
      <c r="H15" t="s">
        <v>20</v>
      </c>
      <c r="I15" t="s">
        <v>20</v>
      </c>
      <c r="J15" t="s">
        <v>21</v>
      </c>
    </row>
    <row r="16" spans="1:10" x14ac:dyDescent="0.25">
      <c r="A16" t="s">
        <v>85</v>
      </c>
      <c r="B16" t="s">
        <v>83</v>
      </c>
      <c r="C16" t="s">
        <v>18</v>
      </c>
      <c r="D16">
        <v>8</v>
      </c>
      <c r="E16">
        <v>53</v>
      </c>
      <c r="F16" t="s">
        <v>21</v>
      </c>
      <c r="G16" t="s">
        <v>19</v>
      </c>
      <c r="H16" t="s">
        <v>20</v>
      </c>
      <c r="I16" t="s">
        <v>20</v>
      </c>
      <c r="J16" t="s">
        <v>21</v>
      </c>
    </row>
    <row r="17" spans="1:10" x14ac:dyDescent="0.25">
      <c r="A17" t="s">
        <v>86</v>
      </c>
      <c r="B17" t="s">
        <v>69</v>
      </c>
      <c r="C17" t="s">
        <v>18</v>
      </c>
      <c r="D17">
        <v>8</v>
      </c>
      <c r="E17">
        <v>19</v>
      </c>
      <c r="F17">
        <v>0</v>
      </c>
      <c r="G17" t="s">
        <v>19</v>
      </c>
      <c r="H17" t="s">
        <v>20</v>
      </c>
      <c r="I17" t="s">
        <v>20</v>
      </c>
      <c r="J17" t="s">
        <v>21</v>
      </c>
    </row>
    <row r="18" spans="1:10" x14ac:dyDescent="0.25">
      <c r="A18" t="s">
        <v>87</v>
      </c>
      <c r="B18" t="s">
        <v>69</v>
      </c>
      <c r="C18" t="s">
        <v>18</v>
      </c>
      <c r="D18">
        <v>8</v>
      </c>
      <c r="E18">
        <v>19</v>
      </c>
      <c r="F18">
        <v>0</v>
      </c>
      <c r="G18" t="s">
        <v>19</v>
      </c>
      <c r="H18" t="s">
        <v>20</v>
      </c>
      <c r="I18" t="s">
        <v>20</v>
      </c>
      <c r="J18" t="s">
        <v>21</v>
      </c>
    </row>
    <row r="19" spans="1:10" x14ac:dyDescent="0.25">
      <c r="A19" t="s">
        <v>88</v>
      </c>
      <c r="B19" t="s">
        <v>69</v>
      </c>
      <c r="C19" t="s">
        <v>18</v>
      </c>
      <c r="D19">
        <v>8</v>
      </c>
      <c r="E19">
        <v>19</v>
      </c>
      <c r="F19">
        <v>0</v>
      </c>
      <c r="G19" t="s">
        <v>19</v>
      </c>
      <c r="H19" t="s">
        <v>20</v>
      </c>
      <c r="I19" t="s">
        <v>20</v>
      </c>
      <c r="J19" t="s">
        <v>21</v>
      </c>
    </row>
    <row r="20" spans="1:10" x14ac:dyDescent="0.25">
      <c r="A20" t="s">
        <v>89</v>
      </c>
      <c r="B20" t="s">
        <v>69</v>
      </c>
      <c r="C20" t="s">
        <v>18</v>
      </c>
      <c r="D20">
        <v>8</v>
      </c>
      <c r="E20">
        <v>19</v>
      </c>
      <c r="F20">
        <v>0</v>
      </c>
      <c r="G20" t="s">
        <v>19</v>
      </c>
      <c r="H20" t="s">
        <v>20</v>
      </c>
      <c r="I20" t="s">
        <v>20</v>
      </c>
      <c r="J20" t="s">
        <v>21</v>
      </c>
    </row>
    <row r="21" spans="1:10" x14ac:dyDescent="0.25">
      <c r="A21" t="s">
        <v>90</v>
      </c>
      <c r="B21" t="s">
        <v>24</v>
      </c>
      <c r="C21" t="s">
        <v>18</v>
      </c>
      <c r="D21">
        <v>40</v>
      </c>
      <c r="E21" t="s">
        <v>25</v>
      </c>
      <c r="F21" t="s">
        <v>25</v>
      </c>
      <c r="G21" t="s">
        <v>19</v>
      </c>
      <c r="H21" t="s">
        <v>20</v>
      </c>
      <c r="I21" t="s">
        <v>20</v>
      </c>
      <c r="J21" t="s">
        <v>26</v>
      </c>
    </row>
    <row r="22" spans="1:10" x14ac:dyDescent="0.25">
      <c r="A22" t="s">
        <v>91</v>
      </c>
      <c r="B22" t="s">
        <v>83</v>
      </c>
      <c r="C22" t="s">
        <v>18</v>
      </c>
      <c r="D22">
        <v>8</v>
      </c>
      <c r="E22">
        <v>53</v>
      </c>
      <c r="F22" t="s">
        <v>21</v>
      </c>
      <c r="G22" t="s">
        <v>19</v>
      </c>
      <c r="H22" t="s">
        <v>20</v>
      </c>
      <c r="I22" t="s">
        <v>20</v>
      </c>
      <c r="J22" t="s">
        <v>21</v>
      </c>
    </row>
    <row r="23" spans="1:10" x14ac:dyDescent="0.25">
      <c r="A23" t="s">
        <v>92</v>
      </c>
      <c r="B23" t="s">
        <v>83</v>
      </c>
      <c r="C23" t="s">
        <v>18</v>
      </c>
      <c r="D23">
        <v>8</v>
      </c>
      <c r="E23">
        <v>53</v>
      </c>
      <c r="F23" t="s">
        <v>21</v>
      </c>
      <c r="G23" t="s">
        <v>19</v>
      </c>
      <c r="H23" t="s">
        <v>20</v>
      </c>
      <c r="I23" t="s">
        <v>20</v>
      </c>
      <c r="J23" t="s">
        <v>21</v>
      </c>
    </row>
    <row r="24" spans="1:10" x14ac:dyDescent="0.25">
      <c r="A24" t="s">
        <v>93</v>
      </c>
      <c r="B24" t="s">
        <v>83</v>
      </c>
      <c r="C24" t="s">
        <v>18</v>
      </c>
      <c r="D24">
        <v>8</v>
      </c>
      <c r="E24">
        <v>53</v>
      </c>
      <c r="F24" t="s">
        <v>21</v>
      </c>
      <c r="G24" t="s">
        <v>19</v>
      </c>
      <c r="H24" t="s">
        <v>20</v>
      </c>
      <c r="I24" t="s">
        <v>20</v>
      </c>
      <c r="J24" t="s">
        <v>21</v>
      </c>
    </row>
    <row r="25" spans="1:10" x14ac:dyDescent="0.25">
      <c r="A25" t="s">
        <v>94</v>
      </c>
      <c r="B25" t="s">
        <v>83</v>
      </c>
      <c r="C25" t="s">
        <v>18</v>
      </c>
      <c r="D25">
        <v>8</v>
      </c>
      <c r="E25">
        <v>53</v>
      </c>
      <c r="F25" t="s">
        <v>21</v>
      </c>
      <c r="G25" t="s">
        <v>19</v>
      </c>
      <c r="H25" t="s">
        <v>20</v>
      </c>
      <c r="I25" t="s">
        <v>20</v>
      </c>
      <c r="J25" t="s">
        <v>21</v>
      </c>
    </row>
    <row r="26" spans="1:10" x14ac:dyDescent="0.25">
      <c r="A26" t="s">
        <v>95</v>
      </c>
      <c r="B26" t="s">
        <v>83</v>
      </c>
      <c r="C26" t="s">
        <v>18</v>
      </c>
      <c r="D26">
        <v>8</v>
      </c>
      <c r="E26">
        <v>53</v>
      </c>
      <c r="F26" t="s">
        <v>21</v>
      </c>
      <c r="G26" t="s">
        <v>19</v>
      </c>
      <c r="H26" t="s">
        <v>20</v>
      </c>
      <c r="I26" t="s">
        <v>20</v>
      </c>
      <c r="J26" t="s">
        <v>21</v>
      </c>
    </row>
    <row r="27" spans="1:10" x14ac:dyDescent="0.25">
      <c r="A27" t="s">
        <v>96</v>
      </c>
      <c r="B27" t="s">
        <v>97</v>
      </c>
      <c r="C27" t="s">
        <v>18</v>
      </c>
      <c r="D27">
        <v>8</v>
      </c>
      <c r="E27" t="s">
        <v>25</v>
      </c>
      <c r="F27" t="s">
        <v>25</v>
      </c>
      <c r="G27" t="s">
        <v>19</v>
      </c>
      <c r="H27" t="s">
        <v>20</v>
      </c>
      <c r="I27" t="s">
        <v>20</v>
      </c>
      <c r="J27" t="s">
        <v>21</v>
      </c>
    </row>
    <row r="28" spans="1:10" x14ac:dyDescent="0.25">
      <c r="A28" t="s">
        <v>98</v>
      </c>
      <c r="B28" t="s">
        <v>24</v>
      </c>
      <c r="C28" t="s">
        <v>18</v>
      </c>
      <c r="D28">
        <v>6</v>
      </c>
      <c r="E28" t="s">
        <v>25</v>
      </c>
      <c r="F28" t="s">
        <v>25</v>
      </c>
      <c r="G28" t="s">
        <v>19</v>
      </c>
      <c r="H28" t="s">
        <v>20</v>
      </c>
      <c r="I28" t="s">
        <v>20</v>
      </c>
      <c r="J28" t="s">
        <v>26</v>
      </c>
    </row>
    <row r="29" spans="1:10" x14ac:dyDescent="0.25">
      <c r="A29" t="s">
        <v>99</v>
      </c>
      <c r="B29" t="s">
        <v>24</v>
      </c>
      <c r="C29" t="s">
        <v>18</v>
      </c>
      <c r="D29">
        <v>6</v>
      </c>
      <c r="E29" t="s">
        <v>25</v>
      </c>
      <c r="F29" t="s">
        <v>25</v>
      </c>
      <c r="G29" t="s">
        <v>19</v>
      </c>
      <c r="H29" t="s">
        <v>20</v>
      </c>
      <c r="I29" t="s">
        <v>20</v>
      </c>
      <c r="J29" t="s">
        <v>26</v>
      </c>
    </row>
    <row r="30" spans="1:10" x14ac:dyDescent="0.25">
      <c r="A30" t="s">
        <v>100</v>
      </c>
      <c r="B30" t="s">
        <v>24</v>
      </c>
      <c r="C30" t="s">
        <v>18</v>
      </c>
      <c r="D30">
        <v>18</v>
      </c>
      <c r="E30" t="s">
        <v>25</v>
      </c>
      <c r="F30" t="s">
        <v>25</v>
      </c>
      <c r="G30" t="s">
        <v>19</v>
      </c>
      <c r="H30" t="s">
        <v>20</v>
      </c>
      <c r="I30" t="s">
        <v>20</v>
      </c>
      <c r="J30" t="s">
        <v>26</v>
      </c>
    </row>
    <row r="31" spans="1:10" x14ac:dyDescent="0.25">
      <c r="A31" t="s">
        <v>101</v>
      </c>
      <c r="B31" t="s">
        <v>83</v>
      </c>
      <c r="C31" t="s">
        <v>18</v>
      </c>
      <c r="D31">
        <v>8</v>
      </c>
      <c r="E31">
        <v>53</v>
      </c>
      <c r="F31" t="s">
        <v>21</v>
      </c>
      <c r="G31" t="s">
        <v>19</v>
      </c>
      <c r="H31" t="s">
        <v>20</v>
      </c>
      <c r="I31" t="s">
        <v>20</v>
      </c>
      <c r="J31" t="s">
        <v>21</v>
      </c>
    </row>
    <row r="32" spans="1:10" x14ac:dyDescent="0.25">
      <c r="A32" t="s">
        <v>102</v>
      </c>
      <c r="B32" t="s">
        <v>83</v>
      </c>
      <c r="C32" t="s">
        <v>18</v>
      </c>
      <c r="D32">
        <v>8</v>
      </c>
      <c r="E32">
        <v>53</v>
      </c>
      <c r="F32" t="s">
        <v>21</v>
      </c>
      <c r="G32" t="s">
        <v>19</v>
      </c>
      <c r="H32" t="s">
        <v>20</v>
      </c>
      <c r="I32" t="s">
        <v>20</v>
      </c>
      <c r="J32" t="s">
        <v>21</v>
      </c>
    </row>
    <row r="33" spans="1:10" x14ac:dyDescent="0.25">
      <c r="A33" t="s">
        <v>103</v>
      </c>
      <c r="B33" t="s">
        <v>83</v>
      </c>
      <c r="C33" t="s">
        <v>18</v>
      </c>
      <c r="D33">
        <v>8</v>
      </c>
      <c r="E33">
        <v>53</v>
      </c>
      <c r="F33" t="s">
        <v>21</v>
      </c>
      <c r="G33" t="s">
        <v>19</v>
      </c>
      <c r="H33" t="s">
        <v>20</v>
      </c>
      <c r="I33" t="s">
        <v>20</v>
      </c>
      <c r="J33" t="s">
        <v>21</v>
      </c>
    </row>
    <row r="34" spans="1:10" x14ac:dyDescent="0.25">
      <c r="A34" t="s">
        <v>104</v>
      </c>
      <c r="B34" t="s">
        <v>83</v>
      </c>
      <c r="C34" t="s">
        <v>18</v>
      </c>
      <c r="D34">
        <v>8</v>
      </c>
      <c r="E34">
        <v>53</v>
      </c>
      <c r="F34" t="s">
        <v>21</v>
      </c>
      <c r="G34" t="s">
        <v>19</v>
      </c>
      <c r="H34" t="s">
        <v>20</v>
      </c>
      <c r="I34" t="s">
        <v>20</v>
      </c>
      <c r="J34" t="s">
        <v>21</v>
      </c>
    </row>
    <row r="35" spans="1:10" x14ac:dyDescent="0.25">
      <c r="A35" t="s">
        <v>105</v>
      </c>
      <c r="B35" t="s">
        <v>83</v>
      </c>
      <c r="C35" t="s">
        <v>18</v>
      </c>
      <c r="D35">
        <v>8</v>
      </c>
      <c r="E35">
        <v>53</v>
      </c>
      <c r="F35" t="s">
        <v>21</v>
      </c>
      <c r="G35" t="s">
        <v>19</v>
      </c>
      <c r="H35" t="s">
        <v>20</v>
      </c>
      <c r="I35" t="s">
        <v>20</v>
      </c>
      <c r="J35" t="s">
        <v>21</v>
      </c>
    </row>
    <row r="36" spans="1:10" x14ac:dyDescent="0.25">
      <c r="A36" t="s">
        <v>106</v>
      </c>
      <c r="B36" t="s">
        <v>83</v>
      </c>
      <c r="C36" t="s">
        <v>18</v>
      </c>
      <c r="D36">
        <v>8</v>
      </c>
      <c r="E36">
        <v>53</v>
      </c>
      <c r="F36" t="s">
        <v>21</v>
      </c>
      <c r="G36" t="s">
        <v>19</v>
      </c>
      <c r="H36" t="s">
        <v>20</v>
      </c>
      <c r="I36" t="s">
        <v>20</v>
      </c>
      <c r="J36" t="s">
        <v>21</v>
      </c>
    </row>
    <row r="37" spans="1:10" x14ac:dyDescent="0.25">
      <c r="A37" t="s">
        <v>107</v>
      </c>
      <c r="B37" t="s">
        <v>83</v>
      </c>
      <c r="C37" t="s">
        <v>18</v>
      </c>
      <c r="D37">
        <v>8</v>
      </c>
      <c r="E37">
        <v>53</v>
      </c>
      <c r="F37" t="s">
        <v>21</v>
      </c>
      <c r="G37" t="s">
        <v>19</v>
      </c>
      <c r="H37" t="s">
        <v>20</v>
      </c>
      <c r="I37" t="s">
        <v>20</v>
      </c>
      <c r="J37" t="s">
        <v>21</v>
      </c>
    </row>
    <row r="38" spans="1:10" x14ac:dyDescent="0.25">
      <c r="A38" t="s">
        <v>108</v>
      </c>
      <c r="B38" t="s">
        <v>83</v>
      </c>
      <c r="C38" t="s">
        <v>18</v>
      </c>
      <c r="D38">
        <v>8</v>
      </c>
      <c r="E38">
        <v>53</v>
      </c>
      <c r="F38" t="s">
        <v>21</v>
      </c>
      <c r="G38" t="s">
        <v>19</v>
      </c>
      <c r="H38" t="s">
        <v>20</v>
      </c>
      <c r="I38" t="s">
        <v>20</v>
      </c>
      <c r="J38" t="s">
        <v>21</v>
      </c>
    </row>
    <row r="39" spans="1:10" x14ac:dyDescent="0.25">
      <c r="A39" t="s">
        <v>109</v>
      </c>
      <c r="B39" t="s">
        <v>83</v>
      </c>
      <c r="C39" t="s">
        <v>18</v>
      </c>
      <c r="D39">
        <v>8</v>
      </c>
      <c r="E39">
        <v>53</v>
      </c>
      <c r="F39" t="s">
        <v>21</v>
      </c>
      <c r="G39" t="s">
        <v>19</v>
      </c>
      <c r="H39" t="s">
        <v>20</v>
      </c>
      <c r="I39" t="s">
        <v>20</v>
      </c>
      <c r="J39" t="s">
        <v>21</v>
      </c>
    </row>
    <row r="40" spans="1:10" x14ac:dyDescent="0.25">
      <c r="A40" t="s">
        <v>110</v>
      </c>
      <c r="B40" t="s">
        <v>78</v>
      </c>
      <c r="C40" t="s">
        <v>18</v>
      </c>
      <c r="D40">
        <v>3</v>
      </c>
      <c r="E40">
        <v>10</v>
      </c>
      <c r="F40">
        <v>0</v>
      </c>
      <c r="G40" t="s">
        <v>19</v>
      </c>
      <c r="H40" t="s">
        <v>20</v>
      </c>
      <c r="I40" t="s">
        <v>20</v>
      </c>
      <c r="J40" t="s">
        <v>21</v>
      </c>
    </row>
    <row r="41" spans="1:10" x14ac:dyDescent="0.25">
      <c r="A41" t="s">
        <v>111</v>
      </c>
      <c r="B41" t="s">
        <v>83</v>
      </c>
      <c r="C41" t="s">
        <v>18</v>
      </c>
      <c r="D41">
        <v>8</v>
      </c>
      <c r="E41">
        <v>53</v>
      </c>
      <c r="F41" t="s">
        <v>21</v>
      </c>
      <c r="G41" t="s">
        <v>19</v>
      </c>
      <c r="H41" t="s">
        <v>20</v>
      </c>
      <c r="I41" t="s">
        <v>20</v>
      </c>
      <c r="J41" t="s">
        <v>21</v>
      </c>
    </row>
    <row r="42" spans="1:10" x14ac:dyDescent="0.25">
      <c r="A42" t="s">
        <v>112</v>
      </c>
      <c r="B42" t="s">
        <v>83</v>
      </c>
      <c r="C42" t="s">
        <v>18</v>
      </c>
      <c r="D42">
        <v>8</v>
      </c>
      <c r="E42">
        <v>53</v>
      </c>
      <c r="F42" t="s">
        <v>21</v>
      </c>
      <c r="G42" t="s">
        <v>19</v>
      </c>
      <c r="H42" t="s">
        <v>20</v>
      </c>
      <c r="I42" t="s">
        <v>20</v>
      </c>
      <c r="J42" t="s">
        <v>21</v>
      </c>
    </row>
    <row r="43" spans="1:10" x14ac:dyDescent="0.25">
      <c r="A43" t="s">
        <v>113</v>
      </c>
      <c r="B43" t="s">
        <v>83</v>
      </c>
      <c r="C43" t="s">
        <v>18</v>
      </c>
      <c r="D43">
        <v>8</v>
      </c>
      <c r="E43">
        <v>53</v>
      </c>
      <c r="F43" t="s">
        <v>21</v>
      </c>
      <c r="G43" t="s">
        <v>19</v>
      </c>
      <c r="H43" t="s">
        <v>20</v>
      </c>
      <c r="I43" t="s">
        <v>20</v>
      </c>
      <c r="J43" t="s">
        <v>21</v>
      </c>
    </row>
    <row r="44" spans="1:10" x14ac:dyDescent="0.25">
      <c r="A44" t="s">
        <v>114</v>
      </c>
      <c r="B44" t="s">
        <v>83</v>
      </c>
      <c r="C44" t="s">
        <v>18</v>
      </c>
      <c r="D44">
        <v>8</v>
      </c>
      <c r="E44">
        <v>53</v>
      </c>
      <c r="F44" t="s">
        <v>21</v>
      </c>
      <c r="G44" t="s">
        <v>19</v>
      </c>
      <c r="H44" t="s">
        <v>20</v>
      </c>
      <c r="I44" t="s">
        <v>20</v>
      </c>
      <c r="J44" t="s">
        <v>21</v>
      </c>
    </row>
    <row r="45" spans="1:10" x14ac:dyDescent="0.25">
      <c r="A45" t="s">
        <v>115</v>
      </c>
      <c r="B45" t="s">
        <v>83</v>
      </c>
      <c r="C45" t="s">
        <v>18</v>
      </c>
      <c r="D45">
        <v>8</v>
      </c>
      <c r="E45">
        <v>53</v>
      </c>
      <c r="F45" t="s">
        <v>21</v>
      </c>
      <c r="G45" t="s">
        <v>19</v>
      </c>
      <c r="H45" t="s">
        <v>20</v>
      </c>
      <c r="I45" t="s">
        <v>20</v>
      </c>
      <c r="J45" t="s">
        <v>21</v>
      </c>
    </row>
    <row r="46" spans="1:10" x14ac:dyDescent="0.25">
      <c r="A46" t="s">
        <v>116</v>
      </c>
      <c r="B46" t="s">
        <v>78</v>
      </c>
      <c r="C46" t="s">
        <v>18</v>
      </c>
      <c r="D46">
        <v>3</v>
      </c>
      <c r="E46">
        <v>10</v>
      </c>
      <c r="F46">
        <v>0</v>
      </c>
      <c r="G46" t="s">
        <v>19</v>
      </c>
      <c r="H46" t="s">
        <v>20</v>
      </c>
      <c r="I46" t="s">
        <v>20</v>
      </c>
      <c r="J46" t="s">
        <v>21</v>
      </c>
    </row>
    <row r="47" spans="1:10" x14ac:dyDescent="0.25">
      <c r="A47" t="s">
        <v>117</v>
      </c>
      <c r="B47" t="s">
        <v>83</v>
      </c>
      <c r="C47" t="s">
        <v>18</v>
      </c>
      <c r="D47">
        <v>8</v>
      </c>
      <c r="E47">
        <v>53</v>
      </c>
      <c r="F47" t="s">
        <v>21</v>
      </c>
      <c r="G47" t="s">
        <v>19</v>
      </c>
      <c r="H47" t="s">
        <v>20</v>
      </c>
      <c r="I47" t="s">
        <v>20</v>
      </c>
      <c r="J47" t="s">
        <v>21</v>
      </c>
    </row>
    <row r="48" spans="1:10" x14ac:dyDescent="0.25">
      <c r="A48" t="s">
        <v>118</v>
      </c>
      <c r="B48" t="s">
        <v>83</v>
      </c>
      <c r="C48" t="s">
        <v>18</v>
      </c>
      <c r="D48">
        <v>8</v>
      </c>
      <c r="E48">
        <v>53</v>
      </c>
      <c r="F48" t="s">
        <v>21</v>
      </c>
      <c r="G48" t="s">
        <v>19</v>
      </c>
      <c r="H48" t="s">
        <v>20</v>
      </c>
      <c r="I48" t="s">
        <v>20</v>
      </c>
      <c r="J48" t="s">
        <v>21</v>
      </c>
    </row>
    <row r="49" spans="1:10" x14ac:dyDescent="0.25">
      <c r="A49" t="s">
        <v>119</v>
      </c>
      <c r="B49" t="s">
        <v>83</v>
      </c>
      <c r="C49" t="s">
        <v>18</v>
      </c>
      <c r="D49">
        <v>8</v>
      </c>
      <c r="E49">
        <v>53</v>
      </c>
      <c r="F49" t="s">
        <v>21</v>
      </c>
      <c r="G49" t="s">
        <v>19</v>
      </c>
      <c r="H49" t="s">
        <v>20</v>
      </c>
      <c r="I49" t="s">
        <v>20</v>
      </c>
      <c r="J49" t="s">
        <v>21</v>
      </c>
    </row>
    <row r="50" spans="1:10" x14ac:dyDescent="0.25">
      <c r="A50" t="s">
        <v>120</v>
      </c>
      <c r="B50" t="s">
        <v>83</v>
      </c>
      <c r="C50" t="s">
        <v>18</v>
      </c>
      <c r="D50">
        <v>8</v>
      </c>
      <c r="E50">
        <v>53</v>
      </c>
      <c r="F50" t="s">
        <v>21</v>
      </c>
      <c r="G50" t="s">
        <v>19</v>
      </c>
      <c r="H50" t="s">
        <v>20</v>
      </c>
      <c r="I50" t="s">
        <v>20</v>
      </c>
      <c r="J50" t="s">
        <v>21</v>
      </c>
    </row>
    <row r="51" spans="1:10" x14ac:dyDescent="0.25">
      <c r="A51" t="s">
        <v>121</v>
      </c>
      <c r="B51" t="s">
        <v>83</v>
      </c>
      <c r="C51" t="s">
        <v>18</v>
      </c>
      <c r="D51">
        <v>8</v>
      </c>
      <c r="E51">
        <v>53</v>
      </c>
      <c r="F51" t="s">
        <v>21</v>
      </c>
      <c r="G51" t="s">
        <v>19</v>
      </c>
      <c r="H51" t="s">
        <v>20</v>
      </c>
      <c r="I51" t="s">
        <v>20</v>
      </c>
      <c r="J51" t="s">
        <v>21</v>
      </c>
    </row>
    <row r="52" spans="1:10" x14ac:dyDescent="0.25">
      <c r="A52" t="s">
        <v>122</v>
      </c>
      <c r="B52" t="s">
        <v>78</v>
      </c>
      <c r="C52" t="s">
        <v>18</v>
      </c>
      <c r="D52">
        <v>3</v>
      </c>
      <c r="E52">
        <v>10</v>
      </c>
      <c r="F52">
        <v>0</v>
      </c>
      <c r="G52" t="s">
        <v>19</v>
      </c>
      <c r="H52" t="s">
        <v>20</v>
      </c>
      <c r="I52" t="s">
        <v>20</v>
      </c>
      <c r="J52" t="s">
        <v>21</v>
      </c>
    </row>
    <row r="53" spans="1:10" x14ac:dyDescent="0.25">
      <c r="A53" t="s">
        <v>123</v>
      </c>
      <c r="B53" t="s">
        <v>83</v>
      </c>
      <c r="C53" t="s">
        <v>18</v>
      </c>
      <c r="D53">
        <v>8</v>
      </c>
      <c r="E53">
        <v>53</v>
      </c>
      <c r="F53" t="s">
        <v>21</v>
      </c>
      <c r="G53" t="s">
        <v>19</v>
      </c>
      <c r="H53" t="s">
        <v>20</v>
      </c>
      <c r="I53" t="s">
        <v>20</v>
      </c>
      <c r="J53" t="s">
        <v>21</v>
      </c>
    </row>
    <row r="54" spans="1:10" x14ac:dyDescent="0.25">
      <c r="A54" t="s">
        <v>124</v>
      </c>
      <c r="B54" t="s">
        <v>83</v>
      </c>
      <c r="C54" t="s">
        <v>18</v>
      </c>
      <c r="D54">
        <v>8</v>
      </c>
      <c r="E54">
        <v>53</v>
      </c>
      <c r="F54" t="s">
        <v>21</v>
      </c>
      <c r="G54" t="s">
        <v>19</v>
      </c>
      <c r="H54" t="s">
        <v>20</v>
      </c>
      <c r="I54" t="s">
        <v>20</v>
      </c>
      <c r="J54" t="s">
        <v>21</v>
      </c>
    </row>
    <row r="55" spans="1:10" x14ac:dyDescent="0.25">
      <c r="A55" t="s">
        <v>125</v>
      </c>
      <c r="B55" t="s">
        <v>83</v>
      </c>
      <c r="C55" t="s">
        <v>18</v>
      </c>
      <c r="D55">
        <v>8</v>
      </c>
      <c r="E55">
        <v>53</v>
      </c>
      <c r="F55" t="s">
        <v>21</v>
      </c>
      <c r="G55" t="s">
        <v>19</v>
      </c>
      <c r="H55" t="s">
        <v>20</v>
      </c>
      <c r="I55" t="s">
        <v>20</v>
      </c>
      <c r="J55" t="s">
        <v>21</v>
      </c>
    </row>
    <row r="56" spans="1:10" x14ac:dyDescent="0.25">
      <c r="A56" t="s">
        <v>126</v>
      </c>
      <c r="B56" t="s">
        <v>83</v>
      </c>
      <c r="C56" t="s">
        <v>18</v>
      </c>
      <c r="D56">
        <v>8</v>
      </c>
      <c r="E56">
        <v>53</v>
      </c>
      <c r="F56" t="s">
        <v>21</v>
      </c>
      <c r="G56" t="s">
        <v>19</v>
      </c>
      <c r="H56" t="s">
        <v>20</v>
      </c>
      <c r="I56" t="s">
        <v>20</v>
      </c>
      <c r="J56" t="s">
        <v>21</v>
      </c>
    </row>
    <row r="57" spans="1:10" x14ac:dyDescent="0.25">
      <c r="A57" t="s">
        <v>127</v>
      </c>
      <c r="B57" t="s">
        <v>83</v>
      </c>
      <c r="C57" t="s">
        <v>18</v>
      </c>
      <c r="D57">
        <v>8</v>
      </c>
      <c r="E57">
        <v>53</v>
      </c>
      <c r="F57" t="s">
        <v>21</v>
      </c>
      <c r="G57" t="s">
        <v>19</v>
      </c>
      <c r="H57" t="s">
        <v>20</v>
      </c>
      <c r="I57" t="s">
        <v>20</v>
      </c>
      <c r="J57" t="s">
        <v>21</v>
      </c>
    </row>
    <row r="58" spans="1:10" x14ac:dyDescent="0.25">
      <c r="A58" t="s">
        <v>128</v>
      </c>
      <c r="B58" t="s">
        <v>78</v>
      </c>
      <c r="C58" t="s">
        <v>18</v>
      </c>
      <c r="D58">
        <v>3</v>
      </c>
      <c r="E58">
        <v>10</v>
      </c>
      <c r="F58">
        <v>0</v>
      </c>
      <c r="G58" t="s">
        <v>19</v>
      </c>
      <c r="H58" t="s">
        <v>20</v>
      </c>
      <c r="I58" t="s">
        <v>20</v>
      </c>
      <c r="J58" t="s">
        <v>21</v>
      </c>
    </row>
    <row r="59" spans="1:10" x14ac:dyDescent="0.25">
      <c r="A59" t="s">
        <v>129</v>
      </c>
      <c r="B59" t="s">
        <v>83</v>
      </c>
      <c r="C59" t="s">
        <v>18</v>
      </c>
      <c r="D59">
        <v>8</v>
      </c>
      <c r="E59">
        <v>53</v>
      </c>
      <c r="F59" t="s">
        <v>21</v>
      </c>
      <c r="G59" t="s">
        <v>19</v>
      </c>
      <c r="H59" t="s">
        <v>20</v>
      </c>
      <c r="I59" t="s">
        <v>20</v>
      </c>
      <c r="J59" t="s">
        <v>21</v>
      </c>
    </row>
    <row r="60" spans="1:10" x14ac:dyDescent="0.25">
      <c r="A60" t="s">
        <v>130</v>
      </c>
      <c r="B60" t="s">
        <v>83</v>
      </c>
      <c r="C60" t="s">
        <v>18</v>
      </c>
      <c r="D60">
        <v>8</v>
      </c>
      <c r="E60">
        <v>53</v>
      </c>
      <c r="F60" t="s">
        <v>21</v>
      </c>
      <c r="G60" t="s">
        <v>19</v>
      </c>
      <c r="H60" t="s">
        <v>20</v>
      </c>
      <c r="I60" t="s">
        <v>20</v>
      </c>
      <c r="J60" t="s">
        <v>21</v>
      </c>
    </row>
    <row r="61" spans="1:10" x14ac:dyDescent="0.25">
      <c r="A61" t="s">
        <v>131</v>
      </c>
      <c r="B61" t="s">
        <v>83</v>
      </c>
      <c r="C61" t="s">
        <v>18</v>
      </c>
      <c r="D61">
        <v>8</v>
      </c>
      <c r="E61">
        <v>53</v>
      </c>
      <c r="F61" t="s">
        <v>21</v>
      </c>
      <c r="G61" t="s">
        <v>19</v>
      </c>
      <c r="H61" t="s">
        <v>20</v>
      </c>
      <c r="I61" t="s">
        <v>20</v>
      </c>
      <c r="J61" t="s">
        <v>21</v>
      </c>
    </row>
    <row r="62" spans="1:10" x14ac:dyDescent="0.25">
      <c r="A62" t="s">
        <v>132</v>
      </c>
      <c r="B62" t="s">
        <v>83</v>
      </c>
      <c r="C62" t="s">
        <v>18</v>
      </c>
      <c r="D62">
        <v>8</v>
      </c>
      <c r="E62">
        <v>53</v>
      </c>
      <c r="F62" t="s">
        <v>21</v>
      </c>
      <c r="G62" t="s">
        <v>19</v>
      </c>
      <c r="H62" t="s">
        <v>20</v>
      </c>
      <c r="I62" t="s">
        <v>20</v>
      </c>
      <c r="J62" t="s">
        <v>21</v>
      </c>
    </row>
    <row r="63" spans="1:10" x14ac:dyDescent="0.25">
      <c r="A63" t="s">
        <v>133</v>
      </c>
      <c r="B63" t="s">
        <v>83</v>
      </c>
      <c r="C63" t="s">
        <v>18</v>
      </c>
      <c r="D63">
        <v>8</v>
      </c>
      <c r="E63">
        <v>53</v>
      </c>
      <c r="F63" t="s">
        <v>21</v>
      </c>
      <c r="G63" t="s">
        <v>19</v>
      </c>
      <c r="H63" t="s">
        <v>20</v>
      </c>
      <c r="I63" t="s">
        <v>20</v>
      </c>
      <c r="J63" t="s">
        <v>21</v>
      </c>
    </row>
    <row r="64" spans="1:10" x14ac:dyDescent="0.25">
      <c r="A64" t="s">
        <v>134</v>
      </c>
      <c r="B64" t="s">
        <v>83</v>
      </c>
      <c r="C64" t="s">
        <v>18</v>
      </c>
      <c r="D64">
        <v>8</v>
      </c>
      <c r="E64">
        <v>53</v>
      </c>
      <c r="F64" t="s">
        <v>21</v>
      </c>
      <c r="G64" t="s">
        <v>19</v>
      </c>
      <c r="H64" t="s">
        <v>20</v>
      </c>
      <c r="I64" t="s">
        <v>20</v>
      </c>
      <c r="J64" t="s">
        <v>21</v>
      </c>
    </row>
    <row r="65" spans="1:16" x14ac:dyDescent="0.25">
      <c r="A65" t="s">
        <v>135</v>
      </c>
      <c r="B65" t="s">
        <v>83</v>
      </c>
      <c r="C65" t="s">
        <v>18</v>
      </c>
      <c r="D65">
        <v>8</v>
      </c>
      <c r="E65">
        <v>53</v>
      </c>
      <c r="F65" t="s">
        <v>21</v>
      </c>
      <c r="G65" t="s">
        <v>19</v>
      </c>
      <c r="H65" t="s">
        <v>20</v>
      </c>
      <c r="I65" t="s">
        <v>20</v>
      </c>
      <c r="J65" t="s">
        <v>21</v>
      </c>
    </row>
    <row r="66" spans="1:16" x14ac:dyDescent="0.25">
      <c r="A66" t="s">
        <v>136</v>
      </c>
      <c r="B66" t="s">
        <v>83</v>
      </c>
      <c r="C66" t="s">
        <v>18</v>
      </c>
      <c r="D66">
        <v>8</v>
      </c>
      <c r="E66">
        <v>53</v>
      </c>
      <c r="F66" t="s">
        <v>21</v>
      </c>
      <c r="G66" t="s">
        <v>19</v>
      </c>
      <c r="H66" t="s">
        <v>20</v>
      </c>
      <c r="I66" t="s">
        <v>20</v>
      </c>
      <c r="J66" t="s">
        <v>21</v>
      </c>
    </row>
    <row r="67" spans="1:16" x14ac:dyDescent="0.25">
      <c r="A67" t="s">
        <v>137</v>
      </c>
      <c r="B67" t="s">
        <v>83</v>
      </c>
      <c r="C67" t="s">
        <v>18</v>
      </c>
      <c r="D67">
        <v>8</v>
      </c>
      <c r="E67">
        <v>53</v>
      </c>
      <c r="F67" t="s">
        <v>21</v>
      </c>
      <c r="G67" t="s">
        <v>19</v>
      </c>
      <c r="H67" t="s">
        <v>20</v>
      </c>
      <c r="I67" t="s">
        <v>20</v>
      </c>
      <c r="J67" t="s">
        <v>21</v>
      </c>
    </row>
    <row r="68" spans="1:16" x14ac:dyDescent="0.25">
      <c r="A68" t="s">
        <v>138</v>
      </c>
      <c r="B68" t="s">
        <v>83</v>
      </c>
      <c r="C68" t="s">
        <v>18</v>
      </c>
      <c r="D68">
        <v>8</v>
      </c>
      <c r="E68">
        <v>53</v>
      </c>
      <c r="F68" t="s">
        <v>21</v>
      </c>
      <c r="G68" t="s">
        <v>19</v>
      </c>
      <c r="H68" t="s">
        <v>20</v>
      </c>
      <c r="I68" t="s">
        <v>20</v>
      </c>
      <c r="J68" t="s">
        <v>21</v>
      </c>
    </row>
    <row r="69" spans="1:16" x14ac:dyDescent="0.25">
      <c r="A69" t="s">
        <v>139</v>
      </c>
      <c r="B69" t="s">
        <v>83</v>
      </c>
      <c r="C69" t="s">
        <v>18</v>
      </c>
      <c r="D69">
        <v>8</v>
      </c>
      <c r="E69">
        <v>53</v>
      </c>
      <c r="F69" t="s">
        <v>21</v>
      </c>
      <c r="G69" t="s">
        <v>19</v>
      </c>
      <c r="H69" t="s">
        <v>20</v>
      </c>
      <c r="I69" t="s">
        <v>20</v>
      </c>
      <c r="J69" t="s">
        <v>21</v>
      </c>
    </row>
    <row r="70" spans="1:16" x14ac:dyDescent="0.25">
      <c r="A70" t="s">
        <v>140</v>
      </c>
      <c r="B70" t="s">
        <v>83</v>
      </c>
      <c r="C70" t="s">
        <v>18</v>
      </c>
      <c r="D70">
        <v>8</v>
      </c>
      <c r="E70">
        <v>53</v>
      </c>
      <c r="F70" t="s">
        <v>21</v>
      </c>
      <c r="G70" t="s">
        <v>19</v>
      </c>
      <c r="H70" t="s">
        <v>20</v>
      </c>
      <c r="I70" t="s">
        <v>20</v>
      </c>
      <c r="J70" t="s">
        <v>21</v>
      </c>
    </row>
    <row r="71" spans="1:16" x14ac:dyDescent="0.25">
      <c r="A71" t="s">
        <v>141</v>
      </c>
      <c r="B71" t="s">
        <v>83</v>
      </c>
      <c r="C71" t="s">
        <v>18</v>
      </c>
      <c r="D71">
        <v>8</v>
      </c>
      <c r="E71">
        <v>53</v>
      </c>
      <c r="F71" t="s">
        <v>21</v>
      </c>
      <c r="G71" t="s">
        <v>19</v>
      </c>
      <c r="H71" t="s">
        <v>20</v>
      </c>
      <c r="I71" t="s">
        <v>20</v>
      </c>
      <c r="J71" t="s">
        <v>21</v>
      </c>
    </row>
    <row r="72" spans="1:16" x14ac:dyDescent="0.25">
      <c r="A72" t="s">
        <v>142</v>
      </c>
      <c r="B72" t="s">
        <v>83</v>
      </c>
      <c r="C72" t="s">
        <v>18</v>
      </c>
      <c r="D72">
        <v>8</v>
      </c>
      <c r="E72">
        <v>53</v>
      </c>
      <c r="F72" t="s">
        <v>21</v>
      </c>
      <c r="G72" t="s">
        <v>19</v>
      </c>
      <c r="H72" t="s">
        <v>20</v>
      </c>
      <c r="I72" t="s">
        <v>20</v>
      </c>
      <c r="J72" t="s">
        <v>21</v>
      </c>
      <c r="N72">
        <v>23146</v>
      </c>
      <c r="O72" s="13">
        <v>5.0000000000000001E-3</v>
      </c>
      <c r="P72">
        <f>N72*O72</f>
        <v>115.73</v>
      </c>
    </row>
    <row r="73" spans="1:16" x14ac:dyDescent="0.25">
      <c r="A73" t="s">
        <v>143</v>
      </c>
      <c r="B73" t="s">
        <v>83</v>
      </c>
      <c r="C73" t="s">
        <v>18</v>
      </c>
      <c r="D73">
        <v>8</v>
      </c>
      <c r="E73">
        <v>53</v>
      </c>
      <c r="F73" t="s">
        <v>21</v>
      </c>
      <c r="G73" t="s">
        <v>19</v>
      </c>
      <c r="H73" t="s">
        <v>20</v>
      </c>
      <c r="I73" t="s">
        <v>20</v>
      </c>
      <c r="J73" t="s">
        <v>21</v>
      </c>
      <c r="N73">
        <v>490</v>
      </c>
      <c r="O73" s="4">
        <f>N73/N72</f>
        <v>2.1169964572712349E-2</v>
      </c>
    </row>
    <row r="74" spans="1:16" x14ac:dyDescent="0.25">
      <c r="A74" t="s">
        <v>144</v>
      </c>
      <c r="B74" t="s">
        <v>83</v>
      </c>
      <c r="C74" t="s">
        <v>18</v>
      </c>
      <c r="D74">
        <v>8</v>
      </c>
      <c r="E74">
        <v>53</v>
      </c>
      <c r="F74" t="s">
        <v>21</v>
      </c>
      <c r="G74" t="s">
        <v>19</v>
      </c>
      <c r="H74" t="s">
        <v>20</v>
      </c>
      <c r="I74" t="s">
        <v>20</v>
      </c>
      <c r="J74" t="s">
        <v>21</v>
      </c>
    </row>
    <row r="75" spans="1:16" x14ac:dyDescent="0.25">
      <c r="A75" t="s">
        <v>145</v>
      </c>
      <c r="B75" t="s">
        <v>83</v>
      </c>
      <c r="C75" t="s">
        <v>18</v>
      </c>
      <c r="D75">
        <v>8</v>
      </c>
      <c r="E75">
        <v>53</v>
      </c>
      <c r="F75" t="s">
        <v>21</v>
      </c>
      <c r="G75" t="s">
        <v>19</v>
      </c>
      <c r="H75" t="s">
        <v>20</v>
      </c>
      <c r="I75" t="s">
        <v>20</v>
      </c>
      <c r="J75" t="s">
        <v>21</v>
      </c>
    </row>
    <row r="76" spans="1:16" x14ac:dyDescent="0.25">
      <c r="A76" t="s">
        <v>146</v>
      </c>
      <c r="B76" t="s">
        <v>83</v>
      </c>
      <c r="C76" t="s">
        <v>18</v>
      </c>
      <c r="D76">
        <v>8</v>
      </c>
      <c r="E76">
        <v>53</v>
      </c>
      <c r="F76" t="s">
        <v>21</v>
      </c>
      <c r="G76" t="s">
        <v>19</v>
      </c>
      <c r="H76" t="s">
        <v>20</v>
      </c>
      <c r="I76" t="s">
        <v>20</v>
      </c>
      <c r="J76" t="s">
        <v>21</v>
      </c>
    </row>
    <row r="77" spans="1:16" x14ac:dyDescent="0.25">
      <c r="A77" t="s">
        <v>147</v>
      </c>
      <c r="B77" t="s">
        <v>83</v>
      </c>
      <c r="C77" t="s">
        <v>18</v>
      </c>
      <c r="D77">
        <v>8</v>
      </c>
      <c r="E77">
        <v>53</v>
      </c>
      <c r="F77" t="s">
        <v>21</v>
      </c>
      <c r="G77" t="s">
        <v>19</v>
      </c>
      <c r="H77" t="s">
        <v>20</v>
      </c>
      <c r="I77" t="s">
        <v>20</v>
      </c>
      <c r="J77" t="s">
        <v>21</v>
      </c>
    </row>
    <row r="78" spans="1:16" x14ac:dyDescent="0.25">
      <c r="A78" t="s">
        <v>148</v>
      </c>
      <c r="B78" t="s">
        <v>83</v>
      </c>
      <c r="C78" t="s">
        <v>18</v>
      </c>
      <c r="D78">
        <v>8</v>
      </c>
      <c r="E78">
        <v>53</v>
      </c>
      <c r="F78" t="s">
        <v>21</v>
      </c>
      <c r="G78" t="s">
        <v>19</v>
      </c>
      <c r="H78" t="s">
        <v>20</v>
      </c>
      <c r="I78" t="s">
        <v>20</v>
      </c>
      <c r="J78" t="s">
        <v>21</v>
      </c>
    </row>
    <row r="79" spans="1:16" x14ac:dyDescent="0.25">
      <c r="A79" t="s">
        <v>149</v>
      </c>
      <c r="B79" t="s">
        <v>83</v>
      </c>
      <c r="C79" t="s">
        <v>18</v>
      </c>
      <c r="D79">
        <v>8</v>
      </c>
      <c r="E79">
        <v>53</v>
      </c>
      <c r="F79" t="s">
        <v>21</v>
      </c>
      <c r="G79" t="s">
        <v>19</v>
      </c>
      <c r="H79" t="s">
        <v>20</v>
      </c>
      <c r="I79" t="s">
        <v>20</v>
      </c>
      <c r="J79" t="s">
        <v>21</v>
      </c>
    </row>
    <row r="80" spans="1:16" x14ac:dyDescent="0.25">
      <c r="A80" t="s">
        <v>150</v>
      </c>
      <c r="B80" t="s">
        <v>24</v>
      </c>
      <c r="C80" t="s">
        <v>18</v>
      </c>
      <c r="D80">
        <v>20</v>
      </c>
      <c r="E80" t="s">
        <v>25</v>
      </c>
      <c r="F80" t="s">
        <v>25</v>
      </c>
      <c r="G80" t="s">
        <v>19</v>
      </c>
      <c r="H80" t="s">
        <v>20</v>
      </c>
      <c r="I80" t="s">
        <v>20</v>
      </c>
      <c r="J80" t="s">
        <v>26</v>
      </c>
    </row>
    <row r="81" spans="1:10" x14ac:dyDescent="0.25">
      <c r="A81" t="s">
        <v>151</v>
      </c>
      <c r="B81" t="s">
        <v>24</v>
      </c>
      <c r="C81" t="s">
        <v>18</v>
      </c>
      <c r="D81">
        <v>64</v>
      </c>
      <c r="E81" t="s">
        <v>25</v>
      </c>
      <c r="F81" t="s">
        <v>25</v>
      </c>
      <c r="G81" t="s">
        <v>19</v>
      </c>
      <c r="H81" t="s">
        <v>20</v>
      </c>
      <c r="I81" t="s">
        <v>20</v>
      </c>
      <c r="J81" t="s">
        <v>26</v>
      </c>
    </row>
    <row r="82" spans="1:10" x14ac:dyDescent="0.25">
      <c r="A82" t="s">
        <v>152</v>
      </c>
      <c r="B82" t="s">
        <v>24</v>
      </c>
      <c r="C82" t="s">
        <v>18</v>
      </c>
      <c r="D82">
        <v>6</v>
      </c>
      <c r="E82" t="s">
        <v>25</v>
      </c>
      <c r="F82" t="s">
        <v>25</v>
      </c>
      <c r="G82" t="s">
        <v>19</v>
      </c>
      <c r="H82" t="s">
        <v>20</v>
      </c>
      <c r="I82" t="s">
        <v>20</v>
      </c>
      <c r="J82" t="s">
        <v>26</v>
      </c>
    </row>
    <row r="83" spans="1:10" x14ac:dyDescent="0.25">
      <c r="A83" t="s">
        <v>153</v>
      </c>
      <c r="B83" t="s">
        <v>24</v>
      </c>
      <c r="C83" t="s">
        <v>18</v>
      </c>
      <c r="D83">
        <v>6</v>
      </c>
      <c r="E83" t="s">
        <v>25</v>
      </c>
      <c r="F83" t="s">
        <v>25</v>
      </c>
      <c r="G83" t="s">
        <v>19</v>
      </c>
      <c r="H83" t="s">
        <v>20</v>
      </c>
      <c r="I83" t="s">
        <v>20</v>
      </c>
      <c r="J83" t="s">
        <v>26</v>
      </c>
    </row>
    <row r="84" spans="1:10" x14ac:dyDescent="0.25">
      <c r="A84" t="s">
        <v>154</v>
      </c>
      <c r="B84" t="s">
        <v>24</v>
      </c>
      <c r="C84" t="s">
        <v>18</v>
      </c>
      <c r="D84">
        <v>6</v>
      </c>
      <c r="E84" t="s">
        <v>25</v>
      </c>
      <c r="F84" t="s">
        <v>25</v>
      </c>
      <c r="G84" t="s">
        <v>19</v>
      </c>
      <c r="H84" t="s">
        <v>20</v>
      </c>
      <c r="I84" t="s">
        <v>20</v>
      </c>
      <c r="J84" t="s">
        <v>26</v>
      </c>
    </row>
    <row r="85" spans="1:10" x14ac:dyDescent="0.25">
      <c r="A85" t="s">
        <v>155</v>
      </c>
      <c r="B85" t="s">
        <v>69</v>
      </c>
      <c r="C85" t="s">
        <v>18</v>
      </c>
      <c r="D85">
        <v>8</v>
      </c>
      <c r="E85">
        <v>19</v>
      </c>
      <c r="F85">
        <v>0</v>
      </c>
      <c r="G85" t="s">
        <v>19</v>
      </c>
      <c r="H85" t="s">
        <v>20</v>
      </c>
      <c r="I85" t="s">
        <v>20</v>
      </c>
      <c r="J85" t="s">
        <v>21</v>
      </c>
    </row>
    <row r="86" spans="1:10" x14ac:dyDescent="0.25">
      <c r="A86" t="s">
        <v>156</v>
      </c>
      <c r="B86" t="s">
        <v>24</v>
      </c>
      <c r="C86" t="s">
        <v>18</v>
      </c>
      <c r="D86">
        <v>6</v>
      </c>
      <c r="E86" t="s">
        <v>25</v>
      </c>
      <c r="F86" t="s">
        <v>25</v>
      </c>
      <c r="G86" t="s">
        <v>19</v>
      </c>
      <c r="H86" t="s">
        <v>20</v>
      </c>
      <c r="I86" t="s">
        <v>20</v>
      </c>
      <c r="J86" t="s">
        <v>26</v>
      </c>
    </row>
    <row r="87" spans="1:10" x14ac:dyDescent="0.25">
      <c r="A87" t="s">
        <v>157</v>
      </c>
      <c r="B87" t="s">
        <v>24</v>
      </c>
      <c r="C87" t="s">
        <v>18</v>
      </c>
      <c r="D87">
        <v>18</v>
      </c>
      <c r="E87" t="s">
        <v>25</v>
      </c>
      <c r="F87" t="s">
        <v>25</v>
      </c>
      <c r="G87" t="s">
        <v>19</v>
      </c>
      <c r="H87" t="s">
        <v>20</v>
      </c>
      <c r="I87" t="s">
        <v>20</v>
      </c>
      <c r="J87" t="s">
        <v>26</v>
      </c>
    </row>
    <row r="88" spans="1:10" x14ac:dyDescent="0.25">
      <c r="A88" t="s">
        <v>158</v>
      </c>
      <c r="B88" t="s">
        <v>24</v>
      </c>
      <c r="C88" t="s">
        <v>18</v>
      </c>
      <c r="D88">
        <v>18</v>
      </c>
      <c r="E88" t="s">
        <v>25</v>
      </c>
      <c r="F88" t="s">
        <v>25</v>
      </c>
      <c r="G88" t="s">
        <v>19</v>
      </c>
      <c r="H88" t="s">
        <v>20</v>
      </c>
      <c r="I88" t="s">
        <v>20</v>
      </c>
      <c r="J88" t="s">
        <v>26</v>
      </c>
    </row>
    <row r="89" spans="1:10" x14ac:dyDescent="0.25">
      <c r="A89" t="s">
        <v>159</v>
      </c>
      <c r="B89" t="s">
        <v>24</v>
      </c>
      <c r="C89" t="s">
        <v>18</v>
      </c>
      <c r="D89">
        <v>6</v>
      </c>
      <c r="E89" t="s">
        <v>25</v>
      </c>
      <c r="F89" t="s">
        <v>25</v>
      </c>
      <c r="G89" t="s">
        <v>19</v>
      </c>
      <c r="H89" t="s">
        <v>20</v>
      </c>
      <c r="I89" t="s">
        <v>20</v>
      </c>
      <c r="J89" t="s">
        <v>26</v>
      </c>
    </row>
    <row r="90" spans="1:10" x14ac:dyDescent="0.25">
      <c r="A90" t="s">
        <v>160</v>
      </c>
      <c r="B90" t="s">
        <v>78</v>
      </c>
      <c r="C90" t="s">
        <v>18</v>
      </c>
      <c r="D90">
        <v>3</v>
      </c>
      <c r="E90">
        <v>10</v>
      </c>
      <c r="F90">
        <v>0</v>
      </c>
      <c r="G90" t="s">
        <v>19</v>
      </c>
      <c r="H90" t="s">
        <v>20</v>
      </c>
      <c r="I90" t="s">
        <v>20</v>
      </c>
      <c r="J90" t="s">
        <v>21</v>
      </c>
    </row>
    <row r="91" spans="1:10" x14ac:dyDescent="0.25">
      <c r="A91" t="s">
        <v>161</v>
      </c>
      <c r="B91" t="s">
        <v>24</v>
      </c>
      <c r="C91" t="s">
        <v>18</v>
      </c>
      <c r="D91">
        <v>6</v>
      </c>
      <c r="E91" t="s">
        <v>25</v>
      </c>
      <c r="F91" t="s">
        <v>25</v>
      </c>
      <c r="G91" t="s">
        <v>19</v>
      </c>
      <c r="H91" t="s">
        <v>20</v>
      </c>
      <c r="I91" t="s">
        <v>20</v>
      </c>
      <c r="J91" t="s">
        <v>26</v>
      </c>
    </row>
    <row r="92" spans="1:10" x14ac:dyDescent="0.25">
      <c r="A92" t="s">
        <v>162</v>
      </c>
      <c r="B92" t="s">
        <v>24</v>
      </c>
      <c r="C92" t="s">
        <v>18</v>
      </c>
      <c r="D92">
        <v>6</v>
      </c>
      <c r="E92" t="s">
        <v>25</v>
      </c>
      <c r="F92" t="s">
        <v>25</v>
      </c>
      <c r="G92" t="s">
        <v>19</v>
      </c>
      <c r="H92" t="s">
        <v>20</v>
      </c>
      <c r="I92" t="s">
        <v>20</v>
      </c>
      <c r="J92" t="s">
        <v>26</v>
      </c>
    </row>
    <row r="93" spans="1:10" x14ac:dyDescent="0.25">
      <c r="A93" t="s">
        <v>163</v>
      </c>
      <c r="B93" t="s">
        <v>69</v>
      </c>
      <c r="C93" t="s">
        <v>18</v>
      </c>
      <c r="D93">
        <v>8</v>
      </c>
      <c r="E93">
        <v>19</v>
      </c>
      <c r="F93">
        <v>0</v>
      </c>
      <c r="G93" t="s">
        <v>19</v>
      </c>
      <c r="H93" t="s">
        <v>20</v>
      </c>
      <c r="I93" t="s">
        <v>20</v>
      </c>
      <c r="J93" t="s">
        <v>21</v>
      </c>
    </row>
    <row r="94" spans="1:10" x14ac:dyDescent="0.25">
      <c r="A94" t="s">
        <v>164</v>
      </c>
      <c r="B94" t="s">
        <v>69</v>
      </c>
      <c r="C94" t="s">
        <v>18</v>
      </c>
      <c r="D94">
        <v>8</v>
      </c>
      <c r="E94">
        <v>19</v>
      </c>
      <c r="F94">
        <v>0</v>
      </c>
      <c r="G94" t="s">
        <v>19</v>
      </c>
      <c r="H94" t="s">
        <v>20</v>
      </c>
      <c r="I94" t="s">
        <v>20</v>
      </c>
      <c r="J94" t="s">
        <v>21</v>
      </c>
    </row>
    <row r="95" spans="1:10" x14ac:dyDescent="0.25">
      <c r="A95" t="s">
        <v>165</v>
      </c>
      <c r="B95" t="s">
        <v>78</v>
      </c>
      <c r="C95" t="s">
        <v>18</v>
      </c>
      <c r="D95">
        <v>3</v>
      </c>
      <c r="E95">
        <v>10</v>
      </c>
      <c r="F95">
        <v>0</v>
      </c>
      <c r="G95" t="s">
        <v>19</v>
      </c>
      <c r="H95" t="s">
        <v>20</v>
      </c>
      <c r="I95" t="s">
        <v>20</v>
      </c>
      <c r="J95" t="s">
        <v>21</v>
      </c>
    </row>
    <row r="96" spans="1:10" x14ac:dyDescent="0.25">
      <c r="A96" t="s">
        <v>166</v>
      </c>
      <c r="B96" t="s">
        <v>83</v>
      </c>
      <c r="C96" t="s">
        <v>18</v>
      </c>
      <c r="D96">
        <v>8</v>
      </c>
      <c r="E96">
        <v>53</v>
      </c>
      <c r="F96" t="s">
        <v>21</v>
      </c>
      <c r="G96" t="s">
        <v>19</v>
      </c>
      <c r="H96" t="s">
        <v>20</v>
      </c>
      <c r="I96" t="s">
        <v>20</v>
      </c>
      <c r="J96" t="s">
        <v>21</v>
      </c>
    </row>
    <row r="97" spans="1:10" x14ac:dyDescent="0.25">
      <c r="A97" t="s">
        <v>167</v>
      </c>
      <c r="B97" t="s">
        <v>83</v>
      </c>
      <c r="C97" t="s">
        <v>18</v>
      </c>
      <c r="D97">
        <v>8</v>
      </c>
      <c r="E97">
        <v>53</v>
      </c>
      <c r="F97" t="s">
        <v>21</v>
      </c>
      <c r="G97" t="s">
        <v>19</v>
      </c>
      <c r="H97" t="s">
        <v>20</v>
      </c>
      <c r="I97" t="s">
        <v>20</v>
      </c>
      <c r="J97" t="s">
        <v>21</v>
      </c>
    </row>
    <row r="98" spans="1:10" x14ac:dyDescent="0.25">
      <c r="A98" t="s">
        <v>168</v>
      </c>
      <c r="B98" t="s">
        <v>83</v>
      </c>
      <c r="C98" t="s">
        <v>18</v>
      </c>
      <c r="D98">
        <v>8</v>
      </c>
      <c r="E98">
        <v>53</v>
      </c>
      <c r="F98" t="s">
        <v>21</v>
      </c>
      <c r="G98" t="s">
        <v>19</v>
      </c>
      <c r="H98" t="s">
        <v>20</v>
      </c>
      <c r="I98" t="s">
        <v>20</v>
      </c>
      <c r="J98" t="s">
        <v>21</v>
      </c>
    </row>
    <row r="99" spans="1:10" x14ac:dyDescent="0.25">
      <c r="A99" t="s">
        <v>169</v>
      </c>
      <c r="B99" t="s">
        <v>83</v>
      </c>
      <c r="C99" t="s">
        <v>18</v>
      </c>
      <c r="D99">
        <v>8</v>
      </c>
      <c r="E99">
        <v>53</v>
      </c>
      <c r="F99" t="s">
        <v>21</v>
      </c>
      <c r="G99" t="s">
        <v>19</v>
      </c>
      <c r="H99" t="s">
        <v>20</v>
      </c>
      <c r="I99" t="s">
        <v>20</v>
      </c>
      <c r="J99" t="s">
        <v>21</v>
      </c>
    </row>
    <row r="100" spans="1:10" x14ac:dyDescent="0.25">
      <c r="A100" t="s">
        <v>170</v>
      </c>
      <c r="B100" t="s">
        <v>83</v>
      </c>
      <c r="C100" t="s">
        <v>18</v>
      </c>
      <c r="D100">
        <v>8</v>
      </c>
      <c r="E100">
        <v>53</v>
      </c>
      <c r="F100" t="s">
        <v>21</v>
      </c>
      <c r="G100" t="s">
        <v>19</v>
      </c>
      <c r="H100" t="s">
        <v>20</v>
      </c>
      <c r="I100" t="s">
        <v>20</v>
      </c>
      <c r="J100" t="s">
        <v>21</v>
      </c>
    </row>
    <row r="101" spans="1:10" x14ac:dyDescent="0.25">
      <c r="A101" t="s">
        <v>171</v>
      </c>
      <c r="B101" t="s">
        <v>83</v>
      </c>
      <c r="C101" t="s">
        <v>18</v>
      </c>
      <c r="D101">
        <v>8</v>
      </c>
      <c r="E101">
        <v>53</v>
      </c>
      <c r="F101" t="s">
        <v>21</v>
      </c>
      <c r="G101" t="s">
        <v>19</v>
      </c>
      <c r="H101" t="s">
        <v>20</v>
      </c>
      <c r="I101" t="s">
        <v>20</v>
      </c>
      <c r="J101" t="s">
        <v>21</v>
      </c>
    </row>
    <row r="102" spans="1:10" x14ac:dyDescent="0.25">
      <c r="A102" t="s">
        <v>172</v>
      </c>
      <c r="B102" t="s">
        <v>83</v>
      </c>
      <c r="C102" t="s">
        <v>18</v>
      </c>
      <c r="D102">
        <v>8</v>
      </c>
      <c r="E102">
        <v>53</v>
      </c>
      <c r="F102" t="s">
        <v>21</v>
      </c>
      <c r="G102" t="s">
        <v>19</v>
      </c>
      <c r="H102" t="s">
        <v>20</v>
      </c>
      <c r="I102" t="s">
        <v>20</v>
      </c>
      <c r="J102" t="s">
        <v>21</v>
      </c>
    </row>
    <row r="103" spans="1:10" x14ac:dyDescent="0.25">
      <c r="A103" t="s">
        <v>173</v>
      </c>
      <c r="B103" t="s">
        <v>83</v>
      </c>
      <c r="C103" t="s">
        <v>18</v>
      </c>
      <c r="D103">
        <v>8</v>
      </c>
      <c r="E103">
        <v>53</v>
      </c>
      <c r="F103" t="s">
        <v>21</v>
      </c>
      <c r="G103" t="s">
        <v>19</v>
      </c>
      <c r="H103" t="s">
        <v>20</v>
      </c>
      <c r="I103" t="s">
        <v>20</v>
      </c>
      <c r="J103" t="s">
        <v>21</v>
      </c>
    </row>
    <row r="104" spans="1:10" x14ac:dyDescent="0.25">
      <c r="A104" t="s">
        <v>174</v>
      </c>
      <c r="B104" t="s">
        <v>69</v>
      </c>
      <c r="C104" t="s">
        <v>18</v>
      </c>
      <c r="D104">
        <v>8</v>
      </c>
      <c r="E104">
        <v>19</v>
      </c>
      <c r="F104">
        <v>0</v>
      </c>
      <c r="G104" t="s">
        <v>19</v>
      </c>
      <c r="H104" t="s">
        <v>20</v>
      </c>
      <c r="I104" t="s">
        <v>20</v>
      </c>
      <c r="J104" t="s">
        <v>21</v>
      </c>
    </row>
    <row r="105" spans="1:10" x14ac:dyDescent="0.25">
      <c r="A105" t="s">
        <v>175</v>
      </c>
      <c r="B105" t="s">
        <v>24</v>
      </c>
      <c r="C105" t="s">
        <v>18</v>
      </c>
      <c r="D105">
        <v>40</v>
      </c>
      <c r="E105" t="s">
        <v>25</v>
      </c>
      <c r="F105" t="s">
        <v>25</v>
      </c>
      <c r="G105" t="s">
        <v>19</v>
      </c>
      <c r="H105" t="s">
        <v>20</v>
      </c>
      <c r="I105" t="s">
        <v>20</v>
      </c>
      <c r="J105" t="s">
        <v>26</v>
      </c>
    </row>
    <row r="106" spans="1:10" x14ac:dyDescent="0.25">
      <c r="A106" t="s">
        <v>176</v>
      </c>
      <c r="B106" t="s">
        <v>69</v>
      </c>
      <c r="C106" t="s">
        <v>18</v>
      </c>
      <c r="D106">
        <v>8</v>
      </c>
      <c r="E106">
        <v>19</v>
      </c>
      <c r="F106">
        <v>0</v>
      </c>
      <c r="G106" t="s">
        <v>19</v>
      </c>
      <c r="H106" t="s">
        <v>20</v>
      </c>
      <c r="I106" t="s">
        <v>20</v>
      </c>
      <c r="J106" t="s">
        <v>21</v>
      </c>
    </row>
    <row r="107" spans="1:10" x14ac:dyDescent="0.25">
      <c r="A107" t="s">
        <v>177</v>
      </c>
      <c r="B107" t="s">
        <v>69</v>
      </c>
      <c r="C107" t="s">
        <v>18</v>
      </c>
      <c r="D107">
        <v>8</v>
      </c>
      <c r="E107">
        <v>19</v>
      </c>
      <c r="F107">
        <v>0</v>
      </c>
      <c r="G107" t="s">
        <v>19</v>
      </c>
      <c r="H107" t="s">
        <v>20</v>
      </c>
      <c r="I107" t="s">
        <v>20</v>
      </c>
      <c r="J107" t="s">
        <v>21</v>
      </c>
    </row>
    <row r="108" spans="1:10" x14ac:dyDescent="0.25">
      <c r="A108" t="s">
        <v>178</v>
      </c>
      <c r="B108" t="s">
        <v>69</v>
      </c>
      <c r="C108" t="s">
        <v>18</v>
      </c>
      <c r="D108">
        <v>8</v>
      </c>
      <c r="E108">
        <v>19</v>
      </c>
      <c r="F108">
        <v>0</v>
      </c>
      <c r="G108" t="s">
        <v>19</v>
      </c>
      <c r="H108" t="s">
        <v>20</v>
      </c>
      <c r="I108" t="s">
        <v>20</v>
      </c>
      <c r="J108" t="s">
        <v>21</v>
      </c>
    </row>
    <row r="109" spans="1:10" x14ac:dyDescent="0.25">
      <c r="A109" t="s">
        <v>179</v>
      </c>
      <c r="B109" t="s">
        <v>69</v>
      </c>
      <c r="C109" t="s">
        <v>18</v>
      </c>
      <c r="D109">
        <v>8</v>
      </c>
      <c r="E109">
        <v>19</v>
      </c>
      <c r="F109">
        <v>0</v>
      </c>
      <c r="G109" t="s">
        <v>19</v>
      </c>
      <c r="H109" t="s">
        <v>20</v>
      </c>
      <c r="I109" t="s">
        <v>20</v>
      </c>
      <c r="J109" t="s">
        <v>21</v>
      </c>
    </row>
    <row r="110" spans="1:10" x14ac:dyDescent="0.25">
      <c r="A110" t="s">
        <v>180</v>
      </c>
      <c r="B110" t="s">
        <v>69</v>
      </c>
      <c r="C110" t="s">
        <v>18</v>
      </c>
      <c r="D110">
        <v>8</v>
      </c>
      <c r="E110">
        <v>19</v>
      </c>
      <c r="F110">
        <v>0</v>
      </c>
      <c r="G110" t="s">
        <v>19</v>
      </c>
      <c r="H110" t="s">
        <v>20</v>
      </c>
      <c r="I110" t="s">
        <v>20</v>
      </c>
      <c r="J110" t="s">
        <v>21</v>
      </c>
    </row>
    <row r="111" spans="1:10" x14ac:dyDescent="0.25">
      <c r="A111" t="s">
        <v>181</v>
      </c>
      <c r="B111" t="s">
        <v>24</v>
      </c>
      <c r="C111" t="s">
        <v>18</v>
      </c>
      <c r="D111">
        <v>18</v>
      </c>
      <c r="E111" t="s">
        <v>25</v>
      </c>
      <c r="F111" t="s">
        <v>25</v>
      </c>
      <c r="G111" t="s">
        <v>19</v>
      </c>
      <c r="H111" t="s">
        <v>20</v>
      </c>
      <c r="I111" t="s">
        <v>20</v>
      </c>
      <c r="J111" t="s">
        <v>26</v>
      </c>
    </row>
    <row r="112" spans="1:10" x14ac:dyDescent="0.25">
      <c r="A112" t="s">
        <v>182</v>
      </c>
      <c r="B112" t="s">
        <v>78</v>
      </c>
      <c r="C112" t="s">
        <v>18</v>
      </c>
      <c r="D112">
        <v>3</v>
      </c>
      <c r="E112">
        <v>10</v>
      </c>
      <c r="F112">
        <v>0</v>
      </c>
      <c r="G112" t="s">
        <v>19</v>
      </c>
      <c r="H112" t="s">
        <v>20</v>
      </c>
      <c r="I112" t="s">
        <v>20</v>
      </c>
      <c r="J112" t="s">
        <v>21</v>
      </c>
    </row>
    <row r="113" spans="1:10" x14ac:dyDescent="0.25">
      <c r="A113" t="s">
        <v>183</v>
      </c>
      <c r="B113" t="s">
        <v>24</v>
      </c>
      <c r="C113" t="s">
        <v>18</v>
      </c>
      <c r="D113">
        <v>18</v>
      </c>
      <c r="E113" t="s">
        <v>25</v>
      </c>
      <c r="F113" t="s">
        <v>25</v>
      </c>
      <c r="G113" t="s">
        <v>19</v>
      </c>
      <c r="H113" t="s">
        <v>20</v>
      </c>
      <c r="I113" t="s">
        <v>20</v>
      </c>
      <c r="J113" t="s">
        <v>26</v>
      </c>
    </row>
    <row r="114" spans="1:10" x14ac:dyDescent="0.25">
      <c r="A114" t="s">
        <v>184</v>
      </c>
      <c r="B114" t="s">
        <v>83</v>
      </c>
      <c r="C114" t="s">
        <v>18</v>
      </c>
      <c r="D114">
        <v>8</v>
      </c>
      <c r="E114">
        <v>53</v>
      </c>
      <c r="F114" t="s">
        <v>21</v>
      </c>
      <c r="G114" t="s">
        <v>19</v>
      </c>
      <c r="H114" t="s">
        <v>20</v>
      </c>
      <c r="I114" t="s">
        <v>20</v>
      </c>
      <c r="J114" t="s">
        <v>21</v>
      </c>
    </row>
    <row r="115" spans="1:10" x14ac:dyDescent="0.25">
      <c r="A115" t="s">
        <v>185</v>
      </c>
      <c r="B115" t="s">
        <v>69</v>
      </c>
      <c r="C115" t="s">
        <v>18</v>
      </c>
      <c r="D115">
        <v>8</v>
      </c>
      <c r="E115">
        <v>19</v>
      </c>
      <c r="F115">
        <v>0</v>
      </c>
      <c r="G115" t="s">
        <v>19</v>
      </c>
      <c r="H115" t="s">
        <v>20</v>
      </c>
      <c r="I115" t="s">
        <v>20</v>
      </c>
      <c r="J115" t="s">
        <v>21</v>
      </c>
    </row>
    <row r="116" spans="1:10" x14ac:dyDescent="0.25">
      <c r="A116" t="s">
        <v>186</v>
      </c>
      <c r="B116" t="s">
        <v>24</v>
      </c>
      <c r="C116" t="s">
        <v>18</v>
      </c>
      <c r="D116">
        <v>52</v>
      </c>
      <c r="E116" t="s">
        <v>25</v>
      </c>
      <c r="F116" t="s">
        <v>25</v>
      </c>
      <c r="G116" t="s">
        <v>19</v>
      </c>
      <c r="H116" t="s">
        <v>20</v>
      </c>
      <c r="I116" t="s">
        <v>20</v>
      </c>
      <c r="J116" t="s">
        <v>26</v>
      </c>
    </row>
    <row r="117" spans="1:10" x14ac:dyDescent="0.25">
      <c r="A117" t="s">
        <v>187</v>
      </c>
      <c r="B117" t="s">
        <v>69</v>
      </c>
      <c r="C117" t="s">
        <v>18</v>
      </c>
      <c r="D117">
        <v>8</v>
      </c>
      <c r="E117">
        <v>19</v>
      </c>
      <c r="F117">
        <v>0</v>
      </c>
      <c r="G117" t="s">
        <v>19</v>
      </c>
      <c r="H117" t="s">
        <v>20</v>
      </c>
      <c r="I117" t="s">
        <v>20</v>
      </c>
      <c r="J117" t="s">
        <v>21</v>
      </c>
    </row>
    <row r="118" spans="1:10" x14ac:dyDescent="0.25">
      <c r="A118" t="s">
        <v>188</v>
      </c>
      <c r="B118" t="s">
        <v>24</v>
      </c>
      <c r="C118" t="s">
        <v>18</v>
      </c>
      <c r="D118">
        <v>46</v>
      </c>
      <c r="E118" t="s">
        <v>25</v>
      </c>
      <c r="F118" t="s">
        <v>25</v>
      </c>
      <c r="G118" t="s">
        <v>19</v>
      </c>
      <c r="H118" t="s">
        <v>20</v>
      </c>
      <c r="I118" t="s">
        <v>20</v>
      </c>
      <c r="J118" t="s">
        <v>26</v>
      </c>
    </row>
    <row r="119" spans="1:10" x14ac:dyDescent="0.25">
      <c r="A119" t="s">
        <v>189</v>
      </c>
      <c r="B119" t="s">
        <v>69</v>
      </c>
      <c r="C119" t="s">
        <v>18</v>
      </c>
      <c r="D119">
        <v>8</v>
      </c>
      <c r="E119">
        <v>19</v>
      </c>
      <c r="F119">
        <v>0</v>
      </c>
      <c r="G119" t="s">
        <v>19</v>
      </c>
      <c r="H119" t="s">
        <v>20</v>
      </c>
      <c r="I119" t="s">
        <v>20</v>
      </c>
      <c r="J119" t="s">
        <v>21</v>
      </c>
    </row>
    <row r="120" spans="1:10" x14ac:dyDescent="0.25">
      <c r="A120" t="s">
        <v>190</v>
      </c>
      <c r="B120" t="s">
        <v>24</v>
      </c>
      <c r="C120" t="s">
        <v>18</v>
      </c>
      <c r="D120">
        <v>40</v>
      </c>
      <c r="E120" t="s">
        <v>25</v>
      </c>
      <c r="F120" t="s">
        <v>25</v>
      </c>
      <c r="G120" t="s">
        <v>19</v>
      </c>
      <c r="H120" t="s">
        <v>20</v>
      </c>
      <c r="I120" t="s">
        <v>20</v>
      </c>
      <c r="J120" t="s">
        <v>26</v>
      </c>
    </row>
    <row r="121" spans="1:10" x14ac:dyDescent="0.25">
      <c r="A121" t="s">
        <v>191</v>
      </c>
      <c r="B121" t="s">
        <v>69</v>
      </c>
      <c r="C121" t="s">
        <v>18</v>
      </c>
      <c r="D121">
        <v>8</v>
      </c>
      <c r="E121">
        <v>19</v>
      </c>
      <c r="F121">
        <v>0</v>
      </c>
      <c r="G121" t="s">
        <v>19</v>
      </c>
      <c r="H121" t="s">
        <v>20</v>
      </c>
      <c r="I121" t="s">
        <v>20</v>
      </c>
      <c r="J121" t="s">
        <v>21</v>
      </c>
    </row>
    <row r="122" spans="1:10" x14ac:dyDescent="0.25">
      <c r="A122" t="s">
        <v>192</v>
      </c>
      <c r="B122" t="s">
        <v>24</v>
      </c>
      <c r="C122" t="s">
        <v>18</v>
      </c>
      <c r="D122">
        <v>40</v>
      </c>
      <c r="E122" t="s">
        <v>25</v>
      </c>
      <c r="F122" t="s">
        <v>25</v>
      </c>
      <c r="G122" t="s">
        <v>19</v>
      </c>
      <c r="H122" t="s">
        <v>20</v>
      </c>
      <c r="I122" t="s">
        <v>20</v>
      </c>
      <c r="J122" t="s">
        <v>26</v>
      </c>
    </row>
    <row r="123" spans="1:10" x14ac:dyDescent="0.25">
      <c r="A123" t="s">
        <v>193</v>
      </c>
      <c r="B123" t="s">
        <v>69</v>
      </c>
      <c r="C123" t="s">
        <v>18</v>
      </c>
      <c r="D123">
        <v>8</v>
      </c>
      <c r="E123">
        <v>19</v>
      </c>
      <c r="F123">
        <v>0</v>
      </c>
      <c r="G123" t="s">
        <v>19</v>
      </c>
      <c r="H123" t="s">
        <v>20</v>
      </c>
      <c r="I123" t="s">
        <v>20</v>
      </c>
      <c r="J123" t="s">
        <v>21</v>
      </c>
    </row>
    <row r="124" spans="1:10" x14ac:dyDescent="0.25">
      <c r="A124" t="s">
        <v>194</v>
      </c>
      <c r="B124" t="s">
        <v>24</v>
      </c>
      <c r="C124" t="s">
        <v>18</v>
      </c>
      <c r="D124">
        <v>50</v>
      </c>
      <c r="E124" t="s">
        <v>25</v>
      </c>
      <c r="F124" t="s">
        <v>25</v>
      </c>
      <c r="G124" t="s">
        <v>19</v>
      </c>
      <c r="H124" t="s">
        <v>20</v>
      </c>
      <c r="I124" t="s">
        <v>20</v>
      </c>
      <c r="J124" t="s">
        <v>26</v>
      </c>
    </row>
    <row r="125" spans="1:10" x14ac:dyDescent="0.25">
      <c r="A125" t="s">
        <v>195</v>
      </c>
      <c r="B125" t="s">
        <v>24</v>
      </c>
      <c r="C125" t="s">
        <v>18</v>
      </c>
      <c r="D125">
        <v>6</v>
      </c>
      <c r="E125" t="s">
        <v>25</v>
      </c>
      <c r="F125" t="s">
        <v>25</v>
      </c>
      <c r="G125" t="s">
        <v>19</v>
      </c>
      <c r="H125" t="s">
        <v>20</v>
      </c>
      <c r="I125" t="s">
        <v>20</v>
      </c>
      <c r="J125" t="s">
        <v>26</v>
      </c>
    </row>
    <row r="126" spans="1:10" x14ac:dyDescent="0.25">
      <c r="A126" t="s">
        <v>196</v>
      </c>
      <c r="B126" t="s">
        <v>69</v>
      </c>
      <c r="C126" t="s">
        <v>18</v>
      </c>
      <c r="D126">
        <v>8</v>
      </c>
      <c r="E126">
        <v>19</v>
      </c>
      <c r="F126">
        <v>0</v>
      </c>
      <c r="G126" t="s">
        <v>19</v>
      </c>
      <c r="H126" t="s">
        <v>20</v>
      </c>
      <c r="I126" t="s">
        <v>20</v>
      </c>
      <c r="J126" t="s">
        <v>21</v>
      </c>
    </row>
    <row r="127" spans="1:10" x14ac:dyDescent="0.25">
      <c r="A127" t="s">
        <v>197</v>
      </c>
      <c r="B127" t="s">
        <v>24</v>
      </c>
      <c r="C127" t="s">
        <v>18</v>
      </c>
      <c r="D127">
        <v>18</v>
      </c>
      <c r="E127" t="s">
        <v>25</v>
      </c>
      <c r="F127" t="s">
        <v>25</v>
      </c>
      <c r="G127" t="s">
        <v>19</v>
      </c>
      <c r="H127" t="s">
        <v>20</v>
      </c>
      <c r="I127" t="s">
        <v>20</v>
      </c>
      <c r="J127" t="s">
        <v>26</v>
      </c>
    </row>
    <row r="128" spans="1:10" x14ac:dyDescent="0.25">
      <c r="A128" t="s">
        <v>198</v>
      </c>
      <c r="B128" t="s">
        <v>24</v>
      </c>
      <c r="C128" t="s">
        <v>18</v>
      </c>
      <c r="D128">
        <v>18</v>
      </c>
      <c r="E128" t="s">
        <v>25</v>
      </c>
      <c r="F128" t="s">
        <v>25</v>
      </c>
      <c r="G128" t="s">
        <v>19</v>
      </c>
      <c r="H128" t="s">
        <v>20</v>
      </c>
      <c r="I128" t="s">
        <v>20</v>
      </c>
      <c r="J128" t="s">
        <v>26</v>
      </c>
    </row>
    <row r="129" spans="1:10" x14ac:dyDescent="0.25">
      <c r="A129" t="s">
        <v>199</v>
      </c>
      <c r="B129" t="s">
        <v>24</v>
      </c>
      <c r="C129" t="s">
        <v>18</v>
      </c>
      <c r="D129">
        <v>24</v>
      </c>
      <c r="E129" t="s">
        <v>25</v>
      </c>
      <c r="F129" t="s">
        <v>25</v>
      </c>
      <c r="G129" t="s">
        <v>19</v>
      </c>
      <c r="H129" t="s">
        <v>20</v>
      </c>
      <c r="I129" t="s">
        <v>20</v>
      </c>
      <c r="J129" t="s">
        <v>26</v>
      </c>
    </row>
    <row r="130" spans="1:10" x14ac:dyDescent="0.25">
      <c r="A130" t="s">
        <v>200</v>
      </c>
      <c r="B130" t="s">
        <v>24</v>
      </c>
      <c r="C130" t="s">
        <v>18</v>
      </c>
      <c r="D130">
        <v>18</v>
      </c>
      <c r="E130" t="s">
        <v>25</v>
      </c>
      <c r="F130" t="s">
        <v>25</v>
      </c>
      <c r="G130" t="s">
        <v>19</v>
      </c>
      <c r="H130" t="s">
        <v>20</v>
      </c>
      <c r="I130" t="s">
        <v>20</v>
      </c>
      <c r="J130" t="s">
        <v>26</v>
      </c>
    </row>
    <row r="131" spans="1:10" x14ac:dyDescent="0.25">
      <c r="A131" t="s">
        <v>201</v>
      </c>
      <c r="B131" t="s">
        <v>24</v>
      </c>
      <c r="C131" t="s">
        <v>18</v>
      </c>
      <c r="D131">
        <v>18</v>
      </c>
      <c r="E131" t="s">
        <v>25</v>
      </c>
      <c r="F131" t="s">
        <v>25</v>
      </c>
      <c r="G131" t="s">
        <v>19</v>
      </c>
      <c r="H131" t="s">
        <v>20</v>
      </c>
      <c r="I131" t="s">
        <v>20</v>
      </c>
      <c r="J131" t="s">
        <v>26</v>
      </c>
    </row>
    <row r="132" spans="1:10" x14ac:dyDescent="0.25">
      <c r="A132" t="s">
        <v>202</v>
      </c>
      <c r="B132" t="s">
        <v>24</v>
      </c>
      <c r="C132" t="s">
        <v>18</v>
      </c>
      <c r="D132">
        <v>18</v>
      </c>
      <c r="E132" t="s">
        <v>25</v>
      </c>
      <c r="F132" t="s">
        <v>25</v>
      </c>
      <c r="G132" t="s">
        <v>19</v>
      </c>
      <c r="H132" t="s">
        <v>20</v>
      </c>
      <c r="I132" t="s">
        <v>20</v>
      </c>
      <c r="J132" t="s">
        <v>26</v>
      </c>
    </row>
    <row r="133" spans="1:10" x14ac:dyDescent="0.25">
      <c r="A133" t="s">
        <v>203</v>
      </c>
      <c r="B133" t="s">
        <v>24</v>
      </c>
      <c r="C133" t="s">
        <v>18</v>
      </c>
      <c r="D133">
        <v>18</v>
      </c>
      <c r="E133" t="s">
        <v>25</v>
      </c>
      <c r="F133" t="s">
        <v>25</v>
      </c>
      <c r="G133" t="s">
        <v>19</v>
      </c>
      <c r="H133" t="s">
        <v>20</v>
      </c>
      <c r="I133" t="s">
        <v>20</v>
      </c>
      <c r="J133" t="s">
        <v>26</v>
      </c>
    </row>
    <row r="134" spans="1:10" x14ac:dyDescent="0.25">
      <c r="A134" t="s">
        <v>204</v>
      </c>
      <c r="B134" t="s">
        <v>24</v>
      </c>
      <c r="C134" t="s">
        <v>18</v>
      </c>
      <c r="D134">
        <v>18</v>
      </c>
      <c r="E134" t="s">
        <v>25</v>
      </c>
      <c r="F134" t="s">
        <v>25</v>
      </c>
      <c r="G134" t="s">
        <v>19</v>
      </c>
      <c r="H134" t="s">
        <v>20</v>
      </c>
      <c r="I134" t="s">
        <v>20</v>
      </c>
      <c r="J134" t="s">
        <v>26</v>
      </c>
    </row>
    <row r="135" spans="1:10" x14ac:dyDescent="0.25">
      <c r="A135" t="s">
        <v>205</v>
      </c>
      <c r="B135" t="s">
        <v>24</v>
      </c>
      <c r="C135" t="s">
        <v>18</v>
      </c>
      <c r="D135">
        <v>18</v>
      </c>
      <c r="E135" t="s">
        <v>25</v>
      </c>
      <c r="F135" t="s">
        <v>25</v>
      </c>
      <c r="G135" t="s">
        <v>19</v>
      </c>
      <c r="H135" t="s">
        <v>20</v>
      </c>
      <c r="I135" t="s">
        <v>20</v>
      </c>
      <c r="J135" t="s">
        <v>26</v>
      </c>
    </row>
    <row r="136" spans="1:10" x14ac:dyDescent="0.25">
      <c r="A136" t="s">
        <v>206</v>
      </c>
      <c r="B136" t="s">
        <v>24</v>
      </c>
      <c r="C136" t="s">
        <v>18</v>
      </c>
      <c r="D136">
        <v>18</v>
      </c>
      <c r="E136" t="s">
        <v>25</v>
      </c>
      <c r="F136" t="s">
        <v>25</v>
      </c>
      <c r="G136" t="s">
        <v>19</v>
      </c>
      <c r="H136" t="s">
        <v>20</v>
      </c>
      <c r="I136" t="s">
        <v>20</v>
      </c>
      <c r="J136" t="s">
        <v>26</v>
      </c>
    </row>
    <row r="137" spans="1:10" x14ac:dyDescent="0.25">
      <c r="A137" t="s">
        <v>207</v>
      </c>
      <c r="B137" t="s">
        <v>24</v>
      </c>
      <c r="C137" t="s">
        <v>18</v>
      </c>
      <c r="D137">
        <v>18</v>
      </c>
      <c r="E137" t="s">
        <v>25</v>
      </c>
      <c r="F137" t="s">
        <v>25</v>
      </c>
      <c r="G137" t="s">
        <v>19</v>
      </c>
      <c r="H137" t="s">
        <v>20</v>
      </c>
      <c r="I137" t="s">
        <v>20</v>
      </c>
      <c r="J137" t="s">
        <v>26</v>
      </c>
    </row>
    <row r="138" spans="1:10" x14ac:dyDescent="0.25">
      <c r="A138" t="s">
        <v>208</v>
      </c>
      <c r="B138" t="s">
        <v>24</v>
      </c>
      <c r="C138" t="s">
        <v>18</v>
      </c>
      <c r="D138">
        <v>18</v>
      </c>
      <c r="E138" t="s">
        <v>25</v>
      </c>
      <c r="F138" t="s">
        <v>25</v>
      </c>
      <c r="G138" t="s">
        <v>19</v>
      </c>
      <c r="H138" t="s">
        <v>20</v>
      </c>
      <c r="I138" t="s">
        <v>20</v>
      </c>
      <c r="J138" t="s">
        <v>26</v>
      </c>
    </row>
    <row r="139" spans="1:10" x14ac:dyDescent="0.25">
      <c r="A139" t="s">
        <v>209</v>
      </c>
      <c r="B139" t="s">
        <v>24</v>
      </c>
      <c r="C139" t="s">
        <v>18</v>
      </c>
      <c r="D139">
        <v>18</v>
      </c>
      <c r="E139" t="s">
        <v>25</v>
      </c>
      <c r="F139" t="s">
        <v>25</v>
      </c>
      <c r="G139" t="s">
        <v>19</v>
      </c>
      <c r="H139" t="s">
        <v>20</v>
      </c>
      <c r="I139" t="s">
        <v>20</v>
      </c>
      <c r="J139" t="s">
        <v>26</v>
      </c>
    </row>
    <row r="140" spans="1:10" x14ac:dyDescent="0.25">
      <c r="A140" t="s">
        <v>210</v>
      </c>
      <c r="B140" t="s">
        <v>24</v>
      </c>
      <c r="C140" t="s">
        <v>18</v>
      </c>
      <c r="D140">
        <v>18</v>
      </c>
      <c r="E140" t="s">
        <v>25</v>
      </c>
      <c r="F140" t="s">
        <v>25</v>
      </c>
      <c r="G140" t="s">
        <v>19</v>
      </c>
      <c r="H140" t="s">
        <v>20</v>
      </c>
      <c r="I140" t="s">
        <v>20</v>
      </c>
      <c r="J140" t="s">
        <v>26</v>
      </c>
    </row>
    <row r="141" spans="1:10" x14ac:dyDescent="0.25">
      <c r="A141" t="s">
        <v>211</v>
      </c>
      <c r="B141" t="s">
        <v>24</v>
      </c>
      <c r="C141" t="s">
        <v>18</v>
      </c>
      <c r="D141">
        <v>18</v>
      </c>
      <c r="E141" t="s">
        <v>25</v>
      </c>
      <c r="F141" t="s">
        <v>25</v>
      </c>
      <c r="G141" t="s">
        <v>19</v>
      </c>
      <c r="H141" t="s">
        <v>20</v>
      </c>
      <c r="I141" t="s">
        <v>20</v>
      </c>
      <c r="J141" t="s">
        <v>26</v>
      </c>
    </row>
    <row r="142" spans="1:10" x14ac:dyDescent="0.25">
      <c r="A142" t="s">
        <v>212</v>
      </c>
      <c r="B142" t="s">
        <v>69</v>
      </c>
      <c r="C142" t="s">
        <v>18</v>
      </c>
      <c r="D142">
        <v>8</v>
      </c>
      <c r="E142">
        <v>19</v>
      </c>
      <c r="F142">
        <v>0</v>
      </c>
      <c r="G142" t="s">
        <v>19</v>
      </c>
      <c r="H142" t="s">
        <v>20</v>
      </c>
      <c r="I142" t="s">
        <v>20</v>
      </c>
      <c r="J142" t="s">
        <v>21</v>
      </c>
    </row>
    <row r="143" spans="1:10" x14ac:dyDescent="0.25">
      <c r="A143" t="s">
        <v>213</v>
      </c>
      <c r="B143" t="s">
        <v>24</v>
      </c>
      <c r="C143" t="s">
        <v>18</v>
      </c>
      <c r="D143">
        <v>48</v>
      </c>
      <c r="E143" t="s">
        <v>25</v>
      </c>
      <c r="F143" t="s">
        <v>25</v>
      </c>
      <c r="G143" t="s">
        <v>19</v>
      </c>
      <c r="H143" t="s">
        <v>20</v>
      </c>
      <c r="I143" t="s">
        <v>20</v>
      </c>
      <c r="J143" t="s">
        <v>26</v>
      </c>
    </row>
    <row r="144" spans="1:10" x14ac:dyDescent="0.25">
      <c r="A144" t="s">
        <v>214</v>
      </c>
      <c r="B144" t="s">
        <v>24</v>
      </c>
      <c r="C144" t="s">
        <v>18</v>
      </c>
      <c r="D144">
        <v>30</v>
      </c>
      <c r="E144" t="s">
        <v>25</v>
      </c>
      <c r="F144" t="s">
        <v>25</v>
      </c>
      <c r="G144" t="s">
        <v>19</v>
      </c>
      <c r="H144" t="s">
        <v>20</v>
      </c>
      <c r="I144" t="s">
        <v>20</v>
      </c>
      <c r="J144" t="s">
        <v>26</v>
      </c>
    </row>
    <row r="145" spans="1:10" x14ac:dyDescent="0.25">
      <c r="A145" t="s">
        <v>215</v>
      </c>
      <c r="B145" t="s">
        <v>24</v>
      </c>
      <c r="C145" t="s">
        <v>18</v>
      </c>
      <c r="D145">
        <v>30</v>
      </c>
      <c r="E145" t="s">
        <v>25</v>
      </c>
      <c r="F145" t="s">
        <v>25</v>
      </c>
      <c r="G145" t="s">
        <v>19</v>
      </c>
      <c r="H145" t="s">
        <v>20</v>
      </c>
      <c r="I145" t="s">
        <v>20</v>
      </c>
      <c r="J145" t="s">
        <v>26</v>
      </c>
    </row>
    <row r="146" spans="1:10" x14ac:dyDescent="0.25">
      <c r="A146" t="s">
        <v>216</v>
      </c>
      <c r="B146" t="s">
        <v>69</v>
      </c>
      <c r="C146" t="s">
        <v>18</v>
      </c>
      <c r="D146">
        <v>8</v>
      </c>
      <c r="E146">
        <v>19</v>
      </c>
      <c r="F146">
        <v>0</v>
      </c>
      <c r="G146" t="s">
        <v>19</v>
      </c>
      <c r="H146" t="s">
        <v>20</v>
      </c>
      <c r="I146" t="s">
        <v>20</v>
      </c>
      <c r="J146" t="s">
        <v>21</v>
      </c>
    </row>
    <row r="147" spans="1:10" x14ac:dyDescent="0.25">
      <c r="A147" t="s">
        <v>217</v>
      </c>
      <c r="B147" t="s">
        <v>24</v>
      </c>
      <c r="C147" t="s">
        <v>18</v>
      </c>
      <c r="D147">
        <v>40</v>
      </c>
      <c r="E147" t="s">
        <v>25</v>
      </c>
      <c r="F147" t="s">
        <v>25</v>
      </c>
      <c r="G147" t="s">
        <v>19</v>
      </c>
      <c r="H147" t="s">
        <v>20</v>
      </c>
      <c r="I147" t="s">
        <v>20</v>
      </c>
      <c r="J147" t="s">
        <v>26</v>
      </c>
    </row>
    <row r="148" spans="1:10" x14ac:dyDescent="0.25">
      <c r="A148" t="s">
        <v>218</v>
      </c>
      <c r="B148" t="s">
        <v>24</v>
      </c>
      <c r="C148" t="s">
        <v>18</v>
      </c>
      <c r="D148">
        <v>54</v>
      </c>
      <c r="E148" t="s">
        <v>25</v>
      </c>
      <c r="F148" t="s">
        <v>25</v>
      </c>
      <c r="G148" t="s">
        <v>19</v>
      </c>
      <c r="H148" t="s">
        <v>20</v>
      </c>
      <c r="I148" t="s">
        <v>20</v>
      </c>
      <c r="J148" t="s">
        <v>26</v>
      </c>
    </row>
    <row r="149" spans="1:10" x14ac:dyDescent="0.25">
      <c r="A149" t="s">
        <v>219</v>
      </c>
      <c r="B149" t="s">
        <v>78</v>
      </c>
      <c r="C149" t="s">
        <v>18</v>
      </c>
      <c r="D149">
        <v>3</v>
      </c>
      <c r="E149">
        <v>10</v>
      </c>
      <c r="F149">
        <v>0</v>
      </c>
      <c r="G149" t="s">
        <v>19</v>
      </c>
      <c r="H149" t="s">
        <v>20</v>
      </c>
      <c r="I149" t="s">
        <v>20</v>
      </c>
      <c r="J149" t="s">
        <v>21</v>
      </c>
    </row>
    <row r="150" spans="1:10" x14ac:dyDescent="0.25">
      <c r="A150" t="s">
        <v>220</v>
      </c>
      <c r="B150" t="s">
        <v>24</v>
      </c>
      <c r="C150" t="s">
        <v>18</v>
      </c>
      <c r="D150">
        <v>12</v>
      </c>
      <c r="E150" t="s">
        <v>25</v>
      </c>
      <c r="F150" t="s">
        <v>25</v>
      </c>
      <c r="G150" t="s">
        <v>19</v>
      </c>
      <c r="H150" t="s">
        <v>20</v>
      </c>
      <c r="I150" t="s">
        <v>20</v>
      </c>
      <c r="J150" t="s">
        <v>26</v>
      </c>
    </row>
    <row r="151" spans="1:10" x14ac:dyDescent="0.25">
      <c r="A151" t="s">
        <v>221</v>
      </c>
      <c r="B151" t="s">
        <v>24</v>
      </c>
      <c r="C151" t="s">
        <v>18</v>
      </c>
      <c r="D151">
        <v>18</v>
      </c>
      <c r="E151" t="s">
        <v>25</v>
      </c>
      <c r="F151" t="s">
        <v>25</v>
      </c>
      <c r="G151" t="s">
        <v>19</v>
      </c>
      <c r="H151" t="s">
        <v>20</v>
      </c>
      <c r="I151" t="s">
        <v>20</v>
      </c>
      <c r="J151" t="s">
        <v>26</v>
      </c>
    </row>
    <row r="152" spans="1:10" x14ac:dyDescent="0.25">
      <c r="A152" t="s">
        <v>222</v>
      </c>
      <c r="B152" t="s">
        <v>83</v>
      </c>
      <c r="C152" t="s">
        <v>18</v>
      </c>
      <c r="D152">
        <v>8</v>
      </c>
      <c r="E152">
        <v>53</v>
      </c>
      <c r="F152" t="s">
        <v>21</v>
      </c>
      <c r="G152" t="s">
        <v>19</v>
      </c>
      <c r="H152" t="s">
        <v>20</v>
      </c>
      <c r="I152" t="s">
        <v>20</v>
      </c>
      <c r="J152" t="s">
        <v>21</v>
      </c>
    </row>
    <row r="153" spans="1:10" x14ac:dyDescent="0.25">
      <c r="A153" t="s">
        <v>223</v>
      </c>
      <c r="B153" t="s">
        <v>83</v>
      </c>
      <c r="C153" t="s">
        <v>18</v>
      </c>
      <c r="D153">
        <v>8</v>
      </c>
      <c r="E153">
        <v>53</v>
      </c>
      <c r="F153" t="s">
        <v>21</v>
      </c>
      <c r="G153" t="s">
        <v>19</v>
      </c>
      <c r="H153" t="s">
        <v>20</v>
      </c>
      <c r="I153" t="s">
        <v>20</v>
      </c>
      <c r="J153" t="s">
        <v>21</v>
      </c>
    </row>
    <row r="154" spans="1:10" x14ac:dyDescent="0.25">
      <c r="A154" t="s">
        <v>224</v>
      </c>
      <c r="B154" t="s">
        <v>83</v>
      </c>
      <c r="C154" t="s">
        <v>18</v>
      </c>
      <c r="D154">
        <v>8</v>
      </c>
      <c r="E154">
        <v>53</v>
      </c>
      <c r="F154" t="s">
        <v>21</v>
      </c>
      <c r="G154" t="s">
        <v>19</v>
      </c>
      <c r="H154" t="s">
        <v>20</v>
      </c>
      <c r="I154" t="s">
        <v>20</v>
      </c>
      <c r="J154" t="s">
        <v>21</v>
      </c>
    </row>
    <row r="155" spans="1:10" x14ac:dyDescent="0.25">
      <c r="A155" t="s">
        <v>225</v>
      </c>
      <c r="B155" t="s">
        <v>83</v>
      </c>
      <c r="C155" t="s">
        <v>18</v>
      </c>
      <c r="D155">
        <v>8</v>
      </c>
      <c r="E155">
        <v>53</v>
      </c>
      <c r="F155" t="s">
        <v>21</v>
      </c>
      <c r="G155" t="s">
        <v>19</v>
      </c>
      <c r="H155" t="s">
        <v>20</v>
      </c>
      <c r="I155" t="s">
        <v>20</v>
      </c>
      <c r="J155" t="s">
        <v>21</v>
      </c>
    </row>
    <row r="156" spans="1:10" x14ac:dyDescent="0.25">
      <c r="A156" t="s">
        <v>226</v>
      </c>
      <c r="B156" t="s">
        <v>83</v>
      </c>
      <c r="C156" t="s">
        <v>18</v>
      </c>
      <c r="D156">
        <v>8</v>
      </c>
      <c r="E156">
        <v>53</v>
      </c>
      <c r="F156" t="s">
        <v>21</v>
      </c>
      <c r="G156" t="s">
        <v>19</v>
      </c>
      <c r="H156" t="s">
        <v>20</v>
      </c>
      <c r="I156" t="s">
        <v>20</v>
      </c>
      <c r="J156" t="s">
        <v>21</v>
      </c>
    </row>
    <row r="157" spans="1:10" x14ac:dyDescent="0.25">
      <c r="A157" t="s">
        <v>227</v>
      </c>
      <c r="B157" t="s">
        <v>69</v>
      </c>
      <c r="C157" t="s">
        <v>18</v>
      </c>
      <c r="D157">
        <v>8</v>
      </c>
      <c r="E157">
        <v>19</v>
      </c>
      <c r="F157">
        <v>0</v>
      </c>
      <c r="G157" t="s">
        <v>19</v>
      </c>
      <c r="H157" t="s">
        <v>20</v>
      </c>
      <c r="I157" t="s">
        <v>20</v>
      </c>
      <c r="J157" t="s">
        <v>21</v>
      </c>
    </row>
    <row r="158" spans="1:10" x14ac:dyDescent="0.25">
      <c r="A158" t="s">
        <v>228</v>
      </c>
      <c r="B158" t="s">
        <v>24</v>
      </c>
      <c r="C158" t="s">
        <v>18</v>
      </c>
      <c r="D158">
        <v>40</v>
      </c>
      <c r="E158" t="s">
        <v>25</v>
      </c>
      <c r="F158" t="s">
        <v>25</v>
      </c>
      <c r="G158" t="s">
        <v>19</v>
      </c>
      <c r="H158" t="s">
        <v>20</v>
      </c>
      <c r="I158" t="s">
        <v>20</v>
      </c>
      <c r="J158" t="s">
        <v>26</v>
      </c>
    </row>
    <row r="159" spans="1:10" x14ac:dyDescent="0.25">
      <c r="A159" t="s">
        <v>229</v>
      </c>
      <c r="B159" t="s">
        <v>24</v>
      </c>
      <c r="C159" t="s">
        <v>18</v>
      </c>
      <c r="D159">
        <v>18</v>
      </c>
      <c r="E159" t="s">
        <v>25</v>
      </c>
      <c r="F159" t="s">
        <v>25</v>
      </c>
      <c r="G159" t="s">
        <v>19</v>
      </c>
      <c r="H159" t="s">
        <v>20</v>
      </c>
      <c r="I159" t="s">
        <v>20</v>
      </c>
      <c r="J159" t="s">
        <v>26</v>
      </c>
    </row>
    <row r="160" spans="1:10" x14ac:dyDescent="0.25">
      <c r="A160" t="s">
        <v>230</v>
      </c>
      <c r="B160" t="s">
        <v>24</v>
      </c>
      <c r="C160" t="s">
        <v>18</v>
      </c>
      <c r="D160">
        <v>12</v>
      </c>
      <c r="E160" t="s">
        <v>25</v>
      </c>
      <c r="F160" t="s">
        <v>25</v>
      </c>
      <c r="G160" t="s">
        <v>19</v>
      </c>
      <c r="H160" t="s">
        <v>20</v>
      </c>
      <c r="I160" t="s">
        <v>20</v>
      </c>
      <c r="J160" t="s">
        <v>26</v>
      </c>
    </row>
    <row r="161" spans="1:10" x14ac:dyDescent="0.25">
      <c r="A161" t="s">
        <v>231</v>
      </c>
      <c r="B161" t="s">
        <v>69</v>
      </c>
      <c r="C161" t="s">
        <v>18</v>
      </c>
      <c r="D161">
        <v>8</v>
      </c>
      <c r="E161">
        <v>19</v>
      </c>
      <c r="F161">
        <v>0</v>
      </c>
      <c r="G161" t="s">
        <v>19</v>
      </c>
      <c r="H161" t="s">
        <v>20</v>
      </c>
      <c r="I161" t="s">
        <v>20</v>
      </c>
      <c r="J161" t="s">
        <v>21</v>
      </c>
    </row>
    <row r="162" spans="1:10" x14ac:dyDescent="0.25">
      <c r="A162" t="s">
        <v>232</v>
      </c>
      <c r="B162" t="s">
        <v>24</v>
      </c>
      <c r="C162" t="s">
        <v>18</v>
      </c>
      <c r="D162">
        <v>40</v>
      </c>
      <c r="E162" t="s">
        <v>25</v>
      </c>
      <c r="F162" t="s">
        <v>25</v>
      </c>
      <c r="G162" t="s">
        <v>19</v>
      </c>
      <c r="H162" t="s">
        <v>20</v>
      </c>
      <c r="I162" t="s">
        <v>20</v>
      </c>
      <c r="J162" t="s">
        <v>26</v>
      </c>
    </row>
    <row r="163" spans="1:10" x14ac:dyDescent="0.25">
      <c r="A163" t="s">
        <v>233</v>
      </c>
      <c r="B163" t="s">
        <v>24</v>
      </c>
      <c r="C163" t="s">
        <v>18</v>
      </c>
      <c r="D163">
        <v>18</v>
      </c>
      <c r="E163" t="s">
        <v>25</v>
      </c>
      <c r="F163" t="s">
        <v>25</v>
      </c>
      <c r="G163" t="s">
        <v>19</v>
      </c>
      <c r="H163" t="s">
        <v>20</v>
      </c>
      <c r="I163" t="s">
        <v>20</v>
      </c>
      <c r="J163" t="s">
        <v>26</v>
      </c>
    </row>
    <row r="164" spans="1:10" x14ac:dyDescent="0.25">
      <c r="A164" t="s">
        <v>234</v>
      </c>
      <c r="B164" t="s">
        <v>69</v>
      </c>
      <c r="C164" t="s">
        <v>18</v>
      </c>
      <c r="D164">
        <v>8</v>
      </c>
      <c r="E164">
        <v>19</v>
      </c>
      <c r="F164">
        <v>0</v>
      </c>
      <c r="G164" t="s">
        <v>19</v>
      </c>
      <c r="H164" t="s">
        <v>20</v>
      </c>
      <c r="I164" t="s">
        <v>20</v>
      </c>
      <c r="J164" t="s">
        <v>21</v>
      </c>
    </row>
    <row r="165" spans="1:10" x14ac:dyDescent="0.25">
      <c r="A165" t="s">
        <v>235</v>
      </c>
      <c r="B165" t="s">
        <v>69</v>
      </c>
      <c r="C165" t="s">
        <v>18</v>
      </c>
      <c r="D165">
        <v>8</v>
      </c>
      <c r="E165">
        <v>19</v>
      </c>
      <c r="F165">
        <v>0</v>
      </c>
      <c r="G165" t="s">
        <v>19</v>
      </c>
      <c r="H165" t="s">
        <v>20</v>
      </c>
      <c r="I165" t="s">
        <v>20</v>
      </c>
      <c r="J165" t="s">
        <v>21</v>
      </c>
    </row>
    <row r="166" spans="1:10" x14ac:dyDescent="0.25">
      <c r="A166" t="s">
        <v>236</v>
      </c>
      <c r="B166" t="s">
        <v>24</v>
      </c>
      <c r="C166" t="s">
        <v>18</v>
      </c>
      <c r="D166">
        <v>40</v>
      </c>
      <c r="E166" t="s">
        <v>25</v>
      </c>
      <c r="F166" t="s">
        <v>25</v>
      </c>
      <c r="G166" t="s">
        <v>19</v>
      </c>
      <c r="H166" t="s">
        <v>20</v>
      </c>
      <c r="I166" t="s">
        <v>20</v>
      </c>
      <c r="J166" t="s">
        <v>26</v>
      </c>
    </row>
    <row r="167" spans="1:10" x14ac:dyDescent="0.25">
      <c r="A167" t="s">
        <v>237</v>
      </c>
      <c r="B167" t="s">
        <v>69</v>
      </c>
      <c r="C167" t="s">
        <v>18</v>
      </c>
      <c r="D167">
        <v>8</v>
      </c>
      <c r="E167">
        <v>19</v>
      </c>
      <c r="F167">
        <v>0</v>
      </c>
      <c r="G167" t="s">
        <v>19</v>
      </c>
      <c r="H167" t="s">
        <v>20</v>
      </c>
      <c r="I167" t="s">
        <v>20</v>
      </c>
      <c r="J167" t="s">
        <v>21</v>
      </c>
    </row>
    <row r="168" spans="1:10" x14ac:dyDescent="0.25">
      <c r="A168" t="s">
        <v>238</v>
      </c>
      <c r="B168" t="s">
        <v>24</v>
      </c>
      <c r="C168" t="s">
        <v>18</v>
      </c>
      <c r="D168">
        <v>18</v>
      </c>
      <c r="E168" t="s">
        <v>25</v>
      </c>
      <c r="F168" t="s">
        <v>25</v>
      </c>
      <c r="G168" t="s">
        <v>19</v>
      </c>
      <c r="H168" t="s">
        <v>20</v>
      </c>
      <c r="I168" t="s">
        <v>20</v>
      </c>
      <c r="J168" t="s">
        <v>26</v>
      </c>
    </row>
    <row r="169" spans="1:10" x14ac:dyDescent="0.25">
      <c r="A169" t="s">
        <v>239</v>
      </c>
      <c r="B169" t="s">
        <v>24</v>
      </c>
      <c r="C169" t="s">
        <v>18</v>
      </c>
      <c r="D169">
        <v>100</v>
      </c>
      <c r="E169" t="s">
        <v>25</v>
      </c>
      <c r="F169" t="s">
        <v>25</v>
      </c>
      <c r="G169" t="s">
        <v>19</v>
      </c>
      <c r="H169" t="s">
        <v>20</v>
      </c>
      <c r="I169" t="s">
        <v>20</v>
      </c>
      <c r="J169" t="s">
        <v>26</v>
      </c>
    </row>
    <row r="170" spans="1:10" x14ac:dyDescent="0.25">
      <c r="A170" t="s">
        <v>240</v>
      </c>
      <c r="B170" t="s">
        <v>69</v>
      </c>
      <c r="C170" t="s">
        <v>18</v>
      </c>
      <c r="D170">
        <v>8</v>
      </c>
      <c r="E170">
        <v>19</v>
      </c>
      <c r="F170">
        <v>0</v>
      </c>
      <c r="G170" t="s">
        <v>19</v>
      </c>
      <c r="H170" t="s">
        <v>20</v>
      </c>
      <c r="I170" t="s">
        <v>20</v>
      </c>
      <c r="J170" t="s">
        <v>21</v>
      </c>
    </row>
    <row r="171" spans="1:10" x14ac:dyDescent="0.25">
      <c r="A171" t="s">
        <v>241</v>
      </c>
      <c r="B171" t="s">
        <v>24</v>
      </c>
      <c r="C171" t="s">
        <v>18</v>
      </c>
      <c r="D171">
        <v>6</v>
      </c>
      <c r="E171" t="s">
        <v>25</v>
      </c>
      <c r="F171" t="s">
        <v>25</v>
      </c>
      <c r="G171" t="s">
        <v>19</v>
      </c>
      <c r="H171" t="s">
        <v>20</v>
      </c>
      <c r="I171" t="s">
        <v>20</v>
      </c>
      <c r="J171" t="s">
        <v>26</v>
      </c>
    </row>
    <row r="172" spans="1:10" x14ac:dyDescent="0.25">
      <c r="A172" t="s">
        <v>242</v>
      </c>
      <c r="B172" t="s">
        <v>69</v>
      </c>
      <c r="C172" t="s">
        <v>18</v>
      </c>
      <c r="D172">
        <v>8</v>
      </c>
      <c r="E172">
        <v>19</v>
      </c>
      <c r="F172">
        <v>0</v>
      </c>
      <c r="G172" t="s">
        <v>19</v>
      </c>
      <c r="H172" t="s">
        <v>20</v>
      </c>
      <c r="I172" t="s">
        <v>20</v>
      </c>
      <c r="J172" t="s">
        <v>21</v>
      </c>
    </row>
    <row r="173" spans="1:10" x14ac:dyDescent="0.25">
      <c r="A173" t="s">
        <v>243</v>
      </c>
      <c r="B173" t="s">
        <v>69</v>
      </c>
      <c r="C173" t="s">
        <v>18</v>
      </c>
      <c r="D173">
        <v>8</v>
      </c>
      <c r="E173">
        <v>19</v>
      </c>
      <c r="F173">
        <v>0</v>
      </c>
      <c r="G173" t="s">
        <v>19</v>
      </c>
      <c r="H173" t="s">
        <v>20</v>
      </c>
      <c r="I173" t="s">
        <v>20</v>
      </c>
      <c r="J173" t="s">
        <v>21</v>
      </c>
    </row>
    <row r="174" spans="1:10" x14ac:dyDescent="0.25">
      <c r="A174" t="s">
        <v>244</v>
      </c>
      <c r="B174" t="s">
        <v>24</v>
      </c>
      <c r="C174" t="s">
        <v>18</v>
      </c>
      <c r="D174">
        <v>44</v>
      </c>
      <c r="E174" t="s">
        <v>25</v>
      </c>
      <c r="F174" t="s">
        <v>25</v>
      </c>
      <c r="G174" t="s">
        <v>19</v>
      </c>
      <c r="H174" t="s">
        <v>20</v>
      </c>
      <c r="I174" t="s">
        <v>20</v>
      </c>
      <c r="J174" t="s">
        <v>26</v>
      </c>
    </row>
    <row r="175" spans="1:10" x14ac:dyDescent="0.25">
      <c r="A175" t="s">
        <v>245</v>
      </c>
      <c r="B175" t="s">
        <v>69</v>
      </c>
      <c r="C175" t="s">
        <v>18</v>
      </c>
      <c r="D175">
        <v>8</v>
      </c>
      <c r="E175">
        <v>19</v>
      </c>
      <c r="F175">
        <v>0</v>
      </c>
      <c r="G175" t="s">
        <v>19</v>
      </c>
      <c r="H175" t="s">
        <v>20</v>
      </c>
      <c r="I175" t="s">
        <v>20</v>
      </c>
      <c r="J175" t="s">
        <v>21</v>
      </c>
    </row>
    <row r="176" spans="1:10" x14ac:dyDescent="0.25">
      <c r="A176" t="s">
        <v>246</v>
      </c>
      <c r="B176" t="s">
        <v>24</v>
      </c>
      <c r="C176" t="s">
        <v>18</v>
      </c>
      <c r="D176">
        <v>40</v>
      </c>
      <c r="E176" t="s">
        <v>25</v>
      </c>
      <c r="F176" t="s">
        <v>25</v>
      </c>
      <c r="G176" t="s">
        <v>19</v>
      </c>
      <c r="H176" t="s">
        <v>20</v>
      </c>
      <c r="I176" t="s">
        <v>20</v>
      </c>
      <c r="J176" t="s">
        <v>26</v>
      </c>
    </row>
    <row r="177" spans="1:10" x14ac:dyDescent="0.25">
      <c r="A177" t="s">
        <v>247</v>
      </c>
      <c r="B177" t="s">
        <v>83</v>
      </c>
      <c r="C177" t="s">
        <v>18</v>
      </c>
      <c r="D177">
        <v>8</v>
      </c>
      <c r="E177">
        <v>53</v>
      </c>
      <c r="F177" t="s">
        <v>21</v>
      </c>
      <c r="G177" t="s">
        <v>19</v>
      </c>
      <c r="H177" t="s">
        <v>20</v>
      </c>
      <c r="I177" t="s">
        <v>20</v>
      </c>
      <c r="J177" t="s">
        <v>21</v>
      </c>
    </row>
    <row r="178" spans="1:10" x14ac:dyDescent="0.25">
      <c r="A178" t="s">
        <v>248</v>
      </c>
      <c r="B178" t="s">
        <v>69</v>
      </c>
      <c r="C178" t="s">
        <v>18</v>
      </c>
      <c r="D178">
        <v>8</v>
      </c>
      <c r="E178">
        <v>19</v>
      </c>
      <c r="F178">
        <v>0</v>
      </c>
      <c r="G178" t="s">
        <v>19</v>
      </c>
      <c r="H178" t="s">
        <v>20</v>
      </c>
      <c r="I178" t="s">
        <v>20</v>
      </c>
      <c r="J178" t="s">
        <v>21</v>
      </c>
    </row>
    <row r="179" spans="1:10" x14ac:dyDescent="0.25">
      <c r="A179" t="s">
        <v>249</v>
      </c>
      <c r="B179" t="s">
        <v>24</v>
      </c>
      <c r="C179" t="s">
        <v>18</v>
      </c>
      <c r="D179">
        <v>40</v>
      </c>
      <c r="E179" t="s">
        <v>25</v>
      </c>
      <c r="F179" t="s">
        <v>25</v>
      </c>
      <c r="G179" t="s">
        <v>19</v>
      </c>
      <c r="H179" t="s">
        <v>20</v>
      </c>
      <c r="I179" t="s">
        <v>20</v>
      </c>
      <c r="J179" t="s">
        <v>26</v>
      </c>
    </row>
    <row r="180" spans="1:10" x14ac:dyDescent="0.25">
      <c r="A180" t="s">
        <v>250</v>
      </c>
      <c r="B180" t="s">
        <v>69</v>
      </c>
      <c r="C180" t="s">
        <v>18</v>
      </c>
      <c r="D180">
        <v>8</v>
      </c>
      <c r="E180">
        <v>19</v>
      </c>
      <c r="F180">
        <v>0</v>
      </c>
      <c r="G180" t="s">
        <v>19</v>
      </c>
      <c r="H180" t="s">
        <v>20</v>
      </c>
      <c r="I180" t="s">
        <v>20</v>
      </c>
      <c r="J180" t="s">
        <v>21</v>
      </c>
    </row>
    <row r="181" spans="1:10" x14ac:dyDescent="0.25">
      <c r="A181" t="s">
        <v>251</v>
      </c>
      <c r="B181" t="s">
        <v>24</v>
      </c>
      <c r="C181" t="s">
        <v>18</v>
      </c>
      <c r="D181">
        <v>44</v>
      </c>
      <c r="E181" t="s">
        <v>25</v>
      </c>
      <c r="F181" t="s">
        <v>25</v>
      </c>
      <c r="G181" t="s">
        <v>19</v>
      </c>
      <c r="H181" t="s">
        <v>20</v>
      </c>
      <c r="I181" t="s">
        <v>20</v>
      </c>
      <c r="J181" t="s">
        <v>26</v>
      </c>
    </row>
    <row r="182" spans="1:10" x14ac:dyDescent="0.25">
      <c r="A182" t="s">
        <v>252</v>
      </c>
      <c r="B182" t="s">
        <v>24</v>
      </c>
      <c r="C182" t="s">
        <v>18</v>
      </c>
      <c r="D182">
        <v>6</v>
      </c>
      <c r="E182" t="s">
        <v>25</v>
      </c>
      <c r="F182" t="s">
        <v>25</v>
      </c>
      <c r="G182" t="s">
        <v>19</v>
      </c>
      <c r="H182" t="s">
        <v>20</v>
      </c>
      <c r="I182" t="s">
        <v>20</v>
      </c>
      <c r="J182" t="s">
        <v>26</v>
      </c>
    </row>
    <row r="183" spans="1:10" x14ac:dyDescent="0.25">
      <c r="A183" t="s">
        <v>253</v>
      </c>
      <c r="B183" t="s">
        <v>24</v>
      </c>
      <c r="C183" t="s">
        <v>18</v>
      </c>
      <c r="D183">
        <v>32</v>
      </c>
      <c r="E183" t="s">
        <v>25</v>
      </c>
      <c r="F183" t="s">
        <v>25</v>
      </c>
      <c r="G183" t="s">
        <v>19</v>
      </c>
      <c r="H183" t="s">
        <v>20</v>
      </c>
      <c r="I183" t="s">
        <v>20</v>
      </c>
      <c r="J183" t="s">
        <v>26</v>
      </c>
    </row>
    <row r="184" spans="1:10" x14ac:dyDescent="0.25">
      <c r="A184" t="s">
        <v>254</v>
      </c>
      <c r="B184" t="s">
        <v>78</v>
      </c>
      <c r="C184" t="s">
        <v>18</v>
      </c>
      <c r="D184">
        <v>3</v>
      </c>
      <c r="E184">
        <v>10</v>
      </c>
      <c r="F184">
        <v>0</v>
      </c>
      <c r="G184" t="s">
        <v>19</v>
      </c>
      <c r="H184" t="s">
        <v>20</v>
      </c>
      <c r="I184" t="s">
        <v>20</v>
      </c>
      <c r="J184" t="s">
        <v>21</v>
      </c>
    </row>
    <row r="185" spans="1:10" x14ac:dyDescent="0.25">
      <c r="A185" t="s">
        <v>255</v>
      </c>
      <c r="B185" t="s">
        <v>24</v>
      </c>
      <c r="C185" t="s">
        <v>18</v>
      </c>
      <c r="D185">
        <v>6</v>
      </c>
      <c r="E185" t="s">
        <v>25</v>
      </c>
      <c r="F185" t="s">
        <v>25</v>
      </c>
      <c r="G185" t="s">
        <v>19</v>
      </c>
      <c r="H185" t="s">
        <v>20</v>
      </c>
      <c r="I185" t="s">
        <v>20</v>
      </c>
      <c r="J185" t="s">
        <v>26</v>
      </c>
    </row>
    <row r="186" spans="1:10" x14ac:dyDescent="0.25">
      <c r="A186" t="s">
        <v>256</v>
      </c>
      <c r="B186" t="s">
        <v>24</v>
      </c>
      <c r="C186" t="s">
        <v>18</v>
      </c>
      <c r="D186">
        <v>18</v>
      </c>
      <c r="E186" t="s">
        <v>25</v>
      </c>
      <c r="F186" t="s">
        <v>25</v>
      </c>
      <c r="G186" t="s">
        <v>19</v>
      </c>
      <c r="H186" t="s">
        <v>20</v>
      </c>
      <c r="I186" t="s">
        <v>20</v>
      </c>
      <c r="J186" t="s">
        <v>26</v>
      </c>
    </row>
    <row r="187" spans="1:10" x14ac:dyDescent="0.25">
      <c r="A187" t="s">
        <v>257</v>
      </c>
      <c r="B187" t="s">
        <v>24</v>
      </c>
      <c r="C187" t="s">
        <v>18</v>
      </c>
      <c r="D187">
        <v>70</v>
      </c>
      <c r="E187" t="s">
        <v>25</v>
      </c>
      <c r="F187" t="s">
        <v>25</v>
      </c>
      <c r="G187" t="s">
        <v>19</v>
      </c>
      <c r="H187" t="s">
        <v>20</v>
      </c>
      <c r="I187" t="s">
        <v>20</v>
      </c>
      <c r="J187" t="s">
        <v>26</v>
      </c>
    </row>
    <row r="188" spans="1:10" x14ac:dyDescent="0.25">
      <c r="A188" t="s">
        <v>258</v>
      </c>
      <c r="B188" t="s">
        <v>69</v>
      </c>
      <c r="C188" t="s">
        <v>18</v>
      </c>
      <c r="D188">
        <v>8</v>
      </c>
      <c r="E188">
        <v>19</v>
      </c>
      <c r="F188">
        <v>0</v>
      </c>
      <c r="G188" t="s">
        <v>19</v>
      </c>
      <c r="H188" t="s">
        <v>20</v>
      </c>
      <c r="I188" t="s">
        <v>20</v>
      </c>
      <c r="J188" t="s">
        <v>21</v>
      </c>
    </row>
    <row r="189" spans="1:10" x14ac:dyDescent="0.25">
      <c r="A189" t="s">
        <v>259</v>
      </c>
      <c r="B189" t="s">
        <v>69</v>
      </c>
      <c r="C189" t="s">
        <v>18</v>
      </c>
      <c r="D189">
        <v>8</v>
      </c>
      <c r="E189">
        <v>19</v>
      </c>
      <c r="F189">
        <v>0</v>
      </c>
      <c r="G189" t="s">
        <v>19</v>
      </c>
      <c r="H189" t="s">
        <v>20</v>
      </c>
      <c r="I189" t="s">
        <v>20</v>
      </c>
      <c r="J189" t="s">
        <v>21</v>
      </c>
    </row>
    <row r="190" spans="1:10" x14ac:dyDescent="0.25">
      <c r="A190" t="s">
        <v>260</v>
      </c>
      <c r="B190" t="s">
        <v>24</v>
      </c>
      <c r="C190" t="s">
        <v>18</v>
      </c>
      <c r="D190">
        <v>6</v>
      </c>
      <c r="E190" t="s">
        <v>25</v>
      </c>
      <c r="F190" t="s">
        <v>25</v>
      </c>
      <c r="G190" t="s">
        <v>19</v>
      </c>
      <c r="H190" t="s">
        <v>20</v>
      </c>
      <c r="I190" t="s">
        <v>20</v>
      </c>
      <c r="J190" t="s">
        <v>26</v>
      </c>
    </row>
    <row r="191" spans="1:10" x14ac:dyDescent="0.25">
      <c r="A191" t="s">
        <v>261</v>
      </c>
      <c r="B191" t="s">
        <v>69</v>
      </c>
      <c r="C191" t="s">
        <v>18</v>
      </c>
      <c r="D191">
        <v>8</v>
      </c>
      <c r="E191">
        <v>19</v>
      </c>
      <c r="F191">
        <v>0</v>
      </c>
      <c r="G191" t="s">
        <v>19</v>
      </c>
      <c r="H191" t="s">
        <v>20</v>
      </c>
      <c r="I191" t="s">
        <v>20</v>
      </c>
      <c r="J191" t="s">
        <v>21</v>
      </c>
    </row>
    <row r="192" spans="1:10" x14ac:dyDescent="0.25">
      <c r="A192" t="s">
        <v>262</v>
      </c>
      <c r="B192" t="s">
        <v>69</v>
      </c>
      <c r="C192" t="s">
        <v>18</v>
      </c>
      <c r="D192">
        <v>8</v>
      </c>
      <c r="E192">
        <v>19</v>
      </c>
      <c r="F192">
        <v>0</v>
      </c>
      <c r="G192" t="s">
        <v>19</v>
      </c>
      <c r="H192" t="s">
        <v>20</v>
      </c>
      <c r="I192" t="s">
        <v>20</v>
      </c>
      <c r="J192" t="s">
        <v>21</v>
      </c>
    </row>
    <row r="193" spans="1:10" x14ac:dyDescent="0.25">
      <c r="A193" t="s">
        <v>263</v>
      </c>
      <c r="B193" t="s">
        <v>69</v>
      </c>
      <c r="C193" t="s">
        <v>18</v>
      </c>
      <c r="D193">
        <v>8</v>
      </c>
      <c r="E193">
        <v>19</v>
      </c>
      <c r="F193">
        <v>0</v>
      </c>
      <c r="G193" t="s">
        <v>19</v>
      </c>
      <c r="H193" t="s">
        <v>20</v>
      </c>
      <c r="I193" t="s">
        <v>20</v>
      </c>
      <c r="J193" t="s">
        <v>21</v>
      </c>
    </row>
    <row r="194" spans="1:10" x14ac:dyDescent="0.25">
      <c r="A194" t="s">
        <v>264</v>
      </c>
      <c r="B194" t="s">
        <v>69</v>
      </c>
      <c r="C194" t="s">
        <v>18</v>
      </c>
      <c r="D194">
        <v>8</v>
      </c>
      <c r="E194">
        <v>19</v>
      </c>
      <c r="F194">
        <v>0</v>
      </c>
      <c r="G194" t="s">
        <v>19</v>
      </c>
      <c r="H194" t="s">
        <v>20</v>
      </c>
      <c r="I194" t="s">
        <v>20</v>
      </c>
      <c r="J194" t="s">
        <v>21</v>
      </c>
    </row>
    <row r="195" spans="1:10" x14ac:dyDescent="0.25">
      <c r="A195" t="s">
        <v>265</v>
      </c>
      <c r="B195" t="s">
        <v>69</v>
      </c>
      <c r="C195" t="s">
        <v>18</v>
      </c>
      <c r="D195">
        <v>8</v>
      </c>
      <c r="E195">
        <v>19</v>
      </c>
      <c r="F195">
        <v>0</v>
      </c>
      <c r="G195" t="s">
        <v>19</v>
      </c>
      <c r="H195" t="s">
        <v>20</v>
      </c>
      <c r="I195" t="s">
        <v>20</v>
      </c>
      <c r="J195" t="s">
        <v>21</v>
      </c>
    </row>
    <row r="196" spans="1:10" x14ac:dyDescent="0.25">
      <c r="A196" t="s">
        <v>266</v>
      </c>
      <c r="B196" t="s">
        <v>69</v>
      </c>
      <c r="C196" t="s">
        <v>18</v>
      </c>
      <c r="D196">
        <v>8</v>
      </c>
      <c r="E196">
        <v>19</v>
      </c>
      <c r="F196">
        <v>0</v>
      </c>
      <c r="G196" t="s">
        <v>19</v>
      </c>
      <c r="H196" t="s">
        <v>20</v>
      </c>
      <c r="I196" t="s">
        <v>20</v>
      </c>
      <c r="J196" t="s">
        <v>21</v>
      </c>
    </row>
    <row r="197" spans="1:10" x14ac:dyDescent="0.25">
      <c r="A197" t="s">
        <v>267</v>
      </c>
      <c r="B197" t="s">
        <v>69</v>
      </c>
      <c r="C197" t="s">
        <v>18</v>
      </c>
      <c r="D197">
        <v>8</v>
      </c>
      <c r="E197">
        <v>19</v>
      </c>
      <c r="F197">
        <v>0</v>
      </c>
      <c r="G197" t="s">
        <v>19</v>
      </c>
      <c r="H197" t="s">
        <v>20</v>
      </c>
      <c r="I197" t="s">
        <v>20</v>
      </c>
      <c r="J197" t="s">
        <v>21</v>
      </c>
    </row>
    <row r="198" spans="1:10" x14ac:dyDescent="0.25">
      <c r="A198" t="s">
        <v>268</v>
      </c>
      <c r="B198" t="s">
        <v>69</v>
      </c>
      <c r="C198" t="s">
        <v>18</v>
      </c>
      <c r="D198">
        <v>8</v>
      </c>
      <c r="E198">
        <v>19</v>
      </c>
      <c r="F198">
        <v>0</v>
      </c>
      <c r="G198" t="s">
        <v>19</v>
      </c>
      <c r="H198" t="s">
        <v>20</v>
      </c>
      <c r="I198" t="s">
        <v>20</v>
      </c>
      <c r="J198" t="s">
        <v>21</v>
      </c>
    </row>
    <row r="199" spans="1:10" x14ac:dyDescent="0.25">
      <c r="A199" t="s">
        <v>269</v>
      </c>
      <c r="B199" t="s">
        <v>69</v>
      </c>
      <c r="C199" t="s">
        <v>18</v>
      </c>
      <c r="D199">
        <v>8</v>
      </c>
      <c r="E199">
        <v>19</v>
      </c>
      <c r="F199">
        <v>0</v>
      </c>
      <c r="G199" t="s">
        <v>19</v>
      </c>
      <c r="H199" t="s">
        <v>20</v>
      </c>
      <c r="I199" t="s">
        <v>20</v>
      </c>
      <c r="J199" t="s">
        <v>21</v>
      </c>
    </row>
    <row r="200" spans="1:10" x14ac:dyDescent="0.25">
      <c r="A200" t="s">
        <v>270</v>
      </c>
      <c r="B200" t="s">
        <v>69</v>
      </c>
      <c r="C200" t="s">
        <v>18</v>
      </c>
      <c r="D200">
        <v>8</v>
      </c>
      <c r="E200">
        <v>19</v>
      </c>
      <c r="F200">
        <v>0</v>
      </c>
      <c r="G200" t="s">
        <v>19</v>
      </c>
      <c r="H200" t="s">
        <v>20</v>
      </c>
      <c r="I200" t="s">
        <v>20</v>
      </c>
      <c r="J200" t="s">
        <v>21</v>
      </c>
    </row>
    <row r="201" spans="1:10" x14ac:dyDescent="0.25">
      <c r="A201" t="s">
        <v>271</v>
      </c>
      <c r="B201" t="s">
        <v>69</v>
      </c>
      <c r="C201" t="s">
        <v>18</v>
      </c>
      <c r="D201">
        <v>8</v>
      </c>
      <c r="E201">
        <v>19</v>
      </c>
      <c r="F201">
        <v>0</v>
      </c>
      <c r="G201" t="s">
        <v>19</v>
      </c>
      <c r="H201" t="s">
        <v>20</v>
      </c>
      <c r="I201" t="s">
        <v>20</v>
      </c>
      <c r="J201" t="s">
        <v>21</v>
      </c>
    </row>
    <row r="202" spans="1:10" x14ac:dyDescent="0.25">
      <c r="A202" t="s">
        <v>272</v>
      </c>
      <c r="B202" t="s">
        <v>69</v>
      </c>
      <c r="C202" t="s">
        <v>18</v>
      </c>
      <c r="D202">
        <v>8</v>
      </c>
      <c r="E202">
        <v>19</v>
      </c>
      <c r="F202">
        <v>0</v>
      </c>
      <c r="G202" t="s">
        <v>19</v>
      </c>
      <c r="H202" t="s">
        <v>20</v>
      </c>
      <c r="I202" t="s">
        <v>20</v>
      </c>
      <c r="J202" t="s">
        <v>21</v>
      </c>
    </row>
    <row r="203" spans="1:10" x14ac:dyDescent="0.25">
      <c r="A203" t="s">
        <v>273</v>
      </c>
      <c r="B203" t="s">
        <v>69</v>
      </c>
      <c r="C203" t="s">
        <v>18</v>
      </c>
      <c r="D203">
        <v>8</v>
      </c>
      <c r="E203">
        <v>19</v>
      </c>
      <c r="F203">
        <v>0</v>
      </c>
      <c r="G203" t="s">
        <v>19</v>
      </c>
      <c r="H203" t="s">
        <v>20</v>
      </c>
      <c r="I203" t="s">
        <v>20</v>
      </c>
      <c r="J203" t="s">
        <v>21</v>
      </c>
    </row>
    <row r="204" spans="1:10" x14ac:dyDescent="0.25">
      <c r="A204" t="s">
        <v>274</v>
      </c>
      <c r="B204" t="s">
        <v>69</v>
      </c>
      <c r="C204" t="s">
        <v>18</v>
      </c>
      <c r="D204">
        <v>8</v>
      </c>
      <c r="E204">
        <v>19</v>
      </c>
      <c r="F204">
        <v>0</v>
      </c>
      <c r="G204" t="s">
        <v>19</v>
      </c>
      <c r="H204" t="s">
        <v>20</v>
      </c>
      <c r="I204" t="s">
        <v>20</v>
      </c>
      <c r="J204" t="s">
        <v>21</v>
      </c>
    </row>
    <row r="205" spans="1:10" x14ac:dyDescent="0.25">
      <c r="A205" t="s">
        <v>275</v>
      </c>
      <c r="B205" t="s">
        <v>69</v>
      </c>
      <c r="C205" t="s">
        <v>18</v>
      </c>
      <c r="D205">
        <v>8</v>
      </c>
      <c r="E205">
        <v>19</v>
      </c>
      <c r="F205">
        <v>0</v>
      </c>
      <c r="G205" t="s">
        <v>19</v>
      </c>
      <c r="H205" t="s">
        <v>20</v>
      </c>
      <c r="I205" t="s">
        <v>20</v>
      </c>
      <c r="J205" t="s">
        <v>21</v>
      </c>
    </row>
    <row r="206" spans="1:10" x14ac:dyDescent="0.25">
      <c r="A206" t="s">
        <v>276</v>
      </c>
      <c r="B206" t="s">
        <v>69</v>
      </c>
      <c r="C206" t="s">
        <v>18</v>
      </c>
      <c r="D206">
        <v>8</v>
      </c>
      <c r="E206">
        <v>19</v>
      </c>
      <c r="F206">
        <v>0</v>
      </c>
      <c r="G206" t="s">
        <v>19</v>
      </c>
      <c r="H206" t="s">
        <v>20</v>
      </c>
      <c r="I206" t="s">
        <v>20</v>
      </c>
      <c r="J206" t="s">
        <v>21</v>
      </c>
    </row>
    <row r="207" spans="1:10" x14ac:dyDescent="0.25">
      <c r="A207" t="s">
        <v>277</v>
      </c>
      <c r="B207" t="s">
        <v>69</v>
      </c>
      <c r="C207" t="s">
        <v>18</v>
      </c>
      <c r="D207">
        <v>8</v>
      </c>
      <c r="E207">
        <v>19</v>
      </c>
      <c r="F207">
        <v>0</v>
      </c>
      <c r="G207" t="s">
        <v>19</v>
      </c>
      <c r="H207" t="s">
        <v>20</v>
      </c>
      <c r="I207" t="s">
        <v>20</v>
      </c>
      <c r="J207" t="s">
        <v>21</v>
      </c>
    </row>
    <row r="208" spans="1:10" x14ac:dyDescent="0.25">
      <c r="A208" t="s">
        <v>278</v>
      </c>
      <c r="B208" t="s">
        <v>69</v>
      </c>
      <c r="C208" t="s">
        <v>18</v>
      </c>
      <c r="D208">
        <v>8</v>
      </c>
      <c r="E208">
        <v>19</v>
      </c>
      <c r="F208">
        <v>0</v>
      </c>
      <c r="G208" t="s">
        <v>19</v>
      </c>
      <c r="H208" t="s">
        <v>20</v>
      </c>
      <c r="I208" t="s">
        <v>20</v>
      </c>
      <c r="J208" t="s">
        <v>21</v>
      </c>
    </row>
    <row r="209" spans="1:10" x14ac:dyDescent="0.25">
      <c r="A209" t="s">
        <v>279</v>
      </c>
      <c r="B209" t="s">
        <v>69</v>
      </c>
      <c r="C209" t="s">
        <v>18</v>
      </c>
      <c r="D209">
        <v>8</v>
      </c>
      <c r="E209">
        <v>19</v>
      </c>
      <c r="F209">
        <v>0</v>
      </c>
      <c r="G209" t="s">
        <v>19</v>
      </c>
      <c r="H209" t="s">
        <v>20</v>
      </c>
      <c r="I209" t="s">
        <v>20</v>
      </c>
      <c r="J209" t="s">
        <v>21</v>
      </c>
    </row>
    <row r="210" spans="1:10" x14ac:dyDescent="0.25">
      <c r="A210" t="s">
        <v>280</v>
      </c>
      <c r="B210" t="s">
        <v>69</v>
      </c>
      <c r="C210" t="s">
        <v>18</v>
      </c>
      <c r="D210">
        <v>8</v>
      </c>
      <c r="E210">
        <v>19</v>
      </c>
      <c r="F210">
        <v>0</v>
      </c>
      <c r="G210" t="s">
        <v>19</v>
      </c>
      <c r="H210" t="s">
        <v>20</v>
      </c>
      <c r="I210" t="s">
        <v>20</v>
      </c>
      <c r="J210" t="s">
        <v>21</v>
      </c>
    </row>
    <row r="211" spans="1:10" x14ac:dyDescent="0.25">
      <c r="A211" t="s">
        <v>281</v>
      </c>
      <c r="B211" t="s">
        <v>69</v>
      </c>
      <c r="C211" t="s">
        <v>18</v>
      </c>
      <c r="D211">
        <v>8</v>
      </c>
      <c r="E211">
        <v>19</v>
      </c>
      <c r="F211">
        <v>0</v>
      </c>
      <c r="G211" t="s">
        <v>19</v>
      </c>
      <c r="H211" t="s">
        <v>20</v>
      </c>
      <c r="I211" t="s">
        <v>20</v>
      </c>
      <c r="J211" t="s">
        <v>21</v>
      </c>
    </row>
    <row r="212" spans="1:10" x14ac:dyDescent="0.25">
      <c r="A212" t="s">
        <v>282</v>
      </c>
      <c r="B212" t="s">
        <v>69</v>
      </c>
      <c r="C212" t="s">
        <v>18</v>
      </c>
      <c r="D212">
        <v>8</v>
      </c>
      <c r="E212">
        <v>19</v>
      </c>
      <c r="F212">
        <v>0</v>
      </c>
      <c r="G212" t="s">
        <v>19</v>
      </c>
      <c r="H212" t="s">
        <v>20</v>
      </c>
      <c r="I212" t="s">
        <v>20</v>
      </c>
      <c r="J212" t="s">
        <v>21</v>
      </c>
    </row>
    <row r="213" spans="1:10" x14ac:dyDescent="0.25">
      <c r="A213" t="s">
        <v>283</v>
      </c>
      <c r="B213" t="s">
        <v>69</v>
      </c>
      <c r="C213" t="s">
        <v>18</v>
      </c>
      <c r="D213">
        <v>8</v>
      </c>
      <c r="E213">
        <v>19</v>
      </c>
      <c r="F213">
        <v>0</v>
      </c>
      <c r="G213" t="s">
        <v>19</v>
      </c>
      <c r="H213" t="s">
        <v>20</v>
      </c>
      <c r="I213" t="s">
        <v>20</v>
      </c>
      <c r="J213" t="s">
        <v>21</v>
      </c>
    </row>
    <row r="214" spans="1:10" x14ac:dyDescent="0.25">
      <c r="A214" t="s">
        <v>284</v>
      </c>
      <c r="B214" t="s">
        <v>69</v>
      </c>
      <c r="C214" t="s">
        <v>18</v>
      </c>
      <c r="D214">
        <v>8</v>
      </c>
      <c r="E214">
        <v>19</v>
      </c>
      <c r="F214">
        <v>0</v>
      </c>
      <c r="G214" t="s">
        <v>19</v>
      </c>
      <c r="H214" t="s">
        <v>20</v>
      </c>
      <c r="I214" t="s">
        <v>20</v>
      </c>
      <c r="J214" t="s">
        <v>21</v>
      </c>
    </row>
    <row r="215" spans="1:10" x14ac:dyDescent="0.25">
      <c r="A215" t="s">
        <v>285</v>
      </c>
      <c r="B215" t="s">
        <v>69</v>
      </c>
      <c r="C215" t="s">
        <v>18</v>
      </c>
      <c r="D215">
        <v>8</v>
      </c>
      <c r="E215">
        <v>19</v>
      </c>
      <c r="F215">
        <v>0</v>
      </c>
      <c r="G215" t="s">
        <v>19</v>
      </c>
      <c r="H215" t="s">
        <v>20</v>
      </c>
      <c r="I215" t="s">
        <v>20</v>
      </c>
      <c r="J215" t="s">
        <v>21</v>
      </c>
    </row>
    <row r="216" spans="1:10" x14ac:dyDescent="0.25">
      <c r="A216" t="s">
        <v>286</v>
      </c>
      <c r="B216" t="s">
        <v>69</v>
      </c>
      <c r="C216" t="s">
        <v>18</v>
      </c>
      <c r="D216">
        <v>8</v>
      </c>
      <c r="E216">
        <v>19</v>
      </c>
      <c r="F216">
        <v>0</v>
      </c>
      <c r="G216" t="s">
        <v>19</v>
      </c>
      <c r="H216" t="s">
        <v>20</v>
      </c>
      <c r="I216" t="s">
        <v>20</v>
      </c>
      <c r="J216" t="s">
        <v>21</v>
      </c>
    </row>
    <row r="217" spans="1:10" x14ac:dyDescent="0.25">
      <c r="A217" t="s">
        <v>287</v>
      </c>
      <c r="B217" t="s">
        <v>69</v>
      </c>
      <c r="C217" t="s">
        <v>18</v>
      </c>
      <c r="D217">
        <v>8</v>
      </c>
      <c r="E217">
        <v>19</v>
      </c>
      <c r="F217">
        <v>0</v>
      </c>
      <c r="G217" t="s">
        <v>19</v>
      </c>
      <c r="H217" t="s">
        <v>20</v>
      </c>
      <c r="I217" t="s">
        <v>20</v>
      </c>
      <c r="J217" t="s">
        <v>21</v>
      </c>
    </row>
    <row r="218" spans="1:10" x14ac:dyDescent="0.25">
      <c r="A218" t="s">
        <v>288</v>
      </c>
      <c r="B218" t="s">
        <v>83</v>
      </c>
      <c r="C218" t="s">
        <v>18</v>
      </c>
      <c r="D218">
        <v>8</v>
      </c>
      <c r="E218">
        <v>53</v>
      </c>
      <c r="F218" t="s">
        <v>21</v>
      </c>
      <c r="G218" t="s">
        <v>19</v>
      </c>
      <c r="H218" t="s">
        <v>20</v>
      </c>
      <c r="I218" t="s">
        <v>20</v>
      </c>
      <c r="J218" t="s">
        <v>21</v>
      </c>
    </row>
    <row r="219" spans="1:10" x14ac:dyDescent="0.25">
      <c r="A219" t="s">
        <v>289</v>
      </c>
      <c r="B219" t="s">
        <v>83</v>
      </c>
      <c r="C219" t="s">
        <v>18</v>
      </c>
      <c r="D219">
        <v>8</v>
      </c>
      <c r="E219">
        <v>53</v>
      </c>
      <c r="F219" t="s">
        <v>21</v>
      </c>
      <c r="G219" t="s">
        <v>19</v>
      </c>
      <c r="H219" t="s">
        <v>20</v>
      </c>
      <c r="I219" t="s">
        <v>20</v>
      </c>
      <c r="J219" t="s">
        <v>21</v>
      </c>
    </row>
    <row r="220" spans="1:10" x14ac:dyDescent="0.25">
      <c r="A220" t="s">
        <v>290</v>
      </c>
      <c r="B220" t="s">
        <v>83</v>
      </c>
      <c r="C220" t="s">
        <v>18</v>
      </c>
      <c r="D220">
        <v>8</v>
      </c>
      <c r="E220">
        <v>53</v>
      </c>
      <c r="F220" t="s">
        <v>21</v>
      </c>
      <c r="G220" t="s">
        <v>19</v>
      </c>
      <c r="H220" t="s">
        <v>20</v>
      </c>
      <c r="I220" t="s">
        <v>20</v>
      </c>
      <c r="J220" t="s">
        <v>21</v>
      </c>
    </row>
    <row r="221" spans="1:10" x14ac:dyDescent="0.25">
      <c r="A221" t="s">
        <v>291</v>
      </c>
      <c r="B221" t="s">
        <v>83</v>
      </c>
      <c r="C221" t="s">
        <v>18</v>
      </c>
      <c r="D221">
        <v>8</v>
      </c>
      <c r="E221">
        <v>53</v>
      </c>
      <c r="F221" t="s">
        <v>21</v>
      </c>
      <c r="G221" t="s">
        <v>19</v>
      </c>
      <c r="H221" t="s">
        <v>20</v>
      </c>
      <c r="I221" t="s">
        <v>20</v>
      </c>
      <c r="J221" t="s">
        <v>21</v>
      </c>
    </row>
    <row r="222" spans="1:10" x14ac:dyDescent="0.25">
      <c r="A222" t="s">
        <v>292</v>
      </c>
      <c r="B222" t="s">
        <v>83</v>
      </c>
      <c r="C222" t="s">
        <v>18</v>
      </c>
      <c r="D222">
        <v>8</v>
      </c>
      <c r="E222">
        <v>53</v>
      </c>
      <c r="F222" t="s">
        <v>21</v>
      </c>
      <c r="G222" t="s">
        <v>19</v>
      </c>
      <c r="H222" t="s">
        <v>20</v>
      </c>
      <c r="I222" t="s">
        <v>20</v>
      </c>
      <c r="J222" t="s">
        <v>21</v>
      </c>
    </row>
    <row r="223" spans="1:10" x14ac:dyDescent="0.25">
      <c r="A223" t="s">
        <v>293</v>
      </c>
      <c r="B223" t="s">
        <v>83</v>
      </c>
      <c r="C223" t="s">
        <v>18</v>
      </c>
      <c r="D223">
        <v>8</v>
      </c>
      <c r="E223">
        <v>53</v>
      </c>
      <c r="F223" t="s">
        <v>21</v>
      </c>
      <c r="G223" t="s">
        <v>19</v>
      </c>
      <c r="H223" t="s">
        <v>20</v>
      </c>
      <c r="I223" t="s">
        <v>20</v>
      </c>
      <c r="J223" t="s">
        <v>21</v>
      </c>
    </row>
    <row r="224" spans="1:10" x14ac:dyDescent="0.25">
      <c r="A224" t="s">
        <v>294</v>
      </c>
      <c r="B224" t="s">
        <v>83</v>
      </c>
      <c r="C224" t="s">
        <v>18</v>
      </c>
      <c r="D224">
        <v>8</v>
      </c>
      <c r="E224">
        <v>53</v>
      </c>
      <c r="F224" t="s">
        <v>21</v>
      </c>
      <c r="G224" t="s">
        <v>19</v>
      </c>
      <c r="H224" t="s">
        <v>20</v>
      </c>
      <c r="I224" t="s">
        <v>20</v>
      </c>
      <c r="J224" t="s">
        <v>21</v>
      </c>
    </row>
    <row r="225" spans="1:10" x14ac:dyDescent="0.25">
      <c r="A225" t="s">
        <v>295</v>
      </c>
      <c r="B225" t="s">
        <v>83</v>
      </c>
      <c r="C225" t="s">
        <v>18</v>
      </c>
      <c r="D225">
        <v>8</v>
      </c>
      <c r="E225">
        <v>53</v>
      </c>
      <c r="F225" t="s">
        <v>21</v>
      </c>
      <c r="G225" t="s">
        <v>19</v>
      </c>
      <c r="H225" t="s">
        <v>20</v>
      </c>
      <c r="I225" t="s">
        <v>20</v>
      </c>
      <c r="J225" t="s">
        <v>21</v>
      </c>
    </row>
    <row r="226" spans="1:10" x14ac:dyDescent="0.25">
      <c r="A226" t="s">
        <v>296</v>
      </c>
      <c r="B226" t="s">
        <v>83</v>
      </c>
      <c r="C226" t="s">
        <v>18</v>
      </c>
      <c r="D226">
        <v>8</v>
      </c>
      <c r="E226">
        <v>53</v>
      </c>
      <c r="F226" t="s">
        <v>21</v>
      </c>
      <c r="G226" t="s">
        <v>19</v>
      </c>
      <c r="H226" t="s">
        <v>20</v>
      </c>
      <c r="I226" t="s">
        <v>20</v>
      </c>
      <c r="J226" t="s">
        <v>21</v>
      </c>
    </row>
    <row r="227" spans="1:10" x14ac:dyDescent="0.25">
      <c r="A227" t="s">
        <v>297</v>
      </c>
      <c r="B227" t="s">
        <v>83</v>
      </c>
      <c r="C227" t="s">
        <v>18</v>
      </c>
      <c r="D227">
        <v>8</v>
      </c>
      <c r="E227">
        <v>53</v>
      </c>
      <c r="F227" t="s">
        <v>21</v>
      </c>
      <c r="G227" t="s">
        <v>19</v>
      </c>
      <c r="H227" t="s">
        <v>20</v>
      </c>
      <c r="I227" t="s">
        <v>20</v>
      </c>
      <c r="J227" t="s">
        <v>21</v>
      </c>
    </row>
    <row r="228" spans="1:10" x14ac:dyDescent="0.25">
      <c r="A228" t="s">
        <v>298</v>
      </c>
      <c r="B228" t="s">
        <v>83</v>
      </c>
      <c r="C228" t="s">
        <v>18</v>
      </c>
      <c r="D228">
        <v>8</v>
      </c>
      <c r="E228">
        <v>53</v>
      </c>
      <c r="F228" t="s">
        <v>21</v>
      </c>
      <c r="G228" t="s">
        <v>19</v>
      </c>
      <c r="H228" t="s">
        <v>20</v>
      </c>
      <c r="I228" t="s">
        <v>20</v>
      </c>
      <c r="J228" t="s">
        <v>21</v>
      </c>
    </row>
    <row r="229" spans="1:10" x14ac:dyDescent="0.25">
      <c r="A229" t="s">
        <v>299</v>
      </c>
      <c r="B229" t="s">
        <v>83</v>
      </c>
      <c r="C229" t="s">
        <v>18</v>
      </c>
      <c r="D229">
        <v>8</v>
      </c>
      <c r="E229">
        <v>53</v>
      </c>
      <c r="F229" t="s">
        <v>21</v>
      </c>
      <c r="G229" t="s">
        <v>19</v>
      </c>
      <c r="H229" t="s">
        <v>20</v>
      </c>
      <c r="I229" t="s">
        <v>20</v>
      </c>
      <c r="J229" t="s">
        <v>21</v>
      </c>
    </row>
    <row r="230" spans="1:10" x14ac:dyDescent="0.25">
      <c r="A230" t="s">
        <v>300</v>
      </c>
      <c r="B230" t="s">
        <v>83</v>
      </c>
      <c r="C230" t="s">
        <v>18</v>
      </c>
      <c r="D230">
        <v>8</v>
      </c>
      <c r="E230">
        <v>53</v>
      </c>
      <c r="F230" t="s">
        <v>21</v>
      </c>
      <c r="G230" t="s">
        <v>19</v>
      </c>
      <c r="H230" t="s">
        <v>20</v>
      </c>
      <c r="I230" t="s">
        <v>20</v>
      </c>
      <c r="J230" t="s">
        <v>21</v>
      </c>
    </row>
    <row r="231" spans="1:10" x14ac:dyDescent="0.25">
      <c r="A231" t="s">
        <v>301</v>
      </c>
      <c r="B231" t="s">
        <v>83</v>
      </c>
      <c r="C231" t="s">
        <v>18</v>
      </c>
      <c r="D231">
        <v>8</v>
      </c>
      <c r="E231">
        <v>53</v>
      </c>
      <c r="F231" t="s">
        <v>21</v>
      </c>
      <c r="G231" t="s">
        <v>19</v>
      </c>
      <c r="H231" t="s">
        <v>20</v>
      </c>
      <c r="I231" t="s">
        <v>20</v>
      </c>
      <c r="J231" t="s">
        <v>21</v>
      </c>
    </row>
    <row r="232" spans="1:10" x14ac:dyDescent="0.25">
      <c r="A232" t="s">
        <v>302</v>
      </c>
      <c r="B232" t="s">
        <v>83</v>
      </c>
      <c r="C232" t="s">
        <v>18</v>
      </c>
      <c r="D232">
        <v>8</v>
      </c>
      <c r="E232">
        <v>53</v>
      </c>
      <c r="F232" t="s">
        <v>21</v>
      </c>
      <c r="G232" t="s">
        <v>19</v>
      </c>
      <c r="H232" t="s">
        <v>20</v>
      </c>
      <c r="I232" t="s">
        <v>20</v>
      </c>
      <c r="J232" t="s">
        <v>21</v>
      </c>
    </row>
    <row r="233" spans="1:10" x14ac:dyDescent="0.25">
      <c r="A233" t="s">
        <v>303</v>
      </c>
      <c r="B233" t="s">
        <v>83</v>
      </c>
      <c r="C233" t="s">
        <v>18</v>
      </c>
      <c r="D233">
        <v>8</v>
      </c>
      <c r="E233">
        <v>53</v>
      </c>
      <c r="F233" t="s">
        <v>21</v>
      </c>
      <c r="G233" t="s">
        <v>19</v>
      </c>
      <c r="H233" t="s">
        <v>20</v>
      </c>
      <c r="I233" t="s">
        <v>20</v>
      </c>
      <c r="J233" t="s">
        <v>21</v>
      </c>
    </row>
    <row r="234" spans="1:10" x14ac:dyDescent="0.25">
      <c r="A234" t="s">
        <v>304</v>
      </c>
      <c r="B234" t="s">
        <v>83</v>
      </c>
      <c r="C234" t="s">
        <v>18</v>
      </c>
      <c r="D234">
        <v>8</v>
      </c>
      <c r="E234">
        <v>53</v>
      </c>
      <c r="F234" t="s">
        <v>21</v>
      </c>
      <c r="G234" t="s">
        <v>19</v>
      </c>
      <c r="H234" t="s">
        <v>20</v>
      </c>
      <c r="I234" t="s">
        <v>20</v>
      </c>
      <c r="J234" t="s">
        <v>21</v>
      </c>
    </row>
    <row r="235" spans="1:10" x14ac:dyDescent="0.25">
      <c r="A235" t="s">
        <v>305</v>
      </c>
      <c r="B235" t="s">
        <v>83</v>
      </c>
      <c r="C235" t="s">
        <v>18</v>
      </c>
      <c r="D235">
        <v>8</v>
      </c>
      <c r="E235">
        <v>53</v>
      </c>
      <c r="F235" t="s">
        <v>21</v>
      </c>
      <c r="G235" t="s">
        <v>19</v>
      </c>
      <c r="H235" t="s">
        <v>20</v>
      </c>
      <c r="I235" t="s">
        <v>20</v>
      </c>
      <c r="J235" t="s">
        <v>21</v>
      </c>
    </row>
    <row r="236" spans="1:10" x14ac:dyDescent="0.25">
      <c r="A236" t="s">
        <v>306</v>
      </c>
      <c r="B236" t="s">
        <v>83</v>
      </c>
      <c r="C236" t="s">
        <v>18</v>
      </c>
      <c r="D236">
        <v>8</v>
      </c>
      <c r="E236">
        <v>53</v>
      </c>
      <c r="F236" t="s">
        <v>21</v>
      </c>
      <c r="G236" t="s">
        <v>19</v>
      </c>
      <c r="H236" t="s">
        <v>20</v>
      </c>
      <c r="I236" t="s">
        <v>20</v>
      </c>
      <c r="J236" t="s">
        <v>21</v>
      </c>
    </row>
    <row r="237" spans="1:10" x14ac:dyDescent="0.25">
      <c r="A237" t="s">
        <v>307</v>
      </c>
      <c r="B237" t="s">
        <v>83</v>
      </c>
      <c r="C237" t="s">
        <v>18</v>
      </c>
      <c r="D237">
        <v>8</v>
      </c>
      <c r="E237">
        <v>53</v>
      </c>
      <c r="F237" t="s">
        <v>21</v>
      </c>
      <c r="G237" t="s">
        <v>19</v>
      </c>
      <c r="H237" t="s">
        <v>20</v>
      </c>
      <c r="I237" t="s">
        <v>20</v>
      </c>
      <c r="J237" t="s">
        <v>21</v>
      </c>
    </row>
    <row r="238" spans="1:10" x14ac:dyDescent="0.25">
      <c r="A238" t="s">
        <v>308</v>
      </c>
      <c r="B238" t="s">
        <v>83</v>
      </c>
      <c r="C238" t="s">
        <v>18</v>
      </c>
      <c r="D238">
        <v>8</v>
      </c>
      <c r="E238">
        <v>53</v>
      </c>
      <c r="F238" t="s">
        <v>21</v>
      </c>
      <c r="G238" t="s">
        <v>19</v>
      </c>
      <c r="H238" t="s">
        <v>20</v>
      </c>
      <c r="I238" t="s">
        <v>20</v>
      </c>
      <c r="J238" t="s">
        <v>21</v>
      </c>
    </row>
    <row r="239" spans="1:10" x14ac:dyDescent="0.25">
      <c r="A239" t="s">
        <v>309</v>
      </c>
      <c r="B239" t="s">
        <v>83</v>
      </c>
      <c r="C239" t="s">
        <v>18</v>
      </c>
      <c r="D239">
        <v>8</v>
      </c>
      <c r="E239">
        <v>53</v>
      </c>
      <c r="F239" t="s">
        <v>21</v>
      </c>
      <c r="G239" t="s">
        <v>19</v>
      </c>
      <c r="H239" t="s">
        <v>20</v>
      </c>
      <c r="I239" t="s">
        <v>20</v>
      </c>
      <c r="J239" t="s">
        <v>21</v>
      </c>
    </row>
    <row r="240" spans="1:10" x14ac:dyDescent="0.25">
      <c r="A240" t="s">
        <v>310</v>
      </c>
      <c r="B240" t="s">
        <v>83</v>
      </c>
      <c r="C240" t="s">
        <v>18</v>
      </c>
      <c r="D240">
        <v>8</v>
      </c>
      <c r="E240">
        <v>53</v>
      </c>
      <c r="F240" t="s">
        <v>21</v>
      </c>
      <c r="G240" t="s">
        <v>19</v>
      </c>
      <c r="H240" t="s">
        <v>20</v>
      </c>
      <c r="I240" t="s">
        <v>20</v>
      </c>
      <c r="J240" t="s">
        <v>21</v>
      </c>
    </row>
    <row r="241" spans="1:10" x14ac:dyDescent="0.25">
      <c r="A241" t="s">
        <v>311</v>
      </c>
      <c r="B241" t="s">
        <v>83</v>
      </c>
      <c r="C241" t="s">
        <v>18</v>
      </c>
      <c r="D241">
        <v>8</v>
      </c>
      <c r="E241">
        <v>53</v>
      </c>
      <c r="F241" t="s">
        <v>21</v>
      </c>
      <c r="G241" t="s">
        <v>19</v>
      </c>
      <c r="H241" t="s">
        <v>20</v>
      </c>
      <c r="I241" t="s">
        <v>20</v>
      </c>
      <c r="J241" t="s">
        <v>21</v>
      </c>
    </row>
    <row r="242" spans="1:10" x14ac:dyDescent="0.25">
      <c r="A242" t="s">
        <v>312</v>
      </c>
      <c r="B242" t="s">
        <v>83</v>
      </c>
      <c r="C242" t="s">
        <v>18</v>
      </c>
      <c r="D242">
        <v>8</v>
      </c>
      <c r="E242">
        <v>53</v>
      </c>
      <c r="F242" t="s">
        <v>21</v>
      </c>
      <c r="G242" t="s">
        <v>19</v>
      </c>
      <c r="H242" t="s">
        <v>20</v>
      </c>
      <c r="I242" t="s">
        <v>20</v>
      </c>
      <c r="J242" t="s">
        <v>21</v>
      </c>
    </row>
    <row r="243" spans="1:10" x14ac:dyDescent="0.25">
      <c r="A243" t="s">
        <v>313</v>
      </c>
      <c r="B243" t="s">
        <v>83</v>
      </c>
      <c r="C243" t="s">
        <v>18</v>
      </c>
      <c r="D243">
        <v>8</v>
      </c>
      <c r="E243">
        <v>53</v>
      </c>
      <c r="F243" t="s">
        <v>21</v>
      </c>
      <c r="G243" t="s">
        <v>19</v>
      </c>
      <c r="H243" t="s">
        <v>20</v>
      </c>
      <c r="I243" t="s">
        <v>20</v>
      </c>
      <c r="J243" t="s">
        <v>21</v>
      </c>
    </row>
    <row r="244" spans="1:10" x14ac:dyDescent="0.25">
      <c r="A244" t="s">
        <v>314</v>
      </c>
      <c r="B244" t="s">
        <v>83</v>
      </c>
      <c r="C244" t="s">
        <v>18</v>
      </c>
      <c r="D244">
        <v>8</v>
      </c>
      <c r="E244">
        <v>53</v>
      </c>
      <c r="F244" t="s">
        <v>21</v>
      </c>
      <c r="G244" t="s">
        <v>19</v>
      </c>
      <c r="H244" t="s">
        <v>20</v>
      </c>
      <c r="I244" t="s">
        <v>20</v>
      </c>
      <c r="J244" t="s">
        <v>21</v>
      </c>
    </row>
    <row r="245" spans="1:10" x14ac:dyDescent="0.25">
      <c r="A245" t="s">
        <v>315</v>
      </c>
      <c r="B245" t="s">
        <v>316</v>
      </c>
      <c r="C245" t="s">
        <v>18</v>
      </c>
      <c r="D245">
        <v>2</v>
      </c>
      <c r="E245" t="s">
        <v>25</v>
      </c>
      <c r="F245" t="s">
        <v>25</v>
      </c>
      <c r="G245" t="s">
        <v>19</v>
      </c>
      <c r="H245" t="s">
        <v>20</v>
      </c>
      <c r="I245" t="s">
        <v>20</v>
      </c>
      <c r="J245" t="s">
        <v>26</v>
      </c>
    </row>
    <row r="246" spans="1:10" x14ac:dyDescent="0.25">
      <c r="A246" t="s">
        <v>317</v>
      </c>
      <c r="B246" t="s">
        <v>24</v>
      </c>
      <c r="C246" t="s">
        <v>18</v>
      </c>
      <c r="D246">
        <v>16</v>
      </c>
      <c r="E246" t="s">
        <v>25</v>
      </c>
      <c r="F246" t="s">
        <v>25</v>
      </c>
      <c r="G246" t="s">
        <v>19</v>
      </c>
      <c r="H246" t="s">
        <v>20</v>
      </c>
      <c r="I246" t="s">
        <v>20</v>
      </c>
      <c r="J246" t="s">
        <v>26</v>
      </c>
    </row>
    <row r="247" spans="1:10" x14ac:dyDescent="0.25">
      <c r="A247" t="s">
        <v>318</v>
      </c>
      <c r="B247" t="s">
        <v>97</v>
      </c>
      <c r="C247" t="s">
        <v>18</v>
      </c>
      <c r="D247">
        <v>8</v>
      </c>
      <c r="E247" t="s">
        <v>25</v>
      </c>
      <c r="F247" t="s">
        <v>25</v>
      </c>
      <c r="G247" t="s">
        <v>19</v>
      </c>
      <c r="H247" t="s">
        <v>20</v>
      </c>
      <c r="I247" t="s">
        <v>20</v>
      </c>
      <c r="J247" t="s">
        <v>21</v>
      </c>
    </row>
    <row r="248" spans="1:10" x14ac:dyDescent="0.25">
      <c r="A248" t="s">
        <v>319</v>
      </c>
      <c r="B248" t="s">
        <v>69</v>
      </c>
      <c r="C248" t="s">
        <v>18</v>
      </c>
      <c r="D248">
        <v>8</v>
      </c>
      <c r="E248">
        <v>19</v>
      </c>
      <c r="F248">
        <v>0</v>
      </c>
      <c r="G248" t="s">
        <v>19</v>
      </c>
      <c r="H248" t="s">
        <v>20</v>
      </c>
      <c r="I248" t="s">
        <v>20</v>
      </c>
      <c r="J248" t="s">
        <v>21</v>
      </c>
    </row>
    <row r="249" spans="1:10" x14ac:dyDescent="0.25">
      <c r="A249" t="s">
        <v>320</v>
      </c>
      <c r="B249" t="s">
        <v>24</v>
      </c>
      <c r="C249" t="s">
        <v>18</v>
      </c>
      <c r="D249">
        <v>80</v>
      </c>
      <c r="E249" t="s">
        <v>25</v>
      </c>
      <c r="F249" t="s">
        <v>25</v>
      </c>
      <c r="G249" t="s">
        <v>19</v>
      </c>
      <c r="H249" t="s">
        <v>20</v>
      </c>
      <c r="I249" t="s">
        <v>20</v>
      </c>
      <c r="J249" t="s">
        <v>26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Kumar</dc:creator>
  <cp:lastModifiedBy>Vasanth Kumar</cp:lastModifiedBy>
  <dcterms:created xsi:type="dcterms:W3CDTF">2015-06-05T18:17:20Z</dcterms:created>
  <dcterms:modified xsi:type="dcterms:W3CDTF">2026-04-15T03:36:39Z</dcterms:modified>
</cp:coreProperties>
</file>