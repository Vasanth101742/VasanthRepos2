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orporate Actions" sheetId="3" r:id="rId1"/>
    <sheet name="Sheet5" sheetId="7" r:id="rId2"/>
    <sheet name="BoardMeeting" sheetId="4" r:id="rId3"/>
    <sheet name="Dividend" sheetId="5" r:id="rId4"/>
    <sheet name="Spinoff" sheetId="1" r:id="rId5"/>
    <sheet name="Amalgamation" sheetId="6" r:id="rId6"/>
  </sheets>
  <calcPr calcId="152511"/>
</workbook>
</file>

<file path=xl/calcChain.xml><?xml version="1.0" encoding="utf-8"?>
<calcChain xmlns="http://schemas.openxmlformats.org/spreadsheetml/2006/main">
  <c r="H2" i="5" l="1"/>
  <c r="J2" i="5" s="1"/>
  <c r="K2" i="5" s="1"/>
  <c r="H3" i="5"/>
  <c r="J3" i="5" s="1"/>
  <c r="K3" i="5" s="1"/>
</calcChain>
</file>

<file path=xl/sharedStrings.xml><?xml version="1.0" encoding="utf-8"?>
<sst xmlns="http://schemas.openxmlformats.org/spreadsheetml/2006/main" count="1286" uniqueCount="561">
  <si>
    <t>Security Code</t>
  </si>
  <si>
    <t>Security Name</t>
  </si>
  <si>
    <t>Ex Date</t>
  </si>
  <si>
    <t>Purpose</t>
  </si>
  <si>
    <t>Record Date</t>
  </si>
  <si>
    <t>BC Start Date</t>
  </si>
  <si>
    <t>BC End Date</t>
  </si>
  <si>
    <t>ND Start Date</t>
  </si>
  <si>
    <t>ND End Date</t>
  </si>
  <si>
    <t>Actual Payment Date</t>
  </si>
  <si>
    <t>AARTIIND</t>
  </si>
  <si>
    <t>-</t>
  </si>
  <si>
    <t>BHARATFIN</t>
  </si>
  <si>
    <t>KAKATCEM</t>
  </si>
  <si>
    <t>Dividend - Rs. - 3.0000</t>
  </si>
  <si>
    <t>LAURUSLABS</t>
  </si>
  <si>
    <t>Dividend - Rs. - 1.5000</t>
  </si>
  <si>
    <t>MAYURUNIQ</t>
  </si>
  <si>
    <t>Final Dividend - Rs. - 0.2500</t>
  </si>
  <si>
    <t>SUNDARMFIN</t>
  </si>
  <si>
    <t>Final Dividend - Rs. - 7.5000</t>
  </si>
  <si>
    <t>Special Dividend - Rs. - 5.0000</t>
  </si>
  <si>
    <t>Dividend - Rs. - 2.5000</t>
  </si>
  <si>
    <t>APCOTEXIND</t>
  </si>
  <si>
    <t>AVANTEL</t>
  </si>
  <si>
    <t>Final Dividend - Rs. - 2.0000</t>
  </si>
  <si>
    <t>AXISBANK</t>
  </si>
  <si>
    <t>Final Dividend - Rs. - 1.0000</t>
  </si>
  <si>
    <t>BALKRISIND</t>
  </si>
  <si>
    <t>BASF</t>
  </si>
  <si>
    <t>Final Dividend - Rs. - 3.0000</t>
  </si>
  <si>
    <t>Special Dividend - Rs. - 2.0000</t>
  </si>
  <si>
    <t>HDFCAMC</t>
  </si>
  <si>
    <t>Final Dividend - Rs. - 12.0000</t>
  </si>
  <si>
    <t>SASKEN</t>
  </si>
  <si>
    <t>Buy Back of Shares</t>
  </si>
  <si>
    <t>STARCEMENT</t>
  </si>
  <si>
    <t>SYMPHONY</t>
  </si>
  <si>
    <t>Final Dividend - Rs. - 1.5000</t>
  </si>
  <si>
    <t>TATASPONGE</t>
  </si>
  <si>
    <t>Dividend - Rs. - 12.5000</t>
  </si>
  <si>
    <t>TATASTEEL</t>
  </si>
  <si>
    <t>Dividend - Rs. - 13.0000</t>
  </si>
  <si>
    <t>WELCORP</t>
  </si>
  <si>
    <t>Final Dividend - Rs. - 0.5000</t>
  </si>
  <si>
    <t>ATFL</t>
  </si>
  <si>
    <t>JSWSTEEL</t>
  </si>
  <si>
    <t>Final Dividend - Rs. - 4.0000</t>
  </si>
  <si>
    <t>TATAELXSI</t>
  </si>
  <si>
    <t>Dividend - Rs. - 2.0000</t>
  </si>
  <si>
    <t>ICICIPRULI</t>
  </si>
  <si>
    <t>Dividend - Rs. - 0.2500</t>
  </si>
  <si>
    <t>Dividend - Rs. - 0.6000</t>
  </si>
  <si>
    <t>LGBBROSLTD</t>
  </si>
  <si>
    <t>Final Dividend - Rs. - 0.6000</t>
  </si>
  <si>
    <t>Final Dividend - Rs. - 1.2000</t>
  </si>
  <si>
    <t>AMARAJABAT</t>
  </si>
  <si>
    <t>ATUL</t>
  </si>
  <si>
    <t>Dividend - Rs. - 15.0000</t>
  </si>
  <si>
    <t>BAJAJ-AUTO</t>
  </si>
  <si>
    <t>BAJAJFINSV</t>
  </si>
  <si>
    <t>BAJAJHLDNG</t>
  </si>
  <si>
    <t>BAJFINANCE</t>
  </si>
  <si>
    <t>Dividend - Rs. - 6.0000</t>
  </si>
  <si>
    <t>Final Dividend - Rs. - 2.5000</t>
  </si>
  <si>
    <t>GLAXO</t>
  </si>
  <si>
    <t>KIRLFER</t>
  </si>
  <si>
    <t>MPHASIS</t>
  </si>
  <si>
    <t>PERSISTENT</t>
  </si>
  <si>
    <t>SWARAJENG</t>
  </si>
  <si>
    <t>Dividend - Rs. - 0.3000</t>
  </si>
  <si>
    <t>LAXMIMACH</t>
  </si>
  <si>
    <t>DELTACORP</t>
  </si>
  <si>
    <t>DRREDDY</t>
  </si>
  <si>
    <t>Final Dividend - Rs. - 20.0000</t>
  </si>
  <si>
    <t>Final Dividend - Rs. - 6.0000</t>
  </si>
  <si>
    <t>INDAG</t>
  </si>
  <si>
    <t>M&amp;MFIN</t>
  </si>
  <si>
    <t>ORIENTHOT</t>
  </si>
  <si>
    <t>Dividend - Rs. - 1.0000</t>
  </si>
  <si>
    <t>EVERESTIND</t>
  </si>
  <si>
    <t>Dividend - Rs. - 7.5000</t>
  </si>
  <si>
    <t>Dividend - Rs. - 1.8000</t>
  </si>
  <si>
    <t>HEROMOTOCO</t>
  </si>
  <si>
    <t>PVR</t>
  </si>
  <si>
    <t>Final Dividend - Rs. - 4.5000</t>
  </si>
  <si>
    <t>SAGARSOFT</t>
  </si>
  <si>
    <t>SAGCEM</t>
  </si>
  <si>
    <t>TCS</t>
  </si>
  <si>
    <t>DELTRON</t>
  </si>
  <si>
    <t>Final Dividend - Rs. - 0.3000</t>
  </si>
  <si>
    <t>EIMCOELECO</t>
  </si>
  <si>
    <t>Final Dividend - Rs. - 1.4000</t>
  </si>
  <si>
    <t>MAHEPC</t>
  </si>
  <si>
    <t>PTL</t>
  </si>
  <si>
    <t>RBL</t>
  </si>
  <si>
    <t>MAHLIFE</t>
  </si>
  <si>
    <t>ORIENTCQ</t>
  </si>
  <si>
    <t>Final Dividend - Rs. - 8.0000</t>
  </si>
  <si>
    <t>ADCINDIA</t>
  </si>
  <si>
    <t>PNBHOUSING</t>
  </si>
  <si>
    <t>Final Dividend - Rs. - 1.2500</t>
  </si>
  <si>
    <t>ICICIBANK</t>
  </si>
  <si>
    <t>NOCIL</t>
  </si>
  <si>
    <t>Dividend - Rs. - 0.7500</t>
  </si>
  <si>
    <t>Industry</t>
  </si>
  <si>
    <t>Meeting Date</t>
  </si>
  <si>
    <t>DHRUV</t>
  </si>
  <si>
    <t>Construction &amp; Engineering</t>
  </si>
  <si>
    <t>General</t>
  </si>
  <si>
    <t>ERIS</t>
  </si>
  <si>
    <t>Pharmaceuticals</t>
  </si>
  <si>
    <t>INSOE</t>
  </si>
  <si>
    <t>IT Consulting &amp; Software</t>
  </si>
  <si>
    <t>MISHTANN</t>
  </si>
  <si>
    <t>Other Agricultural Products</t>
  </si>
  <si>
    <t>NACLIND</t>
  </si>
  <si>
    <t>Agrochemicals</t>
  </si>
  <si>
    <t>POWERGRID</t>
  </si>
  <si>
    <t>Electric Utilities</t>
  </si>
  <si>
    <t>SDBL</t>
  </si>
  <si>
    <t>Breweries &amp; Distilleries</t>
  </si>
  <si>
    <t>ZUARI</t>
  </si>
  <si>
    <t>Fertilizers</t>
  </si>
  <si>
    <t>ASISL</t>
  </si>
  <si>
    <t>Transportation - Logistics</t>
  </si>
  <si>
    <t>A.G.M.;General</t>
  </si>
  <si>
    <t>EVANS</t>
  </si>
  <si>
    <t>Misc.Commercial Services</t>
  </si>
  <si>
    <t>Audited Results;Dividend</t>
  </si>
  <si>
    <t>GMBREW</t>
  </si>
  <si>
    <t>Quarterly Results</t>
  </si>
  <si>
    <t>MANOMAY</t>
  </si>
  <si>
    <t>Textiles</t>
  </si>
  <si>
    <t>SUNLOC</t>
  </si>
  <si>
    <t>UNITECH</t>
  </si>
  <si>
    <t>Realty</t>
  </si>
  <si>
    <t>Audited Results</t>
  </si>
  <si>
    <t>AGCNET</t>
  </si>
  <si>
    <t>BCLIL</t>
  </si>
  <si>
    <t>Edible Oils</t>
  </si>
  <si>
    <t>A.G.M.</t>
  </si>
  <si>
    <t>EMMESSA</t>
  </si>
  <si>
    <t>Commodity Chemicals</t>
  </si>
  <si>
    <t>MOTILALOFS</t>
  </si>
  <si>
    <t>Finance (including NBFCs)</t>
  </si>
  <si>
    <t>Preferential Issue of shares</t>
  </si>
  <si>
    <t>PRSMJOHNSN</t>
  </si>
  <si>
    <t>Cement &amp; Cement Products</t>
  </si>
  <si>
    <t>SANKHYAIN</t>
  </si>
  <si>
    <t>IT Software Products</t>
  </si>
  <si>
    <t>TRIPR</t>
  </si>
  <si>
    <t>VISHALBL</t>
  </si>
  <si>
    <t>Industrial Machinery</t>
  </si>
  <si>
    <t>ACESOFT</t>
  </si>
  <si>
    <t>GENNEX</t>
  </si>
  <si>
    <t>JYOTISTRUC</t>
  </si>
  <si>
    <t>Heavy Electrical Equipment</t>
  </si>
  <si>
    <t>Company name</t>
  </si>
  <si>
    <t>Announcement Date Time</t>
  </si>
  <si>
    <t>PADALPO</t>
  </si>
  <si>
    <t>Plastic Products</t>
  </si>
  <si>
    <t>SUPERHOUSE</t>
  </si>
  <si>
    <t>Footwear</t>
  </si>
  <si>
    <t>WELLESLEY</t>
  </si>
  <si>
    <t>AGOL</t>
  </si>
  <si>
    <t>Other Apparels &amp; Accessories</t>
  </si>
  <si>
    <t>ARISINT</t>
  </si>
  <si>
    <t>GOACARBON</t>
  </si>
  <si>
    <t>Refineries/ Petro-Products</t>
  </si>
  <si>
    <t>HATHWAYB</t>
  </si>
  <si>
    <t>Broadcasting &amp; Cable TV</t>
  </si>
  <si>
    <t>LATENT</t>
  </si>
  <si>
    <t>Voluntary Delisting of Shares</t>
  </si>
  <si>
    <t>MASTERTR</t>
  </si>
  <si>
    <t>Stock  Split</t>
  </si>
  <si>
    <t>PRIMIND</t>
  </si>
  <si>
    <t>SSWL</t>
  </si>
  <si>
    <t>Auto Parts &amp; Equipment</t>
  </si>
  <si>
    <t>SWELECTES</t>
  </si>
  <si>
    <t>Bonus issue;General</t>
  </si>
  <si>
    <t>EXCEL</t>
  </si>
  <si>
    <t>BPO/KPO</t>
  </si>
  <si>
    <t>MAPROIN</t>
  </si>
  <si>
    <t>Interim Dividend;Quarterly Results</t>
  </si>
  <si>
    <t>GAGAN</t>
  </si>
  <si>
    <t>Integrated Oil &amp; Gas</t>
  </si>
  <si>
    <t>HFCL</t>
  </si>
  <si>
    <t>Telecom Cables</t>
  </si>
  <si>
    <t>IKAB</t>
  </si>
  <si>
    <t>Other Financial Services</t>
  </si>
  <si>
    <t>OASISEC</t>
  </si>
  <si>
    <t>PCS</t>
  </si>
  <si>
    <t>Computer Hardware</t>
  </si>
  <si>
    <t>3IINFOTECH</t>
  </si>
  <si>
    <t>Telecom Equipment</t>
  </si>
  <si>
    <t>Electronic Components</t>
  </si>
  <si>
    <t>HATHWAY</t>
  </si>
  <si>
    <t>ICSL</t>
  </si>
  <si>
    <t>Consulting Services</t>
  </si>
  <si>
    <t>INFY*</t>
  </si>
  <si>
    <t>General;Quarterly Results</t>
  </si>
  <si>
    <t>KTKBANK</t>
  </si>
  <si>
    <t>Banks</t>
  </si>
  <si>
    <t>OLPCL</t>
  </si>
  <si>
    <t xml:space="preserve">Gift Articles Toys &amp; Cards </t>
  </si>
  <si>
    <t>PARINFRA</t>
  </si>
  <si>
    <t>Furniture Furnishing Paints</t>
  </si>
  <si>
    <t>RIGASUG</t>
  </si>
  <si>
    <t>Sugar</t>
  </si>
  <si>
    <t>RUBFILA</t>
  </si>
  <si>
    <t>Auto Tyres &amp; Rubber Products</t>
  </si>
  <si>
    <t>Issue Of Warrants</t>
  </si>
  <si>
    <t>DHFL</t>
  </si>
  <si>
    <t xml:space="preserve">Housing Finance </t>
  </si>
  <si>
    <t>BEPL</t>
  </si>
  <si>
    <t>Specialty Chemicals</t>
  </si>
  <si>
    <t>ASAL</t>
  </si>
  <si>
    <t>COCHINM</t>
  </si>
  <si>
    <t>Asset Management Cos.</t>
  </si>
  <si>
    <t>MCX</t>
  </si>
  <si>
    <t>Investment Companies</t>
  </si>
  <si>
    <t>MSTC</t>
  </si>
  <si>
    <t>Comm.Trading  &amp; Distribution</t>
  </si>
  <si>
    <t>Final Dividend</t>
  </si>
  <si>
    <t>STEELCO</t>
  </si>
  <si>
    <t>Iron &amp; Steel/Interm.Products</t>
  </si>
  <si>
    <t>DUNCANENG</t>
  </si>
  <si>
    <t>GMLM</t>
  </si>
  <si>
    <t>Audited Results;Quarterly Results</t>
  </si>
  <si>
    <t>WIPRO</t>
  </si>
  <si>
    <t>8KMILES</t>
  </si>
  <si>
    <t>Internet Software &amp; Services</t>
  </si>
  <si>
    <t>COLPAL</t>
  </si>
  <si>
    <t>Personal Products</t>
  </si>
  <si>
    <t>CYIENT</t>
  </si>
  <si>
    <t>TRIDENT</t>
  </si>
  <si>
    <t>AMAL</t>
  </si>
  <si>
    <t>DABUR</t>
  </si>
  <si>
    <t>ICICIGI</t>
  </si>
  <si>
    <t>General Insurance</t>
  </si>
  <si>
    <t>JMFINANCIL</t>
  </si>
  <si>
    <t>Holding Companies</t>
  </si>
  <si>
    <t>MAHINDCIE</t>
  </si>
  <si>
    <t>Other Industrial Products</t>
  </si>
  <si>
    <t>PHILIPCARB</t>
  </si>
  <si>
    <t>Carbon Black</t>
  </si>
  <si>
    <t>ANUBHAV</t>
  </si>
  <si>
    <t>HDFCBANK</t>
  </si>
  <si>
    <t>HMVL</t>
  </si>
  <si>
    <t>Publishing</t>
  </si>
  <si>
    <t>ISEC</t>
  </si>
  <si>
    <t>TVSMOTOR</t>
  </si>
  <si>
    <t>2/3 Wheelers</t>
  </si>
  <si>
    <t>ARTSONEN</t>
  </si>
  <si>
    <t>HDFCLIFE</t>
  </si>
  <si>
    <t>Life Insurance</t>
  </si>
  <si>
    <t>HTMEDIA</t>
  </si>
  <si>
    <t>NIITTECH</t>
  </si>
  <si>
    <t>Hotels</t>
  </si>
  <si>
    <t>SBILIFE</t>
  </si>
  <si>
    <t>SUNCLAYLTD</t>
  </si>
  <si>
    <t>CIGNITI</t>
  </si>
  <si>
    <t>Specialty Retail</t>
  </si>
  <si>
    <t>ELECON</t>
  </si>
  <si>
    <t>GICHSGFIN</t>
  </si>
  <si>
    <t>KPITTECH</t>
  </si>
  <si>
    <t>GHCL</t>
  </si>
  <si>
    <t>HYPERSOFT</t>
  </si>
  <si>
    <t>KANSAINER</t>
  </si>
  <si>
    <t>KHAITANELE</t>
  </si>
  <si>
    <t>Household Appliances</t>
  </si>
  <si>
    <t>NAVINFLUOR</t>
  </si>
  <si>
    <t>RANEENGINE</t>
  </si>
  <si>
    <t>SPECMKT</t>
  </si>
  <si>
    <t>TCI</t>
  </si>
  <si>
    <t>Surface Transportation</t>
  </si>
  <si>
    <t>ANANDPROJ</t>
  </si>
  <si>
    <t>NDTV</t>
  </si>
  <si>
    <t>A.G.M.;Quarterly Results</t>
  </si>
  <si>
    <t>TCIDEVELOP</t>
  </si>
  <si>
    <t>TCIEXP</t>
  </si>
  <si>
    <t>DGCONTENT</t>
  </si>
  <si>
    <t>VENLONENT</t>
  </si>
  <si>
    <t>GSKCONS</t>
  </si>
  <si>
    <t>Packaged Foods</t>
  </si>
  <si>
    <t>LGBFORGE</t>
  </si>
  <si>
    <t>MAFATIND</t>
  </si>
  <si>
    <t>MAGMA</t>
  </si>
  <si>
    <t>MAGNAELQ</t>
  </si>
  <si>
    <t>MARICO</t>
  </si>
  <si>
    <t>CAMLINFINE</t>
  </si>
  <si>
    <t>ELGIEQUIP</t>
  </si>
  <si>
    <t>EXIDEIND</t>
  </si>
  <si>
    <t>FSL</t>
  </si>
  <si>
    <t>NESTLEIND</t>
  </si>
  <si>
    <t>TIMEX</t>
  </si>
  <si>
    <t>JKCEMENT</t>
  </si>
  <si>
    <t>PADAMCO</t>
  </si>
  <si>
    <t>BERGEPAINT</t>
  </si>
  <si>
    <t>ABFRL</t>
  </si>
  <si>
    <t>Department Stores</t>
  </si>
  <si>
    <t>ZENSARTECH</t>
  </si>
  <si>
    <t>MATRIMONY</t>
  </si>
  <si>
    <t>RAMCOCEM</t>
  </si>
  <si>
    <t>RAMCOIND</t>
  </si>
  <si>
    <t>Construction Materials</t>
  </si>
  <si>
    <t>RAMCOSYS</t>
  </si>
  <si>
    <t>SLSTLQ</t>
  </si>
  <si>
    <t>SUNDRMFAST</t>
  </si>
  <si>
    <t>UGROCAP</t>
  </si>
  <si>
    <t>ENDURANCE</t>
  </si>
  <si>
    <t>HEXAWARE</t>
  </si>
  <si>
    <t>MUKANDENGG</t>
  </si>
  <si>
    <t>MUKANDLTD</t>
  </si>
  <si>
    <t>NOVARTIND</t>
  </si>
  <si>
    <t>PANAENERG</t>
  </si>
  <si>
    <t>Non-Durable Household Prod.</t>
  </si>
  <si>
    <t>RANEHOLDIN</t>
  </si>
  <si>
    <t>BRITANNIA</t>
  </si>
  <si>
    <t>ROSSELLIND</t>
  </si>
  <si>
    <t>Tea &amp; Coffee</t>
  </si>
  <si>
    <t>SHREECEM</t>
  </si>
  <si>
    <t>TTKHEALTH</t>
  </si>
  <si>
    <t>TVTODAY</t>
  </si>
  <si>
    <t>LAOPALA</t>
  </si>
  <si>
    <t>Houseware</t>
  </si>
  <si>
    <t>SALZER</t>
  </si>
  <si>
    <t>Other Elect.Equip./ Prod.</t>
  </si>
  <si>
    <t>YASHPPR</t>
  </si>
  <si>
    <t>Paper &amp; Paper Products</t>
  </si>
  <si>
    <t>EMBASSY</t>
  </si>
  <si>
    <t>GVKPIL</t>
  </si>
  <si>
    <t>KIRLOSBROS</t>
  </si>
  <si>
    <t>MANGCHEFER</t>
  </si>
  <si>
    <t>MOTHERSUMI</t>
  </si>
  <si>
    <t>POLYSPIN</t>
  </si>
  <si>
    <t>Containers &amp; Packaging</t>
  </si>
  <si>
    <t>TIMKEN</t>
  </si>
  <si>
    <t>TTKPRESTIG</t>
  </si>
  <si>
    <t>AMRUTANJAN</t>
  </si>
  <si>
    <t>APOLLOHOSP</t>
  </si>
  <si>
    <t>Healthcare Facilities</t>
  </si>
  <si>
    <t>BOSCHLTD</t>
  </si>
  <si>
    <t>CMMHOSP</t>
  </si>
  <si>
    <t>Healthcare Services</t>
  </si>
  <si>
    <t>A.G.M.;General;Quarterly Results</t>
  </si>
  <si>
    <t>DAICHI</t>
  </si>
  <si>
    <t>EIHOTEL</t>
  </si>
  <si>
    <t>ESABINDIA</t>
  </si>
  <si>
    <t>Other Industrial Goods</t>
  </si>
  <si>
    <t>HBLPOWER</t>
  </si>
  <si>
    <t>INDOCO</t>
  </si>
  <si>
    <t>MINDTECK</t>
  </si>
  <si>
    <t>NAUKRI</t>
  </si>
  <si>
    <t>Internet &amp; Catalogue Retail</t>
  </si>
  <si>
    <t>NIRLON</t>
  </si>
  <si>
    <t>RAIN</t>
  </si>
  <si>
    <t>Petrochemicals</t>
  </si>
  <si>
    <t>RAJPALAYAM</t>
  </si>
  <si>
    <t>RTSPOWR</t>
  </si>
  <si>
    <t>SONALAD</t>
  </si>
  <si>
    <t>FINCABLES</t>
  </si>
  <si>
    <t>GMM</t>
  </si>
  <si>
    <t>HISARSP</t>
  </si>
  <si>
    <t>KANCOTEA</t>
  </si>
  <si>
    <t>RASRESOR</t>
  </si>
  <si>
    <t>ZUARIGLOB</t>
  </si>
  <si>
    <t>PGHH</t>
  </si>
  <si>
    <t>Audited Results;Final Dividend</t>
  </si>
  <si>
    <t>GILLETTE</t>
  </si>
  <si>
    <t>KENNAMET</t>
  </si>
  <si>
    <t>Company Name</t>
  </si>
  <si>
    <t xml:space="preserve"> BC End Date	</t>
  </si>
  <si>
    <t>AARTI INDUSTRIES LTD.</t>
  </si>
  <si>
    <t xml:space="preserve">Spin Off </t>
  </si>
  <si>
    <t>Bharat Financial Inclusion Ltd</t>
  </si>
  <si>
    <t xml:space="preserve">Amalgamation </t>
  </si>
  <si>
    <t>KAKATIYA CEMENT SUGAR &amp; INDUSTRIES LTD.</t>
  </si>
  <si>
    <t>Laurus Labs Ltd</t>
  </si>
  <si>
    <t>MAYUR UNIQUOTERS LTD.-$</t>
  </si>
  <si>
    <t>SUNDARAM FINANCE LTD.</t>
  </si>
  <si>
    <t>APCOTEX INDUSTRIES LTD.</t>
  </si>
  <si>
    <t>Stock  Split From Rs.5/- to Rs.2/-</t>
  </si>
  <si>
    <t>AXIS BANK LTD.</t>
  </si>
  <si>
    <t>BALKRISHNA INDUSTRIES LTD.-$</t>
  </si>
  <si>
    <t>BASF INDIA LTD.</t>
  </si>
  <si>
    <t>HDFC Asset Management Company Ltd</t>
  </si>
  <si>
    <t>Sasken Technologies Ltd</t>
  </si>
  <si>
    <t xml:space="preserve">Buy Back of Shares </t>
  </si>
  <si>
    <t>Star Cement Ltd</t>
  </si>
  <si>
    <t>Symphony Limited</t>
  </si>
  <si>
    <t>TATA SPONGE IRON LTD.</t>
  </si>
  <si>
    <t>TATA STEEL LTD.</t>
  </si>
  <si>
    <t>Welspun Corp Limited</t>
  </si>
  <si>
    <t>Dividend - Rs. - 0.4000</t>
  </si>
  <si>
    <t>Dividend - Rs. - 1.7000</t>
  </si>
  <si>
    <t>Dividend - Rs. - 1.2000</t>
  </si>
  <si>
    <t>Dividend - Rs. - 0.7000</t>
  </si>
  <si>
    <t>Dividend - Rs. - 0.5000</t>
  </si>
  <si>
    <t>Final Dividend - Rs. - 0.2000</t>
  </si>
  <si>
    <t>Dividend - Rs. - 0.0500</t>
  </si>
  <si>
    <t>HINDALCO</t>
  </si>
  <si>
    <t>HINDALCO INDUSTRIES LTD.</t>
  </si>
  <si>
    <t>MARUTI</t>
  </si>
  <si>
    <t>MARUTI SUZUKI INDIA LTD.</t>
  </si>
  <si>
    <t>Final Dividend - Rs. - 80.0000</t>
  </si>
  <si>
    <t>MUNJALSHOW</t>
  </si>
  <si>
    <t>MUNJAL SHOWA LTD.</t>
  </si>
  <si>
    <t>PNBGILTS</t>
  </si>
  <si>
    <t>PNB GILTS LTD.</t>
  </si>
  <si>
    <t>LICHSGFIN</t>
  </si>
  <si>
    <t>LIC HOUSING FINANCE LTD.</t>
  </si>
  <si>
    <t>Dividend - Rs. - 7.6000</t>
  </si>
  <si>
    <t>ALKEM</t>
  </si>
  <si>
    <t>Alkem Laboratories Ltd</t>
  </si>
  <si>
    <t>HSIL</t>
  </si>
  <si>
    <t>HSIL LTD.</t>
  </si>
  <si>
    <t>SMLT</t>
  </si>
  <si>
    <t>Sarthak Metals Ltd</t>
  </si>
  <si>
    <t>DHUNINV</t>
  </si>
  <si>
    <t>DHUNSERI INVESTMENTS LTD.</t>
  </si>
  <si>
    <t>MUKTAARTS</t>
  </si>
  <si>
    <t>MUKTA ARTS LTD.</t>
  </si>
  <si>
    <t>BPCL</t>
  </si>
  <si>
    <t>BHARAT PETROLEUM CORPORATION LTD.</t>
  </si>
  <si>
    <t>ECLERX</t>
  </si>
  <si>
    <t>ECLERX SERVICES LTD.</t>
  </si>
  <si>
    <t>GRANULES</t>
  </si>
  <si>
    <t>GRANULES INDIA LTD.-$</t>
  </si>
  <si>
    <t>HERITGFOOD</t>
  </si>
  <si>
    <t>Heritage Foods Limited</t>
  </si>
  <si>
    <t>NIRLON LTD.</t>
  </si>
  <si>
    <t>AKCAPIT</t>
  </si>
  <si>
    <t>A.K.CAPITAL SERVICES LTD.</t>
  </si>
  <si>
    <t>DOLLAR</t>
  </si>
  <si>
    <t>Dollar Industries Ltd</t>
  </si>
  <si>
    <t>INDOCO REMEDIES LTD.</t>
  </si>
  <si>
    <t>INDOSTAR</t>
  </si>
  <si>
    <t>Indostar Capital Finance Ltd</t>
  </si>
  <si>
    <t>KSE</t>
  </si>
  <si>
    <t>KSE LTD.-$</t>
  </si>
  <si>
    <t>MUNJALAU</t>
  </si>
  <si>
    <t>MUNJAL AUTO INDUSTRIES LTD.</t>
  </si>
  <si>
    <t>NEAGI</t>
  </si>
  <si>
    <t>NEELAMALAI AGRO INDUSTRIES LTD.</t>
  </si>
  <si>
    <t>TIDEWATER</t>
  </si>
  <si>
    <t>TIDE WATER OIL (INDIA) LTD.</t>
  </si>
  <si>
    <t>Final Dividend - Rs. - 75.0000</t>
  </si>
  <si>
    <t>DHAMPURSUG</t>
  </si>
  <si>
    <t>DHAMPUR SUGAR MILLS LTD.</t>
  </si>
  <si>
    <t>PPAP</t>
  </si>
  <si>
    <t>PPAP Automotive Limited</t>
  </si>
  <si>
    <t>CENTURYPLY</t>
  </si>
  <si>
    <t>CENTURY PLYBOARDS (I) LTD.-$</t>
  </si>
  <si>
    <t>INTLCOMBQ</t>
  </si>
  <si>
    <t>INTERNATIONAL COMBUSTION (INDIA) LTD.</t>
  </si>
  <si>
    <t>KANORICHEM</t>
  </si>
  <si>
    <t>KANORIA CHEMICALS &amp; INDUSTRIES LTD.</t>
  </si>
  <si>
    <t>SURYAROSNI</t>
  </si>
  <si>
    <t>SURYA ROSHNI LTD.</t>
  </si>
  <si>
    <t>DWARKESH</t>
  </si>
  <si>
    <t>DWARIKESH SUGAR INDUSTRIES LTD.</t>
  </si>
  <si>
    <t>SAVERA</t>
  </si>
  <si>
    <t>SAVERA INDUSTRIES LTD.</t>
  </si>
  <si>
    <t>ECOPLAST</t>
  </si>
  <si>
    <t>ECOPLAST LTD.-$</t>
  </si>
  <si>
    <t>GRAUWEIL</t>
  </si>
  <si>
    <t>GRAUER &amp; WEIL (INDIA) LTD.-$</t>
  </si>
  <si>
    <t>JINDALSAW</t>
  </si>
  <si>
    <t>JINDAL SAW LTD.</t>
  </si>
  <si>
    <t>MGL</t>
  </si>
  <si>
    <t>Mahanagar Gas Ltd</t>
  </si>
  <si>
    <t>Final Dividend - Rs. - 10.5000</t>
  </si>
  <si>
    <t>RKFORGE</t>
  </si>
  <si>
    <t>RAMKRISHNA FORGINGS LTD.</t>
  </si>
  <si>
    <t>STHINPA</t>
  </si>
  <si>
    <t>SOUTH INDIA PAPER MILLS LTD.</t>
  </si>
  <si>
    <t>MADHAV</t>
  </si>
  <si>
    <t>MADHAV MARBLES &amp; GRANITES LTD.</t>
  </si>
  <si>
    <t>VLSFINANCE</t>
  </si>
  <si>
    <t>VLS FINANCE LTD.</t>
  </si>
  <si>
    <t>KCPSUGIND</t>
  </si>
  <si>
    <t>KCP SUGAR &amp; INDUSTRIES CORPORATION LTD.</t>
  </si>
  <si>
    <t>Dividend - Rs. - 0.1000</t>
  </si>
  <si>
    <t>GANESHHOUC</t>
  </si>
  <si>
    <t>GANESH HOUSING CORPORATION LTD.-$</t>
  </si>
  <si>
    <t>TCPLPACK</t>
  </si>
  <si>
    <t>TCPL PACKAGING LTD.-$</t>
  </si>
  <si>
    <t>Dividend - Rs. - 5.2500</t>
  </si>
  <si>
    <t>IWP</t>
  </si>
  <si>
    <t>The Indian Wood Products Company Ltd</t>
  </si>
  <si>
    <t>MARIS</t>
  </si>
  <si>
    <t>MARIS SPINNERS LTD.-$</t>
  </si>
  <si>
    <t>HINDUSTAN MEDIA VENTURES LTD.</t>
  </si>
  <si>
    <t>IMPAL</t>
  </si>
  <si>
    <t>INDIA MOTOR PARTS &amp; ACCESSORIES LTD.</t>
  </si>
  <si>
    <t>BLACKROSE</t>
  </si>
  <si>
    <t>BLACK ROSE INDUSTRIES LTD.</t>
  </si>
  <si>
    <t>MODERN</t>
  </si>
  <si>
    <t>MODERN INDIA LTD.-$</t>
  </si>
  <si>
    <t>Dividend - Rs. - 0.2400</t>
  </si>
  <si>
    <t>TNPL</t>
  </si>
  <si>
    <t>TAMIL NADU NEWSPRINT &amp; PAPERS LTD.</t>
  </si>
  <si>
    <t>APOLLO HOSPITALS ENTERPRISE LTD.</t>
  </si>
  <si>
    <t>BLISSGVS</t>
  </si>
  <si>
    <t>BLISS GVS PHARMA LTD.</t>
  </si>
  <si>
    <t>DHPIND</t>
  </si>
  <si>
    <t>DHP INDIA LTD.</t>
  </si>
  <si>
    <t>FIEMIND</t>
  </si>
  <si>
    <t>FIEM INDUSTRIES LTD.</t>
  </si>
  <si>
    <t>GOLDIAM</t>
  </si>
  <si>
    <t>GOLDIAM INTERNATIONAL LTD.</t>
  </si>
  <si>
    <t>INTLCONV</t>
  </si>
  <si>
    <t>INTERNATIONAL CONVEYORS LTD.</t>
  </si>
  <si>
    <t>TALBROAUTO</t>
  </si>
  <si>
    <t>TALBROS AUTOMOTIVE COMPONENTS LTD.</t>
  </si>
  <si>
    <t>HT MEDIA LTD.</t>
  </si>
  <si>
    <t>AUSTENG</t>
  </si>
  <si>
    <t>AUSTIN ENGINEERING CO.LTD.</t>
  </si>
  <si>
    <t>LAMBODHARA</t>
  </si>
  <si>
    <t>LAMBODHARA TEXTILES LTD.-$</t>
  </si>
  <si>
    <t>PREMIERPOL</t>
  </si>
  <si>
    <t>PREMIER POLYFILM LTD.</t>
  </si>
  <si>
    <t>KKALPANAIND</t>
  </si>
  <si>
    <t>Kkalpana Industries (India) Ltd</t>
  </si>
  <si>
    <t>MERCURYLAB</t>
  </si>
  <si>
    <t>Mercury Laboratories Ltd</t>
  </si>
  <si>
    <t>UNITDCR</t>
  </si>
  <si>
    <t>UNITED CREDIT LTD.</t>
  </si>
  <si>
    <t>PBMPOLY</t>
  </si>
  <si>
    <t>PBM POLYTEX LTD.-$</t>
  </si>
  <si>
    <t>BASANTGL</t>
  </si>
  <si>
    <t>BASANT AGRO TECH (INDIA) LTD.-$</t>
  </si>
  <si>
    <t>ExDate</t>
  </si>
  <si>
    <t>Next Date</t>
  </si>
  <si>
    <t>NA</t>
  </si>
  <si>
    <t>ExDivDate</t>
  </si>
  <si>
    <t>Curr Price</t>
  </si>
  <si>
    <t>No of Shares</t>
  </si>
  <si>
    <t>Dividend</t>
  </si>
  <si>
    <t>Divnd Val</t>
  </si>
  <si>
    <t>New Mark Cap</t>
  </si>
  <si>
    <t>BC StartDate</t>
  </si>
  <si>
    <t>Markt Cap(Cr)</t>
  </si>
  <si>
    <t>TT</t>
  </si>
  <si>
    <t>Not Traded</t>
  </si>
  <si>
    <t>Expected downtrend</t>
  </si>
  <si>
    <t>Downtrend till 11 and then uptrend</t>
  </si>
  <si>
    <t>Remarks on ExDate</t>
  </si>
  <si>
    <t>Remarks on day after ExDate</t>
  </si>
  <si>
    <t>Remarks on RecordDate</t>
  </si>
  <si>
    <t>Remarks on Day after RecordDate/BC End Date</t>
  </si>
  <si>
    <t>volatile</t>
  </si>
  <si>
    <t>Downtrend after 11</t>
  </si>
  <si>
    <t>Flat till 1.45 after sudden down spike</t>
  </si>
  <si>
    <t>Flat</t>
  </si>
  <si>
    <t>upsike till 9.25 followed by Flat</t>
  </si>
  <si>
    <t>Flat but sudden down-up spike between 12.30-12.45</t>
  </si>
  <si>
    <t>Downtrend after 10.45</t>
  </si>
  <si>
    <t>2 upspikes at 10.30-11.30 followed by 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</si>
</sst>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/>
    <xf numFmtId="22" fontId="0" fillId="0" borderId="0" xfId="0" applyNumberFormat="1"/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0" fontId="0" fillId="2" borderId="0" xfId="0" applyFill="1"/>
    <xf numFmtId="2" fontId="0" fillId="0" borderId="0" xfId="0" applyNumberFormat="1"/>
    <xf numFmtId="0" fontId="0" fillId="3" borderId="0" xfId="0" applyFill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171450</xdr:colOff>
      <xdr:row>1</xdr:row>
      <xdr:rowOff>28575</xdr:rowOff>
    </xdr:from>
    <xdr:to>
      <xdr:col>3</xdr:col>
      <xdr:colOff>3379509</xdr:colOff>
      <xdr:row>1</xdr:row>
      <xdr:rowOff>1057275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219075"/>
          <a:ext cx="3208059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abSelected="1" topLeftCell="A13" workbookViewId="0">
      <selection activeCell="A17" sqref="A17"/>
    </sheetView>
  </sheetViews>
  <sheetFormatPr defaultColWidth="19.140625" defaultRowHeight="15" x14ac:dyDescent="0.25"/>
  <cols>
    <col min="1" max="1" width="13.28515625" bestFit="1" customWidth="1"/>
    <col min="2" max="2" width="14.140625" bestFit="1" customWidth="1"/>
    <col min="3" max="3" width="42.85546875" customWidth="1"/>
    <col min="4" max="4" width="9.85546875" bestFit="1" customWidth="1"/>
    <col min="5" max="5" width="29.7109375" bestFit="1" customWidth="1"/>
    <col min="6" max="6" width="11.7109375" bestFit="1" customWidth="1"/>
    <col min="7" max="7" width="12.42578125" bestFit="1" customWidth="1"/>
    <col min="8" max="8" width="13.28515625" bestFit="1" customWidth="1"/>
    <col min="9" max="9" width="12.85546875" bestFit="1" customWidth="1"/>
    <col min="10" max="10" width="12" bestFit="1" customWidth="1"/>
    <col min="11" max="11" width="19.7109375" bestFit="1" customWidth="1"/>
    <col min="12" max="12" width="38" bestFit="1" customWidth="1"/>
    <col min="13" max="13" width="26.7109375" bestFit="1" customWidth="1"/>
    <col min="15" max="15" width="43" bestFit="1" customWidth="1"/>
  </cols>
  <sheetData>
    <row r="1" spans="1:15" x14ac:dyDescent="0.25">
      <c r="A1" t="s">
        <v>0</v>
      </c>
      <c r="B1" t="s">
        <v>1</v>
      </c>
      <c r="C1" t="s">
        <v>372</v>
      </c>
      <c r="D1" t="s">
        <v>2</v>
      </c>
      <c r="E1" t="s">
        <v>3</v>
      </c>
      <c r="F1" t="s">
        <v>4</v>
      </c>
      <c r="G1" t="s">
        <v>5</v>
      </c>
      <c r="H1" t="s">
        <v>373</v>
      </c>
      <c r="I1" t="s">
        <v>7</v>
      </c>
      <c r="J1" t="s">
        <v>8</v>
      </c>
      <c r="K1" t="s">
        <v>9</v>
      </c>
      <c r="L1" t="s">
        <v>549</v>
      </c>
      <c r="M1" t="s">
        <v>550</v>
      </c>
      <c r="N1" t="s">
        <v>551</v>
      </c>
      <c r="O1" t="s">
        <v>552</v>
      </c>
    </row>
    <row r="2" spans="1:15" x14ac:dyDescent="0.25">
      <c r="A2">
        <v>524208</v>
      </c>
      <c r="B2" t="s">
        <v>10</v>
      </c>
      <c r="C2" t="s">
        <v>374</v>
      </c>
      <c r="D2" s="2">
        <v>43649</v>
      </c>
      <c r="E2" t="s">
        <v>375</v>
      </c>
      <c r="F2" s="2">
        <v>43650</v>
      </c>
      <c r="G2" t="s">
        <v>11</v>
      </c>
      <c r="H2" t="s">
        <v>11</v>
      </c>
      <c r="I2" s="2">
        <v>43647</v>
      </c>
      <c r="J2" s="2">
        <v>43649</v>
      </c>
      <c r="K2" t="s">
        <v>11</v>
      </c>
      <c r="L2" s="6" t="s">
        <v>545</v>
      </c>
    </row>
    <row r="3" spans="1:15" x14ac:dyDescent="0.25">
      <c r="A3">
        <v>533228</v>
      </c>
      <c r="B3" t="s">
        <v>12</v>
      </c>
      <c r="C3" t="s">
        <v>376</v>
      </c>
      <c r="D3" s="2">
        <v>43649</v>
      </c>
      <c r="E3" t="s">
        <v>377</v>
      </c>
      <c r="F3" s="2">
        <v>43650</v>
      </c>
      <c r="G3" t="s">
        <v>11</v>
      </c>
      <c r="H3" t="s">
        <v>11</v>
      </c>
      <c r="I3" s="2">
        <v>43643</v>
      </c>
      <c r="J3" s="2">
        <v>43649</v>
      </c>
      <c r="K3" t="s">
        <v>11</v>
      </c>
      <c r="L3" s="6" t="s">
        <v>546</v>
      </c>
    </row>
    <row r="4" spans="1:15" x14ac:dyDescent="0.25">
      <c r="A4">
        <v>500234</v>
      </c>
      <c r="B4" t="s">
        <v>13</v>
      </c>
      <c r="C4" t="s">
        <v>378</v>
      </c>
      <c r="D4" s="2">
        <v>43649</v>
      </c>
      <c r="E4" t="s">
        <v>14</v>
      </c>
      <c r="F4" t="s">
        <v>11</v>
      </c>
      <c r="G4" s="2">
        <v>43651</v>
      </c>
      <c r="H4" s="2">
        <v>43657</v>
      </c>
      <c r="I4" s="2">
        <v>43644</v>
      </c>
      <c r="J4" s="2">
        <v>43650</v>
      </c>
      <c r="K4" t="s">
        <v>11</v>
      </c>
    </row>
    <row r="5" spans="1:15" x14ac:dyDescent="0.25">
      <c r="A5">
        <v>540222</v>
      </c>
      <c r="B5" t="s">
        <v>15</v>
      </c>
      <c r="C5" t="s">
        <v>379</v>
      </c>
      <c r="D5" s="2">
        <v>43649</v>
      </c>
      <c r="E5" t="s">
        <v>16</v>
      </c>
      <c r="F5" t="s">
        <v>11</v>
      </c>
      <c r="G5" s="2">
        <v>43651</v>
      </c>
      <c r="H5" s="2">
        <v>43657</v>
      </c>
      <c r="I5" s="2">
        <v>43644</v>
      </c>
      <c r="J5" s="2">
        <v>43650</v>
      </c>
      <c r="K5" t="s">
        <v>11</v>
      </c>
    </row>
    <row r="6" spans="1:15" x14ac:dyDescent="0.25">
      <c r="A6">
        <v>522249</v>
      </c>
      <c r="B6" t="s">
        <v>17</v>
      </c>
      <c r="C6" t="s">
        <v>380</v>
      </c>
      <c r="D6" s="2">
        <v>43649</v>
      </c>
      <c r="E6" t="s">
        <v>18</v>
      </c>
      <c r="F6" t="s">
        <v>11</v>
      </c>
      <c r="G6" s="2">
        <v>43651</v>
      </c>
      <c r="H6" s="2">
        <v>43652</v>
      </c>
      <c r="I6" s="2">
        <v>43644</v>
      </c>
      <c r="J6" s="2">
        <v>43650</v>
      </c>
      <c r="K6" t="s">
        <v>11</v>
      </c>
    </row>
    <row r="7" spans="1:15" x14ac:dyDescent="0.25">
      <c r="A7">
        <v>590071</v>
      </c>
      <c r="B7" t="s">
        <v>19</v>
      </c>
      <c r="C7" t="s">
        <v>381</v>
      </c>
      <c r="D7" s="2">
        <v>43649</v>
      </c>
      <c r="E7" t="s">
        <v>20</v>
      </c>
      <c r="F7" t="s">
        <v>11</v>
      </c>
      <c r="G7" s="2">
        <v>43651</v>
      </c>
      <c r="H7" s="2">
        <v>43665</v>
      </c>
      <c r="I7" s="2">
        <v>43644</v>
      </c>
      <c r="J7" s="2">
        <v>43650</v>
      </c>
      <c r="K7" t="s">
        <v>11</v>
      </c>
      <c r="M7" t="s">
        <v>547</v>
      </c>
    </row>
    <row r="8" spans="1:15" x14ac:dyDescent="0.25">
      <c r="A8">
        <v>590071</v>
      </c>
      <c r="B8" t="s">
        <v>19</v>
      </c>
      <c r="C8" t="s">
        <v>381</v>
      </c>
      <c r="D8" s="2">
        <v>43649</v>
      </c>
      <c r="E8" t="s">
        <v>21</v>
      </c>
      <c r="F8" t="s">
        <v>11</v>
      </c>
      <c r="G8" s="2">
        <v>43651</v>
      </c>
      <c r="H8" s="2">
        <v>43665</v>
      </c>
      <c r="I8" s="2">
        <v>43644</v>
      </c>
      <c r="J8" s="2">
        <v>43650</v>
      </c>
      <c r="K8" t="s">
        <v>11</v>
      </c>
      <c r="M8" t="s">
        <v>547</v>
      </c>
    </row>
    <row r="9" spans="1:15" x14ac:dyDescent="0.25">
      <c r="A9">
        <v>523694</v>
      </c>
      <c r="B9" t="s">
        <v>23</v>
      </c>
      <c r="C9" t="s">
        <v>382</v>
      </c>
      <c r="D9" s="2">
        <v>43650</v>
      </c>
      <c r="E9" t="s">
        <v>383</v>
      </c>
      <c r="F9" s="2">
        <v>43651</v>
      </c>
      <c r="G9" t="s">
        <v>11</v>
      </c>
      <c r="H9" t="s">
        <v>11</v>
      </c>
      <c r="I9" s="2">
        <v>43644</v>
      </c>
      <c r="J9" s="2">
        <v>43650</v>
      </c>
      <c r="K9" t="s">
        <v>11</v>
      </c>
      <c r="L9" t="s">
        <v>547</v>
      </c>
    </row>
    <row r="10" spans="1:15" x14ac:dyDescent="0.25">
      <c r="A10">
        <v>532215</v>
      </c>
      <c r="B10" t="s">
        <v>26</v>
      </c>
      <c r="C10" t="s">
        <v>384</v>
      </c>
      <c r="D10" s="2">
        <v>43650</v>
      </c>
      <c r="E10" t="s">
        <v>27</v>
      </c>
      <c r="F10" t="s">
        <v>11</v>
      </c>
      <c r="G10" s="2">
        <v>43652</v>
      </c>
      <c r="H10" s="2">
        <v>43666</v>
      </c>
      <c r="I10" s="2">
        <v>43647</v>
      </c>
      <c r="J10" s="2">
        <v>43650</v>
      </c>
      <c r="K10" t="s">
        <v>11</v>
      </c>
      <c r="L10" t="s">
        <v>548</v>
      </c>
    </row>
    <row r="11" spans="1:15" x14ac:dyDescent="0.25">
      <c r="A11">
        <v>502355</v>
      </c>
      <c r="B11" t="s">
        <v>28</v>
      </c>
      <c r="C11" t="s">
        <v>385</v>
      </c>
      <c r="D11" s="2">
        <v>43650</v>
      </c>
      <c r="E11" t="s">
        <v>25</v>
      </c>
      <c r="F11" t="s">
        <v>11</v>
      </c>
      <c r="G11" s="2">
        <v>43654</v>
      </c>
      <c r="H11" s="2">
        <v>43655</v>
      </c>
      <c r="I11" s="2">
        <v>43647</v>
      </c>
      <c r="J11" s="2">
        <v>43651</v>
      </c>
      <c r="K11" t="s">
        <v>11</v>
      </c>
      <c r="L11" t="s">
        <v>553</v>
      </c>
    </row>
    <row r="12" spans="1:15" x14ac:dyDescent="0.25">
      <c r="A12">
        <v>500042</v>
      </c>
      <c r="B12" t="s">
        <v>29</v>
      </c>
      <c r="C12" t="s">
        <v>386</v>
      </c>
      <c r="D12" s="2">
        <v>43650</v>
      </c>
      <c r="E12" t="s">
        <v>30</v>
      </c>
      <c r="F12" t="s">
        <v>11</v>
      </c>
      <c r="G12" s="2">
        <v>43652</v>
      </c>
      <c r="H12" s="2">
        <v>43658</v>
      </c>
      <c r="I12" s="2">
        <v>43647</v>
      </c>
      <c r="J12" s="2">
        <v>43650</v>
      </c>
      <c r="K12" t="s">
        <v>11</v>
      </c>
      <c r="L12" t="s">
        <v>554</v>
      </c>
    </row>
    <row r="13" spans="1:15" x14ac:dyDescent="0.25">
      <c r="A13">
        <v>500042</v>
      </c>
      <c r="B13" t="s">
        <v>29</v>
      </c>
      <c r="C13" t="s">
        <v>386</v>
      </c>
      <c r="D13" s="2">
        <v>43650</v>
      </c>
      <c r="E13" t="s">
        <v>31</v>
      </c>
      <c r="F13" t="s">
        <v>11</v>
      </c>
      <c r="G13" s="2">
        <v>43652</v>
      </c>
      <c r="H13" s="2">
        <v>43658</v>
      </c>
      <c r="I13" s="2">
        <v>43647</v>
      </c>
      <c r="J13" s="2">
        <v>43650</v>
      </c>
      <c r="K13" t="s">
        <v>11</v>
      </c>
      <c r="L13" t="s">
        <v>554</v>
      </c>
    </row>
    <row r="14" spans="1:15" x14ac:dyDescent="0.25">
      <c r="A14">
        <v>541729</v>
      </c>
      <c r="B14" t="s">
        <v>32</v>
      </c>
      <c r="C14" t="s">
        <v>387</v>
      </c>
      <c r="D14" s="2">
        <v>43650</v>
      </c>
      <c r="E14" t="s">
        <v>33</v>
      </c>
      <c r="F14" t="s">
        <v>11</v>
      </c>
      <c r="G14" s="2">
        <v>43652</v>
      </c>
      <c r="H14" s="2">
        <v>43662</v>
      </c>
      <c r="I14" s="2">
        <v>43647</v>
      </c>
      <c r="J14" s="2">
        <v>43650</v>
      </c>
      <c r="K14" t="s">
        <v>11</v>
      </c>
      <c r="L14" t="s">
        <v>555</v>
      </c>
    </row>
    <row r="15" spans="1:15" x14ac:dyDescent="0.25">
      <c r="A15">
        <v>532663</v>
      </c>
      <c r="B15" t="s">
        <v>34</v>
      </c>
      <c r="C15" t="s">
        <v>388</v>
      </c>
      <c r="D15" s="2">
        <v>43650</v>
      </c>
      <c r="E15" t="s">
        <v>389</v>
      </c>
      <c r="F15" s="2">
        <v>43651</v>
      </c>
      <c r="G15" t="s">
        <v>11</v>
      </c>
      <c r="H15" t="s">
        <v>11</v>
      </c>
      <c r="I15" s="2">
        <v>43644</v>
      </c>
      <c r="J15" s="2">
        <v>43650</v>
      </c>
      <c r="K15" t="s">
        <v>11</v>
      </c>
      <c r="L15" t="s">
        <v>556</v>
      </c>
    </row>
    <row r="16" spans="1:15" x14ac:dyDescent="0.25">
      <c r="A16">
        <v>540575</v>
      </c>
      <c r="B16" t="s">
        <v>36</v>
      </c>
      <c r="C16" t="s">
        <v>390</v>
      </c>
      <c r="D16" s="2">
        <v>43650</v>
      </c>
      <c r="E16" t="s">
        <v>389</v>
      </c>
      <c r="F16" s="2">
        <v>43651</v>
      </c>
      <c r="G16" t="s">
        <v>11</v>
      </c>
      <c r="H16" t="s">
        <v>11</v>
      </c>
      <c r="I16" s="2">
        <v>43644</v>
      </c>
      <c r="J16" s="2">
        <v>43650</v>
      </c>
      <c r="K16" t="s">
        <v>11</v>
      </c>
      <c r="L16" t="s">
        <v>557</v>
      </c>
    </row>
    <row r="17" spans="1:12" x14ac:dyDescent="0.25">
      <c r="A17">
        <v>517385</v>
      </c>
      <c r="B17" t="s">
        <v>37</v>
      </c>
      <c r="C17" t="s">
        <v>391</v>
      </c>
      <c r="D17" s="2">
        <v>43650</v>
      </c>
      <c r="E17" t="s">
        <v>38</v>
      </c>
      <c r="F17" t="s">
        <v>11</v>
      </c>
      <c r="G17" s="2">
        <v>43652</v>
      </c>
      <c r="H17" s="2">
        <v>43656</v>
      </c>
      <c r="I17" s="2">
        <v>43647</v>
      </c>
      <c r="J17" s="2">
        <v>43650</v>
      </c>
      <c r="K17" t="s">
        <v>11</v>
      </c>
      <c r="L17" t="s">
        <v>558</v>
      </c>
    </row>
    <row r="18" spans="1:12" x14ac:dyDescent="0.25">
      <c r="A18">
        <v>513010</v>
      </c>
      <c r="B18" t="s">
        <v>39</v>
      </c>
      <c r="C18" t="s">
        <v>392</v>
      </c>
      <c r="D18" s="2">
        <v>43650</v>
      </c>
      <c r="E18" t="s">
        <v>40</v>
      </c>
      <c r="F18" t="s">
        <v>11</v>
      </c>
      <c r="G18" s="2">
        <v>43652</v>
      </c>
      <c r="H18" s="2">
        <v>43661</v>
      </c>
      <c r="I18" s="2">
        <v>43647</v>
      </c>
      <c r="J18" s="2">
        <v>43650</v>
      </c>
      <c r="K18" t="s">
        <v>11</v>
      </c>
      <c r="L18" t="s">
        <v>559</v>
      </c>
    </row>
    <row r="19" spans="1:12" x14ac:dyDescent="0.25">
      <c r="A19">
        <v>500470</v>
      </c>
      <c r="B19" t="s">
        <v>41</v>
      </c>
      <c r="C19" t="s">
        <v>393</v>
      </c>
      <c r="D19" s="2">
        <v>43650</v>
      </c>
      <c r="E19" t="s">
        <v>42</v>
      </c>
      <c r="F19" t="s">
        <v>11</v>
      </c>
      <c r="G19" s="2">
        <v>43652</v>
      </c>
      <c r="H19" s="2">
        <v>43665</v>
      </c>
      <c r="I19" s="2">
        <v>43647</v>
      </c>
      <c r="J19" s="2">
        <v>43650</v>
      </c>
      <c r="K19" t="s">
        <v>11</v>
      </c>
      <c r="L19" t="s">
        <v>556</v>
      </c>
    </row>
    <row r="20" spans="1:12" x14ac:dyDescent="0.25">
      <c r="A20">
        <v>532144</v>
      </c>
      <c r="B20" t="s">
        <v>43</v>
      </c>
      <c r="C20" t="s">
        <v>394</v>
      </c>
      <c r="D20" s="2">
        <v>43650</v>
      </c>
      <c r="E20" t="s">
        <v>389</v>
      </c>
      <c r="F20" s="2">
        <v>43651</v>
      </c>
      <c r="G20" t="s">
        <v>11</v>
      </c>
      <c r="H20" t="s">
        <v>11</v>
      </c>
      <c r="I20" s="2">
        <v>43644</v>
      </c>
      <c r="J20" s="2">
        <v>43650</v>
      </c>
      <c r="K20" t="s">
        <v>11</v>
      </c>
      <c r="L20" t="s">
        <v>560</v>
      </c>
    </row>
    <row r="21" spans="1:12" x14ac:dyDescent="0.25">
      <c r="A21">
        <v>532144</v>
      </c>
      <c r="B21" t="s">
        <v>43</v>
      </c>
      <c r="C21" t="s">
        <v>394</v>
      </c>
      <c r="D21" s="2">
        <v>43650</v>
      </c>
      <c r="E21" t="s">
        <v>44</v>
      </c>
      <c r="F21" s="2">
        <v>43651</v>
      </c>
      <c r="G21" t="s">
        <v>11</v>
      </c>
      <c r="H21" t="s">
        <v>11</v>
      </c>
      <c r="I21" s="2">
        <v>43644</v>
      </c>
      <c r="J21" s="2">
        <v>43650</v>
      </c>
      <c r="K21" t="s">
        <v>11</v>
      </c>
      <c r="L21" t="s">
        <v>560</v>
      </c>
    </row>
    <row r="22" spans="1:12" x14ac:dyDescent="0.25">
      <c r="A22">
        <v>500440</v>
      </c>
      <c r="B22" t="s">
        <v>402</v>
      </c>
      <c r="C22" t="s">
        <v>403</v>
      </c>
      <c r="D22" s="2">
        <v>43691</v>
      </c>
      <c r="E22" t="s">
        <v>55</v>
      </c>
      <c r="F22" t="s">
        <v>11</v>
      </c>
      <c r="G22" s="2">
        <v>43694</v>
      </c>
      <c r="H22" s="2">
        <v>43707</v>
      </c>
      <c r="I22" t="s">
        <v>11</v>
      </c>
      <c r="J22" t="s">
        <v>11</v>
      </c>
      <c r="K22" t="s">
        <v>11</v>
      </c>
    </row>
    <row r="23" spans="1:12" x14ac:dyDescent="0.25">
      <c r="A23">
        <v>532500</v>
      </c>
      <c r="B23" t="s">
        <v>404</v>
      </c>
      <c r="C23" t="s">
        <v>405</v>
      </c>
      <c r="D23" s="2">
        <v>43691</v>
      </c>
      <c r="E23" t="s">
        <v>406</v>
      </c>
      <c r="F23" t="s">
        <v>11</v>
      </c>
      <c r="G23" s="2">
        <v>43694</v>
      </c>
      <c r="H23" s="2">
        <v>43704</v>
      </c>
      <c r="I23" t="s">
        <v>11</v>
      </c>
      <c r="J23" t="s">
        <v>11</v>
      </c>
      <c r="K23" t="s">
        <v>11</v>
      </c>
    </row>
    <row r="24" spans="1:12" x14ac:dyDescent="0.25">
      <c r="A24">
        <v>520043</v>
      </c>
      <c r="B24" t="s">
        <v>407</v>
      </c>
      <c r="C24" t="s">
        <v>408</v>
      </c>
      <c r="D24" s="2">
        <v>43691</v>
      </c>
      <c r="E24" t="s">
        <v>85</v>
      </c>
      <c r="F24" t="s">
        <v>11</v>
      </c>
      <c r="G24" s="2">
        <v>43694</v>
      </c>
      <c r="H24" s="2">
        <v>43707</v>
      </c>
      <c r="I24" t="s">
        <v>11</v>
      </c>
      <c r="J24" t="s">
        <v>11</v>
      </c>
      <c r="K24" t="s">
        <v>11</v>
      </c>
    </row>
    <row r="25" spans="1:12" x14ac:dyDescent="0.25">
      <c r="A25">
        <v>532366</v>
      </c>
      <c r="B25" t="s">
        <v>409</v>
      </c>
      <c r="C25" t="s">
        <v>410</v>
      </c>
      <c r="D25" s="2">
        <v>43691</v>
      </c>
      <c r="E25" t="s">
        <v>92</v>
      </c>
      <c r="F25" t="s">
        <v>11</v>
      </c>
      <c r="G25" s="2">
        <v>43694</v>
      </c>
      <c r="H25" s="2">
        <v>43705</v>
      </c>
      <c r="I25" t="s">
        <v>11</v>
      </c>
      <c r="J25" t="s">
        <v>11</v>
      </c>
      <c r="K25" t="s">
        <v>11</v>
      </c>
    </row>
    <row r="26" spans="1:12" x14ac:dyDescent="0.25">
      <c r="A26">
        <v>500253</v>
      </c>
      <c r="B26" t="s">
        <v>411</v>
      </c>
      <c r="C26" t="s">
        <v>412</v>
      </c>
      <c r="D26" s="2">
        <v>43693</v>
      </c>
      <c r="E26" t="s">
        <v>413</v>
      </c>
      <c r="F26" t="s">
        <v>11</v>
      </c>
      <c r="G26" s="2">
        <v>43697</v>
      </c>
      <c r="H26" s="2">
        <v>43705</v>
      </c>
      <c r="I26" t="s">
        <v>11</v>
      </c>
      <c r="J26" t="s">
        <v>11</v>
      </c>
      <c r="K26" t="s">
        <v>11</v>
      </c>
    </row>
    <row r="27" spans="1:12" x14ac:dyDescent="0.25">
      <c r="A27">
        <v>539523</v>
      </c>
      <c r="B27" t="s">
        <v>414</v>
      </c>
      <c r="C27" t="s">
        <v>415</v>
      </c>
      <c r="D27" s="2">
        <v>43696</v>
      </c>
      <c r="E27" t="s">
        <v>98</v>
      </c>
      <c r="F27" s="2">
        <v>43697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 spans="1:12" x14ac:dyDescent="0.25">
      <c r="A28">
        <v>500187</v>
      </c>
      <c r="B28" t="s">
        <v>416</v>
      </c>
      <c r="C28" t="s">
        <v>417</v>
      </c>
      <c r="D28" s="2">
        <v>43696</v>
      </c>
      <c r="E28" t="s">
        <v>30</v>
      </c>
      <c r="F28" t="s">
        <v>11</v>
      </c>
      <c r="G28" s="2">
        <v>43698</v>
      </c>
      <c r="H28" s="2">
        <v>43710</v>
      </c>
      <c r="I28" t="s">
        <v>11</v>
      </c>
      <c r="J28" t="s">
        <v>11</v>
      </c>
      <c r="K28" t="s">
        <v>11</v>
      </c>
    </row>
    <row r="29" spans="1:12" x14ac:dyDescent="0.25">
      <c r="A29">
        <v>540393</v>
      </c>
      <c r="B29" t="s">
        <v>418</v>
      </c>
      <c r="C29" t="s">
        <v>419</v>
      </c>
      <c r="D29" s="2">
        <v>43696</v>
      </c>
      <c r="E29" t="s">
        <v>399</v>
      </c>
      <c r="F29" t="s">
        <v>11</v>
      </c>
      <c r="G29" s="2">
        <v>43698</v>
      </c>
      <c r="H29" s="2">
        <v>43705</v>
      </c>
      <c r="I29" t="s">
        <v>11</v>
      </c>
      <c r="J29" t="s">
        <v>11</v>
      </c>
      <c r="K29" t="s">
        <v>11</v>
      </c>
    </row>
    <row r="30" spans="1:12" x14ac:dyDescent="0.25">
      <c r="A30">
        <v>533336</v>
      </c>
      <c r="B30" t="s">
        <v>420</v>
      </c>
      <c r="C30" t="s">
        <v>421</v>
      </c>
      <c r="D30" s="2">
        <v>43697</v>
      </c>
      <c r="E30" t="s">
        <v>16</v>
      </c>
      <c r="F30" t="s">
        <v>11</v>
      </c>
      <c r="G30" s="2">
        <v>43699</v>
      </c>
      <c r="H30" s="2">
        <v>43705</v>
      </c>
      <c r="I30" t="s">
        <v>11</v>
      </c>
      <c r="J30" t="s">
        <v>11</v>
      </c>
      <c r="K30" t="s">
        <v>11</v>
      </c>
    </row>
    <row r="31" spans="1:12" x14ac:dyDescent="0.25">
      <c r="A31">
        <v>532357</v>
      </c>
      <c r="B31" t="s">
        <v>422</v>
      </c>
      <c r="C31" t="s">
        <v>423</v>
      </c>
      <c r="D31" s="2">
        <v>43697</v>
      </c>
      <c r="E31" t="s">
        <v>101</v>
      </c>
      <c r="F31" t="s">
        <v>11</v>
      </c>
      <c r="G31" s="2">
        <v>43699</v>
      </c>
      <c r="H31" s="2">
        <v>43705</v>
      </c>
      <c r="I31" t="s">
        <v>11</v>
      </c>
      <c r="J31" t="s">
        <v>11</v>
      </c>
      <c r="K31" t="s">
        <v>11</v>
      </c>
    </row>
    <row r="32" spans="1:12" x14ac:dyDescent="0.25">
      <c r="A32">
        <v>500547</v>
      </c>
      <c r="B32" t="s">
        <v>424</v>
      </c>
      <c r="C32" t="s">
        <v>425</v>
      </c>
      <c r="D32" s="2">
        <v>43698</v>
      </c>
      <c r="E32" t="s">
        <v>98</v>
      </c>
      <c r="F32" t="s">
        <v>11</v>
      </c>
      <c r="G32" s="2">
        <v>43700</v>
      </c>
      <c r="H32" s="2">
        <v>43707</v>
      </c>
      <c r="I32" t="s">
        <v>11</v>
      </c>
      <c r="J32" t="s">
        <v>11</v>
      </c>
      <c r="K32" t="s">
        <v>11</v>
      </c>
    </row>
    <row r="33" spans="1:11" x14ac:dyDescent="0.25">
      <c r="A33">
        <v>532927</v>
      </c>
      <c r="B33" t="s">
        <v>426</v>
      </c>
      <c r="C33" t="s">
        <v>427</v>
      </c>
      <c r="D33" s="2">
        <v>43698</v>
      </c>
      <c r="E33" t="s">
        <v>27</v>
      </c>
      <c r="F33" t="s">
        <v>11</v>
      </c>
      <c r="G33" s="2">
        <v>43700</v>
      </c>
      <c r="H33" s="2">
        <v>43706</v>
      </c>
      <c r="I33" t="s">
        <v>11</v>
      </c>
      <c r="J33" t="s">
        <v>11</v>
      </c>
      <c r="K33" t="s">
        <v>11</v>
      </c>
    </row>
    <row r="34" spans="1:11" x14ac:dyDescent="0.25">
      <c r="A34">
        <v>532482</v>
      </c>
      <c r="B34" t="s">
        <v>428</v>
      </c>
      <c r="C34" t="s">
        <v>429</v>
      </c>
      <c r="D34" s="2">
        <v>43698</v>
      </c>
      <c r="E34" t="s">
        <v>18</v>
      </c>
      <c r="F34" t="s">
        <v>11</v>
      </c>
      <c r="G34" s="2">
        <v>43700</v>
      </c>
      <c r="H34" s="2">
        <v>43706</v>
      </c>
      <c r="I34" t="s">
        <v>11</v>
      </c>
      <c r="J34" t="s">
        <v>11</v>
      </c>
      <c r="K34" t="s">
        <v>11</v>
      </c>
    </row>
    <row r="35" spans="1:11" x14ac:dyDescent="0.25">
      <c r="A35">
        <v>519552</v>
      </c>
      <c r="B35" t="s">
        <v>430</v>
      </c>
      <c r="C35" t="s">
        <v>431</v>
      </c>
      <c r="D35" s="2">
        <v>43698</v>
      </c>
      <c r="E35" t="s">
        <v>49</v>
      </c>
      <c r="F35" t="s">
        <v>11</v>
      </c>
      <c r="G35" s="2">
        <v>43700</v>
      </c>
      <c r="H35" s="2">
        <v>43707</v>
      </c>
      <c r="I35" t="s">
        <v>11</v>
      </c>
      <c r="J35" t="s">
        <v>11</v>
      </c>
      <c r="K35" t="s">
        <v>11</v>
      </c>
    </row>
    <row r="36" spans="1:11" x14ac:dyDescent="0.25">
      <c r="A36">
        <v>500307</v>
      </c>
      <c r="B36" t="s">
        <v>356</v>
      </c>
      <c r="C36" t="s">
        <v>432</v>
      </c>
      <c r="D36" s="2">
        <v>43698</v>
      </c>
      <c r="E36" t="s">
        <v>104</v>
      </c>
      <c r="F36" t="s">
        <v>11</v>
      </c>
      <c r="G36" s="2">
        <v>43700</v>
      </c>
      <c r="H36" s="2">
        <v>43711</v>
      </c>
      <c r="I36" t="s">
        <v>11</v>
      </c>
      <c r="J36" t="s">
        <v>11</v>
      </c>
      <c r="K36" t="s">
        <v>11</v>
      </c>
    </row>
    <row r="37" spans="1:11" x14ac:dyDescent="0.25">
      <c r="A37">
        <v>530499</v>
      </c>
      <c r="B37" t="s">
        <v>433</v>
      </c>
      <c r="C37" t="s">
        <v>434</v>
      </c>
      <c r="D37" s="2">
        <v>43699</v>
      </c>
      <c r="E37" t="s">
        <v>75</v>
      </c>
      <c r="F37" s="2">
        <v>43700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 spans="1:11" x14ac:dyDescent="0.25">
      <c r="A38">
        <v>541403</v>
      </c>
      <c r="B38" t="s">
        <v>435</v>
      </c>
      <c r="C38" t="s">
        <v>436</v>
      </c>
      <c r="D38" s="2">
        <v>43699</v>
      </c>
      <c r="E38" t="s">
        <v>396</v>
      </c>
      <c r="F38" s="2">
        <v>43700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 spans="1:11" x14ac:dyDescent="0.25">
      <c r="A39">
        <v>532612</v>
      </c>
      <c r="B39" t="s">
        <v>352</v>
      </c>
      <c r="C39" t="s">
        <v>437</v>
      </c>
      <c r="D39" s="2">
        <v>43699</v>
      </c>
      <c r="E39" t="s">
        <v>70</v>
      </c>
      <c r="F39" t="s">
        <v>11</v>
      </c>
      <c r="G39" s="2">
        <v>43703</v>
      </c>
      <c r="H39" s="2">
        <v>43705</v>
      </c>
      <c r="I39" t="s">
        <v>11</v>
      </c>
      <c r="J39" t="s">
        <v>11</v>
      </c>
      <c r="K39" t="s">
        <v>11</v>
      </c>
    </row>
    <row r="40" spans="1:11" x14ac:dyDescent="0.25">
      <c r="A40">
        <v>541336</v>
      </c>
      <c r="B40" t="s">
        <v>438</v>
      </c>
      <c r="C40" t="s">
        <v>439</v>
      </c>
      <c r="D40" s="2">
        <v>43699</v>
      </c>
      <c r="E40" t="s">
        <v>27</v>
      </c>
      <c r="F40" t="s">
        <v>11</v>
      </c>
      <c r="G40" s="2">
        <v>43701</v>
      </c>
      <c r="H40" s="2">
        <v>43707</v>
      </c>
      <c r="I40" t="s">
        <v>11</v>
      </c>
      <c r="J40" t="s">
        <v>11</v>
      </c>
      <c r="K40" t="s">
        <v>11</v>
      </c>
    </row>
    <row r="41" spans="1:11" x14ac:dyDescent="0.25">
      <c r="A41">
        <v>519421</v>
      </c>
      <c r="B41" t="s">
        <v>440</v>
      </c>
      <c r="C41" t="s">
        <v>441</v>
      </c>
      <c r="D41" s="2">
        <v>43699</v>
      </c>
      <c r="E41" t="s">
        <v>58</v>
      </c>
      <c r="F41" t="s">
        <v>11</v>
      </c>
      <c r="G41" s="2">
        <v>43702</v>
      </c>
      <c r="H41" s="2">
        <v>43708</v>
      </c>
      <c r="I41" t="s">
        <v>11</v>
      </c>
      <c r="J41" t="s">
        <v>11</v>
      </c>
      <c r="K41" t="s">
        <v>11</v>
      </c>
    </row>
    <row r="42" spans="1:11" x14ac:dyDescent="0.25">
      <c r="A42">
        <v>520059</v>
      </c>
      <c r="B42" t="s">
        <v>442</v>
      </c>
      <c r="C42" t="s">
        <v>443</v>
      </c>
      <c r="D42" s="2">
        <v>43699</v>
      </c>
      <c r="E42" t="s">
        <v>27</v>
      </c>
      <c r="F42" t="s">
        <v>11</v>
      </c>
      <c r="G42" s="2">
        <v>43703</v>
      </c>
      <c r="H42" s="2">
        <v>43708</v>
      </c>
      <c r="I42" t="s">
        <v>11</v>
      </c>
      <c r="J42" t="s">
        <v>11</v>
      </c>
      <c r="K42" t="s">
        <v>11</v>
      </c>
    </row>
    <row r="43" spans="1:11" x14ac:dyDescent="0.25">
      <c r="A43">
        <v>508670</v>
      </c>
      <c r="B43" t="s">
        <v>444</v>
      </c>
      <c r="C43" t="s">
        <v>445</v>
      </c>
      <c r="D43" s="2">
        <v>43699</v>
      </c>
      <c r="E43" t="s">
        <v>74</v>
      </c>
      <c r="F43" t="s">
        <v>11</v>
      </c>
      <c r="G43" s="2">
        <v>43701</v>
      </c>
      <c r="H43" s="2">
        <v>43707</v>
      </c>
      <c r="I43" t="s">
        <v>11</v>
      </c>
      <c r="J43" t="s">
        <v>11</v>
      </c>
      <c r="K43" t="s">
        <v>11</v>
      </c>
    </row>
    <row r="44" spans="1:11" x14ac:dyDescent="0.25">
      <c r="A44">
        <v>590005</v>
      </c>
      <c r="B44" t="s">
        <v>446</v>
      </c>
      <c r="C44" t="s">
        <v>447</v>
      </c>
      <c r="D44" s="2">
        <v>43699</v>
      </c>
      <c r="E44" t="s">
        <v>448</v>
      </c>
      <c r="F44" t="s">
        <v>11</v>
      </c>
      <c r="G44" s="2">
        <v>43701</v>
      </c>
      <c r="H44" s="2">
        <v>43707</v>
      </c>
      <c r="I44" t="s">
        <v>11</v>
      </c>
      <c r="J44" t="s">
        <v>11</v>
      </c>
      <c r="K44" t="s">
        <v>11</v>
      </c>
    </row>
    <row r="45" spans="1:11" x14ac:dyDescent="0.25">
      <c r="A45">
        <v>500119</v>
      </c>
      <c r="B45" t="s">
        <v>449</v>
      </c>
      <c r="C45" t="s">
        <v>450</v>
      </c>
      <c r="D45" s="2">
        <v>43700</v>
      </c>
      <c r="E45" t="s">
        <v>30</v>
      </c>
      <c r="F45" t="s">
        <v>11</v>
      </c>
      <c r="G45" s="2">
        <v>43704</v>
      </c>
      <c r="H45" s="2">
        <v>43710</v>
      </c>
      <c r="I45" t="s">
        <v>11</v>
      </c>
      <c r="J45" t="s">
        <v>11</v>
      </c>
      <c r="K45" t="s">
        <v>11</v>
      </c>
    </row>
    <row r="46" spans="1:11" x14ac:dyDescent="0.25">
      <c r="A46">
        <v>532934</v>
      </c>
      <c r="B46" t="s">
        <v>451</v>
      </c>
      <c r="C46" t="s">
        <v>452</v>
      </c>
      <c r="D46" s="2">
        <v>43703</v>
      </c>
      <c r="E46" t="s">
        <v>64</v>
      </c>
      <c r="F46" t="s">
        <v>11</v>
      </c>
      <c r="G46" s="2">
        <v>43705</v>
      </c>
      <c r="H46" s="2">
        <v>43710</v>
      </c>
      <c r="I46" t="s">
        <v>11</v>
      </c>
      <c r="J46" t="s">
        <v>11</v>
      </c>
      <c r="K46" t="s">
        <v>11</v>
      </c>
    </row>
    <row r="47" spans="1:11" x14ac:dyDescent="0.25">
      <c r="A47">
        <v>532548</v>
      </c>
      <c r="B47" t="s">
        <v>453</v>
      </c>
      <c r="C47" t="s">
        <v>454</v>
      </c>
      <c r="D47" s="2">
        <v>43704</v>
      </c>
      <c r="E47" t="s">
        <v>79</v>
      </c>
      <c r="F47" t="s">
        <v>11</v>
      </c>
      <c r="G47" s="2">
        <v>43706</v>
      </c>
      <c r="H47" s="2">
        <v>43712</v>
      </c>
      <c r="I47" t="s">
        <v>11</v>
      </c>
      <c r="J47" t="s">
        <v>11</v>
      </c>
      <c r="K47" t="s">
        <v>11</v>
      </c>
    </row>
    <row r="48" spans="1:11" x14ac:dyDescent="0.25">
      <c r="A48">
        <v>505737</v>
      </c>
      <c r="B48" t="s">
        <v>455</v>
      </c>
      <c r="C48" t="s">
        <v>456</v>
      </c>
      <c r="D48" s="2">
        <v>43704</v>
      </c>
      <c r="E48" t="s">
        <v>79</v>
      </c>
      <c r="F48" t="s">
        <v>11</v>
      </c>
      <c r="G48" s="2">
        <v>43706</v>
      </c>
      <c r="H48" s="2">
        <v>43712</v>
      </c>
      <c r="I48" t="s">
        <v>11</v>
      </c>
      <c r="J48" t="s">
        <v>11</v>
      </c>
      <c r="K48" t="s">
        <v>11</v>
      </c>
    </row>
    <row r="49" spans="1:11" x14ac:dyDescent="0.25">
      <c r="A49">
        <v>506525</v>
      </c>
      <c r="B49" t="s">
        <v>457</v>
      </c>
      <c r="C49" t="s">
        <v>458</v>
      </c>
      <c r="D49" s="2">
        <v>43704</v>
      </c>
      <c r="E49" t="s">
        <v>104</v>
      </c>
      <c r="F49" t="s">
        <v>11</v>
      </c>
      <c r="G49" s="2">
        <v>43706</v>
      </c>
      <c r="H49" s="2">
        <v>43712</v>
      </c>
      <c r="I49" t="s">
        <v>11</v>
      </c>
      <c r="J49" t="s">
        <v>11</v>
      </c>
      <c r="K49" t="s">
        <v>11</v>
      </c>
    </row>
    <row r="50" spans="1:11" x14ac:dyDescent="0.25">
      <c r="A50">
        <v>500336</v>
      </c>
      <c r="B50" t="s">
        <v>459</v>
      </c>
      <c r="C50" t="s">
        <v>460</v>
      </c>
      <c r="D50" s="2">
        <v>43704</v>
      </c>
      <c r="E50" t="s">
        <v>49</v>
      </c>
      <c r="F50" s="2">
        <v>43705</v>
      </c>
      <c r="G50" t="s">
        <v>11</v>
      </c>
      <c r="H50" t="s">
        <v>11</v>
      </c>
      <c r="I50" t="s">
        <v>11</v>
      </c>
      <c r="J50" t="s">
        <v>11</v>
      </c>
      <c r="K50" t="s">
        <v>11</v>
      </c>
    </row>
    <row r="51" spans="1:11" x14ac:dyDescent="0.25">
      <c r="A51">
        <v>532610</v>
      </c>
      <c r="B51" t="s">
        <v>461</v>
      </c>
      <c r="C51" t="s">
        <v>462</v>
      </c>
      <c r="D51" s="2">
        <v>43705</v>
      </c>
      <c r="E51" t="s">
        <v>79</v>
      </c>
      <c r="F51" t="s">
        <v>11</v>
      </c>
      <c r="G51" s="2">
        <v>43707</v>
      </c>
      <c r="H51" s="2">
        <v>43713</v>
      </c>
      <c r="I51" t="s">
        <v>11</v>
      </c>
      <c r="J51" t="s">
        <v>11</v>
      </c>
      <c r="K51" t="s">
        <v>11</v>
      </c>
    </row>
    <row r="52" spans="1:11" x14ac:dyDescent="0.25">
      <c r="A52">
        <v>512634</v>
      </c>
      <c r="B52" t="s">
        <v>463</v>
      </c>
      <c r="C52" t="s">
        <v>464</v>
      </c>
      <c r="D52" s="2">
        <v>43705</v>
      </c>
      <c r="E52" t="s">
        <v>400</v>
      </c>
      <c r="F52" t="s">
        <v>11</v>
      </c>
      <c r="G52" s="2">
        <v>43707</v>
      </c>
      <c r="H52" s="2">
        <v>43713</v>
      </c>
      <c r="I52" t="s">
        <v>11</v>
      </c>
      <c r="J52" t="s">
        <v>11</v>
      </c>
      <c r="K52" t="s">
        <v>11</v>
      </c>
    </row>
    <row r="53" spans="1:11" x14ac:dyDescent="0.25">
      <c r="A53">
        <v>526703</v>
      </c>
      <c r="B53" t="s">
        <v>465</v>
      </c>
      <c r="C53" t="s">
        <v>466</v>
      </c>
      <c r="D53" s="2">
        <v>43706</v>
      </c>
      <c r="E53" t="s">
        <v>38</v>
      </c>
      <c r="F53" t="s">
        <v>11</v>
      </c>
      <c r="G53" s="2">
        <v>43708</v>
      </c>
      <c r="H53" s="2">
        <v>43714</v>
      </c>
      <c r="I53" t="s">
        <v>11</v>
      </c>
      <c r="J53" t="s">
        <v>11</v>
      </c>
      <c r="K53" t="s">
        <v>11</v>
      </c>
    </row>
    <row r="54" spans="1:11" x14ac:dyDescent="0.25">
      <c r="A54">
        <v>505710</v>
      </c>
      <c r="B54" t="s">
        <v>467</v>
      </c>
      <c r="C54" t="s">
        <v>468</v>
      </c>
      <c r="D54" s="2">
        <v>43706</v>
      </c>
      <c r="E54" t="s">
        <v>54</v>
      </c>
      <c r="F54" t="s">
        <v>11</v>
      </c>
      <c r="G54" s="2">
        <v>43708</v>
      </c>
      <c r="H54" s="2">
        <v>43713</v>
      </c>
      <c r="I54" t="s">
        <v>11</v>
      </c>
      <c r="J54" t="s">
        <v>11</v>
      </c>
      <c r="K54" t="s">
        <v>11</v>
      </c>
    </row>
    <row r="55" spans="1:11" x14ac:dyDescent="0.25">
      <c r="A55">
        <v>500378</v>
      </c>
      <c r="B55" t="s">
        <v>469</v>
      </c>
      <c r="C55" t="s">
        <v>470</v>
      </c>
      <c r="D55" s="2">
        <v>43706</v>
      </c>
      <c r="E55" t="s">
        <v>49</v>
      </c>
      <c r="F55" t="s">
        <v>11</v>
      </c>
      <c r="G55" s="2">
        <v>43711</v>
      </c>
      <c r="H55" s="2">
        <v>43717</v>
      </c>
      <c r="I55" t="s">
        <v>11</v>
      </c>
      <c r="J55" t="s">
        <v>11</v>
      </c>
      <c r="K55" t="s">
        <v>11</v>
      </c>
    </row>
    <row r="56" spans="1:11" x14ac:dyDescent="0.25">
      <c r="A56">
        <v>539957</v>
      </c>
      <c r="B56" t="s">
        <v>471</v>
      </c>
      <c r="C56" t="s">
        <v>472</v>
      </c>
      <c r="D56" s="2">
        <v>43706</v>
      </c>
      <c r="E56" t="s">
        <v>473</v>
      </c>
      <c r="F56" t="s">
        <v>11</v>
      </c>
      <c r="G56" s="2">
        <v>43711</v>
      </c>
      <c r="H56" s="2">
        <v>43717</v>
      </c>
      <c r="I56" t="s">
        <v>11</v>
      </c>
      <c r="J56" t="s">
        <v>11</v>
      </c>
      <c r="K56" t="s">
        <v>11</v>
      </c>
    </row>
    <row r="57" spans="1:11" x14ac:dyDescent="0.25">
      <c r="A57">
        <v>532527</v>
      </c>
      <c r="B57" t="s">
        <v>474</v>
      </c>
      <c r="C57" t="s">
        <v>475</v>
      </c>
      <c r="D57" s="2">
        <v>43706</v>
      </c>
      <c r="E57" t="s">
        <v>16</v>
      </c>
      <c r="F57" t="s">
        <v>11</v>
      </c>
      <c r="G57" s="2">
        <v>43708</v>
      </c>
      <c r="H57" s="2">
        <v>43715</v>
      </c>
      <c r="I57" t="s">
        <v>11</v>
      </c>
      <c r="J57" t="s">
        <v>11</v>
      </c>
      <c r="K57" t="s">
        <v>11</v>
      </c>
    </row>
    <row r="58" spans="1:11" x14ac:dyDescent="0.25">
      <c r="A58">
        <v>516108</v>
      </c>
      <c r="B58" t="s">
        <v>476</v>
      </c>
      <c r="C58" t="s">
        <v>477</v>
      </c>
      <c r="D58" s="2">
        <v>43706</v>
      </c>
      <c r="E58" t="s">
        <v>16</v>
      </c>
      <c r="F58" t="s">
        <v>11</v>
      </c>
      <c r="G58" s="2">
        <v>43709</v>
      </c>
      <c r="H58" s="2">
        <v>43732</v>
      </c>
      <c r="I58" t="s">
        <v>11</v>
      </c>
      <c r="J58" t="s">
        <v>11</v>
      </c>
      <c r="K58" t="s">
        <v>11</v>
      </c>
    </row>
    <row r="59" spans="1:11" x14ac:dyDescent="0.25">
      <c r="A59">
        <v>515093</v>
      </c>
      <c r="B59" t="s">
        <v>478</v>
      </c>
      <c r="C59" t="s">
        <v>479</v>
      </c>
      <c r="D59" s="2">
        <v>43711</v>
      </c>
      <c r="E59" t="s">
        <v>51</v>
      </c>
      <c r="F59" t="s">
        <v>11</v>
      </c>
      <c r="G59" s="2">
        <v>43713</v>
      </c>
      <c r="H59" s="2">
        <v>43720</v>
      </c>
      <c r="I59" t="s">
        <v>11</v>
      </c>
      <c r="J59" t="s">
        <v>11</v>
      </c>
      <c r="K59" t="s">
        <v>11</v>
      </c>
    </row>
    <row r="60" spans="1:11" x14ac:dyDescent="0.25">
      <c r="A60">
        <v>511333</v>
      </c>
      <c r="B60" t="s">
        <v>480</v>
      </c>
      <c r="C60" t="s">
        <v>481</v>
      </c>
      <c r="D60" s="2">
        <v>43711</v>
      </c>
      <c r="E60" t="s">
        <v>27</v>
      </c>
      <c r="F60" t="s">
        <v>11</v>
      </c>
      <c r="G60" s="2">
        <v>43713</v>
      </c>
      <c r="H60" s="2">
        <v>43720</v>
      </c>
      <c r="I60" t="s">
        <v>11</v>
      </c>
      <c r="J60" t="s">
        <v>11</v>
      </c>
      <c r="K60" t="s">
        <v>11</v>
      </c>
    </row>
    <row r="61" spans="1:11" x14ac:dyDescent="0.25">
      <c r="A61">
        <v>533192</v>
      </c>
      <c r="B61" t="s">
        <v>482</v>
      </c>
      <c r="C61" t="s">
        <v>483</v>
      </c>
      <c r="D61" s="2">
        <v>43712</v>
      </c>
      <c r="E61" t="s">
        <v>484</v>
      </c>
      <c r="F61" t="s">
        <v>11</v>
      </c>
      <c r="G61" s="2">
        <v>43714</v>
      </c>
      <c r="H61" s="2">
        <v>43720</v>
      </c>
      <c r="I61" t="s">
        <v>11</v>
      </c>
      <c r="J61" t="s">
        <v>11</v>
      </c>
      <c r="K61" t="s">
        <v>11</v>
      </c>
    </row>
    <row r="62" spans="1:11" x14ac:dyDescent="0.25">
      <c r="A62">
        <v>526367</v>
      </c>
      <c r="B62" t="s">
        <v>485</v>
      </c>
      <c r="C62" t="s">
        <v>486</v>
      </c>
      <c r="D62" s="2">
        <v>43713</v>
      </c>
      <c r="E62" t="s">
        <v>399</v>
      </c>
      <c r="F62" t="s">
        <v>11</v>
      </c>
      <c r="G62" s="2">
        <v>43715</v>
      </c>
      <c r="H62" s="2">
        <v>43721</v>
      </c>
      <c r="I62" t="s">
        <v>11</v>
      </c>
      <c r="J62" t="s">
        <v>11</v>
      </c>
      <c r="K62" t="s">
        <v>11</v>
      </c>
    </row>
    <row r="63" spans="1:11" x14ac:dyDescent="0.25">
      <c r="A63">
        <v>523301</v>
      </c>
      <c r="B63" t="s">
        <v>487</v>
      </c>
      <c r="C63" t="s">
        <v>488</v>
      </c>
      <c r="D63" s="2">
        <v>43713</v>
      </c>
      <c r="E63" t="s">
        <v>489</v>
      </c>
      <c r="F63" t="s">
        <v>11</v>
      </c>
      <c r="G63" s="2">
        <v>43715</v>
      </c>
      <c r="H63" s="2">
        <v>43721</v>
      </c>
      <c r="I63" t="s">
        <v>11</v>
      </c>
      <c r="J63" t="s">
        <v>11</v>
      </c>
      <c r="K63" t="s">
        <v>11</v>
      </c>
    </row>
    <row r="64" spans="1:11" x14ac:dyDescent="0.25">
      <c r="A64">
        <v>540954</v>
      </c>
      <c r="B64" t="s">
        <v>490</v>
      </c>
      <c r="C64" t="s">
        <v>491</v>
      </c>
      <c r="D64" s="2">
        <v>43714</v>
      </c>
      <c r="E64" t="s">
        <v>400</v>
      </c>
      <c r="F64" t="s">
        <v>11</v>
      </c>
      <c r="G64" s="2">
        <v>43719</v>
      </c>
      <c r="H64" s="2">
        <v>43725</v>
      </c>
      <c r="I64" t="s">
        <v>11</v>
      </c>
      <c r="J64" t="s">
        <v>11</v>
      </c>
      <c r="K64" t="s">
        <v>11</v>
      </c>
    </row>
    <row r="65" spans="1:11" x14ac:dyDescent="0.25">
      <c r="A65">
        <v>531503</v>
      </c>
      <c r="B65" t="s">
        <v>492</v>
      </c>
      <c r="C65" t="s">
        <v>493</v>
      </c>
      <c r="D65" s="2">
        <v>43714</v>
      </c>
      <c r="E65" t="s">
        <v>79</v>
      </c>
      <c r="F65" t="s">
        <v>11</v>
      </c>
      <c r="G65" s="2">
        <v>43719</v>
      </c>
      <c r="H65" s="2">
        <v>43728</v>
      </c>
      <c r="I65" t="s">
        <v>11</v>
      </c>
      <c r="J65" t="s">
        <v>11</v>
      </c>
      <c r="K65" t="s">
        <v>11</v>
      </c>
    </row>
    <row r="66" spans="1:11" x14ac:dyDescent="0.25">
      <c r="A66">
        <v>533217</v>
      </c>
      <c r="B66" t="s">
        <v>249</v>
      </c>
      <c r="C66" t="s">
        <v>494</v>
      </c>
      <c r="D66" s="2">
        <v>43717</v>
      </c>
      <c r="E66" t="s">
        <v>397</v>
      </c>
      <c r="F66" t="s">
        <v>11</v>
      </c>
      <c r="G66" s="2">
        <v>43720</v>
      </c>
      <c r="H66" s="2">
        <v>43727</v>
      </c>
      <c r="I66" t="s">
        <v>11</v>
      </c>
      <c r="J66" t="s">
        <v>11</v>
      </c>
      <c r="K66" t="s">
        <v>11</v>
      </c>
    </row>
    <row r="67" spans="1:11" x14ac:dyDescent="0.25">
      <c r="A67">
        <v>590065</v>
      </c>
      <c r="B67" t="s">
        <v>495</v>
      </c>
      <c r="C67" t="s">
        <v>496</v>
      </c>
      <c r="D67" s="2">
        <v>43717</v>
      </c>
      <c r="E67" t="s">
        <v>98</v>
      </c>
      <c r="F67" t="s">
        <v>11</v>
      </c>
      <c r="G67" s="2">
        <v>43720</v>
      </c>
      <c r="H67" s="2">
        <v>43724</v>
      </c>
      <c r="I67" t="s">
        <v>11</v>
      </c>
      <c r="J67" t="s">
        <v>11</v>
      </c>
      <c r="K67" t="s">
        <v>11</v>
      </c>
    </row>
    <row r="68" spans="1:11" x14ac:dyDescent="0.25">
      <c r="A68">
        <v>514183</v>
      </c>
      <c r="B68" t="s">
        <v>497</v>
      </c>
      <c r="C68" t="s">
        <v>498</v>
      </c>
      <c r="D68" s="2">
        <v>43719</v>
      </c>
      <c r="E68" t="s">
        <v>90</v>
      </c>
      <c r="F68" t="s">
        <v>11</v>
      </c>
      <c r="G68" s="2">
        <v>43721</v>
      </c>
      <c r="H68" s="2">
        <v>43731</v>
      </c>
      <c r="I68" t="s">
        <v>11</v>
      </c>
      <c r="J68" t="s">
        <v>11</v>
      </c>
      <c r="K68" t="s">
        <v>11</v>
      </c>
    </row>
    <row r="69" spans="1:11" x14ac:dyDescent="0.25">
      <c r="A69">
        <v>503015</v>
      </c>
      <c r="B69" t="s">
        <v>499</v>
      </c>
      <c r="C69" t="s">
        <v>500</v>
      </c>
      <c r="D69" s="2">
        <v>43719</v>
      </c>
      <c r="E69" t="s">
        <v>501</v>
      </c>
      <c r="F69" t="s">
        <v>11</v>
      </c>
      <c r="G69" s="2">
        <v>43721</v>
      </c>
      <c r="H69" s="2">
        <v>43735</v>
      </c>
      <c r="I69" t="s">
        <v>11</v>
      </c>
      <c r="J69" t="s">
        <v>11</v>
      </c>
      <c r="K69" t="s">
        <v>11</v>
      </c>
    </row>
    <row r="70" spans="1:11" x14ac:dyDescent="0.25">
      <c r="A70">
        <v>531426</v>
      </c>
      <c r="B70" t="s">
        <v>502</v>
      </c>
      <c r="C70" t="s">
        <v>503</v>
      </c>
      <c r="D70" s="2">
        <v>43719</v>
      </c>
      <c r="E70" t="s">
        <v>81</v>
      </c>
      <c r="F70" t="s">
        <v>11</v>
      </c>
      <c r="G70" s="2">
        <v>43721</v>
      </c>
      <c r="H70" s="2">
        <v>43727</v>
      </c>
      <c r="I70" t="s">
        <v>11</v>
      </c>
      <c r="J70" t="s">
        <v>11</v>
      </c>
      <c r="K70" t="s">
        <v>11</v>
      </c>
    </row>
    <row r="71" spans="1:11" x14ac:dyDescent="0.25">
      <c r="A71">
        <v>508869</v>
      </c>
      <c r="B71" t="s">
        <v>341</v>
      </c>
      <c r="C71" t="s">
        <v>504</v>
      </c>
      <c r="D71" s="2">
        <v>43720</v>
      </c>
      <c r="E71" t="s">
        <v>63</v>
      </c>
      <c r="F71" t="s">
        <v>11</v>
      </c>
      <c r="G71" s="2">
        <v>43722</v>
      </c>
      <c r="H71" s="2">
        <v>43733</v>
      </c>
      <c r="I71" t="s">
        <v>11</v>
      </c>
      <c r="J71" t="s">
        <v>11</v>
      </c>
      <c r="K71" t="s">
        <v>11</v>
      </c>
    </row>
    <row r="72" spans="1:11" x14ac:dyDescent="0.25">
      <c r="A72">
        <v>506197</v>
      </c>
      <c r="B72" t="s">
        <v>505</v>
      </c>
      <c r="C72" t="s">
        <v>506</v>
      </c>
      <c r="D72" s="2">
        <v>43720</v>
      </c>
      <c r="E72" t="s">
        <v>79</v>
      </c>
      <c r="F72" t="s">
        <v>11</v>
      </c>
      <c r="G72" s="2">
        <v>43722</v>
      </c>
      <c r="H72" s="2">
        <v>43728</v>
      </c>
      <c r="I72" t="s">
        <v>11</v>
      </c>
      <c r="J72" t="s">
        <v>11</v>
      </c>
      <c r="K72" t="s">
        <v>11</v>
      </c>
    </row>
    <row r="73" spans="1:11" x14ac:dyDescent="0.25">
      <c r="A73">
        <v>531306</v>
      </c>
      <c r="B73" t="s">
        <v>507</v>
      </c>
      <c r="C73" t="s">
        <v>508</v>
      </c>
      <c r="D73" s="2">
        <v>43720</v>
      </c>
      <c r="E73" t="s">
        <v>22</v>
      </c>
      <c r="F73" t="s">
        <v>11</v>
      </c>
      <c r="G73" s="2">
        <v>43722</v>
      </c>
      <c r="H73" s="2">
        <v>43728</v>
      </c>
      <c r="I73" t="s">
        <v>11</v>
      </c>
      <c r="J73" t="s">
        <v>11</v>
      </c>
      <c r="K73" t="s">
        <v>11</v>
      </c>
    </row>
    <row r="74" spans="1:11" x14ac:dyDescent="0.25">
      <c r="A74">
        <v>532768</v>
      </c>
      <c r="B74" t="s">
        <v>509</v>
      </c>
      <c r="C74" t="s">
        <v>510</v>
      </c>
      <c r="D74" s="2">
        <v>43720</v>
      </c>
      <c r="E74" t="s">
        <v>47</v>
      </c>
      <c r="F74" t="s">
        <v>11</v>
      </c>
      <c r="G74" s="2">
        <v>43724</v>
      </c>
      <c r="H74" s="2">
        <v>43731</v>
      </c>
      <c r="I74" t="s">
        <v>11</v>
      </c>
      <c r="J74" t="s">
        <v>11</v>
      </c>
      <c r="K74" t="s">
        <v>11</v>
      </c>
    </row>
    <row r="75" spans="1:11" x14ac:dyDescent="0.25">
      <c r="A75">
        <v>526729</v>
      </c>
      <c r="B75" t="s">
        <v>511</v>
      </c>
      <c r="C75" t="s">
        <v>512</v>
      </c>
      <c r="D75" s="2">
        <v>43720</v>
      </c>
      <c r="E75" t="s">
        <v>27</v>
      </c>
      <c r="F75" s="2">
        <v>43721</v>
      </c>
      <c r="G75" t="s">
        <v>11</v>
      </c>
      <c r="H75" t="s">
        <v>11</v>
      </c>
      <c r="I75" t="s">
        <v>11</v>
      </c>
      <c r="J75" t="s">
        <v>11</v>
      </c>
      <c r="K75" t="s">
        <v>11</v>
      </c>
    </row>
    <row r="76" spans="1:11" x14ac:dyDescent="0.25">
      <c r="A76">
        <v>509709</v>
      </c>
      <c r="B76" t="s">
        <v>513</v>
      </c>
      <c r="C76" t="s">
        <v>514</v>
      </c>
      <c r="D76" s="2">
        <v>43720</v>
      </c>
      <c r="E76" t="s">
        <v>401</v>
      </c>
      <c r="F76" t="s">
        <v>11</v>
      </c>
      <c r="G76" s="2">
        <v>43722</v>
      </c>
      <c r="H76" s="2">
        <v>43729</v>
      </c>
      <c r="I76" t="s">
        <v>11</v>
      </c>
      <c r="J76" t="s">
        <v>11</v>
      </c>
      <c r="K76" t="s">
        <v>11</v>
      </c>
    </row>
    <row r="77" spans="1:11" x14ac:dyDescent="0.25">
      <c r="A77">
        <v>505160</v>
      </c>
      <c r="B77" t="s">
        <v>515</v>
      </c>
      <c r="C77" t="s">
        <v>516</v>
      </c>
      <c r="D77" s="2">
        <v>43721</v>
      </c>
      <c r="E77" t="s">
        <v>82</v>
      </c>
      <c r="F77" t="s">
        <v>11</v>
      </c>
      <c r="G77" s="2">
        <v>43725</v>
      </c>
      <c r="H77" s="2">
        <v>43733</v>
      </c>
      <c r="I77" t="s">
        <v>11</v>
      </c>
      <c r="J77" t="s">
        <v>11</v>
      </c>
      <c r="K77" t="s">
        <v>11</v>
      </c>
    </row>
    <row r="78" spans="1:11" x14ac:dyDescent="0.25">
      <c r="A78">
        <v>532662</v>
      </c>
      <c r="B78" t="s">
        <v>257</v>
      </c>
      <c r="C78" t="s">
        <v>517</v>
      </c>
      <c r="D78" s="2">
        <v>43725</v>
      </c>
      <c r="E78" t="s">
        <v>395</v>
      </c>
      <c r="F78" t="s">
        <v>11</v>
      </c>
      <c r="G78" s="2">
        <v>43727</v>
      </c>
      <c r="H78" s="2">
        <v>43734</v>
      </c>
      <c r="I78" t="s">
        <v>11</v>
      </c>
      <c r="J78" t="s">
        <v>11</v>
      </c>
      <c r="K78" t="s">
        <v>11</v>
      </c>
    </row>
    <row r="79" spans="1:11" x14ac:dyDescent="0.25">
      <c r="A79">
        <v>522005</v>
      </c>
      <c r="B79" t="s">
        <v>518</v>
      </c>
      <c r="C79" t="s">
        <v>519</v>
      </c>
      <c r="D79" s="2">
        <v>43726</v>
      </c>
      <c r="E79" t="s">
        <v>399</v>
      </c>
      <c r="F79" t="s">
        <v>11</v>
      </c>
      <c r="G79" s="2">
        <v>43728</v>
      </c>
      <c r="H79" s="2">
        <v>43734</v>
      </c>
      <c r="I79" t="s">
        <v>11</v>
      </c>
      <c r="J79" t="s">
        <v>11</v>
      </c>
      <c r="K79" t="s">
        <v>11</v>
      </c>
    </row>
    <row r="80" spans="1:11" x14ac:dyDescent="0.25">
      <c r="A80">
        <v>590075</v>
      </c>
      <c r="B80" t="s">
        <v>520</v>
      </c>
      <c r="C80" t="s">
        <v>521</v>
      </c>
      <c r="D80" s="2">
        <v>43726</v>
      </c>
      <c r="E80" t="s">
        <v>27</v>
      </c>
      <c r="F80" t="s">
        <v>11</v>
      </c>
      <c r="G80" s="2">
        <v>43728</v>
      </c>
      <c r="H80" s="2">
        <v>43734</v>
      </c>
      <c r="I80" t="s">
        <v>11</v>
      </c>
      <c r="J80" t="s">
        <v>11</v>
      </c>
      <c r="K80" t="s">
        <v>11</v>
      </c>
    </row>
    <row r="81" spans="1:11" x14ac:dyDescent="0.25">
      <c r="A81">
        <v>514354</v>
      </c>
      <c r="B81" t="s">
        <v>522</v>
      </c>
      <c r="C81" t="s">
        <v>523</v>
      </c>
      <c r="D81" s="2">
        <v>43726</v>
      </c>
      <c r="E81" t="s">
        <v>399</v>
      </c>
      <c r="F81" t="s">
        <v>11</v>
      </c>
      <c r="G81" s="2">
        <v>43728</v>
      </c>
      <c r="H81" s="2">
        <v>43734</v>
      </c>
      <c r="I81" t="s">
        <v>11</v>
      </c>
      <c r="J81" t="s">
        <v>11</v>
      </c>
      <c r="K81" t="s">
        <v>11</v>
      </c>
    </row>
    <row r="82" spans="1:11" x14ac:dyDescent="0.25">
      <c r="A82">
        <v>526409</v>
      </c>
      <c r="B82" t="s">
        <v>524</v>
      </c>
      <c r="C82" t="s">
        <v>525</v>
      </c>
      <c r="D82" s="2">
        <v>43727</v>
      </c>
      <c r="E82" t="s">
        <v>501</v>
      </c>
      <c r="F82" t="s">
        <v>11</v>
      </c>
      <c r="G82" s="2">
        <v>43729</v>
      </c>
      <c r="H82" s="2">
        <v>43735</v>
      </c>
      <c r="I82" t="s">
        <v>11</v>
      </c>
      <c r="J82" t="s">
        <v>11</v>
      </c>
      <c r="K82" t="s">
        <v>11</v>
      </c>
    </row>
    <row r="83" spans="1:11" x14ac:dyDescent="0.25">
      <c r="A83">
        <v>538964</v>
      </c>
      <c r="B83" t="s">
        <v>526</v>
      </c>
      <c r="C83" t="s">
        <v>527</v>
      </c>
      <c r="D83" s="2">
        <v>43727</v>
      </c>
      <c r="E83" t="s">
        <v>38</v>
      </c>
      <c r="F83" t="s">
        <v>11</v>
      </c>
      <c r="G83" s="2">
        <v>43731</v>
      </c>
      <c r="H83" s="2">
        <v>43736</v>
      </c>
      <c r="I83" t="s">
        <v>11</v>
      </c>
      <c r="J83" t="s">
        <v>11</v>
      </c>
      <c r="K83" t="s">
        <v>11</v>
      </c>
    </row>
    <row r="84" spans="1:11" x14ac:dyDescent="0.25">
      <c r="A84">
        <v>531091</v>
      </c>
      <c r="B84" t="s">
        <v>528</v>
      </c>
      <c r="C84" t="s">
        <v>529</v>
      </c>
      <c r="D84" s="2">
        <v>43727</v>
      </c>
      <c r="E84" t="s">
        <v>398</v>
      </c>
      <c r="F84" s="2">
        <v>43728</v>
      </c>
      <c r="G84" t="s">
        <v>11</v>
      </c>
      <c r="H84" t="s">
        <v>11</v>
      </c>
      <c r="I84" t="s">
        <v>11</v>
      </c>
      <c r="J84" t="s">
        <v>11</v>
      </c>
      <c r="K84" t="s">
        <v>11</v>
      </c>
    </row>
    <row r="85" spans="1:11" x14ac:dyDescent="0.25">
      <c r="A85">
        <v>514087</v>
      </c>
      <c r="B85" t="s">
        <v>530</v>
      </c>
      <c r="C85" t="s">
        <v>531</v>
      </c>
      <c r="D85" s="2">
        <v>43728</v>
      </c>
      <c r="E85" t="s">
        <v>52</v>
      </c>
      <c r="F85" t="s">
        <v>11</v>
      </c>
      <c r="G85" s="2">
        <v>43732</v>
      </c>
      <c r="H85" s="2">
        <v>43738</v>
      </c>
      <c r="I85" t="s">
        <v>11</v>
      </c>
      <c r="J85" t="s">
        <v>11</v>
      </c>
      <c r="K85" t="s">
        <v>11</v>
      </c>
    </row>
    <row r="86" spans="1:11" x14ac:dyDescent="0.25">
      <c r="A86">
        <v>524687</v>
      </c>
      <c r="B86" t="s">
        <v>532</v>
      </c>
      <c r="C86" t="s">
        <v>533</v>
      </c>
      <c r="D86" s="2">
        <v>43733</v>
      </c>
      <c r="E86" t="s">
        <v>401</v>
      </c>
      <c r="F86" t="s">
        <v>11</v>
      </c>
      <c r="G86" s="2">
        <v>43735</v>
      </c>
      <c r="H86" s="2">
        <v>43738</v>
      </c>
      <c r="I86" t="s">
        <v>11</v>
      </c>
      <c r="J86" t="s">
        <v>11</v>
      </c>
      <c r="K86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9"/>
  <sheetViews>
    <sheetView workbookViewId="0"/>
  </sheetViews>
  <sheetFormatPr defaultColWidth="15.140625" defaultRowHeight="15" x14ac:dyDescent="0.25"/>
  <cols>
    <col min="1" max="1" width="13.28515625" bestFit="1" customWidth="1"/>
    <col min="2" max="2" width="14.85546875" bestFit="1" customWidth="1"/>
    <col min="3" max="3" width="28.140625" bestFit="1" customWidth="1"/>
    <col min="4" max="4" width="32.5703125" bestFit="1" customWidth="1"/>
    <col min="5" max="5" width="13.140625" bestFit="1" customWidth="1"/>
    <col min="6" max="6" width="24.5703125" bestFit="1" customWidth="1"/>
  </cols>
  <sheetData>
    <row r="1" spans="1:6" x14ac:dyDescent="0.25">
      <c r="A1" t="s">
        <v>0</v>
      </c>
      <c r="B1" t="s">
        <v>158</v>
      </c>
      <c r="C1" t="s">
        <v>105</v>
      </c>
      <c r="D1" t="s">
        <v>3</v>
      </c>
      <c r="E1" t="s">
        <v>106</v>
      </c>
      <c r="F1" t="s">
        <v>159</v>
      </c>
    </row>
    <row r="2" spans="1:6" x14ac:dyDescent="0.25">
      <c r="A2">
        <v>541302</v>
      </c>
      <c r="B2" t="s">
        <v>107</v>
      </c>
      <c r="C2" t="s">
        <v>108</v>
      </c>
      <c r="D2" t="s">
        <v>109</v>
      </c>
      <c r="E2" s="2">
        <v>43649</v>
      </c>
      <c r="F2" s="3">
        <v>43642.710196759261</v>
      </c>
    </row>
    <row r="3" spans="1:6" x14ac:dyDescent="0.25">
      <c r="A3">
        <v>540596</v>
      </c>
      <c r="B3" t="s">
        <v>110</v>
      </c>
      <c r="C3" t="s">
        <v>111</v>
      </c>
      <c r="D3" t="s">
        <v>35</v>
      </c>
      <c r="E3" s="2">
        <v>43649</v>
      </c>
      <c r="F3" s="3">
        <v>43640.733113425929</v>
      </c>
    </row>
    <row r="4" spans="1:6" x14ac:dyDescent="0.25">
      <c r="A4">
        <v>517433</v>
      </c>
      <c r="B4" t="s">
        <v>112</v>
      </c>
      <c r="C4" t="s">
        <v>113</v>
      </c>
      <c r="D4" t="s">
        <v>109</v>
      </c>
      <c r="E4" s="2">
        <v>43649</v>
      </c>
      <c r="F4" s="3">
        <v>43640.61278935185</v>
      </c>
    </row>
    <row r="5" spans="1:6" x14ac:dyDescent="0.25">
      <c r="A5">
        <v>539594</v>
      </c>
      <c r="B5" t="s">
        <v>114</v>
      </c>
      <c r="C5" t="s">
        <v>115</v>
      </c>
      <c r="D5" t="s">
        <v>109</v>
      </c>
      <c r="E5" s="2">
        <v>43649</v>
      </c>
      <c r="F5" s="3">
        <v>43640.515844907408</v>
      </c>
    </row>
    <row r="6" spans="1:6" x14ac:dyDescent="0.25">
      <c r="A6">
        <v>524709</v>
      </c>
      <c r="B6" t="s">
        <v>116</v>
      </c>
      <c r="C6" t="s">
        <v>117</v>
      </c>
      <c r="D6" t="s">
        <v>109</v>
      </c>
      <c r="E6" s="2">
        <v>43649</v>
      </c>
      <c r="F6" s="3">
        <v>43644.832175925927</v>
      </c>
    </row>
    <row r="7" spans="1:6" x14ac:dyDescent="0.25">
      <c r="A7">
        <v>532898</v>
      </c>
      <c r="B7" t="s">
        <v>118</v>
      </c>
      <c r="C7" t="s">
        <v>119</v>
      </c>
      <c r="D7" t="s">
        <v>109</v>
      </c>
      <c r="E7" s="2">
        <v>43649</v>
      </c>
      <c r="F7" s="3">
        <v>43644.462743055556</v>
      </c>
    </row>
    <row r="8" spans="1:6" x14ac:dyDescent="0.25">
      <c r="A8">
        <v>507514</v>
      </c>
      <c r="B8" t="s">
        <v>120</v>
      </c>
      <c r="C8" t="s">
        <v>121</v>
      </c>
      <c r="D8" t="s">
        <v>109</v>
      </c>
      <c r="E8" s="2">
        <v>43649</v>
      </c>
      <c r="F8" s="3">
        <v>43640.690740740742</v>
      </c>
    </row>
    <row r="9" spans="1:6" x14ac:dyDescent="0.25">
      <c r="A9">
        <v>534742</v>
      </c>
      <c r="B9" t="s">
        <v>122</v>
      </c>
      <c r="C9" t="s">
        <v>123</v>
      </c>
      <c r="D9" t="s">
        <v>109</v>
      </c>
      <c r="E9" s="2">
        <v>43649</v>
      </c>
      <c r="F9" s="3">
        <v>43647.398078703707</v>
      </c>
    </row>
    <row r="10" spans="1:6" x14ac:dyDescent="0.25">
      <c r="A10">
        <v>506159</v>
      </c>
      <c r="B10" t="s">
        <v>124</v>
      </c>
      <c r="C10" t="s">
        <v>125</v>
      </c>
      <c r="D10" t="s">
        <v>126</v>
      </c>
      <c r="E10" s="2">
        <v>43650</v>
      </c>
      <c r="F10" s="3">
        <v>43642.716979166667</v>
      </c>
    </row>
    <row r="11" spans="1:6" x14ac:dyDescent="0.25">
      <c r="A11">
        <v>542668</v>
      </c>
      <c r="B11" t="s">
        <v>127</v>
      </c>
      <c r="C11" t="s">
        <v>128</v>
      </c>
      <c r="D11" t="s">
        <v>129</v>
      </c>
      <c r="E11" s="2">
        <v>43650</v>
      </c>
      <c r="F11" s="3">
        <v>43643.646886574075</v>
      </c>
    </row>
    <row r="12" spans="1:6" x14ac:dyDescent="0.25">
      <c r="A12">
        <v>507488</v>
      </c>
      <c r="B12" t="s">
        <v>130</v>
      </c>
      <c r="C12" t="s">
        <v>121</v>
      </c>
      <c r="D12" t="s">
        <v>131</v>
      </c>
      <c r="E12" s="2">
        <v>43650</v>
      </c>
      <c r="F12" s="3">
        <v>43630.638472222221</v>
      </c>
    </row>
    <row r="13" spans="1:6" x14ac:dyDescent="0.25">
      <c r="A13">
        <v>540396</v>
      </c>
      <c r="B13" t="s">
        <v>132</v>
      </c>
      <c r="C13" t="s">
        <v>133</v>
      </c>
      <c r="D13" t="s">
        <v>126</v>
      </c>
      <c r="E13" s="2">
        <v>43650</v>
      </c>
      <c r="F13" s="3">
        <v>43644.460347222222</v>
      </c>
    </row>
    <row r="14" spans="1:6" x14ac:dyDescent="0.25">
      <c r="A14">
        <v>537253</v>
      </c>
      <c r="B14" t="s">
        <v>134</v>
      </c>
      <c r="C14" t="s">
        <v>111</v>
      </c>
      <c r="D14" t="s">
        <v>109</v>
      </c>
      <c r="E14" s="2">
        <v>43650</v>
      </c>
      <c r="F14" s="3">
        <v>43648.500196759262</v>
      </c>
    </row>
    <row r="15" spans="1:6" x14ac:dyDescent="0.25">
      <c r="A15">
        <v>507878</v>
      </c>
      <c r="B15" t="s">
        <v>135</v>
      </c>
      <c r="C15" t="s">
        <v>136</v>
      </c>
      <c r="D15" t="s">
        <v>137</v>
      </c>
      <c r="E15" s="2">
        <v>43650</v>
      </c>
      <c r="F15" s="3">
        <v>43642.374895833331</v>
      </c>
    </row>
    <row r="16" spans="1:6" x14ac:dyDescent="0.25">
      <c r="A16">
        <v>500463</v>
      </c>
      <c r="B16" t="s">
        <v>138</v>
      </c>
      <c r="C16" t="s">
        <v>113</v>
      </c>
      <c r="D16" t="s">
        <v>126</v>
      </c>
      <c r="E16" s="2">
        <v>43651</v>
      </c>
      <c r="F16" s="3">
        <v>43647.759351851855</v>
      </c>
    </row>
    <row r="17" spans="1:6" x14ac:dyDescent="0.25">
      <c r="A17">
        <v>524332</v>
      </c>
      <c r="B17" t="s">
        <v>139</v>
      </c>
      <c r="C17" t="s">
        <v>140</v>
      </c>
      <c r="D17" t="s">
        <v>141</v>
      </c>
      <c r="E17" s="2">
        <v>43651</v>
      </c>
      <c r="F17" s="3">
        <v>43643.762395833335</v>
      </c>
    </row>
    <row r="18" spans="1:6" x14ac:dyDescent="0.25">
      <c r="A18">
        <v>524768</v>
      </c>
      <c r="B18" t="s">
        <v>142</v>
      </c>
      <c r="C18" t="s">
        <v>143</v>
      </c>
      <c r="D18" t="s">
        <v>131</v>
      </c>
      <c r="E18" s="2">
        <v>43651</v>
      </c>
      <c r="F18" s="3">
        <v>43643.508263888885</v>
      </c>
    </row>
    <row r="19" spans="1:6" x14ac:dyDescent="0.25">
      <c r="A19">
        <v>532892</v>
      </c>
      <c r="B19" t="s">
        <v>144</v>
      </c>
      <c r="C19" t="s">
        <v>145</v>
      </c>
      <c r="D19" t="s">
        <v>146</v>
      </c>
      <c r="E19" s="2">
        <v>43651</v>
      </c>
      <c r="F19" s="3">
        <v>43648.534872685188</v>
      </c>
    </row>
    <row r="20" spans="1:6" x14ac:dyDescent="0.25">
      <c r="A20">
        <v>500338</v>
      </c>
      <c r="B20" t="s">
        <v>147</v>
      </c>
      <c r="C20" t="s">
        <v>148</v>
      </c>
      <c r="D20" t="s">
        <v>109</v>
      </c>
      <c r="E20" s="2">
        <v>43651</v>
      </c>
      <c r="F20" s="3">
        <v>43643.644953703704</v>
      </c>
    </row>
    <row r="21" spans="1:6" x14ac:dyDescent="0.25">
      <c r="A21">
        <v>532972</v>
      </c>
      <c r="B21" t="s">
        <v>149</v>
      </c>
      <c r="C21" t="s">
        <v>150</v>
      </c>
      <c r="D21" t="s">
        <v>109</v>
      </c>
      <c r="E21" s="2">
        <v>43651</v>
      </c>
      <c r="F21" s="3">
        <v>43648.632465277777</v>
      </c>
    </row>
    <row r="22" spans="1:6" x14ac:dyDescent="0.25">
      <c r="A22">
        <v>512101</v>
      </c>
      <c r="B22" t="s">
        <v>151</v>
      </c>
      <c r="C22" t="s">
        <v>111</v>
      </c>
      <c r="D22" t="s">
        <v>109</v>
      </c>
      <c r="E22" s="2">
        <v>43651</v>
      </c>
      <c r="F22" s="3">
        <v>43644.834108796298</v>
      </c>
    </row>
    <row r="23" spans="1:6" x14ac:dyDescent="0.25">
      <c r="A23">
        <v>539398</v>
      </c>
      <c r="B23" t="s">
        <v>152</v>
      </c>
      <c r="C23" t="s">
        <v>153</v>
      </c>
      <c r="D23" t="s">
        <v>109</v>
      </c>
      <c r="E23" s="2">
        <v>43651</v>
      </c>
      <c r="F23" s="3">
        <v>43647.395891203705</v>
      </c>
    </row>
    <row r="24" spans="1:6" x14ac:dyDescent="0.25">
      <c r="A24">
        <v>531525</v>
      </c>
      <c r="B24" t="s">
        <v>154</v>
      </c>
      <c r="C24" t="s">
        <v>150</v>
      </c>
      <c r="D24" t="s">
        <v>126</v>
      </c>
      <c r="E24" s="2">
        <v>43652</v>
      </c>
      <c r="F24" s="3">
        <v>43647.378263888888</v>
      </c>
    </row>
    <row r="25" spans="1:6" x14ac:dyDescent="0.25">
      <c r="A25">
        <v>531739</v>
      </c>
      <c r="B25" t="s">
        <v>155</v>
      </c>
      <c r="C25" t="s">
        <v>111</v>
      </c>
      <c r="D25" t="s">
        <v>109</v>
      </c>
      <c r="E25" s="2">
        <v>43652</v>
      </c>
      <c r="F25" s="3">
        <v>43637.816354166665</v>
      </c>
    </row>
    <row r="26" spans="1:6" x14ac:dyDescent="0.25">
      <c r="A26">
        <v>513250</v>
      </c>
      <c r="B26" t="s">
        <v>156</v>
      </c>
      <c r="C26" t="s">
        <v>157</v>
      </c>
      <c r="D26" t="s">
        <v>109</v>
      </c>
      <c r="E26" s="2">
        <v>43652</v>
      </c>
      <c r="F26" s="3">
        <v>43641.775069444448</v>
      </c>
    </row>
    <row r="27" spans="1:6" x14ac:dyDescent="0.25">
      <c r="A27">
        <v>531779</v>
      </c>
      <c r="B27" t="s">
        <v>160</v>
      </c>
      <c r="C27" t="s">
        <v>161</v>
      </c>
      <c r="D27" t="s">
        <v>137</v>
      </c>
      <c r="E27" s="2">
        <v>43652</v>
      </c>
      <c r="F27" s="3">
        <v>43647.725034722222</v>
      </c>
    </row>
    <row r="28" spans="1:6" x14ac:dyDescent="0.25">
      <c r="A28">
        <v>523283</v>
      </c>
      <c r="B28" t="s">
        <v>162</v>
      </c>
      <c r="C28" t="s">
        <v>163</v>
      </c>
      <c r="D28" t="s">
        <v>109</v>
      </c>
      <c r="E28" s="2">
        <v>43652</v>
      </c>
      <c r="F28" s="3">
        <v>43640.697685185187</v>
      </c>
    </row>
    <row r="29" spans="1:6" x14ac:dyDescent="0.25">
      <c r="A29">
        <v>532016</v>
      </c>
      <c r="B29" t="s">
        <v>164</v>
      </c>
      <c r="C29" t="s">
        <v>136</v>
      </c>
      <c r="D29" t="s">
        <v>131</v>
      </c>
      <c r="E29" s="2">
        <v>43652</v>
      </c>
      <c r="F29" s="3">
        <v>43644.644131944442</v>
      </c>
    </row>
    <row r="30" spans="1:6" x14ac:dyDescent="0.25">
      <c r="A30">
        <v>524208</v>
      </c>
      <c r="B30" t="s">
        <v>10</v>
      </c>
      <c r="C30" t="s">
        <v>143</v>
      </c>
      <c r="D30" t="s">
        <v>109</v>
      </c>
      <c r="E30" s="2">
        <v>43654</v>
      </c>
      <c r="F30" s="3">
        <v>43647.393379629626</v>
      </c>
    </row>
    <row r="31" spans="1:6" x14ac:dyDescent="0.25">
      <c r="A31">
        <v>542579</v>
      </c>
      <c r="B31" t="s">
        <v>165</v>
      </c>
      <c r="C31" t="s">
        <v>166</v>
      </c>
      <c r="D31" t="s">
        <v>109</v>
      </c>
      <c r="E31" s="2">
        <v>43654</v>
      </c>
      <c r="F31" s="3">
        <v>43643.771620370368</v>
      </c>
    </row>
    <row r="32" spans="1:6" x14ac:dyDescent="0.25">
      <c r="A32">
        <v>531677</v>
      </c>
      <c r="B32" t="s">
        <v>167</v>
      </c>
      <c r="C32" t="s">
        <v>113</v>
      </c>
      <c r="D32" t="s">
        <v>109</v>
      </c>
      <c r="E32" s="2">
        <v>43654</v>
      </c>
      <c r="F32" s="3">
        <v>43647.709988425922</v>
      </c>
    </row>
    <row r="33" spans="1:6" x14ac:dyDescent="0.25">
      <c r="A33">
        <v>532848</v>
      </c>
      <c r="B33" t="s">
        <v>72</v>
      </c>
      <c r="C33" t="s">
        <v>128</v>
      </c>
      <c r="D33" t="s">
        <v>131</v>
      </c>
      <c r="E33" s="2">
        <v>43654</v>
      </c>
      <c r="F33" s="3">
        <v>43644.77888888889</v>
      </c>
    </row>
    <row r="34" spans="1:6" x14ac:dyDescent="0.25">
      <c r="A34">
        <v>509567</v>
      </c>
      <c r="B34" t="s">
        <v>168</v>
      </c>
      <c r="C34" t="s">
        <v>169</v>
      </c>
      <c r="D34" t="s">
        <v>131</v>
      </c>
      <c r="E34" s="2">
        <v>43654</v>
      </c>
      <c r="F34" s="3">
        <v>43643.443541666667</v>
      </c>
    </row>
    <row r="35" spans="1:6" x14ac:dyDescent="0.25">
      <c r="A35">
        <v>509073</v>
      </c>
      <c r="B35" t="s">
        <v>170</v>
      </c>
      <c r="C35" t="s">
        <v>171</v>
      </c>
      <c r="D35" t="s">
        <v>131</v>
      </c>
      <c r="E35" s="2">
        <v>43654</v>
      </c>
      <c r="F35" s="3">
        <v>43643.495069444441</v>
      </c>
    </row>
    <row r="36" spans="1:6" x14ac:dyDescent="0.25">
      <c r="A36">
        <v>539909</v>
      </c>
      <c r="B36" t="s">
        <v>172</v>
      </c>
      <c r="C36" t="s">
        <v>145</v>
      </c>
      <c r="D36" t="s">
        <v>173</v>
      </c>
      <c r="E36" s="2">
        <v>43654</v>
      </c>
      <c r="F36" s="3">
        <v>43647.579722222225</v>
      </c>
    </row>
    <row r="37" spans="1:6" x14ac:dyDescent="0.25">
      <c r="A37">
        <v>511768</v>
      </c>
      <c r="B37" t="s">
        <v>174</v>
      </c>
      <c r="C37" t="s">
        <v>145</v>
      </c>
      <c r="D37" t="s">
        <v>175</v>
      </c>
      <c r="E37" s="2">
        <v>43654</v>
      </c>
      <c r="F37" s="3">
        <v>43640.617245370369</v>
      </c>
    </row>
    <row r="38" spans="1:6" x14ac:dyDescent="0.25">
      <c r="A38">
        <v>519299</v>
      </c>
      <c r="B38" t="s">
        <v>176</v>
      </c>
      <c r="C38" t="s">
        <v>140</v>
      </c>
      <c r="D38" t="s">
        <v>175</v>
      </c>
      <c r="E38" s="2">
        <v>43654</v>
      </c>
      <c r="F38" s="3">
        <v>43640.625243055554</v>
      </c>
    </row>
    <row r="39" spans="1:6" x14ac:dyDescent="0.25">
      <c r="A39">
        <v>513262</v>
      </c>
      <c r="B39" t="s">
        <v>177</v>
      </c>
      <c r="C39" t="s">
        <v>178</v>
      </c>
      <c r="D39" t="s">
        <v>131</v>
      </c>
      <c r="E39" s="2">
        <v>43654</v>
      </c>
      <c r="F39" s="3">
        <v>43647.746759259258</v>
      </c>
    </row>
    <row r="40" spans="1:6" x14ac:dyDescent="0.25">
      <c r="A40">
        <v>532051</v>
      </c>
      <c r="B40" t="s">
        <v>179</v>
      </c>
      <c r="C40" t="s">
        <v>157</v>
      </c>
      <c r="D40" t="s">
        <v>180</v>
      </c>
      <c r="E40" s="2">
        <v>43654</v>
      </c>
      <c r="F40" s="3">
        <v>43647.787754629629</v>
      </c>
    </row>
    <row r="41" spans="1:6" x14ac:dyDescent="0.25">
      <c r="A41">
        <v>533090</v>
      </c>
      <c r="B41" t="s">
        <v>181</v>
      </c>
      <c r="C41" t="s">
        <v>182</v>
      </c>
      <c r="D41" t="s">
        <v>131</v>
      </c>
      <c r="E41" s="2">
        <v>43655</v>
      </c>
      <c r="F41" s="3">
        <v>43647.652384259258</v>
      </c>
    </row>
    <row r="42" spans="1:6" x14ac:dyDescent="0.25">
      <c r="A42">
        <v>509762</v>
      </c>
      <c r="B42" t="s">
        <v>183</v>
      </c>
      <c r="C42" t="s">
        <v>143</v>
      </c>
      <c r="D42" t="s">
        <v>137</v>
      </c>
      <c r="E42" s="2">
        <v>43655</v>
      </c>
      <c r="F42" s="3">
        <v>43644.777696759258</v>
      </c>
    </row>
    <row r="43" spans="1:6" x14ac:dyDescent="0.25">
      <c r="A43">
        <v>532540</v>
      </c>
      <c r="B43" t="s">
        <v>88</v>
      </c>
      <c r="C43" t="s">
        <v>113</v>
      </c>
      <c r="D43" t="s">
        <v>184</v>
      </c>
      <c r="E43" s="2">
        <v>43655</v>
      </c>
      <c r="F43" s="3">
        <v>43644.776701388888</v>
      </c>
    </row>
    <row r="44" spans="1:6" x14ac:dyDescent="0.25">
      <c r="A44">
        <v>524624</v>
      </c>
      <c r="B44" t="s">
        <v>185</v>
      </c>
      <c r="C44" t="s">
        <v>186</v>
      </c>
      <c r="D44" t="s">
        <v>131</v>
      </c>
      <c r="E44" s="2">
        <v>43656</v>
      </c>
      <c r="F44" s="3">
        <v>43647.759629629632</v>
      </c>
    </row>
    <row r="45" spans="1:6" x14ac:dyDescent="0.25">
      <c r="A45">
        <v>500183</v>
      </c>
      <c r="B45" t="s">
        <v>187</v>
      </c>
      <c r="C45" t="s">
        <v>188</v>
      </c>
      <c r="D45" t="s">
        <v>131</v>
      </c>
      <c r="E45" s="2">
        <v>43656</v>
      </c>
      <c r="F45" s="3">
        <v>43648.687245370369</v>
      </c>
    </row>
    <row r="46" spans="1:6" x14ac:dyDescent="0.25">
      <c r="A46">
        <v>514238</v>
      </c>
      <c r="B46" t="s">
        <v>189</v>
      </c>
      <c r="C46" t="s">
        <v>190</v>
      </c>
      <c r="D46" t="s">
        <v>109</v>
      </c>
      <c r="E46" s="2">
        <v>43657</v>
      </c>
      <c r="F46" s="3">
        <v>43647.697685185187</v>
      </c>
    </row>
    <row r="47" spans="1:6" x14ac:dyDescent="0.25">
      <c r="A47">
        <v>512489</v>
      </c>
      <c r="B47" t="s">
        <v>191</v>
      </c>
      <c r="C47" t="s">
        <v>145</v>
      </c>
      <c r="D47" t="s">
        <v>109</v>
      </c>
      <c r="E47" s="2">
        <v>43657</v>
      </c>
      <c r="F47" s="3">
        <v>43647.693067129629</v>
      </c>
    </row>
    <row r="48" spans="1:6" x14ac:dyDescent="0.25">
      <c r="A48">
        <v>517119</v>
      </c>
      <c r="B48" t="s">
        <v>192</v>
      </c>
      <c r="C48" t="s">
        <v>193</v>
      </c>
      <c r="D48" t="s">
        <v>131</v>
      </c>
      <c r="E48" s="2">
        <v>43657</v>
      </c>
      <c r="F48" s="3">
        <v>43648.51840277778</v>
      </c>
    </row>
    <row r="49" spans="1:6" x14ac:dyDescent="0.25">
      <c r="A49">
        <v>532628</v>
      </c>
      <c r="B49" t="s">
        <v>194</v>
      </c>
      <c r="C49" t="s">
        <v>113</v>
      </c>
      <c r="D49" t="s">
        <v>131</v>
      </c>
      <c r="E49" s="2">
        <v>43658</v>
      </c>
      <c r="F49" s="3">
        <v>43636.621215277781</v>
      </c>
    </row>
    <row r="50" spans="1:6" x14ac:dyDescent="0.25">
      <c r="A50">
        <v>532406</v>
      </c>
      <c r="B50" t="s">
        <v>24</v>
      </c>
      <c r="C50" t="s">
        <v>195</v>
      </c>
      <c r="D50" t="s">
        <v>131</v>
      </c>
      <c r="E50" s="2">
        <v>43658</v>
      </c>
      <c r="F50" s="3">
        <v>43647.576863425929</v>
      </c>
    </row>
    <row r="51" spans="1:6" x14ac:dyDescent="0.25">
      <c r="A51">
        <v>504256</v>
      </c>
      <c r="B51" t="s">
        <v>89</v>
      </c>
      <c r="C51" t="s">
        <v>196</v>
      </c>
      <c r="D51" t="s">
        <v>184</v>
      </c>
      <c r="E51" s="2">
        <v>43658</v>
      </c>
      <c r="F51" s="3">
        <v>43648.535555555558</v>
      </c>
    </row>
    <row r="52" spans="1:6" x14ac:dyDescent="0.25">
      <c r="A52">
        <v>533162</v>
      </c>
      <c r="B52" t="s">
        <v>197</v>
      </c>
      <c r="C52" t="s">
        <v>171</v>
      </c>
      <c r="D52" t="s">
        <v>131</v>
      </c>
      <c r="E52" s="2">
        <v>43658</v>
      </c>
      <c r="F52" s="3">
        <v>43644.778483796297</v>
      </c>
    </row>
    <row r="53" spans="1:6" x14ac:dyDescent="0.25">
      <c r="A53">
        <v>539149</v>
      </c>
      <c r="B53" t="s">
        <v>198</v>
      </c>
      <c r="C53" t="s">
        <v>199</v>
      </c>
      <c r="D53" t="s">
        <v>131</v>
      </c>
      <c r="E53" s="2">
        <v>43658</v>
      </c>
      <c r="F53" s="3">
        <v>43647.388159722221</v>
      </c>
    </row>
    <row r="54" spans="1:6" x14ac:dyDescent="0.25">
      <c r="A54">
        <v>500209</v>
      </c>
      <c r="B54" t="s">
        <v>200</v>
      </c>
      <c r="C54" t="s">
        <v>113</v>
      </c>
      <c r="D54" t="s">
        <v>201</v>
      </c>
      <c r="E54" s="2">
        <v>43658</v>
      </c>
      <c r="F54" s="3">
        <v>43630.715208333335</v>
      </c>
    </row>
    <row r="55" spans="1:6" x14ac:dyDescent="0.25">
      <c r="A55">
        <v>532652</v>
      </c>
      <c r="B55" t="s">
        <v>202</v>
      </c>
      <c r="C55" t="s">
        <v>203</v>
      </c>
      <c r="D55" t="s">
        <v>131</v>
      </c>
      <c r="E55" s="2">
        <v>43658</v>
      </c>
      <c r="F55" s="3">
        <v>43648.732777777775</v>
      </c>
    </row>
    <row r="56" spans="1:6" x14ac:dyDescent="0.25">
      <c r="A56">
        <v>534190</v>
      </c>
      <c r="B56" t="s">
        <v>204</v>
      </c>
      <c r="C56" t="s">
        <v>205</v>
      </c>
      <c r="D56" t="s">
        <v>126</v>
      </c>
      <c r="E56" s="2">
        <v>43658</v>
      </c>
      <c r="F56" s="3">
        <v>43643.338680555556</v>
      </c>
    </row>
    <row r="57" spans="1:6" x14ac:dyDescent="0.25">
      <c r="A57">
        <v>513359</v>
      </c>
      <c r="B57" t="s">
        <v>206</v>
      </c>
      <c r="C57" t="s">
        <v>207</v>
      </c>
      <c r="D57" t="s">
        <v>109</v>
      </c>
      <c r="E57" s="2">
        <v>43658</v>
      </c>
      <c r="F57" s="3">
        <v>43647.729479166665</v>
      </c>
    </row>
    <row r="58" spans="1:6" x14ac:dyDescent="0.25">
      <c r="A58">
        <v>507508</v>
      </c>
      <c r="B58" t="s">
        <v>208</v>
      </c>
      <c r="C58" t="s">
        <v>209</v>
      </c>
      <c r="D58" t="s">
        <v>137</v>
      </c>
      <c r="E58" s="2">
        <v>43658</v>
      </c>
      <c r="F58" s="3">
        <v>43607.724849537037</v>
      </c>
    </row>
    <row r="59" spans="1:6" x14ac:dyDescent="0.25">
      <c r="A59">
        <v>500367</v>
      </c>
      <c r="B59" t="s">
        <v>210</v>
      </c>
      <c r="C59" t="s">
        <v>211</v>
      </c>
      <c r="D59" t="s">
        <v>212</v>
      </c>
      <c r="E59" s="2">
        <v>43658</v>
      </c>
      <c r="F59" s="3">
        <v>43648.633321759262</v>
      </c>
    </row>
    <row r="60" spans="1:6" x14ac:dyDescent="0.25">
      <c r="A60">
        <v>511072</v>
      </c>
      <c r="B60" t="s">
        <v>213</v>
      </c>
      <c r="C60" t="s">
        <v>214</v>
      </c>
      <c r="D60" t="s">
        <v>137</v>
      </c>
      <c r="E60" s="2">
        <v>43659</v>
      </c>
      <c r="F60" s="3">
        <v>43644.465937499997</v>
      </c>
    </row>
    <row r="61" spans="1:6" x14ac:dyDescent="0.25">
      <c r="A61">
        <v>500052</v>
      </c>
      <c r="B61" t="s">
        <v>215</v>
      </c>
      <c r="C61" t="s">
        <v>216</v>
      </c>
      <c r="D61" t="s">
        <v>131</v>
      </c>
      <c r="E61" s="2">
        <v>43660</v>
      </c>
      <c r="F61" s="3">
        <v>43648.826481481483</v>
      </c>
    </row>
    <row r="62" spans="1:6" x14ac:dyDescent="0.25">
      <c r="A62">
        <v>520119</v>
      </c>
      <c r="B62" t="s">
        <v>217</v>
      </c>
      <c r="C62" t="s">
        <v>178</v>
      </c>
      <c r="D62" t="s">
        <v>131</v>
      </c>
      <c r="E62" s="2">
        <v>43661</v>
      </c>
      <c r="F62" s="3">
        <v>43640.543414351851</v>
      </c>
    </row>
    <row r="63" spans="1:6" x14ac:dyDescent="0.25">
      <c r="A63">
        <v>513353</v>
      </c>
      <c r="B63" t="s">
        <v>218</v>
      </c>
      <c r="C63" t="s">
        <v>216</v>
      </c>
      <c r="D63" t="s">
        <v>131</v>
      </c>
      <c r="E63" s="2">
        <v>43661</v>
      </c>
      <c r="F63" s="3">
        <v>43640.527187500003</v>
      </c>
    </row>
    <row r="64" spans="1:6" x14ac:dyDescent="0.25">
      <c r="A64">
        <v>500215</v>
      </c>
      <c r="B64" t="s">
        <v>45</v>
      </c>
      <c r="C64" t="s">
        <v>115</v>
      </c>
      <c r="D64" t="s">
        <v>131</v>
      </c>
      <c r="E64" s="2">
        <v>43662</v>
      </c>
      <c r="F64" s="3">
        <v>43647.709131944444</v>
      </c>
    </row>
    <row r="65" spans="1:6" x14ac:dyDescent="0.25">
      <c r="A65">
        <v>541729</v>
      </c>
      <c r="B65" t="s">
        <v>32</v>
      </c>
      <c r="C65" t="s">
        <v>219</v>
      </c>
      <c r="D65" t="s">
        <v>131</v>
      </c>
      <c r="E65" s="2">
        <v>43662</v>
      </c>
      <c r="F65" s="3">
        <v>43644.695115740738</v>
      </c>
    </row>
    <row r="66" spans="1:6" x14ac:dyDescent="0.25">
      <c r="A66">
        <v>534091</v>
      </c>
      <c r="B66" t="s">
        <v>220</v>
      </c>
      <c r="C66" t="s">
        <v>221</v>
      </c>
      <c r="D66" t="s">
        <v>131</v>
      </c>
      <c r="E66" s="2">
        <v>43662</v>
      </c>
      <c r="F66" s="3">
        <v>43644.780775462961</v>
      </c>
    </row>
    <row r="67" spans="1:6" x14ac:dyDescent="0.25">
      <c r="A67">
        <v>542597</v>
      </c>
      <c r="B67" t="s">
        <v>222</v>
      </c>
      <c r="C67" t="s">
        <v>223</v>
      </c>
      <c r="D67" t="s">
        <v>224</v>
      </c>
      <c r="E67" s="2">
        <v>43662</v>
      </c>
      <c r="F67" s="3">
        <v>43647.668113425927</v>
      </c>
    </row>
    <row r="68" spans="1:6" x14ac:dyDescent="0.25">
      <c r="A68">
        <v>500399</v>
      </c>
      <c r="B68" t="s">
        <v>225</v>
      </c>
      <c r="C68" t="s">
        <v>226</v>
      </c>
      <c r="D68" t="s">
        <v>137</v>
      </c>
      <c r="E68" s="2">
        <v>43662</v>
      </c>
      <c r="F68" s="3">
        <v>43609.735914351855</v>
      </c>
    </row>
    <row r="69" spans="1:6" x14ac:dyDescent="0.25">
      <c r="A69">
        <v>504908</v>
      </c>
      <c r="B69" t="s">
        <v>227</v>
      </c>
      <c r="C69" t="s">
        <v>178</v>
      </c>
      <c r="D69" t="s">
        <v>131</v>
      </c>
      <c r="E69" s="2">
        <v>43663</v>
      </c>
      <c r="F69" s="3">
        <v>43647.670277777775</v>
      </c>
    </row>
    <row r="70" spans="1:6" x14ac:dyDescent="0.25">
      <c r="A70">
        <v>539515</v>
      </c>
      <c r="B70" t="s">
        <v>228</v>
      </c>
      <c r="C70" t="s">
        <v>223</v>
      </c>
      <c r="D70" t="s">
        <v>201</v>
      </c>
      <c r="E70" s="2">
        <v>43663</v>
      </c>
      <c r="F70" s="3">
        <v>43648.630520833336</v>
      </c>
    </row>
    <row r="71" spans="1:6" x14ac:dyDescent="0.25">
      <c r="A71">
        <v>500408</v>
      </c>
      <c r="B71" t="s">
        <v>48</v>
      </c>
      <c r="C71" t="s">
        <v>150</v>
      </c>
      <c r="D71" t="s">
        <v>229</v>
      </c>
      <c r="E71" s="2">
        <v>43663</v>
      </c>
      <c r="F71" s="3">
        <v>43648.825821759259</v>
      </c>
    </row>
    <row r="72" spans="1:6" x14ac:dyDescent="0.25">
      <c r="A72">
        <v>507685</v>
      </c>
      <c r="B72" t="s">
        <v>230</v>
      </c>
      <c r="C72" t="s">
        <v>113</v>
      </c>
      <c r="D72" t="s">
        <v>131</v>
      </c>
      <c r="E72" s="2">
        <v>43663</v>
      </c>
      <c r="F72" s="3">
        <v>43647.668888888889</v>
      </c>
    </row>
    <row r="73" spans="1:6" x14ac:dyDescent="0.25">
      <c r="A73">
        <v>512161</v>
      </c>
      <c r="B73" t="s">
        <v>231</v>
      </c>
      <c r="C73" t="s">
        <v>232</v>
      </c>
      <c r="D73" t="s">
        <v>137</v>
      </c>
      <c r="E73" s="2">
        <v>43664</v>
      </c>
      <c r="F73" s="3">
        <v>43636.519756944443</v>
      </c>
    </row>
    <row r="74" spans="1:6" x14ac:dyDescent="0.25">
      <c r="A74">
        <v>500830</v>
      </c>
      <c r="B74" t="s">
        <v>233</v>
      </c>
      <c r="C74" t="s">
        <v>234</v>
      </c>
      <c r="D74" t="s">
        <v>131</v>
      </c>
      <c r="E74" s="2">
        <v>43664</v>
      </c>
      <c r="F74" s="3">
        <v>43644.784525462965</v>
      </c>
    </row>
    <row r="75" spans="1:6" x14ac:dyDescent="0.25">
      <c r="A75">
        <v>532175</v>
      </c>
      <c r="B75" t="s">
        <v>235</v>
      </c>
      <c r="C75" t="s">
        <v>113</v>
      </c>
      <c r="D75" t="s">
        <v>131</v>
      </c>
      <c r="E75" s="2">
        <v>43664</v>
      </c>
      <c r="F75" s="3">
        <v>43647.399965277778</v>
      </c>
    </row>
    <row r="76" spans="1:6" x14ac:dyDescent="0.25">
      <c r="A76">
        <v>521064</v>
      </c>
      <c r="B76" t="s">
        <v>236</v>
      </c>
      <c r="C76" t="s">
        <v>133</v>
      </c>
      <c r="D76" t="s">
        <v>184</v>
      </c>
      <c r="E76" s="2">
        <v>43664</v>
      </c>
      <c r="F76" s="3">
        <v>43648.721770833334</v>
      </c>
    </row>
    <row r="77" spans="1:6" x14ac:dyDescent="0.25">
      <c r="A77">
        <v>506597</v>
      </c>
      <c r="B77" t="s">
        <v>237</v>
      </c>
      <c r="C77" t="s">
        <v>216</v>
      </c>
      <c r="D77" t="s">
        <v>131</v>
      </c>
      <c r="E77" s="2">
        <v>43665</v>
      </c>
      <c r="F77" s="3">
        <v>43647.374328703707</v>
      </c>
    </row>
    <row r="78" spans="1:6" x14ac:dyDescent="0.25">
      <c r="A78">
        <v>500096</v>
      </c>
      <c r="B78" t="s">
        <v>238</v>
      </c>
      <c r="C78" t="s">
        <v>234</v>
      </c>
      <c r="D78" t="s">
        <v>131</v>
      </c>
      <c r="E78" s="2">
        <v>43665</v>
      </c>
      <c r="F78" s="3">
        <v>43634.811168981483</v>
      </c>
    </row>
    <row r="79" spans="1:6" x14ac:dyDescent="0.25">
      <c r="A79">
        <v>540716</v>
      </c>
      <c r="B79" t="s">
        <v>239</v>
      </c>
      <c r="C79" t="s">
        <v>240</v>
      </c>
      <c r="D79" t="s">
        <v>131</v>
      </c>
      <c r="E79" s="2">
        <v>43665</v>
      </c>
      <c r="F79" s="3">
        <v>43644.32953703704</v>
      </c>
    </row>
    <row r="80" spans="1:6" x14ac:dyDescent="0.25">
      <c r="A80">
        <v>523405</v>
      </c>
      <c r="B80" t="s">
        <v>241</v>
      </c>
      <c r="C80" t="s">
        <v>242</v>
      </c>
      <c r="D80" t="s">
        <v>131</v>
      </c>
      <c r="E80" s="2">
        <v>43665</v>
      </c>
      <c r="F80" s="3">
        <v>43644.459317129629</v>
      </c>
    </row>
    <row r="81" spans="1:6" x14ac:dyDescent="0.25">
      <c r="A81">
        <v>532756</v>
      </c>
      <c r="B81" t="s">
        <v>243</v>
      </c>
      <c r="C81" t="s">
        <v>244</v>
      </c>
      <c r="D81" t="s">
        <v>131</v>
      </c>
      <c r="E81" s="2">
        <v>43665</v>
      </c>
      <c r="F81" s="3">
        <v>43644.625844907408</v>
      </c>
    </row>
    <row r="82" spans="1:6" x14ac:dyDescent="0.25">
      <c r="A82">
        <v>506590</v>
      </c>
      <c r="B82" t="s">
        <v>245</v>
      </c>
      <c r="C82" t="s">
        <v>246</v>
      </c>
      <c r="D82" t="s">
        <v>131</v>
      </c>
      <c r="E82" s="2">
        <v>43665</v>
      </c>
      <c r="F82" s="3">
        <v>43643.806817129633</v>
      </c>
    </row>
    <row r="83" spans="1:6" x14ac:dyDescent="0.25">
      <c r="A83">
        <v>500008</v>
      </c>
      <c r="B83" t="s">
        <v>56</v>
      </c>
      <c r="C83" t="s">
        <v>178</v>
      </c>
      <c r="D83" t="s">
        <v>131</v>
      </c>
      <c r="E83" s="2">
        <v>43666</v>
      </c>
      <c r="F83" s="3">
        <v>43643.512199074074</v>
      </c>
    </row>
    <row r="84" spans="1:6" x14ac:dyDescent="0.25">
      <c r="A84">
        <v>538833</v>
      </c>
      <c r="B84" t="s">
        <v>247</v>
      </c>
      <c r="C84" t="s">
        <v>108</v>
      </c>
      <c r="D84" t="s">
        <v>109</v>
      </c>
      <c r="E84" s="2">
        <v>43666</v>
      </c>
      <c r="F84" s="3">
        <v>43648.644016203703</v>
      </c>
    </row>
    <row r="85" spans="1:6" x14ac:dyDescent="0.25">
      <c r="A85">
        <v>500180</v>
      </c>
      <c r="B85" t="s">
        <v>248</v>
      </c>
      <c r="C85" t="s">
        <v>203</v>
      </c>
      <c r="D85" t="s">
        <v>131</v>
      </c>
      <c r="E85" s="2">
        <v>43666</v>
      </c>
      <c r="F85" s="3">
        <v>43633.64334490741</v>
      </c>
    </row>
    <row r="86" spans="1:6" x14ac:dyDescent="0.25">
      <c r="A86">
        <v>500660</v>
      </c>
      <c r="B86" t="s">
        <v>65</v>
      </c>
      <c r="C86" t="s">
        <v>111</v>
      </c>
      <c r="D86" t="s">
        <v>201</v>
      </c>
      <c r="E86" s="2">
        <v>43668</v>
      </c>
      <c r="F86" s="3">
        <v>43644.656458333331</v>
      </c>
    </row>
    <row r="87" spans="1:6" x14ac:dyDescent="0.25">
      <c r="A87">
        <v>533217</v>
      </c>
      <c r="B87" t="s">
        <v>249</v>
      </c>
      <c r="C87" t="s">
        <v>250</v>
      </c>
      <c r="D87" t="s">
        <v>131</v>
      </c>
      <c r="E87" s="2">
        <v>43668</v>
      </c>
      <c r="F87" s="3">
        <v>43643.737511574072</v>
      </c>
    </row>
    <row r="88" spans="1:6" x14ac:dyDescent="0.25">
      <c r="A88">
        <v>541179</v>
      </c>
      <c r="B88" t="s">
        <v>251</v>
      </c>
      <c r="C88" t="s">
        <v>190</v>
      </c>
      <c r="D88" t="s">
        <v>131</v>
      </c>
      <c r="E88" s="2">
        <v>43668</v>
      </c>
      <c r="F88" s="3">
        <v>43643.806990740741</v>
      </c>
    </row>
    <row r="89" spans="1:6" x14ac:dyDescent="0.25">
      <c r="A89">
        <v>500245</v>
      </c>
      <c r="B89" t="s">
        <v>66</v>
      </c>
      <c r="C89" t="s">
        <v>226</v>
      </c>
      <c r="D89" t="s">
        <v>131</v>
      </c>
      <c r="E89" s="2">
        <v>43668</v>
      </c>
      <c r="F89" s="3">
        <v>43643.509166666663</v>
      </c>
    </row>
    <row r="90" spans="1:6" x14ac:dyDescent="0.25">
      <c r="A90">
        <v>500252</v>
      </c>
      <c r="B90" t="s">
        <v>71</v>
      </c>
      <c r="C90" t="s">
        <v>153</v>
      </c>
      <c r="D90" t="s">
        <v>131</v>
      </c>
      <c r="E90" s="2">
        <v>43668</v>
      </c>
      <c r="F90" s="3">
        <v>43640.558680555558</v>
      </c>
    </row>
    <row r="91" spans="1:6" x14ac:dyDescent="0.25">
      <c r="A91">
        <v>532343</v>
      </c>
      <c r="B91" t="s">
        <v>252</v>
      </c>
      <c r="C91" t="s">
        <v>253</v>
      </c>
      <c r="D91" t="s">
        <v>131</v>
      </c>
      <c r="E91" s="2">
        <v>43668</v>
      </c>
      <c r="F91" s="3">
        <v>43642.522326388891</v>
      </c>
    </row>
    <row r="92" spans="1:6" x14ac:dyDescent="0.25">
      <c r="A92">
        <v>522134</v>
      </c>
      <c r="B92" t="s">
        <v>254</v>
      </c>
      <c r="C92" t="s">
        <v>153</v>
      </c>
      <c r="D92" t="s">
        <v>131</v>
      </c>
      <c r="E92" s="2">
        <v>43669</v>
      </c>
      <c r="F92" s="3">
        <v>43647.724583333336</v>
      </c>
    </row>
    <row r="93" spans="1:6" x14ac:dyDescent="0.25">
      <c r="A93">
        <v>508906</v>
      </c>
      <c r="B93" t="s">
        <v>80</v>
      </c>
      <c r="C93" t="s">
        <v>148</v>
      </c>
      <c r="D93" t="s">
        <v>131</v>
      </c>
      <c r="E93" s="2">
        <v>43669</v>
      </c>
      <c r="F93" s="3">
        <v>43643.425312500003</v>
      </c>
    </row>
    <row r="94" spans="1:6" x14ac:dyDescent="0.25">
      <c r="A94">
        <v>540777</v>
      </c>
      <c r="B94" t="s">
        <v>255</v>
      </c>
      <c r="C94" t="s">
        <v>256</v>
      </c>
      <c r="D94" t="s">
        <v>131</v>
      </c>
      <c r="E94" s="2">
        <v>43669</v>
      </c>
      <c r="F94" s="3">
        <v>43644.6953125</v>
      </c>
    </row>
    <row r="95" spans="1:6" x14ac:dyDescent="0.25">
      <c r="A95">
        <v>532662</v>
      </c>
      <c r="B95" t="s">
        <v>257</v>
      </c>
      <c r="C95" t="s">
        <v>250</v>
      </c>
      <c r="D95" t="s">
        <v>131</v>
      </c>
      <c r="E95" s="2">
        <v>43669</v>
      </c>
      <c r="F95" s="3">
        <v>43643.738645833335</v>
      </c>
    </row>
    <row r="96" spans="1:6" x14ac:dyDescent="0.25">
      <c r="A96">
        <v>509162</v>
      </c>
      <c r="B96" t="s">
        <v>76</v>
      </c>
      <c r="C96" t="s">
        <v>211</v>
      </c>
      <c r="D96" t="s">
        <v>131</v>
      </c>
      <c r="E96" s="2">
        <v>43669</v>
      </c>
      <c r="F96" s="3">
        <v>43641.584745370368</v>
      </c>
    </row>
    <row r="97" spans="1:6" x14ac:dyDescent="0.25">
      <c r="A97">
        <v>532720</v>
      </c>
      <c r="B97" t="s">
        <v>77</v>
      </c>
      <c r="C97" t="s">
        <v>145</v>
      </c>
      <c r="D97" t="s">
        <v>131</v>
      </c>
      <c r="E97" s="2">
        <v>43669</v>
      </c>
      <c r="F97" s="3">
        <v>43647.469027777777</v>
      </c>
    </row>
    <row r="98" spans="1:6" x14ac:dyDescent="0.25">
      <c r="A98">
        <v>523754</v>
      </c>
      <c r="B98" t="s">
        <v>93</v>
      </c>
      <c r="C98" t="s">
        <v>161</v>
      </c>
      <c r="D98" t="s">
        <v>131</v>
      </c>
      <c r="E98" s="2">
        <v>43669</v>
      </c>
      <c r="F98" s="3">
        <v>43647.577835648146</v>
      </c>
    </row>
    <row r="99" spans="1:6" x14ac:dyDescent="0.25">
      <c r="A99">
        <v>532541</v>
      </c>
      <c r="B99" t="s">
        <v>258</v>
      </c>
      <c r="C99" t="s">
        <v>113</v>
      </c>
      <c r="D99" t="s">
        <v>131</v>
      </c>
      <c r="E99" s="2">
        <v>43669</v>
      </c>
      <c r="F99" s="3">
        <v>43647.394780092596</v>
      </c>
    </row>
    <row r="100" spans="1:6" x14ac:dyDescent="0.25">
      <c r="A100">
        <v>500314</v>
      </c>
      <c r="B100" t="s">
        <v>78</v>
      </c>
      <c r="C100" t="s">
        <v>259</v>
      </c>
      <c r="D100" t="s">
        <v>131</v>
      </c>
      <c r="E100" s="2">
        <v>43669</v>
      </c>
      <c r="F100" s="3">
        <v>43648.665949074071</v>
      </c>
    </row>
    <row r="101" spans="1:6" x14ac:dyDescent="0.25">
      <c r="A101">
        <v>540719</v>
      </c>
      <c r="B101" t="s">
        <v>260</v>
      </c>
      <c r="C101" t="s">
        <v>256</v>
      </c>
      <c r="D101" t="s">
        <v>131</v>
      </c>
      <c r="E101" s="2">
        <v>43669</v>
      </c>
      <c r="F101" s="3">
        <v>43643.642395833333</v>
      </c>
    </row>
    <row r="102" spans="1:6" x14ac:dyDescent="0.25">
      <c r="A102">
        <v>520056</v>
      </c>
      <c r="B102" t="s">
        <v>261</v>
      </c>
      <c r="C102" t="s">
        <v>178</v>
      </c>
      <c r="D102" t="s">
        <v>131</v>
      </c>
      <c r="E102" s="2">
        <v>43669</v>
      </c>
      <c r="F102" s="3">
        <v>43642.535671296297</v>
      </c>
    </row>
    <row r="103" spans="1:6" x14ac:dyDescent="0.25">
      <c r="A103">
        <v>534758</v>
      </c>
      <c r="B103" t="s">
        <v>262</v>
      </c>
      <c r="C103" t="s">
        <v>113</v>
      </c>
      <c r="D103" t="s">
        <v>131</v>
      </c>
      <c r="E103" s="2">
        <v>43670</v>
      </c>
      <c r="F103" s="3">
        <v>43647.52134259259</v>
      </c>
    </row>
    <row r="104" spans="1:6" x14ac:dyDescent="0.25">
      <c r="A104">
        <v>540133</v>
      </c>
      <c r="B104" t="s">
        <v>50</v>
      </c>
      <c r="C104" t="s">
        <v>256</v>
      </c>
      <c r="D104" t="s">
        <v>131</v>
      </c>
      <c r="E104" s="2">
        <v>43670</v>
      </c>
      <c r="F104" s="3">
        <v>43642.775405092594</v>
      </c>
    </row>
    <row r="105" spans="1:6" x14ac:dyDescent="0.25">
      <c r="A105">
        <v>502090</v>
      </c>
      <c r="B105" t="s">
        <v>87</v>
      </c>
      <c r="C105" t="s">
        <v>148</v>
      </c>
      <c r="D105" t="s">
        <v>131</v>
      </c>
      <c r="E105" s="2">
        <v>43670</v>
      </c>
      <c r="F105" s="3">
        <v>43643.73841435185</v>
      </c>
    </row>
    <row r="106" spans="1:6" x14ac:dyDescent="0.25">
      <c r="A106">
        <v>532978</v>
      </c>
      <c r="B106" t="s">
        <v>60</v>
      </c>
      <c r="C106" t="s">
        <v>242</v>
      </c>
      <c r="D106" t="s">
        <v>131</v>
      </c>
      <c r="E106" s="2">
        <v>43671</v>
      </c>
      <c r="F106" s="3">
        <v>43642.537592592591</v>
      </c>
    </row>
    <row r="107" spans="1:6" x14ac:dyDescent="0.25">
      <c r="A107">
        <v>500034</v>
      </c>
      <c r="B107" t="s">
        <v>62</v>
      </c>
      <c r="C107" t="s">
        <v>145</v>
      </c>
      <c r="D107" t="s">
        <v>131</v>
      </c>
      <c r="E107" s="2">
        <v>43671</v>
      </c>
      <c r="F107" s="3">
        <v>43642.521828703706</v>
      </c>
    </row>
    <row r="108" spans="1:6" x14ac:dyDescent="0.25">
      <c r="A108">
        <v>523708</v>
      </c>
      <c r="B108" t="s">
        <v>91</v>
      </c>
      <c r="C108" t="s">
        <v>153</v>
      </c>
      <c r="D108" t="s">
        <v>201</v>
      </c>
      <c r="E108" s="2">
        <v>43671</v>
      </c>
      <c r="F108" s="3">
        <v>43647.510578703703</v>
      </c>
    </row>
    <row r="109" spans="1:6" x14ac:dyDescent="0.25">
      <c r="A109">
        <v>526299</v>
      </c>
      <c r="B109" t="s">
        <v>67</v>
      </c>
      <c r="C109" t="s">
        <v>113</v>
      </c>
      <c r="D109" t="s">
        <v>131</v>
      </c>
      <c r="E109" s="2">
        <v>43671</v>
      </c>
      <c r="F109" s="3">
        <v>43642.79482638889</v>
      </c>
    </row>
    <row r="110" spans="1:6" x14ac:dyDescent="0.25">
      <c r="A110">
        <v>533179</v>
      </c>
      <c r="B110" t="s">
        <v>68</v>
      </c>
      <c r="C110" t="s">
        <v>113</v>
      </c>
      <c r="D110" t="s">
        <v>131</v>
      </c>
      <c r="E110" s="2">
        <v>43671</v>
      </c>
      <c r="F110" s="3">
        <v>43643.80667824074</v>
      </c>
    </row>
    <row r="111" spans="1:6" x14ac:dyDescent="0.25">
      <c r="A111">
        <v>532689</v>
      </c>
      <c r="B111" t="s">
        <v>84</v>
      </c>
      <c r="C111" t="s">
        <v>263</v>
      </c>
      <c r="D111" t="s">
        <v>131</v>
      </c>
      <c r="E111" s="2">
        <v>43671</v>
      </c>
      <c r="F111" s="3">
        <v>43643.646296296298</v>
      </c>
    </row>
    <row r="112" spans="1:6" x14ac:dyDescent="0.25">
      <c r="A112">
        <v>532987</v>
      </c>
      <c r="B112" t="s">
        <v>95</v>
      </c>
      <c r="C112" t="s">
        <v>178</v>
      </c>
      <c r="D112" t="s">
        <v>131</v>
      </c>
      <c r="E112" s="2">
        <v>43671</v>
      </c>
      <c r="F112" s="3">
        <v>43644.833310185182</v>
      </c>
    </row>
    <row r="113" spans="1:6" x14ac:dyDescent="0.25">
      <c r="A113">
        <v>500027</v>
      </c>
      <c r="B113" t="s">
        <v>57</v>
      </c>
      <c r="C113" t="s">
        <v>117</v>
      </c>
      <c r="D113" t="s">
        <v>131</v>
      </c>
      <c r="E113" s="2">
        <v>43672</v>
      </c>
      <c r="F113" s="3">
        <v>43644.676249999997</v>
      </c>
    </row>
    <row r="114" spans="1:6" x14ac:dyDescent="0.25">
      <c r="A114">
        <v>532977</v>
      </c>
      <c r="B114" t="s">
        <v>59</v>
      </c>
      <c r="C114" t="s">
        <v>253</v>
      </c>
      <c r="D114" t="s">
        <v>131</v>
      </c>
      <c r="E114" s="2">
        <v>43672</v>
      </c>
      <c r="F114" s="3">
        <v>43642.69121527778</v>
      </c>
    </row>
    <row r="115" spans="1:6" x14ac:dyDescent="0.25">
      <c r="A115">
        <v>500490</v>
      </c>
      <c r="B115" t="s">
        <v>61</v>
      </c>
      <c r="C115" t="s">
        <v>242</v>
      </c>
      <c r="D115" t="s">
        <v>131</v>
      </c>
      <c r="E115" s="2">
        <v>43672</v>
      </c>
      <c r="F115" s="3">
        <v>43642.702303240738</v>
      </c>
    </row>
    <row r="116" spans="1:6" x14ac:dyDescent="0.25">
      <c r="A116">
        <v>505700</v>
      </c>
      <c r="B116" t="s">
        <v>264</v>
      </c>
      <c r="C116" t="s">
        <v>153</v>
      </c>
      <c r="D116" t="s">
        <v>201</v>
      </c>
      <c r="E116" s="2">
        <v>43672</v>
      </c>
      <c r="F116" s="3">
        <v>43647.3825</v>
      </c>
    </row>
    <row r="117" spans="1:6" x14ac:dyDescent="0.25">
      <c r="A117">
        <v>511676</v>
      </c>
      <c r="B117" t="s">
        <v>265</v>
      </c>
      <c r="C117" t="s">
        <v>214</v>
      </c>
      <c r="D117" t="s">
        <v>131</v>
      </c>
      <c r="E117" s="2">
        <v>43672</v>
      </c>
      <c r="F117" s="3">
        <v>43640.68277777778</v>
      </c>
    </row>
    <row r="118" spans="1:6" x14ac:dyDescent="0.25">
      <c r="A118">
        <v>500228</v>
      </c>
      <c r="B118" t="s">
        <v>46</v>
      </c>
      <c r="C118" t="s">
        <v>226</v>
      </c>
      <c r="D118" t="s">
        <v>131</v>
      </c>
      <c r="E118" s="2">
        <v>43672</v>
      </c>
      <c r="F118" s="3">
        <v>43641.490127314813</v>
      </c>
    </row>
    <row r="119" spans="1:6" x14ac:dyDescent="0.25">
      <c r="A119">
        <v>542651</v>
      </c>
      <c r="B119" t="s">
        <v>266</v>
      </c>
      <c r="C119" t="s">
        <v>178</v>
      </c>
      <c r="D119" t="s">
        <v>131</v>
      </c>
      <c r="E119" s="2">
        <v>43672</v>
      </c>
      <c r="F119" s="3">
        <v>43644.521064814813</v>
      </c>
    </row>
    <row r="120" spans="1:6" x14ac:dyDescent="0.25">
      <c r="A120">
        <v>532313</v>
      </c>
      <c r="B120" t="s">
        <v>96</v>
      </c>
      <c r="C120" t="s">
        <v>136</v>
      </c>
      <c r="D120" t="s">
        <v>131</v>
      </c>
      <c r="E120" s="2">
        <v>43672</v>
      </c>
      <c r="F120" s="3">
        <v>43644.644305555557</v>
      </c>
    </row>
    <row r="121" spans="1:6" x14ac:dyDescent="0.25">
      <c r="A121">
        <v>506579</v>
      </c>
      <c r="B121" t="s">
        <v>97</v>
      </c>
      <c r="C121" t="s">
        <v>143</v>
      </c>
      <c r="D121" t="s">
        <v>131</v>
      </c>
      <c r="E121" s="2">
        <v>43672</v>
      </c>
      <c r="F121" s="3">
        <v>43647.669722222221</v>
      </c>
    </row>
    <row r="122" spans="1:6" x14ac:dyDescent="0.25">
      <c r="A122">
        <v>540143</v>
      </c>
      <c r="B122" t="s">
        <v>86</v>
      </c>
      <c r="C122" t="s">
        <v>113</v>
      </c>
      <c r="D122" t="s">
        <v>131</v>
      </c>
      <c r="E122" s="2">
        <v>43672</v>
      </c>
      <c r="F122" s="3">
        <v>43647.387592592589</v>
      </c>
    </row>
    <row r="123" spans="1:6" x14ac:dyDescent="0.25">
      <c r="A123">
        <v>532174</v>
      </c>
      <c r="B123" t="s">
        <v>102</v>
      </c>
      <c r="C123" t="s">
        <v>203</v>
      </c>
      <c r="D123" t="s">
        <v>131</v>
      </c>
      <c r="E123" s="2">
        <v>43673</v>
      </c>
      <c r="F123" s="3">
        <v>43642.635231481479</v>
      </c>
    </row>
    <row r="124" spans="1:6" x14ac:dyDescent="0.25">
      <c r="A124">
        <v>500124</v>
      </c>
      <c r="B124" t="s">
        <v>73</v>
      </c>
      <c r="C124" t="s">
        <v>111</v>
      </c>
      <c r="D124" t="s">
        <v>131</v>
      </c>
      <c r="E124" s="2">
        <v>43675</v>
      </c>
      <c r="F124" s="3">
        <v>43642.775185185186</v>
      </c>
    </row>
    <row r="125" spans="1:6" x14ac:dyDescent="0.25">
      <c r="A125">
        <v>500171</v>
      </c>
      <c r="B125" t="s">
        <v>267</v>
      </c>
      <c r="C125" t="s">
        <v>143</v>
      </c>
      <c r="D125" t="s">
        <v>131</v>
      </c>
      <c r="E125" s="2">
        <v>43675</v>
      </c>
      <c r="F125" s="3">
        <v>43643.666724537034</v>
      </c>
    </row>
    <row r="126" spans="1:6" x14ac:dyDescent="0.25">
      <c r="A126">
        <v>539724</v>
      </c>
      <c r="B126" t="s">
        <v>268</v>
      </c>
      <c r="C126" t="s">
        <v>113</v>
      </c>
      <c r="D126" t="s">
        <v>131</v>
      </c>
      <c r="E126" s="2">
        <v>43675</v>
      </c>
      <c r="F126" s="3">
        <v>43648.826331018521</v>
      </c>
    </row>
    <row r="127" spans="1:6" x14ac:dyDescent="0.25">
      <c r="A127">
        <v>500165</v>
      </c>
      <c r="B127" t="s">
        <v>269</v>
      </c>
      <c r="C127" t="s">
        <v>207</v>
      </c>
      <c r="D127" t="s">
        <v>131</v>
      </c>
      <c r="E127" s="2">
        <v>43675</v>
      </c>
      <c r="F127" s="3">
        <v>43647.746562499997</v>
      </c>
    </row>
    <row r="128" spans="1:6" x14ac:dyDescent="0.25">
      <c r="A128">
        <v>504269</v>
      </c>
      <c r="B128" t="s">
        <v>270</v>
      </c>
      <c r="C128" t="s">
        <v>271</v>
      </c>
      <c r="D128" t="s">
        <v>229</v>
      </c>
      <c r="E128" s="2">
        <v>43675</v>
      </c>
      <c r="F128" s="3">
        <v>43612.613032407404</v>
      </c>
    </row>
    <row r="129" spans="1:6" x14ac:dyDescent="0.25">
      <c r="A129">
        <v>532504</v>
      </c>
      <c r="B129" t="s">
        <v>272</v>
      </c>
      <c r="C129" t="s">
        <v>143</v>
      </c>
      <c r="D129" t="s">
        <v>131</v>
      </c>
      <c r="E129" s="2">
        <v>43675</v>
      </c>
      <c r="F129" s="3">
        <v>43643.687523148146</v>
      </c>
    </row>
    <row r="130" spans="1:6" x14ac:dyDescent="0.25">
      <c r="A130">
        <v>532988</v>
      </c>
      <c r="B130" t="s">
        <v>273</v>
      </c>
      <c r="C130" t="s">
        <v>178</v>
      </c>
      <c r="D130" t="s">
        <v>131</v>
      </c>
      <c r="E130" s="2">
        <v>43675</v>
      </c>
      <c r="F130" s="3">
        <v>43644.831666666665</v>
      </c>
    </row>
    <row r="131" spans="1:6" x14ac:dyDescent="0.25">
      <c r="A131">
        <v>512153</v>
      </c>
      <c r="B131" t="s">
        <v>274</v>
      </c>
      <c r="C131" t="s">
        <v>128</v>
      </c>
      <c r="D131" t="s">
        <v>131</v>
      </c>
      <c r="E131" s="2">
        <v>43675</v>
      </c>
      <c r="F131" s="3">
        <v>43644.642129629632</v>
      </c>
    </row>
    <row r="132" spans="1:6" x14ac:dyDescent="0.25">
      <c r="A132">
        <v>532349</v>
      </c>
      <c r="B132" t="s">
        <v>275</v>
      </c>
      <c r="C132" t="s">
        <v>276</v>
      </c>
      <c r="D132" t="s">
        <v>131</v>
      </c>
      <c r="E132" s="2">
        <v>43675</v>
      </c>
      <c r="F132" s="3">
        <v>43634.665601851855</v>
      </c>
    </row>
    <row r="133" spans="1:6" x14ac:dyDescent="0.25">
      <c r="A133">
        <v>501630</v>
      </c>
      <c r="B133" t="s">
        <v>277</v>
      </c>
      <c r="C133" t="s">
        <v>108</v>
      </c>
      <c r="D133" t="s">
        <v>131</v>
      </c>
      <c r="E133" s="2">
        <v>43676</v>
      </c>
      <c r="F133" s="3">
        <v>43647.747442129628</v>
      </c>
    </row>
    <row r="134" spans="1:6" x14ac:dyDescent="0.25">
      <c r="A134">
        <v>500182</v>
      </c>
      <c r="B134" t="s">
        <v>83</v>
      </c>
      <c r="C134" t="s">
        <v>253</v>
      </c>
      <c r="D134" t="s">
        <v>131</v>
      </c>
      <c r="E134" s="2">
        <v>43676</v>
      </c>
      <c r="F134" s="3">
        <v>43644.831145833334</v>
      </c>
    </row>
    <row r="135" spans="1:6" x14ac:dyDescent="0.25">
      <c r="A135">
        <v>532529</v>
      </c>
      <c r="B135" t="s">
        <v>278</v>
      </c>
      <c r="C135" t="s">
        <v>171</v>
      </c>
      <c r="D135" t="s">
        <v>131</v>
      </c>
      <c r="E135" s="2">
        <v>43676</v>
      </c>
      <c r="F135" s="3">
        <v>43644.834687499999</v>
      </c>
    </row>
    <row r="136" spans="1:6" x14ac:dyDescent="0.25">
      <c r="A136">
        <v>500730</v>
      </c>
      <c r="B136" t="s">
        <v>103</v>
      </c>
      <c r="C136" t="s">
        <v>216</v>
      </c>
      <c r="D136" t="s">
        <v>131</v>
      </c>
      <c r="E136" s="2">
        <v>43676</v>
      </c>
      <c r="F136" s="3">
        <v>43644.695185185185</v>
      </c>
    </row>
    <row r="137" spans="1:6" x14ac:dyDescent="0.25">
      <c r="A137">
        <v>540173</v>
      </c>
      <c r="B137" t="s">
        <v>100</v>
      </c>
      <c r="C137" t="s">
        <v>214</v>
      </c>
      <c r="D137" t="s">
        <v>131</v>
      </c>
      <c r="E137" s="2">
        <v>43676</v>
      </c>
      <c r="F137" s="3">
        <v>43648.632986111108</v>
      </c>
    </row>
    <row r="138" spans="1:6" x14ac:dyDescent="0.25">
      <c r="A138">
        <v>500338</v>
      </c>
      <c r="B138" t="s">
        <v>147</v>
      </c>
      <c r="C138" t="s">
        <v>148</v>
      </c>
      <c r="D138" t="s">
        <v>131</v>
      </c>
      <c r="E138" s="2">
        <v>43676</v>
      </c>
      <c r="F138" s="3">
        <v>43641.759687500002</v>
      </c>
    </row>
    <row r="139" spans="1:6" x14ac:dyDescent="0.25">
      <c r="A139">
        <v>509220</v>
      </c>
      <c r="B139" t="s">
        <v>94</v>
      </c>
      <c r="C139" t="s">
        <v>223</v>
      </c>
      <c r="D139" t="s">
        <v>131</v>
      </c>
      <c r="E139" s="2">
        <v>43676</v>
      </c>
      <c r="F139" s="3">
        <v>43644.656145833331</v>
      </c>
    </row>
    <row r="140" spans="1:6" x14ac:dyDescent="0.25">
      <c r="A140">
        <v>500407</v>
      </c>
      <c r="B140" t="s">
        <v>69</v>
      </c>
      <c r="C140" t="s">
        <v>178</v>
      </c>
      <c r="D140" t="s">
        <v>279</v>
      </c>
      <c r="E140" s="2">
        <v>43676</v>
      </c>
      <c r="F140" s="3">
        <v>43647.758692129632</v>
      </c>
    </row>
    <row r="141" spans="1:6" x14ac:dyDescent="0.25">
      <c r="A141">
        <v>533393</v>
      </c>
      <c r="B141" t="s">
        <v>280</v>
      </c>
      <c r="C141" t="s">
        <v>136</v>
      </c>
      <c r="D141" t="s">
        <v>131</v>
      </c>
      <c r="E141" s="2">
        <v>43676</v>
      </c>
      <c r="F141" s="3">
        <v>43634.725937499999</v>
      </c>
    </row>
    <row r="142" spans="1:6" x14ac:dyDescent="0.25">
      <c r="A142">
        <v>540212</v>
      </c>
      <c r="B142" t="s">
        <v>281</v>
      </c>
      <c r="C142" t="s">
        <v>125</v>
      </c>
      <c r="D142" t="s">
        <v>131</v>
      </c>
      <c r="E142" s="2">
        <v>43676</v>
      </c>
      <c r="F142" s="3">
        <v>43634.66578703704</v>
      </c>
    </row>
    <row r="143" spans="1:6" x14ac:dyDescent="0.25">
      <c r="A143">
        <v>542685</v>
      </c>
      <c r="B143" t="s">
        <v>282</v>
      </c>
      <c r="C143" t="s">
        <v>250</v>
      </c>
      <c r="D143" t="s">
        <v>131</v>
      </c>
      <c r="E143" s="2">
        <v>43677</v>
      </c>
      <c r="F143" s="3">
        <v>43644.609837962962</v>
      </c>
    </row>
    <row r="144" spans="1:6" x14ac:dyDescent="0.25">
      <c r="A144">
        <v>500250</v>
      </c>
      <c r="B144" t="s">
        <v>53</v>
      </c>
      <c r="C144" t="s">
        <v>178</v>
      </c>
      <c r="D144" t="s">
        <v>131</v>
      </c>
      <c r="E144" s="2">
        <v>43677</v>
      </c>
      <c r="F144" s="3">
        <v>43647.37462962963</v>
      </c>
    </row>
    <row r="145" spans="1:6" x14ac:dyDescent="0.25">
      <c r="A145">
        <v>524038</v>
      </c>
      <c r="B145" t="s">
        <v>283</v>
      </c>
      <c r="C145" t="s">
        <v>143</v>
      </c>
      <c r="D145" t="s">
        <v>131</v>
      </c>
      <c r="E145" s="2">
        <v>43677</v>
      </c>
      <c r="F145" s="3">
        <v>43620.525810185187</v>
      </c>
    </row>
    <row r="146" spans="1:6" x14ac:dyDescent="0.25">
      <c r="A146">
        <v>500676</v>
      </c>
      <c r="B146" t="s">
        <v>284</v>
      </c>
      <c r="C146" t="s">
        <v>285</v>
      </c>
      <c r="D146" t="s">
        <v>131</v>
      </c>
      <c r="E146" s="2">
        <v>43678</v>
      </c>
      <c r="F146" s="3">
        <v>43643.566574074073</v>
      </c>
    </row>
    <row r="147" spans="1:6" x14ac:dyDescent="0.25">
      <c r="A147">
        <v>533007</v>
      </c>
      <c r="B147" t="s">
        <v>286</v>
      </c>
      <c r="C147" t="s">
        <v>244</v>
      </c>
      <c r="D147" t="s">
        <v>131</v>
      </c>
      <c r="E147" s="2">
        <v>43678</v>
      </c>
      <c r="F147" s="3">
        <v>43647.521620370368</v>
      </c>
    </row>
    <row r="148" spans="1:6" x14ac:dyDescent="0.25">
      <c r="A148">
        <v>500264</v>
      </c>
      <c r="B148" t="s">
        <v>287</v>
      </c>
      <c r="C148" t="s">
        <v>133</v>
      </c>
      <c r="D148" t="s">
        <v>131</v>
      </c>
      <c r="E148" s="2">
        <v>43678</v>
      </c>
      <c r="F148" s="3">
        <v>43644.700416666667</v>
      </c>
    </row>
    <row r="149" spans="1:6" x14ac:dyDescent="0.25">
      <c r="A149">
        <v>524000</v>
      </c>
      <c r="B149" t="s">
        <v>288</v>
      </c>
      <c r="C149" t="s">
        <v>145</v>
      </c>
      <c r="D149" t="s">
        <v>131</v>
      </c>
      <c r="E149" s="2">
        <v>43678</v>
      </c>
      <c r="F149" s="3">
        <v>43644.777106481481</v>
      </c>
    </row>
    <row r="150" spans="1:6" x14ac:dyDescent="0.25">
      <c r="A150">
        <v>517449</v>
      </c>
      <c r="B150" t="s">
        <v>289</v>
      </c>
      <c r="C150" t="s">
        <v>244</v>
      </c>
      <c r="D150" t="s">
        <v>131</v>
      </c>
      <c r="E150" s="2">
        <v>43678</v>
      </c>
      <c r="F150" s="3">
        <v>43647.625914351855</v>
      </c>
    </row>
    <row r="151" spans="1:6" x14ac:dyDescent="0.25">
      <c r="A151">
        <v>531642</v>
      </c>
      <c r="B151" t="s">
        <v>290</v>
      </c>
      <c r="C151" t="s">
        <v>234</v>
      </c>
      <c r="D151" t="s">
        <v>131</v>
      </c>
      <c r="E151" s="2">
        <v>43678</v>
      </c>
      <c r="F151" s="3">
        <v>43647.520740740743</v>
      </c>
    </row>
    <row r="152" spans="1:6" x14ac:dyDescent="0.25">
      <c r="A152">
        <v>532834</v>
      </c>
      <c r="B152" t="s">
        <v>291</v>
      </c>
      <c r="C152" t="s">
        <v>216</v>
      </c>
      <c r="D152" t="s">
        <v>131</v>
      </c>
      <c r="E152" s="2">
        <v>43679</v>
      </c>
      <c r="F152" s="3">
        <v>43647.485810185186</v>
      </c>
    </row>
    <row r="153" spans="1:6" x14ac:dyDescent="0.25">
      <c r="A153">
        <v>522074</v>
      </c>
      <c r="B153" t="s">
        <v>292</v>
      </c>
      <c r="C153" t="s">
        <v>153</v>
      </c>
      <c r="D153" t="s">
        <v>131</v>
      </c>
      <c r="E153" s="2">
        <v>43679</v>
      </c>
      <c r="F153" s="3">
        <v>43644.625254629631</v>
      </c>
    </row>
    <row r="154" spans="1:6" x14ac:dyDescent="0.25">
      <c r="A154">
        <v>500086</v>
      </c>
      <c r="B154" t="s">
        <v>293</v>
      </c>
      <c r="C154" t="s">
        <v>178</v>
      </c>
      <c r="D154" t="s">
        <v>131</v>
      </c>
      <c r="E154" s="2">
        <v>43679</v>
      </c>
      <c r="F154" s="3">
        <v>43615.807766203703</v>
      </c>
    </row>
    <row r="155" spans="1:6" x14ac:dyDescent="0.25">
      <c r="A155">
        <v>532809</v>
      </c>
      <c r="B155" t="s">
        <v>294</v>
      </c>
      <c r="C155" t="s">
        <v>182</v>
      </c>
      <c r="D155" t="s">
        <v>131</v>
      </c>
      <c r="E155" s="2">
        <v>43679</v>
      </c>
      <c r="F155" s="3">
        <v>43643.496122685188</v>
      </c>
    </row>
    <row r="156" spans="1:6" x14ac:dyDescent="0.25">
      <c r="A156">
        <v>500790</v>
      </c>
      <c r="B156" t="s">
        <v>295</v>
      </c>
      <c r="C156" t="s">
        <v>285</v>
      </c>
      <c r="D156" t="s">
        <v>131</v>
      </c>
      <c r="E156" s="2">
        <v>43679</v>
      </c>
      <c r="F156" s="3">
        <v>43644.655752314815</v>
      </c>
    </row>
    <row r="157" spans="1:6" x14ac:dyDescent="0.25">
      <c r="A157">
        <v>500414</v>
      </c>
      <c r="B157" t="s">
        <v>296</v>
      </c>
      <c r="C157" t="s">
        <v>166</v>
      </c>
      <c r="D157" t="s">
        <v>131</v>
      </c>
      <c r="E157" s="2">
        <v>43679</v>
      </c>
      <c r="F157" s="3">
        <v>43644.595497685186</v>
      </c>
    </row>
    <row r="158" spans="1:6" x14ac:dyDescent="0.25">
      <c r="A158">
        <v>532644</v>
      </c>
      <c r="B158" t="s">
        <v>297</v>
      </c>
      <c r="C158" t="s">
        <v>148</v>
      </c>
      <c r="D158" t="s">
        <v>131</v>
      </c>
      <c r="E158" s="2">
        <v>43680</v>
      </c>
      <c r="F158" s="3">
        <v>43647.693530092591</v>
      </c>
    </row>
    <row r="159" spans="1:6" x14ac:dyDescent="0.25">
      <c r="A159">
        <v>531395</v>
      </c>
      <c r="B159" t="s">
        <v>298</v>
      </c>
      <c r="C159" t="s">
        <v>133</v>
      </c>
      <c r="D159" t="s">
        <v>131</v>
      </c>
      <c r="E159" s="2">
        <v>43680</v>
      </c>
      <c r="F159" s="3">
        <v>43643.523888888885</v>
      </c>
    </row>
    <row r="160" spans="1:6" x14ac:dyDescent="0.25">
      <c r="A160">
        <v>523411</v>
      </c>
      <c r="B160" t="s">
        <v>99</v>
      </c>
      <c r="C160" t="s">
        <v>195</v>
      </c>
      <c r="D160" t="s">
        <v>131</v>
      </c>
      <c r="E160" s="2">
        <v>43682</v>
      </c>
      <c r="F160" s="3">
        <v>43647.449548611112</v>
      </c>
    </row>
    <row r="161" spans="1:6" x14ac:dyDescent="0.25">
      <c r="A161">
        <v>509480</v>
      </c>
      <c r="B161" t="s">
        <v>299</v>
      </c>
      <c r="C161" t="s">
        <v>207</v>
      </c>
      <c r="D161" t="s">
        <v>131</v>
      </c>
      <c r="E161" s="2">
        <v>43682</v>
      </c>
      <c r="F161" s="3">
        <v>43634.516770833332</v>
      </c>
    </row>
    <row r="162" spans="1:6" x14ac:dyDescent="0.25">
      <c r="A162">
        <v>535755</v>
      </c>
      <c r="B162" t="s">
        <v>300</v>
      </c>
      <c r="C162" t="s">
        <v>301</v>
      </c>
      <c r="D162" t="s">
        <v>131</v>
      </c>
      <c r="E162" s="2">
        <v>43683</v>
      </c>
      <c r="F162" s="3">
        <v>43644.833692129629</v>
      </c>
    </row>
    <row r="163" spans="1:6" x14ac:dyDescent="0.25">
      <c r="A163">
        <v>504067</v>
      </c>
      <c r="B163" t="s">
        <v>302</v>
      </c>
      <c r="C163" t="s">
        <v>113</v>
      </c>
      <c r="D163" t="s">
        <v>131</v>
      </c>
      <c r="E163" s="2">
        <v>43683</v>
      </c>
      <c r="F163" s="3">
        <v>43640.718055555553</v>
      </c>
    </row>
    <row r="164" spans="1:6" x14ac:dyDescent="0.25">
      <c r="A164">
        <v>540704</v>
      </c>
      <c r="B164" t="s">
        <v>303</v>
      </c>
      <c r="C164" t="s">
        <v>232</v>
      </c>
      <c r="D164" t="s">
        <v>131</v>
      </c>
      <c r="E164" s="2">
        <v>43684</v>
      </c>
      <c r="F164" s="3">
        <v>43647.374027777776</v>
      </c>
    </row>
    <row r="165" spans="1:6" x14ac:dyDescent="0.25">
      <c r="A165">
        <v>500260</v>
      </c>
      <c r="B165" t="s">
        <v>304</v>
      </c>
      <c r="C165" t="s">
        <v>148</v>
      </c>
      <c r="D165" t="s">
        <v>131</v>
      </c>
      <c r="E165" s="2">
        <v>43684</v>
      </c>
      <c r="F165" s="3">
        <v>43642.656504629631</v>
      </c>
    </row>
    <row r="166" spans="1:6" x14ac:dyDescent="0.25">
      <c r="A166">
        <v>532369</v>
      </c>
      <c r="B166" t="s">
        <v>305</v>
      </c>
      <c r="C166" t="s">
        <v>306</v>
      </c>
      <c r="D166" t="s">
        <v>131</v>
      </c>
      <c r="E166" s="2">
        <v>43684</v>
      </c>
      <c r="F166" s="3">
        <v>43648.747442129628</v>
      </c>
    </row>
    <row r="167" spans="1:6" x14ac:dyDescent="0.25">
      <c r="A167">
        <v>532370</v>
      </c>
      <c r="B167" t="s">
        <v>307</v>
      </c>
      <c r="C167" t="s">
        <v>113</v>
      </c>
      <c r="D167" t="s">
        <v>131</v>
      </c>
      <c r="E167" s="2">
        <v>43684</v>
      </c>
      <c r="F167" s="3">
        <v>43643.718622685185</v>
      </c>
    </row>
    <row r="168" spans="1:6" x14ac:dyDescent="0.25">
      <c r="A168">
        <v>521161</v>
      </c>
      <c r="B168" t="s">
        <v>308</v>
      </c>
      <c r="C168" t="s">
        <v>133</v>
      </c>
      <c r="D168" t="s">
        <v>131</v>
      </c>
      <c r="E168" s="2">
        <v>43684</v>
      </c>
      <c r="F168" s="3">
        <v>43644.53329861111</v>
      </c>
    </row>
    <row r="169" spans="1:6" x14ac:dyDescent="0.25">
      <c r="A169">
        <v>500403</v>
      </c>
      <c r="B169" t="s">
        <v>309</v>
      </c>
      <c r="C169" t="s">
        <v>178</v>
      </c>
      <c r="D169" t="s">
        <v>131</v>
      </c>
      <c r="E169" s="2">
        <v>43684</v>
      </c>
      <c r="F169" s="3">
        <v>43644.507395833331</v>
      </c>
    </row>
    <row r="170" spans="1:6" x14ac:dyDescent="0.25">
      <c r="A170">
        <v>511742</v>
      </c>
      <c r="B170" t="s">
        <v>310</v>
      </c>
      <c r="C170" t="s">
        <v>145</v>
      </c>
      <c r="D170" t="s">
        <v>131</v>
      </c>
      <c r="E170" s="2">
        <v>43684</v>
      </c>
      <c r="F170" s="3">
        <v>43643.485763888886</v>
      </c>
    </row>
    <row r="171" spans="1:6" x14ac:dyDescent="0.25">
      <c r="A171">
        <v>540153</v>
      </c>
      <c r="B171" t="s">
        <v>311</v>
      </c>
      <c r="C171" t="s">
        <v>253</v>
      </c>
      <c r="D171" t="s">
        <v>131</v>
      </c>
      <c r="E171" s="2">
        <v>43685</v>
      </c>
      <c r="F171" s="3">
        <v>43641.748229166667</v>
      </c>
    </row>
    <row r="172" spans="1:6" x14ac:dyDescent="0.25">
      <c r="A172">
        <v>532129</v>
      </c>
      <c r="B172" t="s">
        <v>312</v>
      </c>
      <c r="C172" t="s">
        <v>113</v>
      </c>
      <c r="D172" t="s">
        <v>184</v>
      </c>
      <c r="E172" s="2">
        <v>43685</v>
      </c>
      <c r="F172" s="3">
        <v>43642.775578703702</v>
      </c>
    </row>
    <row r="173" spans="1:6" x14ac:dyDescent="0.25">
      <c r="A173">
        <v>532097</v>
      </c>
      <c r="B173" t="s">
        <v>313</v>
      </c>
      <c r="C173" t="s">
        <v>108</v>
      </c>
      <c r="D173" t="s">
        <v>131</v>
      </c>
      <c r="E173" s="2">
        <v>43685</v>
      </c>
      <c r="F173" s="3">
        <v>43613.84034722222</v>
      </c>
    </row>
    <row r="174" spans="1:6" x14ac:dyDescent="0.25">
      <c r="A174">
        <v>500460</v>
      </c>
      <c r="B174" t="s">
        <v>314</v>
      </c>
      <c r="C174" t="s">
        <v>226</v>
      </c>
      <c r="D174" t="s">
        <v>131</v>
      </c>
      <c r="E174" s="2">
        <v>43685</v>
      </c>
      <c r="F174" s="3">
        <v>43644.52616898148</v>
      </c>
    </row>
    <row r="175" spans="1:6" x14ac:dyDescent="0.25">
      <c r="A175">
        <v>500672</v>
      </c>
      <c r="B175" t="s">
        <v>315</v>
      </c>
      <c r="C175" t="s">
        <v>111</v>
      </c>
      <c r="D175" t="s">
        <v>131</v>
      </c>
      <c r="E175" s="2">
        <v>43685</v>
      </c>
      <c r="F175" s="3">
        <v>43642.636423611111</v>
      </c>
    </row>
    <row r="176" spans="1:6" x14ac:dyDescent="0.25">
      <c r="A176">
        <v>504093</v>
      </c>
      <c r="B176" t="s">
        <v>316</v>
      </c>
      <c r="C176" t="s">
        <v>317</v>
      </c>
      <c r="D176" t="s">
        <v>131</v>
      </c>
      <c r="E176" s="2">
        <v>43685</v>
      </c>
      <c r="F176" s="3">
        <v>43644.778148148151</v>
      </c>
    </row>
    <row r="177" spans="1:6" x14ac:dyDescent="0.25">
      <c r="A177">
        <v>505800</v>
      </c>
      <c r="B177" t="s">
        <v>318</v>
      </c>
      <c r="C177" t="s">
        <v>178</v>
      </c>
      <c r="D177" t="s">
        <v>131</v>
      </c>
      <c r="E177" s="2">
        <v>43685</v>
      </c>
      <c r="F177" s="3">
        <v>43647.37327546296</v>
      </c>
    </row>
    <row r="178" spans="1:6" x14ac:dyDescent="0.25">
      <c r="A178">
        <v>500825</v>
      </c>
      <c r="B178" t="s">
        <v>319</v>
      </c>
      <c r="C178" t="s">
        <v>285</v>
      </c>
      <c r="D178" t="s">
        <v>131</v>
      </c>
      <c r="E178" s="2">
        <v>43686</v>
      </c>
      <c r="F178" s="3">
        <v>43644.582488425927</v>
      </c>
    </row>
    <row r="179" spans="1:6" x14ac:dyDescent="0.25">
      <c r="A179">
        <v>533168</v>
      </c>
      <c r="B179" t="s">
        <v>320</v>
      </c>
      <c r="C179" t="s">
        <v>321</v>
      </c>
      <c r="D179" t="s">
        <v>131</v>
      </c>
      <c r="E179" s="2">
        <v>43686</v>
      </c>
      <c r="F179" s="3">
        <v>43644.690891203703</v>
      </c>
    </row>
    <row r="180" spans="1:6" x14ac:dyDescent="0.25">
      <c r="A180">
        <v>500387</v>
      </c>
      <c r="B180" t="s">
        <v>322</v>
      </c>
      <c r="C180" t="s">
        <v>148</v>
      </c>
      <c r="D180" t="s">
        <v>131</v>
      </c>
      <c r="E180" s="2">
        <v>43686</v>
      </c>
      <c r="F180" s="3">
        <v>43647.387291666666</v>
      </c>
    </row>
    <row r="181" spans="1:6" x14ac:dyDescent="0.25">
      <c r="A181">
        <v>507747</v>
      </c>
      <c r="B181" t="s">
        <v>323</v>
      </c>
      <c r="C181" t="s">
        <v>111</v>
      </c>
      <c r="D181" t="s">
        <v>131</v>
      </c>
      <c r="E181" s="2">
        <v>43686</v>
      </c>
      <c r="F181" s="3">
        <v>43647.380694444444</v>
      </c>
    </row>
    <row r="182" spans="1:6" x14ac:dyDescent="0.25">
      <c r="A182">
        <v>532515</v>
      </c>
      <c r="B182" t="s">
        <v>324</v>
      </c>
      <c r="C182" t="s">
        <v>171</v>
      </c>
      <c r="D182" t="s">
        <v>131</v>
      </c>
      <c r="E182" s="2">
        <v>43686</v>
      </c>
      <c r="F182" s="3">
        <v>43644.672673611109</v>
      </c>
    </row>
    <row r="183" spans="1:6" x14ac:dyDescent="0.25">
      <c r="A183">
        <v>526947</v>
      </c>
      <c r="B183" t="s">
        <v>325</v>
      </c>
      <c r="C183" t="s">
        <v>326</v>
      </c>
      <c r="D183" t="s">
        <v>131</v>
      </c>
      <c r="E183" s="2">
        <v>43687</v>
      </c>
      <c r="F183" s="3">
        <v>43640.740763888891</v>
      </c>
    </row>
    <row r="184" spans="1:6" x14ac:dyDescent="0.25">
      <c r="A184">
        <v>517059</v>
      </c>
      <c r="B184" t="s">
        <v>327</v>
      </c>
      <c r="C184" t="s">
        <v>328</v>
      </c>
      <c r="D184" t="s">
        <v>131</v>
      </c>
      <c r="E184" s="2">
        <v>43687</v>
      </c>
      <c r="F184" s="3">
        <v>43647.583078703705</v>
      </c>
    </row>
    <row r="185" spans="1:6" x14ac:dyDescent="0.25">
      <c r="A185">
        <v>516030</v>
      </c>
      <c r="B185" t="s">
        <v>329</v>
      </c>
      <c r="C185" t="s">
        <v>330</v>
      </c>
      <c r="D185" t="s">
        <v>131</v>
      </c>
      <c r="E185" s="2">
        <v>43687</v>
      </c>
      <c r="F185" s="3">
        <v>43648.77202546296</v>
      </c>
    </row>
    <row r="186" spans="1:6" x14ac:dyDescent="0.25">
      <c r="A186">
        <v>542602</v>
      </c>
      <c r="B186" t="s">
        <v>331</v>
      </c>
      <c r="C186" t="s">
        <v>221</v>
      </c>
      <c r="D186" t="s">
        <v>131</v>
      </c>
      <c r="E186" s="2">
        <v>43689</v>
      </c>
      <c r="F186" s="3">
        <v>43647.391840277778</v>
      </c>
    </row>
    <row r="187" spans="1:6" x14ac:dyDescent="0.25">
      <c r="A187">
        <v>532708</v>
      </c>
      <c r="B187" t="s">
        <v>332</v>
      </c>
      <c r="C187" t="s">
        <v>119</v>
      </c>
      <c r="D187" t="s">
        <v>131</v>
      </c>
      <c r="E187" s="2">
        <v>43689</v>
      </c>
      <c r="F187" s="3">
        <v>43647.449988425928</v>
      </c>
    </row>
    <row r="188" spans="1:6" x14ac:dyDescent="0.25">
      <c r="A188">
        <v>500241</v>
      </c>
      <c r="B188" t="s">
        <v>333</v>
      </c>
      <c r="C188" t="s">
        <v>153</v>
      </c>
      <c r="D188" t="s">
        <v>131</v>
      </c>
      <c r="E188" s="2">
        <v>43689</v>
      </c>
      <c r="F188" s="3">
        <v>43647.448206018518</v>
      </c>
    </row>
    <row r="189" spans="1:6" x14ac:dyDescent="0.25">
      <c r="A189">
        <v>530011</v>
      </c>
      <c r="B189" t="s">
        <v>334</v>
      </c>
      <c r="C189" t="s">
        <v>123</v>
      </c>
      <c r="D189" t="s">
        <v>131</v>
      </c>
      <c r="E189" s="2">
        <v>43689</v>
      </c>
      <c r="F189" s="3">
        <v>43644.690567129626</v>
      </c>
    </row>
    <row r="190" spans="1:6" x14ac:dyDescent="0.25">
      <c r="A190">
        <v>517334</v>
      </c>
      <c r="B190" t="s">
        <v>335</v>
      </c>
      <c r="C190" t="s">
        <v>178</v>
      </c>
      <c r="D190" t="s">
        <v>131</v>
      </c>
      <c r="E190" s="2">
        <v>43689</v>
      </c>
      <c r="F190" s="3">
        <v>43640.68005787037</v>
      </c>
    </row>
    <row r="191" spans="1:6" x14ac:dyDescent="0.25">
      <c r="A191">
        <v>539354</v>
      </c>
      <c r="B191" t="s">
        <v>336</v>
      </c>
      <c r="C191" t="s">
        <v>337</v>
      </c>
      <c r="D191" t="s">
        <v>131</v>
      </c>
      <c r="E191" s="2">
        <v>43689</v>
      </c>
      <c r="F191" s="3">
        <v>43647.575312499997</v>
      </c>
    </row>
    <row r="192" spans="1:6" x14ac:dyDescent="0.25">
      <c r="A192">
        <v>522113</v>
      </c>
      <c r="B192" t="s">
        <v>338</v>
      </c>
      <c r="C192" t="s">
        <v>153</v>
      </c>
      <c r="D192" t="s">
        <v>131</v>
      </c>
      <c r="E192" s="2">
        <v>43689</v>
      </c>
      <c r="F192" s="3">
        <v>43644.525972222225</v>
      </c>
    </row>
    <row r="193" spans="1:6" x14ac:dyDescent="0.25">
      <c r="A193">
        <v>517506</v>
      </c>
      <c r="B193" t="s">
        <v>339</v>
      </c>
      <c r="C193" t="s">
        <v>326</v>
      </c>
      <c r="D193" t="s">
        <v>131</v>
      </c>
      <c r="E193" s="2">
        <v>43689</v>
      </c>
      <c r="F193" s="3">
        <v>43640.803564814814</v>
      </c>
    </row>
    <row r="194" spans="1:6" x14ac:dyDescent="0.25">
      <c r="A194">
        <v>534742</v>
      </c>
      <c r="B194" t="s">
        <v>122</v>
      </c>
      <c r="C194" t="s">
        <v>123</v>
      </c>
      <c r="D194" t="s">
        <v>131</v>
      </c>
      <c r="E194" s="2">
        <v>43689</v>
      </c>
      <c r="F194" s="3">
        <v>43647.380358796298</v>
      </c>
    </row>
    <row r="195" spans="1:6" x14ac:dyDescent="0.25">
      <c r="A195">
        <v>590006</v>
      </c>
      <c r="B195" t="s">
        <v>340</v>
      </c>
      <c r="C195" t="s">
        <v>111</v>
      </c>
      <c r="D195" t="s">
        <v>131</v>
      </c>
      <c r="E195" s="2">
        <v>43690</v>
      </c>
      <c r="F195" s="3">
        <v>43647.485358796293</v>
      </c>
    </row>
    <row r="196" spans="1:6" x14ac:dyDescent="0.25">
      <c r="A196">
        <v>508869</v>
      </c>
      <c r="B196" t="s">
        <v>341</v>
      </c>
      <c r="C196" t="s">
        <v>342</v>
      </c>
      <c r="D196" t="s">
        <v>131</v>
      </c>
      <c r="E196" s="2">
        <v>43690</v>
      </c>
      <c r="F196" s="3">
        <v>43644.492754629631</v>
      </c>
    </row>
    <row r="197" spans="1:6" x14ac:dyDescent="0.25">
      <c r="A197">
        <v>500530</v>
      </c>
      <c r="B197" t="s">
        <v>343</v>
      </c>
      <c r="C197" t="s">
        <v>178</v>
      </c>
      <c r="D197" t="s">
        <v>131</v>
      </c>
      <c r="E197" s="2">
        <v>43690</v>
      </c>
      <c r="F197" s="3">
        <v>43642.68712962963</v>
      </c>
    </row>
    <row r="198" spans="1:6" x14ac:dyDescent="0.25">
      <c r="A198">
        <v>523489</v>
      </c>
      <c r="B198" t="s">
        <v>344</v>
      </c>
      <c r="C198" t="s">
        <v>345</v>
      </c>
      <c r="D198" t="s">
        <v>346</v>
      </c>
      <c r="E198" s="2">
        <v>43690</v>
      </c>
      <c r="F198" s="3">
        <v>43643.623784722222</v>
      </c>
    </row>
    <row r="199" spans="1:6" x14ac:dyDescent="0.25">
      <c r="A199">
        <v>526821</v>
      </c>
      <c r="B199" t="s">
        <v>347</v>
      </c>
      <c r="C199" t="s">
        <v>216</v>
      </c>
      <c r="D199" t="s">
        <v>131</v>
      </c>
      <c r="E199" s="2">
        <v>43690</v>
      </c>
      <c r="F199" s="3">
        <v>43644.532766203702</v>
      </c>
    </row>
    <row r="200" spans="1:6" x14ac:dyDescent="0.25">
      <c r="A200">
        <v>500840</v>
      </c>
      <c r="B200" t="s">
        <v>348</v>
      </c>
      <c r="C200" t="s">
        <v>259</v>
      </c>
      <c r="D200" t="s">
        <v>131</v>
      </c>
      <c r="E200" s="2">
        <v>43690</v>
      </c>
      <c r="F200" s="3">
        <v>43647.397060185183</v>
      </c>
    </row>
    <row r="201" spans="1:6" x14ac:dyDescent="0.25">
      <c r="A201">
        <v>500133</v>
      </c>
      <c r="B201" t="s">
        <v>349</v>
      </c>
      <c r="C201" t="s">
        <v>350</v>
      </c>
      <c r="D201" t="s">
        <v>131</v>
      </c>
      <c r="E201" s="2">
        <v>43690</v>
      </c>
      <c r="F201" s="3">
        <v>43647.527604166666</v>
      </c>
    </row>
    <row r="202" spans="1:6" x14ac:dyDescent="0.25">
      <c r="A202">
        <v>517271</v>
      </c>
      <c r="B202" t="s">
        <v>351</v>
      </c>
      <c r="C202" t="s">
        <v>328</v>
      </c>
      <c r="D202" t="s">
        <v>131</v>
      </c>
      <c r="E202" s="2">
        <v>43690</v>
      </c>
      <c r="F202" s="3">
        <v>43648.501122685186</v>
      </c>
    </row>
    <row r="203" spans="1:6" x14ac:dyDescent="0.25">
      <c r="A203">
        <v>532612</v>
      </c>
      <c r="B203" t="s">
        <v>352</v>
      </c>
      <c r="C203" t="s">
        <v>111</v>
      </c>
      <c r="D203" t="s">
        <v>131</v>
      </c>
      <c r="E203" s="2">
        <v>43690</v>
      </c>
      <c r="F203" s="3">
        <v>43647.51085648148</v>
      </c>
    </row>
    <row r="204" spans="1:6" x14ac:dyDescent="0.25">
      <c r="A204">
        <v>517344</v>
      </c>
      <c r="B204" t="s">
        <v>353</v>
      </c>
      <c r="C204" t="s">
        <v>150</v>
      </c>
      <c r="D204" t="s">
        <v>131</v>
      </c>
      <c r="E204" s="2">
        <v>43690</v>
      </c>
      <c r="F204" s="3">
        <v>43647.373692129629</v>
      </c>
    </row>
    <row r="205" spans="1:6" x14ac:dyDescent="0.25">
      <c r="A205">
        <v>532777</v>
      </c>
      <c r="B205" t="s">
        <v>354</v>
      </c>
      <c r="C205" t="s">
        <v>355</v>
      </c>
      <c r="D205" t="s">
        <v>131</v>
      </c>
      <c r="E205" s="2">
        <v>43690</v>
      </c>
      <c r="F205" s="3">
        <v>43647.388495370367</v>
      </c>
    </row>
    <row r="206" spans="1:6" x14ac:dyDescent="0.25">
      <c r="A206">
        <v>500307</v>
      </c>
      <c r="B206" t="s">
        <v>356</v>
      </c>
      <c r="C206" t="s">
        <v>128</v>
      </c>
      <c r="D206" t="s">
        <v>131</v>
      </c>
      <c r="E206" s="2">
        <v>43690</v>
      </c>
      <c r="F206" s="3">
        <v>43633.701284722221</v>
      </c>
    </row>
    <row r="207" spans="1:6" x14ac:dyDescent="0.25">
      <c r="A207">
        <v>500339</v>
      </c>
      <c r="B207" t="s">
        <v>357</v>
      </c>
      <c r="C207" t="s">
        <v>358</v>
      </c>
      <c r="D207" t="s">
        <v>131</v>
      </c>
      <c r="E207" s="2">
        <v>43690</v>
      </c>
      <c r="F207" s="3">
        <v>43647.375324074077</v>
      </c>
    </row>
    <row r="208" spans="1:6" x14ac:dyDescent="0.25">
      <c r="A208">
        <v>532503</v>
      </c>
      <c r="B208" t="s">
        <v>359</v>
      </c>
      <c r="C208" t="s">
        <v>133</v>
      </c>
      <c r="D208" t="s">
        <v>131</v>
      </c>
      <c r="E208" s="2">
        <v>43690</v>
      </c>
      <c r="F208" s="3">
        <v>43647.390983796293</v>
      </c>
    </row>
    <row r="209" spans="1:6" x14ac:dyDescent="0.25">
      <c r="A209">
        <v>531215</v>
      </c>
      <c r="B209" t="s">
        <v>360</v>
      </c>
      <c r="C209" t="s">
        <v>328</v>
      </c>
      <c r="D209" t="s">
        <v>279</v>
      </c>
      <c r="E209" s="2">
        <v>43690</v>
      </c>
      <c r="F209" s="3">
        <v>43643.440844907411</v>
      </c>
    </row>
    <row r="210" spans="1:6" x14ac:dyDescent="0.25">
      <c r="A210">
        <v>526901</v>
      </c>
      <c r="B210" t="s">
        <v>361</v>
      </c>
      <c r="C210" t="s">
        <v>143</v>
      </c>
      <c r="D210" t="s">
        <v>131</v>
      </c>
      <c r="E210" s="2">
        <v>43690</v>
      </c>
      <c r="F210" s="3">
        <v>43647.387881944444</v>
      </c>
    </row>
    <row r="211" spans="1:6" x14ac:dyDescent="0.25">
      <c r="A211">
        <v>500144</v>
      </c>
      <c r="B211" t="s">
        <v>362</v>
      </c>
      <c r="C211" t="s">
        <v>328</v>
      </c>
      <c r="D211" t="s">
        <v>131</v>
      </c>
      <c r="E211" s="2">
        <v>43691</v>
      </c>
      <c r="F211" s="3">
        <v>43641.536215277774</v>
      </c>
    </row>
    <row r="212" spans="1:6" x14ac:dyDescent="0.25">
      <c r="A212">
        <v>505255</v>
      </c>
      <c r="B212" t="s">
        <v>363</v>
      </c>
      <c r="C212" t="s">
        <v>153</v>
      </c>
      <c r="D212" t="s">
        <v>184</v>
      </c>
      <c r="E212" s="2">
        <v>43691</v>
      </c>
      <c r="F212" s="3">
        <v>43644.676446759258</v>
      </c>
    </row>
    <row r="213" spans="1:6" x14ac:dyDescent="0.25">
      <c r="A213">
        <v>521068</v>
      </c>
      <c r="B213" t="s">
        <v>364</v>
      </c>
      <c r="C213" t="s">
        <v>133</v>
      </c>
      <c r="D213" t="s">
        <v>131</v>
      </c>
      <c r="E213" s="2">
        <v>43691</v>
      </c>
      <c r="F213" s="3">
        <v>43643.508645833332</v>
      </c>
    </row>
    <row r="214" spans="1:6" x14ac:dyDescent="0.25">
      <c r="A214">
        <v>541005</v>
      </c>
      <c r="B214" t="s">
        <v>365</v>
      </c>
      <c r="C214" t="s">
        <v>321</v>
      </c>
      <c r="D214" t="s">
        <v>131</v>
      </c>
      <c r="E214" s="2">
        <v>43691</v>
      </c>
      <c r="F214" s="3">
        <v>43647.724803240744</v>
      </c>
    </row>
    <row r="215" spans="1:6" x14ac:dyDescent="0.25">
      <c r="A215">
        <v>507966</v>
      </c>
      <c r="B215" t="s">
        <v>366</v>
      </c>
      <c r="C215" t="s">
        <v>259</v>
      </c>
      <c r="D215" t="s">
        <v>131</v>
      </c>
      <c r="E215" s="2">
        <v>43691</v>
      </c>
      <c r="F215" s="3">
        <v>43647.3749537037</v>
      </c>
    </row>
    <row r="216" spans="1:6" x14ac:dyDescent="0.25">
      <c r="A216">
        <v>500780</v>
      </c>
      <c r="B216" t="s">
        <v>367</v>
      </c>
      <c r="C216" t="s">
        <v>123</v>
      </c>
      <c r="D216" t="s">
        <v>131</v>
      </c>
      <c r="E216" s="2">
        <v>43691</v>
      </c>
      <c r="F216" s="3">
        <v>43647.380011574074</v>
      </c>
    </row>
    <row r="217" spans="1:6" x14ac:dyDescent="0.25">
      <c r="A217">
        <v>500459</v>
      </c>
      <c r="B217" t="s">
        <v>368</v>
      </c>
      <c r="C217" t="s">
        <v>234</v>
      </c>
      <c r="D217" t="s">
        <v>369</v>
      </c>
      <c r="E217" s="2">
        <v>43698</v>
      </c>
      <c r="F217" s="3">
        <v>43644.779409722221</v>
      </c>
    </row>
    <row r="218" spans="1:6" x14ac:dyDescent="0.25">
      <c r="A218">
        <v>507815</v>
      </c>
      <c r="B218" t="s">
        <v>370</v>
      </c>
      <c r="C218" t="s">
        <v>234</v>
      </c>
      <c r="D218" t="s">
        <v>369</v>
      </c>
      <c r="E218" s="2">
        <v>43699</v>
      </c>
      <c r="F218" s="3">
        <v>43644.77983796296</v>
      </c>
    </row>
    <row r="219" spans="1:6" x14ac:dyDescent="0.25">
      <c r="A219">
        <v>505890</v>
      </c>
      <c r="B219" t="s">
        <v>371</v>
      </c>
      <c r="C219" t="s">
        <v>153</v>
      </c>
      <c r="D219" t="s">
        <v>137</v>
      </c>
      <c r="E219" s="2">
        <v>43699</v>
      </c>
      <c r="F219" s="3">
        <v>43643.613877314812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H2" sqref="H2"/>
    </sheetView>
  </sheetViews>
  <sheetFormatPr defaultRowHeight="15" x14ac:dyDescent="0.25"/>
  <cols>
    <col min="1" max="1" width="7.7109375" bestFit="1" customWidth="1"/>
    <col min="2" max="2" width="41.5703125" bestFit="1" customWidth="1"/>
    <col min="3" max="3" width="10" bestFit="1" customWidth="1"/>
    <col min="4" max="4" width="12" bestFit="1" customWidth="1"/>
    <col min="5" max="5" width="11.5703125" bestFit="1" customWidth="1"/>
    <col min="6" max="6" width="13.28515625" bestFit="1" customWidth="1"/>
    <col min="7" max="7" width="9.5703125" bestFit="1" customWidth="1"/>
    <col min="8" max="8" width="12.140625" bestFit="1" customWidth="1"/>
    <col min="9" max="9" width="9" bestFit="1" customWidth="1"/>
    <col min="10" max="10" width="10.5703125" bestFit="1" customWidth="1"/>
    <col min="11" max="11" width="13.85546875" bestFit="1" customWidth="1"/>
  </cols>
  <sheetData>
    <row r="1" spans="1:11" x14ac:dyDescent="0.25">
      <c r="C1" t="s">
        <v>537</v>
      </c>
      <c r="D1" t="s">
        <v>543</v>
      </c>
      <c r="E1" t="s">
        <v>6</v>
      </c>
      <c r="F1" t="s">
        <v>544</v>
      </c>
      <c r="G1" t="s">
        <v>538</v>
      </c>
      <c r="H1" s="7" t="s">
        <v>539</v>
      </c>
      <c r="I1" t="s">
        <v>540</v>
      </c>
      <c r="J1" s="7" t="s">
        <v>541</v>
      </c>
      <c r="K1" s="7" t="s">
        <v>542</v>
      </c>
    </row>
    <row r="2" spans="1:11" x14ac:dyDescent="0.25">
      <c r="A2" t="s">
        <v>13</v>
      </c>
      <c r="B2" t="s">
        <v>378</v>
      </c>
      <c r="C2" s="2">
        <v>43649</v>
      </c>
      <c r="D2" s="2">
        <v>43651</v>
      </c>
      <c r="E2" s="2">
        <v>43657</v>
      </c>
      <c r="F2">
        <v>147.97999999999999</v>
      </c>
      <c r="G2" s="8">
        <v>187.6</v>
      </c>
      <c r="H2" s="9">
        <f>F2*1000000/G2</f>
        <v>788805.97014925373</v>
      </c>
      <c r="I2" s="4">
        <v>3</v>
      </c>
      <c r="J2" s="9">
        <f>H2*I2</f>
        <v>2366417.9104477614</v>
      </c>
      <c r="K2" s="9">
        <f>F2-J2</f>
        <v>-2366269.9304477614</v>
      </c>
    </row>
    <row r="3" spans="1:11" x14ac:dyDescent="0.25">
      <c r="C3" s="2"/>
      <c r="D3" s="2"/>
      <c r="E3" s="2"/>
      <c r="G3" s="8">
        <v>161.30000000000001</v>
      </c>
      <c r="H3" s="9">
        <f>F3/G3</f>
        <v>0</v>
      </c>
      <c r="I3" s="4">
        <v>2.85</v>
      </c>
      <c r="J3" s="9">
        <f>H3*I3</f>
        <v>0</v>
      </c>
      <c r="K3" s="9">
        <f>F3-J3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1" sqref="C1:H1"/>
    </sheetView>
  </sheetViews>
  <sheetFormatPr defaultRowHeight="15" x14ac:dyDescent="0.25"/>
  <cols>
    <col min="1" max="1" width="14" bestFit="1" customWidth="1"/>
    <col min="2" max="2" width="15.42578125" customWidth="1"/>
    <col min="4" max="4" width="53.140625" customWidth="1"/>
    <col min="5" max="5" width="11.7109375" bestFit="1" customWidth="1"/>
    <col min="6" max="6" width="43.7109375" customWidth="1"/>
  </cols>
  <sheetData>
    <row r="1" spans="1:8" x14ac:dyDescent="0.25">
      <c r="A1" t="s">
        <v>1</v>
      </c>
      <c r="B1" t="s">
        <v>372</v>
      </c>
      <c r="C1" s="10" t="s">
        <v>534</v>
      </c>
      <c r="D1" s="10"/>
      <c r="E1" s="10" t="s">
        <v>4</v>
      </c>
      <c r="F1" s="10"/>
      <c r="G1" s="10" t="s">
        <v>535</v>
      </c>
      <c r="H1" s="10"/>
    </row>
    <row r="2" spans="1:8" ht="90" customHeight="1" x14ac:dyDescent="0.25">
      <c r="A2" s="4" t="s">
        <v>10</v>
      </c>
      <c r="B2" s="1" t="s">
        <v>374</v>
      </c>
      <c r="C2" s="5">
        <v>43649</v>
      </c>
      <c r="E2" s="5">
        <v>43650</v>
      </c>
      <c r="G2" s="5">
        <v>43651</v>
      </c>
    </row>
  </sheetData>
  <mergeCells count="3">
    <mergeCell ref="C1:D1"/>
    <mergeCell ref="E1:F1"/>
    <mergeCell ref="G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E2" sqref="E2"/>
    </sheetView>
  </sheetViews>
  <sheetFormatPr defaultRowHeight="15" x14ac:dyDescent="0.25"/>
  <cols>
    <col min="1" max="1" width="14" bestFit="1" customWidth="1"/>
    <col min="2" max="2" width="27.140625" bestFit="1" customWidth="1"/>
    <col min="3" max="3" width="9.140625" customWidth="1"/>
  </cols>
  <sheetData>
    <row r="1" spans="1:8" x14ac:dyDescent="0.25">
      <c r="A1" t="s">
        <v>1</v>
      </c>
      <c r="B1" t="s">
        <v>372</v>
      </c>
      <c r="C1" s="10" t="s">
        <v>534</v>
      </c>
      <c r="D1" s="10"/>
      <c r="E1" s="10" t="s">
        <v>4</v>
      </c>
      <c r="F1" s="10"/>
      <c r="G1" s="10" t="s">
        <v>535</v>
      </c>
      <c r="H1" s="10"/>
    </row>
    <row r="2" spans="1:8" x14ac:dyDescent="0.25">
      <c r="A2" t="s">
        <v>12</v>
      </c>
      <c r="B2" t="s">
        <v>376</v>
      </c>
      <c r="C2" s="2">
        <v>43649</v>
      </c>
      <c r="D2" s="6" t="s">
        <v>536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Corporate Actions</vt:lpstr>
      <vt:lpstr>Sheet5</vt:lpstr>
      <vt:lpstr>BoardMeeting</vt:lpstr>
      <vt:lpstr>Dividend</vt:lpstr>
      <vt:lpstr>Spinoff</vt:lpstr>
      <vt:lpstr>Amalgamation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2019-08-28T12:32:30Z</dcterms:modified>
</cp:coreProperties>
</file>