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santh Backup Files from Desktop\Vasanth Desktop Items\Vasanth\STk\"/>
    </mc:Choice>
  </mc:AlternateContent>
  <xr:revisionPtr revIDLastSave="0" documentId="13_ncr:1_{44126E11-F204-4359-96F1-D325E2D41574}" xr6:coauthVersionLast="47" xr6:coauthVersionMax="47" xr10:uidLastSave="{00000000-0000-0000-0000-000000000000}"/>
  <bookViews>
    <workbookView xWindow="-120" yWindow="-120" windowWidth="20730" windowHeight="11160" tabRatio="860" activeTab="1" xr2:uid="{00000000-000D-0000-FFFF-FFFF00000000}"/>
  </bookViews>
  <sheets>
    <sheet name="8502271974_TradeBook" sheetId="1" r:id="rId1"/>
    <sheet name="Buy" sheetId="2" r:id="rId2"/>
    <sheet name="Sell" sheetId="4" r:id="rId3"/>
    <sheet name="P and L" sheetId="5" r:id="rId4"/>
  </sheets>
  <definedNames>
    <definedName name="_xlnm._FilterDatabase" localSheetId="0" hidden="1">'8502271974_TradeBook'!$A$1:$P$1373</definedName>
    <definedName name="_xlnm._FilterDatabase" localSheetId="3" hidden="1">'P and L'!$F$3:$G$105</definedName>
  </definedNames>
  <calcPr calcId="191029"/>
  <pivotCaches>
    <pivotCache cacheId="130" r:id="rId5"/>
    <pivotCache cacheId="1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" l="1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42" i="2"/>
  <c r="P42" i="2" s="1"/>
  <c r="N43" i="2"/>
  <c r="P43" i="2" s="1"/>
  <c r="N44" i="2"/>
  <c r="P44" i="2" s="1"/>
  <c r="N45" i="2"/>
  <c r="P45" i="2" s="1"/>
  <c r="N46" i="2"/>
  <c r="P46" i="2" s="1"/>
  <c r="N47" i="2"/>
  <c r="P47" i="2" s="1"/>
  <c r="N48" i="2"/>
  <c r="P48" i="2" s="1"/>
  <c r="N49" i="2"/>
  <c r="P49" i="2" s="1"/>
  <c r="N50" i="2"/>
  <c r="P50" i="2" s="1"/>
  <c r="N51" i="2"/>
  <c r="P51" i="2" s="1"/>
  <c r="N52" i="2"/>
  <c r="P52" i="2" s="1"/>
  <c r="N53" i="2"/>
  <c r="P53" i="2" s="1"/>
  <c r="N54" i="2"/>
  <c r="P54" i="2" s="1"/>
  <c r="N55" i="2"/>
  <c r="P55" i="2" s="1"/>
  <c r="N56" i="2"/>
  <c r="P56" i="2" s="1"/>
  <c r="N57" i="2"/>
  <c r="P57" i="2" s="1"/>
  <c r="N58" i="2"/>
  <c r="P58" i="2" s="1"/>
  <c r="N59" i="2"/>
  <c r="P59" i="2" s="1"/>
  <c r="N60" i="2"/>
  <c r="P60" i="2" s="1"/>
  <c r="N61" i="2"/>
  <c r="P61" i="2" s="1"/>
  <c r="N62" i="2"/>
  <c r="P62" i="2" s="1"/>
  <c r="N63" i="2"/>
  <c r="P63" i="2" s="1"/>
  <c r="N64" i="2"/>
  <c r="P64" i="2" s="1"/>
  <c r="N65" i="2"/>
  <c r="P65" i="2" s="1"/>
  <c r="N66" i="2"/>
  <c r="P66" i="2" s="1"/>
  <c r="N67" i="2"/>
  <c r="P67" i="2" s="1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P74" i="2" s="1"/>
  <c r="N75" i="2"/>
  <c r="P75" i="2" s="1"/>
  <c r="N76" i="2"/>
  <c r="P76" i="2" s="1"/>
  <c r="N77" i="2"/>
  <c r="P77" i="2" s="1"/>
  <c r="N78" i="2"/>
  <c r="P78" i="2" s="1"/>
  <c r="N79" i="2"/>
  <c r="P79" i="2" s="1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P86" i="2" s="1"/>
  <c r="N87" i="2"/>
  <c r="P87" i="2" s="1"/>
  <c r="N88" i="2"/>
  <c r="P88" i="2" s="1"/>
  <c r="N89" i="2"/>
  <c r="P89" i="2" s="1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P98" i="2" s="1"/>
  <c r="N99" i="2"/>
  <c r="P99" i="2" s="1"/>
  <c r="N100" i="2"/>
  <c r="P100" i="2" s="1"/>
  <c r="N101" i="2"/>
  <c r="P101" i="2" s="1"/>
  <c r="N102" i="2"/>
  <c r="P102" i="2" s="1"/>
  <c r="N103" i="2"/>
  <c r="P103" i="2" s="1"/>
  <c r="N104" i="2"/>
  <c r="P104" i="2" s="1"/>
  <c r="N105" i="2"/>
  <c r="P105" i="2" s="1"/>
  <c r="N106" i="2"/>
  <c r="P106" i="2" s="1"/>
  <c r="N107" i="2"/>
  <c r="P107" i="2" s="1"/>
  <c r="N108" i="2"/>
  <c r="P108" i="2" s="1"/>
  <c r="N109" i="2"/>
  <c r="P109" i="2" s="1"/>
  <c r="N110" i="2"/>
  <c r="P110" i="2" s="1"/>
  <c r="N111" i="2"/>
  <c r="P111" i="2" s="1"/>
  <c r="N112" i="2"/>
  <c r="P112" i="2" s="1"/>
  <c r="N113" i="2"/>
  <c r="P113" i="2" s="1"/>
  <c r="N114" i="2"/>
  <c r="P114" i="2" s="1"/>
  <c r="N115" i="2"/>
  <c r="P115" i="2" s="1"/>
  <c r="N116" i="2"/>
  <c r="P116" i="2" s="1"/>
  <c r="N117" i="2"/>
  <c r="P117" i="2" s="1"/>
  <c r="N118" i="2"/>
  <c r="P118" i="2" s="1"/>
  <c r="N119" i="2"/>
  <c r="P119" i="2" s="1"/>
  <c r="N120" i="2"/>
  <c r="P120" i="2" s="1"/>
  <c r="N121" i="2"/>
  <c r="P121" i="2" s="1"/>
  <c r="N122" i="2"/>
  <c r="P122" i="2" s="1"/>
  <c r="N123" i="2"/>
  <c r="P123" i="2" s="1"/>
  <c r="N124" i="2"/>
  <c r="P124" i="2" s="1"/>
  <c r="N125" i="2"/>
  <c r="P125" i="2" s="1"/>
  <c r="N126" i="2"/>
  <c r="P126" i="2" s="1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P132" i="2" s="1"/>
  <c r="N133" i="2"/>
  <c r="P133" i="2" s="1"/>
  <c r="N134" i="2"/>
  <c r="P134" i="2" s="1"/>
  <c r="N135" i="2"/>
  <c r="P135" i="2" s="1"/>
  <c r="N136" i="2"/>
  <c r="P136" i="2" s="1"/>
  <c r="N137" i="2"/>
  <c r="P137" i="2" s="1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4" i="2"/>
  <c r="P144" i="2" s="1"/>
  <c r="N145" i="2"/>
  <c r="P145" i="2" s="1"/>
  <c r="N146" i="2"/>
  <c r="P146" i="2" s="1"/>
  <c r="N147" i="2"/>
  <c r="P147" i="2" s="1"/>
  <c r="N148" i="2"/>
  <c r="P148" i="2" s="1"/>
  <c r="N149" i="2"/>
  <c r="P149" i="2" s="1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P157" i="2" s="1"/>
  <c r="N158" i="2"/>
  <c r="P158" i="2" s="1"/>
  <c r="N159" i="2"/>
  <c r="P159" i="2" s="1"/>
  <c r="N160" i="2"/>
  <c r="P160" i="2" s="1"/>
  <c r="N161" i="2"/>
  <c r="P161" i="2" s="1"/>
  <c r="N162" i="2"/>
  <c r="P162" i="2" s="1"/>
  <c r="N163" i="2"/>
  <c r="P163" i="2" s="1"/>
  <c r="N164" i="2"/>
  <c r="P164" i="2" s="1"/>
  <c r="N165" i="2"/>
  <c r="P165" i="2" s="1"/>
  <c r="N166" i="2"/>
  <c r="P166" i="2" s="1"/>
  <c r="N167" i="2"/>
  <c r="P167" i="2" s="1"/>
  <c r="N168" i="2"/>
  <c r="P168" i="2" s="1"/>
  <c r="N169" i="2"/>
  <c r="P169" i="2" s="1"/>
  <c r="N170" i="2"/>
  <c r="P170" i="2" s="1"/>
  <c r="N171" i="2"/>
  <c r="P171" i="2" s="1"/>
  <c r="N172" i="2"/>
  <c r="P172" i="2" s="1"/>
  <c r="N173" i="2"/>
  <c r="P173" i="2" s="1"/>
  <c r="N174" i="2"/>
  <c r="P174" i="2" s="1"/>
  <c r="N175" i="2"/>
  <c r="P175" i="2" s="1"/>
  <c r="N176" i="2"/>
  <c r="P176" i="2" s="1"/>
  <c r="N177" i="2"/>
  <c r="P177" i="2" s="1"/>
  <c r="N178" i="2"/>
  <c r="P178" i="2" s="1"/>
  <c r="N179" i="2"/>
  <c r="P179" i="2" s="1"/>
  <c r="N180" i="2"/>
  <c r="P180" i="2" s="1"/>
  <c r="N181" i="2"/>
  <c r="P181" i="2" s="1"/>
  <c r="N182" i="2"/>
  <c r="P182" i="2" s="1"/>
  <c r="N183" i="2"/>
  <c r="P183" i="2" s="1"/>
  <c r="N184" i="2"/>
  <c r="P184" i="2" s="1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195" i="2"/>
  <c r="P195" i="2" s="1"/>
  <c r="N196" i="2"/>
  <c r="P196" i="2" s="1"/>
  <c r="N197" i="2"/>
  <c r="P197" i="2" s="1"/>
  <c r="N198" i="2"/>
  <c r="P198" i="2" s="1"/>
  <c r="N199" i="2"/>
  <c r="P199" i="2" s="1"/>
  <c r="N200" i="2"/>
  <c r="P200" i="2" s="1"/>
  <c r="N201" i="2"/>
  <c r="P201" i="2" s="1"/>
  <c r="N202" i="2"/>
  <c r="P202" i="2" s="1"/>
  <c r="N203" i="2"/>
  <c r="P203" i="2" s="1"/>
  <c r="N204" i="2"/>
  <c r="P204" i="2" s="1"/>
  <c r="N205" i="2"/>
  <c r="P205" i="2" s="1"/>
  <c r="N206" i="2"/>
  <c r="P206" i="2" s="1"/>
  <c r="N207" i="2"/>
  <c r="P207" i="2" s="1"/>
  <c r="N208" i="2"/>
  <c r="P208" i="2" s="1"/>
  <c r="N209" i="2"/>
  <c r="P209" i="2" s="1"/>
  <c r="N210" i="2"/>
  <c r="P210" i="2" s="1"/>
  <c r="N211" i="2"/>
  <c r="P211" i="2" s="1"/>
  <c r="N212" i="2"/>
  <c r="P212" i="2" s="1"/>
  <c r="N213" i="2"/>
  <c r="P213" i="2" s="1"/>
  <c r="N214" i="2"/>
  <c r="P214" i="2" s="1"/>
  <c r="N215" i="2"/>
  <c r="P215" i="2" s="1"/>
  <c r="N216" i="2"/>
  <c r="P216" i="2" s="1"/>
  <c r="N217" i="2"/>
  <c r="P217" i="2" s="1"/>
  <c r="N218" i="2"/>
  <c r="P218" i="2" s="1"/>
  <c r="N219" i="2"/>
  <c r="P219" i="2" s="1"/>
  <c r="N220" i="2"/>
  <c r="P220" i="2" s="1"/>
  <c r="N221" i="2"/>
  <c r="P221" i="2" s="1"/>
  <c r="N222" i="2"/>
  <c r="P222" i="2" s="1"/>
  <c r="N223" i="2"/>
  <c r="P223" i="2" s="1"/>
  <c r="N224" i="2"/>
  <c r="P224" i="2" s="1"/>
  <c r="N225" i="2"/>
  <c r="P225" i="2" s="1"/>
  <c r="N226" i="2"/>
  <c r="P226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N233" i="2"/>
  <c r="P233" i="2" s="1"/>
  <c r="N234" i="2"/>
  <c r="P234" i="2" s="1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P242" i="2" s="1"/>
  <c r="N243" i="2"/>
  <c r="P243" i="2" s="1"/>
  <c r="N244" i="2"/>
  <c r="P244" i="2" s="1"/>
  <c r="N245" i="2"/>
  <c r="P245" i="2" s="1"/>
  <c r="N246" i="2"/>
  <c r="P246" i="2" s="1"/>
  <c r="N247" i="2"/>
  <c r="P247" i="2" s="1"/>
  <c r="N248" i="2"/>
  <c r="P248" i="2" s="1"/>
  <c r="N249" i="2"/>
  <c r="P249" i="2" s="1"/>
  <c r="N250" i="2"/>
  <c r="P250" i="2" s="1"/>
  <c r="N251" i="2"/>
  <c r="P251" i="2" s="1"/>
  <c r="N252" i="2"/>
  <c r="P252" i="2" s="1"/>
  <c r="N253" i="2"/>
  <c r="P253" i="2" s="1"/>
  <c r="N254" i="2"/>
  <c r="P254" i="2" s="1"/>
  <c r="N255" i="2"/>
  <c r="P255" i="2" s="1"/>
  <c r="N256" i="2"/>
  <c r="P256" i="2" s="1"/>
  <c r="N257" i="2"/>
  <c r="P257" i="2" s="1"/>
  <c r="N258" i="2"/>
  <c r="P258" i="2" s="1"/>
  <c r="N259" i="2"/>
  <c r="P259" i="2" s="1"/>
  <c r="N260" i="2"/>
  <c r="P260" i="2" s="1"/>
  <c r="N261" i="2"/>
  <c r="P261" i="2" s="1"/>
  <c r="N262" i="2"/>
  <c r="P262" i="2" s="1"/>
  <c r="N263" i="2"/>
  <c r="P263" i="2" s="1"/>
  <c r="N264" i="2"/>
  <c r="P264" i="2" s="1"/>
  <c r="N265" i="2"/>
  <c r="P265" i="2" s="1"/>
  <c r="N266" i="2"/>
  <c r="P266" i="2" s="1"/>
  <c r="N267" i="2"/>
  <c r="P267" i="2" s="1"/>
  <c r="N268" i="2"/>
  <c r="P268" i="2" s="1"/>
  <c r="N269" i="2"/>
  <c r="P269" i="2" s="1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P275" i="2" s="1"/>
  <c r="N276" i="2"/>
  <c r="P276" i="2" s="1"/>
  <c r="N277" i="2"/>
  <c r="P277" i="2" s="1"/>
  <c r="N278" i="2"/>
  <c r="P278" i="2" s="1"/>
  <c r="N279" i="2"/>
  <c r="P279" i="2" s="1"/>
  <c r="N280" i="2"/>
  <c r="P280" i="2" s="1"/>
  <c r="N281" i="2"/>
  <c r="P281" i="2" s="1"/>
  <c r="N282" i="2"/>
  <c r="P282" i="2" s="1"/>
  <c r="N283" i="2"/>
  <c r="P283" i="2" s="1"/>
  <c r="N284" i="2"/>
  <c r="P284" i="2" s="1"/>
  <c r="N285" i="2"/>
  <c r="P285" i="2" s="1"/>
  <c r="N286" i="2"/>
  <c r="P286" i="2" s="1"/>
  <c r="N287" i="2"/>
  <c r="P287" i="2" s="1"/>
  <c r="N288" i="2"/>
  <c r="P288" i="2" s="1"/>
  <c r="N289" i="2"/>
  <c r="P289" i="2" s="1"/>
  <c r="N290" i="2"/>
  <c r="P290" i="2" s="1"/>
  <c r="N291" i="2"/>
  <c r="P291" i="2" s="1"/>
  <c r="N292" i="2"/>
  <c r="P292" i="2" s="1"/>
  <c r="N293" i="2"/>
  <c r="P293" i="2" s="1"/>
  <c r="N294" i="2"/>
  <c r="P294" i="2" s="1"/>
  <c r="N295" i="2"/>
  <c r="P295" i="2" s="1"/>
  <c r="N296" i="2"/>
  <c r="P296" i="2" s="1"/>
  <c r="N297" i="2"/>
  <c r="P297" i="2" s="1"/>
  <c r="N298" i="2"/>
  <c r="P298" i="2" s="1"/>
  <c r="N299" i="2"/>
  <c r="P299" i="2" s="1"/>
  <c r="N300" i="2"/>
  <c r="P300" i="2" s="1"/>
  <c r="N301" i="2"/>
  <c r="P301" i="2" s="1"/>
  <c r="N302" i="2"/>
  <c r="P302" i="2" s="1"/>
  <c r="N303" i="2"/>
  <c r="P303" i="2" s="1"/>
  <c r="N304" i="2"/>
  <c r="P304" i="2" s="1"/>
  <c r="N305" i="2"/>
  <c r="P305" i="2" s="1"/>
  <c r="N306" i="2"/>
  <c r="P306" i="2" s="1"/>
  <c r="N307" i="2"/>
  <c r="P307" i="2" s="1"/>
  <c r="N308" i="2"/>
  <c r="P308" i="2" s="1"/>
  <c r="N309" i="2"/>
  <c r="P309" i="2" s="1"/>
  <c r="N310" i="2"/>
  <c r="P310" i="2" s="1"/>
  <c r="N311" i="2"/>
  <c r="P311" i="2" s="1"/>
  <c r="N312" i="2"/>
  <c r="P312" i="2" s="1"/>
  <c r="N313" i="2"/>
  <c r="P313" i="2" s="1"/>
  <c r="N314" i="2"/>
  <c r="P314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5" i="2"/>
  <c r="P325" i="2" s="1"/>
  <c r="N326" i="2"/>
  <c r="P326" i="2" s="1"/>
  <c r="N327" i="2"/>
  <c r="P327" i="2" s="1"/>
  <c r="N328" i="2"/>
  <c r="P328" i="2" s="1"/>
  <c r="N329" i="2"/>
  <c r="P329" i="2" s="1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P338" i="2" s="1"/>
  <c r="N339" i="2"/>
  <c r="P339" i="2" s="1"/>
  <c r="N340" i="2"/>
  <c r="P340" i="2" s="1"/>
  <c r="N341" i="2"/>
  <c r="P341" i="2" s="1"/>
  <c r="N342" i="2"/>
  <c r="P342" i="2" s="1"/>
  <c r="N343" i="2"/>
  <c r="P343" i="2" s="1"/>
  <c r="N344" i="2"/>
  <c r="P344" i="2" s="1"/>
  <c r="N345" i="2"/>
  <c r="P345" i="2" s="1"/>
  <c r="N346" i="2"/>
  <c r="P346" i="2" s="1"/>
  <c r="N347" i="2"/>
  <c r="P347" i="2" s="1"/>
  <c r="N348" i="2"/>
  <c r="P348" i="2" s="1"/>
  <c r="N349" i="2"/>
  <c r="P349" i="2" s="1"/>
  <c r="N350" i="2"/>
  <c r="P350" i="2" s="1"/>
  <c r="N351" i="2"/>
  <c r="P351" i="2" s="1"/>
  <c r="N352" i="2"/>
  <c r="P352" i="2" s="1"/>
  <c r="N353" i="2"/>
  <c r="P353" i="2" s="1"/>
  <c r="N354" i="2"/>
  <c r="P354" i="2" s="1"/>
  <c r="N355" i="2"/>
  <c r="P355" i="2" s="1"/>
  <c r="N356" i="2"/>
  <c r="P356" i="2" s="1"/>
  <c r="N357" i="2"/>
  <c r="P357" i="2" s="1"/>
  <c r="N358" i="2"/>
  <c r="P358" i="2" s="1"/>
  <c r="N359" i="2"/>
  <c r="P359" i="2" s="1"/>
  <c r="N360" i="2"/>
  <c r="P360" i="2" s="1"/>
  <c r="N361" i="2"/>
  <c r="P361" i="2" s="1"/>
  <c r="N362" i="2"/>
  <c r="P362" i="2" s="1"/>
  <c r="N363" i="2"/>
  <c r="P363" i="2" s="1"/>
  <c r="N364" i="2"/>
  <c r="P364" i="2" s="1"/>
  <c r="N365" i="2"/>
  <c r="P365" i="2" s="1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2" i="2"/>
  <c r="P372" i="2" s="1"/>
  <c r="N373" i="2"/>
  <c r="P373" i="2" s="1"/>
  <c r="N374" i="2"/>
  <c r="P374" i="2" s="1"/>
  <c r="N375" i="2"/>
  <c r="P375" i="2" s="1"/>
  <c r="N376" i="2"/>
  <c r="P376" i="2" s="1"/>
  <c r="N377" i="2"/>
  <c r="P377" i="2" s="1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P387" i="2" s="1"/>
  <c r="N388" i="2"/>
  <c r="P388" i="2" s="1"/>
  <c r="N389" i="2"/>
  <c r="P389" i="2" s="1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P399" i="2" s="1"/>
  <c r="N400" i="2"/>
  <c r="P400" i="2" s="1"/>
  <c r="N401" i="2"/>
  <c r="P401" i="2" s="1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P411" i="2" s="1"/>
  <c r="N412" i="2"/>
  <c r="P412" i="2" s="1"/>
  <c r="N413" i="2"/>
  <c r="P413" i="2" s="1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P423" i="2" s="1"/>
  <c r="N424" i="2"/>
  <c r="P424" i="2" s="1"/>
  <c r="N425" i="2"/>
  <c r="P425" i="2" s="1"/>
  <c r="N426" i="2"/>
  <c r="P426" i="2" s="1"/>
  <c r="N427" i="2"/>
  <c r="P427" i="2" s="1"/>
  <c r="N428" i="2"/>
  <c r="P428" i="2" s="1"/>
  <c r="N429" i="2"/>
  <c r="P429" i="2" s="1"/>
  <c r="N430" i="2"/>
  <c r="P430" i="2" s="1"/>
  <c r="N431" i="2"/>
  <c r="P431" i="2" s="1"/>
  <c r="N432" i="2"/>
  <c r="P432" i="2" s="1"/>
  <c r="N433" i="2"/>
  <c r="P433" i="2" s="1"/>
  <c r="N434" i="2"/>
  <c r="P434" i="2" s="1"/>
  <c r="N435" i="2"/>
  <c r="P435" i="2" s="1"/>
  <c r="N436" i="2"/>
  <c r="P436" i="2" s="1"/>
  <c r="N437" i="2"/>
  <c r="P437" i="2" s="1"/>
  <c r="N438" i="2"/>
  <c r="P438" i="2" s="1"/>
  <c r="N439" i="2"/>
  <c r="P439" i="2" s="1"/>
  <c r="N440" i="2"/>
  <c r="P440" i="2" s="1"/>
  <c r="N441" i="2"/>
  <c r="P441" i="2" s="1"/>
  <c r="N442" i="2"/>
  <c r="P442" i="2" s="1"/>
  <c r="N443" i="2"/>
  <c r="P443" i="2" s="1"/>
  <c r="N444" i="2"/>
  <c r="P444" i="2" s="1"/>
  <c r="N445" i="2"/>
  <c r="P445" i="2" s="1"/>
  <c r="N446" i="2"/>
  <c r="P446" i="2" s="1"/>
  <c r="N447" i="2"/>
  <c r="P447" i="2" s="1"/>
  <c r="N448" i="2"/>
  <c r="P448" i="2" s="1"/>
  <c r="N449" i="2"/>
  <c r="P449" i="2" s="1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P458" i="2" s="1"/>
  <c r="N459" i="2"/>
  <c r="P459" i="2" s="1"/>
  <c r="N460" i="2"/>
  <c r="P460" i="2" s="1"/>
  <c r="N461" i="2"/>
  <c r="P461" i="2" s="1"/>
  <c r="N462" i="2"/>
  <c r="P462" i="2" s="1"/>
  <c r="N463" i="2"/>
  <c r="P463" i="2" s="1"/>
  <c r="N464" i="2"/>
  <c r="P464" i="2" s="1"/>
  <c r="N465" i="2"/>
  <c r="P465" i="2" s="1"/>
  <c r="N466" i="2"/>
  <c r="P466" i="2" s="1"/>
  <c r="N467" i="2"/>
  <c r="P467" i="2" s="1"/>
  <c r="N468" i="2"/>
  <c r="P468" i="2" s="1"/>
  <c r="N469" i="2"/>
  <c r="P469" i="2" s="1"/>
  <c r="N470" i="2"/>
  <c r="P470" i="2" s="1"/>
  <c r="N471" i="2"/>
  <c r="P471" i="2" s="1"/>
  <c r="N472" i="2"/>
  <c r="P472" i="2" s="1"/>
  <c r="N473" i="2"/>
  <c r="P473" i="2" s="1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P479" i="2" s="1"/>
  <c r="N480" i="2"/>
  <c r="P480" i="2" s="1"/>
  <c r="N481" i="2"/>
  <c r="P481" i="2" s="1"/>
  <c r="N482" i="2"/>
  <c r="P482" i="2" s="1"/>
  <c r="N483" i="2"/>
  <c r="P483" i="2" s="1"/>
  <c r="N484" i="2"/>
  <c r="P484" i="2" s="1"/>
  <c r="N485" i="2"/>
  <c r="P485" i="2" s="1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P492" i="2" s="1"/>
  <c r="N493" i="2"/>
  <c r="P493" i="2" s="1"/>
  <c r="N494" i="2"/>
  <c r="P494" i="2" s="1"/>
  <c r="N495" i="2"/>
  <c r="P495" i="2" s="1"/>
  <c r="N496" i="2"/>
  <c r="P496" i="2" s="1"/>
  <c r="N497" i="2"/>
  <c r="P497" i="2" s="1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4" i="2"/>
  <c r="P504" i="2" s="1"/>
  <c r="N505" i="2"/>
  <c r="P505" i="2" s="1"/>
  <c r="N506" i="2"/>
  <c r="P506" i="2" s="1"/>
  <c r="N507" i="2"/>
  <c r="P507" i="2" s="1"/>
  <c r="N508" i="2"/>
  <c r="P508" i="2" s="1"/>
  <c r="N509" i="2"/>
  <c r="P509" i="2" s="1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P515" i="2" s="1"/>
  <c r="N516" i="2"/>
  <c r="P516" i="2" s="1"/>
  <c r="N517" i="2"/>
  <c r="P517" i="2" s="1"/>
  <c r="N518" i="2"/>
  <c r="P518" i="2" s="1"/>
  <c r="N519" i="2"/>
  <c r="P519" i="2" s="1"/>
  <c r="N520" i="2"/>
  <c r="P520" i="2" s="1"/>
  <c r="N521" i="2"/>
  <c r="P521" i="2" s="1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P527" i="2" s="1"/>
  <c r="N528" i="2"/>
  <c r="P528" i="2" s="1"/>
  <c r="N529" i="2"/>
  <c r="P529" i="2" s="1"/>
  <c r="N530" i="2"/>
  <c r="P530" i="2" s="1"/>
  <c r="N531" i="2"/>
  <c r="P531" i="2" s="1"/>
  <c r="N532" i="2"/>
  <c r="P532" i="2" s="1"/>
  <c r="N533" i="2"/>
  <c r="P533" i="2" s="1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P539" i="2" s="1"/>
  <c r="N540" i="2"/>
  <c r="P540" i="2" s="1"/>
  <c r="N541" i="2"/>
  <c r="P541" i="2" s="1"/>
  <c r="N542" i="2"/>
  <c r="P542" i="2" s="1"/>
  <c r="N543" i="2"/>
  <c r="P543" i="2" s="1"/>
  <c r="N544" i="2"/>
  <c r="P544" i="2" s="1"/>
  <c r="N545" i="2"/>
  <c r="P545" i="2" s="1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P551" i="2" s="1"/>
  <c r="N552" i="2"/>
  <c r="P552" i="2" s="1"/>
  <c r="N553" i="2"/>
  <c r="P553" i="2" s="1"/>
  <c r="N554" i="2"/>
  <c r="P554" i="2" s="1"/>
  <c r="N555" i="2"/>
  <c r="P555" i="2" s="1"/>
  <c r="N556" i="2"/>
  <c r="P556" i="2" s="1"/>
  <c r="N557" i="2"/>
  <c r="P557" i="2" s="1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P563" i="2" s="1"/>
  <c r="N564" i="2"/>
  <c r="P564" i="2" s="1"/>
  <c r="N565" i="2"/>
  <c r="P565" i="2" s="1"/>
  <c r="N566" i="2"/>
  <c r="P566" i="2" s="1"/>
  <c r="N567" i="2"/>
  <c r="P567" i="2" s="1"/>
  <c r="N568" i="2"/>
  <c r="P568" i="2" s="1"/>
  <c r="N569" i="2"/>
  <c r="P569" i="2" s="1"/>
  <c r="N570" i="2"/>
  <c r="P570" i="2" s="1"/>
  <c r="N571" i="2"/>
  <c r="P571" i="2" s="1"/>
  <c r="N572" i="2"/>
  <c r="P572" i="2" s="1"/>
  <c r="N573" i="2"/>
  <c r="P573" i="2" s="1"/>
  <c r="N574" i="2"/>
  <c r="P574" i="2" s="1"/>
  <c r="N575" i="2"/>
  <c r="P575" i="2" s="1"/>
  <c r="N576" i="2"/>
  <c r="P576" i="2" s="1"/>
  <c r="N577" i="2"/>
  <c r="P577" i="2" s="1"/>
  <c r="N578" i="2"/>
  <c r="P578" i="2" s="1"/>
  <c r="N579" i="2"/>
  <c r="P579" i="2" s="1"/>
  <c r="N580" i="2"/>
  <c r="P580" i="2" s="1"/>
  <c r="N581" i="2"/>
  <c r="P581" i="2" s="1"/>
  <c r="N582" i="2"/>
  <c r="P582" i="2" s="1"/>
  <c r="N583" i="2"/>
  <c r="P583" i="2" s="1"/>
  <c r="N584" i="2"/>
  <c r="P584" i="2" s="1"/>
  <c r="N585" i="2"/>
  <c r="P585" i="2" s="1"/>
  <c r="N586" i="2"/>
  <c r="P586" i="2" s="1"/>
  <c r="N587" i="2"/>
  <c r="P587" i="2" s="1"/>
  <c r="N588" i="2"/>
  <c r="P588" i="2" s="1"/>
  <c r="N589" i="2"/>
  <c r="P589" i="2" s="1"/>
  <c r="N590" i="2"/>
  <c r="P590" i="2" s="1"/>
  <c r="N591" i="2"/>
  <c r="P591" i="2" s="1"/>
  <c r="N592" i="2"/>
  <c r="P592" i="2" s="1"/>
  <c r="N593" i="2"/>
  <c r="P593" i="2" s="1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P602" i="2" s="1"/>
  <c r="N603" i="2"/>
  <c r="P603" i="2" s="1"/>
  <c r="N604" i="2"/>
  <c r="P604" i="2" s="1"/>
  <c r="N605" i="2"/>
  <c r="P605" i="2" s="1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P614" i="2" s="1"/>
  <c r="N615" i="2"/>
  <c r="P615" i="2" s="1"/>
  <c r="N616" i="2"/>
  <c r="P616" i="2" s="1"/>
  <c r="N617" i="2"/>
  <c r="P617" i="2" s="1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4" i="2"/>
  <c r="P624" i="2" s="1"/>
  <c r="N625" i="2"/>
  <c r="P625" i="2" s="1"/>
  <c r="N626" i="2"/>
  <c r="P626" i="2" s="1"/>
  <c r="N627" i="2"/>
  <c r="P627" i="2" s="1"/>
  <c r="N628" i="2"/>
  <c r="P628" i="2" s="1"/>
  <c r="N629" i="2"/>
  <c r="P629" i="2" s="1"/>
  <c r="N630" i="2"/>
  <c r="P630" i="2" s="1"/>
  <c r="N631" i="2"/>
  <c r="P631" i="2" s="1"/>
  <c r="N632" i="2"/>
  <c r="P632" i="2" s="1"/>
  <c r="N633" i="2"/>
  <c r="P633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P639" i="2" s="1"/>
  <c r="N640" i="2"/>
  <c r="P640" i="2" s="1"/>
  <c r="N641" i="2"/>
  <c r="P641" i="2" s="1"/>
  <c r="N642" i="2"/>
  <c r="P642" i="2" s="1"/>
  <c r="N643" i="2"/>
  <c r="P643" i="2" s="1"/>
  <c r="N644" i="2"/>
  <c r="P644" i="2" s="1"/>
  <c r="N645" i="2"/>
  <c r="P645" i="2" s="1"/>
  <c r="N646" i="2"/>
  <c r="P646" i="2" s="1"/>
  <c r="N647" i="2"/>
  <c r="P647" i="2" s="1"/>
  <c r="N648" i="2"/>
  <c r="P648" i="2" s="1"/>
  <c r="N649" i="2"/>
  <c r="P649" i="2" s="1"/>
  <c r="N650" i="2"/>
  <c r="P650" i="2" s="1"/>
  <c r="N651" i="2"/>
  <c r="P651" i="2" s="1"/>
  <c r="N652" i="2"/>
  <c r="P652" i="2" s="1"/>
  <c r="N653" i="2"/>
  <c r="P653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5" i="2"/>
  <c r="P705" i="2" s="1"/>
  <c r="N706" i="2"/>
  <c r="P706" i="2" s="1"/>
  <c r="N707" i="2"/>
  <c r="P707" i="2" s="1"/>
  <c r="N708" i="2"/>
  <c r="P708" i="2" s="1"/>
  <c r="N709" i="2"/>
  <c r="P709" i="2" s="1"/>
  <c r="N710" i="2"/>
  <c r="P710" i="2" s="1"/>
  <c r="N711" i="2"/>
  <c r="P711" i="2" s="1"/>
  <c r="N712" i="2"/>
  <c r="P712" i="2" s="1"/>
  <c r="N713" i="2"/>
  <c r="P713" i="2" s="1"/>
  <c r="N714" i="2"/>
  <c r="P714" i="2" s="1"/>
  <c r="N715" i="2"/>
  <c r="P715" i="2" s="1"/>
  <c r="N716" i="2"/>
  <c r="P716" i="2" s="1"/>
  <c r="N717" i="2"/>
  <c r="P717" i="2" s="1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P723" i="2" s="1"/>
  <c r="N724" i="2"/>
  <c r="P724" i="2" s="1"/>
  <c r="N725" i="2"/>
  <c r="P725" i="2" s="1"/>
  <c r="N726" i="2"/>
  <c r="P726" i="2" s="1"/>
  <c r="N727" i="2"/>
  <c r="P727" i="2" s="1"/>
  <c r="N728" i="2"/>
  <c r="P728" i="2" s="1"/>
  <c r="N729" i="2"/>
  <c r="P729" i="2" s="1"/>
  <c r="N730" i="2"/>
  <c r="P730" i="2" s="1"/>
  <c r="N731" i="2"/>
  <c r="P731" i="2" s="1"/>
  <c r="N732" i="2"/>
  <c r="P732" i="2" s="1"/>
  <c r="N733" i="2"/>
  <c r="P733" i="2" s="1"/>
  <c r="N734" i="2"/>
  <c r="P734" i="2" s="1"/>
  <c r="N735" i="2"/>
  <c r="P735" i="2" s="1"/>
  <c r="N736" i="2"/>
  <c r="P736" i="2" s="1"/>
  <c r="N737" i="2"/>
  <c r="P737" i="2" s="1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P746" i="2" s="1"/>
  <c r="N747" i="2"/>
  <c r="P747" i="2" s="1"/>
  <c r="N748" i="2"/>
  <c r="P748" i="2" s="1"/>
  <c r="N749" i="2"/>
  <c r="P749" i="2" s="1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P758" i="2" s="1"/>
  <c r="N759" i="2"/>
  <c r="P759" i="2" s="1"/>
  <c r="N760" i="2"/>
  <c r="P760" i="2" s="1"/>
  <c r="N761" i="2"/>
  <c r="P761" i="2" s="1"/>
  <c r="N762" i="2"/>
  <c r="P762" i="2" s="1"/>
  <c r="N763" i="2"/>
  <c r="P763" i="2" s="1"/>
  <c r="N764" i="2"/>
  <c r="P764" i="2" s="1"/>
  <c r="N765" i="2"/>
  <c r="P765" i="2" s="1"/>
  <c r="N766" i="2"/>
  <c r="P766" i="2" s="1"/>
  <c r="N767" i="2"/>
  <c r="P767" i="2" s="1"/>
  <c r="N768" i="2"/>
  <c r="P768" i="2" s="1"/>
  <c r="N769" i="2"/>
  <c r="P769" i="2" s="1"/>
  <c r="N770" i="2"/>
  <c r="P770" i="2" s="1"/>
  <c r="N771" i="2"/>
  <c r="P771" i="2" s="1"/>
  <c r="N772" i="2"/>
  <c r="P772" i="2" s="1"/>
  <c r="N773" i="2"/>
  <c r="P773" i="2" s="1"/>
  <c r="N774" i="2"/>
  <c r="P774" i="2" s="1"/>
  <c r="N775" i="2"/>
  <c r="P775" i="2" s="1"/>
  <c r="N776" i="2"/>
  <c r="P776" i="2" s="1"/>
  <c r="N777" i="2"/>
  <c r="P777" i="2" s="1"/>
  <c r="N778" i="2"/>
  <c r="P778" i="2" s="1"/>
  <c r="N779" i="2"/>
  <c r="P779" i="2" s="1"/>
  <c r="N780" i="2"/>
  <c r="P780" i="2" s="1"/>
  <c r="N781" i="2"/>
  <c r="P781" i="2" s="1"/>
  <c r="N782" i="2"/>
  <c r="P782" i="2" s="1"/>
  <c r="N783" i="2"/>
  <c r="P783" i="2" s="1"/>
  <c r="N784" i="2"/>
  <c r="P784" i="2" s="1"/>
  <c r="N785" i="2"/>
  <c r="P785" i="2" s="1"/>
  <c r="N786" i="2"/>
  <c r="P786" i="2" s="1"/>
  <c r="N787" i="2"/>
  <c r="P787" i="2" s="1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P794" i="2" s="1"/>
  <c r="N795" i="2"/>
  <c r="P795" i="2" s="1"/>
  <c r="N796" i="2"/>
  <c r="P796" i="2" s="1"/>
  <c r="N797" i="2"/>
  <c r="P797" i="2" s="1"/>
  <c r="N798" i="2"/>
  <c r="P798" i="2" s="1"/>
  <c r="N799" i="2"/>
  <c r="P799" i="2" s="1"/>
  <c r="N800" i="2"/>
  <c r="P800" i="2" s="1"/>
  <c r="N801" i="2"/>
  <c r="P801" i="2" s="1"/>
  <c r="N802" i="2"/>
  <c r="P802" i="2" s="1"/>
  <c r="N803" i="2"/>
  <c r="P803" i="2" s="1"/>
  <c r="N804" i="2"/>
  <c r="P804" i="2" s="1"/>
  <c r="N805" i="2"/>
  <c r="P805" i="2" s="1"/>
  <c r="N806" i="2"/>
  <c r="P806" i="2" s="1"/>
  <c r="N807" i="2"/>
  <c r="P807" i="2" s="1"/>
  <c r="N808" i="2"/>
  <c r="P808" i="2" s="1"/>
  <c r="N809" i="2"/>
  <c r="P809" i="2" s="1"/>
  <c r="N810" i="2"/>
  <c r="P810" i="2" s="1"/>
  <c r="N811" i="2"/>
  <c r="P811" i="2" s="1"/>
  <c r="N812" i="2"/>
  <c r="P812" i="2" s="1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P819" i="2" s="1"/>
  <c r="N820" i="2"/>
  <c r="P820" i="2" s="1"/>
  <c r="N821" i="2"/>
  <c r="P821" i="2" s="1"/>
  <c r="N822" i="2"/>
  <c r="P822" i="2" s="1"/>
  <c r="N823" i="2"/>
  <c r="P823" i="2" s="1"/>
  <c r="N824" i="2"/>
  <c r="P824" i="2" s="1"/>
  <c r="N825" i="2"/>
  <c r="P825" i="2" s="1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P831" i="2" s="1"/>
  <c r="N832" i="2"/>
  <c r="P832" i="2" s="1"/>
  <c r="N833" i="2"/>
  <c r="P833" i="2" s="1"/>
  <c r="N834" i="2"/>
  <c r="P834" i="2" s="1"/>
  <c r="N835" i="2"/>
  <c r="P835" i="2" s="1"/>
  <c r="N836" i="2"/>
  <c r="P836" i="2" s="1"/>
  <c r="N837" i="2"/>
  <c r="P837" i="2" s="1"/>
  <c r="N838" i="2"/>
  <c r="P838" i="2" s="1"/>
  <c r="N839" i="2"/>
  <c r="P839" i="2" s="1"/>
  <c r="N840" i="2"/>
  <c r="P840" i="2" s="1"/>
  <c r="N841" i="2"/>
  <c r="P841" i="2" s="1"/>
  <c r="N842" i="2"/>
  <c r="P842" i="2" s="1"/>
  <c r="N843" i="2"/>
  <c r="P843" i="2" s="1"/>
  <c r="N844" i="2"/>
  <c r="P844" i="2" s="1"/>
  <c r="N845" i="2"/>
  <c r="P845" i="2" s="1"/>
  <c r="N846" i="2"/>
  <c r="P846" i="2" s="1"/>
  <c r="N847" i="2"/>
  <c r="P847" i="2" s="1"/>
  <c r="N848" i="2"/>
  <c r="P848" i="2" s="1"/>
  <c r="N849" i="2"/>
  <c r="P849" i="2" s="1"/>
  <c r="N850" i="2"/>
  <c r="P850" i="2" s="1"/>
  <c r="N851" i="2"/>
  <c r="P851" i="2" s="1"/>
  <c r="N852" i="2"/>
  <c r="P852" i="2" s="1"/>
  <c r="N853" i="2"/>
  <c r="P853" i="2" s="1"/>
  <c r="N854" i="2"/>
  <c r="P854" i="2" s="1"/>
  <c r="N855" i="2"/>
  <c r="P855" i="2" s="1"/>
  <c r="N856" i="2"/>
  <c r="P856" i="2" s="1"/>
  <c r="N857" i="2"/>
  <c r="P857" i="2" s="1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4" i="2"/>
  <c r="P864" i="2" s="1"/>
  <c r="N865" i="2"/>
  <c r="P865" i="2" s="1"/>
  <c r="N866" i="2"/>
  <c r="P866" i="2" s="1"/>
  <c r="N867" i="2"/>
  <c r="P867" i="2" s="1"/>
  <c r="N868" i="2"/>
  <c r="P868" i="2" s="1"/>
  <c r="N869" i="2"/>
  <c r="P869" i="2" s="1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P879" i="2" s="1"/>
  <c r="N880" i="2"/>
  <c r="P880" i="2" s="1"/>
  <c r="N881" i="2"/>
  <c r="P881" i="2" s="1"/>
  <c r="N882" i="2"/>
  <c r="P882" i="2" s="1"/>
  <c r="N883" i="2"/>
  <c r="P883" i="2" s="1"/>
  <c r="N884" i="2"/>
  <c r="P884" i="2" s="1"/>
  <c r="N885" i="2"/>
  <c r="P885" i="2" s="1"/>
  <c r="N886" i="2"/>
  <c r="P886" i="2" s="1"/>
  <c r="N887" i="2"/>
  <c r="P887" i="2" s="1"/>
  <c r="N888" i="2"/>
  <c r="P888" i="2" s="1"/>
  <c r="N889" i="2"/>
  <c r="P889" i="2" s="1"/>
  <c r="N890" i="2"/>
  <c r="P890" i="2" s="1"/>
  <c r="N891" i="2"/>
  <c r="P891" i="2" s="1"/>
  <c r="N892" i="2"/>
  <c r="P892" i="2" s="1"/>
  <c r="N893" i="2"/>
  <c r="P893" i="2" s="1"/>
  <c r="N894" i="2"/>
  <c r="P894" i="2" s="1"/>
  <c r="N895" i="2"/>
  <c r="P895" i="2" s="1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P902" i="2" s="1"/>
  <c r="N903" i="2"/>
  <c r="P903" i="2" s="1"/>
  <c r="N904" i="2"/>
  <c r="P904" i="2" s="1"/>
  <c r="N905" i="2"/>
  <c r="P905" i="2" s="1"/>
  <c r="N906" i="2"/>
  <c r="P906" i="2" s="1"/>
  <c r="N907" i="2"/>
  <c r="P907" i="2" s="1"/>
  <c r="N908" i="2"/>
  <c r="P908" i="2" s="1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P915" i="2" s="1"/>
  <c r="N916" i="2"/>
  <c r="P916" i="2" s="1"/>
  <c r="N917" i="2"/>
  <c r="P917" i="2" s="1"/>
  <c r="N918" i="2"/>
  <c r="P918" i="2" s="1"/>
  <c r="N919" i="2"/>
  <c r="P919" i="2" s="1"/>
  <c r="N920" i="2"/>
  <c r="P920" i="2" s="1"/>
  <c r="N921" i="2"/>
  <c r="P921" i="2" s="1"/>
  <c r="N922" i="2"/>
  <c r="P922" i="2" s="1"/>
  <c r="N923" i="2"/>
  <c r="P923" i="2" s="1"/>
  <c r="N924" i="2"/>
  <c r="P924" i="2" s="1"/>
  <c r="N925" i="2"/>
  <c r="P925" i="2" s="1"/>
  <c r="N926" i="2"/>
  <c r="P926" i="2" s="1"/>
  <c r="N927" i="2"/>
  <c r="P927" i="2" s="1"/>
  <c r="N928" i="2"/>
  <c r="P928" i="2" s="1"/>
  <c r="N929" i="2"/>
  <c r="P929" i="2" s="1"/>
  <c r="N930" i="2"/>
  <c r="P930" i="2" s="1"/>
  <c r="N931" i="2"/>
  <c r="P931" i="2" s="1"/>
  <c r="N932" i="2"/>
  <c r="P932" i="2" s="1"/>
  <c r="N933" i="2"/>
  <c r="P933" i="2" s="1"/>
  <c r="N934" i="2"/>
  <c r="P934" i="2" s="1"/>
  <c r="N935" i="2"/>
  <c r="P935" i="2" s="1"/>
  <c r="N936" i="2"/>
  <c r="P936" i="2" s="1"/>
  <c r="N937" i="2"/>
  <c r="P937" i="2" s="1"/>
  <c r="N938" i="2"/>
  <c r="P938" i="2" s="1"/>
  <c r="N939" i="2"/>
  <c r="P939" i="2" s="1"/>
  <c r="N940" i="2"/>
  <c r="P940" i="2" s="1"/>
  <c r="N941" i="2"/>
  <c r="P941" i="2" s="1"/>
  <c r="N942" i="2"/>
  <c r="P942" i="2" s="1"/>
  <c r="N943" i="2"/>
  <c r="P943" i="2" s="1"/>
  <c r="N944" i="2"/>
  <c r="P944" i="2" s="1"/>
  <c r="N945" i="2"/>
  <c r="P945" i="2" s="1"/>
  <c r="N946" i="2"/>
  <c r="P946" i="2" s="1"/>
  <c r="N947" i="2"/>
  <c r="P947" i="2" s="1"/>
  <c r="N948" i="2"/>
  <c r="P948" i="2" s="1"/>
  <c r="N949" i="2"/>
  <c r="P949" i="2" s="1"/>
  <c r="N950" i="2"/>
  <c r="P950" i="2" s="1"/>
  <c r="N951" i="2"/>
  <c r="P951" i="2" s="1"/>
  <c r="N952" i="2"/>
  <c r="P952" i="2" s="1"/>
  <c r="N953" i="2"/>
  <c r="P953" i="2" s="1"/>
  <c r="N954" i="2"/>
  <c r="P954" i="2" s="1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P962" i="2" s="1"/>
  <c r="N963" i="2"/>
  <c r="P963" i="2" s="1"/>
  <c r="N964" i="2"/>
  <c r="P964" i="2" s="1"/>
  <c r="N965" i="2"/>
  <c r="P965" i="2" s="1"/>
  <c r="N966" i="2"/>
  <c r="P966" i="2" s="1"/>
  <c r="N967" i="2"/>
  <c r="P967" i="2" s="1"/>
  <c r="N968" i="2"/>
  <c r="P968" i="2" s="1"/>
  <c r="N969" i="2"/>
  <c r="P969" i="2" s="1"/>
  <c r="N970" i="2"/>
  <c r="P970" i="2" s="1"/>
  <c r="N971" i="2"/>
  <c r="P971" i="2" s="1"/>
  <c r="N972" i="2"/>
  <c r="P972" i="2" s="1"/>
  <c r="N973" i="2"/>
  <c r="P973" i="2" s="1"/>
  <c r="N974" i="2"/>
  <c r="P974" i="2" s="1"/>
  <c r="N975" i="2"/>
  <c r="P975" i="2" s="1"/>
  <c r="N976" i="2"/>
  <c r="P976" i="2" s="1"/>
  <c r="N977" i="2"/>
  <c r="P977" i="2" s="1"/>
  <c r="N978" i="2"/>
  <c r="P978" i="2" s="1"/>
  <c r="N979" i="2"/>
  <c r="P979" i="2" s="1"/>
  <c r="N980" i="2"/>
  <c r="P980" i="2" s="1"/>
  <c r="N981" i="2"/>
  <c r="P981" i="2" s="1"/>
  <c r="N982" i="2"/>
  <c r="P982" i="2" s="1"/>
  <c r="N983" i="2"/>
  <c r="P983" i="2" s="1"/>
  <c r="N984" i="2"/>
  <c r="P984" i="2" s="1"/>
  <c r="N985" i="2"/>
  <c r="P985" i="2" s="1"/>
  <c r="N986" i="2"/>
  <c r="P986" i="2" s="1"/>
  <c r="N987" i="2"/>
  <c r="P987" i="2" s="1"/>
  <c r="N988" i="2"/>
  <c r="P988" i="2" s="1"/>
  <c r="N989" i="2"/>
  <c r="P989" i="2" s="1"/>
  <c r="N990" i="2"/>
  <c r="P990" i="2" s="1"/>
  <c r="N991" i="2"/>
  <c r="P991" i="2" s="1"/>
  <c r="N992" i="2"/>
  <c r="P992" i="2" s="1"/>
  <c r="N993" i="2"/>
  <c r="P993" i="2" s="1"/>
  <c r="N994" i="2"/>
  <c r="P994" i="2" s="1"/>
  <c r="N995" i="2"/>
  <c r="P995" i="2" s="1"/>
  <c r="N996" i="2"/>
  <c r="P996" i="2" s="1"/>
  <c r="N997" i="2"/>
  <c r="P997" i="2" s="1"/>
  <c r="N998" i="2"/>
  <c r="P998" i="2" s="1"/>
  <c r="N999" i="2"/>
  <c r="P999" i="2" s="1"/>
  <c r="N1000" i="2"/>
  <c r="P1000" i="2" s="1"/>
  <c r="N10" i="2"/>
  <c r="P10" i="2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O51" i="2" s="1"/>
  <c r="L46" i="4"/>
  <c r="O52" i="2" s="1"/>
  <c r="L47" i="4"/>
  <c r="O53" i="2" s="1"/>
  <c r="L48" i="4"/>
  <c r="O54" i="2" s="1"/>
  <c r="L49" i="4"/>
  <c r="O55" i="2" s="1"/>
  <c r="L50" i="4"/>
  <c r="O56" i="2" s="1"/>
  <c r="L51" i="4"/>
  <c r="O57" i="2" s="1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O80" i="2" s="1"/>
  <c r="L75" i="4"/>
  <c r="O81" i="2" s="1"/>
  <c r="L76" i="4"/>
  <c r="O82" i="2" s="1"/>
  <c r="L77" i="4"/>
  <c r="O83" i="2" s="1"/>
  <c r="L78" i="4"/>
  <c r="O84" i="2" s="1"/>
  <c r="L79" i="4"/>
  <c r="O85" i="2" s="1"/>
  <c r="L80" i="4"/>
  <c r="O86" i="2" s="1"/>
  <c r="L81" i="4"/>
  <c r="O87" i="2" s="1"/>
  <c r="L82" i="4"/>
  <c r="O88" i="2" s="1"/>
  <c r="L83" i="4"/>
  <c r="O89" i="2" s="1"/>
  <c r="L84" i="4"/>
  <c r="O90" i="2" s="1"/>
  <c r="L85" i="4"/>
  <c r="O91" i="2" s="1"/>
  <c r="L86" i="4"/>
  <c r="O92" i="2" s="1"/>
  <c r="L87" i="4"/>
  <c r="O93" i="2" s="1"/>
  <c r="L88" i="4"/>
  <c r="O94" i="2" s="1"/>
  <c r="L89" i="4"/>
  <c r="O95" i="2" s="1"/>
  <c r="L90" i="4"/>
  <c r="O96" i="2" s="1"/>
  <c r="L91" i="4"/>
  <c r="O97" i="2" s="1"/>
  <c r="L92" i="4"/>
  <c r="O98" i="2" s="1"/>
  <c r="L93" i="4"/>
  <c r="O99" i="2" s="1"/>
  <c r="L94" i="4"/>
  <c r="O100" i="2" s="1"/>
  <c r="L95" i="4"/>
  <c r="O101" i="2" s="1"/>
  <c r="L96" i="4"/>
  <c r="O102" i="2" s="1"/>
  <c r="L97" i="4"/>
  <c r="O103" i="2" s="1"/>
  <c r="L98" i="4"/>
  <c r="O104" i="2" s="1"/>
  <c r="L99" i="4"/>
  <c r="O105" i="2" s="1"/>
  <c r="L100" i="4"/>
  <c r="O106" i="2" s="1"/>
  <c r="L101" i="4"/>
  <c r="O107" i="2" s="1"/>
  <c r="L102" i="4"/>
  <c r="O108" i="2" s="1"/>
  <c r="L103" i="4"/>
  <c r="O109" i="2" s="1"/>
  <c r="L104" i="4"/>
  <c r="O110" i="2" s="1"/>
  <c r="L105" i="4"/>
  <c r="O111" i="2" s="1"/>
  <c r="L106" i="4"/>
  <c r="O112" i="2" s="1"/>
  <c r="L107" i="4"/>
  <c r="O113" i="2" s="1"/>
  <c r="L108" i="4"/>
  <c r="O114" i="2" s="1"/>
  <c r="L109" i="4"/>
  <c r="O115" i="2" s="1"/>
  <c r="L110" i="4"/>
  <c r="O116" i="2" s="1"/>
  <c r="L111" i="4"/>
  <c r="O117" i="2" s="1"/>
  <c r="L112" i="4"/>
  <c r="O118" i="2" s="1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6" i="4"/>
  <c r="O11" i="2" s="1"/>
  <c r="L7" i="4"/>
  <c r="O12" i="2" s="1"/>
  <c r="L8" i="4"/>
  <c r="O13" i="2" s="1"/>
  <c r="L9" i="4"/>
  <c r="O14" i="2" s="1"/>
  <c r="L10" i="4"/>
  <c r="O15" i="2" s="1"/>
  <c r="L11" i="4"/>
  <c r="O16" i="2" s="1"/>
  <c r="L12" i="4"/>
  <c r="O17" i="2" s="1"/>
  <c r="L13" i="4"/>
  <c r="O18" i="2" s="1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5" i="4"/>
  <c r="O10" i="2" s="1"/>
  <c r="L10" i="2"/>
  <c r="O76" i="2" l="1"/>
  <c r="O66" i="2"/>
  <c r="Q66" i="2" s="1"/>
  <c r="R66" i="2" s="1"/>
  <c r="U66" i="2" s="1"/>
  <c r="O62" i="2"/>
  <c r="Q62" i="2" s="1"/>
  <c r="R62" i="2" s="1"/>
  <c r="U62" i="2" s="1"/>
  <c r="O61" i="2"/>
  <c r="Q61" i="2" s="1"/>
  <c r="R61" i="2" s="1"/>
  <c r="U61" i="2" s="1"/>
  <c r="O64" i="2"/>
  <c r="Q64" i="2" s="1"/>
  <c r="R64" i="2" s="1"/>
  <c r="U64" i="2" s="1"/>
  <c r="O72" i="2"/>
  <c r="Q72" i="2" s="1"/>
  <c r="R72" i="2" s="1"/>
  <c r="U72" i="2" s="1"/>
  <c r="O63" i="2"/>
  <c r="Q63" i="2" s="1"/>
  <c r="R63" i="2" s="1"/>
  <c r="O75" i="2"/>
  <c r="Q75" i="2" s="1"/>
  <c r="R75" i="2" s="1"/>
  <c r="O71" i="2"/>
  <c r="Q71" i="2" s="1"/>
  <c r="R71" i="2" s="1"/>
  <c r="U71" i="2" s="1"/>
  <c r="O79" i="2"/>
  <c r="Q79" i="2" s="1"/>
  <c r="R79" i="2" s="1"/>
  <c r="O67" i="2"/>
  <c r="Q67" i="2" s="1"/>
  <c r="R67" i="2" s="1"/>
  <c r="T67" i="2" s="1"/>
  <c r="O74" i="2"/>
  <c r="Q74" i="2" s="1"/>
  <c r="R74" i="2" s="1"/>
  <c r="U74" i="2" s="1"/>
  <c r="O70" i="2"/>
  <c r="Q70" i="2" s="1"/>
  <c r="R70" i="2" s="1"/>
  <c r="U70" i="2" s="1"/>
  <c r="O78" i="2"/>
  <c r="Q78" i="2" s="1"/>
  <c r="R78" i="2" s="1"/>
  <c r="U78" i="2" s="1"/>
  <c r="O73" i="2"/>
  <c r="Q73" i="2" s="1"/>
  <c r="R73" i="2" s="1"/>
  <c r="U73" i="2" s="1"/>
  <c r="O77" i="2"/>
  <c r="Q77" i="2" s="1"/>
  <c r="R77" i="2" s="1"/>
  <c r="U77" i="2" s="1"/>
  <c r="O65" i="2"/>
  <c r="Q65" i="2" s="1"/>
  <c r="R65" i="2" s="1"/>
  <c r="U65" i="2" s="1"/>
  <c r="O69" i="2"/>
  <c r="Q69" i="2" s="1"/>
  <c r="R69" i="2" s="1"/>
  <c r="U69" i="2" s="1"/>
  <c r="O68" i="2"/>
  <c r="Q68" i="2" s="1"/>
  <c r="R68" i="2" s="1"/>
  <c r="U68" i="2" s="1"/>
  <c r="O60" i="2"/>
  <c r="Q60" i="2" s="1"/>
  <c r="R60" i="2" s="1"/>
  <c r="U60" i="2" s="1"/>
  <c r="O59" i="2"/>
  <c r="Q59" i="2" s="1"/>
  <c r="R59" i="2" s="1"/>
  <c r="Q997" i="2"/>
  <c r="R997" i="2" s="1"/>
  <c r="U997" i="2" s="1"/>
  <c r="Q993" i="2"/>
  <c r="R993" i="2" s="1"/>
  <c r="U993" i="2" s="1"/>
  <c r="Q989" i="2"/>
  <c r="R989" i="2" s="1"/>
  <c r="U989" i="2" s="1"/>
  <c r="Q985" i="2"/>
  <c r="R985" i="2" s="1"/>
  <c r="U985" i="2" s="1"/>
  <c r="Q981" i="2"/>
  <c r="R981" i="2" s="1"/>
  <c r="U981" i="2" s="1"/>
  <c r="Q977" i="2"/>
  <c r="R977" i="2" s="1"/>
  <c r="U977" i="2" s="1"/>
  <c r="Q973" i="2"/>
  <c r="R973" i="2" s="1"/>
  <c r="U973" i="2" s="1"/>
  <c r="Q969" i="2"/>
  <c r="R969" i="2" s="1"/>
  <c r="U969" i="2" s="1"/>
  <c r="Q965" i="2"/>
  <c r="R965" i="2" s="1"/>
  <c r="U965" i="2" s="1"/>
  <c r="Q961" i="2"/>
  <c r="R961" i="2" s="1"/>
  <c r="U961" i="2" s="1"/>
  <c r="Q957" i="2"/>
  <c r="R957" i="2" s="1"/>
  <c r="U957" i="2" s="1"/>
  <c r="Q953" i="2"/>
  <c r="R953" i="2" s="1"/>
  <c r="U953" i="2" s="1"/>
  <c r="Q949" i="2"/>
  <c r="R949" i="2" s="1"/>
  <c r="U949" i="2" s="1"/>
  <c r="Q945" i="2"/>
  <c r="R945" i="2" s="1"/>
  <c r="U945" i="2" s="1"/>
  <c r="Q941" i="2"/>
  <c r="R941" i="2" s="1"/>
  <c r="U941" i="2" s="1"/>
  <c r="Q937" i="2"/>
  <c r="R937" i="2" s="1"/>
  <c r="U937" i="2" s="1"/>
  <c r="Q933" i="2"/>
  <c r="Q929" i="2"/>
  <c r="R929" i="2" s="1"/>
  <c r="U929" i="2" s="1"/>
  <c r="Q925" i="2"/>
  <c r="R925" i="2" s="1"/>
  <c r="U925" i="2" s="1"/>
  <c r="Q921" i="2"/>
  <c r="R921" i="2" s="1"/>
  <c r="U921" i="2" s="1"/>
  <c r="Q917" i="2"/>
  <c r="R917" i="2" s="1"/>
  <c r="U917" i="2" s="1"/>
  <c r="Q913" i="2"/>
  <c r="R913" i="2" s="1"/>
  <c r="U913" i="2" s="1"/>
  <c r="Q909" i="2"/>
  <c r="R909" i="2" s="1"/>
  <c r="U909" i="2" s="1"/>
  <c r="Q901" i="2"/>
  <c r="R901" i="2" s="1"/>
  <c r="U901" i="2" s="1"/>
  <c r="Q893" i="2"/>
  <c r="R893" i="2" s="1"/>
  <c r="U893" i="2" s="1"/>
  <c r="Q889" i="2"/>
  <c r="R889" i="2" s="1"/>
  <c r="U889" i="2" s="1"/>
  <c r="Q885" i="2"/>
  <c r="R885" i="2" s="1"/>
  <c r="U885" i="2" s="1"/>
  <c r="Q881" i="2"/>
  <c r="R881" i="2" s="1"/>
  <c r="U881" i="2" s="1"/>
  <c r="Q877" i="2"/>
  <c r="Q873" i="2"/>
  <c r="R873" i="2" s="1"/>
  <c r="U873" i="2" s="1"/>
  <c r="Q869" i="2"/>
  <c r="R869" i="2" s="1"/>
  <c r="U869" i="2" s="1"/>
  <c r="Q865" i="2"/>
  <c r="R865" i="2" s="1"/>
  <c r="U865" i="2" s="1"/>
  <c r="Q861" i="2"/>
  <c r="R861" i="2" s="1"/>
  <c r="U861" i="2" s="1"/>
  <c r="Q857" i="2"/>
  <c r="R857" i="2" s="1"/>
  <c r="U857" i="2" s="1"/>
  <c r="Q853" i="2"/>
  <c r="R853" i="2" s="1"/>
  <c r="U853" i="2" s="1"/>
  <c r="Q849" i="2"/>
  <c r="R849" i="2" s="1"/>
  <c r="U849" i="2" s="1"/>
  <c r="Q845" i="2"/>
  <c r="R845" i="2" s="1"/>
  <c r="U845" i="2" s="1"/>
  <c r="Q841" i="2"/>
  <c r="R841" i="2" s="1"/>
  <c r="U841" i="2" s="1"/>
  <c r="Q837" i="2"/>
  <c r="R837" i="2" s="1"/>
  <c r="U837" i="2" s="1"/>
  <c r="Q833" i="2"/>
  <c r="R833" i="2" s="1"/>
  <c r="U833" i="2" s="1"/>
  <c r="Q829" i="2"/>
  <c r="R829" i="2" s="1"/>
  <c r="U829" i="2" s="1"/>
  <c r="Q825" i="2"/>
  <c r="R825" i="2" s="1"/>
  <c r="U825" i="2" s="1"/>
  <c r="Q821" i="2"/>
  <c r="R821" i="2" s="1"/>
  <c r="U821" i="2" s="1"/>
  <c r="Q817" i="2"/>
  <c r="R817" i="2" s="1"/>
  <c r="U817" i="2" s="1"/>
  <c r="Q813" i="2"/>
  <c r="Q809" i="2"/>
  <c r="R809" i="2" s="1"/>
  <c r="U809" i="2" s="1"/>
  <c r="Q805" i="2"/>
  <c r="R805" i="2" s="1"/>
  <c r="U805" i="2" s="1"/>
  <c r="Q801" i="2"/>
  <c r="R801" i="2" s="1"/>
  <c r="U801" i="2" s="1"/>
  <c r="Q797" i="2"/>
  <c r="R797" i="2" s="1"/>
  <c r="U797" i="2" s="1"/>
  <c r="Q793" i="2"/>
  <c r="R793" i="2" s="1"/>
  <c r="U793" i="2" s="1"/>
  <c r="Q789" i="2"/>
  <c r="R789" i="2" s="1"/>
  <c r="U789" i="2" s="1"/>
  <c r="Q785" i="2"/>
  <c r="R785" i="2" s="1"/>
  <c r="U785" i="2" s="1"/>
  <c r="Q781" i="2"/>
  <c r="R781" i="2" s="1"/>
  <c r="U781" i="2" s="1"/>
  <c r="Q777" i="2"/>
  <c r="R777" i="2" s="1"/>
  <c r="U777" i="2" s="1"/>
  <c r="Q773" i="2"/>
  <c r="R773" i="2" s="1"/>
  <c r="U773" i="2" s="1"/>
  <c r="Q769" i="2"/>
  <c r="R769" i="2" s="1"/>
  <c r="U769" i="2" s="1"/>
  <c r="Q765" i="2"/>
  <c r="Q761" i="2"/>
  <c r="R761" i="2" s="1"/>
  <c r="U761" i="2" s="1"/>
  <c r="Q757" i="2"/>
  <c r="R757" i="2" s="1"/>
  <c r="U757" i="2" s="1"/>
  <c r="Q753" i="2"/>
  <c r="R753" i="2" s="1"/>
  <c r="U753" i="2" s="1"/>
  <c r="Q749" i="2"/>
  <c r="R749" i="2" s="1"/>
  <c r="U749" i="2" s="1"/>
  <c r="Q745" i="2"/>
  <c r="R745" i="2" s="1"/>
  <c r="U745" i="2" s="1"/>
  <c r="Q741" i="2"/>
  <c r="R741" i="2" s="1"/>
  <c r="U741" i="2" s="1"/>
  <c r="Q737" i="2"/>
  <c r="R737" i="2" s="1"/>
  <c r="U737" i="2" s="1"/>
  <c r="Q733" i="2"/>
  <c r="R733" i="2" s="1"/>
  <c r="U733" i="2" s="1"/>
  <c r="Q729" i="2"/>
  <c r="R729" i="2" s="1"/>
  <c r="U729" i="2" s="1"/>
  <c r="Q725" i="2"/>
  <c r="R725" i="2" s="1"/>
  <c r="U725" i="2" s="1"/>
  <c r="Q721" i="2"/>
  <c r="R721" i="2" s="1"/>
  <c r="U721" i="2" s="1"/>
  <c r="Q717" i="2"/>
  <c r="R717" i="2" s="1"/>
  <c r="U717" i="2" s="1"/>
  <c r="Q713" i="2"/>
  <c r="R713" i="2" s="1"/>
  <c r="U713" i="2" s="1"/>
  <c r="Q709" i="2"/>
  <c r="R709" i="2" s="1"/>
  <c r="U709" i="2" s="1"/>
  <c r="Q705" i="2"/>
  <c r="R705" i="2" s="1"/>
  <c r="U705" i="2" s="1"/>
  <c r="Q701" i="2"/>
  <c r="R701" i="2" s="1"/>
  <c r="U701" i="2" s="1"/>
  <c r="Q697" i="2"/>
  <c r="R697" i="2" s="1"/>
  <c r="U697" i="2" s="1"/>
  <c r="Q693" i="2"/>
  <c r="R693" i="2" s="1"/>
  <c r="U693" i="2" s="1"/>
  <c r="Q689" i="2"/>
  <c r="R689" i="2" s="1"/>
  <c r="U689" i="2" s="1"/>
  <c r="Q685" i="2"/>
  <c r="R685" i="2" s="1"/>
  <c r="U685" i="2" s="1"/>
  <c r="Q681" i="2"/>
  <c r="R681" i="2" s="1"/>
  <c r="U681" i="2" s="1"/>
  <c r="Q677" i="2"/>
  <c r="R677" i="2" s="1"/>
  <c r="U677" i="2" s="1"/>
  <c r="Q673" i="2"/>
  <c r="R673" i="2" s="1"/>
  <c r="U673" i="2" s="1"/>
  <c r="Q669" i="2"/>
  <c r="R669" i="2" s="1"/>
  <c r="U669" i="2" s="1"/>
  <c r="Q665" i="2"/>
  <c r="R665" i="2" s="1"/>
  <c r="U665" i="2" s="1"/>
  <c r="Q661" i="2"/>
  <c r="R661" i="2" s="1"/>
  <c r="U661" i="2" s="1"/>
  <c r="Q657" i="2"/>
  <c r="R657" i="2" s="1"/>
  <c r="U657" i="2" s="1"/>
  <c r="Q653" i="2"/>
  <c r="R653" i="2" s="1"/>
  <c r="U653" i="2" s="1"/>
  <c r="Q649" i="2"/>
  <c r="R649" i="2" s="1"/>
  <c r="U649" i="2" s="1"/>
  <c r="Q645" i="2"/>
  <c r="R645" i="2" s="1"/>
  <c r="U645" i="2" s="1"/>
  <c r="Q641" i="2"/>
  <c r="R641" i="2" s="1"/>
  <c r="U641" i="2" s="1"/>
  <c r="Q637" i="2"/>
  <c r="R637" i="2" s="1"/>
  <c r="U637" i="2" s="1"/>
  <c r="Q633" i="2"/>
  <c r="R633" i="2" s="1"/>
  <c r="U633" i="2" s="1"/>
  <c r="Q629" i="2"/>
  <c r="R629" i="2" s="1"/>
  <c r="U629" i="2" s="1"/>
  <c r="Q625" i="2"/>
  <c r="R625" i="2" s="1"/>
  <c r="U625" i="2" s="1"/>
  <c r="Q621" i="2"/>
  <c r="R621" i="2" s="1"/>
  <c r="U621" i="2" s="1"/>
  <c r="Q617" i="2"/>
  <c r="R617" i="2" s="1"/>
  <c r="U617" i="2" s="1"/>
  <c r="Q613" i="2"/>
  <c r="R613" i="2" s="1"/>
  <c r="U613" i="2" s="1"/>
  <c r="Q609" i="2"/>
  <c r="R609" i="2" s="1"/>
  <c r="U609" i="2" s="1"/>
  <c r="Q605" i="2"/>
  <c r="R605" i="2" s="1"/>
  <c r="U605" i="2" s="1"/>
  <c r="Q601" i="2"/>
  <c r="R601" i="2" s="1"/>
  <c r="U601" i="2" s="1"/>
  <c r="Q597" i="2"/>
  <c r="R597" i="2" s="1"/>
  <c r="U597" i="2" s="1"/>
  <c r="Q593" i="2"/>
  <c r="R593" i="2" s="1"/>
  <c r="U593" i="2" s="1"/>
  <c r="Q589" i="2"/>
  <c r="Q585" i="2"/>
  <c r="R585" i="2" s="1"/>
  <c r="U585" i="2" s="1"/>
  <c r="Q581" i="2"/>
  <c r="R581" i="2" s="1"/>
  <c r="U581" i="2" s="1"/>
  <c r="Q577" i="2"/>
  <c r="R577" i="2" s="1"/>
  <c r="U577" i="2" s="1"/>
  <c r="Q573" i="2"/>
  <c r="Q569" i="2"/>
  <c r="R569" i="2" s="1"/>
  <c r="U569" i="2" s="1"/>
  <c r="Q565" i="2"/>
  <c r="R565" i="2" s="1"/>
  <c r="U565" i="2" s="1"/>
  <c r="Q561" i="2"/>
  <c r="R561" i="2" s="1"/>
  <c r="U561" i="2" s="1"/>
  <c r="Q557" i="2"/>
  <c r="R557" i="2" s="1"/>
  <c r="U557" i="2" s="1"/>
  <c r="Q553" i="2"/>
  <c r="R553" i="2" s="1"/>
  <c r="U553" i="2" s="1"/>
  <c r="Q549" i="2"/>
  <c r="R549" i="2" s="1"/>
  <c r="U549" i="2" s="1"/>
  <c r="Q545" i="2"/>
  <c r="R545" i="2" s="1"/>
  <c r="U545" i="2" s="1"/>
  <c r="Q541" i="2"/>
  <c r="R541" i="2" s="1"/>
  <c r="U541" i="2" s="1"/>
  <c r="Q537" i="2"/>
  <c r="R537" i="2" s="1"/>
  <c r="U537" i="2" s="1"/>
  <c r="Q533" i="2"/>
  <c r="R533" i="2" s="1"/>
  <c r="U533" i="2" s="1"/>
  <c r="Q529" i="2"/>
  <c r="R529" i="2" s="1"/>
  <c r="U529" i="2" s="1"/>
  <c r="Q525" i="2"/>
  <c r="R525" i="2" s="1"/>
  <c r="U525" i="2" s="1"/>
  <c r="Q521" i="2"/>
  <c r="R521" i="2" s="1"/>
  <c r="U521" i="2" s="1"/>
  <c r="Q517" i="2"/>
  <c r="R517" i="2" s="1"/>
  <c r="U517" i="2" s="1"/>
  <c r="Q513" i="2"/>
  <c r="R513" i="2" s="1"/>
  <c r="U513" i="2" s="1"/>
  <c r="Q509" i="2"/>
  <c r="R509" i="2" s="1"/>
  <c r="U509" i="2" s="1"/>
  <c r="Q505" i="2"/>
  <c r="R505" i="2" s="1"/>
  <c r="U505" i="2" s="1"/>
  <c r="Q501" i="2"/>
  <c r="R501" i="2" s="1"/>
  <c r="U501" i="2" s="1"/>
  <c r="Q497" i="2"/>
  <c r="R497" i="2" s="1"/>
  <c r="U497" i="2" s="1"/>
  <c r="Q493" i="2"/>
  <c r="R493" i="2" s="1"/>
  <c r="U493" i="2" s="1"/>
  <c r="Q489" i="2"/>
  <c r="R489" i="2" s="1"/>
  <c r="U489" i="2" s="1"/>
  <c r="Q905" i="2"/>
  <c r="R905" i="2" s="1"/>
  <c r="U905" i="2" s="1"/>
  <c r="Q897" i="2"/>
  <c r="R897" i="2" s="1"/>
  <c r="U897" i="2" s="1"/>
  <c r="Q998" i="2"/>
  <c r="R998" i="2" s="1"/>
  <c r="U998" i="2" s="1"/>
  <c r="Q994" i="2"/>
  <c r="R994" i="2" s="1"/>
  <c r="U994" i="2" s="1"/>
  <c r="Q990" i="2"/>
  <c r="R990" i="2" s="1"/>
  <c r="U990" i="2" s="1"/>
  <c r="Q986" i="2"/>
  <c r="R986" i="2" s="1"/>
  <c r="U986" i="2" s="1"/>
  <c r="Q982" i="2"/>
  <c r="R982" i="2" s="1"/>
  <c r="U982" i="2" s="1"/>
  <c r="Q978" i="2"/>
  <c r="R978" i="2" s="1"/>
  <c r="U978" i="2" s="1"/>
  <c r="Q974" i="2"/>
  <c r="R974" i="2" s="1"/>
  <c r="U974" i="2" s="1"/>
  <c r="Q970" i="2"/>
  <c r="R970" i="2" s="1"/>
  <c r="U970" i="2" s="1"/>
  <c r="Q966" i="2"/>
  <c r="R966" i="2" s="1"/>
  <c r="U966" i="2" s="1"/>
  <c r="Q962" i="2"/>
  <c r="R962" i="2" s="1"/>
  <c r="U962" i="2" s="1"/>
  <c r="Q958" i="2"/>
  <c r="R958" i="2" s="1"/>
  <c r="U958" i="2" s="1"/>
  <c r="Q954" i="2"/>
  <c r="R954" i="2" s="1"/>
  <c r="U954" i="2" s="1"/>
  <c r="Q950" i="2"/>
  <c r="R950" i="2" s="1"/>
  <c r="U950" i="2" s="1"/>
  <c r="Q946" i="2"/>
  <c r="R946" i="2" s="1"/>
  <c r="U946" i="2" s="1"/>
  <c r="Q942" i="2"/>
  <c r="R942" i="2" s="1"/>
  <c r="U942" i="2" s="1"/>
  <c r="Q938" i="2"/>
  <c r="R938" i="2" s="1"/>
  <c r="U938" i="2" s="1"/>
  <c r="Q934" i="2"/>
  <c r="R934" i="2" s="1"/>
  <c r="U934" i="2" s="1"/>
  <c r="Q930" i="2"/>
  <c r="R930" i="2" s="1"/>
  <c r="U930" i="2" s="1"/>
  <c r="Q926" i="2"/>
  <c r="R926" i="2" s="1"/>
  <c r="U926" i="2" s="1"/>
  <c r="Q922" i="2"/>
  <c r="R922" i="2" s="1"/>
  <c r="U922" i="2" s="1"/>
  <c r="Q918" i="2"/>
  <c r="R918" i="2" s="1"/>
  <c r="U918" i="2" s="1"/>
  <c r="Q914" i="2"/>
  <c r="R914" i="2" s="1"/>
  <c r="U914" i="2" s="1"/>
  <c r="Q910" i="2"/>
  <c r="R910" i="2" s="1"/>
  <c r="U910" i="2" s="1"/>
  <c r="Q906" i="2"/>
  <c r="R906" i="2" s="1"/>
  <c r="Q902" i="2"/>
  <c r="R902" i="2" s="1"/>
  <c r="U902" i="2" s="1"/>
  <c r="Q898" i="2"/>
  <c r="R898" i="2" s="1"/>
  <c r="U898" i="2" s="1"/>
  <c r="Q894" i="2"/>
  <c r="R894" i="2" s="1"/>
  <c r="U894" i="2" s="1"/>
  <c r="Q890" i="2"/>
  <c r="R890" i="2" s="1"/>
  <c r="U890" i="2" s="1"/>
  <c r="Q886" i="2"/>
  <c r="R886" i="2" s="1"/>
  <c r="U886" i="2" s="1"/>
  <c r="Q882" i="2"/>
  <c r="R882" i="2" s="1"/>
  <c r="U882" i="2" s="1"/>
  <c r="Q878" i="2"/>
  <c r="R878" i="2" s="1"/>
  <c r="U878" i="2" s="1"/>
  <c r="Q874" i="2"/>
  <c r="R874" i="2" s="1"/>
  <c r="U874" i="2" s="1"/>
  <c r="Q870" i="2"/>
  <c r="R870" i="2" s="1"/>
  <c r="U870" i="2" s="1"/>
  <c r="Q866" i="2"/>
  <c r="R866" i="2" s="1"/>
  <c r="U866" i="2" s="1"/>
  <c r="Q862" i="2"/>
  <c r="R862" i="2" s="1"/>
  <c r="U862" i="2" s="1"/>
  <c r="Q858" i="2"/>
  <c r="R858" i="2" s="1"/>
  <c r="U858" i="2" s="1"/>
  <c r="Q854" i="2"/>
  <c r="R854" i="2" s="1"/>
  <c r="U854" i="2" s="1"/>
  <c r="Q850" i="2"/>
  <c r="R850" i="2" s="1"/>
  <c r="U850" i="2" s="1"/>
  <c r="Q846" i="2"/>
  <c r="R846" i="2" s="1"/>
  <c r="U846" i="2" s="1"/>
  <c r="Q842" i="2"/>
  <c r="R842" i="2" s="1"/>
  <c r="U842" i="2" s="1"/>
  <c r="Q838" i="2"/>
  <c r="R838" i="2" s="1"/>
  <c r="U838" i="2" s="1"/>
  <c r="Q834" i="2"/>
  <c r="R834" i="2" s="1"/>
  <c r="U834" i="2" s="1"/>
  <c r="Q830" i="2"/>
  <c r="R830" i="2" s="1"/>
  <c r="U830" i="2" s="1"/>
  <c r="Q826" i="2"/>
  <c r="R826" i="2" s="1"/>
  <c r="U826" i="2" s="1"/>
  <c r="Q822" i="2"/>
  <c r="R822" i="2" s="1"/>
  <c r="U822" i="2" s="1"/>
  <c r="Q818" i="2"/>
  <c r="R818" i="2" s="1"/>
  <c r="U818" i="2" s="1"/>
  <c r="Q814" i="2"/>
  <c r="R814" i="2" s="1"/>
  <c r="U814" i="2" s="1"/>
  <c r="Q810" i="2"/>
  <c r="R810" i="2" s="1"/>
  <c r="U810" i="2" s="1"/>
  <c r="Q806" i="2"/>
  <c r="R806" i="2" s="1"/>
  <c r="U806" i="2" s="1"/>
  <c r="Q802" i="2"/>
  <c r="R802" i="2" s="1"/>
  <c r="U802" i="2" s="1"/>
  <c r="Q798" i="2"/>
  <c r="R798" i="2" s="1"/>
  <c r="U798" i="2" s="1"/>
  <c r="Q794" i="2"/>
  <c r="R794" i="2" s="1"/>
  <c r="U794" i="2" s="1"/>
  <c r="Q790" i="2"/>
  <c r="R790" i="2" s="1"/>
  <c r="U790" i="2" s="1"/>
  <c r="Q786" i="2"/>
  <c r="R786" i="2" s="1"/>
  <c r="U786" i="2" s="1"/>
  <c r="Q782" i="2"/>
  <c r="R782" i="2" s="1"/>
  <c r="U782" i="2" s="1"/>
  <c r="Q778" i="2"/>
  <c r="R778" i="2" s="1"/>
  <c r="U778" i="2" s="1"/>
  <c r="Q774" i="2"/>
  <c r="Q770" i="2"/>
  <c r="R770" i="2" s="1"/>
  <c r="U770" i="2" s="1"/>
  <c r="Q766" i="2"/>
  <c r="R766" i="2" s="1"/>
  <c r="U766" i="2" s="1"/>
  <c r="Q762" i="2"/>
  <c r="R762" i="2" s="1"/>
  <c r="U762" i="2" s="1"/>
  <c r="Q758" i="2"/>
  <c r="R758" i="2" s="1"/>
  <c r="U758" i="2" s="1"/>
  <c r="Q754" i="2"/>
  <c r="R754" i="2" s="1"/>
  <c r="U754" i="2" s="1"/>
  <c r="Q485" i="2"/>
  <c r="R485" i="2" s="1"/>
  <c r="U485" i="2" s="1"/>
  <c r="Q481" i="2"/>
  <c r="R481" i="2" s="1"/>
  <c r="U481" i="2" s="1"/>
  <c r="Q477" i="2"/>
  <c r="R477" i="2" s="1"/>
  <c r="U477" i="2" s="1"/>
  <c r="Q473" i="2"/>
  <c r="R473" i="2" s="1"/>
  <c r="U473" i="2" s="1"/>
  <c r="Q469" i="2"/>
  <c r="R469" i="2" s="1"/>
  <c r="U469" i="2" s="1"/>
  <c r="Q465" i="2"/>
  <c r="R465" i="2" s="1"/>
  <c r="U465" i="2" s="1"/>
  <c r="Q461" i="2"/>
  <c r="R461" i="2" s="1"/>
  <c r="U461" i="2" s="1"/>
  <c r="Q457" i="2"/>
  <c r="R457" i="2" s="1"/>
  <c r="U457" i="2" s="1"/>
  <c r="Q453" i="2"/>
  <c r="R453" i="2" s="1"/>
  <c r="U453" i="2" s="1"/>
  <c r="Q449" i="2"/>
  <c r="R449" i="2" s="1"/>
  <c r="U449" i="2" s="1"/>
  <c r="Q445" i="2"/>
  <c r="R445" i="2" s="1"/>
  <c r="U445" i="2" s="1"/>
  <c r="Q441" i="2"/>
  <c r="R441" i="2" s="1"/>
  <c r="U441" i="2" s="1"/>
  <c r="Q437" i="2"/>
  <c r="R437" i="2" s="1"/>
  <c r="U437" i="2" s="1"/>
  <c r="Q433" i="2"/>
  <c r="R433" i="2" s="1"/>
  <c r="U433" i="2" s="1"/>
  <c r="Q429" i="2"/>
  <c r="Q425" i="2"/>
  <c r="R425" i="2" s="1"/>
  <c r="U425" i="2" s="1"/>
  <c r="Q421" i="2"/>
  <c r="R421" i="2" s="1"/>
  <c r="U421" i="2" s="1"/>
  <c r="Q417" i="2"/>
  <c r="R417" i="2" s="1"/>
  <c r="U417" i="2" s="1"/>
  <c r="Q413" i="2"/>
  <c r="R413" i="2" s="1"/>
  <c r="U413" i="2" s="1"/>
  <c r="Q409" i="2"/>
  <c r="R409" i="2" s="1"/>
  <c r="U409" i="2" s="1"/>
  <c r="Q405" i="2"/>
  <c r="R405" i="2" s="1"/>
  <c r="U405" i="2" s="1"/>
  <c r="Q401" i="2"/>
  <c r="R401" i="2" s="1"/>
  <c r="U401" i="2" s="1"/>
  <c r="Q397" i="2"/>
  <c r="R397" i="2" s="1"/>
  <c r="U397" i="2" s="1"/>
  <c r="Q393" i="2"/>
  <c r="R393" i="2" s="1"/>
  <c r="U393" i="2" s="1"/>
  <c r="Q389" i="2"/>
  <c r="R389" i="2" s="1"/>
  <c r="U389" i="2" s="1"/>
  <c r="Q385" i="2"/>
  <c r="R385" i="2" s="1"/>
  <c r="U385" i="2" s="1"/>
  <c r="Q381" i="2"/>
  <c r="R381" i="2" s="1"/>
  <c r="U381" i="2" s="1"/>
  <c r="Q377" i="2"/>
  <c r="R377" i="2" s="1"/>
  <c r="U377" i="2" s="1"/>
  <c r="Q373" i="2"/>
  <c r="R373" i="2" s="1"/>
  <c r="U373" i="2" s="1"/>
  <c r="Q369" i="2"/>
  <c r="R369" i="2" s="1"/>
  <c r="U369" i="2" s="1"/>
  <c r="Q365" i="2"/>
  <c r="Q361" i="2"/>
  <c r="R361" i="2" s="1"/>
  <c r="U361" i="2" s="1"/>
  <c r="Q357" i="2"/>
  <c r="R357" i="2" s="1"/>
  <c r="U357" i="2" s="1"/>
  <c r="Q353" i="2"/>
  <c r="R353" i="2" s="1"/>
  <c r="U353" i="2" s="1"/>
  <c r="Q349" i="2"/>
  <c r="R349" i="2" s="1"/>
  <c r="U349" i="2" s="1"/>
  <c r="Q345" i="2"/>
  <c r="R345" i="2" s="1"/>
  <c r="U345" i="2" s="1"/>
  <c r="Q341" i="2"/>
  <c r="R341" i="2" s="1"/>
  <c r="U341" i="2" s="1"/>
  <c r="Q337" i="2"/>
  <c r="R337" i="2" s="1"/>
  <c r="U337" i="2" s="1"/>
  <c r="Q333" i="2"/>
  <c r="R333" i="2" s="1"/>
  <c r="U333" i="2" s="1"/>
  <c r="Q329" i="2"/>
  <c r="R329" i="2" s="1"/>
  <c r="U329" i="2" s="1"/>
  <c r="Q325" i="2"/>
  <c r="R325" i="2" s="1"/>
  <c r="U325" i="2" s="1"/>
  <c r="Q321" i="2"/>
  <c r="R321" i="2" s="1"/>
  <c r="U321" i="2" s="1"/>
  <c r="Q317" i="2"/>
  <c r="R317" i="2" s="1"/>
  <c r="U317" i="2" s="1"/>
  <c r="Q313" i="2"/>
  <c r="R313" i="2" s="1"/>
  <c r="U313" i="2" s="1"/>
  <c r="Q309" i="2"/>
  <c r="R309" i="2" s="1"/>
  <c r="U309" i="2" s="1"/>
  <c r="Q305" i="2"/>
  <c r="R305" i="2" s="1"/>
  <c r="U305" i="2" s="1"/>
  <c r="Q301" i="2"/>
  <c r="R301" i="2" s="1"/>
  <c r="U301" i="2" s="1"/>
  <c r="Q297" i="2"/>
  <c r="R297" i="2" s="1"/>
  <c r="U297" i="2" s="1"/>
  <c r="Q293" i="2"/>
  <c r="R293" i="2" s="1"/>
  <c r="U293" i="2" s="1"/>
  <c r="Q289" i="2"/>
  <c r="R289" i="2" s="1"/>
  <c r="U289" i="2" s="1"/>
  <c r="Q285" i="2"/>
  <c r="R285" i="2" s="1"/>
  <c r="U285" i="2" s="1"/>
  <c r="Q281" i="2"/>
  <c r="R281" i="2" s="1"/>
  <c r="U281" i="2" s="1"/>
  <c r="Q277" i="2"/>
  <c r="R277" i="2" s="1"/>
  <c r="U277" i="2" s="1"/>
  <c r="Q273" i="2"/>
  <c r="Q269" i="2"/>
  <c r="R269" i="2" s="1"/>
  <c r="U269" i="2" s="1"/>
  <c r="Q265" i="2"/>
  <c r="R265" i="2" s="1"/>
  <c r="U265" i="2" s="1"/>
  <c r="Q261" i="2"/>
  <c r="R261" i="2" s="1"/>
  <c r="U261" i="2" s="1"/>
  <c r="Q257" i="2"/>
  <c r="R257" i="2" s="1"/>
  <c r="U257" i="2" s="1"/>
  <c r="Q253" i="2"/>
  <c r="R253" i="2" s="1"/>
  <c r="U253" i="2" s="1"/>
  <c r="Q249" i="2"/>
  <c r="R249" i="2" s="1"/>
  <c r="U249" i="2" s="1"/>
  <c r="Q245" i="2"/>
  <c r="R245" i="2" s="1"/>
  <c r="U245" i="2" s="1"/>
  <c r="Q241" i="2"/>
  <c r="R241" i="2" s="1"/>
  <c r="U241" i="2" s="1"/>
  <c r="Q237" i="2"/>
  <c r="Q233" i="2"/>
  <c r="R233" i="2" s="1"/>
  <c r="U233" i="2" s="1"/>
  <c r="Q229" i="2"/>
  <c r="R229" i="2" s="1"/>
  <c r="U229" i="2" s="1"/>
  <c r="Q225" i="2"/>
  <c r="R225" i="2" s="1"/>
  <c r="U225" i="2" s="1"/>
  <c r="Q221" i="2"/>
  <c r="R221" i="2" s="1"/>
  <c r="U221" i="2" s="1"/>
  <c r="Q217" i="2"/>
  <c r="R217" i="2" s="1"/>
  <c r="U217" i="2" s="1"/>
  <c r="Q213" i="2"/>
  <c r="R213" i="2" s="1"/>
  <c r="U213" i="2" s="1"/>
  <c r="Q209" i="2"/>
  <c r="R209" i="2" s="1"/>
  <c r="U209" i="2" s="1"/>
  <c r="Q205" i="2"/>
  <c r="R205" i="2" s="1"/>
  <c r="U205" i="2" s="1"/>
  <c r="Q201" i="2"/>
  <c r="R201" i="2" s="1"/>
  <c r="U201" i="2" s="1"/>
  <c r="Q197" i="2"/>
  <c r="R197" i="2" s="1"/>
  <c r="U197" i="2" s="1"/>
  <c r="Q193" i="2"/>
  <c r="R193" i="2" s="1"/>
  <c r="U193" i="2" s="1"/>
  <c r="Q189" i="2"/>
  <c r="R189" i="2" s="1"/>
  <c r="U189" i="2" s="1"/>
  <c r="Q185" i="2"/>
  <c r="R185" i="2" s="1"/>
  <c r="U185" i="2" s="1"/>
  <c r="Q181" i="2"/>
  <c r="R181" i="2" s="1"/>
  <c r="U181" i="2" s="1"/>
  <c r="Q177" i="2"/>
  <c r="R177" i="2" s="1"/>
  <c r="U177" i="2" s="1"/>
  <c r="Q173" i="2"/>
  <c r="R173" i="2" s="1"/>
  <c r="U173" i="2" s="1"/>
  <c r="Q169" i="2"/>
  <c r="R169" i="2" s="1"/>
  <c r="U169" i="2" s="1"/>
  <c r="Q165" i="2"/>
  <c r="R165" i="2" s="1"/>
  <c r="U165" i="2" s="1"/>
  <c r="Q161" i="2"/>
  <c r="R161" i="2" s="1"/>
  <c r="U161" i="2" s="1"/>
  <c r="Q157" i="2"/>
  <c r="R157" i="2" s="1"/>
  <c r="U157" i="2" s="1"/>
  <c r="Q153" i="2"/>
  <c r="R153" i="2" s="1"/>
  <c r="U153" i="2" s="1"/>
  <c r="Q149" i="2"/>
  <c r="R149" i="2" s="1"/>
  <c r="U149" i="2" s="1"/>
  <c r="Q1000" i="2"/>
  <c r="R1000" i="2" s="1"/>
  <c r="U1000" i="2" s="1"/>
  <c r="Q996" i="2"/>
  <c r="R996" i="2" s="1"/>
  <c r="U996" i="2" s="1"/>
  <c r="Q992" i="2"/>
  <c r="R992" i="2" s="1"/>
  <c r="U992" i="2" s="1"/>
  <c r="Q988" i="2"/>
  <c r="R988" i="2" s="1"/>
  <c r="U988" i="2" s="1"/>
  <c r="Q984" i="2"/>
  <c r="R984" i="2" s="1"/>
  <c r="U984" i="2" s="1"/>
  <c r="Q980" i="2"/>
  <c r="Q976" i="2"/>
  <c r="R976" i="2" s="1"/>
  <c r="U976" i="2" s="1"/>
  <c r="Q972" i="2"/>
  <c r="R972" i="2" s="1"/>
  <c r="U972" i="2" s="1"/>
  <c r="Q968" i="2"/>
  <c r="R968" i="2" s="1"/>
  <c r="U968" i="2" s="1"/>
  <c r="Q964" i="2"/>
  <c r="R964" i="2" s="1"/>
  <c r="U964" i="2" s="1"/>
  <c r="Q960" i="2"/>
  <c r="R960" i="2" s="1"/>
  <c r="U960" i="2" s="1"/>
  <c r="Q956" i="2"/>
  <c r="R956" i="2" s="1"/>
  <c r="U956" i="2" s="1"/>
  <c r="Q952" i="2"/>
  <c r="R952" i="2" s="1"/>
  <c r="U952" i="2" s="1"/>
  <c r="Q948" i="2"/>
  <c r="R948" i="2" s="1"/>
  <c r="U948" i="2" s="1"/>
  <c r="Q944" i="2"/>
  <c r="R944" i="2" s="1"/>
  <c r="U944" i="2" s="1"/>
  <c r="Q940" i="2"/>
  <c r="R940" i="2" s="1"/>
  <c r="U940" i="2" s="1"/>
  <c r="Q936" i="2"/>
  <c r="R936" i="2" s="1"/>
  <c r="U936" i="2" s="1"/>
  <c r="Q932" i="2"/>
  <c r="R932" i="2" s="1"/>
  <c r="U932" i="2" s="1"/>
  <c r="Q928" i="2"/>
  <c r="R928" i="2" s="1"/>
  <c r="U928" i="2" s="1"/>
  <c r="Q924" i="2"/>
  <c r="R924" i="2" s="1"/>
  <c r="U924" i="2" s="1"/>
  <c r="Q920" i="2"/>
  <c r="R920" i="2" s="1"/>
  <c r="U920" i="2" s="1"/>
  <c r="Q916" i="2"/>
  <c r="R916" i="2" s="1"/>
  <c r="U916" i="2" s="1"/>
  <c r="Q912" i="2"/>
  <c r="R912" i="2" s="1"/>
  <c r="U912" i="2" s="1"/>
  <c r="Q908" i="2"/>
  <c r="R908" i="2" s="1"/>
  <c r="U908" i="2" s="1"/>
  <c r="Q904" i="2"/>
  <c r="R904" i="2" s="1"/>
  <c r="U904" i="2" s="1"/>
  <c r="Q900" i="2"/>
  <c r="R900" i="2" s="1"/>
  <c r="U900" i="2" s="1"/>
  <c r="Q896" i="2"/>
  <c r="R896" i="2" s="1"/>
  <c r="U896" i="2" s="1"/>
  <c r="Q892" i="2"/>
  <c r="R892" i="2" s="1"/>
  <c r="U892" i="2" s="1"/>
  <c r="Q888" i="2"/>
  <c r="R888" i="2" s="1"/>
  <c r="U888" i="2" s="1"/>
  <c r="Q884" i="2"/>
  <c r="R884" i="2" s="1"/>
  <c r="U884" i="2" s="1"/>
  <c r="Q880" i="2"/>
  <c r="R880" i="2" s="1"/>
  <c r="U880" i="2" s="1"/>
  <c r="Q876" i="2"/>
  <c r="R876" i="2" s="1"/>
  <c r="U876" i="2" s="1"/>
  <c r="Q872" i="2"/>
  <c r="R872" i="2" s="1"/>
  <c r="U872" i="2" s="1"/>
  <c r="Q868" i="2"/>
  <c r="R868" i="2" s="1"/>
  <c r="U868" i="2" s="1"/>
  <c r="Q864" i="2"/>
  <c r="R864" i="2" s="1"/>
  <c r="U864" i="2" s="1"/>
  <c r="Q860" i="2"/>
  <c r="R860" i="2" s="1"/>
  <c r="U860" i="2" s="1"/>
  <c r="Q856" i="2"/>
  <c r="R856" i="2" s="1"/>
  <c r="U856" i="2" s="1"/>
  <c r="Q852" i="2"/>
  <c r="Q848" i="2"/>
  <c r="R848" i="2" s="1"/>
  <c r="U848" i="2" s="1"/>
  <c r="Q844" i="2"/>
  <c r="R844" i="2" s="1"/>
  <c r="U844" i="2" s="1"/>
  <c r="Q840" i="2"/>
  <c r="R840" i="2" s="1"/>
  <c r="U840" i="2" s="1"/>
  <c r="Q836" i="2"/>
  <c r="R836" i="2" s="1"/>
  <c r="U836" i="2" s="1"/>
  <c r="Q832" i="2"/>
  <c r="R832" i="2" s="1"/>
  <c r="U832" i="2" s="1"/>
  <c r="Q828" i="2"/>
  <c r="R828" i="2" s="1"/>
  <c r="U828" i="2" s="1"/>
  <c r="Q824" i="2"/>
  <c r="R824" i="2" s="1"/>
  <c r="U824" i="2" s="1"/>
  <c r="Q820" i="2"/>
  <c r="R820" i="2" s="1"/>
  <c r="U820" i="2" s="1"/>
  <c r="Q816" i="2"/>
  <c r="R816" i="2" s="1"/>
  <c r="U816" i="2" s="1"/>
  <c r="Q812" i="2"/>
  <c r="R812" i="2" s="1"/>
  <c r="U812" i="2" s="1"/>
  <c r="Q808" i="2"/>
  <c r="R808" i="2" s="1"/>
  <c r="U808" i="2" s="1"/>
  <c r="Q804" i="2"/>
  <c r="Q800" i="2"/>
  <c r="R800" i="2" s="1"/>
  <c r="U800" i="2" s="1"/>
  <c r="Q796" i="2"/>
  <c r="R796" i="2" s="1"/>
  <c r="U796" i="2" s="1"/>
  <c r="Q792" i="2"/>
  <c r="R792" i="2" s="1"/>
  <c r="U792" i="2" s="1"/>
  <c r="Q788" i="2"/>
  <c r="R788" i="2" s="1"/>
  <c r="U788" i="2" s="1"/>
  <c r="Q784" i="2"/>
  <c r="R784" i="2" s="1"/>
  <c r="U784" i="2" s="1"/>
  <c r="Q780" i="2"/>
  <c r="R780" i="2" s="1"/>
  <c r="U780" i="2" s="1"/>
  <c r="Q776" i="2"/>
  <c r="R776" i="2" s="1"/>
  <c r="U776" i="2" s="1"/>
  <c r="Q772" i="2"/>
  <c r="R772" i="2" s="1"/>
  <c r="U772" i="2" s="1"/>
  <c r="Q768" i="2"/>
  <c r="R768" i="2" s="1"/>
  <c r="U768" i="2" s="1"/>
  <c r="Q764" i="2"/>
  <c r="R764" i="2" s="1"/>
  <c r="U764" i="2" s="1"/>
  <c r="Q760" i="2"/>
  <c r="R760" i="2" s="1"/>
  <c r="U760" i="2" s="1"/>
  <c r="Q756" i="2"/>
  <c r="R756" i="2" s="1"/>
  <c r="U756" i="2" s="1"/>
  <c r="Q752" i="2"/>
  <c r="R752" i="2" s="1"/>
  <c r="U752" i="2" s="1"/>
  <c r="Q748" i="2"/>
  <c r="R748" i="2" s="1"/>
  <c r="U748" i="2" s="1"/>
  <c r="Q999" i="2"/>
  <c r="R999" i="2" s="1"/>
  <c r="U999" i="2" s="1"/>
  <c r="Q995" i="2"/>
  <c r="R995" i="2" s="1"/>
  <c r="T995" i="2" s="1"/>
  <c r="Q991" i="2"/>
  <c r="R991" i="2" s="1"/>
  <c r="T991" i="2" s="1"/>
  <c r="Q987" i="2"/>
  <c r="R987" i="2" s="1"/>
  <c r="Q983" i="2"/>
  <c r="R983" i="2" s="1"/>
  <c r="U983" i="2" s="1"/>
  <c r="Q979" i="2"/>
  <c r="Q975" i="2"/>
  <c r="R975" i="2" s="1"/>
  <c r="Q971" i="2"/>
  <c r="R971" i="2" s="1"/>
  <c r="Q967" i="2"/>
  <c r="R967" i="2" s="1"/>
  <c r="U967" i="2" s="1"/>
  <c r="Q963" i="2"/>
  <c r="Q959" i="2"/>
  <c r="R959" i="2" s="1"/>
  <c r="Q955" i="2"/>
  <c r="R955" i="2" s="1"/>
  <c r="Q951" i="2"/>
  <c r="R951" i="2" s="1"/>
  <c r="U951" i="2" s="1"/>
  <c r="Q947" i="2"/>
  <c r="R947" i="2" s="1"/>
  <c r="T947" i="2" s="1"/>
  <c r="Q943" i="2"/>
  <c r="R943" i="2" s="1"/>
  <c r="S943" i="2" s="1"/>
  <c r="Q939" i="2"/>
  <c r="R939" i="2" s="1"/>
  <c r="Q935" i="2"/>
  <c r="R935" i="2" s="1"/>
  <c r="U935" i="2" s="1"/>
  <c r="Q931" i="2"/>
  <c r="R931" i="2" s="1"/>
  <c r="T931" i="2" s="1"/>
  <c r="Q927" i="2"/>
  <c r="R927" i="2" s="1"/>
  <c r="T927" i="2" s="1"/>
  <c r="Q923" i="2"/>
  <c r="R923" i="2" s="1"/>
  <c r="Q919" i="2"/>
  <c r="R919" i="2" s="1"/>
  <c r="U919" i="2" s="1"/>
  <c r="Q915" i="2"/>
  <c r="R915" i="2" s="1"/>
  <c r="T915" i="2" s="1"/>
  <c r="Q911" i="2"/>
  <c r="R911" i="2" s="1"/>
  <c r="Q907" i="2"/>
  <c r="R907" i="2" s="1"/>
  <c r="Q903" i="2"/>
  <c r="R903" i="2" s="1"/>
  <c r="U903" i="2" s="1"/>
  <c r="Q899" i="2"/>
  <c r="R899" i="2" s="1"/>
  <c r="T899" i="2" s="1"/>
  <c r="Q895" i="2"/>
  <c r="R895" i="2" s="1"/>
  <c r="Q891" i="2"/>
  <c r="R891" i="2" s="1"/>
  <c r="Q887" i="2"/>
  <c r="R887" i="2" s="1"/>
  <c r="U887" i="2" s="1"/>
  <c r="Q883" i="2"/>
  <c r="R883" i="2" s="1"/>
  <c r="T883" i="2" s="1"/>
  <c r="Q879" i="2"/>
  <c r="R879" i="2" s="1"/>
  <c r="S879" i="2" s="1"/>
  <c r="Q875" i="2"/>
  <c r="R875" i="2" s="1"/>
  <c r="Q871" i="2"/>
  <c r="R871" i="2" s="1"/>
  <c r="U871" i="2" s="1"/>
  <c r="Q867" i="2"/>
  <c r="R867" i="2" s="1"/>
  <c r="T867" i="2" s="1"/>
  <c r="Q863" i="2"/>
  <c r="R863" i="2" s="1"/>
  <c r="T863" i="2" s="1"/>
  <c r="Q859" i="2"/>
  <c r="R859" i="2" s="1"/>
  <c r="Q855" i="2"/>
  <c r="R855" i="2" s="1"/>
  <c r="U855" i="2" s="1"/>
  <c r="Q851" i="2"/>
  <c r="R851" i="2" s="1"/>
  <c r="T851" i="2" s="1"/>
  <c r="Q847" i="2"/>
  <c r="R847" i="2" s="1"/>
  <c r="Q843" i="2"/>
  <c r="R843" i="2" s="1"/>
  <c r="Q839" i="2"/>
  <c r="R839" i="2" s="1"/>
  <c r="U839" i="2" s="1"/>
  <c r="Q835" i="2"/>
  <c r="Q831" i="2"/>
  <c r="R831" i="2" s="1"/>
  <c r="Q827" i="2"/>
  <c r="R827" i="2" s="1"/>
  <c r="Q823" i="2"/>
  <c r="R823" i="2" s="1"/>
  <c r="U823" i="2" s="1"/>
  <c r="Q819" i="2"/>
  <c r="R819" i="2" s="1"/>
  <c r="T819" i="2" s="1"/>
  <c r="Q815" i="2"/>
  <c r="R815" i="2" s="1"/>
  <c r="S815" i="2" s="1"/>
  <c r="Q811" i="2"/>
  <c r="R811" i="2" s="1"/>
  <c r="Q807" i="2"/>
  <c r="R807" i="2" s="1"/>
  <c r="U807" i="2" s="1"/>
  <c r="Q803" i="2"/>
  <c r="R803" i="2" s="1"/>
  <c r="T803" i="2" s="1"/>
  <c r="Q799" i="2"/>
  <c r="R799" i="2" s="1"/>
  <c r="T799" i="2" s="1"/>
  <c r="Q795" i="2"/>
  <c r="R795" i="2" s="1"/>
  <c r="Q791" i="2"/>
  <c r="R791" i="2" s="1"/>
  <c r="U791" i="2" s="1"/>
  <c r="Q787" i="2"/>
  <c r="Q783" i="2"/>
  <c r="R783" i="2" s="1"/>
  <c r="Q779" i="2"/>
  <c r="R779" i="2" s="1"/>
  <c r="Q775" i="2"/>
  <c r="R775" i="2" s="1"/>
  <c r="U775" i="2" s="1"/>
  <c r="Q771" i="2"/>
  <c r="R771" i="2" s="1"/>
  <c r="T771" i="2" s="1"/>
  <c r="Q767" i="2"/>
  <c r="R767" i="2" s="1"/>
  <c r="Q763" i="2"/>
  <c r="R763" i="2" s="1"/>
  <c r="Q759" i="2"/>
  <c r="R759" i="2" s="1"/>
  <c r="U759" i="2" s="1"/>
  <c r="Q755" i="2"/>
  <c r="R755" i="2" s="1"/>
  <c r="T755" i="2" s="1"/>
  <c r="Q751" i="2"/>
  <c r="R751" i="2" s="1"/>
  <c r="S751" i="2" s="1"/>
  <c r="Q747" i="2"/>
  <c r="R747" i="2" s="1"/>
  <c r="Q750" i="2"/>
  <c r="R750" i="2" s="1"/>
  <c r="U750" i="2" s="1"/>
  <c r="Q746" i="2"/>
  <c r="Q742" i="2"/>
  <c r="R742" i="2" s="1"/>
  <c r="U742" i="2" s="1"/>
  <c r="Q738" i="2"/>
  <c r="R738" i="2" s="1"/>
  <c r="U738" i="2" s="1"/>
  <c r="Q734" i="2"/>
  <c r="R734" i="2" s="1"/>
  <c r="U734" i="2" s="1"/>
  <c r="Q730" i="2"/>
  <c r="R730" i="2" s="1"/>
  <c r="U730" i="2" s="1"/>
  <c r="Q726" i="2"/>
  <c r="R726" i="2" s="1"/>
  <c r="U726" i="2" s="1"/>
  <c r="Q722" i="2"/>
  <c r="R722" i="2" s="1"/>
  <c r="U722" i="2" s="1"/>
  <c r="Q718" i="2"/>
  <c r="R718" i="2" s="1"/>
  <c r="U718" i="2" s="1"/>
  <c r="Q714" i="2"/>
  <c r="R714" i="2" s="1"/>
  <c r="U714" i="2" s="1"/>
  <c r="Q710" i="2"/>
  <c r="R710" i="2" s="1"/>
  <c r="U710" i="2" s="1"/>
  <c r="Q706" i="2"/>
  <c r="R706" i="2" s="1"/>
  <c r="U706" i="2" s="1"/>
  <c r="Q702" i="2"/>
  <c r="R702" i="2" s="1"/>
  <c r="U702" i="2" s="1"/>
  <c r="Q698" i="2"/>
  <c r="R698" i="2" s="1"/>
  <c r="U698" i="2" s="1"/>
  <c r="Q694" i="2"/>
  <c r="R694" i="2" s="1"/>
  <c r="U694" i="2" s="1"/>
  <c r="Q690" i="2"/>
  <c r="R690" i="2" s="1"/>
  <c r="U690" i="2" s="1"/>
  <c r="Q686" i="2"/>
  <c r="R686" i="2" s="1"/>
  <c r="U686" i="2" s="1"/>
  <c r="Q682" i="2"/>
  <c r="R682" i="2" s="1"/>
  <c r="U682" i="2" s="1"/>
  <c r="Q678" i="2"/>
  <c r="R678" i="2" s="1"/>
  <c r="U678" i="2" s="1"/>
  <c r="Q674" i="2"/>
  <c r="R674" i="2" s="1"/>
  <c r="U674" i="2" s="1"/>
  <c r="Q670" i="2"/>
  <c r="R670" i="2" s="1"/>
  <c r="U670" i="2" s="1"/>
  <c r="Q666" i="2"/>
  <c r="R666" i="2" s="1"/>
  <c r="U666" i="2" s="1"/>
  <c r="Q662" i="2"/>
  <c r="R662" i="2" s="1"/>
  <c r="U662" i="2" s="1"/>
  <c r="Q658" i="2"/>
  <c r="R658" i="2" s="1"/>
  <c r="U658" i="2" s="1"/>
  <c r="Q654" i="2"/>
  <c r="Q650" i="2"/>
  <c r="R650" i="2" s="1"/>
  <c r="U650" i="2" s="1"/>
  <c r="Q646" i="2"/>
  <c r="R646" i="2" s="1"/>
  <c r="U646" i="2" s="1"/>
  <c r="Q642" i="2"/>
  <c r="R642" i="2" s="1"/>
  <c r="U642" i="2" s="1"/>
  <c r="Q638" i="2"/>
  <c r="R638" i="2" s="1"/>
  <c r="U638" i="2" s="1"/>
  <c r="Q634" i="2"/>
  <c r="R634" i="2" s="1"/>
  <c r="U634" i="2" s="1"/>
  <c r="Q630" i="2"/>
  <c r="R630" i="2" s="1"/>
  <c r="U630" i="2" s="1"/>
  <c r="Q626" i="2"/>
  <c r="R626" i="2" s="1"/>
  <c r="U626" i="2" s="1"/>
  <c r="Q622" i="2"/>
  <c r="R622" i="2" s="1"/>
  <c r="U622" i="2" s="1"/>
  <c r="Q618" i="2"/>
  <c r="R618" i="2" s="1"/>
  <c r="U618" i="2" s="1"/>
  <c r="Q614" i="2"/>
  <c r="R614" i="2" s="1"/>
  <c r="U614" i="2" s="1"/>
  <c r="Q610" i="2"/>
  <c r="R610" i="2" s="1"/>
  <c r="U610" i="2" s="1"/>
  <c r="Q606" i="2"/>
  <c r="R606" i="2" s="1"/>
  <c r="U606" i="2" s="1"/>
  <c r="Q602" i="2"/>
  <c r="Q598" i="2"/>
  <c r="R598" i="2" s="1"/>
  <c r="U598" i="2" s="1"/>
  <c r="Q594" i="2"/>
  <c r="R594" i="2" s="1"/>
  <c r="U594" i="2" s="1"/>
  <c r="Q590" i="2"/>
  <c r="R590" i="2" s="1"/>
  <c r="U590" i="2" s="1"/>
  <c r="Q586" i="2"/>
  <c r="R586" i="2" s="1"/>
  <c r="U586" i="2" s="1"/>
  <c r="Q582" i="2"/>
  <c r="R582" i="2" s="1"/>
  <c r="U582" i="2" s="1"/>
  <c r="Q578" i="2"/>
  <c r="R578" i="2" s="1"/>
  <c r="U578" i="2" s="1"/>
  <c r="Q574" i="2"/>
  <c r="R574" i="2" s="1"/>
  <c r="U574" i="2" s="1"/>
  <c r="Q570" i="2"/>
  <c r="R570" i="2" s="1"/>
  <c r="U570" i="2" s="1"/>
  <c r="Q566" i="2"/>
  <c r="R566" i="2" s="1"/>
  <c r="U566" i="2" s="1"/>
  <c r="Q562" i="2"/>
  <c r="R562" i="2" s="1"/>
  <c r="U562" i="2" s="1"/>
  <c r="Q558" i="2"/>
  <c r="R558" i="2" s="1"/>
  <c r="U558" i="2" s="1"/>
  <c r="Q554" i="2"/>
  <c r="R554" i="2" s="1"/>
  <c r="U554" i="2" s="1"/>
  <c r="Q550" i="2"/>
  <c r="R550" i="2" s="1"/>
  <c r="U550" i="2" s="1"/>
  <c r="Q546" i="2"/>
  <c r="R546" i="2" s="1"/>
  <c r="U546" i="2" s="1"/>
  <c r="Q542" i="2"/>
  <c r="R542" i="2" s="1"/>
  <c r="U542" i="2" s="1"/>
  <c r="Q538" i="2"/>
  <c r="R538" i="2" s="1"/>
  <c r="U538" i="2" s="1"/>
  <c r="Q534" i="2"/>
  <c r="R534" i="2" s="1"/>
  <c r="U534" i="2" s="1"/>
  <c r="Q530" i="2"/>
  <c r="R530" i="2" s="1"/>
  <c r="U530" i="2" s="1"/>
  <c r="Q526" i="2"/>
  <c r="R526" i="2" s="1"/>
  <c r="U526" i="2" s="1"/>
  <c r="Q522" i="2"/>
  <c r="R522" i="2" s="1"/>
  <c r="U522" i="2" s="1"/>
  <c r="Q518" i="2"/>
  <c r="R518" i="2" s="1"/>
  <c r="U518" i="2" s="1"/>
  <c r="Q514" i="2"/>
  <c r="R514" i="2" s="1"/>
  <c r="U514" i="2" s="1"/>
  <c r="Q510" i="2"/>
  <c r="R510" i="2" s="1"/>
  <c r="U510" i="2" s="1"/>
  <c r="Q506" i="2"/>
  <c r="R506" i="2" s="1"/>
  <c r="U506" i="2" s="1"/>
  <c r="Q502" i="2"/>
  <c r="R502" i="2" s="1"/>
  <c r="U502" i="2" s="1"/>
  <c r="Q498" i="2"/>
  <c r="R498" i="2" s="1"/>
  <c r="U498" i="2" s="1"/>
  <c r="Q494" i="2"/>
  <c r="R494" i="2" s="1"/>
  <c r="U494" i="2" s="1"/>
  <c r="Q490" i="2"/>
  <c r="R490" i="2" s="1"/>
  <c r="U490" i="2" s="1"/>
  <c r="Q486" i="2"/>
  <c r="R486" i="2" s="1"/>
  <c r="U486" i="2" s="1"/>
  <c r="Q482" i="2"/>
  <c r="R482" i="2" s="1"/>
  <c r="U482" i="2" s="1"/>
  <c r="Q478" i="2"/>
  <c r="R478" i="2" s="1"/>
  <c r="U478" i="2" s="1"/>
  <c r="Q474" i="2"/>
  <c r="Q470" i="2"/>
  <c r="R470" i="2" s="1"/>
  <c r="U470" i="2" s="1"/>
  <c r="Q466" i="2"/>
  <c r="R466" i="2" s="1"/>
  <c r="U466" i="2" s="1"/>
  <c r="Q462" i="2"/>
  <c r="R462" i="2" s="1"/>
  <c r="U462" i="2" s="1"/>
  <c r="Q458" i="2"/>
  <c r="R458" i="2" s="1"/>
  <c r="U458" i="2" s="1"/>
  <c r="Q454" i="2"/>
  <c r="R454" i="2" s="1"/>
  <c r="U454" i="2" s="1"/>
  <c r="Q450" i="2"/>
  <c r="R450" i="2" s="1"/>
  <c r="U450" i="2" s="1"/>
  <c r="Q446" i="2"/>
  <c r="R446" i="2" s="1"/>
  <c r="U446" i="2" s="1"/>
  <c r="Q442" i="2"/>
  <c r="R442" i="2" s="1"/>
  <c r="U442" i="2" s="1"/>
  <c r="Q438" i="2"/>
  <c r="R438" i="2" s="1"/>
  <c r="U438" i="2" s="1"/>
  <c r="Q434" i="2"/>
  <c r="R434" i="2" s="1"/>
  <c r="U434" i="2" s="1"/>
  <c r="Q430" i="2"/>
  <c r="R430" i="2" s="1"/>
  <c r="U430" i="2" s="1"/>
  <c r="Q426" i="2"/>
  <c r="Q145" i="2"/>
  <c r="R145" i="2" s="1"/>
  <c r="U145" i="2" s="1"/>
  <c r="Q141" i="2"/>
  <c r="R141" i="2" s="1"/>
  <c r="U141" i="2" s="1"/>
  <c r="Q137" i="2"/>
  <c r="R137" i="2" s="1"/>
  <c r="U137" i="2" s="1"/>
  <c r="Q133" i="2"/>
  <c r="Q129" i="2"/>
  <c r="R129" i="2" s="1"/>
  <c r="U129" i="2" s="1"/>
  <c r="Q125" i="2"/>
  <c r="R125" i="2" s="1"/>
  <c r="U125" i="2" s="1"/>
  <c r="Q121" i="2"/>
  <c r="R121" i="2" s="1"/>
  <c r="U121" i="2" s="1"/>
  <c r="Q117" i="2"/>
  <c r="R117" i="2" s="1"/>
  <c r="U117" i="2" s="1"/>
  <c r="Q113" i="2"/>
  <c r="R113" i="2" s="1"/>
  <c r="U113" i="2" s="1"/>
  <c r="Q109" i="2"/>
  <c r="R109" i="2" s="1"/>
  <c r="U109" i="2" s="1"/>
  <c r="Q105" i="2"/>
  <c r="R105" i="2" s="1"/>
  <c r="U105" i="2" s="1"/>
  <c r="Q101" i="2"/>
  <c r="R101" i="2" s="1"/>
  <c r="U101" i="2" s="1"/>
  <c r="Q97" i="2"/>
  <c r="R97" i="2" s="1"/>
  <c r="U97" i="2" s="1"/>
  <c r="Q93" i="2"/>
  <c r="R93" i="2" s="1"/>
  <c r="U93" i="2" s="1"/>
  <c r="Q89" i="2"/>
  <c r="R89" i="2" s="1"/>
  <c r="U89" i="2" s="1"/>
  <c r="Q744" i="2"/>
  <c r="R744" i="2" s="1"/>
  <c r="U744" i="2" s="1"/>
  <c r="Q740" i="2"/>
  <c r="R740" i="2" s="1"/>
  <c r="U740" i="2" s="1"/>
  <c r="Q736" i="2"/>
  <c r="R736" i="2" s="1"/>
  <c r="U736" i="2" s="1"/>
  <c r="Q732" i="2"/>
  <c r="R732" i="2" s="1"/>
  <c r="U732" i="2" s="1"/>
  <c r="Q728" i="2"/>
  <c r="R728" i="2" s="1"/>
  <c r="U728" i="2" s="1"/>
  <c r="Q724" i="2"/>
  <c r="R724" i="2" s="1"/>
  <c r="U724" i="2" s="1"/>
  <c r="Q720" i="2"/>
  <c r="R720" i="2" s="1"/>
  <c r="U720" i="2" s="1"/>
  <c r="Q716" i="2"/>
  <c r="R716" i="2" s="1"/>
  <c r="U716" i="2" s="1"/>
  <c r="Q712" i="2"/>
  <c r="R712" i="2" s="1"/>
  <c r="U712" i="2" s="1"/>
  <c r="Q708" i="2"/>
  <c r="R708" i="2" s="1"/>
  <c r="U708" i="2" s="1"/>
  <c r="Q704" i="2"/>
  <c r="R704" i="2" s="1"/>
  <c r="U704" i="2" s="1"/>
  <c r="Q700" i="2"/>
  <c r="R700" i="2" s="1"/>
  <c r="U700" i="2" s="1"/>
  <c r="Q696" i="2"/>
  <c r="R696" i="2" s="1"/>
  <c r="U696" i="2" s="1"/>
  <c r="Q692" i="2"/>
  <c r="R692" i="2" s="1"/>
  <c r="U692" i="2" s="1"/>
  <c r="Q688" i="2"/>
  <c r="R688" i="2" s="1"/>
  <c r="U688" i="2" s="1"/>
  <c r="Q684" i="2"/>
  <c r="R684" i="2" s="1"/>
  <c r="U684" i="2" s="1"/>
  <c r="Q680" i="2"/>
  <c r="R680" i="2" s="1"/>
  <c r="U680" i="2" s="1"/>
  <c r="Q676" i="2"/>
  <c r="R676" i="2" s="1"/>
  <c r="U676" i="2" s="1"/>
  <c r="Q672" i="2"/>
  <c r="R672" i="2" s="1"/>
  <c r="U672" i="2" s="1"/>
  <c r="Q668" i="2"/>
  <c r="R668" i="2" s="1"/>
  <c r="U668" i="2" s="1"/>
  <c r="Q664" i="2"/>
  <c r="R664" i="2" s="1"/>
  <c r="U664" i="2" s="1"/>
  <c r="Q660" i="2"/>
  <c r="R660" i="2" s="1"/>
  <c r="U660" i="2" s="1"/>
  <c r="Q656" i="2"/>
  <c r="R656" i="2" s="1"/>
  <c r="U656" i="2" s="1"/>
  <c r="Q652" i="2"/>
  <c r="R652" i="2" s="1"/>
  <c r="U652" i="2" s="1"/>
  <c r="Q648" i="2"/>
  <c r="R648" i="2" s="1"/>
  <c r="U648" i="2" s="1"/>
  <c r="Q644" i="2"/>
  <c r="R644" i="2" s="1"/>
  <c r="U644" i="2" s="1"/>
  <c r="Q640" i="2"/>
  <c r="R640" i="2" s="1"/>
  <c r="U640" i="2" s="1"/>
  <c r="Q636" i="2"/>
  <c r="R636" i="2" s="1"/>
  <c r="U636" i="2" s="1"/>
  <c r="Q632" i="2"/>
  <c r="R632" i="2" s="1"/>
  <c r="U632" i="2" s="1"/>
  <c r="Q628" i="2"/>
  <c r="R628" i="2" s="1"/>
  <c r="U628" i="2" s="1"/>
  <c r="Q624" i="2"/>
  <c r="R624" i="2" s="1"/>
  <c r="U624" i="2" s="1"/>
  <c r="Q620" i="2"/>
  <c r="R620" i="2" s="1"/>
  <c r="U620" i="2" s="1"/>
  <c r="Q616" i="2"/>
  <c r="R616" i="2" s="1"/>
  <c r="U616" i="2" s="1"/>
  <c r="Q612" i="2"/>
  <c r="R612" i="2" s="1"/>
  <c r="U612" i="2" s="1"/>
  <c r="Q608" i="2"/>
  <c r="R608" i="2" s="1"/>
  <c r="U608" i="2" s="1"/>
  <c r="Q604" i="2"/>
  <c r="R604" i="2" s="1"/>
  <c r="U604" i="2" s="1"/>
  <c r="Q600" i="2"/>
  <c r="R600" i="2" s="1"/>
  <c r="U600" i="2" s="1"/>
  <c r="Q596" i="2"/>
  <c r="R596" i="2" s="1"/>
  <c r="U596" i="2" s="1"/>
  <c r="Q592" i="2"/>
  <c r="R592" i="2" s="1"/>
  <c r="U592" i="2" s="1"/>
  <c r="Q588" i="2"/>
  <c r="R588" i="2" s="1"/>
  <c r="U588" i="2" s="1"/>
  <c r="Q584" i="2"/>
  <c r="R584" i="2" s="1"/>
  <c r="U584" i="2" s="1"/>
  <c r="Q580" i="2"/>
  <c r="R580" i="2" s="1"/>
  <c r="U580" i="2" s="1"/>
  <c r="Q576" i="2"/>
  <c r="R576" i="2" s="1"/>
  <c r="U576" i="2" s="1"/>
  <c r="Q572" i="2"/>
  <c r="R572" i="2" s="1"/>
  <c r="U572" i="2" s="1"/>
  <c r="Q568" i="2"/>
  <c r="R568" i="2" s="1"/>
  <c r="U568" i="2" s="1"/>
  <c r="Q564" i="2"/>
  <c r="R564" i="2" s="1"/>
  <c r="U564" i="2" s="1"/>
  <c r="Q560" i="2"/>
  <c r="R560" i="2" s="1"/>
  <c r="U560" i="2" s="1"/>
  <c r="Q556" i="2"/>
  <c r="R556" i="2" s="1"/>
  <c r="U556" i="2" s="1"/>
  <c r="Q552" i="2"/>
  <c r="R552" i="2" s="1"/>
  <c r="U552" i="2" s="1"/>
  <c r="Q548" i="2"/>
  <c r="R548" i="2" s="1"/>
  <c r="U548" i="2" s="1"/>
  <c r="Q544" i="2"/>
  <c r="R544" i="2" s="1"/>
  <c r="U544" i="2" s="1"/>
  <c r="Q540" i="2"/>
  <c r="R540" i="2" s="1"/>
  <c r="U540" i="2" s="1"/>
  <c r="Q536" i="2"/>
  <c r="R536" i="2" s="1"/>
  <c r="U536" i="2" s="1"/>
  <c r="Q532" i="2"/>
  <c r="R532" i="2" s="1"/>
  <c r="U532" i="2" s="1"/>
  <c r="Q528" i="2"/>
  <c r="R528" i="2" s="1"/>
  <c r="U528" i="2" s="1"/>
  <c r="Q524" i="2"/>
  <c r="R524" i="2" s="1"/>
  <c r="U524" i="2" s="1"/>
  <c r="Q520" i="2"/>
  <c r="R520" i="2" s="1"/>
  <c r="U520" i="2" s="1"/>
  <c r="Q516" i="2"/>
  <c r="R516" i="2" s="1"/>
  <c r="U516" i="2" s="1"/>
  <c r="Q512" i="2"/>
  <c r="R512" i="2" s="1"/>
  <c r="U512" i="2" s="1"/>
  <c r="Q508" i="2"/>
  <c r="R508" i="2" s="1"/>
  <c r="U508" i="2" s="1"/>
  <c r="Q504" i="2"/>
  <c r="R504" i="2" s="1"/>
  <c r="U504" i="2" s="1"/>
  <c r="Q500" i="2"/>
  <c r="R500" i="2" s="1"/>
  <c r="U500" i="2" s="1"/>
  <c r="Q496" i="2"/>
  <c r="R496" i="2" s="1"/>
  <c r="U496" i="2" s="1"/>
  <c r="Q492" i="2"/>
  <c r="R492" i="2" s="1"/>
  <c r="U492" i="2" s="1"/>
  <c r="Q488" i="2"/>
  <c r="R488" i="2" s="1"/>
  <c r="U488" i="2" s="1"/>
  <c r="Q484" i="2"/>
  <c r="R484" i="2" s="1"/>
  <c r="U484" i="2" s="1"/>
  <c r="Q480" i="2"/>
  <c r="R480" i="2" s="1"/>
  <c r="U480" i="2" s="1"/>
  <c r="Q476" i="2"/>
  <c r="R476" i="2" s="1"/>
  <c r="U476" i="2" s="1"/>
  <c r="Q472" i="2"/>
  <c r="R472" i="2" s="1"/>
  <c r="U472" i="2" s="1"/>
  <c r="Q468" i="2"/>
  <c r="R468" i="2" s="1"/>
  <c r="U468" i="2" s="1"/>
  <c r="Q464" i="2"/>
  <c r="R464" i="2" s="1"/>
  <c r="U464" i="2" s="1"/>
  <c r="Q460" i="2"/>
  <c r="R460" i="2" s="1"/>
  <c r="U460" i="2" s="1"/>
  <c r="Q456" i="2"/>
  <c r="R456" i="2" s="1"/>
  <c r="U456" i="2" s="1"/>
  <c r="Q452" i="2"/>
  <c r="R452" i="2" s="1"/>
  <c r="U452" i="2" s="1"/>
  <c r="Q448" i="2"/>
  <c r="R448" i="2" s="1"/>
  <c r="U448" i="2" s="1"/>
  <c r="Q444" i="2"/>
  <c r="R444" i="2" s="1"/>
  <c r="U444" i="2" s="1"/>
  <c r="Q440" i="2"/>
  <c r="R440" i="2" s="1"/>
  <c r="U440" i="2" s="1"/>
  <c r="Q436" i="2"/>
  <c r="R436" i="2" s="1"/>
  <c r="U436" i="2" s="1"/>
  <c r="Q432" i="2"/>
  <c r="R432" i="2" s="1"/>
  <c r="U432" i="2" s="1"/>
  <c r="Q428" i="2"/>
  <c r="R428" i="2" s="1"/>
  <c r="U428" i="2" s="1"/>
  <c r="Q743" i="2"/>
  <c r="R743" i="2" s="1"/>
  <c r="U743" i="2" s="1"/>
  <c r="Q739" i="2"/>
  <c r="R739" i="2" s="1"/>
  <c r="T739" i="2" s="1"/>
  <c r="Q735" i="2"/>
  <c r="R735" i="2" s="1"/>
  <c r="T735" i="2" s="1"/>
  <c r="Q731" i="2"/>
  <c r="R731" i="2" s="1"/>
  <c r="Q727" i="2"/>
  <c r="R727" i="2" s="1"/>
  <c r="U727" i="2" s="1"/>
  <c r="Q723" i="2"/>
  <c r="R723" i="2" s="1"/>
  <c r="T723" i="2" s="1"/>
  <c r="Q719" i="2"/>
  <c r="R719" i="2" s="1"/>
  <c r="Q715" i="2"/>
  <c r="R715" i="2" s="1"/>
  <c r="Q711" i="2"/>
  <c r="R711" i="2" s="1"/>
  <c r="U711" i="2" s="1"/>
  <c r="Q707" i="2"/>
  <c r="R707" i="2" s="1"/>
  <c r="T707" i="2" s="1"/>
  <c r="Q703" i="2"/>
  <c r="R703" i="2" s="1"/>
  <c r="Q699" i="2"/>
  <c r="R699" i="2" s="1"/>
  <c r="Q695" i="2"/>
  <c r="R695" i="2" s="1"/>
  <c r="U695" i="2" s="1"/>
  <c r="Q691" i="2"/>
  <c r="R691" i="2" s="1"/>
  <c r="T691" i="2" s="1"/>
  <c r="Q687" i="2"/>
  <c r="R687" i="2" s="1"/>
  <c r="S687" i="2" s="1"/>
  <c r="Q683" i="2"/>
  <c r="R683" i="2" s="1"/>
  <c r="Q679" i="2"/>
  <c r="R679" i="2" s="1"/>
  <c r="U679" i="2" s="1"/>
  <c r="Q675" i="2"/>
  <c r="R675" i="2" s="1"/>
  <c r="T675" i="2" s="1"/>
  <c r="Q671" i="2"/>
  <c r="R671" i="2" s="1"/>
  <c r="T671" i="2" s="1"/>
  <c r="Q667" i="2"/>
  <c r="R667" i="2" s="1"/>
  <c r="Q663" i="2"/>
  <c r="R663" i="2" s="1"/>
  <c r="U663" i="2" s="1"/>
  <c r="Q659" i="2"/>
  <c r="R659" i="2" s="1"/>
  <c r="T659" i="2" s="1"/>
  <c r="Q655" i="2"/>
  <c r="R655" i="2" s="1"/>
  <c r="Q651" i="2"/>
  <c r="R651" i="2" s="1"/>
  <c r="Q647" i="2"/>
  <c r="R647" i="2" s="1"/>
  <c r="U647" i="2" s="1"/>
  <c r="Q643" i="2"/>
  <c r="R643" i="2" s="1"/>
  <c r="T643" i="2" s="1"/>
  <c r="Q639" i="2"/>
  <c r="R639" i="2" s="1"/>
  <c r="Q635" i="2"/>
  <c r="R635" i="2" s="1"/>
  <c r="Q631" i="2"/>
  <c r="R631" i="2" s="1"/>
  <c r="U631" i="2" s="1"/>
  <c r="Q627" i="2"/>
  <c r="R627" i="2" s="1"/>
  <c r="T627" i="2" s="1"/>
  <c r="Q623" i="2"/>
  <c r="R623" i="2" s="1"/>
  <c r="S623" i="2" s="1"/>
  <c r="Q619" i="2"/>
  <c r="R619" i="2" s="1"/>
  <c r="Q615" i="2"/>
  <c r="R615" i="2" s="1"/>
  <c r="U615" i="2" s="1"/>
  <c r="Q611" i="2"/>
  <c r="R611" i="2" s="1"/>
  <c r="T611" i="2" s="1"/>
  <c r="Q607" i="2"/>
  <c r="R607" i="2" s="1"/>
  <c r="T607" i="2" s="1"/>
  <c r="Q603" i="2"/>
  <c r="R603" i="2" s="1"/>
  <c r="Q599" i="2"/>
  <c r="R599" i="2" s="1"/>
  <c r="U599" i="2" s="1"/>
  <c r="Q595" i="2"/>
  <c r="R595" i="2" s="1"/>
  <c r="T595" i="2" s="1"/>
  <c r="Q591" i="2"/>
  <c r="R591" i="2" s="1"/>
  <c r="Q587" i="2"/>
  <c r="R587" i="2" s="1"/>
  <c r="Q583" i="2"/>
  <c r="R583" i="2" s="1"/>
  <c r="U583" i="2" s="1"/>
  <c r="Q579" i="2"/>
  <c r="R579" i="2" s="1"/>
  <c r="T579" i="2" s="1"/>
  <c r="Q575" i="2"/>
  <c r="R575" i="2" s="1"/>
  <c r="Q571" i="2"/>
  <c r="R571" i="2" s="1"/>
  <c r="Q567" i="2"/>
  <c r="R567" i="2" s="1"/>
  <c r="U567" i="2" s="1"/>
  <c r="Q563" i="2"/>
  <c r="R563" i="2" s="1"/>
  <c r="T563" i="2" s="1"/>
  <c r="Q559" i="2"/>
  <c r="R559" i="2" s="1"/>
  <c r="S559" i="2" s="1"/>
  <c r="Q555" i="2"/>
  <c r="R555" i="2" s="1"/>
  <c r="Q551" i="2"/>
  <c r="R551" i="2" s="1"/>
  <c r="U551" i="2" s="1"/>
  <c r="Q547" i="2"/>
  <c r="R547" i="2" s="1"/>
  <c r="T547" i="2" s="1"/>
  <c r="Q543" i="2"/>
  <c r="R543" i="2" s="1"/>
  <c r="T543" i="2" s="1"/>
  <c r="Q539" i="2"/>
  <c r="R539" i="2" s="1"/>
  <c r="Q535" i="2"/>
  <c r="R535" i="2" s="1"/>
  <c r="U535" i="2" s="1"/>
  <c r="Q531" i="2"/>
  <c r="R531" i="2" s="1"/>
  <c r="T531" i="2" s="1"/>
  <c r="Q527" i="2"/>
  <c r="R527" i="2" s="1"/>
  <c r="Q523" i="2"/>
  <c r="R523" i="2" s="1"/>
  <c r="Q519" i="2"/>
  <c r="R519" i="2" s="1"/>
  <c r="U519" i="2" s="1"/>
  <c r="Q515" i="2"/>
  <c r="R515" i="2" s="1"/>
  <c r="T515" i="2" s="1"/>
  <c r="Q511" i="2"/>
  <c r="R511" i="2" s="1"/>
  <c r="Q507" i="2"/>
  <c r="R507" i="2" s="1"/>
  <c r="Q503" i="2"/>
  <c r="R503" i="2" s="1"/>
  <c r="U503" i="2" s="1"/>
  <c r="Q499" i="2"/>
  <c r="R499" i="2" s="1"/>
  <c r="T499" i="2" s="1"/>
  <c r="Q495" i="2"/>
  <c r="R495" i="2" s="1"/>
  <c r="S495" i="2" s="1"/>
  <c r="Q491" i="2"/>
  <c r="R491" i="2" s="1"/>
  <c r="Q487" i="2"/>
  <c r="R487" i="2" s="1"/>
  <c r="U487" i="2" s="1"/>
  <c r="Q483" i="2"/>
  <c r="R483" i="2" s="1"/>
  <c r="T483" i="2" s="1"/>
  <c r="Q479" i="2"/>
  <c r="R479" i="2" s="1"/>
  <c r="T479" i="2" s="1"/>
  <c r="Q475" i="2"/>
  <c r="R475" i="2" s="1"/>
  <c r="Q471" i="2"/>
  <c r="R471" i="2" s="1"/>
  <c r="U471" i="2" s="1"/>
  <c r="Q467" i="2"/>
  <c r="R467" i="2" s="1"/>
  <c r="T467" i="2" s="1"/>
  <c r="Q463" i="2"/>
  <c r="R463" i="2" s="1"/>
  <c r="Q459" i="2"/>
  <c r="R459" i="2" s="1"/>
  <c r="Q455" i="2"/>
  <c r="R455" i="2" s="1"/>
  <c r="U455" i="2" s="1"/>
  <c r="Q451" i="2"/>
  <c r="R451" i="2" s="1"/>
  <c r="T451" i="2" s="1"/>
  <c r="Q447" i="2"/>
  <c r="R447" i="2" s="1"/>
  <c r="Q443" i="2"/>
  <c r="R443" i="2" s="1"/>
  <c r="Q439" i="2"/>
  <c r="R439" i="2" s="1"/>
  <c r="U439" i="2" s="1"/>
  <c r="Q435" i="2"/>
  <c r="R435" i="2" s="1"/>
  <c r="T435" i="2" s="1"/>
  <c r="Q431" i="2"/>
  <c r="R431" i="2" s="1"/>
  <c r="S431" i="2" s="1"/>
  <c r="Q427" i="2"/>
  <c r="R427" i="2" s="1"/>
  <c r="Q422" i="2"/>
  <c r="R422" i="2" s="1"/>
  <c r="U422" i="2" s="1"/>
  <c r="Q418" i="2"/>
  <c r="R418" i="2" s="1"/>
  <c r="U418" i="2" s="1"/>
  <c r="Q414" i="2"/>
  <c r="R414" i="2" s="1"/>
  <c r="U414" i="2" s="1"/>
  <c r="Q410" i="2"/>
  <c r="R410" i="2" s="1"/>
  <c r="U410" i="2" s="1"/>
  <c r="Q406" i="2"/>
  <c r="R406" i="2" s="1"/>
  <c r="U406" i="2" s="1"/>
  <c r="Q402" i="2"/>
  <c r="R402" i="2" s="1"/>
  <c r="U402" i="2" s="1"/>
  <c r="Q398" i="2"/>
  <c r="R398" i="2" s="1"/>
  <c r="U398" i="2" s="1"/>
  <c r="Q394" i="2"/>
  <c r="R394" i="2" s="1"/>
  <c r="U394" i="2" s="1"/>
  <c r="Q390" i="2"/>
  <c r="R390" i="2" s="1"/>
  <c r="U390" i="2" s="1"/>
  <c r="Q386" i="2"/>
  <c r="R386" i="2" s="1"/>
  <c r="U386" i="2" s="1"/>
  <c r="Q382" i="2"/>
  <c r="R382" i="2" s="1"/>
  <c r="U382" i="2" s="1"/>
  <c r="Q378" i="2"/>
  <c r="R378" i="2" s="1"/>
  <c r="U378" i="2" s="1"/>
  <c r="Q374" i="2"/>
  <c r="R374" i="2" s="1"/>
  <c r="U374" i="2" s="1"/>
  <c r="Q370" i="2"/>
  <c r="R370" i="2" s="1"/>
  <c r="U370" i="2" s="1"/>
  <c r="Q366" i="2"/>
  <c r="R366" i="2" s="1"/>
  <c r="U366" i="2" s="1"/>
  <c r="Q362" i="2"/>
  <c r="R362" i="2" s="1"/>
  <c r="U362" i="2" s="1"/>
  <c r="Q358" i="2"/>
  <c r="R358" i="2" s="1"/>
  <c r="U358" i="2" s="1"/>
  <c r="Q354" i="2"/>
  <c r="R354" i="2" s="1"/>
  <c r="U354" i="2" s="1"/>
  <c r="Q350" i="2"/>
  <c r="R350" i="2" s="1"/>
  <c r="U350" i="2" s="1"/>
  <c r="Q346" i="2"/>
  <c r="R346" i="2" s="1"/>
  <c r="U346" i="2" s="1"/>
  <c r="Q342" i="2"/>
  <c r="R342" i="2" s="1"/>
  <c r="U342" i="2" s="1"/>
  <c r="Q338" i="2"/>
  <c r="R338" i="2" s="1"/>
  <c r="U338" i="2" s="1"/>
  <c r="Q334" i="2"/>
  <c r="R334" i="2" s="1"/>
  <c r="U334" i="2" s="1"/>
  <c r="Q330" i="2"/>
  <c r="R330" i="2" s="1"/>
  <c r="U330" i="2" s="1"/>
  <c r="Q326" i="2"/>
  <c r="R326" i="2" s="1"/>
  <c r="U326" i="2" s="1"/>
  <c r="Q322" i="2"/>
  <c r="R322" i="2" s="1"/>
  <c r="U322" i="2" s="1"/>
  <c r="Q318" i="2"/>
  <c r="R318" i="2" s="1"/>
  <c r="U318" i="2" s="1"/>
  <c r="Q314" i="2"/>
  <c r="R314" i="2" s="1"/>
  <c r="U314" i="2" s="1"/>
  <c r="Q310" i="2"/>
  <c r="R310" i="2" s="1"/>
  <c r="U310" i="2" s="1"/>
  <c r="Q306" i="2"/>
  <c r="R306" i="2" s="1"/>
  <c r="U306" i="2" s="1"/>
  <c r="Q302" i="2"/>
  <c r="R302" i="2" s="1"/>
  <c r="U302" i="2" s="1"/>
  <c r="Q298" i="2"/>
  <c r="R298" i="2" s="1"/>
  <c r="U298" i="2" s="1"/>
  <c r="Q294" i="2"/>
  <c r="R294" i="2" s="1"/>
  <c r="U294" i="2" s="1"/>
  <c r="Q290" i="2"/>
  <c r="R290" i="2" s="1"/>
  <c r="U290" i="2" s="1"/>
  <c r="Q286" i="2"/>
  <c r="R286" i="2" s="1"/>
  <c r="U286" i="2" s="1"/>
  <c r="Q282" i="2"/>
  <c r="R282" i="2" s="1"/>
  <c r="U282" i="2" s="1"/>
  <c r="Q278" i="2"/>
  <c r="R278" i="2" s="1"/>
  <c r="U278" i="2" s="1"/>
  <c r="Q274" i="2"/>
  <c r="R274" i="2" s="1"/>
  <c r="U274" i="2" s="1"/>
  <c r="Q270" i="2"/>
  <c r="R270" i="2" s="1"/>
  <c r="U270" i="2" s="1"/>
  <c r="Q266" i="2"/>
  <c r="R266" i="2" s="1"/>
  <c r="U266" i="2" s="1"/>
  <c r="Q262" i="2"/>
  <c r="R262" i="2" s="1"/>
  <c r="U262" i="2" s="1"/>
  <c r="Q258" i="2"/>
  <c r="R258" i="2" s="1"/>
  <c r="U258" i="2" s="1"/>
  <c r="Q254" i="2"/>
  <c r="R254" i="2" s="1"/>
  <c r="U254" i="2" s="1"/>
  <c r="Q250" i="2"/>
  <c r="R250" i="2" s="1"/>
  <c r="U250" i="2" s="1"/>
  <c r="Q246" i="2"/>
  <c r="R246" i="2" s="1"/>
  <c r="U246" i="2" s="1"/>
  <c r="Q242" i="2"/>
  <c r="R242" i="2" s="1"/>
  <c r="U242" i="2" s="1"/>
  <c r="Q238" i="2"/>
  <c r="R238" i="2" s="1"/>
  <c r="U238" i="2" s="1"/>
  <c r="Q234" i="2"/>
  <c r="R234" i="2" s="1"/>
  <c r="U234" i="2" s="1"/>
  <c r="Q230" i="2"/>
  <c r="R230" i="2" s="1"/>
  <c r="U230" i="2" s="1"/>
  <c r="Q226" i="2"/>
  <c r="R226" i="2" s="1"/>
  <c r="U226" i="2" s="1"/>
  <c r="Q222" i="2"/>
  <c r="R222" i="2" s="1"/>
  <c r="U222" i="2" s="1"/>
  <c r="Q218" i="2"/>
  <c r="R218" i="2" s="1"/>
  <c r="U218" i="2" s="1"/>
  <c r="Q214" i="2"/>
  <c r="R214" i="2" s="1"/>
  <c r="U214" i="2" s="1"/>
  <c r="Q210" i="2"/>
  <c r="R210" i="2" s="1"/>
  <c r="U210" i="2" s="1"/>
  <c r="Q206" i="2"/>
  <c r="R206" i="2" s="1"/>
  <c r="U206" i="2" s="1"/>
  <c r="Q202" i="2"/>
  <c r="R202" i="2" s="1"/>
  <c r="U202" i="2" s="1"/>
  <c r="Q198" i="2"/>
  <c r="R198" i="2" s="1"/>
  <c r="U198" i="2" s="1"/>
  <c r="Q194" i="2"/>
  <c r="R194" i="2" s="1"/>
  <c r="U194" i="2" s="1"/>
  <c r="Q190" i="2"/>
  <c r="R190" i="2" s="1"/>
  <c r="U190" i="2" s="1"/>
  <c r="Q186" i="2"/>
  <c r="R186" i="2" s="1"/>
  <c r="U186" i="2" s="1"/>
  <c r="Q182" i="2"/>
  <c r="R182" i="2" s="1"/>
  <c r="U182" i="2" s="1"/>
  <c r="Q178" i="2"/>
  <c r="R178" i="2" s="1"/>
  <c r="U178" i="2" s="1"/>
  <c r="Q174" i="2"/>
  <c r="R174" i="2" s="1"/>
  <c r="U174" i="2" s="1"/>
  <c r="Q170" i="2"/>
  <c r="R170" i="2" s="1"/>
  <c r="U170" i="2" s="1"/>
  <c r="Q166" i="2"/>
  <c r="R166" i="2" s="1"/>
  <c r="U166" i="2" s="1"/>
  <c r="Q162" i="2"/>
  <c r="R162" i="2" s="1"/>
  <c r="U162" i="2" s="1"/>
  <c r="Q158" i="2"/>
  <c r="R158" i="2" s="1"/>
  <c r="U158" i="2" s="1"/>
  <c r="Q154" i="2"/>
  <c r="R154" i="2" s="1"/>
  <c r="U154" i="2" s="1"/>
  <c r="Q150" i="2"/>
  <c r="R150" i="2" s="1"/>
  <c r="U150" i="2" s="1"/>
  <c r="Q146" i="2"/>
  <c r="R146" i="2" s="1"/>
  <c r="U146" i="2" s="1"/>
  <c r="Q142" i="2"/>
  <c r="R142" i="2" s="1"/>
  <c r="U142" i="2" s="1"/>
  <c r="Q138" i="2"/>
  <c r="R138" i="2" s="1"/>
  <c r="U138" i="2" s="1"/>
  <c r="Q134" i="2"/>
  <c r="R134" i="2" s="1"/>
  <c r="U134" i="2" s="1"/>
  <c r="Q130" i="2"/>
  <c r="R130" i="2" s="1"/>
  <c r="U130" i="2" s="1"/>
  <c r="Q126" i="2"/>
  <c r="R126" i="2" s="1"/>
  <c r="U126" i="2" s="1"/>
  <c r="Q122" i="2"/>
  <c r="R122" i="2" s="1"/>
  <c r="U122" i="2" s="1"/>
  <c r="Q118" i="2"/>
  <c r="R118" i="2" s="1"/>
  <c r="U118" i="2" s="1"/>
  <c r="Q114" i="2"/>
  <c r="R114" i="2" s="1"/>
  <c r="U114" i="2" s="1"/>
  <c r="Q110" i="2"/>
  <c r="R110" i="2" s="1"/>
  <c r="U110" i="2" s="1"/>
  <c r="Q106" i="2"/>
  <c r="R106" i="2" s="1"/>
  <c r="U106" i="2" s="1"/>
  <c r="Q102" i="2"/>
  <c r="R102" i="2" s="1"/>
  <c r="U102" i="2" s="1"/>
  <c r="Q98" i="2"/>
  <c r="R98" i="2" s="1"/>
  <c r="U98" i="2" s="1"/>
  <c r="Q94" i="2"/>
  <c r="R94" i="2" s="1"/>
  <c r="U94" i="2" s="1"/>
  <c r="Q90" i="2"/>
  <c r="R90" i="2" s="1"/>
  <c r="U90" i="2" s="1"/>
  <c r="Q86" i="2"/>
  <c r="R86" i="2" s="1"/>
  <c r="U86" i="2" s="1"/>
  <c r="Q424" i="2"/>
  <c r="R424" i="2" s="1"/>
  <c r="U424" i="2" s="1"/>
  <c r="Q420" i="2"/>
  <c r="R420" i="2" s="1"/>
  <c r="U420" i="2" s="1"/>
  <c r="Q416" i="2"/>
  <c r="R416" i="2" s="1"/>
  <c r="U416" i="2" s="1"/>
  <c r="Q412" i="2"/>
  <c r="R412" i="2" s="1"/>
  <c r="U412" i="2" s="1"/>
  <c r="Q408" i="2"/>
  <c r="R408" i="2" s="1"/>
  <c r="U408" i="2" s="1"/>
  <c r="Q404" i="2"/>
  <c r="R404" i="2" s="1"/>
  <c r="U404" i="2" s="1"/>
  <c r="Q400" i="2"/>
  <c r="R400" i="2" s="1"/>
  <c r="U400" i="2" s="1"/>
  <c r="Q396" i="2"/>
  <c r="R396" i="2" s="1"/>
  <c r="U396" i="2" s="1"/>
  <c r="Q392" i="2"/>
  <c r="R392" i="2" s="1"/>
  <c r="U392" i="2" s="1"/>
  <c r="Q388" i="2"/>
  <c r="R388" i="2" s="1"/>
  <c r="U388" i="2" s="1"/>
  <c r="Q384" i="2"/>
  <c r="R384" i="2" s="1"/>
  <c r="U384" i="2" s="1"/>
  <c r="Q380" i="2"/>
  <c r="R380" i="2" s="1"/>
  <c r="U380" i="2" s="1"/>
  <c r="Q376" i="2"/>
  <c r="R376" i="2" s="1"/>
  <c r="U376" i="2" s="1"/>
  <c r="Q372" i="2"/>
  <c r="R372" i="2" s="1"/>
  <c r="U372" i="2" s="1"/>
  <c r="Q368" i="2"/>
  <c r="R368" i="2" s="1"/>
  <c r="U368" i="2" s="1"/>
  <c r="Q364" i="2"/>
  <c r="R364" i="2" s="1"/>
  <c r="U364" i="2" s="1"/>
  <c r="Q360" i="2"/>
  <c r="R360" i="2" s="1"/>
  <c r="U360" i="2" s="1"/>
  <c r="Q356" i="2"/>
  <c r="R356" i="2" s="1"/>
  <c r="U356" i="2" s="1"/>
  <c r="Q352" i="2"/>
  <c r="R352" i="2" s="1"/>
  <c r="U352" i="2" s="1"/>
  <c r="Q348" i="2"/>
  <c r="R348" i="2" s="1"/>
  <c r="U348" i="2" s="1"/>
  <c r="Q344" i="2"/>
  <c r="R344" i="2" s="1"/>
  <c r="U344" i="2" s="1"/>
  <c r="Q340" i="2"/>
  <c r="R340" i="2" s="1"/>
  <c r="U340" i="2" s="1"/>
  <c r="Q336" i="2"/>
  <c r="R336" i="2" s="1"/>
  <c r="U336" i="2" s="1"/>
  <c r="Q332" i="2"/>
  <c r="R332" i="2" s="1"/>
  <c r="U332" i="2" s="1"/>
  <c r="Q328" i="2"/>
  <c r="R328" i="2" s="1"/>
  <c r="U328" i="2" s="1"/>
  <c r="Q324" i="2"/>
  <c r="R324" i="2" s="1"/>
  <c r="U324" i="2" s="1"/>
  <c r="Q320" i="2"/>
  <c r="R320" i="2" s="1"/>
  <c r="U320" i="2" s="1"/>
  <c r="Q316" i="2"/>
  <c r="R316" i="2" s="1"/>
  <c r="U316" i="2" s="1"/>
  <c r="Q312" i="2"/>
  <c r="R312" i="2" s="1"/>
  <c r="U312" i="2" s="1"/>
  <c r="Q308" i="2"/>
  <c r="R308" i="2" s="1"/>
  <c r="U308" i="2" s="1"/>
  <c r="Q304" i="2"/>
  <c r="R304" i="2" s="1"/>
  <c r="U304" i="2" s="1"/>
  <c r="Q300" i="2"/>
  <c r="R300" i="2" s="1"/>
  <c r="Q296" i="2"/>
  <c r="R296" i="2" s="1"/>
  <c r="U296" i="2" s="1"/>
  <c r="Q292" i="2"/>
  <c r="R292" i="2" s="1"/>
  <c r="U292" i="2" s="1"/>
  <c r="Q288" i="2"/>
  <c r="R288" i="2" s="1"/>
  <c r="U288" i="2" s="1"/>
  <c r="Q284" i="2"/>
  <c r="R284" i="2" s="1"/>
  <c r="U284" i="2" s="1"/>
  <c r="Q280" i="2"/>
  <c r="R280" i="2" s="1"/>
  <c r="U280" i="2" s="1"/>
  <c r="Q276" i="2"/>
  <c r="R276" i="2" s="1"/>
  <c r="U276" i="2" s="1"/>
  <c r="Q272" i="2"/>
  <c r="R272" i="2" s="1"/>
  <c r="U272" i="2" s="1"/>
  <c r="Q268" i="2"/>
  <c r="R268" i="2" s="1"/>
  <c r="U268" i="2" s="1"/>
  <c r="Q264" i="2"/>
  <c r="R264" i="2" s="1"/>
  <c r="U264" i="2" s="1"/>
  <c r="Q260" i="2"/>
  <c r="R260" i="2" s="1"/>
  <c r="U260" i="2" s="1"/>
  <c r="Q256" i="2"/>
  <c r="R256" i="2" s="1"/>
  <c r="U256" i="2" s="1"/>
  <c r="Q252" i="2"/>
  <c r="R252" i="2" s="1"/>
  <c r="U252" i="2" s="1"/>
  <c r="Q248" i="2"/>
  <c r="R248" i="2" s="1"/>
  <c r="U248" i="2" s="1"/>
  <c r="Q244" i="2"/>
  <c r="R244" i="2" s="1"/>
  <c r="U244" i="2" s="1"/>
  <c r="Q240" i="2"/>
  <c r="R240" i="2" s="1"/>
  <c r="U240" i="2" s="1"/>
  <c r="Q236" i="2"/>
  <c r="R236" i="2" s="1"/>
  <c r="U236" i="2" s="1"/>
  <c r="Q232" i="2"/>
  <c r="R232" i="2" s="1"/>
  <c r="U232" i="2" s="1"/>
  <c r="Q228" i="2"/>
  <c r="R228" i="2" s="1"/>
  <c r="U228" i="2" s="1"/>
  <c r="Q224" i="2"/>
  <c r="R224" i="2" s="1"/>
  <c r="U224" i="2" s="1"/>
  <c r="Q220" i="2"/>
  <c r="R220" i="2" s="1"/>
  <c r="U220" i="2" s="1"/>
  <c r="Q216" i="2"/>
  <c r="R216" i="2" s="1"/>
  <c r="U216" i="2" s="1"/>
  <c r="Q212" i="2"/>
  <c r="R212" i="2" s="1"/>
  <c r="U212" i="2" s="1"/>
  <c r="Q208" i="2"/>
  <c r="R208" i="2" s="1"/>
  <c r="U208" i="2" s="1"/>
  <c r="Q204" i="2"/>
  <c r="R204" i="2" s="1"/>
  <c r="U204" i="2" s="1"/>
  <c r="Q200" i="2"/>
  <c r="R200" i="2" s="1"/>
  <c r="U200" i="2" s="1"/>
  <c r="Q196" i="2"/>
  <c r="R196" i="2" s="1"/>
  <c r="U196" i="2" s="1"/>
  <c r="Q192" i="2"/>
  <c r="R192" i="2" s="1"/>
  <c r="U192" i="2" s="1"/>
  <c r="Q188" i="2"/>
  <c r="R188" i="2" s="1"/>
  <c r="U188" i="2" s="1"/>
  <c r="Q184" i="2"/>
  <c r="R184" i="2" s="1"/>
  <c r="U184" i="2" s="1"/>
  <c r="Q180" i="2"/>
  <c r="R180" i="2" s="1"/>
  <c r="U180" i="2" s="1"/>
  <c r="Q176" i="2"/>
  <c r="R176" i="2" s="1"/>
  <c r="U176" i="2" s="1"/>
  <c r="Q172" i="2"/>
  <c r="R172" i="2" s="1"/>
  <c r="U172" i="2" s="1"/>
  <c r="Q168" i="2"/>
  <c r="R168" i="2" s="1"/>
  <c r="U168" i="2" s="1"/>
  <c r="Q164" i="2"/>
  <c r="R164" i="2" s="1"/>
  <c r="U164" i="2" s="1"/>
  <c r="Q160" i="2"/>
  <c r="R160" i="2" s="1"/>
  <c r="U160" i="2" s="1"/>
  <c r="Q156" i="2"/>
  <c r="R156" i="2" s="1"/>
  <c r="U156" i="2" s="1"/>
  <c r="Q152" i="2"/>
  <c r="R152" i="2" s="1"/>
  <c r="U152" i="2" s="1"/>
  <c r="Q148" i="2"/>
  <c r="R148" i="2" s="1"/>
  <c r="U148" i="2" s="1"/>
  <c r="Q144" i="2"/>
  <c r="R144" i="2" s="1"/>
  <c r="U144" i="2" s="1"/>
  <c r="Q140" i="2"/>
  <c r="R140" i="2" s="1"/>
  <c r="U140" i="2" s="1"/>
  <c r="Q136" i="2"/>
  <c r="R136" i="2" s="1"/>
  <c r="U136" i="2" s="1"/>
  <c r="Q132" i="2"/>
  <c r="R132" i="2" s="1"/>
  <c r="U132" i="2" s="1"/>
  <c r="Q128" i="2"/>
  <c r="R128" i="2" s="1"/>
  <c r="U128" i="2" s="1"/>
  <c r="Q124" i="2"/>
  <c r="R124" i="2" s="1"/>
  <c r="U124" i="2" s="1"/>
  <c r="Q120" i="2"/>
  <c r="R120" i="2" s="1"/>
  <c r="U120" i="2" s="1"/>
  <c r="Q116" i="2"/>
  <c r="R116" i="2" s="1"/>
  <c r="U116" i="2" s="1"/>
  <c r="Q112" i="2"/>
  <c r="R112" i="2" s="1"/>
  <c r="U112" i="2" s="1"/>
  <c r="Q108" i="2"/>
  <c r="R108" i="2" s="1"/>
  <c r="U108" i="2" s="1"/>
  <c r="Q104" i="2"/>
  <c r="R104" i="2" s="1"/>
  <c r="U104" i="2" s="1"/>
  <c r="Q100" i="2"/>
  <c r="R100" i="2" s="1"/>
  <c r="U100" i="2" s="1"/>
  <c r="Q96" i="2"/>
  <c r="R96" i="2" s="1"/>
  <c r="U96" i="2" s="1"/>
  <c r="Q92" i="2"/>
  <c r="R92" i="2" s="1"/>
  <c r="U92" i="2" s="1"/>
  <c r="Q88" i="2"/>
  <c r="R88" i="2" s="1"/>
  <c r="U88" i="2" s="1"/>
  <c r="Q423" i="2"/>
  <c r="R423" i="2" s="1"/>
  <c r="U423" i="2" s="1"/>
  <c r="Q419" i="2"/>
  <c r="R419" i="2" s="1"/>
  <c r="T419" i="2" s="1"/>
  <c r="Q415" i="2"/>
  <c r="R415" i="2" s="1"/>
  <c r="T415" i="2" s="1"/>
  <c r="Q411" i="2"/>
  <c r="R411" i="2" s="1"/>
  <c r="Q407" i="2"/>
  <c r="R407" i="2" s="1"/>
  <c r="U407" i="2" s="1"/>
  <c r="Q403" i="2"/>
  <c r="R403" i="2" s="1"/>
  <c r="T403" i="2" s="1"/>
  <c r="Q399" i="2"/>
  <c r="R399" i="2" s="1"/>
  <c r="Q395" i="2"/>
  <c r="R395" i="2" s="1"/>
  <c r="Q391" i="2"/>
  <c r="R391" i="2" s="1"/>
  <c r="U391" i="2" s="1"/>
  <c r="Q387" i="2"/>
  <c r="R387" i="2" s="1"/>
  <c r="T387" i="2" s="1"/>
  <c r="Q383" i="2"/>
  <c r="R383" i="2" s="1"/>
  <c r="Q379" i="2"/>
  <c r="R379" i="2" s="1"/>
  <c r="Q375" i="2"/>
  <c r="R375" i="2" s="1"/>
  <c r="U375" i="2" s="1"/>
  <c r="Q371" i="2"/>
  <c r="R371" i="2" s="1"/>
  <c r="T371" i="2" s="1"/>
  <c r="Q367" i="2"/>
  <c r="R367" i="2" s="1"/>
  <c r="S367" i="2" s="1"/>
  <c r="Q363" i="2"/>
  <c r="R363" i="2" s="1"/>
  <c r="Q359" i="2"/>
  <c r="R359" i="2" s="1"/>
  <c r="U359" i="2" s="1"/>
  <c r="Q355" i="2"/>
  <c r="R355" i="2" s="1"/>
  <c r="T355" i="2" s="1"/>
  <c r="Q351" i="2"/>
  <c r="R351" i="2" s="1"/>
  <c r="T351" i="2" s="1"/>
  <c r="Q347" i="2"/>
  <c r="R347" i="2" s="1"/>
  <c r="Q343" i="2"/>
  <c r="R343" i="2" s="1"/>
  <c r="U343" i="2" s="1"/>
  <c r="Q339" i="2"/>
  <c r="R339" i="2" s="1"/>
  <c r="T339" i="2" s="1"/>
  <c r="Q335" i="2"/>
  <c r="R335" i="2" s="1"/>
  <c r="Q331" i="2"/>
  <c r="R331" i="2" s="1"/>
  <c r="Q327" i="2"/>
  <c r="R327" i="2" s="1"/>
  <c r="U327" i="2" s="1"/>
  <c r="Q323" i="2"/>
  <c r="R323" i="2" s="1"/>
  <c r="T323" i="2" s="1"/>
  <c r="Q319" i="2"/>
  <c r="R319" i="2" s="1"/>
  <c r="Q315" i="2"/>
  <c r="R315" i="2" s="1"/>
  <c r="Q311" i="2"/>
  <c r="R311" i="2" s="1"/>
  <c r="U311" i="2" s="1"/>
  <c r="Q307" i="2"/>
  <c r="R307" i="2" s="1"/>
  <c r="T307" i="2" s="1"/>
  <c r="Q303" i="2"/>
  <c r="R303" i="2" s="1"/>
  <c r="S303" i="2" s="1"/>
  <c r="Q299" i="2"/>
  <c r="R299" i="2" s="1"/>
  <c r="Q295" i="2"/>
  <c r="R295" i="2" s="1"/>
  <c r="U295" i="2" s="1"/>
  <c r="Q291" i="2"/>
  <c r="R291" i="2" s="1"/>
  <c r="T291" i="2" s="1"/>
  <c r="Q287" i="2"/>
  <c r="R287" i="2" s="1"/>
  <c r="T287" i="2" s="1"/>
  <c r="Q283" i="2"/>
  <c r="R283" i="2" s="1"/>
  <c r="Q279" i="2"/>
  <c r="R279" i="2" s="1"/>
  <c r="U279" i="2" s="1"/>
  <c r="Q275" i="2"/>
  <c r="R275" i="2" s="1"/>
  <c r="T275" i="2" s="1"/>
  <c r="Q271" i="2"/>
  <c r="R271" i="2" s="1"/>
  <c r="Q267" i="2"/>
  <c r="R267" i="2" s="1"/>
  <c r="Q263" i="2"/>
  <c r="R263" i="2" s="1"/>
  <c r="U263" i="2" s="1"/>
  <c r="Q259" i="2"/>
  <c r="R259" i="2" s="1"/>
  <c r="T259" i="2" s="1"/>
  <c r="Q255" i="2"/>
  <c r="R255" i="2" s="1"/>
  <c r="Q251" i="2"/>
  <c r="R251" i="2" s="1"/>
  <c r="Q247" i="2"/>
  <c r="R247" i="2" s="1"/>
  <c r="U247" i="2" s="1"/>
  <c r="Q243" i="2"/>
  <c r="R243" i="2" s="1"/>
  <c r="T243" i="2" s="1"/>
  <c r="Q239" i="2"/>
  <c r="R239" i="2" s="1"/>
  <c r="S239" i="2" s="1"/>
  <c r="Q235" i="2"/>
  <c r="R235" i="2" s="1"/>
  <c r="Q231" i="2"/>
  <c r="R231" i="2" s="1"/>
  <c r="U231" i="2" s="1"/>
  <c r="Q227" i="2"/>
  <c r="R227" i="2" s="1"/>
  <c r="T227" i="2" s="1"/>
  <c r="Q223" i="2"/>
  <c r="R223" i="2" s="1"/>
  <c r="T223" i="2" s="1"/>
  <c r="Q219" i="2"/>
  <c r="R219" i="2" s="1"/>
  <c r="Q215" i="2"/>
  <c r="R215" i="2" s="1"/>
  <c r="U215" i="2" s="1"/>
  <c r="Q211" i="2"/>
  <c r="R211" i="2" s="1"/>
  <c r="T211" i="2" s="1"/>
  <c r="Q207" i="2"/>
  <c r="R207" i="2" s="1"/>
  <c r="Q203" i="2"/>
  <c r="R203" i="2" s="1"/>
  <c r="Q199" i="2"/>
  <c r="R199" i="2" s="1"/>
  <c r="U199" i="2" s="1"/>
  <c r="Q195" i="2"/>
  <c r="R195" i="2" s="1"/>
  <c r="T195" i="2" s="1"/>
  <c r="Q191" i="2"/>
  <c r="R191" i="2" s="1"/>
  <c r="Q187" i="2"/>
  <c r="R187" i="2" s="1"/>
  <c r="Q183" i="2"/>
  <c r="R183" i="2" s="1"/>
  <c r="U183" i="2" s="1"/>
  <c r="Q179" i="2"/>
  <c r="R179" i="2" s="1"/>
  <c r="T179" i="2" s="1"/>
  <c r="Q175" i="2"/>
  <c r="R175" i="2" s="1"/>
  <c r="S175" i="2" s="1"/>
  <c r="Q171" i="2"/>
  <c r="R171" i="2" s="1"/>
  <c r="Q167" i="2"/>
  <c r="R167" i="2" s="1"/>
  <c r="U167" i="2" s="1"/>
  <c r="Q163" i="2"/>
  <c r="R163" i="2" s="1"/>
  <c r="T163" i="2" s="1"/>
  <c r="Q159" i="2"/>
  <c r="R159" i="2" s="1"/>
  <c r="T159" i="2" s="1"/>
  <c r="Q155" i="2"/>
  <c r="R155" i="2" s="1"/>
  <c r="Q151" i="2"/>
  <c r="R151" i="2" s="1"/>
  <c r="U151" i="2" s="1"/>
  <c r="Q147" i="2"/>
  <c r="R147" i="2" s="1"/>
  <c r="T147" i="2" s="1"/>
  <c r="Q143" i="2"/>
  <c r="R143" i="2" s="1"/>
  <c r="Q139" i="2"/>
  <c r="R139" i="2" s="1"/>
  <c r="Q135" i="2"/>
  <c r="R135" i="2" s="1"/>
  <c r="U135" i="2" s="1"/>
  <c r="Q131" i="2"/>
  <c r="R131" i="2" s="1"/>
  <c r="T131" i="2" s="1"/>
  <c r="Q127" i="2"/>
  <c r="R127" i="2" s="1"/>
  <c r="Q123" i="2"/>
  <c r="R123" i="2" s="1"/>
  <c r="Q119" i="2"/>
  <c r="R119" i="2" s="1"/>
  <c r="U119" i="2" s="1"/>
  <c r="Q115" i="2"/>
  <c r="R115" i="2" s="1"/>
  <c r="T115" i="2" s="1"/>
  <c r="Q111" i="2"/>
  <c r="R111" i="2" s="1"/>
  <c r="S111" i="2" s="1"/>
  <c r="Q107" i="2"/>
  <c r="R107" i="2" s="1"/>
  <c r="Q103" i="2"/>
  <c r="R103" i="2" s="1"/>
  <c r="U103" i="2" s="1"/>
  <c r="Q99" i="2"/>
  <c r="R99" i="2" s="1"/>
  <c r="T99" i="2" s="1"/>
  <c r="Q95" i="2"/>
  <c r="R95" i="2" s="1"/>
  <c r="T95" i="2" s="1"/>
  <c r="Q91" i="2"/>
  <c r="R91" i="2" s="1"/>
  <c r="Q87" i="2"/>
  <c r="R87" i="2" s="1"/>
  <c r="U87" i="2" s="1"/>
  <c r="Q82" i="2"/>
  <c r="R82" i="2" s="1"/>
  <c r="U82" i="2" s="1"/>
  <c r="Q83" i="2"/>
  <c r="R83" i="2" s="1"/>
  <c r="T83" i="2" s="1"/>
  <c r="Q84" i="2"/>
  <c r="R84" i="2" s="1"/>
  <c r="U84" i="2" s="1"/>
  <c r="Q80" i="2"/>
  <c r="R80" i="2" s="1"/>
  <c r="U80" i="2" s="1"/>
  <c r="Q76" i="2"/>
  <c r="R76" i="2" s="1"/>
  <c r="U76" i="2" s="1"/>
  <c r="Q85" i="2"/>
  <c r="R85" i="2" s="1"/>
  <c r="U85" i="2" s="1"/>
  <c r="Q81" i="2"/>
  <c r="R81" i="2" s="1"/>
  <c r="U81" i="2" s="1"/>
  <c r="O49" i="2"/>
  <c r="Q49" i="2" s="1"/>
  <c r="R49" i="2" s="1"/>
  <c r="U49" i="2" s="1"/>
  <c r="O58" i="2"/>
  <c r="Q58" i="2" s="1"/>
  <c r="R58" i="2" s="1"/>
  <c r="U58" i="2" s="1"/>
  <c r="O30" i="2"/>
  <c r="Q30" i="2" s="1"/>
  <c r="R30" i="2" s="1"/>
  <c r="T30" i="2" s="1"/>
  <c r="O26" i="2"/>
  <c r="Q26" i="2" s="1"/>
  <c r="R26" i="2" s="1"/>
  <c r="O22" i="2"/>
  <c r="Q22" i="2" s="1"/>
  <c r="R22" i="2" s="1"/>
  <c r="O50" i="2"/>
  <c r="Q50" i="2" s="1"/>
  <c r="R50" i="2" s="1"/>
  <c r="O46" i="2"/>
  <c r="Q46" i="2" s="1"/>
  <c r="R46" i="2" s="1"/>
  <c r="U46" i="2" s="1"/>
  <c r="O48" i="2"/>
  <c r="Q48" i="2" s="1"/>
  <c r="R48" i="2" s="1"/>
  <c r="O39" i="2"/>
  <c r="Q39" i="2" s="1"/>
  <c r="R39" i="2" s="1"/>
  <c r="U39" i="2" s="1"/>
  <c r="O31" i="2"/>
  <c r="Q31" i="2" s="1"/>
  <c r="R31" i="2" s="1"/>
  <c r="T31" i="2" s="1"/>
  <c r="O27" i="2"/>
  <c r="Q27" i="2" s="1"/>
  <c r="R27" i="2" s="1"/>
  <c r="O23" i="2"/>
  <c r="Q23" i="2" s="1"/>
  <c r="R23" i="2" s="1"/>
  <c r="O47" i="2"/>
  <c r="Q47" i="2" s="1"/>
  <c r="R47" i="2" s="1"/>
  <c r="S47" i="2" s="1"/>
  <c r="O40" i="2"/>
  <c r="Q40" i="2" s="1"/>
  <c r="R40" i="2" s="1"/>
  <c r="U40" i="2" s="1"/>
  <c r="O45" i="2"/>
  <c r="Q45" i="2" s="1"/>
  <c r="R45" i="2" s="1"/>
  <c r="U45" i="2" s="1"/>
  <c r="O35" i="2"/>
  <c r="Q35" i="2" s="1"/>
  <c r="R35" i="2" s="1"/>
  <c r="O43" i="2"/>
  <c r="Q43" i="2" s="1"/>
  <c r="R43" i="2" s="1"/>
  <c r="O44" i="2"/>
  <c r="Q44" i="2" s="1"/>
  <c r="R44" i="2" s="1"/>
  <c r="O38" i="2"/>
  <c r="Q38" i="2" s="1"/>
  <c r="R38" i="2" s="1"/>
  <c r="O32" i="2"/>
  <c r="Q32" i="2" s="1"/>
  <c r="R32" i="2" s="1"/>
  <c r="U32" i="2" s="1"/>
  <c r="O28" i="2"/>
  <c r="Q28" i="2" s="1"/>
  <c r="R28" i="2" s="1"/>
  <c r="T28" i="2" s="1"/>
  <c r="O24" i="2"/>
  <c r="Q24" i="2" s="1"/>
  <c r="R24" i="2" s="1"/>
  <c r="O20" i="2"/>
  <c r="Q20" i="2" s="1"/>
  <c r="R20" i="2" s="1"/>
  <c r="U20" i="2" s="1"/>
  <c r="O41" i="2"/>
  <c r="Q41" i="2" s="1"/>
  <c r="R41" i="2" s="1"/>
  <c r="U41" i="2" s="1"/>
  <c r="O36" i="2"/>
  <c r="Q36" i="2" s="1"/>
  <c r="R36" i="2" s="1"/>
  <c r="O19" i="2"/>
  <c r="Q19" i="2" s="1"/>
  <c r="R19" i="2" s="1"/>
  <c r="O33" i="2"/>
  <c r="Q33" i="2" s="1"/>
  <c r="R33" i="2" s="1"/>
  <c r="T33" i="2" s="1"/>
  <c r="O29" i="2"/>
  <c r="Q29" i="2" s="1"/>
  <c r="R29" i="2" s="1"/>
  <c r="O25" i="2"/>
  <c r="Q25" i="2" s="1"/>
  <c r="R25" i="2" s="1"/>
  <c r="O21" i="2"/>
  <c r="Q21" i="2" s="1"/>
  <c r="R21" i="2" s="1"/>
  <c r="O42" i="2"/>
  <c r="Q42" i="2" s="1"/>
  <c r="R42" i="2" s="1"/>
  <c r="U42" i="2" s="1"/>
  <c r="O37" i="2"/>
  <c r="Q37" i="2" s="1"/>
  <c r="R37" i="2" s="1"/>
  <c r="T37" i="2" s="1"/>
  <c r="Q15" i="2"/>
  <c r="R15" i="2" s="1"/>
  <c r="U15" i="2" s="1"/>
  <c r="Q11" i="2"/>
  <c r="R11" i="2" s="1"/>
  <c r="T11" i="2" s="1"/>
  <c r="Q56" i="2"/>
  <c r="R56" i="2" s="1"/>
  <c r="U56" i="2" s="1"/>
  <c r="Q52" i="2"/>
  <c r="R52" i="2" s="1"/>
  <c r="U52" i="2" s="1"/>
  <c r="Q57" i="2"/>
  <c r="R57" i="2" s="1"/>
  <c r="U57" i="2" s="1"/>
  <c r="Q53" i="2"/>
  <c r="R53" i="2" s="1"/>
  <c r="U53" i="2" s="1"/>
  <c r="Q54" i="2"/>
  <c r="R54" i="2" s="1"/>
  <c r="U54" i="2" s="1"/>
  <c r="Q16" i="2"/>
  <c r="R16" i="2" s="1"/>
  <c r="T16" i="2" s="1"/>
  <c r="Q12" i="2"/>
  <c r="R12" i="2" s="1"/>
  <c r="T12" i="2" s="1"/>
  <c r="Q55" i="2"/>
  <c r="R55" i="2" s="1"/>
  <c r="U55" i="2" s="1"/>
  <c r="Q51" i="2"/>
  <c r="R51" i="2" s="1"/>
  <c r="T51" i="2" s="1"/>
  <c r="R980" i="2"/>
  <c r="U980" i="2" s="1"/>
  <c r="R852" i="2"/>
  <c r="U852" i="2" s="1"/>
  <c r="R804" i="2"/>
  <c r="U804" i="2" s="1"/>
  <c r="R774" i="2"/>
  <c r="U774" i="2" s="1"/>
  <c r="R746" i="2"/>
  <c r="U746" i="2" s="1"/>
  <c r="R654" i="2"/>
  <c r="U654" i="2" s="1"/>
  <c r="R602" i="2"/>
  <c r="U602" i="2" s="1"/>
  <c r="R474" i="2"/>
  <c r="U474" i="2" s="1"/>
  <c r="R426" i="2"/>
  <c r="U426" i="2" s="1"/>
  <c r="Q17" i="2"/>
  <c r="R17" i="2" s="1"/>
  <c r="T17" i="2" s="1"/>
  <c r="Q13" i="2"/>
  <c r="R13" i="2" s="1"/>
  <c r="U13" i="2" s="1"/>
  <c r="Q18" i="2"/>
  <c r="R18" i="2" s="1"/>
  <c r="S18" i="2" s="1"/>
  <c r="Q14" i="2"/>
  <c r="R14" i="2" s="1"/>
  <c r="Q34" i="2"/>
  <c r="R34" i="2" s="1"/>
  <c r="R979" i="2"/>
  <c r="T979" i="2" s="1"/>
  <c r="R963" i="2"/>
  <c r="T963" i="2" s="1"/>
  <c r="R835" i="2"/>
  <c r="T835" i="2" s="1"/>
  <c r="R787" i="2"/>
  <c r="T787" i="2" s="1"/>
  <c r="R933" i="2"/>
  <c r="U933" i="2" s="1"/>
  <c r="R877" i="2"/>
  <c r="U877" i="2" s="1"/>
  <c r="R813" i="2"/>
  <c r="U813" i="2" s="1"/>
  <c r="R765" i="2"/>
  <c r="U765" i="2" s="1"/>
  <c r="R589" i="2"/>
  <c r="U589" i="2" s="1"/>
  <c r="R573" i="2"/>
  <c r="U573" i="2" s="1"/>
  <c r="R429" i="2"/>
  <c r="U429" i="2" s="1"/>
  <c r="R365" i="2"/>
  <c r="U365" i="2" s="1"/>
  <c r="R273" i="2"/>
  <c r="U273" i="2" s="1"/>
  <c r="R237" i="2"/>
  <c r="U237" i="2" s="1"/>
  <c r="R133" i="2"/>
  <c r="U133" i="2" s="1"/>
  <c r="L2" i="2"/>
  <c r="Q10" i="2"/>
  <c r="S938" i="2" l="1"/>
  <c r="T938" i="2"/>
  <c r="S970" i="2"/>
  <c r="U906" i="2"/>
  <c r="T906" i="2"/>
  <c r="T556" i="2"/>
  <c r="T860" i="2"/>
  <c r="T636" i="2"/>
  <c r="T890" i="2"/>
  <c r="S954" i="2"/>
  <c r="T954" i="2"/>
  <c r="T970" i="2"/>
  <c r="U300" i="2"/>
  <c r="T300" i="2"/>
  <c r="T380" i="2"/>
  <c r="S906" i="2"/>
  <c r="S922" i="2"/>
  <c r="S986" i="2"/>
  <c r="T922" i="2"/>
  <c r="T986" i="2"/>
  <c r="T926" i="2"/>
  <c r="S682" i="2"/>
  <c r="S894" i="2"/>
  <c r="T974" i="2"/>
  <c r="T942" i="2"/>
  <c r="S990" i="2"/>
  <c r="S910" i="2"/>
  <c r="S934" i="2"/>
  <c r="T768" i="2"/>
  <c r="S176" i="2"/>
  <c r="T958" i="2"/>
  <c r="T944" i="2"/>
  <c r="S170" i="2"/>
  <c r="T634" i="2"/>
  <c r="T894" i="2"/>
  <c r="T910" i="2"/>
  <c r="S926" i="2"/>
  <c r="S942" i="2"/>
  <c r="S958" i="2"/>
  <c r="S974" i="2"/>
  <c r="T990" i="2"/>
  <c r="S334" i="2"/>
  <c r="S918" i="2"/>
  <c r="S950" i="2"/>
  <c r="T902" i="2"/>
  <c r="S202" i="2"/>
  <c r="S394" i="2"/>
  <c r="T64" i="2"/>
  <c r="T192" i="2"/>
  <c r="S448" i="2"/>
  <c r="S858" i="2"/>
  <c r="T898" i="2"/>
  <c r="T946" i="2"/>
  <c r="T784" i="2"/>
  <c r="T896" i="2"/>
  <c r="T962" i="2"/>
  <c r="S522" i="2"/>
  <c r="S144" i="2"/>
  <c r="S320" i="2"/>
  <c r="S576" i="2"/>
  <c r="S930" i="2"/>
  <c r="S994" i="2"/>
  <c r="T816" i="2"/>
  <c r="T928" i="2"/>
  <c r="S330" i="2"/>
  <c r="S266" i="2"/>
  <c r="S458" i="2"/>
  <c r="T96" i="2"/>
  <c r="T800" i="2"/>
  <c r="T912" i="2"/>
  <c r="S206" i="2"/>
  <c r="S622" i="2"/>
  <c r="S914" i="2"/>
  <c r="T930" i="2"/>
  <c r="T994" i="2"/>
  <c r="S898" i="2"/>
  <c r="S946" i="2"/>
  <c r="T978" i="2"/>
  <c r="S962" i="2"/>
  <c r="T62" i="2"/>
  <c r="T212" i="2"/>
  <c r="T914" i="2"/>
  <c r="S978" i="2"/>
  <c r="T290" i="2"/>
  <c r="S966" i="2"/>
  <c r="S146" i="2"/>
  <c r="T386" i="2"/>
  <c r="T530" i="2"/>
  <c r="S642" i="2"/>
  <c r="T918" i="2"/>
  <c r="T934" i="2"/>
  <c r="T950" i="2"/>
  <c r="T770" i="2"/>
  <c r="T966" i="2"/>
  <c r="T982" i="2"/>
  <c r="T998" i="2"/>
  <c r="S902" i="2"/>
  <c r="S982" i="2"/>
  <c r="S998" i="2"/>
  <c r="T140" i="2"/>
  <c r="T268" i="2"/>
  <c r="T348" i="2"/>
  <c r="T444" i="2"/>
  <c r="T524" i="2"/>
  <c r="T604" i="2"/>
  <c r="S854" i="2"/>
  <c r="T764" i="2"/>
  <c r="T988" i="2"/>
  <c r="T252" i="2"/>
  <c r="T428" i="2"/>
  <c r="T508" i="2"/>
  <c r="T684" i="2"/>
  <c r="S806" i="2"/>
  <c r="T732" i="2"/>
  <c r="T92" i="2"/>
  <c r="T172" i="2"/>
  <c r="T220" i="2"/>
  <c r="T316" i="2"/>
  <c r="T396" i="2"/>
  <c r="T476" i="2"/>
  <c r="T572" i="2"/>
  <c r="T652" i="2"/>
  <c r="S890" i="2"/>
  <c r="T892" i="2"/>
  <c r="S754" i="2"/>
  <c r="T834" i="2"/>
  <c r="T712" i="2"/>
  <c r="T354" i="2"/>
  <c r="S610" i="2"/>
  <c r="T82" i="2"/>
  <c r="S194" i="2"/>
  <c r="S242" i="2"/>
  <c r="S418" i="2"/>
  <c r="S514" i="2"/>
  <c r="S594" i="2"/>
  <c r="S706" i="2"/>
  <c r="S818" i="2"/>
  <c r="T114" i="2"/>
  <c r="T434" i="2"/>
  <c r="T66" i="2"/>
  <c r="S210" i="2"/>
  <c r="S482" i="2"/>
  <c r="S562" i="2"/>
  <c r="T760" i="2"/>
  <c r="T968" i="2"/>
  <c r="T662" i="2"/>
  <c r="T726" i="2"/>
  <c r="S822" i="2"/>
  <c r="S886" i="2"/>
  <c r="T840" i="2"/>
  <c r="T888" i="2"/>
  <c r="S758" i="2"/>
  <c r="T728" i="2"/>
  <c r="T872" i="2"/>
  <c r="T984" i="2"/>
  <c r="T678" i="2"/>
  <c r="T742" i="2"/>
  <c r="S790" i="2"/>
  <c r="T744" i="2"/>
  <c r="T856" i="2"/>
  <c r="T1000" i="2"/>
  <c r="T446" i="2"/>
  <c r="S192" i="2"/>
  <c r="S416" i="2"/>
  <c r="T464" i="2"/>
  <c r="S544" i="2"/>
  <c r="T592" i="2"/>
  <c r="S672" i="2"/>
  <c r="S503" i="2"/>
  <c r="S704" i="2"/>
  <c r="S784" i="2"/>
  <c r="S816" i="2"/>
  <c r="S912" i="2"/>
  <c r="S944" i="2"/>
  <c r="S960" i="2"/>
  <c r="S138" i="2"/>
  <c r="T124" i="2"/>
  <c r="T208" i="2"/>
  <c r="T304" i="2"/>
  <c r="T412" i="2"/>
  <c r="T492" i="2"/>
  <c r="T588" i="2"/>
  <c r="T688" i="2"/>
  <c r="S780" i="2"/>
  <c r="T828" i="2"/>
  <c r="S940" i="2"/>
  <c r="S78" i="2"/>
  <c r="S64" i="2"/>
  <c r="S288" i="2"/>
  <c r="T336" i="2"/>
  <c r="S800" i="2"/>
  <c r="S832" i="2"/>
  <c r="S928" i="2"/>
  <c r="S74" i="2"/>
  <c r="T318" i="2"/>
  <c r="S554" i="2"/>
  <c r="T52" i="2"/>
  <c r="T80" i="2"/>
  <c r="S160" i="2"/>
  <c r="T188" i="2"/>
  <c r="T236" i="2"/>
  <c r="T284" i="2"/>
  <c r="T332" i="2"/>
  <c r="T364" i="2"/>
  <c r="T432" i="2"/>
  <c r="T460" i="2"/>
  <c r="T540" i="2"/>
  <c r="T560" i="2"/>
  <c r="T620" i="2"/>
  <c r="T668" i="2"/>
  <c r="S846" i="2"/>
  <c r="T874" i="2"/>
  <c r="T700" i="2"/>
  <c r="T796" i="2"/>
  <c r="S812" i="2"/>
  <c r="S908" i="2"/>
  <c r="T924" i="2"/>
  <c r="T956" i="2"/>
  <c r="T190" i="2"/>
  <c r="S298" i="2"/>
  <c r="S426" i="2"/>
  <c r="S462" i="2"/>
  <c r="S598" i="2"/>
  <c r="S52" i="2"/>
  <c r="T76" i="2"/>
  <c r="T108" i="2"/>
  <c r="T156" i="2"/>
  <c r="T176" i="2"/>
  <c r="T204" i="2"/>
  <c r="T224" i="2"/>
  <c r="S272" i="2"/>
  <c r="S304" i="2"/>
  <c r="T320" i="2"/>
  <c r="T352" i="2"/>
  <c r="S400" i="2"/>
  <c r="S432" i="2"/>
  <c r="T448" i="2"/>
  <c r="T480" i="2"/>
  <c r="S528" i="2"/>
  <c r="S560" i="2"/>
  <c r="T576" i="2"/>
  <c r="T608" i="2"/>
  <c r="S656" i="2"/>
  <c r="S688" i="2"/>
  <c r="T694" i="2"/>
  <c r="S794" i="2"/>
  <c r="S870" i="2"/>
  <c r="T696" i="2"/>
  <c r="S716" i="2"/>
  <c r="S748" i="2"/>
  <c r="T776" i="2"/>
  <c r="T792" i="2"/>
  <c r="T808" i="2"/>
  <c r="T824" i="2"/>
  <c r="S844" i="2"/>
  <c r="S876" i="2"/>
  <c r="T904" i="2"/>
  <c r="T920" i="2"/>
  <c r="T936" i="2"/>
  <c r="T952" i="2"/>
  <c r="S972" i="2"/>
  <c r="T98" i="2"/>
  <c r="S162" i="2"/>
  <c r="T178" i="2"/>
  <c r="S226" i="2"/>
  <c r="T274" i="2"/>
  <c r="T322" i="2"/>
  <c r="T370" i="2"/>
  <c r="S466" i="2"/>
  <c r="T468" i="2"/>
  <c r="S658" i="2"/>
  <c r="T690" i="2"/>
  <c r="S722" i="2"/>
  <c r="T738" i="2"/>
  <c r="T786" i="2"/>
  <c r="T802" i="2"/>
  <c r="S850" i="2"/>
  <c r="S882" i="2"/>
  <c r="T772" i="2"/>
  <c r="S98" i="2"/>
  <c r="S130" i="2"/>
  <c r="T146" i="2"/>
  <c r="S178" i="2"/>
  <c r="T194" i="2"/>
  <c r="T210" i="2"/>
  <c r="T242" i="2"/>
  <c r="S274" i="2"/>
  <c r="S322" i="2"/>
  <c r="S338" i="2"/>
  <c r="S370" i="2"/>
  <c r="T418" i="2"/>
  <c r="T482" i="2"/>
  <c r="T514" i="2"/>
  <c r="S546" i="2"/>
  <c r="T562" i="2"/>
  <c r="T594" i="2"/>
  <c r="T626" i="2"/>
  <c r="T340" i="2"/>
  <c r="T642" i="2"/>
  <c r="S674" i="2"/>
  <c r="S690" i="2"/>
  <c r="T706" i="2"/>
  <c r="S738" i="2"/>
  <c r="T754" i="2"/>
  <c r="S786" i="2"/>
  <c r="S802" i="2"/>
  <c r="T818" i="2"/>
  <c r="S66" i="2"/>
  <c r="S82" i="2"/>
  <c r="S114" i="2"/>
  <c r="T162" i="2"/>
  <c r="T226" i="2"/>
  <c r="T258" i="2"/>
  <c r="S290" i="2"/>
  <c r="T306" i="2"/>
  <c r="S354" i="2"/>
  <c r="S386" i="2"/>
  <c r="T402" i="2"/>
  <c r="S434" i="2"/>
  <c r="T450" i="2"/>
  <c r="T466" i="2"/>
  <c r="T498" i="2"/>
  <c r="S530" i="2"/>
  <c r="T578" i="2"/>
  <c r="T610" i="2"/>
  <c r="T84" i="2"/>
  <c r="T596" i="2"/>
  <c r="T658" i="2"/>
  <c r="T722" i="2"/>
  <c r="S770" i="2"/>
  <c r="S834" i="2"/>
  <c r="T850" i="2"/>
  <c r="T866" i="2"/>
  <c r="T882" i="2"/>
  <c r="T900" i="2"/>
  <c r="T130" i="2"/>
  <c r="S258" i="2"/>
  <c r="S306" i="2"/>
  <c r="T338" i="2"/>
  <c r="S402" i="2"/>
  <c r="S450" i="2"/>
  <c r="S498" i="2"/>
  <c r="T546" i="2"/>
  <c r="S578" i="2"/>
  <c r="S626" i="2"/>
  <c r="T674" i="2"/>
  <c r="S866" i="2"/>
  <c r="U44" i="2"/>
  <c r="T44" i="2"/>
  <c r="U48" i="2"/>
  <c r="T48" i="2"/>
  <c r="U50" i="2"/>
  <c r="S50" i="2"/>
  <c r="T50" i="2"/>
  <c r="S94" i="2"/>
  <c r="S222" i="2"/>
  <c r="S350" i="2"/>
  <c r="S478" i="2"/>
  <c r="T116" i="2"/>
  <c r="T372" i="2"/>
  <c r="T750" i="2"/>
  <c r="T884" i="2"/>
  <c r="S80" i="2"/>
  <c r="S96" i="2"/>
  <c r="T112" i="2"/>
  <c r="T128" i="2"/>
  <c r="T148" i="2"/>
  <c r="S208" i="2"/>
  <c r="S224" i="2"/>
  <c r="T240" i="2"/>
  <c r="T256" i="2"/>
  <c r="T276" i="2"/>
  <c r="S336" i="2"/>
  <c r="S352" i="2"/>
  <c r="T368" i="2"/>
  <c r="T384" i="2"/>
  <c r="T404" i="2"/>
  <c r="S464" i="2"/>
  <c r="S480" i="2"/>
  <c r="T496" i="2"/>
  <c r="T512" i="2"/>
  <c r="T532" i="2"/>
  <c r="S592" i="2"/>
  <c r="S608" i="2"/>
  <c r="T624" i="2"/>
  <c r="T640" i="2"/>
  <c r="S660" i="2"/>
  <c r="T558" i="2"/>
  <c r="T666" i="2"/>
  <c r="T718" i="2"/>
  <c r="T730" i="2"/>
  <c r="S746" i="2"/>
  <c r="S708" i="2"/>
  <c r="T720" i="2"/>
  <c r="T736" i="2"/>
  <c r="T752" i="2"/>
  <c r="S768" i="2"/>
  <c r="T836" i="2"/>
  <c r="T848" i="2"/>
  <c r="T864" i="2"/>
  <c r="T880" i="2"/>
  <c r="S896" i="2"/>
  <c r="T964" i="2"/>
  <c r="T976" i="2"/>
  <c r="T992" i="2"/>
  <c r="T244" i="2"/>
  <c r="T500" i="2"/>
  <c r="T628" i="2"/>
  <c r="T590" i="2"/>
  <c r="T670" i="2"/>
  <c r="S702" i="2"/>
  <c r="T756" i="2"/>
  <c r="S106" i="2"/>
  <c r="S234" i="2"/>
  <c r="S362" i="2"/>
  <c r="S490" i="2"/>
  <c r="S42" i="2"/>
  <c r="T174" i="2"/>
  <c r="T302" i="2"/>
  <c r="T430" i="2"/>
  <c r="S112" i="2"/>
  <c r="S128" i="2"/>
  <c r="T144" i="2"/>
  <c r="T160" i="2"/>
  <c r="T180" i="2"/>
  <c r="S240" i="2"/>
  <c r="S256" i="2"/>
  <c r="T272" i="2"/>
  <c r="T288" i="2"/>
  <c r="T308" i="2"/>
  <c r="S368" i="2"/>
  <c r="S384" i="2"/>
  <c r="T400" i="2"/>
  <c r="T416" i="2"/>
  <c r="T436" i="2"/>
  <c r="S496" i="2"/>
  <c r="S512" i="2"/>
  <c r="T528" i="2"/>
  <c r="T544" i="2"/>
  <c r="T564" i="2"/>
  <c r="S624" i="2"/>
  <c r="S640" i="2"/>
  <c r="T656" i="2"/>
  <c r="T672" i="2"/>
  <c r="S692" i="2"/>
  <c r="T798" i="2"/>
  <c r="T810" i="2"/>
  <c r="T830" i="2"/>
  <c r="S878" i="2"/>
  <c r="T704" i="2"/>
  <c r="S720" i="2"/>
  <c r="S736" i="2"/>
  <c r="S752" i="2"/>
  <c r="T820" i="2"/>
  <c r="T832" i="2"/>
  <c r="S848" i="2"/>
  <c r="S864" i="2"/>
  <c r="S880" i="2"/>
  <c r="T948" i="2"/>
  <c r="T960" i="2"/>
  <c r="S976" i="2"/>
  <c r="S992" i="2"/>
  <c r="S62" i="2"/>
  <c r="T142" i="2"/>
  <c r="T158" i="2"/>
  <c r="S174" i="2"/>
  <c r="S190" i="2"/>
  <c r="T270" i="2"/>
  <c r="T286" i="2"/>
  <c r="S302" i="2"/>
  <c r="S318" i="2"/>
  <c r="T398" i="2"/>
  <c r="T414" i="2"/>
  <c r="S430" i="2"/>
  <c r="S446" i="2"/>
  <c r="T526" i="2"/>
  <c r="T542" i="2"/>
  <c r="T630" i="2"/>
  <c r="S48" i="2"/>
  <c r="S76" i="2"/>
  <c r="S84" i="2"/>
  <c r="S108" i="2"/>
  <c r="S116" i="2"/>
  <c r="S140" i="2"/>
  <c r="S148" i="2"/>
  <c r="S172" i="2"/>
  <c r="S180" i="2"/>
  <c r="S204" i="2"/>
  <c r="S212" i="2"/>
  <c r="S236" i="2"/>
  <c r="S244" i="2"/>
  <c r="S268" i="2"/>
  <c r="S276" i="2"/>
  <c r="S300" i="2"/>
  <c r="S308" i="2"/>
  <c r="S332" i="2"/>
  <c r="S340" i="2"/>
  <c r="S364" i="2"/>
  <c r="S372" i="2"/>
  <c r="S396" i="2"/>
  <c r="S404" i="2"/>
  <c r="S428" i="2"/>
  <c r="S436" i="2"/>
  <c r="S460" i="2"/>
  <c r="S468" i="2"/>
  <c r="S492" i="2"/>
  <c r="S500" i="2"/>
  <c r="S524" i="2"/>
  <c r="S532" i="2"/>
  <c r="S556" i="2"/>
  <c r="S564" i="2"/>
  <c r="S588" i="2"/>
  <c r="S596" i="2"/>
  <c r="S620" i="2"/>
  <c r="S628" i="2"/>
  <c r="S652" i="2"/>
  <c r="T660" i="2"/>
  <c r="S684" i="2"/>
  <c r="T692" i="2"/>
  <c r="S558" i="2"/>
  <c r="S590" i="2"/>
  <c r="T622" i="2"/>
  <c r="S654" i="2"/>
  <c r="S686" i="2"/>
  <c r="T702" i="2"/>
  <c r="T710" i="2"/>
  <c r="S734" i="2"/>
  <c r="T782" i="2"/>
  <c r="T814" i="2"/>
  <c r="S830" i="2"/>
  <c r="S838" i="2"/>
  <c r="S862" i="2"/>
  <c r="S700" i="2"/>
  <c r="T708" i="2"/>
  <c r="T716" i="2"/>
  <c r="S724" i="2"/>
  <c r="S764" i="2"/>
  <c r="S772" i="2"/>
  <c r="T780" i="2"/>
  <c r="S788" i="2"/>
  <c r="S828" i="2"/>
  <c r="S836" i="2"/>
  <c r="T844" i="2"/>
  <c r="S852" i="2"/>
  <c r="S892" i="2"/>
  <c r="S900" i="2"/>
  <c r="T908" i="2"/>
  <c r="S916" i="2"/>
  <c r="S956" i="2"/>
  <c r="S964" i="2"/>
  <c r="T972" i="2"/>
  <c r="S980" i="2"/>
  <c r="T110" i="2"/>
  <c r="T126" i="2"/>
  <c r="S142" i="2"/>
  <c r="S158" i="2"/>
  <c r="T238" i="2"/>
  <c r="T254" i="2"/>
  <c r="S270" i="2"/>
  <c r="S286" i="2"/>
  <c r="T366" i="2"/>
  <c r="T382" i="2"/>
  <c r="S398" i="2"/>
  <c r="S414" i="2"/>
  <c r="T494" i="2"/>
  <c r="T510" i="2"/>
  <c r="S526" i="2"/>
  <c r="S542" i="2"/>
  <c r="T68" i="2"/>
  <c r="T100" i="2"/>
  <c r="T132" i="2"/>
  <c r="T164" i="2"/>
  <c r="T196" i="2"/>
  <c r="T228" i="2"/>
  <c r="T260" i="2"/>
  <c r="T292" i="2"/>
  <c r="T324" i="2"/>
  <c r="T356" i="2"/>
  <c r="T388" i="2"/>
  <c r="T420" i="2"/>
  <c r="T452" i="2"/>
  <c r="T484" i="2"/>
  <c r="T516" i="2"/>
  <c r="T548" i="2"/>
  <c r="T580" i="2"/>
  <c r="T612" i="2"/>
  <c r="S644" i="2"/>
  <c r="S676" i="2"/>
  <c r="T574" i="2"/>
  <c r="S606" i="2"/>
  <c r="S638" i="2"/>
  <c r="T654" i="2"/>
  <c r="T686" i="2"/>
  <c r="T734" i="2"/>
  <c r="T766" i="2"/>
  <c r="S782" i="2"/>
  <c r="S814" i="2"/>
  <c r="T862" i="2"/>
  <c r="T724" i="2"/>
  <c r="S740" i="2"/>
  <c r="T788" i="2"/>
  <c r="S804" i="2"/>
  <c r="T852" i="2"/>
  <c r="S868" i="2"/>
  <c r="T916" i="2"/>
  <c r="S932" i="2"/>
  <c r="T980" i="2"/>
  <c r="S996" i="2"/>
  <c r="T78" i="2"/>
  <c r="T94" i="2"/>
  <c r="S110" i="2"/>
  <c r="S126" i="2"/>
  <c r="T206" i="2"/>
  <c r="T222" i="2"/>
  <c r="S238" i="2"/>
  <c r="S254" i="2"/>
  <c r="T334" i="2"/>
  <c r="T350" i="2"/>
  <c r="S366" i="2"/>
  <c r="S382" i="2"/>
  <c r="T462" i="2"/>
  <c r="T478" i="2"/>
  <c r="S494" i="2"/>
  <c r="S510" i="2"/>
  <c r="S566" i="2"/>
  <c r="S20" i="2"/>
  <c r="S68" i="2"/>
  <c r="S92" i="2"/>
  <c r="S100" i="2"/>
  <c r="S124" i="2"/>
  <c r="S132" i="2"/>
  <c r="S156" i="2"/>
  <c r="S164" i="2"/>
  <c r="S188" i="2"/>
  <c r="S196" i="2"/>
  <c r="S220" i="2"/>
  <c r="S228" i="2"/>
  <c r="S252" i="2"/>
  <c r="S260" i="2"/>
  <c r="S284" i="2"/>
  <c r="S292" i="2"/>
  <c r="S316" i="2"/>
  <c r="S324" i="2"/>
  <c r="S348" i="2"/>
  <c r="S356" i="2"/>
  <c r="S380" i="2"/>
  <c r="S388" i="2"/>
  <c r="S412" i="2"/>
  <c r="S420" i="2"/>
  <c r="S444" i="2"/>
  <c r="S452" i="2"/>
  <c r="S476" i="2"/>
  <c r="S484" i="2"/>
  <c r="S508" i="2"/>
  <c r="S516" i="2"/>
  <c r="S540" i="2"/>
  <c r="S548" i="2"/>
  <c r="S572" i="2"/>
  <c r="S580" i="2"/>
  <c r="S604" i="2"/>
  <c r="S612" i="2"/>
  <c r="S636" i="2"/>
  <c r="T644" i="2"/>
  <c r="S668" i="2"/>
  <c r="T676" i="2"/>
  <c r="S574" i="2"/>
  <c r="T606" i="2"/>
  <c r="T638" i="2"/>
  <c r="T646" i="2"/>
  <c r="S670" i="2"/>
  <c r="S718" i="2"/>
  <c r="S750" i="2"/>
  <c r="S766" i="2"/>
  <c r="S774" i="2"/>
  <c r="S798" i="2"/>
  <c r="T846" i="2"/>
  <c r="T878" i="2"/>
  <c r="S732" i="2"/>
  <c r="T740" i="2"/>
  <c r="T748" i="2"/>
  <c r="S756" i="2"/>
  <c r="S796" i="2"/>
  <c r="T804" i="2"/>
  <c r="T812" i="2"/>
  <c r="S820" i="2"/>
  <c r="S860" i="2"/>
  <c r="T868" i="2"/>
  <c r="T876" i="2"/>
  <c r="S884" i="2"/>
  <c r="S924" i="2"/>
  <c r="T932" i="2"/>
  <c r="T940" i="2"/>
  <c r="S948" i="2"/>
  <c r="S988" i="2"/>
  <c r="T996" i="2"/>
  <c r="U24" i="2"/>
  <c r="S24" i="2"/>
  <c r="S46" i="2"/>
  <c r="T20" i="2"/>
  <c r="S60" i="2"/>
  <c r="T46" i="2"/>
  <c r="S44" i="2"/>
  <c r="T60" i="2"/>
  <c r="U22" i="2"/>
  <c r="T22" i="2"/>
  <c r="T58" i="2"/>
  <c r="T90" i="2"/>
  <c r="T122" i="2"/>
  <c r="T154" i="2"/>
  <c r="T186" i="2"/>
  <c r="T218" i="2"/>
  <c r="T250" i="2"/>
  <c r="T282" i="2"/>
  <c r="T314" i="2"/>
  <c r="T346" i="2"/>
  <c r="T378" i="2"/>
  <c r="T410" i="2"/>
  <c r="T442" i="2"/>
  <c r="T618" i="2"/>
  <c r="S634" i="2"/>
  <c r="S375" i="2"/>
  <c r="S887" i="2"/>
  <c r="T682" i="2"/>
  <c r="S698" i="2"/>
  <c r="T746" i="2"/>
  <c r="T762" i="2"/>
  <c r="S810" i="2"/>
  <c r="T826" i="2"/>
  <c r="S874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904" i="2"/>
  <c r="S920" i="2"/>
  <c r="S936" i="2"/>
  <c r="S952" i="2"/>
  <c r="S968" i="2"/>
  <c r="S984" i="2"/>
  <c r="S1000" i="2"/>
  <c r="T474" i="2"/>
  <c r="T506" i="2"/>
  <c r="T538" i="2"/>
  <c r="T602" i="2"/>
  <c r="S58" i="2"/>
  <c r="S90" i="2"/>
  <c r="S122" i="2"/>
  <c r="S154" i="2"/>
  <c r="S186" i="2"/>
  <c r="S218" i="2"/>
  <c r="S250" i="2"/>
  <c r="S282" i="2"/>
  <c r="S314" i="2"/>
  <c r="S346" i="2"/>
  <c r="S378" i="2"/>
  <c r="S410" i="2"/>
  <c r="S442" i="2"/>
  <c r="S474" i="2"/>
  <c r="S506" i="2"/>
  <c r="S538" i="2"/>
  <c r="T570" i="2"/>
  <c r="T586" i="2"/>
  <c r="S602" i="2"/>
  <c r="S618" i="2"/>
  <c r="S40" i="2"/>
  <c r="T56" i="2"/>
  <c r="T72" i="2"/>
  <c r="T88" i="2"/>
  <c r="T104" i="2"/>
  <c r="T120" i="2"/>
  <c r="T136" i="2"/>
  <c r="T152" i="2"/>
  <c r="T168" i="2"/>
  <c r="T184" i="2"/>
  <c r="T200" i="2"/>
  <c r="T216" i="2"/>
  <c r="T232" i="2"/>
  <c r="T248" i="2"/>
  <c r="T264" i="2"/>
  <c r="T280" i="2"/>
  <c r="T296" i="2"/>
  <c r="T312" i="2"/>
  <c r="T328" i="2"/>
  <c r="T344" i="2"/>
  <c r="T360" i="2"/>
  <c r="T376" i="2"/>
  <c r="T392" i="2"/>
  <c r="T408" i="2"/>
  <c r="T424" i="2"/>
  <c r="T440" i="2"/>
  <c r="T456" i="2"/>
  <c r="T472" i="2"/>
  <c r="T488" i="2"/>
  <c r="T504" i="2"/>
  <c r="T520" i="2"/>
  <c r="T536" i="2"/>
  <c r="T552" i="2"/>
  <c r="T568" i="2"/>
  <c r="T584" i="2"/>
  <c r="T600" i="2"/>
  <c r="T616" i="2"/>
  <c r="T632" i="2"/>
  <c r="T648" i="2"/>
  <c r="T664" i="2"/>
  <c r="T680" i="2"/>
  <c r="S247" i="2"/>
  <c r="S759" i="2"/>
  <c r="S650" i="2"/>
  <c r="T698" i="2"/>
  <c r="S714" i="2"/>
  <c r="S762" i="2"/>
  <c r="T778" i="2"/>
  <c r="S826" i="2"/>
  <c r="T842" i="2"/>
  <c r="T42" i="2"/>
  <c r="T74" i="2"/>
  <c r="T106" i="2"/>
  <c r="T138" i="2"/>
  <c r="T170" i="2"/>
  <c r="T202" i="2"/>
  <c r="T234" i="2"/>
  <c r="T266" i="2"/>
  <c r="T298" i="2"/>
  <c r="T330" i="2"/>
  <c r="T362" i="2"/>
  <c r="T394" i="2"/>
  <c r="T426" i="2"/>
  <c r="T458" i="2"/>
  <c r="T490" i="2"/>
  <c r="T522" i="2"/>
  <c r="T554" i="2"/>
  <c r="S570" i="2"/>
  <c r="S586" i="2"/>
  <c r="T24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4" i="2"/>
  <c r="S440" i="2"/>
  <c r="S456" i="2"/>
  <c r="S472" i="2"/>
  <c r="S488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119" i="2"/>
  <c r="S631" i="2"/>
  <c r="T650" i="2"/>
  <c r="S666" i="2"/>
  <c r="T714" i="2"/>
  <c r="S730" i="2"/>
  <c r="S778" i="2"/>
  <c r="T794" i="2"/>
  <c r="S842" i="2"/>
  <c r="T858" i="2"/>
  <c r="S15" i="2"/>
  <c r="S103" i="2"/>
  <c r="S231" i="2"/>
  <c r="S359" i="2"/>
  <c r="S487" i="2"/>
  <c r="S615" i="2"/>
  <c r="S743" i="2"/>
  <c r="S871" i="2"/>
  <c r="S999" i="2"/>
  <c r="S87" i="2"/>
  <c r="T135" i="2"/>
  <c r="S215" i="2"/>
  <c r="T263" i="2"/>
  <c r="S343" i="2"/>
  <c r="T391" i="2"/>
  <c r="S471" i="2"/>
  <c r="T519" i="2"/>
  <c r="S599" i="2"/>
  <c r="T647" i="2"/>
  <c r="S727" i="2"/>
  <c r="T775" i="2"/>
  <c r="S855" i="2"/>
  <c r="T903" i="2"/>
  <c r="S983" i="2"/>
  <c r="S43" i="2"/>
  <c r="U43" i="2"/>
  <c r="S59" i="2"/>
  <c r="U59" i="2"/>
  <c r="S75" i="2"/>
  <c r="U75" i="2"/>
  <c r="S91" i="2"/>
  <c r="U91" i="2"/>
  <c r="S107" i="2"/>
  <c r="U107" i="2"/>
  <c r="S123" i="2"/>
  <c r="U123" i="2"/>
  <c r="S139" i="2"/>
  <c r="U139" i="2"/>
  <c r="S155" i="2"/>
  <c r="U155" i="2"/>
  <c r="S171" i="2"/>
  <c r="U171" i="2"/>
  <c r="S187" i="2"/>
  <c r="U187" i="2"/>
  <c r="S203" i="2"/>
  <c r="U203" i="2"/>
  <c r="S219" i="2"/>
  <c r="U219" i="2"/>
  <c r="S235" i="2"/>
  <c r="U235" i="2"/>
  <c r="S251" i="2"/>
  <c r="U251" i="2"/>
  <c r="S267" i="2"/>
  <c r="U267" i="2"/>
  <c r="S283" i="2"/>
  <c r="U283" i="2"/>
  <c r="S299" i="2"/>
  <c r="U299" i="2"/>
  <c r="S315" i="2"/>
  <c r="U315" i="2"/>
  <c r="S331" i="2"/>
  <c r="U331" i="2"/>
  <c r="S347" i="2"/>
  <c r="U347" i="2"/>
  <c r="S363" i="2"/>
  <c r="U363" i="2"/>
  <c r="S379" i="2"/>
  <c r="U379" i="2"/>
  <c r="S395" i="2"/>
  <c r="U395" i="2"/>
  <c r="S411" i="2"/>
  <c r="U411" i="2"/>
  <c r="S427" i="2"/>
  <c r="U427" i="2"/>
  <c r="S443" i="2"/>
  <c r="U443" i="2"/>
  <c r="S459" i="2"/>
  <c r="U459" i="2"/>
  <c r="S475" i="2"/>
  <c r="U475" i="2"/>
  <c r="S491" i="2"/>
  <c r="U491" i="2"/>
  <c r="S507" i="2"/>
  <c r="U507" i="2"/>
  <c r="S523" i="2"/>
  <c r="U523" i="2"/>
  <c r="S539" i="2"/>
  <c r="U539" i="2"/>
  <c r="S555" i="2"/>
  <c r="U555" i="2"/>
  <c r="S571" i="2"/>
  <c r="U571" i="2"/>
  <c r="S587" i="2"/>
  <c r="U587" i="2"/>
  <c r="S603" i="2"/>
  <c r="U603" i="2"/>
  <c r="S619" i="2"/>
  <c r="U619" i="2"/>
  <c r="S635" i="2"/>
  <c r="U635" i="2"/>
  <c r="S651" i="2"/>
  <c r="U651" i="2"/>
  <c r="S667" i="2"/>
  <c r="U667" i="2"/>
  <c r="S683" i="2"/>
  <c r="U683" i="2"/>
  <c r="S699" i="2"/>
  <c r="U699" i="2"/>
  <c r="S715" i="2"/>
  <c r="U715" i="2"/>
  <c r="S731" i="2"/>
  <c r="U731" i="2"/>
  <c r="S747" i="2"/>
  <c r="U747" i="2"/>
  <c r="S763" i="2"/>
  <c r="U763" i="2"/>
  <c r="S779" i="2"/>
  <c r="U779" i="2"/>
  <c r="S795" i="2"/>
  <c r="U795" i="2"/>
  <c r="S811" i="2"/>
  <c r="U811" i="2"/>
  <c r="S827" i="2"/>
  <c r="U827" i="2"/>
  <c r="S843" i="2"/>
  <c r="U843" i="2"/>
  <c r="S859" i="2"/>
  <c r="U859" i="2"/>
  <c r="S875" i="2"/>
  <c r="U875" i="2"/>
  <c r="S891" i="2"/>
  <c r="U891" i="2"/>
  <c r="S907" i="2"/>
  <c r="U907" i="2"/>
  <c r="S923" i="2"/>
  <c r="U923" i="2"/>
  <c r="S939" i="2"/>
  <c r="U939" i="2"/>
  <c r="S955" i="2"/>
  <c r="U955" i="2"/>
  <c r="S971" i="2"/>
  <c r="U971" i="2"/>
  <c r="S987" i="2"/>
  <c r="U987" i="2"/>
  <c r="T566" i="2"/>
  <c r="T598" i="2"/>
  <c r="S630" i="2"/>
  <c r="T15" i="2"/>
  <c r="S71" i="2"/>
  <c r="T87" i="2"/>
  <c r="T103" i="2"/>
  <c r="T119" i="2"/>
  <c r="S199" i="2"/>
  <c r="T215" i="2"/>
  <c r="T231" i="2"/>
  <c r="T247" i="2"/>
  <c r="S327" i="2"/>
  <c r="T343" i="2"/>
  <c r="T359" i="2"/>
  <c r="T375" i="2"/>
  <c r="S455" i="2"/>
  <c r="T471" i="2"/>
  <c r="T487" i="2"/>
  <c r="T503" i="2"/>
  <c r="S583" i="2"/>
  <c r="T599" i="2"/>
  <c r="T615" i="2"/>
  <c r="T631" i="2"/>
  <c r="S711" i="2"/>
  <c r="T727" i="2"/>
  <c r="T743" i="2"/>
  <c r="T759" i="2"/>
  <c r="S839" i="2"/>
  <c r="T855" i="2"/>
  <c r="T871" i="2"/>
  <c r="T887" i="2"/>
  <c r="S967" i="2"/>
  <c r="T983" i="2"/>
  <c r="T999" i="2"/>
  <c r="S646" i="2"/>
  <c r="S662" i="2"/>
  <c r="S678" i="2"/>
  <c r="S694" i="2"/>
  <c r="S710" i="2"/>
  <c r="S726" i="2"/>
  <c r="S742" i="2"/>
  <c r="T758" i="2"/>
  <c r="T774" i="2"/>
  <c r="T790" i="2"/>
  <c r="T806" i="2"/>
  <c r="T822" i="2"/>
  <c r="T838" i="2"/>
  <c r="T854" i="2"/>
  <c r="T870" i="2"/>
  <c r="T886" i="2"/>
  <c r="S51" i="2"/>
  <c r="U51" i="2"/>
  <c r="S67" i="2"/>
  <c r="U67" i="2"/>
  <c r="S83" i="2"/>
  <c r="U83" i="2"/>
  <c r="S99" i="2"/>
  <c r="U99" i="2"/>
  <c r="S115" i="2"/>
  <c r="U115" i="2"/>
  <c r="S131" i="2"/>
  <c r="U131" i="2"/>
  <c r="S147" i="2"/>
  <c r="U147" i="2"/>
  <c r="S163" i="2"/>
  <c r="U163" i="2"/>
  <c r="S179" i="2"/>
  <c r="U179" i="2"/>
  <c r="S195" i="2"/>
  <c r="U195" i="2"/>
  <c r="S211" i="2"/>
  <c r="U211" i="2"/>
  <c r="S227" i="2"/>
  <c r="U227" i="2"/>
  <c r="S243" i="2"/>
  <c r="U243" i="2"/>
  <c r="S259" i="2"/>
  <c r="U259" i="2"/>
  <c r="S275" i="2"/>
  <c r="U275" i="2"/>
  <c r="S291" i="2"/>
  <c r="U291" i="2"/>
  <c r="S307" i="2"/>
  <c r="U307" i="2"/>
  <c r="S323" i="2"/>
  <c r="U323" i="2"/>
  <c r="S339" i="2"/>
  <c r="U339" i="2"/>
  <c r="S355" i="2"/>
  <c r="U355" i="2"/>
  <c r="S371" i="2"/>
  <c r="U371" i="2"/>
  <c r="S387" i="2"/>
  <c r="U387" i="2"/>
  <c r="S403" i="2"/>
  <c r="U403" i="2"/>
  <c r="S419" i="2"/>
  <c r="U419" i="2"/>
  <c r="S435" i="2"/>
  <c r="U435" i="2"/>
  <c r="S451" i="2"/>
  <c r="U451" i="2"/>
  <c r="S467" i="2"/>
  <c r="U467" i="2"/>
  <c r="S483" i="2"/>
  <c r="U483" i="2"/>
  <c r="S499" i="2"/>
  <c r="U499" i="2"/>
  <c r="S515" i="2"/>
  <c r="U515" i="2"/>
  <c r="S531" i="2"/>
  <c r="U531" i="2"/>
  <c r="S547" i="2"/>
  <c r="U547" i="2"/>
  <c r="S563" i="2"/>
  <c r="U563" i="2"/>
  <c r="S579" i="2"/>
  <c r="U579" i="2"/>
  <c r="S595" i="2"/>
  <c r="U595" i="2"/>
  <c r="S611" i="2"/>
  <c r="U611" i="2"/>
  <c r="S627" i="2"/>
  <c r="U627" i="2"/>
  <c r="S643" i="2"/>
  <c r="U643" i="2"/>
  <c r="S659" i="2"/>
  <c r="U659" i="2"/>
  <c r="S675" i="2"/>
  <c r="U675" i="2"/>
  <c r="S691" i="2"/>
  <c r="U691" i="2"/>
  <c r="S707" i="2"/>
  <c r="U707" i="2"/>
  <c r="S723" i="2"/>
  <c r="U723" i="2"/>
  <c r="S739" i="2"/>
  <c r="U739" i="2"/>
  <c r="S755" i="2"/>
  <c r="U755" i="2"/>
  <c r="S771" i="2"/>
  <c r="U771" i="2"/>
  <c r="S787" i="2"/>
  <c r="U787" i="2"/>
  <c r="S803" i="2"/>
  <c r="U803" i="2"/>
  <c r="S819" i="2"/>
  <c r="U819" i="2"/>
  <c r="S835" i="2"/>
  <c r="U835" i="2"/>
  <c r="S851" i="2"/>
  <c r="U851" i="2"/>
  <c r="S867" i="2"/>
  <c r="U867" i="2"/>
  <c r="S883" i="2"/>
  <c r="U883" i="2"/>
  <c r="S899" i="2"/>
  <c r="U899" i="2"/>
  <c r="S915" i="2"/>
  <c r="U915" i="2"/>
  <c r="S931" i="2"/>
  <c r="U931" i="2"/>
  <c r="S947" i="2"/>
  <c r="U947" i="2"/>
  <c r="S963" i="2"/>
  <c r="U963" i="2"/>
  <c r="S979" i="2"/>
  <c r="U979" i="2"/>
  <c r="S995" i="2"/>
  <c r="U995" i="2"/>
  <c r="T54" i="2"/>
  <c r="T70" i="2"/>
  <c r="T86" i="2"/>
  <c r="T102" i="2"/>
  <c r="T118" i="2"/>
  <c r="T134" i="2"/>
  <c r="T150" i="2"/>
  <c r="T166" i="2"/>
  <c r="T182" i="2"/>
  <c r="T198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82" i="2"/>
  <c r="S614" i="2"/>
  <c r="T39" i="2"/>
  <c r="T55" i="2"/>
  <c r="S135" i="2"/>
  <c r="T151" i="2"/>
  <c r="T167" i="2"/>
  <c r="T183" i="2"/>
  <c r="S263" i="2"/>
  <c r="T279" i="2"/>
  <c r="T295" i="2"/>
  <c r="T311" i="2"/>
  <c r="S391" i="2"/>
  <c r="T407" i="2"/>
  <c r="T423" i="2"/>
  <c r="T439" i="2"/>
  <c r="S519" i="2"/>
  <c r="T535" i="2"/>
  <c r="T551" i="2"/>
  <c r="T567" i="2"/>
  <c r="S647" i="2"/>
  <c r="T663" i="2"/>
  <c r="T679" i="2"/>
  <c r="T695" i="2"/>
  <c r="S775" i="2"/>
  <c r="T791" i="2"/>
  <c r="T807" i="2"/>
  <c r="T823" i="2"/>
  <c r="S903" i="2"/>
  <c r="T919" i="2"/>
  <c r="T935" i="2"/>
  <c r="T951" i="2"/>
  <c r="T47" i="2"/>
  <c r="U47" i="2"/>
  <c r="S63" i="2"/>
  <c r="U63" i="2"/>
  <c r="S79" i="2"/>
  <c r="U79" i="2"/>
  <c r="S95" i="2"/>
  <c r="U95" i="2"/>
  <c r="T111" i="2"/>
  <c r="U111" i="2"/>
  <c r="S127" i="2"/>
  <c r="U127" i="2"/>
  <c r="S143" i="2"/>
  <c r="U143" i="2"/>
  <c r="S159" i="2"/>
  <c r="U159" i="2"/>
  <c r="T175" i="2"/>
  <c r="U175" i="2"/>
  <c r="S191" i="2"/>
  <c r="U191" i="2"/>
  <c r="S207" i="2"/>
  <c r="U207" i="2"/>
  <c r="S223" i="2"/>
  <c r="U223" i="2"/>
  <c r="T239" i="2"/>
  <c r="U239" i="2"/>
  <c r="S255" i="2"/>
  <c r="U255" i="2"/>
  <c r="S271" i="2"/>
  <c r="U271" i="2"/>
  <c r="S287" i="2"/>
  <c r="U287" i="2"/>
  <c r="T303" i="2"/>
  <c r="U303" i="2"/>
  <c r="S319" i="2"/>
  <c r="U319" i="2"/>
  <c r="S335" i="2"/>
  <c r="U335" i="2"/>
  <c r="S351" i="2"/>
  <c r="U351" i="2"/>
  <c r="T367" i="2"/>
  <c r="U367" i="2"/>
  <c r="S383" i="2"/>
  <c r="U383" i="2"/>
  <c r="S399" i="2"/>
  <c r="U399" i="2"/>
  <c r="S415" i="2"/>
  <c r="U415" i="2"/>
  <c r="T431" i="2"/>
  <c r="U431" i="2"/>
  <c r="S447" i="2"/>
  <c r="U447" i="2"/>
  <c r="S463" i="2"/>
  <c r="U463" i="2"/>
  <c r="S479" i="2"/>
  <c r="U479" i="2"/>
  <c r="T495" i="2"/>
  <c r="U495" i="2"/>
  <c r="S511" i="2"/>
  <c r="U511" i="2"/>
  <c r="S527" i="2"/>
  <c r="U527" i="2"/>
  <c r="S543" i="2"/>
  <c r="U543" i="2"/>
  <c r="T559" i="2"/>
  <c r="U559" i="2"/>
  <c r="S575" i="2"/>
  <c r="U575" i="2"/>
  <c r="S591" i="2"/>
  <c r="U591" i="2"/>
  <c r="S607" i="2"/>
  <c r="U607" i="2"/>
  <c r="T623" i="2"/>
  <c r="U623" i="2"/>
  <c r="S639" i="2"/>
  <c r="U639" i="2"/>
  <c r="S655" i="2"/>
  <c r="U655" i="2"/>
  <c r="S671" i="2"/>
  <c r="U671" i="2"/>
  <c r="T687" i="2"/>
  <c r="U687" i="2"/>
  <c r="S703" i="2"/>
  <c r="U703" i="2"/>
  <c r="S719" i="2"/>
  <c r="U719" i="2"/>
  <c r="S735" i="2"/>
  <c r="U735" i="2"/>
  <c r="T751" i="2"/>
  <c r="U751" i="2"/>
  <c r="S767" i="2"/>
  <c r="U767" i="2"/>
  <c r="S783" i="2"/>
  <c r="U783" i="2"/>
  <c r="S799" i="2"/>
  <c r="U799" i="2"/>
  <c r="T815" i="2"/>
  <c r="U815" i="2"/>
  <c r="S831" i="2"/>
  <c r="U831" i="2"/>
  <c r="S847" i="2"/>
  <c r="U847" i="2"/>
  <c r="S863" i="2"/>
  <c r="U863" i="2"/>
  <c r="T879" i="2"/>
  <c r="U879" i="2"/>
  <c r="S895" i="2"/>
  <c r="U895" i="2"/>
  <c r="S911" i="2"/>
  <c r="U911" i="2"/>
  <c r="S927" i="2"/>
  <c r="U927" i="2"/>
  <c r="T943" i="2"/>
  <c r="U943" i="2"/>
  <c r="S959" i="2"/>
  <c r="U959" i="2"/>
  <c r="S975" i="2"/>
  <c r="U975" i="2"/>
  <c r="S991" i="2"/>
  <c r="U991" i="2"/>
  <c r="S54" i="2"/>
  <c r="S70" i="2"/>
  <c r="S86" i="2"/>
  <c r="S102" i="2"/>
  <c r="S118" i="2"/>
  <c r="S134" i="2"/>
  <c r="S150" i="2"/>
  <c r="S166" i="2"/>
  <c r="S182" i="2"/>
  <c r="S198" i="2"/>
  <c r="S214" i="2"/>
  <c r="S230" i="2"/>
  <c r="S246" i="2"/>
  <c r="S262" i="2"/>
  <c r="S278" i="2"/>
  <c r="S294" i="2"/>
  <c r="S310" i="2"/>
  <c r="S326" i="2"/>
  <c r="S342" i="2"/>
  <c r="S358" i="2"/>
  <c r="S374" i="2"/>
  <c r="S390" i="2"/>
  <c r="S406" i="2"/>
  <c r="S422" i="2"/>
  <c r="S438" i="2"/>
  <c r="S454" i="2"/>
  <c r="S470" i="2"/>
  <c r="S486" i="2"/>
  <c r="S502" i="2"/>
  <c r="S518" i="2"/>
  <c r="S534" i="2"/>
  <c r="S550" i="2"/>
  <c r="S582" i="2"/>
  <c r="T614" i="2"/>
  <c r="S39" i="2"/>
  <c r="S55" i="2"/>
  <c r="T71" i="2"/>
  <c r="S151" i="2"/>
  <c r="S167" i="2"/>
  <c r="S183" i="2"/>
  <c r="T199" i="2"/>
  <c r="S279" i="2"/>
  <c r="S295" i="2"/>
  <c r="S311" i="2"/>
  <c r="T327" i="2"/>
  <c r="S407" i="2"/>
  <c r="S423" i="2"/>
  <c r="S439" i="2"/>
  <c r="T455" i="2"/>
  <c r="S535" i="2"/>
  <c r="S551" i="2"/>
  <c r="S567" i="2"/>
  <c r="T583" i="2"/>
  <c r="S663" i="2"/>
  <c r="S679" i="2"/>
  <c r="S695" i="2"/>
  <c r="T711" i="2"/>
  <c r="S791" i="2"/>
  <c r="S807" i="2"/>
  <c r="S823" i="2"/>
  <c r="T839" i="2"/>
  <c r="S919" i="2"/>
  <c r="S935" i="2"/>
  <c r="S951" i="2"/>
  <c r="T967" i="2"/>
  <c r="U29" i="2"/>
  <c r="S29" i="2"/>
  <c r="T29" i="2"/>
  <c r="T32" i="2"/>
  <c r="S22" i="2"/>
  <c r="S32" i="2"/>
  <c r="U38" i="2"/>
  <c r="S38" i="2"/>
  <c r="T38" i="2"/>
  <c r="U34" i="2"/>
  <c r="S34" i="2"/>
  <c r="T34" i="2"/>
  <c r="S21" i="2"/>
  <c r="U21" i="2"/>
  <c r="U35" i="2"/>
  <c r="S35" i="2"/>
  <c r="T35" i="2"/>
  <c r="U19" i="2"/>
  <c r="S19" i="2"/>
  <c r="T19" i="2"/>
  <c r="S14" i="2"/>
  <c r="U14" i="2"/>
  <c r="S23" i="2"/>
  <c r="U23" i="2"/>
  <c r="S36" i="2"/>
  <c r="U36" i="2"/>
  <c r="T26" i="2"/>
  <c r="U26" i="2"/>
  <c r="S17" i="2"/>
  <c r="U17" i="2"/>
  <c r="S33" i="2"/>
  <c r="U33" i="2"/>
  <c r="S28" i="2"/>
  <c r="U28" i="2"/>
  <c r="S26" i="2"/>
  <c r="T13" i="2"/>
  <c r="T36" i="2"/>
  <c r="S11" i="2"/>
  <c r="U11" i="2"/>
  <c r="S31" i="2"/>
  <c r="U31" i="2"/>
  <c r="T18" i="2"/>
  <c r="U18" i="2"/>
  <c r="S16" i="2"/>
  <c r="U16" i="2"/>
  <c r="S25" i="2"/>
  <c r="U25" i="2"/>
  <c r="S12" i="2"/>
  <c r="U12" i="2"/>
  <c r="S27" i="2"/>
  <c r="U27" i="2"/>
  <c r="S30" i="2"/>
  <c r="U30" i="2"/>
  <c r="S37" i="2"/>
  <c r="U37" i="2"/>
  <c r="S13" i="2"/>
  <c r="T25" i="2"/>
  <c r="T40" i="2"/>
  <c r="T23" i="2"/>
  <c r="T79" i="2"/>
  <c r="T143" i="2"/>
  <c r="T207" i="2"/>
  <c r="T271" i="2"/>
  <c r="T335" i="2"/>
  <c r="T399" i="2"/>
  <c r="T463" i="2"/>
  <c r="T527" i="2"/>
  <c r="T591" i="2"/>
  <c r="T655" i="2"/>
  <c r="T719" i="2"/>
  <c r="T783" i="2"/>
  <c r="T847" i="2"/>
  <c r="T911" i="2"/>
  <c r="T975" i="2"/>
  <c r="T14" i="2"/>
  <c r="T21" i="2"/>
  <c r="T27" i="2"/>
  <c r="T63" i="2"/>
  <c r="T127" i="2"/>
  <c r="T191" i="2"/>
  <c r="T255" i="2"/>
  <c r="T319" i="2"/>
  <c r="T383" i="2"/>
  <c r="T447" i="2"/>
  <c r="T511" i="2"/>
  <c r="T575" i="2"/>
  <c r="T639" i="2"/>
  <c r="T703" i="2"/>
  <c r="T767" i="2"/>
  <c r="T831" i="2"/>
  <c r="T895" i="2"/>
  <c r="T959" i="2"/>
  <c r="T43" i="2"/>
  <c r="T59" i="2"/>
  <c r="T75" i="2"/>
  <c r="T91" i="2"/>
  <c r="T107" i="2"/>
  <c r="T123" i="2"/>
  <c r="T139" i="2"/>
  <c r="T155" i="2"/>
  <c r="T171" i="2"/>
  <c r="T187" i="2"/>
  <c r="T203" i="2"/>
  <c r="T219" i="2"/>
  <c r="T235" i="2"/>
  <c r="T251" i="2"/>
  <c r="T267" i="2"/>
  <c r="T283" i="2"/>
  <c r="T299" i="2"/>
  <c r="T315" i="2"/>
  <c r="T331" i="2"/>
  <c r="T347" i="2"/>
  <c r="T363" i="2"/>
  <c r="T379" i="2"/>
  <c r="T395" i="2"/>
  <c r="T411" i="2"/>
  <c r="T427" i="2"/>
  <c r="T443" i="2"/>
  <c r="T459" i="2"/>
  <c r="T475" i="2"/>
  <c r="T491" i="2"/>
  <c r="T507" i="2"/>
  <c r="T523" i="2"/>
  <c r="T539" i="2"/>
  <c r="T555" i="2"/>
  <c r="T571" i="2"/>
  <c r="T587" i="2"/>
  <c r="T603" i="2"/>
  <c r="T619" i="2"/>
  <c r="T635" i="2"/>
  <c r="T651" i="2"/>
  <c r="T667" i="2"/>
  <c r="T683" i="2"/>
  <c r="T699" i="2"/>
  <c r="T715" i="2"/>
  <c r="T731" i="2"/>
  <c r="T747" i="2"/>
  <c r="T763" i="2"/>
  <c r="T779" i="2"/>
  <c r="T795" i="2"/>
  <c r="T811" i="2"/>
  <c r="T827" i="2"/>
  <c r="T843" i="2"/>
  <c r="T859" i="2"/>
  <c r="T875" i="2"/>
  <c r="T891" i="2"/>
  <c r="T907" i="2"/>
  <c r="T923" i="2"/>
  <c r="T939" i="2"/>
  <c r="T955" i="2"/>
  <c r="T971" i="2"/>
  <c r="T987" i="2"/>
  <c r="T45" i="2"/>
  <c r="S45" i="2"/>
  <c r="T77" i="2"/>
  <c r="S77" i="2"/>
  <c r="T125" i="2"/>
  <c r="S125" i="2"/>
  <c r="T141" i="2"/>
  <c r="S141" i="2"/>
  <c r="T189" i="2"/>
  <c r="S189" i="2"/>
  <c r="T205" i="2"/>
  <c r="S205" i="2"/>
  <c r="T253" i="2"/>
  <c r="S253" i="2"/>
  <c r="T301" i="2"/>
  <c r="S301" i="2"/>
  <c r="T317" i="2"/>
  <c r="S317" i="2"/>
  <c r="T333" i="2"/>
  <c r="S333" i="2"/>
  <c r="T381" i="2"/>
  <c r="S381" i="2"/>
  <c r="T397" i="2"/>
  <c r="S397" i="2"/>
  <c r="T413" i="2"/>
  <c r="S413" i="2"/>
  <c r="T445" i="2"/>
  <c r="S445" i="2"/>
  <c r="T477" i="2"/>
  <c r="S477" i="2"/>
  <c r="T493" i="2"/>
  <c r="S493" i="2"/>
  <c r="T509" i="2"/>
  <c r="S509" i="2"/>
  <c r="T525" i="2"/>
  <c r="S525" i="2"/>
  <c r="T549" i="2"/>
  <c r="S549" i="2"/>
  <c r="T573" i="2"/>
  <c r="S573" i="2"/>
  <c r="T593" i="2"/>
  <c r="S593" i="2"/>
  <c r="T613" i="2"/>
  <c r="S613" i="2"/>
  <c r="T637" i="2"/>
  <c r="S637" i="2"/>
  <c r="T657" i="2"/>
  <c r="S657" i="2"/>
  <c r="T533" i="2"/>
  <c r="S533" i="2"/>
  <c r="T585" i="2"/>
  <c r="S585" i="2"/>
  <c r="S649" i="2"/>
  <c r="T649" i="2"/>
  <c r="T701" i="2"/>
  <c r="S701" i="2"/>
  <c r="T717" i="2"/>
  <c r="S717" i="2"/>
  <c r="T733" i="2"/>
  <c r="S733" i="2"/>
  <c r="T749" i="2"/>
  <c r="S749" i="2"/>
  <c r="T765" i="2"/>
  <c r="S765" i="2"/>
  <c r="T781" i="2"/>
  <c r="S781" i="2"/>
  <c r="T797" i="2"/>
  <c r="S797" i="2"/>
  <c r="T813" i="2"/>
  <c r="S813" i="2"/>
  <c r="T829" i="2"/>
  <c r="S829" i="2"/>
  <c r="T845" i="2"/>
  <c r="S845" i="2"/>
  <c r="T861" i="2"/>
  <c r="S861" i="2"/>
  <c r="T877" i="2"/>
  <c r="S877" i="2"/>
  <c r="T893" i="2"/>
  <c r="S893" i="2"/>
  <c r="T909" i="2"/>
  <c r="S909" i="2"/>
  <c r="T925" i="2"/>
  <c r="S925" i="2"/>
  <c r="T941" i="2"/>
  <c r="S941" i="2"/>
  <c r="T957" i="2"/>
  <c r="S957" i="2"/>
  <c r="T973" i="2"/>
  <c r="S973" i="2"/>
  <c r="T989" i="2"/>
  <c r="S989" i="2"/>
  <c r="T41" i="2"/>
  <c r="S41" i="2"/>
  <c r="T57" i="2"/>
  <c r="S57" i="2"/>
  <c r="T73" i="2"/>
  <c r="S73" i="2"/>
  <c r="T89" i="2"/>
  <c r="S89" i="2"/>
  <c r="T105" i="2"/>
  <c r="S105" i="2"/>
  <c r="T121" i="2"/>
  <c r="S121" i="2"/>
  <c r="T137" i="2"/>
  <c r="S137" i="2"/>
  <c r="T153" i="2"/>
  <c r="S153" i="2"/>
  <c r="T169" i="2"/>
  <c r="S169" i="2"/>
  <c r="T185" i="2"/>
  <c r="S185" i="2"/>
  <c r="T201" i="2"/>
  <c r="S201" i="2"/>
  <c r="T217" i="2"/>
  <c r="S217" i="2"/>
  <c r="T233" i="2"/>
  <c r="S233" i="2"/>
  <c r="T249" i="2"/>
  <c r="S249" i="2"/>
  <c r="T265" i="2"/>
  <c r="S265" i="2"/>
  <c r="T281" i="2"/>
  <c r="S281" i="2"/>
  <c r="T297" i="2"/>
  <c r="S297" i="2"/>
  <c r="T313" i="2"/>
  <c r="S313" i="2"/>
  <c r="T329" i="2"/>
  <c r="S329" i="2"/>
  <c r="T345" i="2"/>
  <c r="S345" i="2"/>
  <c r="T361" i="2"/>
  <c r="S361" i="2"/>
  <c r="T377" i="2"/>
  <c r="S377" i="2"/>
  <c r="T393" i="2"/>
  <c r="S393" i="2"/>
  <c r="T409" i="2"/>
  <c r="S409" i="2"/>
  <c r="T425" i="2"/>
  <c r="S425" i="2"/>
  <c r="T441" i="2"/>
  <c r="S441" i="2"/>
  <c r="T457" i="2"/>
  <c r="S457" i="2"/>
  <c r="T473" i="2"/>
  <c r="S473" i="2"/>
  <c r="T489" i="2"/>
  <c r="S489" i="2"/>
  <c r="T505" i="2"/>
  <c r="S505" i="2"/>
  <c r="T521" i="2"/>
  <c r="S521" i="2"/>
  <c r="T541" i="2"/>
  <c r="S541" i="2"/>
  <c r="T565" i="2"/>
  <c r="S565" i="2"/>
  <c r="T589" i="2"/>
  <c r="S589" i="2"/>
  <c r="T609" i="2"/>
  <c r="S609" i="2"/>
  <c r="T629" i="2"/>
  <c r="S629" i="2"/>
  <c r="T653" i="2"/>
  <c r="S653" i="2"/>
  <c r="T673" i="2"/>
  <c r="S673" i="2"/>
  <c r="S693" i="2"/>
  <c r="T693" i="2"/>
  <c r="T569" i="2"/>
  <c r="S569" i="2"/>
  <c r="T633" i="2"/>
  <c r="S633" i="2"/>
  <c r="S697" i="2"/>
  <c r="T697" i="2"/>
  <c r="S713" i="2"/>
  <c r="T713" i="2"/>
  <c r="S729" i="2"/>
  <c r="T729" i="2"/>
  <c r="S745" i="2"/>
  <c r="T745" i="2"/>
  <c r="S761" i="2"/>
  <c r="T761" i="2"/>
  <c r="T777" i="2"/>
  <c r="S777" i="2"/>
  <c r="T793" i="2"/>
  <c r="S793" i="2"/>
  <c r="T809" i="2"/>
  <c r="S809" i="2"/>
  <c r="T825" i="2"/>
  <c r="S825" i="2"/>
  <c r="T841" i="2"/>
  <c r="S841" i="2"/>
  <c r="T857" i="2"/>
  <c r="S857" i="2"/>
  <c r="T873" i="2"/>
  <c r="S873" i="2"/>
  <c r="T889" i="2"/>
  <c r="S889" i="2"/>
  <c r="T905" i="2"/>
  <c r="S905" i="2"/>
  <c r="T921" i="2"/>
  <c r="S921" i="2"/>
  <c r="T937" i="2"/>
  <c r="S937" i="2"/>
  <c r="T953" i="2"/>
  <c r="S953" i="2"/>
  <c r="T969" i="2"/>
  <c r="S969" i="2"/>
  <c r="T985" i="2"/>
  <c r="S985" i="2"/>
  <c r="T93" i="2"/>
  <c r="S93" i="2"/>
  <c r="T157" i="2"/>
  <c r="S157" i="2"/>
  <c r="T221" i="2"/>
  <c r="S221" i="2"/>
  <c r="T269" i="2"/>
  <c r="S269" i="2"/>
  <c r="T349" i="2"/>
  <c r="S349" i="2"/>
  <c r="T461" i="2"/>
  <c r="S461" i="2"/>
  <c r="T53" i="2"/>
  <c r="S53" i="2"/>
  <c r="T69" i="2"/>
  <c r="S69" i="2"/>
  <c r="T85" i="2"/>
  <c r="S85" i="2"/>
  <c r="T101" i="2"/>
  <c r="S101" i="2"/>
  <c r="T117" i="2"/>
  <c r="S117" i="2"/>
  <c r="T133" i="2"/>
  <c r="S133" i="2"/>
  <c r="T149" i="2"/>
  <c r="S149" i="2"/>
  <c r="T165" i="2"/>
  <c r="S165" i="2"/>
  <c r="T181" i="2"/>
  <c r="S181" i="2"/>
  <c r="T197" i="2"/>
  <c r="S197" i="2"/>
  <c r="T213" i="2"/>
  <c r="S213" i="2"/>
  <c r="T229" i="2"/>
  <c r="S229" i="2"/>
  <c r="T245" i="2"/>
  <c r="S245" i="2"/>
  <c r="T261" i="2"/>
  <c r="S261" i="2"/>
  <c r="T277" i="2"/>
  <c r="S277" i="2"/>
  <c r="T293" i="2"/>
  <c r="S293" i="2"/>
  <c r="T309" i="2"/>
  <c r="S309" i="2"/>
  <c r="T325" i="2"/>
  <c r="S325" i="2"/>
  <c r="T341" i="2"/>
  <c r="S341" i="2"/>
  <c r="T357" i="2"/>
  <c r="S357" i="2"/>
  <c r="T373" i="2"/>
  <c r="S373" i="2"/>
  <c r="T389" i="2"/>
  <c r="S389" i="2"/>
  <c r="T405" i="2"/>
  <c r="S405" i="2"/>
  <c r="T421" i="2"/>
  <c r="S421" i="2"/>
  <c r="T437" i="2"/>
  <c r="S437" i="2"/>
  <c r="T453" i="2"/>
  <c r="S453" i="2"/>
  <c r="T469" i="2"/>
  <c r="S469" i="2"/>
  <c r="T485" i="2"/>
  <c r="S485" i="2"/>
  <c r="T501" i="2"/>
  <c r="S501" i="2"/>
  <c r="T517" i="2"/>
  <c r="S517" i="2"/>
  <c r="T537" i="2"/>
  <c r="S537" i="2"/>
  <c r="T561" i="2"/>
  <c r="S561" i="2"/>
  <c r="T581" i="2"/>
  <c r="S581" i="2"/>
  <c r="T605" i="2"/>
  <c r="S605" i="2"/>
  <c r="T625" i="2"/>
  <c r="S625" i="2"/>
  <c r="S645" i="2"/>
  <c r="T645" i="2"/>
  <c r="T669" i="2"/>
  <c r="S669" i="2"/>
  <c r="T689" i="2"/>
  <c r="S689" i="2"/>
  <c r="T553" i="2"/>
  <c r="S553" i="2"/>
  <c r="T617" i="2"/>
  <c r="S617" i="2"/>
  <c r="S681" i="2"/>
  <c r="T681" i="2"/>
  <c r="S709" i="2"/>
  <c r="T709" i="2"/>
  <c r="S725" i="2"/>
  <c r="T725" i="2"/>
  <c r="S741" i="2"/>
  <c r="T741" i="2"/>
  <c r="S757" i="2"/>
  <c r="T757" i="2"/>
  <c r="T773" i="2"/>
  <c r="S773" i="2"/>
  <c r="T789" i="2"/>
  <c r="S789" i="2"/>
  <c r="T805" i="2"/>
  <c r="S805" i="2"/>
  <c r="T821" i="2"/>
  <c r="S821" i="2"/>
  <c r="T837" i="2"/>
  <c r="S837" i="2"/>
  <c r="T853" i="2"/>
  <c r="S853" i="2"/>
  <c r="T869" i="2"/>
  <c r="S869" i="2"/>
  <c r="T885" i="2"/>
  <c r="S885" i="2"/>
  <c r="T901" i="2"/>
  <c r="S901" i="2"/>
  <c r="T917" i="2"/>
  <c r="S917" i="2"/>
  <c r="T933" i="2"/>
  <c r="S933" i="2"/>
  <c r="T949" i="2"/>
  <c r="S949" i="2"/>
  <c r="T965" i="2"/>
  <c r="S965" i="2"/>
  <c r="T981" i="2"/>
  <c r="S981" i="2"/>
  <c r="T997" i="2"/>
  <c r="S997" i="2"/>
  <c r="T61" i="2"/>
  <c r="S61" i="2"/>
  <c r="T109" i="2"/>
  <c r="S109" i="2"/>
  <c r="T173" i="2"/>
  <c r="S173" i="2"/>
  <c r="T237" i="2"/>
  <c r="S237" i="2"/>
  <c r="T285" i="2"/>
  <c r="S285" i="2"/>
  <c r="T365" i="2"/>
  <c r="S365" i="2"/>
  <c r="T429" i="2"/>
  <c r="S429" i="2"/>
  <c r="S677" i="2"/>
  <c r="T677" i="2"/>
  <c r="T49" i="2"/>
  <c r="S49" i="2"/>
  <c r="T65" i="2"/>
  <c r="S65" i="2"/>
  <c r="T81" i="2"/>
  <c r="S81" i="2"/>
  <c r="T97" i="2"/>
  <c r="S97" i="2"/>
  <c r="T113" i="2"/>
  <c r="S113" i="2"/>
  <c r="T129" i="2"/>
  <c r="S129" i="2"/>
  <c r="T145" i="2"/>
  <c r="S145" i="2"/>
  <c r="T161" i="2"/>
  <c r="S161" i="2"/>
  <c r="T177" i="2"/>
  <c r="S177" i="2"/>
  <c r="T193" i="2"/>
  <c r="S193" i="2"/>
  <c r="T209" i="2"/>
  <c r="S209" i="2"/>
  <c r="T225" i="2"/>
  <c r="S225" i="2"/>
  <c r="T241" i="2"/>
  <c r="S241" i="2"/>
  <c r="T257" i="2"/>
  <c r="S257" i="2"/>
  <c r="T273" i="2"/>
  <c r="S273" i="2"/>
  <c r="T289" i="2"/>
  <c r="S289" i="2"/>
  <c r="T305" i="2"/>
  <c r="S305" i="2"/>
  <c r="T321" i="2"/>
  <c r="S321" i="2"/>
  <c r="T337" i="2"/>
  <c r="S337" i="2"/>
  <c r="T353" i="2"/>
  <c r="S353" i="2"/>
  <c r="T369" i="2"/>
  <c r="S369" i="2"/>
  <c r="T385" i="2"/>
  <c r="S385" i="2"/>
  <c r="T401" i="2"/>
  <c r="S401" i="2"/>
  <c r="T417" i="2"/>
  <c r="S417" i="2"/>
  <c r="T433" i="2"/>
  <c r="S433" i="2"/>
  <c r="T449" i="2"/>
  <c r="S449" i="2"/>
  <c r="T465" i="2"/>
  <c r="S465" i="2"/>
  <c r="T481" i="2"/>
  <c r="S481" i="2"/>
  <c r="T497" i="2"/>
  <c r="S497" i="2"/>
  <c r="T513" i="2"/>
  <c r="S513" i="2"/>
  <c r="T529" i="2"/>
  <c r="S529" i="2"/>
  <c r="T557" i="2"/>
  <c r="S557" i="2"/>
  <c r="T577" i="2"/>
  <c r="S577" i="2"/>
  <c r="T597" i="2"/>
  <c r="S597" i="2"/>
  <c r="T621" i="2"/>
  <c r="S621" i="2"/>
  <c r="T641" i="2"/>
  <c r="S641" i="2"/>
  <c r="S661" i="2"/>
  <c r="T661" i="2"/>
  <c r="T685" i="2"/>
  <c r="S685" i="2"/>
  <c r="T545" i="2"/>
  <c r="S545" i="2"/>
  <c r="T601" i="2"/>
  <c r="S601" i="2"/>
  <c r="S665" i="2"/>
  <c r="T665" i="2"/>
  <c r="T705" i="2"/>
  <c r="S705" i="2"/>
  <c r="T721" i="2"/>
  <c r="S721" i="2"/>
  <c r="T737" i="2"/>
  <c r="S737" i="2"/>
  <c r="T753" i="2"/>
  <c r="S753" i="2"/>
  <c r="T769" i="2"/>
  <c r="S769" i="2"/>
  <c r="T785" i="2"/>
  <c r="S785" i="2"/>
  <c r="T801" i="2"/>
  <c r="S801" i="2"/>
  <c r="T817" i="2"/>
  <c r="S817" i="2"/>
  <c r="T833" i="2"/>
  <c r="S833" i="2"/>
  <c r="T849" i="2"/>
  <c r="S849" i="2"/>
  <c r="T865" i="2"/>
  <c r="S865" i="2"/>
  <c r="T881" i="2"/>
  <c r="S881" i="2"/>
  <c r="T897" i="2"/>
  <c r="S897" i="2"/>
  <c r="T913" i="2"/>
  <c r="S913" i="2"/>
  <c r="T929" i="2"/>
  <c r="S929" i="2"/>
  <c r="T945" i="2"/>
  <c r="S945" i="2"/>
  <c r="T961" i="2"/>
  <c r="S961" i="2"/>
  <c r="T977" i="2"/>
  <c r="S977" i="2"/>
  <c r="T993" i="2"/>
  <c r="S993" i="2"/>
  <c r="O2" i="2"/>
  <c r="Q2" i="2"/>
  <c r="R10" i="2"/>
  <c r="U10" i="2" s="1"/>
  <c r="T10" i="2" l="1"/>
  <c r="R2" i="2"/>
  <c r="R4" i="2" s="1"/>
  <c r="S10" i="2"/>
  <c r="S2" i="2" l="1"/>
  <c r="S4" i="2" s="1"/>
  <c r="T2" i="2"/>
  <c r="T4" i="2" s="1"/>
</calcChain>
</file>

<file path=xl/sharedStrings.xml><?xml version="1.0" encoding="utf-8"?>
<sst xmlns="http://schemas.openxmlformats.org/spreadsheetml/2006/main" count="8942" uniqueCount="1527">
  <si>
    <t>Date</t>
  </si>
  <si>
    <t>Stock</t>
  </si>
  <si>
    <t>Action</t>
  </si>
  <si>
    <t>Qty</t>
  </si>
  <si>
    <t>Price</t>
  </si>
  <si>
    <t>Trade Value</t>
  </si>
  <si>
    <t>Order Ref.</t>
  </si>
  <si>
    <t>Settlement</t>
  </si>
  <si>
    <t>Segment</t>
  </si>
  <si>
    <t>DP Id - Client DP Id</t>
  </si>
  <si>
    <t>Exchange</t>
  </si>
  <si>
    <t>STT</t>
  </si>
  <si>
    <t>Transaction and SEBI Turnover charges</t>
  </si>
  <si>
    <t>Stamp Duty</t>
  </si>
  <si>
    <t>Brokerage + Service Tax</t>
  </si>
  <si>
    <t>Brokerage incl. taxes</t>
  </si>
  <si>
    <t>LTOVER</t>
  </si>
  <si>
    <t>Buy</t>
  </si>
  <si>
    <t>20171214B200011330</t>
  </si>
  <si>
    <t>Rolling</t>
  </si>
  <si>
    <t>IN302679-38296183</t>
  </si>
  <si>
    <t>BSE</t>
  </si>
  <si>
    <t>KOHFOO</t>
  </si>
  <si>
    <t>Sell</t>
  </si>
  <si>
    <t>20171214N200024296</t>
  </si>
  <si>
    <t>NSE</t>
  </si>
  <si>
    <t>GATLIM</t>
  </si>
  <si>
    <t>20171208N100025107</t>
  </si>
  <si>
    <t>20171208N400021198</t>
  </si>
  <si>
    <t>GMRINF</t>
  </si>
  <si>
    <t>20171206N100003917</t>
  </si>
  <si>
    <t>20171201B300008618</t>
  </si>
  <si>
    <t>20171121B300010264</t>
  </si>
  <si>
    <t>20171121B300011972</t>
  </si>
  <si>
    <t>20171116B300006963</t>
  </si>
  <si>
    <t>RELDEF</t>
  </si>
  <si>
    <t>20171004B300006524</t>
  </si>
  <si>
    <t>20170922B100007059</t>
  </si>
  <si>
    <t>20170623B100010048</t>
  </si>
  <si>
    <t>20170623B300004731</t>
  </si>
  <si>
    <t>20170621B300005278</t>
  </si>
  <si>
    <t>20170511B300004232</t>
  </si>
  <si>
    <t>20170502B300008484</t>
  </si>
  <si>
    <t>20170411B300005171</t>
  </si>
  <si>
    <t>20170330B300005168</t>
  </si>
  <si>
    <t>20170324B200004466</t>
  </si>
  <si>
    <t>MANAFI</t>
  </si>
  <si>
    <t>20170324B300005892</t>
  </si>
  <si>
    <t>20170314B300012194</t>
  </si>
  <si>
    <t>TVSMOT</t>
  </si>
  <si>
    <t>20161102B300011127</t>
  </si>
  <si>
    <t>JBCHEM</t>
  </si>
  <si>
    <t>20161102B300011216</t>
  </si>
  <si>
    <t>20161027B300008864</t>
  </si>
  <si>
    <t>ARVLIM</t>
  </si>
  <si>
    <t>20161025B300011486</t>
  </si>
  <si>
    <t>MINLIM</t>
  </si>
  <si>
    <t>20161024B300011086</t>
  </si>
  <si>
    <t>20161018B300009004</t>
  </si>
  <si>
    <t>20161018B300010645</t>
  </si>
  <si>
    <t>20160930B300013978</t>
  </si>
  <si>
    <t>20160930B300013990</t>
  </si>
  <si>
    <t>20160914B300009614</t>
  </si>
  <si>
    <t>20160831B300008786</t>
  </si>
  <si>
    <t>20160801B300012540</t>
  </si>
  <si>
    <t>PUNBAN</t>
  </si>
  <si>
    <t>20160721B300009291</t>
  </si>
  <si>
    <t>20160721B300009323</t>
  </si>
  <si>
    <t>TATPOW</t>
  </si>
  <si>
    <t>20160714B300014295</t>
  </si>
  <si>
    <t>20160714B300014314</t>
  </si>
  <si>
    <t>20160624B100022418</t>
  </si>
  <si>
    <t>20160322B100002433</t>
  </si>
  <si>
    <t>20160216B100003721</t>
  </si>
  <si>
    <t>INFTEC</t>
  </si>
  <si>
    <t>20160129B100005467</t>
  </si>
  <si>
    <t>20160104B100007560</t>
  </si>
  <si>
    <t>20151224B100005141</t>
  </si>
  <si>
    <t>20151217B100003547</t>
  </si>
  <si>
    <t>20150817B100006875</t>
  </si>
  <si>
    <t>SUNADV</t>
  </si>
  <si>
    <t>20150817B100006879</t>
  </si>
  <si>
    <t>20150817B100006923</t>
  </si>
  <si>
    <t>20150715B100005559</t>
  </si>
  <si>
    <t>20150710B100002164</t>
  </si>
  <si>
    <t>20150612B100001779</t>
  </si>
  <si>
    <t>20150417B100007333</t>
  </si>
  <si>
    <t>20150413B100000039</t>
  </si>
  <si>
    <t>20150407N700000957</t>
  </si>
  <si>
    <t>JAIPOW</t>
  </si>
  <si>
    <t>20150324N700009087</t>
  </si>
  <si>
    <t>20150318B700000064</t>
  </si>
  <si>
    <t>20150310B100005782</t>
  </si>
  <si>
    <t>20150228B100004273</t>
  </si>
  <si>
    <t>20150218B100010899</t>
  </si>
  <si>
    <t>20150115B100003762</t>
  </si>
  <si>
    <t>20150109B100000091</t>
  </si>
  <si>
    <t>20141222B100001540</t>
  </si>
  <si>
    <t>CENBAN</t>
  </si>
  <si>
    <t>20141211B100005938</t>
  </si>
  <si>
    <t>ASHLEY</t>
  </si>
  <si>
    <t>20141211B100005948</t>
  </si>
  <si>
    <t>20141209B100003853</t>
  </si>
  <si>
    <t>20141205B100002362</t>
  </si>
  <si>
    <t>20141205B100002363</t>
  </si>
  <si>
    <t>RELPOW</t>
  </si>
  <si>
    <t>20141204N600007323</t>
  </si>
  <si>
    <t>20141204N700001366</t>
  </si>
  <si>
    <t>20140703N600012366</t>
  </si>
  <si>
    <t>20140703N700007915</t>
  </si>
  <si>
    <t>20140703N700013905</t>
  </si>
  <si>
    <t>SUNPHA</t>
  </si>
  <si>
    <t>20140630N600005926</t>
  </si>
  <si>
    <t>20140620N700006832</t>
  </si>
  <si>
    <t>20140618B100001873</t>
  </si>
  <si>
    <t>JAIASS</t>
  </si>
  <si>
    <t>20140605B100004621</t>
  </si>
  <si>
    <t>20140605N700012601</t>
  </si>
  <si>
    <t>20140527N600001150</t>
  </si>
  <si>
    <t>HINCOP</t>
  </si>
  <si>
    <t>20140516N700016366</t>
  </si>
  <si>
    <t>20140516N700025700</t>
  </si>
  <si>
    <t>NHPC</t>
  </si>
  <si>
    <t>20140515N600005948</t>
  </si>
  <si>
    <t>20140515N700007835</t>
  </si>
  <si>
    <t>20140423N600004115</t>
  </si>
  <si>
    <t>20140417N500012593</t>
  </si>
  <si>
    <t>20140411B100004925</t>
  </si>
  <si>
    <t>MUTFIN</t>
  </si>
  <si>
    <t>20140404N600002190</t>
  </si>
  <si>
    <t>20140217B100003970</t>
  </si>
  <si>
    <t>LANINF</t>
  </si>
  <si>
    <t>20140217N500008838</t>
  </si>
  <si>
    <t>20131227N500016137</t>
  </si>
  <si>
    <t>20131227N600007339</t>
  </si>
  <si>
    <t>20131209N600006714</t>
  </si>
  <si>
    <t>20131103N600000141</t>
  </si>
  <si>
    <t>20131007N600004759</t>
  </si>
  <si>
    <t>ZENINF</t>
  </si>
  <si>
    <t>20130916B100006924</t>
  </si>
  <si>
    <t>TT</t>
  </si>
  <si>
    <t>20130911B100005275</t>
  </si>
  <si>
    <t>20130722N600000032</t>
  </si>
  <si>
    <t>20130715N500012051</t>
  </si>
  <si>
    <t>20130708B100001936</t>
  </si>
  <si>
    <t>20130520B100002658</t>
  </si>
  <si>
    <t>20130319N600003247</t>
  </si>
  <si>
    <t>20130108N500013186</t>
  </si>
  <si>
    <t>20121231N500007436</t>
  </si>
  <si>
    <t>20121231N600001615</t>
  </si>
  <si>
    <t>20121226N600000243</t>
  </si>
  <si>
    <t>20121220N600000154</t>
  </si>
  <si>
    <t>20120619N100000027</t>
  </si>
  <si>
    <t>20120327N900002419</t>
  </si>
  <si>
    <t>Row Labels</t>
  </si>
  <si>
    <t>Grand Total</t>
  </si>
  <si>
    <t>Sum of Trade Value</t>
  </si>
  <si>
    <t>Values</t>
  </si>
  <si>
    <t>Sum of Brokerage incl. taxes</t>
  </si>
  <si>
    <t>Sum of Qty</t>
  </si>
  <si>
    <t>Sum of Price</t>
  </si>
  <si>
    <t>BuyVal</t>
  </si>
  <si>
    <t xml:space="preserve">SELL Lookup </t>
  </si>
  <si>
    <t>Stk</t>
  </si>
  <si>
    <t>SQTY</t>
  </si>
  <si>
    <t>SellValue</t>
  </si>
  <si>
    <t>Sell Val</t>
  </si>
  <si>
    <t>QtyDiff</t>
  </si>
  <si>
    <t>ValDiff</t>
  </si>
  <si>
    <t>P/L</t>
  </si>
  <si>
    <t>P</t>
  </si>
  <si>
    <t>L</t>
  </si>
  <si>
    <t>Analysis</t>
  </si>
  <si>
    <t>20171214B200011228</t>
  </si>
  <si>
    <t>20171219N300022461</t>
  </si>
  <si>
    <t>20171228N300020983</t>
  </si>
  <si>
    <t>20171228N900018934</t>
  </si>
  <si>
    <t>SUZENE</t>
  </si>
  <si>
    <t>20171222N900018064</t>
  </si>
  <si>
    <t>FINCHE</t>
  </si>
  <si>
    <t>20180102N300037617</t>
  </si>
  <si>
    <t>20180102N900018763</t>
  </si>
  <si>
    <t>20180101N300027607</t>
  </si>
  <si>
    <t>20180101N300032556</t>
  </si>
  <si>
    <t>20180101N300032614</t>
  </si>
  <si>
    <t>20171229N300024242</t>
  </si>
  <si>
    <t>20171229N300038123</t>
  </si>
  <si>
    <t>BANMAH</t>
  </si>
  <si>
    <t>20180105N200000985</t>
  </si>
  <si>
    <t>20180105N300045940</t>
  </si>
  <si>
    <t>BURCEM</t>
  </si>
  <si>
    <t>20180104N200001169</t>
  </si>
  <si>
    <t>SJVLIM</t>
  </si>
  <si>
    <t>20180104N300035739</t>
  </si>
  <si>
    <t>20180104N300035979</t>
  </si>
  <si>
    <t>BHEL</t>
  </si>
  <si>
    <t>20180103N300032732</t>
  </si>
  <si>
    <t>20180110N300023054</t>
  </si>
  <si>
    <t>20180110N300024964</t>
  </si>
  <si>
    <t>20180110N300025510</t>
  </si>
  <si>
    <t>20180109N300036299</t>
  </si>
  <si>
    <t>20180109N300036397</t>
  </si>
  <si>
    <t>20180109N300038251</t>
  </si>
  <si>
    <t>20180109N300040691</t>
  </si>
  <si>
    <t>20180109N300042790</t>
  </si>
  <si>
    <t>SINPLA</t>
  </si>
  <si>
    <t>20180112N300024521</t>
  </si>
  <si>
    <t>DISHTV</t>
  </si>
  <si>
    <t>20180112N300025051</t>
  </si>
  <si>
    <t>20180112N300025284</t>
  </si>
  <si>
    <t>20180112N300028804</t>
  </si>
  <si>
    <t>20180112N300028903</t>
  </si>
  <si>
    <t>20180112N300032365</t>
  </si>
  <si>
    <t>20180112N300041069</t>
  </si>
  <si>
    <t>HTMED</t>
  </si>
  <si>
    <t>20180112N300043044</t>
  </si>
  <si>
    <t>20180112N300044879</t>
  </si>
  <si>
    <t>20180111N300026217</t>
  </si>
  <si>
    <t>20180111N300028781</t>
  </si>
  <si>
    <t>20180111N300040838</t>
  </si>
  <si>
    <t>20180117N300024103</t>
  </si>
  <si>
    <t>20180117N300024164</t>
  </si>
  <si>
    <t>20180117N300026235</t>
  </si>
  <si>
    <t>20180117N300030192</t>
  </si>
  <si>
    <t>20180117N300030292</t>
  </si>
  <si>
    <t>20180117N300034959</t>
  </si>
  <si>
    <t>ZEEENT</t>
  </si>
  <si>
    <t>20180117N300040526</t>
  </si>
  <si>
    <t>20180116N300031182</t>
  </si>
  <si>
    <t>20180116N300044946</t>
  </si>
  <si>
    <t>NETW18</t>
  </si>
  <si>
    <t>20180115N300025674</t>
  </si>
  <si>
    <t>20180115N300026137</t>
  </si>
  <si>
    <t>RELIND</t>
  </si>
  <si>
    <t>20180115N300026819</t>
  </si>
  <si>
    <t>20180115N300026884</t>
  </si>
  <si>
    <t>20180115N300028379</t>
  </si>
  <si>
    <t>JSWSTE</t>
  </si>
  <si>
    <t>20180115N300029163</t>
  </si>
  <si>
    <t>20180115N300029374</t>
  </si>
  <si>
    <t>20180115N300031845</t>
  </si>
  <si>
    <t>20180115N300034185</t>
  </si>
  <si>
    <t>20180115N300034342</t>
  </si>
  <si>
    <t>20180115N300035246</t>
  </si>
  <si>
    <t>20180115N300044603</t>
  </si>
  <si>
    <t>SREINF</t>
  </si>
  <si>
    <t>20180118N300022150</t>
  </si>
  <si>
    <t>MASTEK</t>
  </si>
  <si>
    <t>20180118N300037300</t>
  </si>
  <si>
    <t>20180118N300037365</t>
  </si>
  <si>
    <t>20180118N900019468</t>
  </si>
  <si>
    <t>PRAIND</t>
  </si>
  <si>
    <t>20180122N300023763</t>
  </si>
  <si>
    <t>20180122N300023882</t>
  </si>
  <si>
    <t>20180119N300020287</t>
  </si>
  <si>
    <t>20180119N300020381</t>
  </si>
  <si>
    <t>PCJEW</t>
  </si>
  <si>
    <t>20180119N300030124</t>
  </si>
  <si>
    <t>20180119N300030531</t>
  </si>
  <si>
    <t>20180119N300032868</t>
  </si>
  <si>
    <t>20180119N300034464</t>
  </si>
  <si>
    <t>20180119N300034624</t>
  </si>
  <si>
    <t>20180119N300034771</t>
  </si>
  <si>
    <t>20180119N300034975</t>
  </si>
  <si>
    <t>20180119N300036498</t>
  </si>
  <si>
    <t>20180119N300036535</t>
  </si>
  <si>
    <t>20180119N300037124</t>
  </si>
  <si>
    <t>20180119N300038058</t>
  </si>
  <si>
    <t>STABAN</t>
  </si>
  <si>
    <t>20180125N300022051</t>
  </si>
  <si>
    <t>BANBAR</t>
  </si>
  <si>
    <t>20180125N300022259</t>
  </si>
  <si>
    <t>20180125N300037225</t>
  </si>
  <si>
    <t>20180125N900017806</t>
  </si>
  <si>
    <t>20180125N900017824</t>
  </si>
  <si>
    <t>20180123N300025914</t>
  </si>
  <si>
    <t>MENBEA</t>
  </si>
  <si>
    <t>20180123N300033763</t>
  </si>
  <si>
    <t>20180123N300034407</t>
  </si>
  <si>
    <t>CANHOM</t>
  </si>
  <si>
    <t>20180123N300034606</t>
  </si>
  <si>
    <t>20180123N300034712</t>
  </si>
  <si>
    <t>BIOCON</t>
  </si>
  <si>
    <t>20180206N300040909</t>
  </si>
  <si>
    <t>20180206N300044031</t>
  </si>
  <si>
    <t>20180206N300044736</t>
  </si>
  <si>
    <t>20180206N300050080</t>
  </si>
  <si>
    <t>20180206N900019901</t>
  </si>
  <si>
    <t>VAKRAN</t>
  </si>
  <si>
    <t>20180205B300015638</t>
  </si>
  <si>
    <t>20180202N200013648</t>
  </si>
  <si>
    <t>BHAELE</t>
  </si>
  <si>
    <t>20180202N300020032</t>
  </si>
  <si>
    <t>20180202N300025376</t>
  </si>
  <si>
    <t>20180131N300041988</t>
  </si>
  <si>
    <t>20180131N900021200</t>
  </si>
  <si>
    <t>BHUST</t>
  </si>
  <si>
    <t>20180129B300011483</t>
  </si>
  <si>
    <t>20180129N300023752</t>
  </si>
  <si>
    <t>20180129N300023811</t>
  </si>
  <si>
    <t>20180208N300033164</t>
  </si>
  <si>
    <t>20180208N300034127</t>
  </si>
  <si>
    <t>20180208N300034279</t>
  </si>
  <si>
    <t>20180208N300035918</t>
  </si>
  <si>
    <t>20180208N300038133</t>
  </si>
  <si>
    <t>20180208N300038429</t>
  </si>
  <si>
    <t>20180208N900020226</t>
  </si>
  <si>
    <t>20180209N300025062</t>
  </si>
  <si>
    <t>20180209N300025137</t>
  </si>
  <si>
    <t>20180209N300027890</t>
  </si>
  <si>
    <t>20180209N300029456</t>
  </si>
  <si>
    <t>20180215N200001473</t>
  </si>
  <si>
    <t>20180215N200001728</t>
  </si>
  <si>
    <t>20180215N300033410</t>
  </si>
  <si>
    <t>20180214N300025108</t>
  </si>
  <si>
    <t>20180216N200001218</t>
  </si>
  <si>
    <t>20180216N200001818</t>
  </si>
  <si>
    <t>20180216N300023231</t>
  </si>
  <si>
    <t>20180216N300032770</t>
  </si>
  <si>
    <t>20180216N300033650</t>
  </si>
  <si>
    <t>20180216N300033787</t>
  </si>
  <si>
    <t>HINPET</t>
  </si>
  <si>
    <t>20180301N300026576</t>
  </si>
  <si>
    <t>20180301N300026905</t>
  </si>
  <si>
    <t>JUBLIF</t>
  </si>
  <si>
    <t>20180223N300028913</t>
  </si>
  <si>
    <t>20180222N300031088</t>
  </si>
  <si>
    <t>20180221N300022287</t>
  </si>
  <si>
    <t>20180221N300033357</t>
  </si>
  <si>
    <t>20180221N300033366</t>
  </si>
  <si>
    <t>20180220N300021386</t>
  </si>
  <si>
    <t>20180220N300022427</t>
  </si>
  <si>
    <t>20180220N300023277</t>
  </si>
  <si>
    <t>20180220N300023968</t>
  </si>
  <si>
    <t>20180308N200000664</t>
  </si>
  <si>
    <t>20180308N300017226</t>
  </si>
  <si>
    <t>20180308N300031445</t>
  </si>
  <si>
    <t>20180307B300010485</t>
  </si>
  <si>
    <t>20180307N300036339</t>
  </si>
  <si>
    <t>20180312N300016476</t>
  </si>
  <si>
    <t>20180312N300024128</t>
  </si>
  <si>
    <t>20180323N900013439</t>
  </si>
  <si>
    <t>20180323N900015257</t>
  </si>
  <si>
    <t>20180322N300018812</t>
  </si>
  <si>
    <t>20180319N300023053</t>
  </si>
  <si>
    <t>20180319N300024619</t>
  </si>
  <si>
    <t>20180315N300017801</t>
  </si>
  <si>
    <t>20180315N300022550</t>
  </si>
  <si>
    <t>20180314N300018122</t>
  </si>
  <si>
    <t>20180314N300020563</t>
  </si>
  <si>
    <t>20180313N300026465</t>
  </si>
  <si>
    <t>20180313N300030778</t>
  </si>
  <si>
    <t>20180413N200000982</t>
  </si>
  <si>
    <t>20180413N300015088</t>
  </si>
  <si>
    <t>20180412N300017774</t>
  </si>
  <si>
    <t>20180412N300018483</t>
  </si>
  <si>
    <t>20180412N300023896</t>
  </si>
  <si>
    <t>20180412N300028725</t>
  </si>
  <si>
    <t>20180410N300019344</t>
  </si>
  <si>
    <t>20180409N300027247</t>
  </si>
  <si>
    <t>20180406N300020719</t>
  </si>
  <si>
    <t>20180405N300013797</t>
  </si>
  <si>
    <t>20180405N300013857</t>
  </si>
  <si>
    <t>20180405N300024232</t>
  </si>
  <si>
    <t>20180404N200000803</t>
  </si>
  <si>
    <t>20180404N300017709</t>
  </si>
  <si>
    <t>20180404N300018059</t>
  </si>
  <si>
    <t>20180404N300018859</t>
  </si>
  <si>
    <t>20180404N300018892</t>
  </si>
  <si>
    <t>20180403N300023467</t>
  </si>
  <si>
    <t>20180403N300027109</t>
  </si>
  <si>
    <t>20180402N200001139</t>
  </si>
  <si>
    <t>20180402N300016426</t>
  </si>
  <si>
    <t>20180402N300019820</t>
  </si>
  <si>
    <t>20180402N300024654</t>
  </si>
  <si>
    <t>20180402N300025274</t>
  </si>
  <si>
    <t>20180402N300032012</t>
  </si>
  <si>
    <t>20180326N200000932</t>
  </si>
  <si>
    <t>20180326N200001569</t>
  </si>
  <si>
    <t>TINCO</t>
  </si>
  <si>
    <t>20180425N300015592</t>
  </si>
  <si>
    <t>20180425N300017118</t>
  </si>
  <si>
    <t>20180425N300027680</t>
  </si>
  <si>
    <t>20180425N900014199</t>
  </si>
  <si>
    <t>20180425N900015995</t>
  </si>
  <si>
    <t>20180424N300025146</t>
  </si>
  <si>
    <t>20180424N300027155</t>
  </si>
  <si>
    <t>RELHOM</t>
  </si>
  <si>
    <t>20180424N300027657</t>
  </si>
  <si>
    <t>20180424N300027917</t>
  </si>
  <si>
    <t>20180423B300005992</t>
  </si>
  <si>
    <t>20180423B700001870</t>
  </si>
  <si>
    <t>HDFC</t>
  </si>
  <si>
    <t>20180423N300017440</t>
  </si>
  <si>
    <t>20180423N300017625</t>
  </si>
  <si>
    <t>20180423N300020656</t>
  </si>
  <si>
    <t>20180423N300021060</t>
  </si>
  <si>
    <t>ELGEQU</t>
  </si>
  <si>
    <t>20180423N300026601</t>
  </si>
  <si>
    <t>20180423N900016609</t>
  </si>
  <si>
    <t>20180420N300024276</t>
  </si>
  <si>
    <t>20180420N300025254</t>
  </si>
  <si>
    <t>20180419N200000457</t>
  </si>
  <si>
    <t>20180419N300018951</t>
  </si>
  <si>
    <t>BHAPET</t>
  </si>
  <si>
    <t>20180419N300020130</t>
  </si>
  <si>
    <t>20180419N300029963</t>
  </si>
  <si>
    <t>20180418B500007930</t>
  </si>
  <si>
    <t>20180418B500007944</t>
  </si>
  <si>
    <t>20180418N300022775</t>
  </si>
  <si>
    <t>20180418N300023887</t>
  </si>
  <si>
    <t>20180416N300027914</t>
  </si>
  <si>
    <t>20180503N300020755</t>
  </si>
  <si>
    <t>20180503N300021418</t>
  </si>
  <si>
    <t>20180430N300019289</t>
  </si>
  <si>
    <t>20180430N300021260</t>
  </si>
  <si>
    <t>20180430N300023429</t>
  </si>
  <si>
    <t>20180430N300027963</t>
  </si>
  <si>
    <t>20180430N300030079</t>
  </si>
  <si>
    <t>20180427N300015778</t>
  </si>
  <si>
    <t>20180427N300016013</t>
  </si>
  <si>
    <t>20180427N300016322</t>
  </si>
  <si>
    <t>20180427N900015482</t>
  </si>
  <si>
    <t>20180426N300024083</t>
  </si>
  <si>
    <t>20180426N300026254</t>
  </si>
  <si>
    <t>20180601N300024608</t>
  </si>
  <si>
    <t>20180601N300024646</t>
  </si>
  <si>
    <t>20180531N200001746</t>
  </si>
  <si>
    <t>20180531N300015860</t>
  </si>
  <si>
    <t>20180531N300020400</t>
  </si>
  <si>
    <t>20180531N300027090</t>
  </si>
  <si>
    <t>20180531N300030204</t>
  </si>
  <si>
    <t>20180530N300016485</t>
  </si>
  <si>
    <t>RELCOM</t>
  </si>
  <si>
    <t>20180530N300018870</t>
  </si>
  <si>
    <t>20180530N300024283</t>
  </si>
  <si>
    <t>20180530N300024347</t>
  </si>
  <si>
    <t>20180529N300017743</t>
  </si>
  <si>
    <t>20180529N300021665</t>
  </si>
  <si>
    <t>20180529N300021740</t>
  </si>
  <si>
    <t>20180529N300021800</t>
  </si>
  <si>
    <t>20180529N300024491</t>
  </si>
  <si>
    <t>20180529N300027295</t>
  </si>
  <si>
    <t>20180529N300028298</t>
  </si>
  <si>
    <t>20180529N900014794</t>
  </si>
  <si>
    <t>20180525N300014942</t>
  </si>
  <si>
    <t>20180525N300015089</t>
  </si>
  <si>
    <t>20180525N300028219</t>
  </si>
  <si>
    <t>20180524N300020409</t>
  </si>
  <si>
    <t>20180524N300021149</t>
  </si>
  <si>
    <t>20180524N900000294</t>
  </si>
  <si>
    <t>20180523N300017945</t>
  </si>
  <si>
    <t>20180523N300018126</t>
  </si>
  <si>
    <t>20180523N300025064</t>
  </si>
  <si>
    <t>20180523N300025895</t>
  </si>
  <si>
    <t>20180523N300028357</t>
  </si>
  <si>
    <t>20180522N300025925</t>
  </si>
  <si>
    <t>20180521N300015838</t>
  </si>
  <si>
    <t>20180521N300016308</t>
  </si>
  <si>
    <t>20180521N300016793</t>
  </si>
  <si>
    <t>20180521N300019399</t>
  </si>
  <si>
    <t>20180521N300031291</t>
  </si>
  <si>
    <t>20180518N200001394</t>
  </si>
  <si>
    <t>20180518N300014730</t>
  </si>
  <si>
    <t>20180518N300017385</t>
  </si>
  <si>
    <t>20180518N300023953</t>
  </si>
  <si>
    <t>20180518N300025049</t>
  </si>
  <si>
    <t>20180517N300023359</t>
  </si>
  <si>
    <t>20180517N300023667</t>
  </si>
  <si>
    <t>20180517N300025903</t>
  </si>
  <si>
    <t>20180517N300026222</t>
  </si>
  <si>
    <t>POWTRA</t>
  </si>
  <si>
    <t>20180516N300027461</t>
  </si>
  <si>
    <t>20180516N300028810</t>
  </si>
  <si>
    <t>20180516N300030305</t>
  </si>
  <si>
    <t>20180514N300019809</t>
  </si>
  <si>
    <t>20180514N300022189</t>
  </si>
  <si>
    <t>20180514N300029473</t>
  </si>
  <si>
    <t>20180511N300016788</t>
  </si>
  <si>
    <t>20180511N300017605</t>
  </si>
  <si>
    <t>FEDBAN</t>
  </si>
  <si>
    <t>20180510N300016264</t>
  </si>
  <si>
    <t>20180510N300020487</t>
  </si>
  <si>
    <t>20180510N300020574</t>
  </si>
  <si>
    <t>20180510N300021118</t>
  </si>
  <si>
    <t>20180510N300024665</t>
  </si>
  <si>
    <t>20180509N300028623</t>
  </si>
  <si>
    <t>20180509N300029961</t>
  </si>
  <si>
    <t>20180504N300015638</t>
  </si>
  <si>
    <t>20180504N300015712</t>
  </si>
  <si>
    <t>20180605N300015849</t>
  </si>
  <si>
    <t>20180605N300016878</t>
  </si>
  <si>
    <t>20180605N300018323</t>
  </si>
  <si>
    <t>20180605N300021318</t>
  </si>
  <si>
    <t>20180605N300022769</t>
  </si>
  <si>
    <t>20180605N300022868</t>
  </si>
  <si>
    <t>20180605N300023018</t>
  </si>
  <si>
    <t>20180605N300026929</t>
  </si>
  <si>
    <t>20180605N300027911</t>
  </si>
  <si>
    <t>20180605N300027944</t>
  </si>
  <si>
    <t>20180605N300028333</t>
  </si>
  <si>
    <t>20180605N300028732</t>
  </si>
  <si>
    <t>20180605N300029021</t>
  </si>
  <si>
    <t>20180605N300029141</t>
  </si>
  <si>
    <t>20180605N300029261</t>
  </si>
  <si>
    <t>20180605N300029980</t>
  </si>
  <si>
    <t>20180604N300017003</t>
  </si>
  <si>
    <t>20180604N300022470</t>
  </si>
  <si>
    <t>20180604N300024067</t>
  </si>
  <si>
    <t>20180904N300016420</t>
  </si>
  <si>
    <t>20180904N300021395</t>
  </si>
  <si>
    <t>20180904N300031245</t>
  </si>
  <si>
    <t>20180904N300035550</t>
  </si>
  <si>
    <t>20180903N300020216</t>
  </si>
  <si>
    <t>20180903N300020271</t>
  </si>
  <si>
    <t>20180903N300030454</t>
  </si>
  <si>
    <t>20180903N300038095</t>
  </si>
  <si>
    <t>20180831N300017424</t>
  </si>
  <si>
    <t>20180831N300019116</t>
  </si>
  <si>
    <t>20180831N300034714</t>
  </si>
  <si>
    <t>20180829N300021262</t>
  </si>
  <si>
    <t>20180829N300023367</t>
  </si>
  <si>
    <t>20180828N300025634</t>
  </si>
  <si>
    <t>20180828N300029651</t>
  </si>
  <si>
    <t>20180828N900017439</t>
  </si>
  <si>
    <t>20180827N300026198</t>
  </si>
  <si>
    <t>20180827N300027182</t>
  </si>
  <si>
    <t>20180827N300030419</t>
  </si>
  <si>
    <t>20180827N300030649</t>
  </si>
  <si>
    <t>20180827N300031398</t>
  </si>
  <si>
    <t>20180827N300033622</t>
  </si>
  <si>
    <t>20180821N300015890</t>
  </si>
  <si>
    <t>20180821N300019613</t>
  </si>
  <si>
    <t>20180821N300020195</t>
  </si>
  <si>
    <t>20180821N300021799</t>
  </si>
  <si>
    <t>20180821N300022975</t>
  </si>
  <si>
    <t>20180820N300018655</t>
  </si>
  <si>
    <t>20180820N300018855</t>
  </si>
  <si>
    <t>20180820N300026320</t>
  </si>
  <si>
    <t>20180820N300026449</t>
  </si>
  <si>
    <t>20180820N300026801</t>
  </si>
  <si>
    <t>20180820N300028488</t>
  </si>
  <si>
    <t>20180820N300030854</t>
  </si>
  <si>
    <t>20180816N300018986</t>
  </si>
  <si>
    <t>20180816N300026581</t>
  </si>
  <si>
    <t>20180814N300020137</t>
  </si>
  <si>
    <t>20180814N300030451</t>
  </si>
  <si>
    <t>20180810N300015985</t>
  </si>
  <si>
    <t>20180810N300024510</t>
  </si>
  <si>
    <t>20180810N300025020</t>
  </si>
  <si>
    <t>20180810N900016614</t>
  </si>
  <si>
    <t>20180809N300016026</t>
  </si>
  <si>
    <t>20180809N300018376</t>
  </si>
  <si>
    <t>20180809N300018448</t>
  </si>
  <si>
    <t>20180809N300018982</t>
  </si>
  <si>
    <t>20180809N300022463</t>
  </si>
  <si>
    <t>20180809N300023336</t>
  </si>
  <si>
    <t>20180809N300024093</t>
  </si>
  <si>
    <t>20180809N300031738</t>
  </si>
  <si>
    <t>20180809N300035409</t>
  </si>
  <si>
    <t>20180808N300019880</t>
  </si>
  <si>
    <t>20180808N300020048</t>
  </si>
  <si>
    <t>20180808N300023462</t>
  </si>
  <si>
    <t>20180808N300031702</t>
  </si>
  <si>
    <t>20180807N300016987</t>
  </si>
  <si>
    <t>20180807N300017435</t>
  </si>
  <si>
    <t>20180807N300027278</t>
  </si>
  <si>
    <t>20180807N300027326</t>
  </si>
  <si>
    <t>20180807N300027699</t>
  </si>
  <si>
    <t>20180807N300029238</t>
  </si>
  <si>
    <t>20180806N300016204</t>
  </si>
  <si>
    <t>20180806N300018320</t>
  </si>
  <si>
    <t>20180806N300020522</t>
  </si>
  <si>
    <t>20180806N300021349</t>
  </si>
  <si>
    <t>20180806N300034005</t>
  </si>
  <si>
    <t>IDBI</t>
  </si>
  <si>
    <t>20180803N300014891</t>
  </si>
  <si>
    <t>20180803N300016125</t>
  </si>
  <si>
    <t>20180803N300020050</t>
  </si>
  <si>
    <t>20180803N300027755</t>
  </si>
  <si>
    <t>20180803N300029430</t>
  </si>
  <si>
    <t>20180803N300029644</t>
  </si>
  <si>
    <t>20180802N300014974</t>
  </si>
  <si>
    <t>20180802N300021583</t>
  </si>
  <si>
    <t>20180801N300025755</t>
  </si>
  <si>
    <t>20180801N300025821</t>
  </si>
  <si>
    <t>20180801N300027188</t>
  </si>
  <si>
    <t>20180801N300030018</t>
  </si>
  <si>
    <t>20180801N900000311</t>
  </si>
  <si>
    <t>20180731N300017065</t>
  </si>
  <si>
    <t>20180731N300018246</t>
  </si>
  <si>
    <t>20180731N300019000</t>
  </si>
  <si>
    <t>20180730N300014024</t>
  </si>
  <si>
    <t>20180730N300026360</t>
  </si>
  <si>
    <t>ARRGRE</t>
  </si>
  <si>
    <t>20180719N300012451</t>
  </si>
  <si>
    <t>20180718N300012750</t>
  </si>
  <si>
    <t>20180718N300017473</t>
  </si>
  <si>
    <t>20180718N300018919</t>
  </si>
  <si>
    <t>20180718N300027277</t>
  </si>
  <si>
    <t>20180706N300013753</t>
  </si>
  <si>
    <t>20180626N300014603</t>
  </si>
  <si>
    <t>20180626N300024052</t>
  </si>
  <si>
    <t>20180626N300025804</t>
  </si>
  <si>
    <t>20180622N300013273</t>
  </si>
  <si>
    <t>20180622N300018494</t>
  </si>
  <si>
    <t>20180622N300019009</t>
  </si>
  <si>
    <t>20180622N300020265</t>
  </si>
  <si>
    <t>20180622N300024441</t>
  </si>
  <si>
    <t>20180620N300019606</t>
  </si>
  <si>
    <t>20180620N300020465</t>
  </si>
  <si>
    <t>20180620N900014269</t>
  </si>
  <si>
    <t>20180619N900013987</t>
  </si>
  <si>
    <t>20180618N300019051</t>
  </si>
  <si>
    <t>20180618N300019828</t>
  </si>
  <si>
    <t>20180618N300021111</t>
  </si>
  <si>
    <t>20180618N300022231</t>
  </si>
  <si>
    <t>20180618N300023937</t>
  </si>
  <si>
    <t>20180615N200003289</t>
  </si>
  <si>
    <t>20180615N200004589</t>
  </si>
  <si>
    <t>20180615N200005775</t>
  </si>
  <si>
    <t>20180615N200006823</t>
  </si>
  <si>
    <t>20180615N200009336</t>
  </si>
  <si>
    <t>20180615N200021269</t>
  </si>
  <si>
    <t>20180615N200021564</t>
  </si>
  <si>
    <t>20180614N300015503</t>
  </si>
  <si>
    <t>20180614N300015532</t>
  </si>
  <si>
    <t>20180613N200000888</t>
  </si>
  <si>
    <t>20180613N300020482</t>
  </si>
  <si>
    <t>20180613N300020940</t>
  </si>
  <si>
    <t>20180613N300020984</t>
  </si>
  <si>
    <t>20180612N300013601</t>
  </si>
  <si>
    <t>20180612N300013655</t>
  </si>
  <si>
    <t>20180612N300013873</t>
  </si>
  <si>
    <t>20180612N300016831</t>
  </si>
  <si>
    <t>20180612N300019095</t>
  </si>
  <si>
    <t>20180612N300019934</t>
  </si>
  <si>
    <t>20180612N900013689</t>
  </si>
  <si>
    <t>20180611N300014348</t>
  </si>
  <si>
    <t>20180611N300017998</t>
  </si>
  <si>
    <t>20180611N300018231</t>
  </si>
  <si>
    <t>20180611N300028315</t>
  </si>
  <si>
    <t>20180608N300014671</t>
  </si>
  <si>
    <t>20180608N300018818</t>
  </si>
  <si>
    <t>CROGRE</t>
  </si>
  <si>
    <t>20180607N300014977</t>
  </si>
  <si>
    <t>20180607N300016962</t>
  </si>
  <si>
    <t>20180607N300017015</t>
  </si>
  <si>
    <t>20180606N300015348</t>
  </si>
  <si>
    <t>20180606N300016499</t>
  </si>
  <si>
    <t>20180606N300016807</t>
  </si>
  <si>
    <t>20180606N300017632</t>
  </si>
  <si>
    <t>20180606N300017824</t>
  </si>
  <si>
    <t>20180606N300023180</t>
  </si>
  <si>
    <t>20180606N300027423</t>
  </si>
  <si>
    <t>20180925N300016314</t>
  </si>
  <si>
    <t>20180925N300016393</t>
  </si>
  <si>
    <t>20180925N300018634</t>
  </si>
  <si>
    <t>20180925N300018859</t>
  </si>
  <si>
    <t>YESBAN</t>
  </si>
  <si>
    <t>20180925N300032802</t>
  </si>
  <si>
    <t>20180925N300037747</t>
  </si>
  <si>
    <t>20180924N300018617</t>
  </si>
  <si>
    <t>20180924N300019362</t>
  </si>
  <si>
    <t>20180924N300022447</t>
  </si>
  <si>
    <t>DEWHOU</t>
  </si>
  <si>
    <t>20180924N300025439</t>
  </si>
  <si>
    <t>20180924N300025767</t>
  </si>
  <si>
    <t>20180924N300028391</t>
  </si>
  <si>
    <t>20180924N300028762</t>
  </si>
  <si>
    <t>20180924N300034857</t>
  </si>
  <si>
    <t>20180924N300034892</t>
  </si>
  <si>
    <t>20180924N300036459</t>
  </si>
  <si>
    <t>20180924N300036622</t>
  </si>
  <si>
    <t>20180921N300018571</t>
  </si>
  <si>
    <t>20180921N300018649</t>
  </si>
  <si>
    <t>20180921N300020252</t>
  </si>
  <si>
    <t>KNRCON</t>
  </si>
  <si>
    <t>20180921N300021865</t>
  </si>
  <si>
    <t>20180921N300024265</t>
  </si>
  <si>
    <t>20180921N900000094</t>
  </si>
  <si>
    <t>20180919N300017123</t>
  </si>
  <si>
    <t>20180919N300032212</t>
  </si>
  <si>
    <t>GUJMI</t>
  </si>
  <si>
    <t>20180914N300025856</t>
  </si>
  <si>
    <t>20180907N300030485</t>
  </si>
  <si>
    <t>20180907N300031461</t>
  </si>
  <si>
    <t>20180907N300033987</t>
  </si>
  <si>
    <t>20180907N300034337</t>
  </si>
  <si>
    <t>20180906N300029148</t>
  </si>
  <si>
    <t>20180906N300029177</t>
  </si>
  <si>
    <t>20180906N300029661</t>
  </si>
  <si>
    <t>20180905N300031782</t>
  </si>
  <si>
    <t>Status</t>
  </si>
  <si>
    <t>#N/A</t>
  </si>
  <si>
    <t>Sum of P/L</t>
  </si>
  <si>
    <t>20181016N300015547</t>
  </si>
  <si>
    <t>TV18BR</t>
  </si>
  <si>
    <t>20181016N300017496</t>
  </si>
  <si>
    <t>20181016N300024558</t>
  </si>
  <si>
    <t>20181016N300025225</t>
  </si>
  <si>
    <t>20181016N300026100</t>
  </si>
  <si>
    <t>20181016N300026584</t>
  </si>
  <si>
    <t>20181016N300030350</t>
  </si>
  <si>
    <t>20181015N300029943</t>
  </si>
  <si>
    <t>20181015N300030664</t>
  </si>
  <si>
    <t>BANBAN</t>
  </si>
  <si>
    <t>20181012N300016812</t>
  </si>
  <si>
    <t>20181012N300018585</t>
  </si>
  <si>
    <t>20181012N300018901</t>
  </si>
  <si>
    <t>20181012N300022697</t>
  </si>
  <si>
    <t>20181012N300028606</t>
  </si>
  <si>
    <t>20181011N300017231</t>
  </si>
  <si>
    <t>20181011N300029951</t>
  </si>
  <si>
    <t>20181011N300035265</t>
  </si>
  <si>
    <t>20181009N300018488</t>
  </si>
  <si>
    <t>20181009N300023084</t>
  </si>
  <si>
    <t>20181009N300023456</t>
  </si>
  <si>
    <t>20181009N300023671</t>
  </si>
  <si>
    <t>20181009N300025189</t>
  </si>
  <si>
    <t>20181009N300027588</t>
  </si>
  <si>
    <t>20181009N300033613</t>
  </si>
  <si>
    <t>20181009N300034584</t>
  </si>
  <si>
    <t>20181009N900015183</t>
  </si>
  <si>
    <t>20181008N300028308</t>
  </si>
  <si>
    <t>20181008N300034363</t>
  </si>
  <si>
    <t>20181008N300034501</t>
  </si>
  <si>
    <t>20181008N300036651</t>
  </si>
  <si>
    <t>20181008N300038855</t>
  </si>
  <si>
    <t>20181008N300038859</t>
  </si>
  <si>
    <t>20181005N300023049</t>
  </si>
  <si>
    <t>20181005N300028868</t>
  </si>
  <si>
    <t>20181005N300029135</t>
  </si>
  <si>
    <t>20181005N300029711</t>
  </si>
  <si>
    <t>20181005N300034793</t>
  </si>
  <si>
    <t>20181004N200001135</t>
  </si>
  <si>
    <t>20181004N300028247</t>
  </si>
  <si>
    <t>20181004N300028852</t>
  </si>
  <si>
    <t>ICIBAN</t>
  </si>
  <si>
    <t>20181004N300033166</t>
  </si>
  <si>
    <t>20181004N300033391</t>
  </si>
  <si>
    <t>20181004N300033486</t>
  </si>
  <si>
    <t>20181004N300033943</t>
  </si>
  <si>
    <t>20181004N300034942</t>
  </si>
  <si>
    <t>20181003N200001206</t>
  </si>
  <si>
    <t>20181003N300017546</t>
  </si>
  <si>
    <t>20181003N300018815</t>
  </si>
  <si>
    <t>20181003N300019236</t>
  </si>
  <si>
    <t>20181003N300019486</t>
  </si>
  <si>
    <t>20181003N300021717</t>
  </si>
  <si>
    <t>20181003N300025154</t>
  </si>
  <si>
    <t>20181003N300025362</t>
  </si>
  <si>
    <t>20181003N300026504</t>
  </si>
  <si>
    <t>20181003N300027207</t>
  </si>
  <si>
    <t>20180928N300020383</t>
  </si>
  <si>
    <t>20180928N300022191</t>
  </si>
  <si>
    <t>20180928N300024936</t>
  </si>
  <si>
    <t>20180928N300025120</t>
  </si>
  <si>
    <t>20180928N300027110</t>
  </si>
  <si>
    <t>20180928N300030924</t>
  </si>
  <si>
    <t>20180928N300038416</t>
  </si>
  <si>
    <t>20180927N300015621</t>
  </si>
  <si>
    <t>20180927N300016415</t>
  </si>
  <si>
    <t>20180927N300016439</t>
  </si>
  <si>
    <t>20180927N300019525</t>
  </si>
  <si>
    <t>20180927N300022158</t>
  </si>
  <si>
    <t>20180927N300022454</t>
  </si>
  <si>
    <t>20180926N300017964</t>
  </si>
  <si>
    <t>20180926N300018259</t>
  </si>
  <si>
    <t>20180926N300024982</t>
  </si>
  <si>
    <t>20180926N300025006</t>
  </si>
  <si>
    <t>20180926N300025473</t>
  </si>
  <si>
    <t>20180926N300025995</t>
  </si>
  <si>
    <t>20180926N300031266</t>
  </si>
  <si>
    <t>20181017N300024205</t>
  </si>
  <si>
    <t>20181017N300025147</t>
  </si>
  <si>
    <t>20181017N300030641</t>
  </si>
  <si>
    <t>20181017N300031004</t>
  </si>
  <si>
    <t>20181017N300031217</t>
  </si>
  <si>
    <t>20181017N300031249</t>
  </si>
  <si>
    <t>20181017N300031265</t>
  </si>
  <si>
    <t>20181017N300031302</t>
  </si>
  <si>
    <t>20181017N300031316</t>
  </si>
  <si>
    <t>20181031N300017447</t>
  </si>
  <si>
    <t>20181031N300019019</t>
  </si>
  <si>
    <t>20181031N300025444</t>
  </si>
  <si>
    <t>20181031N300029156</t>
  </si>
  <si>
    <t>20181031N300029471</t>
  </si>
  <si>
    <t>20181031N300031542</t>
  </si>
  <si>
    <t>20181030N300021038</t>
  </si>
  <si>
    <t>20181030N300021936</t>
  </si>
  <si>
    <t>20181030N300021981</t>
  </si>
  <si>
    <t>20181030N300027966</t>
  </si>
  <si>
    <t>20181030N300028851</t>
  </si>
  <si>
    <t>20181030N300029507</t>
  </si>
  <si>
    <t>20181029N300016513</t>
  </si>
  <si>
    <t>20181029N300016897</t>
  </si>
  <si>
    <t>20181029N300017966</t>
  </si>
  <si>
    <t>20181029N300027222</t>
  </si>
  <si>
    <t>20181029N300031272</t>
  </si>
  <si>
    <t>WIPRO</t>
  </si>
  <si>
    <t>20181026N200001037</t>
  </si>
  <si>
    <t>20181026N300013983</t>
  </si>
  <si>
    <t>20181026N300017592</t>
  </si>
  <si>
    <t>20181026N300029069</t>
  </si>
  <si>
    <t>20181026N300029504</t>
  </si>
  <si>
    <t>20181026N300030617</t>
  </si>
  <si>
    <t>20181025N300014038</t>
  </si>
  <si>
    <t>20181025N300014311</t>
  </si>
  <si>
    <t>20181025N300018359</t>
  </si>
  <si>
    <t>20181025N300020004</t>
  </si>
  <si>
    <t>20181025N300021681</t>
  </si>
  <si>
    <t>20181025N300029331</t>
  </si>
  <si>
    <t>20181025N900014953</t>
  </si>
  <si>
    <t>20181115N300027683</t>
  </si>
  <si>
    <t>20181115N300027789</t>
  </si>
  <si>
    <t>20181115N300027857</t>
  </si>
  <si>
    <t>20181115N300030522</t>
  </si>
  <si>
    <t>20181115N300030816</t>
  </si>
  <si>
    <t>20181115N300030832</t>
  </si>
  <si>
    <t>20181115N300030846</t>
  </si>
  <si>
    <t>20181115N300030855</t>
  </si>
  <si>
    <t>20181114N300019753</t>
  </si>
  <si>
    <t>20181114N300021375</t>
  </si>
  <si>
    <t>20181114N300023513</t>
  </si>
  <si>
    <t>20181114N300023600</t>
  </si>
  <si>
    <t>20181114N300023843</t>
  </si>
  <si>
    <t>20181114N300024349</t>
  </si>
  <si>
    <t>20181114N300024369</t>
  </si>
  <si>
    <t>20181114N300026868</t>
  </si>
  <si>
    <t>20181114N300029894</t>
  </si>
  <si>
    <t>20181114N300030029</t>
  </si>
  <si>
    <t>20181114N300030081</t>
  </si>
  <si>
    <t>20181114N300032418</t>
  </si>
  <si>
    <t>20190123N200000881</t>
  </si>
  <si>
    <t>20190123N300013434</t>
  </si>
  <si>
    <t>20190123N300014711</t>
  </si>
  <si>
    <t>20190123N300015665</t>
  </si>
  <si>
    <t>20190123N300017461</t>
  </si>
  <si>
    <t>20190122N200000915</t>
  </si>
  <si>
    <t>20190122N300013829</t>
  </si>
  <si>
    <t>20190122N300017649</t>
  </si>
  <si>
    <t>20190122N300024785</t>
  </si>
  <si>
    <t>20190121N200001851</t>
  </si>
  <si>
    <t>20190121N300016689</t>
  </si>
  <si>
    <t>20190121N300017785</t>
  </si>
  <si>
    <t>20190121N300018697</t>
  </si>
  <si>
    <t>20190118N300015524</t>
  </si>
  <si>
    <t>20190118N300021170</t>
  </si>
  <si>
    <t>JETAIR</t>
  </si>
  <si>
    <t>20190118N300025219</t>
  </si>
  <si>
    <t>20190118N300025371</t>
  </si>
  <si>
    <t>20190118N900015190</t>
  </si>
  <si>
    <t>20190117B700001180</t>
  </si>
  <si>
    <t>20190117B700001387</t>
  </si>
  <si>
    <t>20190117B700001409</t>
  </si>
  <si>
    <t>20190117B700004353</t>
  </si>
  <si>
    <t>20190117N200000903</t>
  </si>
  <si>
    <t>20190117N200001085</t>
  </si>
  <si>
    <t>20190117N300021990</t>
  </si>
  <si>
    <t>20190117N300022748</t>
  </si>
  <si>
    <t>20190117N300025476</t>
  </si>
  <si>
    <t>GRUFIN</t>
  </si>
  <si>
    <t>20190109B700003420</t>
  </si>
  <si>
    <t>20190109B700003904</t>
  </si>
  <si>
    <t>20190109B700004166</t>
  </si>
  <si>
    <t>20190109B700004178</t>
  </si>
  <si>
    <t>20190108N300019340</t>
  </si>
  <si>
    <t>20190108N300022303</t>
  </si>
  <si>
    <t>20190104B100004663</t>
  </si>
  <si>
    <t>20190104B100004697</t>
  </si>
  <si>
    <t>VEDLIM</t>
  </si>
  <si>
    <t>20190104B700000969</t>
  </si>
  <si>
    <t>20190104B700002894</t>
  </si>
  <si>
    <t>20190104B700003913</t>
  </si>
  <si>
    <t>20190104B700004480</t>
  </si>
  <si>
    <t>20190103B700003944</t>
  </si>
  <si>
    <t>20190103B700004120</t>
  </si>
  <si>
    <t>20190103N300020366</t>
  </si>
  <si>
    <t>20190103N300023499</t>
  </si>
  <si>
    <t>20190103N300024217</t>
  </si>
  <si>
    <t>20190103N300026385</t>
  </si>
  <si>
    <t>20190102N300014996</t>
  </si>
  <si>
    <t>20190102N300019214</t>
  </si>
  <si>
    <t>20190102N300019622</t>
  </si>
  <si>
    <t>20190102N300021840</t>
  </si>
  <si>
    <t>20190102N300021873</t>
  </si>
  <si>
    <t>20190102N300024636</t>
  </si>
  <si>
    <t>KOTMAH</t>
  </si>
  <si>
    <t>20181218B100006107</t>
  </si>
  <si>
    <t>20181218B700004295</t>
  </si>
  <si>
    <t>20181214N300013799</t>
  </si>
  <si>
    <t>20181214N300026786</t>
  </si>
  <si>
    <t>20181213N300021567</t>
  </si>
  <si>
    <t>20181213N300028555</t>
  </si>
  <si>
    <t>20181212B700002092</t>
  </si>
  <si>
    <t>20181129N300015940</t>
  </si>
  <si>
    <t>20181129N300018440</t>
  </si>
  <si>
    <t>20181129N300019893</t>
  </si>
  <si>
    <t>20181129N300030493</t>
  </si>
  <si>
    <t>20190307B700003876</t>
  </si>
  <si>
    <t>20190307B700003886</t>
  </si>
  <si>
    <t>20190307N300015800</t>
  </si>
  <si>
    <t>20190307N300016118</t>
  </si>
  <si>
    <t>20190307N300017071</t>
  </si>
  <si>
    <t>20190307N300017159</t>
  </si>
  <si>
    <t>20190307N300017647</t>
  </si>
  <si>
    <t>20190307N300020020</t>
  </si>
  <si>
    <t>20190307N300021763</t>
  </si>
  <si>
    <t>20190307N300021787</t>
  </si>
  <si>
    <t>20190307N300021812</t>
  </si>
  <si>
    <t>20190307N300028242</t>
  </si>
  <si>
    <t>20190307N300030457</t>
  </si>
  <si>
    <t>20190306N300021900</t>
  </si>
  <si>
    <t>20190306N300025330</t>
  </si>
  <si>
    <t>20190306N300026006</t>
  </si>
  <si>
    <t>20190305N300021599</t>
  </si>
  <si>
    <t>20190305N300021648</t>
  </si>
  <si>
    <t>20190305N300031636</t>
  </si>
  <si>
    <t>20190305N300034375</t>
  </si>
  <si>
    <t>20190305N300035042</t>
  </si>
  <si>
    <t>20190305N300035094</t>
  </si>
  <si>
    <t>20190305N300036216</t>
  </si>
  <si>
    <t>20190305N300037352</t>
  </si>
  <si>
    <t>20190301N300014094</t>
  </si>
  <si>
    <t>20190301N300014173</t>
  </si>
  <si>
    <t>20190301N300022508</t>
  </si>
  <si>
    <t>20190301N300025283</t>
  </si>
  <si>
    <t>20190218N300023019</t>
  </si>
  <si>
    <t>20190205N300012554</t>
  </si>
  <si>
    <t>20190205N300013823</t>
  </si>
  <si>
    <t>20190205N300014545</t>
  </si>
  <si>
    <t>20190205N300014662</t>
  </si>
  <si>
    <t>20190205N300027959</t>
  </si>
  <si>
    <t>20190204N300014899</t>
  </si>
  <si>
    <t>20190204N300016286</t>
  </si>
  <si>
    <t>20190204N300019856</t>
  </si>
  <si>
    <t>20190204N300019896</t>
  </si>
  <si>
    <t>20190204N300027592</t>
  </si>
  <si>
    <t>20190204N300030662</t>
  </si>
  <si>
    <t>20190201N300013943</t>
  </si>
  <si>
    <t>20190201N300014141</t>
  </si>
  <si>
    <t>20190201N300014644</t>
  </si>
  <si>
    <t>20190312N200001044</t>
  </si>
  <si>
    <t>NATALU</t>
  </si>
  <si>
    <t>20190312N300015298</t>
  </si>
  <si>
    <t>20190312N300015359</t>
  </si>
  <si>
    <t>20190312N300021906</t>
  </si>
  <si>
    <t>20190312N300022103</t>
  </si>
  <si>
    <t>20190312N300024993</t>
  </si>
  <si>
    <t>20190312N300025281</t>
  </si>
  <si>
    <t>20190312N300030715</t>
  </si>
  <si>
    <t>20190312N300032904</t>
  </si>
  <si>
    <t>20190312N300033134</t>
  </si>
  <si>
    <t>20190311N300019566</t>
  </si>
  <si>
    <t>20190311N300021991</t>
  </si>
  <si>
    <t>20190311N300022128</t>
  </si>
  <si>
    <t>20190311N300025957</t>
  </si>
  <si>
    <t>20190311N300029427</t>
  </si>
  <si>
    <t>20190311N300031638</t>
  </si>
  <si>
    <t>20190311N300033357</t>
  </si>
  <si>
    <t>20190308N300018395</t>
  </si>
  <si>
    <t>20190308N300018430</t>
  </si>
  <si>
    <t>20190308N900015068</t>
  </si>
  <si>
    <t>20190403N300016324</t>
  </si>
  <si>
    <t>20190403N300016723</t>
  </si>
  <si>
    <t>20190403N300027966</t>
  </si>
  <si>
    <t>20190403N300028271</t>
  </si>
  <si>
    <t>20190403N300028283</t>
  </si>
  <si>
    <t>20190403N300030548</t>
  </si>
  <si>
    <t>20190403N300031152</t>
  </si>
  <si>
    <t>20190402N200000855</t>
  </si>
  <si>
    <t>20190402N300015968</t>
  </si>
  <si>
    <t>20190402N300018391</t>
  </si>
  <si>
    <t>20190402N300019520</t>
  </si>
  <si>
    <t>20190402N300020241</t>
  </si>
  <si>
    <t>20190401N300017587</t>
  </si>
  <si>
    <t>20190401N300017968</t>
  </si>
  <si>
    <t>20190401N300018740</t>
  </si>
  <si>
    <t>20190401N300023666</t>
  </si>
  <si>
    <t>20190401N300026015</t>
  </si>
  <si>
    <t>INDOIL</t>
  </si>
  <si>
    <t>20190329N200000934</t>
  </si>
  <si>
    <t>20190329N300016335</t>
  </si>
  <si>
    <t>20190328N200000770</t>
  </si>
  <si>
    <t>20190328N200001816</t>
  </si>
  <si>
    <t>20190328N300015909</t>
  </si>
  <si>
    <t>20190328N300029615</t>
  </si>
  <si>
    <t>20190328N900016251</t>
  </si>
  <si>
    <t>20190327N300018668</t>
  </si>
  <si>
    <t>20190327N300019539</t>
  </si>
  <si>
    <t>20190327N300019798</t>
  </si>
  <si>
    <t>20190327N300020670</t>
  </si>
  <si>
    <t>20190327N300021875</t>
  </si>
  <si>
    <t>20190327N300023783</t>
  </si>
  <si>
    <t>20190327N300025540</t>
  </si>
  <si>
    <t>20190327N300030904</t>
  </si>
  <si>
    <t>20190322N300016765</t>
  </si>
  <si>
    <t>20190322N300018329</t>
  </si>
  <si>
    <t>20190322N300019769</t>
  </si>
  <si>
    <t>20190322N300026515</t>
  </si>
  <si>
    <t>20190322N300026632</t>
  </si>
  <si>
    <t>20190322N300030739</t>
  </si>
  <si>
    <t>20190318N300027768</t>
  </si>
  <si>
    <t>20190314N200000919</t>
  </si>
  <si>
    <t>20190314N200001371</t>
  </si>
  <si>
    <t>20190314N300017388</t>
  </si>
  <si>
    <t>20190314N300027786</t>
  </si>
  <si>
    <t>20190314N300029059</t>
  </si>
  <si>
    <t>20190313B700002220</t>
  </si>
  <si>
    <t>20190313N300015876</t>
  </si>
  <si>
    <t>20190313N300016930</t>
  </si>
  <si>
    <t>20190313N300024234</t>
  </si>
  <si>
    <t>20190313N300024250</t>
  </si>
  <si>
    <t>20190405N300018923</t>
  </si>
  <si>
    <t>20190404N200000724</t>
  </si>
  <si>
    <t>20190404N300015611</t>
  </si>
  <si>
    <t>20190404N300018070</t>
  </si>
  <si>
    <t>20190404N300026413</t>
  </si>
  <si>
    <t>20190404N300027617</t>
  </si>
  <si>
    <t>20190404N300028626</t>
  </si>
  <si>
    <t>20190624N300017179</t>
  </si>
  <si>
    <t>20190624N300017198</t>
  </si>
  <si>
    <t>JAIIRR</t>
  </si>
  <si>
    <t>20190624N300018614</t>
  </si>
  <si>
    <t>20190624N300018800</t>
  </si>
  <si>
    <t>20190624N300019752</t>
  </si>
  <si>
    <t>20190624N300024853</t>
  </si>
  <si>
    <t>20190624N300025566</t>
  </si>
  <si>
    <t>20190624N300026743</t>
  </si>
  <si>
    <t>20190624N900016027</t>
  </si>
  <si>
    <t>20190621N300016333</t>
  </si>
  <si>
    <t>20190621N300016493</t>
  </si>
  <si>
    <t>20190621N300017059</t>
  </si>
  <si>
    <t>CANBAN</t>
  </si>
  <si>
    <t>20190621N300017374</t>
  </si>
  <si>
    <t>20190621N300017656</t>
  </si>
  <si>
    <t>AURPHA</t>
  </si>
  <si>
    <t>20190621N300018609</t>
  </si>
  <si>
    <t>20190621N300018626</t>
  </si>
  <si>
    <t>20190621N300021339</t>
  </si>
  <si>
    <t>20190621N300022576</t>
  </si>
  <si>
    <t>20190621N300027904</t>
  </si>
  <si>
    <t>20190620N300017915</t>
  </si>
  <si>
    <t>20190620N300018203</t>
  </si>
  <si>
    <t>20190620N300019908</t>
  </si>
  <si>
    <t>20190620N300024800</t>
  </si>
  <si>
    <t>20190620N300024852</t>
  </si>
  <si>
    <t>20190619N300019889</t>
  </si>
  <si>
    <t>20190619N300020092</t>
  </si>
  <si>
    <t>CHAFER</t>
  </si>
  <si>
    <t>20190618N300018964</t>
  </si>
  <si>
    <t>20190618N300020133</t>
  </si>
  <si>
    <t>20190618N300020966</t>
  </si>
  <si>
    <t>TATSTE</t>
  </si>
  <si>
    <t>20190618N300021548</t>
  </si>
  <si>
    <t>20190618N300021798</t>
  </si>
  <si>
    <t>20190618N300024492</t>
  </si>
  <si>
    <t>20190617N300016803</t>
  </si>
  <si>
    <t>20190617N300016946</t>
  </si>
  <si>
    <t>20190617N300018427</t>
  </si>
  <si>
    <t>20190617N300020202</t>
  </si>
  <si>
    <t>20190617N300021376</t>
  </si>
  <si>
    <t>20190617N300021509</t>
  </si>
  <si>
    <t>20190614N300017279</t>
  </si>
  <si>
    <t>20190614N300017360</t>
  </si>
  <si>
    <t>RELINF</t>
  </si>
  <si>
    <t>20190614N300020334</t>
  </si>
  <si>
    <t>20190614N300020396</t>
  </si>
  <si>
    <t>20190614N300024400</t>
  </si>
  <si>
    <t>20190614N300024416</t>
  </si>
  <si>
    <t>20190613N300016875</t>
  </si>
  <si>
    <t>20190613N300017249</t>
  </si>
  <si>
    <t>20190613N300020046</t>
  </si>
  <si>
    <t>20190613N300020100</t>
  </si>
  <si>
    <t>20190613N300020300</t>
  </si>
  <si>
    <t>20190613N300020333</t>
  </si>
  <si>
    <t>NATMIN</t>
  </si>
  <si>
    <t>20190613N300025384</t>
  </si>
  <si>
    <t>20190613N300025535</t>
  </si>
  <si>
    <t>20190613N900015727</t>
  </si>
  <si>
    <t>BANIND</t>
  </si>
  <si>
    <t>20190612N300018244</t>
  </si>
  <si>
    <t>20190612N300018385</t>
  </si>
  <si>
    <t>20190612N300022702</t>
  </si>
  <si>
    <t>20190612N300022940</t>
  </si>
  <si>
    <t>NAGCON</t>
  </si>
  <si>
    <t>20190611N300016914</t>
  </si>
  <si>
    <t>20190611N300016966</t>
  </si>
  <si>
    <t>20190611N300017954</t>
  </si>
  <si>
    <t>20190611N300018171</t>
  </si>
  <si>
    <t>BERPAI</t>
  </si>
  <si>
    <t>20190611N300025629</t>
  </si>
  <si>
    <t>20190611N300026275</t>
  </si>
  <si>
    <t>20190611N300026297</t>
  </si>
  <si>
    <t>20190611N300028669</t>
  </si>
  <si>
    <t>BAJFI</t>
  </si>
  <si>
    <t>20190610N300017123</t>
  </si>
  <si>
    <t>NIITEC</t>
  </si>
  <si>
    <t>20190610N300017707</t>
  </si>
  <si>
    <t>20190610N300017842</t>
  </si>
  <si>
    <t>DABIND</t>
  </si>
  <si>
    <t>20190610N300019997</t>
  </si>
  <si>
    <t>20190610N300020070</t>
  </si>
  <si>
    <t>20190610N300022202</t>
  </si>
  <si>
    <t>CEAT</t>
  </si>
  <si>
    <t>20190610N300027273</t>
  </si>
  <si>
    <t>DLFLIM</t>
  </si>
  <si>
    <t>20190610N300027292</t>
  </si>
  <si>
    <t>JINSP</t>
  </si>
  <si>
    <t>20190610N300027330</t>
  </si>
  <si>
    <t>20190610N300030051</t>
  </si>
  <si>
    <t>20190610N300030570</t>
  </si>
  <si>
    <t>20190610N300030617</t>
  </si>
  <si>
    <t>20190610N300030621</t>
  </si>
  <si>
    <t>RURELE</t>
  </si>
  <si>
    <t>20190607N300017963</t>
  </si>
  <si>
    <t>20190607N300018441</t>
  </si>
  <si>
    <t>20190607N300018526</t>
  </si>
  <si>
    <t>20190607N300018819</t>
  </si>
  <si>
    <t>20190607N300020514</t>
  </si>
  <si>
    <t>ACC</t>
  </si>
  <si>
    <t>20190606N300019967</t>
  </si>
  <si>
    <t>20190606N300020083</t>
  </si>
  <si>
    <t>20190606N300020306</t>
  </si>
  <si>
    <t>20190606N300020335</t>
  </si>
  <si>
    <t>20190606N300021306</t>
  </si>
  <si>
    <t>20190606N300021394</t>
  </si>
  <si>
    <t>POWFIN</t>
  </si>
  <si>
    <t>20190606N300021559</t>
  </si>
  <si>
    <t>20190606N300021572</t>
  </si>
  <si>
    <t>MARLIM</t>
  </si>
  <si>
    <t>20190606N300022299</t>
  </si>
  <si>
    <t>20190606N300022593</t>
  </si>
  <si>
    <t>20190606N300022691</t>
  </si>
  <si>
    <t>20190606N300022788</t>
  </si>
  <si>
    <t>DCB</t>
  </si>
  <si>
    <t>20190606N300023864</t>
  </si>
  <si>
    <t>20190606N300023907</t>
  </si>
  <si>
    <t>20190606N300025186</t>
  </si>
  <si>
    <t>20190606N300026668</t>
  </si>
  <si>
    <t>20190606N300027144</t>
  </si>
  <si>
    <t>20190606N300029697</t>
  </si>
  <si>
    <t>20190606N300030749</t>
  </si>
  <si>
    <t>20190606N300031309</t>
  </si>
  <si>
    <t>20190606N300032039</t>
  </si>
  <si>
    <t>20190606N300033850</t>
  </si>
  <si>
    <t>COALIN</t>
  </si>
  <si>
    <t>20190531N300016249</t>
  </si>
  <si>
    <t>20190531N300016782</t>
  </si>
  <si>
    <t>20190531N300018321</t>
  </si>
  <si>
    <t>20190531N300028416</t>
  </si>
  <si>
    <t>20190531N300030785</t>
  </si>
  <si>
    <t>HCLTEC</t>
  </si>
  <si>
    <t>20190530N300017237</t>
  </si>
  <si>
    <t>20190530N300017472</t>
  </si>
  <si>
    <t>UNIBAN</t>
  </si>
  <si>
    <t>20190530N300018790</t>
  </si>
  <si>
    <t>20190530N300022041</t>
  </si>
  <si>
    <t>20190530N300022142</t>
  </si>
  <si>
    <t>20190530N300022158</t>
  </si>
  <si>
    <t>20190530N300023575</t>
  </si>
  <si>
    <t>20190530N300024380</t>
  </si>
  <si>
    <t>20190529N300017549</t>
  </si>
  <si>
    <t>20190529N300017583</t>
  </si>
  <si>
    <t>SUNTV</t>
  </si>
  <si>
    <t>20190529N300026791</t>
  </si>
  <si>
    <t>20190529N300027705</t>
  </si>
  <si>
    <t>20190529N300029059</t>
  </si>
  <si>
    <t>20190528N200001522</t>
  </si>
  <si>
    <t>20190528N300016429</t>
  </si>
  <si>
    <t>20190528N300019229</t>
  </si>
  <si>
    <t>20190528N300019402</t>
  </si>
  <si>
    <t>20190528N300019957</t>
  </si>
  <si>
    <t>RELCAP</t>
  </si>
  <si>
    <t>20190528N300022653</t>
  </si>
  <si>
    <t>20190528N300022681</t>
  </si>
  <si>
    <t>20190528N300026972</t>
  </si>
  <si>
    <t>20190528N300027013</t>
  </si>
  <si>
    <t>20190527N300016805</t>
  </si>
  <si>
    <t>20190527N300017711</t>
  </si>
  <si>
    <t>20190527N300020409</t>
  </si>
  <si>
    <t>20190527N300023015</t>
  </si>
  <si>
    <t>20190527N300023729</t>
  </si>
  <si>
    <t>20190527N300023755</t>
  </si>
  <si>
    <t>20190527N300030998</t>
  </si>
  <si>
    <t>20190527N300031157</t>
  </si>
  <si>
    <t>20190527N300032098</t>
  </si>
  <si>
    <t>20190527N300033302</t>
  </si>
  <si>
    <t>20190527N300033724</t>
  </si>
  <si>
    <t>20190524N300014803</t>
  </si>
  <si>
    <t>20190524N300021660</t>
  </si>
  <si>
    <t>20190524N300023046</t>
  </si>
  <si>
    <t>20190524N300024355</t>
  </si>
  <si>
    <t>20190524N300027271</t>
  </si>
  <si>
    <t>20190524N300028386</t>
  </si>
  <si>
    <t>20190524N300030252</t>
  </si>
  <si>
    <t>20190524N300030953</t>
  </si>
  <si>
    <t>20190523N200001395</t>
  </si>
  <si>
    <t>20190523N300016893</t>
  </si>
  <si>
    <t>20190523N300017880</t>
  </si>
  <si>
    <t>20190523N300019123</t>
  </si>
  <si>
    <t>20190523N300019713</t>
  </si>
  <si>
    <t>20190523N300021326</t>
  </si>
  <si>
    <t>20190523N300021854</t>
  </si>
  <si>
    <t>20190523N300024161</t>
  </si>
  <si>
    <t>20190523N300024564</t>
  </si>
  <si>
    <t>20190523N300024728</t>
  </si>
  <si>
    <t>20190522N300014936</t>
  </si>
  <si>
    <t>20190522N300015123</t>
  </si>
  <si>
    <t>20190522N300015416</t>
  </si>
  <si>
    <t>20190522N300017431</t>
  </si>
  <si>
    <t>20190522N300020216</t>
  </si>
  <si>
    <t>20190522N300021346</t>
  </si>
  <si>
    <t>20190522N300022680</t>
  </si>
  <si>
    <t>20190522N300023305</t>
  </si>
  <si>
    <t>20190521N300018706</t>
  </si>
  <si>
    <t>20190521N300019142</t>
  </si>
  <si>
    <t>20190521N300019908</t>
  </si>
  <si>
    <t>20190520N300016087</t>
  </si>
  <si>
    <t>20190520N300016307</t>
  </si>
  <si>
    <t>20190520N300017946</t>
  </si>
  <si>
    <t>20190520N300026092</t>
  </si>
  <si>
    <t>20190520N300033208</t>
  </si>
  <si>
    <t>20190520N300034029</t>
  </si>
  <si>
    <t>20190520N300034216</t>
  </si>
  <si>
    <t>20190520N300034740</t>
  </si>
  <si>
    <t>20190520N300036842</t>
  </si>
  <si>
    <t>20190517N200000829</t>
  </si>
  <si>
    <t>20190517N200001087</t>
  </si>
  <si>
    <t>20190517N300013097</t>
  </si>
  <si>
    <t>20190517N300014893</t>
  </si>
  <si>
    <t>20190517N300019808</t>
  </si>
  <si>
    <t>20190517N300021113</t>
  </si>
  <si>
    <t>20190517N300021320</t>
  </si>
  <si>
    <t>20190516N300015304</t>
  </si>
  <si>
    <t>20190516N300016025</t>
  </si>
  <si>
    <t>20190516N300019934</t>
  </si>
  <si>
    <t>20190516N300020859</t>
  </si>
  <si>
    <t>20190516N300022312</t>
  </si>
  <si>
    <t>20190516N300024246</t>
  </si>
  <si>
    <t>20190516N300025296</t>
  </si>
  <si>
    <t>20190516N300025344</t>
  </si>
  <si>
    <t>20190515N300018409</t>
  </si>
  <si>
    <t>20190515N300019807</t>
  </si>
  <si>
    <t>20190515N300019848</t>
  </si>
  <si>
    <t>20190514N300016846</t>
  </si>
  <si>
    <t>20190514N300017169</t>
  </si>
  <si>
    <t>20190514N300018221</t>
  </si>
  <si>
    <t>20190513N300016677</t>
  </si>
  <si>
    <t>20190513N300017886</t>
  </si>
  <si>
    <t>20190513N300021889</t>
  </si>
  <si>
    <t>20190510N300014131</t>
  </si>
  <si>
    <t>20190510N300016656</t>
  </si>
  <si>
    <t>20190510N300016988</t>
  </si>
  <si>
    <t>20190510N300018415</t>
  </si>
  <si>
    <t>20190510N300020858</t>
  </si>
  <si>
    <t>20190510N300021060</t>
  </si>
  <si>
    <t>20190506N300017657</t>
  </si>
  <si>
    <t>20190506N300017727</t>
  </si>
  <si>
    <t>20190506N300020477</t>
  </si>
  <si>
    <t>20190506N300028809</t>
  </si>
  <si>
    <t>20190506N300029063</t>
  </si>
  <si>
    <t>20190502N300028221</t>
  </si>
  <si>
    <t>20190425N300024325</t>
  </si>
  <si>
    <t>20190424N300020723</t>
  </si>
  <si>
    <t>20190423N300015228</t>
  </si>
  <si>
    <t>20190423N300015644</t>
  </si>
  <si>
    <t>20190423N300016232</t>
  </si>
  <si>
    <t>20190423N300019534</t>
  </si>
  <si>
    <t>20190423N300021358</t>
  </si>
  <si>
    <t>20190423N300021456</t>
  </si>
  <si>
    <t>20190423N300024966</t>
  </si>
  <si>
    <t>20190423N300025002</t>
  </si>
  <si>
    <t>20190423N300025288</t>
  </si>
  <si>
    <t>20190423N300025860</t>
  </si>
  <si>
    <t>20190423N300026894</t>
  </si>
  <si>
    <t>20190422N200000814</t>
  </si>
  <si>
    <t>20190422N300018060</t>
  </si>
  <si>
    <t>20190422N300018614</t>
  </si>
  <si>
    <t>20190422N300019165</t>
  </si>
  <si>
    <t>20190422N300019807</t>
  </si>
  <si>
    <t>20190422N300020313</t>
  </si>
  <si>
    <t>20190422N300020965</t>
  </si>
  <si>
    <t>20190422N300021699</t>
  </si>
  <si>
    <t>20190422N300027255</t>
  </si>
  <si>
    <t>20190422N300030880</t>
  </si>
  <si>
    <t>20190418N300019464</t>
  </si>
  <si>
    <t>20190418N300021284</t>
  </si>
  <si>
    <t>20190418N300027951</t>
  </si>
  <si>
    <t>20190418N300028234</t>
  </si>
  <si>
    <t>20190418N300029991</t>
  </si>
  <si>
    <t>20190418N300032340</t>
  </si>
  <si>
    <t>20190418N300033221</t>
  </si>
  <si>
    <t>20190418N300033934</t>
  </si>
  <si>
    <t>20190416B700004353</t>
  </si>
  <si>
    <t>20190416B700005435</t>
  </si>
  <si>
    <t>20190416B700006640</t>
  </si>
  <si>
    <t>20190416N200001710</t>
  </si>
  <si>
    <t>20190416N300022233</t>
  </si>
  <si>
    <t>20190416N300023055</t>
  </si>
  <si>
    <t>20190416N300023221</t>
  </si>
  <si>
    <t>20190415N200001585</t>
  </si>
  <si>
    <t>20190415N300016984</t>
  </si>
  <si>
    <t>20190415N300017998</t>
  </si>
  <si>
    <t>20190415N300021145</t>
  </si>
  <si>
    <t>20190412N300015686</t>
  </si>
  <si>
    <t>20190412N300016815</t>
  </si>
  <si>
    <t>20190412N300017342</t>
  </si>
  <si>
    <t>20190412N300017458</t>
  </si>
  <si>
    <t>20190412N300019242</t>
  </si>
  <si>
    <t>20190412N300025958</t>
  </si>
  <si>
    <t>20190411N300023528</t>
  </si>
  <si>
    <t>20190411N300023857</t>
  </si>
  <si>
    <t>20190411N300025716</t>
  </si>
  <si>
    <t>20190411N300025774</t>
  </si>
  <si>
    <t>20190823N300013818</t>
  </si>
  <si>
    <t>20190823N300020173</t>
  </si>
  <si>
    <t>20190823N300020753</t>
  </si>
  <si>
    <t>20190823N300020785</t>
  </si>
  <si>
    <t>20190823N300020792</t>
  </si>
  <si>
    <t>20190823N300026644</t>
  </si>
  <si>
    <t>20190822N300014433</t>
  </si>
  <si>
    <t>20190821N200000851</t>
  </si>
  <si>
    <t>20190821N200000990</t>
  </si>
  <si>
    <t>20190821N300012928</t>
  </si>
  <si>
    <t>20190821N300013424</t>
  </si>
  <si>
    <t>20190821N300014259</t>
  </si>
  <si>
    <t>20190821N300014626</t>
  </si>
  <si>
    <t>CAPINF</t>
  </si>
  <si>
    <t>20190821N300015899</t>
  </si>
  <si>
    <t>20190821N300018873</t>
  </si>
  <si>
    <t>20190821N300019065</t>
  </si>
  <si>
    <t>20190821N300021975</t>
  </si>
  <si>
    <t>20190821N300022014</t>
  </si>
  <si>
    <t>20190821N900009641</t>
  </si>
  <si>
    <t>20190820N300014903</t>
  </si>
  <si>
    <t>20190820N300022115</t>
  </si>
  <si>
    <t>20190820N300025318</t>
  </si>
  <si>
    <t>20190820N900000231</t>
  </si>
  <si>
    <t>20190820N900000232</t>
  </si>
  <si>
    <t>20190820N900012166</t>
  </si>
  <si>
    <t>20190819N300013410</t>
  </si>
  <si>
    <t>20190819N300013446</t>
  </si>
  <si>
    <t>20190819N300016803</t>
  </si>
  <si>
    <t>20190819N300021743</t>
  </si>
  <si>
    <t>20190819N300022752</t>
  </si>
  <si>
    <t>20190819N300025651</t>
  </si>
  <si>
    <t>20190819N900008475</t>
  </si>
  <si>
    <t>20190816N300015170</t>
  </si>
  <si>
    <t>20190816N300016588</t>
  </si>
  <si>
    <t>20190816N300023159</t>
  </si>
  <si>
    <t>20190816N300024990</t>
  </si>
  <si>
    <t>20190816N300025445</t>
  </si>
  <si>
    <t>20190816N300026722</t>
  </si>
  <si>
    <t>20190814N300013827</t>
  </si>
  <si>
    <t>20190814N300014943</t>
  </si>
  <si>
    <t>20190814N300016653</t>
  </si>
  <si>
    <t>20190814N300017179</t>
  </si>
  <si>
    <t>20190814N300017760</t>
  </si>
  <si>
    <t>20190814N300018856</t>
  </si>
  <si>
    <t>20190814N300021102</t>
  </si>
  <si>
    <t>20190814N300024477</t>
  </si>
  <si>
    <t>20190813N300028752</t>
  </si>
  <si>
    <t>20190813N300029028</t>
  </si>
  <si>
    <t>20190813N300037288</t>
  </si>
  <si>
    <t>BALIND</t>
  </si>
  <si>
    <t>20190809N300019451</t>
  </si>
  <si>
    <t>20190809N300019547</t>
  </si>
  <si>
    <t>20190809N300019557</t>
  </si>
  <si>
    <t>20190809N300019865</t>
  </si>
  <si>
    <t>20190809N300020332</t>
  </si>
  <si>
    <t>20190809N300023545</t>
  </si>
  <si>
    <t>20190808N300011898</t>
  </si>
  <si>
    <t>20190808N300012004</t>
  </si>
  <si>
    <t>20190808N300012151</t>
  </si>
  <si>
    <t>20190808N300026554</t>
  </si>
  <si>
    <t>20190808N900000157</t>
  </si>
  <si>
    <t>20190807N300015255</t>
  </si>
  <si>
    <t>20190807N300016052</t>
  </si>
  <si>
    <t>20190807N300023223</t>
  </si>
  <si>
    <t>20190807N300026757</t>
  </si>
  <si>
    <t>20190805N300017122</t>
  </si>
  <si>
    <t>20190805N300017228</t>
  </si>
  <si>
    <t>20190805N300017270</t>
  </si>
  <si>
    <t>20190805N300017330</t>
  </si>
  <si>
    <t>20190802N900008622</t>
  </si>
  <si>
    <t>20190730N300015544</t>
  </si>
  <si>
    <t>20190730N300020939</t>
  </si>
  <si>
    <t>20190729N300017927</t>
  </si>
  <si>
    <t>20190726N300021848</t>
  </si>
  <si>
    <t>20190726N300025595</t>
  </si>
  <si>
    <t>20190725N300011235</t>
  </si>
  <si>
    <t>20190725N300020698</t>
  </si>
  <si>
    <t>PRAIN</t>
  </si>
  <si>
    <t>20190724N300014806</t>
  </si>
  <si>
    <t>20190724N300020664</t>
  </si>
  <si>
    <t>20190723N300022836</t>
  </si>
  <si>
    <t>20190722N900013125</t>
  </si>
  <si>
    <t>20190717N300014208</t>
  </si>
  <si>
    <t>20190717N300021267</t>
  </si>
  <si>
    <t>20190717N300021419</t>
  </si>
  <si>
    <t>20190717N300026001</t>
  </si>
  <si>
    <t>20190716N300015251</t>
  </si>
  <si>
    <t>20190716N300019968</t>
  </si>
  <si>
    <t>20190715N300015769</t>
  </si>
  <si>
    <t>20190715N300024304</t>
  </si>
  <si>
    <t>RBLBAN</t>
  </si>
  <si>
    <t>20190709N300023239</t>
  </si>
  <si>
    <t>20190709N300029278</t>
  </si>
  <si>
    <t>20190708N900000477</t>
  </si>
  <si>
    <t>WELCOR</t>
  </si>
  <si>
    <t>20190704N300019714</t>
  </si>
  <si>
    <t>20190704N300020047</t>
  </si>
  <si>
    <t>20190704N300021344</t>
  </si>
  <si>
    <t>20190704N300021701</t>
  </si>
  <si>
    <t>20190704N300023069</t>
  </si>
  <si>
    <t>20190704N300023240</t>
  </si>
  <si>
    <t>20190704N300024440</t>
  </si>
  <si>
    <t>20190704N300025840</t>
  </si>
  <si>
    <t>20190703N300015040</t>
  </si>
  <si>
    <t>20190703N300015066</t>
  </si>
  <si>
    <t>20190703N300017452</t>
  </si>
  <si>
    <t>20190703N300018966</t>
  </si>
  <si>
    <t>20190703N300024969</t>
  </si>
  <si>
    <t>20190703N300025508</t>
  </si>
  <si>
    <t>20190703N300026100</t>
  </si>
  <si>
    <t>20190703N300026410</t>
  </si>
  <si>
    <t>20190702N300023230</t>
  </si>
  <si>
    <t>20190702N300023301</t>
  </si>
  <si>
    <t>20190628N300015756</t>
  </si>
  <si>
    <t>20190628N300016721</t>
  </si>
  <si>
    <t>20190628N300017310</t>
  </si>
  <si>
    <t>20190628N300018795</t>
  </si>
  <si>
    <t>20190628N300019530</t>
  </si>
  <si>
    <t>20190628N300019559</t>
  </si>
  <si>
    <t>20190628N300020136</t>
  </si>
  <si>
    <t>20190628N300022858</t>
  </si>
  <si>
    <t>20190628N300022952</t>
  </si>
  <si>
    <t>20190628N300023022</t>
  </si>
  <si>
    <t>20190628N300023139</t>
  </si>
  <si>
    <t>20190628N300025805</t>
  </si>
  <si>
    <t>20190628N300026412</t>
  </si>
  <si>
    <t>20190627N300018517</t>
  </si>
  <si>
    <t>20190627N300025877</t>
  </si>
  <si>
    <t>20190627N300027192</t>
  </si>
  <si>
    <t>20190626N200000855</t>
  </si>
  <si>
    <t>20190626N300014393</t>
  </si>
  <si>
    <t>20190626N300014550</t>
  </si>
  <si>
    <t>20190625N300014510</t>
  </si>
  <si>
    <t>20190625N300015565</t>
  </si>
  <si>
    <t>20190625N300015620</t>
  </si>
  <si>
    <t>20190625N300017047</t>
  </si>
  <si>
    <t>20190625N300021453</t>
  </si>
  <si>
    <t>20190625N300021547</t>
  </si>
  <si>
    <t>20190625N300021978</t>
  </si>
  <si>
    <t>20190625N300022062</t>
  </si>
  <si>
    <t>20190625N300023487</t>
  </si>
  <si>
    <t>20190625N300023538</t>
  </si>
  <si>
    <t>20190625N300026110</t>
  </si>
  <si>
    <t>20190826N300012437</t>
  </si>
  <si>
    <t>20190826N300014121</t>
  </si>
  <si>
    <t>20190826N300014838</t>
  </si>
  <si>
    <t>20190826N300016221</t>
  </si>
  <si>
    <t>20190826N300016596</t>
  </si>
  <si>
    <t>20190826N300018204</t>
  </si>
  <si>
    <t>20190826N300019643</t>
  </si>
  <si>
    <t>20190826N300021702</t>
  </si>
  <si>
    <t>20190826N300022347</t>
  </si>
  <si>
    <t>20190826N300024607</t>
  </si>
  <si>
    <t>20190826N300025205</t>
  </si>
  <si>
    <t>20190826N300025227</t>
  </si>
  <si>
    <t>20190826N300025426</t>
  </si>
  <si>
    <t>20190826N300026527</t>
  </si>
  <si>
    <t>20190826N300028383</t>
  </si>
  <si>
    <t>20190826N300029047</t>
  </si>
  <si>
    <t>INDHO</t>
  </si>
  <si>
    <t>20191010N200000849</t>
  </si>
  <si>
    <t>20191010N300013763</t>
  </si>
  <si>
    <t>20191010N300016520</t>
  </si>
  <si>
    <t>20191010N300017812</t>
  </si>
  <si>
    <t>20191010N300017897</t>
  </si>
  <si>
    <t>20191010N300021912</t>
  </si>
  <si>
    <t>20191010N300022202</t>
  </si>
  <si>
    <t>20191010N300025561</t>
  </si>
  <si>
    <t>20191010N300028251</t>
  </si>
  <si>
    <t>20191009N200000658</t>
  </si>
  <si>
    <t>20191009N200024437</t>
  </si>
  <si>
    <t>20191009N200044713</t>
  </si>
  <si>
    <t>20191009N300015929</t>
  </si>
  <si>
    <t>20191009N300016169</t>
  </si>
  <si>
    <t>20191009N300018321</t>
  </si>
  <si>
    <t>20191007N200000870</t>
  </si>
  <si>
    <t>20191007N300013363</t>
  </si>
  <si>
    <t>20191007N300022862</t>
  </si>
  <si>
    <t>20191007N300023742</t>
  </si>
  <si>
    <t>20191004N300020431</t>
  </si>
  <si>
    <t>20191004N300022482</t>
  </si>
  <si>
    <t>20191003N300015484</t>
  </si>
  <si>
    <t>20191003N300016016</t>
  </si>
  <si>
    <t>20191003N300025326</t>
  </si>
  <si>
    <t>20191003N300029151</t>
  </si>
  <si>
    <t>20191003N300032421</t>
  </si>
  <si>
    <t>20191001N200001120</t>
  </si>
  <si>
    <t>20191001N300017052</t>
  </si>
  <si>
    <t>20191001N300026194</t>
  </si>
  <si>
    <t>20191001N300034857</t>
  </si>
  <si>
    <t>20191001N900000314</t>
  </si>
  <si>
    <t>20190930N300014794</t>
  </si>
  <si>
    <t>20190927N300026861</t>
  </si>
  <si>
    <t>20190925N300016620</t>
  </si>
  <si>
    <t>20190924N300014185</t>
  </si>
  <si>
    <t>20190924N300014840</t>
  </si>
  <si>
    <t>20190924N300019867</t>
  </si>
  <si>
    <t>20190919N300025632</t>
  </si>
  <si>
    <t>20190903N300016177</t>
  </si>
  <si>
    <t>20190903N300022857</t>
  </si>
  <si>
    <t>20190903N300027630</t>
  </si>
  <si>
    <t>20190903N300030008</t>
  </si>
  <si>
    <t>20190830N300020078</t>
  </si>
  <si>
    <t>20190830N300020088</t>
  </si>
  <si>
    <t>20190827N300012584</t>
  </si>
  <si>
    <t>20190827N300013979</t>
  </si>
  <si>
    <t>20190827N300013995</t>
  </si>
  <si>
    <t>20190827N300015670</t>
  </si>
  <si>
    <t>20190827N300019131</t>
  </si>
  <si>
    <t>IN302902-46841937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</si>
</sst>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left"/>
    </xf>
    <xf numFmtId="0" fontId="16" fillId="33" borderId="11" xfId="0" applyFont="1" applyFill="1" applyBorder="1"/>
    <xf numFmtId="0" fontId="0" fillId="34" borderId="0" xfId="0" applyFill="1"/>
    <xf numFmtId="0" fontId="16" fillId="35" borderId="0" xfId="0" applyFont="1" applyFill="1"/>
    <xf numFmtId="2" fontId="0" fillId="0" borderId="0" xfId="0" applyNumberFormat="1"/>
    <xf numFmtId="0" fontId="16" fillId="33" borderId="12" xfId="0" applyFont="1" applyFill="1" applyBorder="1"/>
    <xf numFmtId="2" fontId="16" fillId="33" borderId="12" xfId="0" applyNumberFormat="1" applyFont="1" applyFill="1" applyBorder="1"/>
    <xf numFmtId="2" fontId="0" fillId="0" borderId="12" xfId="0" applyNumberFormat="1" applyBorder="1"/>
    <xf numFmtId="0" fontId="0" fillId="0" borderId="12" xfId="0" applyBorder="1"/>
    <xf numFmtId="0" fontId="16" fillId="0" borderId="12" xfId="0" applyFont="1" applyBorder="1"/>
    <xf numFmtId="2" fontId="16" fillId="0" borderId="12" xfId="0" applyNumberFormat="1" applyFont="1" applyBorder="1"/>
    <xf numFmtId="0" fontId="0" fillId="36" borderId="12" xfId="0" applyFill="1" applyBorder="1"/>
    <xf numFmtId="2" fontId="0" fillId="36" borderId="12" xfId="0" applyNumberFormat="1" applyFill="1" applyBorder="1"/>
    <xf numFmtId="2" fontId="0" fillId="34" borderId="12" xfId="0" applyNumberFormat="1" applyFill="1" applyBorder="1"/>
    <xf numFmtId="2" fontId="16" fillId="35" borderId="12" xfId="0" applyNumberFormat="1" applyFont="1" applyFill="1" applyBorder="1"/>
    <xf numFmtId="43" fontId="16" fillId="34" borderId="12" xfId="42" applyFont="1" applyFill="1" applyBorder="1"/>
    <xf numFmtId="0" fontId="16" fillId="0" borderId="0" xfId="0" applyFont="1"/>
    <xf numFmtId="15" fontId="0" fillId="0" borderId="0" xfId="0" applyNumberFormat="1"/>
    <xf numFmtId="2" fontId="14" fillId="0" borderId="12" xfId="0" applyNumberFormat="1" applyFont="1" applyBorder="1"/>
    <xf numFmtId="0" fontId="16" fillId="36" borderId="12" xfId="0" applyFont="1" applyFill="1" applyBorder="1"/>
    <xf numFmtId="0" fontId="16" fillId="37" borderId="12" xfId="0" applyFont="1" applyFill="1" applyBorder="1"/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3748.681220370374" createdVersion="5" refreshedVersion="5" minRefreshableVersion="3" recordCount="991" xr:uid="{00000000-000A-0000-FFFF-FFFF30000000}">
  <cacheSource type="worksheet">
    <worksheetSource ref="L9:U1000" sheet="Buy"/>
  </cacheSource>
  <cacheFields count="10">
    <cacheField name="BuyVal" numFmtId="2">
      <sharedItems containsSemiMixedTypes="0" containsString="0" containsNumber="1" minValue="0" maxValue="30462920.221800003"/>
    </cacheField>
    <cacheField name="Stk" numFmtId="0">
      <sharedItems count="109">
        <s v="ARVLIM"/>
        <s v="ASHLEY"/>
        <s v="CENBAN"/>
        <s v="GATLIM"/>
        <s v="GMRINF"/>
        <s v="HINCOP"/>
        <s v="INFTEC"/>
        <s v="JAIASS"/>
        <s v="JAIPOW"/>
        <s v="JBCHEM"/>
        <s v="KOHFOO"/>
        <s v="LANINF"/>
        <s v="LTOVER"/>
        <s v="MANAFI"/>
        <s v="MINLIM"/>
        <s v="MUTFIN"/>
        <s v="NHPC"/>
        <s v="PUNBAN"/>
        <s v="RELDEF"/>
        <s v="RELPOW"/>
        <s v="SUNADV"/>
        <s v="SUNPHA"/>
        <s v="TATPOW"/>
        <s v="TVSMOT"/>
        <e v="#N/A"/>
        <s v="SUZENE"/>
        <s v="FINCHE"/>
        <s v="BANMAH"/>
        <s v="BURCEM"/>
        <s v="SJVLIM"/>
        <s v="BHEL"/>
        <s v="SINPLA"/>
        <s v="DISHTV"/>
        <s v="HTMED"/>
        <s v="ZEEENT"/>
        <s v="NETW18"/>
        <s v="RELIND"/>
        <s v="JSWSTE"/>
        <s v="SREINF"/>
        <s v="MASTEK"/>
        <s v="PRAIND"/>
        <s v="PCJEW"/>
        <s v="STABAN"/>
        <s v="BANBAR"/>
        <s v="MENBEA"/>
        <s v="CANHOM"/>
        <s v="BIOCON"/>
        <s v="VAKRAN"/>
        <s v="BHAELE"/>
        <s v="BHUST"/>
        <s v="HINPET"/>
        <s v="JUBLIF"/>
        <s v="TINCO"/>
        <s v="RELHOM"/>
        <s v="HDFC"/>
        <s v="ELGEQU"/>
        <s v="BHAPET"/>
        <s v="RELCOM"/>
        <s v="POWTRA"/>
        <s v="FEDBAN"/>
        <s v="IDBI"/>
        <s v="ARRGRE"/>
        <s v="CROGRE"/>
        <s v="YESBAN"/>
        <s v="DEWHOU"/>
        <s v="KNRCON"/>
        <s v="GUJMI"/>
        <s v="TV18BR"/>
        <s v="BANBAN"/>
        <s v="ICIBAN"/>
        <s v="WIPRO"/>
        <s v="JETAIR"/>
        <s v="GRUFIN"/>
        <s v="VEDLIM"/>
        <s v="KOTMAH"/>
        <s v="NATALU"/>
        <s v="INDOIL"/>
        <s v="JAIIRR"/>
        <s v="CANBAN"/>
        <s v="AURPHA"/>
        <s v="CHAFER"/>
        <s v="TATSTE"/>
        <s v="RELINF"/>
        <s v="NATMIN"/>
        <s v="BANIND"/>
        <s v="NAGCON"/>
        <s v="BERPAI"/>
        <s v="BAJFI"/>
        <s v="NIITEC"/>
        <s v="DABIND"/>
        <s v="CEAT"/>
        <s v="DLFLIM"/>
        <s v="JINSP"/>
        <s v="RURELE"/>
        <s v="ACC"/>
        <s v="POWFIN"/>
        <s v="MARLIM"/>
        <s v="DCB"/>
        <s v="COALIN"/>
        <s v="HCLTEC"/>
        <s v="UNIBAN"/>
        <s v="SUNTV"/>
        <s v="RELCAP"/>
        <s v="CAPINF"/>
        <s v="BALIND"/>
        <s v="PRAIN"/>
        <s v="RBLBAN"/>
        <s v="WELCOR"/>
        <s v="INDHO"/>
      </sharedItems>
    </cacheField>
    <cacheField name="SQTY" numFmtId="0">
      <sharedItems containsSemiMixedTypes="0" containsString="0" containsNumber="1" containsInteger="1" minValue="0" maxValue="87500"/>
    </cacheField>
    <cacheField name="Sell Val" numFmtId="2">
      <sharedItems containsSemiMixedTypes="0" containsString="0" containsNumber="1" minValue="0" maxValue="30374064.085600004"/>
    </cacheField>
    <cacheField name="QtyDiff" numFmtId="0">
      <sharedItems containsSemiMixedTypes="0" containsString="0" containsNumber="1" containsInteger="1" minValue="0" maxValue="900"/>
    </cacheField>
    <cacheField name="ValDiff" numFmtId="2">
      <sharedItems containsSemiMixedTypes="0" containsString="0" containsNumber="1" minValue="-111636.6557" maxValue="46542.243699999875"/>
    </cacheField>
    <cacheField name="P/L" numFmtId="2">
      <sharedItems containsSemiMixedTypes="0" containsString="0" containsNumber="1" minValue="-88856.136199999601" maxValue="46542.243699999875"/>
    </cacheField>
    <cacheField name="P" numFmtId="2">
      <sharedItems containsSemiMixedTypes="0" containsString="0" containsNumber="1" minValue="0" maxValue="46542.243699999875"/>
    </cacheField>
    <cacheField name="L" numFmtId="2">
      <sharedItems containsSemiMixedTypes="0" containsString="0" containsNumber="1" minValue="-88856.136199999601" maxValue="0"/>
    </cacheField>
    <cacheField name="Status" numFmtId="0">
      <sharedItems count="2">
        <s v=""/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3748.681220486113" createdVersion="3" refreshedVersion="5" minRefreshableVersion="3" recordCount="1373" xr:uid="{00000000-000A-0000-FFFF-FFFF34000000}">
  <cacheSource type="worksheet">
    <worksheetSource ref="A1:P1048576" sheet="8502271974_TradeBook"/>
  </cacheSource>
  <cacheFields count="16">
    <cacheField name="Date" numFmtId="0">
      <sharedItems containsNonDate="0" containsDate="1" containsString="0" containsBlank="1" minDate="2012-03-27T00:00:00" maxDate="2019-10-11T00:00:00"/>
    </cacheField>
    <cacheField name="Stock" numFmtId="0">
      <sharedItems containsBlank="1" count="110">
        <s v="INDHO"/>
        <s v="ZEEENT"/>
        <s v="STABAN"/>
        <s v="JSWSTE"/>
        <s v="VAKRAN"/>
        <s v="NAGCON"/>
        <s v="YESBAN"/>
        <s v="BIOCON"/>
        <s v="UNIBAN"/>
        <s v="CAPINF"/>
        <s v="COALIN"/>
        <s v="INDOIL"/>
        <s v="LTOVER"/>
        <s v="FINCHE"/>
        <s v="ACC"/>
        <s v="BHAELE"/>
        <s v="DEWHOU"/>
        <s v="BALIND"/>
        <s v="POWFIN"/>
        <s v="SUNPHA"/>
        <s v="CANBAN"/>
        <s v="CEAT"/>
        <s v="HINPET"/>
        <s v="PRAIN"/>
        <s v="SINPLA"/>
        <s v="CANHOM"/>
        <s v="INFTEC"/>
        <s v="RBLBAN"/>
        <s v="WELCOR"/>
        <s v="BANBAR"/>
        <s v="RELCAP"/>
        <s v="AURPHA"/>
        <s v="PUNBAN"/>
        <s v="JAIIRR"/>
        <s v="JBCHEM"/>
        <s v="JETAIR"/>
        <s v="CHAFER"/>
        <s v="TATSTE"/>
        <s v="RELINF"/>
        <s v="RELIND"/>
        <s v="NATMIN"/>
        <s v="BANIND"/>
        <s v="BERPAI"/>
        <s v="BAJFI"/>
        <s v="NIITEC"/>
        <s v="DABIND"/>
        <s v="DLFLIM"/>
        <s v="JINSP"/>
        <s v="RURELE"/>
        <s v="MARLIM"/>
        <s v="DCB"/>
        <s v="HCLTEC"/>
        <s v="SUNTV"/>
        <s v="ASHLEY"/>
        <s v="FEDBAN"/>
        <s v="GRUFIN"/>
        <s v="TINCO"/>
        <s v="MASTEK"/>
        <s v="MINLIM"/>
        <s v="ELGEQU"/>
        <s v="ICIBAN"/>
        <s v="VEDLIM"/>
        <s v="KNRCON"/>
        <s v="NATALU"/>
        <s v="RELCOM"/>
        <s v="SUNADV"/>
        <s v="WIPRO"/>
        <s v="KOTMAH"/>
        <s v="BURCEM"/>
        <s v="BHAPET"/>
        <s v="GATLIM"/>
        <s v="GUJMI"/>
        <s v="TV18BR"/>
        <s v="BANBAN"/>
        <s v="PCJEW"/>
        <s v="IDBI"/>
        <s v="ARRGRE"/>
        <s v="CROGRE"/>
        <s v="GMRINF"/>
        <s v="RELDEF"/>
        <s v="POWTRA"/>
        <s v="RELHOM"/>
        <s v="HDFC"/>
        <s v="JUBLIF"/>
        <s v="BHUST"/>
        <s v="MUTFIN"/>
        <s v="SREINF"/>
        <s v="MENBEA"/>
        <s v="PRAIND"/>
        <s v="SUZENE"/>
        <s v="NETW18"/>
        <s v="DISHTV"/>
        <s v="HTMED"/>
        <s v="BHEL"/>
        <s v="BANMAH"/>
        <s v="SJVLIM"/>
        <s v="KOHFOO"/>
        <s v="MANAFI"/>
        <s v="TVSMOT"/>
        <s v="ARVLIM"/>
        <s v="TATPOW"/>
        <s v="JAIPOW"/>
        <s v="CENBAN"/>
        <s v="RELPOW"/>
        <s v="JAIASS"/>
        <s v="HINCOP"/>
        <s v="NHPC"/>
        <s v="LANINF"/>
        <s v="ZENINF"/>
        <m/>
      </sharedItems>
    </cacheField>
    <cacheField name="Action" numFmtId="0">
      <sharedItems containsBlank="1" count="3">
        <s v="Sell"/>
        <s v="Buy"/>
        <m/>
      </sharedItems>
    </cacheField>
    <cacheField name="Qty" numFmtId="0">
      <sharedItems containsString="0" containsBlank="1" containsNumber="1" containsInteger="1" minValue="3" maxValue="11000"/>
    </cacheField>
    <cacheField name="Price" numFmtId="0">
      <sharedItems containsString="0" containsBlank="1" containsNumber="1" minValue="4.18" maxValue="3536"/>
    </cacheField>
    <cacheField name="Trade Value" numFmtId="0">
      <sharedItems containsString="0" containsBlank="1" containsNumber="1" minValue="490" maxValue="3640000"/>
    </cacheField>
    <cacheField name="Order Ref." numFmtId="0">
      <sharedItems containsBlank="1"/>
    </cacheField>
    <cacheField name="Settlement" numFmtId="0">
      <sharedItems containsString="0" containsBlank="1" containsNumber="1" containsInteger="1" minValue="2012059" maxValue="201920014"/>
    </cacheField>
    <cacheField name="Segment" numFmtId="0">
      <sharedItems containsBlank="1"/>
    </cacheField>
    <cacheField name="DP Id - Client DP Id" numFmtId="0">
      <sharedItems containsBlank="1"/>
    </cacheField>
    <cacheField name="Exchange" numFmtId="0">
      <sharedItems containsBlank="1"/>
    </cacheField>
    <cacheField name="STT" numFmtId="0">
      <sharedItems containsString="0" containsBlank="1" containsNumber="1" minValue="0" maxValue="914.24"/>
    </cacheField>
    <cacheField name="Transaction and SEBI Turnover charges" numFmtId="0">
      <sharedItems containsString="0" containsBlank="1" containsNumber="1" minValue="0" maxValue="132.58000000000001"/>
    </cacheField>
    <cacheField name="Stamp Duty" numFmtId="0">
      <sharedItems containsString="0" containsBlank="1" containsNumber="1" minValue="0" maxValue="702.3"/>
    </cacheField>
    <cacheField name="Brokerage + Service Tax" numFmtId="0">
      <sharedItems containsString="0" containsBlank="1" containsNumber="1" minValue="0" maxValue="4351.57"/>
    </cacheField>
    <cacheField name="Brokerage incl. taxes" numFmtId="0">
      <sharedItems containsString="0" containsBlank="1" containsNumber="1" minValue="0" maxValue="5019.110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1">
  <r>
    <n v="35971.158100000001"/>
    <x v="0"/>
    <n v="100"/>
    <n v="37021.849099999999"/>
    <n v="0"/>
    <n v="1050.6909999999989"/>
    <n v="1050.6909999999989"/>
    <n v="1050.6909999999989"/>
    <n v="0"/>
    <x v="0"/>
  </r>
  <r>
    <n v="1021672.1855"/>
    <x v="1"/>
    <n v="8450"/>
    <n v="1006804.6943000001"/>
    <n v="0"/>
    <n v="-14867.491199999931"/>
    <n v="-14867.491199999931"/>
    <n v="0"/>
    <n v="-14867.491199999931"/>
    <x v="0"/>
  </r>
  <r>
    <n v="24354.160100000001"/>
    <x v="2"/>
    <n v="349"/>
    <n v="27668.9974"/>
    <n v="0"/>
    <n v="3314.8372999999992"/>
    <n v="3314.8372999999992"/>
    <n v="3314.8372999999992"/>
    <n v="0"/>
    <x v="0"/>
  </r>
  <r>
    <n v="1761195.8223999999"/>
    <x v="3"/>
    <n v="13139"/>
    <n v="1699130.3573999999"/>
    <n v="0"/>
    <n v="-62065.465000000084"/>
    <n v="-62065.465000000084"/>
    <n v="0"/>
    <n v="-62065.465000000084"/>
    <x v="0"/>
  </r>
  <r>
    <n v="455002.07290000003"/>
    <x v="4"/>
    <n v="25325"/>
    <n v="419457.30379999999"/>
    <n v="0"/>
    <n v="-35544.769100000034"/>
    <n v="-35544.769100000034"/>
    <n v="0"/>
    <n v="-35544.769100000034"/>
    <x v="0"/>
  </r>
  <r>
    <n v="38782.001900000003"/>
    <x v="5"/>
    <n v="500"/>
    <n v="40200.411999999997"/>
    <n v="0"/>
    <n v="1418.4100999999937"/>
    <n v="1418.4100999999937"/>
    <n v="1418.4100999999937"/>
    <n v="0"/>
    <x v="0"/>
  </r>
  <r>
    <n v="268986.51260000002"/>
    <x v="6"/>
    <n v="300"/>
    <n v="269196.34080000001"/>
    <n v="0"/>
    <n v="209.82819999998901"/>
    <n v="209.82819999998901"/>
    <n v="209.82819999998901"/>
    <n v="0"/>
    <x v="0"/>
  </r>
  <r>
    <n v="33238.618000000002"/>
    <x v="7"/>
    <n v="500"/>
    <n v="41444.437299999998"/>
    <n v="0"/>
    <n v="8205.8192999999956"/>
    <n v="8205.8192999999956"/>
    <n v="8205.8192999999956"/>
    <n v="0"/>
    <x v="0"/>
  </r>
  <r>
    <n v="46535.627399999998"/>
    <x v="8"/>
    <n v="3000"/>
    <n v="33499.015399999997"/>
    <n v="0"/>
    <n v="-13036.612000000001"/>
    <n v="-13036.612000000001"/>
    <n v="0"/>
    <n v="-13036.612000000001"/>
    <x v="0"/>
  </r>
  <r>
    <n v="441849.6433"/>
    <x v="9"/>
    <n v="1381"/>
    <n v="423470.76610000001"/>
    <n v="0"/>
    <n v="-18378.877199999988"/>
    <n v="-18378.877199999988"/>
    <n v="0"/>
    <n v="-18378.877199999988"/>
    <x v="0"/>
  </r>
  <r>
    <n v="79246.335999999996"/>
    <x v="10"/>
    <n v="1000"/>
    <n v="70805.881300000008"/>
    <n v="0"/>
    <n v="-8440.4546999999875"/>
    <n v="-8440.4546999999875"/>
    <n v="0"/>
    <n v="-8440.4546999999875"/>
    <x v="0"/>
  </r>
  <r>
    <n v="22378.666000000001"/>
    <x v="11"/>
    <n v="3000"/>
    <n v="21011.856800000001"/>
    <n v="0"/>
    <n v="-1366.8091999999997"/>
    <n v="-1366.8091999999997"/>
    <n v="0"/>
    <n v="-1366.8091999999997"/>
    <x v="0"/>
  </r>
  <r>
    <n v="1088635.7626999998"/>
    <x v="12"/>
    <n v="23250"/>
    <n v="1056146.6939000001"/>
    <n v="900"/>
    <n v="-32489.068799999775"/>
    <n v="0"/>
    <n v="0"/>
    <n v="0"/>
    <x v="1"/>
  </r>
  <r>
    <n v="9268.4935999999998"/>
    <x v="13"/>
    <n v="100"/>
    <n v="9670.4982999999993"/>
    <n v="0"/>
    <n v="402.0046999999995"/>
    <n v="402.0046999999995"/>
    <n v="402.0046999999995"/>
    <n v="0"/>
    <x v="0"/>
  </r>
  <r>
    <n v="1768723.0022"/>
    <x v="14"/>
    <n v="1920"/>
    <n v="1725729.4744999998"/>
    <n v="0"/>
    <n v="-42993.52770000021"/>
    <n v="-42993.52770000021"/>
    <n v="0"/>
    <n v="-42993.52770000021"/>
    <x v="0"/>
  </r>
  <r>
    <n v="1952243.9490999999"/>
    <x v="15"/>
    <n v="4823"/>
    <n v="1923326.3576999998"/>
    <n v="0"/>
    <n v="-28917.591400000034"/>
    <n v="-28917.591400000034"/>
    <n v="0"/>
    <n v="-28917.591400000034"/>
    <x v="0"/>
  </r>
  <r>
    <n v="14102.424000000001"/>
    <x v="16"/>
    <n v="700"/>
    <n v="14176.955900000001"/>
    <n v="0"/>
    <n v="74.531899999999951"/>
    <n v="74.531899999999951"/>
    <n v="74.531899999999951"/>
    <n v="0"/>
    <x v="0"/>
  </r>
  <r>
    <n v="483581.79969999997"/>
    <x v="17"/>
    <n v="5500"/>
    <n v="474990.86149999994"/>
    <n v="0"/>
    <n v="-8590.9382000000332"/>
    <n v="-8590.9382000000332"/>
    <n v="0"/>
    <n v="-8590.9382000000332"/>
    <x v="0"/>
  </r>
  <r>
    <n v="679298.12770000007"/>
    <x v="18"/>
    <n v="11500"/>
    <n v="725840.37139999995"/>
    <n v="0"/>
    <n v="46542.243699999875"/>
    <n v="46542.243699999875"/>
    <n v="46542.243699999875"/>
    <n v="0"/>
    <x v="0"/>
  </r>
  <r>
    <n v="60941.178500000002"/>
    <x v="19"/>
    <n v="575"/>
    <n v="37733.203699999998"/>
    <n v="0"/>
    <n v="-23207.974800000004"/>
    <n v="-23207.974800000004"/>
    <n v="0"/>
    <n v="-23207.974800000004"/>
    <x v="0"/>
  </r>
  <r>
    <n v="132029.6643"/>
    <x v="20"/>
    <n v="410"/>
    <n v="123341.6666"/>
    <n v="0"/>
    <n v="-8687.9977000000072"/>
    <n v="-8687.9977000000072"/>
    <n v="0"/>
    <n v="-8687.9977000000072"/>
    <x v="0"/>
  </r>
  <r>
    <n v="692965.73250000004"/>
    <x v="21"/>
    <n v="1640"/>
    <n v="689597.96260000009"/>
    <n v="0"/>
    <n v="-3367.7698999999557"/>
    <n v="-3367.7698999999557"/>
    <n v="0"/>
    <n v="-3367.7698999999557"/>
    <x v="0"/>
  </r>
  <r>
    <n v="69512.807100000005"/>
    <x v="22"/>
    <n v="1000"/>
    <n v="69663.033500000005"/>
    <n v="0"/>
    <n v="150.22639999999956"/>
    <n v="150.22639999999956"/>
    <n v="150.22639999999956"/>
    <n v="0"/>
    <x v="0"/>
  </r>
  <r>
    <n v="77371.814000000013"/>
    <x v="23"/>
    <n v="200"/>
    <n v="79332.532600000006"/>
    <n v="0"/>
    <n v="1960.7185999999929"/>
    <n v="1960.7185999999929"/>
    <n v="1960.7185999999929"/>
    <n v="0"/>
    <x v="0"/>
  </r>
  <r>
    <n v="5341.2691000000004"/>
    <x v="24"/>
    <n v="0"/>
    <n v="0"/>
    <n v="475"/>
    <n v="-5341.2691000000004"/>
    <n v="0"/>
    <n v="0"/>
    <n v="0"/>
    <x v="1"/>
  </r>
  <r>
    <n v="441569.71990000003"/>
    <x v="25"/>
    <n v="27500"/>
    <n v="436255.18859999999"/>
    <n v="0"/>
    <n v="-5314.5313000000315"/>
    <n v="-5314.5313000000315"/>
    <n v="0"/>
    <n v="-5314.5313000000315"/>
    <x v="0"/>
  </r>
  <r>
    <n v="712933.3905000001"/>
    <x v="26"/>
    <n v="9850"/>
    <n v="689043.3345"/>
    <n v="400"/>
    <n v="-23890.056000000099"/>
    <n v="0"/>
    <n v="0"/>
    <n v="0"/>
    <x v="1"/>
  </r>
  <r>
    <n v="120082.6"/>
    <x v="27"/>
    <n v="5000"/>
    <n v="118145.69680000001"/>
    <n v="0"/>
    <n v="-1936.9032000000007"/>
    <n v="-1936.9032000000007"/>
    <n v="0"/>
    <n v="-1936.9032000000007"/>
    <x v="0"/>
  </r>
  <r>
    <n v="115685.35189999999"/>
    <x v="28"/>
    <n v="10000"/>
    <n v="87076.7255"/>
    <n v="0"/>
    <n v="-28608.626399999994"/>
    <n v="-28608.626399999994"/>
    <n v="0"/>
    <n v="-28608.626399999994"/>
    <x v="0"/>
  </r>
  <r>
    <n v="3899.9458"/>
    <x v="29"/>
    <n v="100"/>
    <n v="3729.3578000000002"/>
    <n v="0"/>
    <n v="-170.58799999999974"/>
    <n v="-170.58799999999974"/>
    <n v="0"/>
    <n v="-170.58799999999974"/>
    <x v="0"/>
  </r>
  <r>
    <n v="99396.026199999993"/>
    <x v="30"/>
    <n v="1000"/>
    <n v="103217.05"/>
    <n v="0"/>
    <n v="3821.0238000000099"/>
    <n v="3821.0238000000099"/>
    <n v="3821.0238000000099"/>
    <n v="0"/>
    <x v="0"/>
  </r>
  <r>
    <n v="873999.02419999999"/>
    <x v="31"/>
    <n v="13780"/>
    <n v="796225.47560000012"/>
    <n v="0"/>
    <n v="-77773.548599999864"/>
    <n v="-77773.548599999864"/>
    <n v="0"/>
    <n v="-77773.548599999864"/>
    <x v="0"/>
  </r>
  <r>
    <n v="77548.698699999994"/>
    <x v="32"/>
    <n v="1000"/>
    <n v="79180.604399999997"/>
    <n v="0"/>
    <n v="1631.905700000003"/>
    <n v="1631.905700000003"/>
    <n v="1631.905700000003"/>
    <n v="0"/>
    <x v="0"/>
  </r>
  <r>
    <n v="114727.46519999999"/>
    <x v="33"/>
    <n v="1000"/>
    <n v="115478.60370000001"/>
    <n v="0"/>
    <n v="751.13850000001548"/>
    <n v="751.13850000001548"/>
    <n v="751.13850000001548"/>
    <n v="0"/>
    <x v="0"/>
  </r>
  <r>
    <n v="1208874.5401999999"/>
    <x v="34"/>
    <n v="2600"/>
    <n v="1204065.4188000001"/>
    <n v="0"/>
    <n v="-4809.121399999829"/>
    <n v="-4809.121399999829"/>
    <n v="0"/>
    <n v="-4809.121399999829"/>
    <x v="0"/>
  </r>
  <r>
    <n v="63990.178399999997"/>
    <x v="35"/>
    <n v="1000"/>
    <n v="62819.636400000003"/>
    <n v="0"/>
    <n v="-1170.541999999994"/>
    <n v="-1170.541999999994"/>
    <n v="0"/>
    <n v="-1170.541999999994"/>
    <x v="0"/>
  </r>
  <r>
    <n v="108890.15210000001"/>
    <x v="36"/>
    <n v="110"/>
    <n v="108512.8132"/>
    <n v="0"/>
    <n v="-377.33890000000247"/>
    <n v="-377.33890000000247"/>
    <n v="0"/>
    <n v="-377.33890000000247"/>
    <x v="0"/>
  </r>
  <r>
    <n v="1259508.0948999999"/>
    <x v="37"/>
    <n v="4500"/>
    <n v="1252430.7058999999"/>
    <n v="0"/>
    <n v="-7077.3889999999665"/>
    <n v="-7077.3889999999665"/>
    <n v="0"/>
    <n v="-7077.3889999999665"/>
    <x v="0"/>
  </r>
  <r>
    <n v="105212.9639"/>
    <x v="38"/>
    <n v="1000"/>
    <n v="100169.82829999999"/>
    <n v="0"/>
    <n v="-5043.1356000000087"/>
    <n v="-5043.1356000000087"/>
    <n v="0"/>
    <n v="-5043.1356000000087"/>
    <x v="0"/>
  </r>
  <r>
    <n v="463641.6347"/>
    <x v="39"/>
    <n v="1100"/>
    <n v="458131.74910000002"/>
    <n v="0"/>
    <n v="-5509.8855999999796"/>
    <n v="-5509.8855999999796"/>
    <n v="0"/>
    <n v="-5509.8855999999796"/>
    <x v="0"/>
  </r>
  <r>
    <n v="250960.88069999998"/>
    <x v="40"/>
    <n v="1000"/>
    <n v="241548.58259999999"/>
    <n v="0"/>
    <n v="-9412.2980999999854"/>
    <n v="-9412.2980999999854"/>
    <n v="0"/>
    <n v="-9412.2980999999854"/>
    <x v="0"/>
  </r>
  <r>
    <n v="3108652.5153000001"/>
    <x v="41"/>
    <n v="7587"/>
    <n v="3105575.2147999997"/>
    <n v="0"/>
    <n v="-3077.3005000003614"/>
    <n v="-3077.3005000003614"/>
    <n v="0"/>
    <n v="-3077.3005000003614"/>
    <x v="0"/>
  </r>
  <r>
    <n v="1585079.3228"/>
    <x v="42"/>
    <n v="6000"/>
    <n v="1587654.4902999999"/>
    <n v="0"/>
    <n v="2575.1674999999814"/>
    <n v="2575.1674999999814"/>
    <n v="2575.1674999999814"/>
    <n v="0"/>
    <x v="0"/>
  </r>
  <r>
    <n v="886506.66170000006"/>
    <x v="43"/>
    <n v="6850"/>
    <n v="882916.44110000005"/>
    <n v="0"/>
    <n v="-3590.2206000000006"/>
    <n v="-3590.2206000000006"/>
    <n v="0"/>
    <n v="-3590.2206000000006"/>
    <x v="0"/>
  </r>
  <r>
    <n v="300188.5"/>
    <x v="44"/>
    <n v="2500"/>
    <n v="295389.6017"/>
    <n v="0"/>
    <n v="-4798.8983000000007"/>
    <n v="-4798.8983000000007"/>
    <n v="0"/>
    <n v="-4798.8983000000007"/>
    <x v="0"/>
  </r>
  <r>
    <n v="3310915.9273999999"/>
    <x v="45"/>
    <n v="10550"/>
    <n v="3281710.1589000002"/>
    <n v="0"/>
    <n v="-29205.768499999773"/>
    <n v="-29205.768499999773"/>
    <n v="0"/>
    <n v="-29205.768499999773"/>
    <x v="0"/>
  </r>
  <r>
    <n v="10896544.519199999"/>
    <x v="46"/>
    <n v="19450"/>
    <n v="10830235.910500001"/>
    <n v="60"/>
    <n v="-66308.608699997887"/>
    <n v="0"/>
    <n v="0"/>
    <n v="0"/>
    <x v="1"/>
  </r>
  <r>
    <n v="125630.5426"/>
    <x v="47"/>
    <n v="600"/>
    <n v="13993.8869"/>
    <n v="450"/>
    <n v="-111636.6557"/>
    <n v="0"/>
    <n v="0"/>
    <n v="0"/>
    <x v="1"/>
  </r>
  <r>
    <n v="436016.21399999998"/>
    <x v="48"/>
    <n v="3500"/>
    <n v="419584.5135"/>
    <n v="0"/>
    <n v="-16431.700499999977"/>
    <n v="-16431.700499999977"/>
    <n v="0"/>
    <n v="-16431.700499999977"/>
    <x v="0"/>
  </r>
  <r>
    <n v="42317.292099999999"/>
    <x v="49"/>
    <n v="750"/>
    <n v="28918.225900000001"/>
    <n v="0"/>
    <n v="-13399.066199999997"/>
    <n v="-13399.066199999997"/>
    <n v="0"/>
    <n v="-13399.066199999997"/>
    <x v="0"/>
  </r>
  <r>
    <n v="5207360.3832"/>
    <x v="50"/>
    <n v="17775"/>
    <n v="5174265.4342000009"/>
    <n v="0"/>
    <n v="-33094.948999999091"/>
    <n v="-33094.948999999091"/>
    <n v="0"/>
    <n v="-33094.948999999091"/>
    <x v="0"/>
  </r>
  <r>
    <n v="57043.686600000001"/>
    <x v="51"/>
    <n v="70"/>
    <n v="55053.3943"/>
    <n v="0"/>
    <n v="-1990.292300000001"/>
    <n v="-1990.292300000001"/>
    <n v="0"/>
    <n v="-1990.292300000001"/>
    <x v="0"/>
  </r>
  <r>
    <n v="1265136.6705"/>
    <x v="52"/>
    <n v="7722"/>
    <n v="1262421.5098999999"/>
    <n v="0"/>
    <n v="-2715.1606000000611"/>
    <n v="-2715.1606000000611"/>
    <n v="0"/>
    <n v="-2715.1606000000611"/>
    <x v="0"/>
  </r>
  <r>
    <n v="64290.187599999997"/>
    <x v="53"/>
    <n v="1000"/>
    <n v="62650.828600000001"/>
    <n v="0"/>
    <n v="-1639.3589999999967"/>
    <n v="-1639.3589999999967"/>
    <n v="0"/>
    <n v="-1639.3589999999967"/>
    <x v="0"/>
  </r>
  <r>
    <n v="46162.332799999996"/>
    <x v="54"/>
    <n v="25"/>
    <n v="45724.896999999997"/>
    <n v="0"/>
    <n v="-437.43579999999929"/>
    <n v="-437.43579999999929"/>
    <n v="0"/>
    <n v="-437.43579999999929"/>
    <x v="0"/>
  </r>
  <r>
    <n v="1147488.2228000001"/>
    <x v="55"/>
    <n v="4292"/>
    <n v="1137976.1000000001"/>
    <n v="0"/>
    <n v="-9512.1228000000119"/>
    <n v="-9512.1228000000119"/>
    <n v="0"/>
    <n v="-9512.1228000000119"/>
    <x v="0"/>
  </r>
  <r>
    <n v="3848.2640000000001"/>
    <x v="56"/>
    <n v="10"/>
    <n v="2811.2343000000001"/>
    <n v="0"/>
    <n v="-1037.0297"/>
    <n v="-1037.0297"/>
    <n v="0"/>
    <n v="-1037.0297"/>
    <x v="0"/>
  </r>
  <r>
    <n v="1356197.5233"/>
    <x v="57"/>
    <n v="79200"/>
    <n v="1336584.2551999998"/>
    <n v="0"/>
    <n v="-19613.268100000219"/>
    <n v="-19613.268100000219"/>
    <n v="0"/>
    <n v="-19613.268100000219"/>
    <x v="0"/>
  </r>
  <r>
    <n v="372493.12760000001"/>
    <x v="58"/>
    <n v="4000"/>
    <n v="367289.24200000003"/>
    <n v="0"/>
    <n v="-5203.8855999999796"/>
    <n v="-5203.8855999999796"/>
    <n v="0"/>
    <n v="-5203.8855999999796"/>
    <x v="0"/>
  </r>
  <r>
    <n v="7290904.6476999996"/>
    <x v="59"/>
    <n v="87500"/>
    <n v="7262666.4245999996"/>
    <n v="0"/>
    <n v="-28238.223100000061"/>
    <n v="-28238.223100000061"/>
    <n v="0"/>
    <n v="-28238.223100000061"/>
    <x v="0"/>
  </r>
  <r>
    <n v="68525.6342"/>
    <x v="60"/>
    <n v="1100"/>
    <n v="68579.930800000002"/>
    <n v="0"/>
    <n v="54.29660000000149"/>
    <n v="54.29660000000149"/>
    <n v="54.29660000000149"/>
    <n v="0"/>
    <x v="0"/>
  </r>
  <r>
    <n v="835.22429999999997"/>
    <x v="61"/>
    <n v="10"/>
    <n v="1269.0407"/>
    <n v="0"/>
    <n v="433.81640000000004"/>
    <n v="433.81640000000004"/>
    <n v="433.81640000000004"/>
    <n v="0"/>
    <x v="0"/>
  </r>
  <r>
    <n v="86697.118900000001"/>
    <x v="62"/>
    <n v="1500"/>
    <n v="86698.726699999999"/>
    <n v="0"/>
    <n v="1.6077999999979511"/>
    <n v="1.6077999999979511"/>
    <n v="1.6077999999979511"/>
    <n v="0"/>
    <x v="0"/>
  </r>
  <r>
    <n v="1806022.5747999998"/>
    <x v="63"/>
    <n v="12350"/>
    <n v="1801114.6894"/>
    <n v="175"/>
    <n v="-4907.8853999997955"/>
    <n v="0"/>
    <n v="0"/>
    <n v="0"/>
    <x v="1"/>
  </r>
  <r>
    <n v="250453.91740000001"/>
    <x v="64"/>
    <n v="2900"/>
    <n v="249087.56030000001"/>
    <n v="0"/>
    <n v="-1366.3570999999938"/>
    <n v="-1366.3570999999938"/>
    <n v="0"/>
    <n v="-1366.3570999999938"/>
    <x v="0"/>
  </r>
  <r>
    <n v="469222.34669999999"/>
    <x v="65"/>
    <n v="2050"/>
    <n v="467398.55149999994"/>
    <n v="0"/>
    <n v="-1823.7952000000514"/>
    <n v="-1823.7952000000514"/>
    <n v="0"/>
    <n v="-1823.7952000000514"/>
    <x v="0"/>
  </r>
  <r>
    <n v="1148.7135000000001"/>
    <x v="66"/>
    <n v="10"/>
    <n v="933.601"/>
    <n v="0"/>
    <n v="-215.11250000000007"/>
    <n v="-215.11250000000007"/>
    <n v="0"/>
    <n v="-215.11250000000007"/>
    <x v="0"/>
  </r>
  <r>
    <n v="39330.8891"/>
    <x v="67"/>
    <n v="1000"/>
    <n v="39559.612000000001"/>
    <n v="0"/>
    <n v="228.72290000000066"/>
    <n v="228.72290000000066"/>
    <n v="228.72290000000066"/>
    <n v="0"/>
    <x v="0"/>
  </r>
  <r>
    <n v="951577.06890000007"/>
    <x v="68"/>
    <n v="2000"/>
    <n v="953106.82949999999"/>
    <n v="0"/>
    <n v="1529.7605999999214"/>
    <n v="1529.7605999999214"/>
    <n v="1529.7605999999214"/>
    <n v="0"/>
    <x v="0"/>
  </r>
  <r>
    <n v="30462920.221800003"/>
    <x v="69"/>
    <n v="84100"/>
    <n v="30374064.085600004"/>
    <n v="0"/>
    <n v="-88856.136199999601"/>
    <n v="-88856.136199999601"/>
    <n v="0"/>
    <n v="-88856.136199999601"/>
    <x v="0"/>
  </r>
  <r>
    <n v="1630209.7154999999"/>
    <x v="70"/>
    <n v="5100"/>
    <n v="1612870.7508"/>
    <n v="0"/>
    <n v="-17338.964699999895"/>
    <n v="-17338.964699999895"/>
    <n v="0"/>
    <n v="-17338.964699999895"/>
    <x v="0"/>
  </r>
  <r>
    <n v="855666.59979999985"/>
    <x v="71"/>
    <n v="4220"/>
    <n v="857170.03609999991"/>
    <n v="0"/>
    <n v="1503.4363000000594"/>
    <n v="1503.4363000000594"/>
    <n v="1503.4363000000594"/>
    <n v="0"/>
    <x v="0"/>
  </r>
  <r>
    <n v="826988.05779999995"/>
    <x v="72"/>
    <n v="2952"/>
    <n v="820254.63529999997"/>
    <n v="0"/>
    <n v="-6733.422499999986"/>
    <n v="-6733.422499999986"/>
    <n v="0"/>
    <n v="-6733.422499999986"/>
    <x v="0"/>
  </r>
  <r>
    <n v="1120966.7790000001"/>
    <x v="73"/>
    <n v="6450"/>
    <n v="1116089.031"/>
    <n v="0"/>
    <n v="-4877.7480000001378"/>
    <n v="-4877.7480000001378"/>
    <n v="0"/>
    <n v="-4877.7480000001378"/>
    <x v="0"/>
  </r>
  <r>
    <n v="61942.5242"/>
    <x v="74"/>
    <n v="50"/>
    <n v="60961.9211"/>
    <n v="0"/>
    <n v="-980.60310000000027"/>
    <n v="-980.60310000000027"/>
    <n v="0"/>
    <n v="-980.60310000000027"/>
    <x v="0"/>
  </r>
  <r>
    <n v="54034.180999999997"/>
    <x v="75"/>
    <n v="1000"/>
    <n v="55101.447"/>
    <n v="0"/>
    <n v="1067.2660000000033"/>
    <n v="1067.2660000000033"/>
    <n v="1067.2660000000033"/>
    <n v="0"/>
    <x v="0"/>
  </r>
  <r>
    <n v="2026093.7862"/>
    <x v="76"/>
    <n v="12964"/>
    <n v="2019153.7676000001"/>
    <n v="70"/>
    <n v="-6940.0185999998357"/>
    <n v="0"/>
    <n v="0"/>
    <n v="0"/>
    <x v="1"/>
  </r>
  <r>
    <n v="865022.82109999994"/>
    <x v="77"/>
    <n v="30500"/>
    <n v="851717.92790000001"/>
    <n v="0"/>
    <n v="-13304.893199999933"/>
    <n v="-13304.893199999933"/>
    <n v="0"/>
    <n v="-13304.893199999933"/>
    <x v="0"/>
  </r>
  <r>
    <n v="1394047.4734"/>
    <x v="78"/>
    <n v="5100"/>
    <n v="1386978.0104"/>
    <n v="0"/>
    <n v="-7069.4629999999888"/>
    <n v="-7069.4629999999888"/>
    <n v="0"/>
    <n v="-7069.4629999999888"/>
    <x v="0"/>
  </r>
  <r>
    <n v="492381.2046"/>
    <x v="79"/>
    <n v="800"/>
    <n v="488615.87400000001"/>
    <n v="0"/>
    <n v="-3765.3305999999866"/>
    <n v="-3765.3305999999866"/>
    <n v="0"/>
    <n v="-3765.3305999999866"/>
    <x v="0"/>
  </r>
  <r>
    <n v="53360.208599999998"/>
    <x v="80"/>
    <n v="300"/>
    <n v="53525.360399999998"/>
    <n v="0"/>
    <n v="165.15179999999964"/>
    <n v="165.15179999999964"/>
    <n v="165.15179999999964"/>
    <n v="0"/>
    <x v="0"/>
  </r>
  <r>
    <n v="1534146.4342999998"/>
    <x v="81"/>
    <n v="3200"/>
    <n v="1535827.8685000001"/>
    <n v="0"/>
    <n v="1681.4342000002507"/>
    <n v="1681.4342000002507"/>
    <n v="1681.4342000002507"/>
    <n v="0"/>
    <x v="0"/>
  </r>
  <r>
    <n v="29230.7412"/>
    <x v="82"/>
    <n v="500"/>
    <n v="29511.9061"/>
    <n v="0"/>
    <n v="281.16489999999976"/>
    <n v="281.16489999999976"/>
    <n v="281.16489999999976"/>
    <n v="0"/>
    <x v="0"/>
  </r>
  <r>
    <n v="52683.2955"/>
    <x v="83"/>
    <n v="500"/>
    <n v="52203.838900000002"/>
    <n v="0"/>
    <n v="-479.45659999999771"/>
    <n v="-479.45659999999771"/>
    <n v="0"/>
    <n v="-479.45659999999771"/>
    <x v="0"/>
  </r>
  <r>
    <n v="704176.59349999996"/>
    <x v="84"/>
    <n v="8000"/>
    <n v="705545.1568"/>
    <n v="0"/>
    <n v="1368.563300000038"/>
    <n v="1368.563300000038"/>
    <n v="1368.563300000038"/>
    <n v="0"/>
    <x v="0"/>
  </r>
  <r>
    <n v="1647726.6591"/>
    <x v="85"/>
    <n v="25500"/>
    <n v="1624896.3768"/>
    <n v="0"/>
    <n v="-22830.282300000079"/>
    <n v="-22830.282300000079"/>
    <n v="0"/>
    <n v="-22830.282300000079"/>
    <x v="0"/>
  </r>
  <r>
    <n v="32930.894399999997"/>
    <x v="86"/>
    <n v="100"/>
    <n v="32684.202000000001"/>
    <n v="0"/>
    <n v="-246.69239999999627"/>
    <n v="-246.69239999999627"/>
    <n v="0"/>
    <n v="-246.69239999999627"/>
    <x v="0"/>
  </r>
  <r>
    <n v="35391.002999999997"/>
    <x v="87"/>
    <n v="10"/>
    <n v="35070.196000000004"/>
    <n v="0"/>
    <n v="-320.80699999999342"/>
    <n v="-320.80699999999342"/>
    <n v="0"/>
    <n v="-320.80699999999342"/>
    <x v="0"/>
  </r>
  <r>
    <n v="134084.75399999999"/>
    <x v="88"/>
    <n v="100"/>
    <n v="134231.4933"/>
    <n v="0"/>
    <n v="146.73930000001565"/>
    <n v="146.73930000001565"/>
    <n v="146.73930000001565"/>
    <n v="0"/>
    <x v="0"/>
  </r>
  <r>
    <n v="41031.245999999999"/>
    <x v="89"/>
    <n v="100"/>
    <n v="41158.466800000002"/>
    <n v="0"/>
    <n v="127.22080000000278"/>
    <n v="127.22080000000278"/>
    <n v="127.22080000000278"/>
    <n v="0"/>
    <x v="0"/>
  </r>
  <r>
    <n v="312240.80330000003"/>
    <x v="90"/>
    <n v="350"/>
    <n v="312142.53249999997"/>
    <n v="0"/>
    <n v="-98.270800000056624"/>
    <n v="-98.270800000056624"/>
    <n v="0"/>
    <n v="-98.270800000056624"/>
    <x v="0"/>
  </r>
  <r>
    <n v="111607.52439999999"/>
    <x v="91"/>
    <n v="590"/>
    <n v="109937.86870000001"/>
    <n v="0"/>
    <n v="-1669.6556999999884"/>
    <n v="-1669.6556999999884"/>
    <n v="0"/>
    <n v="-1669.6556999999884"/>
    <x v="0"/>
  </r>
  <r>
    <n v="63117.290199999996"/>
    <x v="92"/>
    <n v="400"/>
    <n v="62822.585599999999"/>
    <n v="0"/>
    <n v="-294.7045999999973"/>
    <n v="-294.7045999999973"/>
    <n v="0"/>
    <n v="-294.7045999999973"/>
    <x v="0"/>
  </r>
  <r>
    <n v="86696.218200000003"/>
    <x v="93"/>
    <n v="574"/>
    <n v="87202.837"/>
    <n v="0"/>
    <n v="506.61879999999655"/>
    <n v="506.61879999999655"/>
    <n v="506.61879999999655"/>
    <n v="0"/>
    <x v="0"/>
  </r>
  <r>
    <n v="530703.02930000005"/>
    <x v="94"/>
    <n v="325"/>
    <n v="530264.63470000005"/>
    <n v="0"/>
    <n v="-438.39459999999963"/>
    <n v="-438.39459999999963"/>
    <n v="0"/>
    <n v="-438.39459999999963"/>
    <x v="0"/>
  </r>
  <r>
    <n v="178012.50450000001"/>
    <x v="95"/>
    <n v="1500"/>
    <n v="179791.6219"/>
    <n v="0"/>
    <n v="1779.1173999999883"/>
    <n v="1779.1173999999883"/>
    <n v="1779.1173999999883"/>
    <n v="0"/>
    <x v="0"/>
  </r>
  <r>
    <n v="561983.56819999998"/>
    <x v="96"/>
    <n v="1500"/>
    <n v="563127.87919999997"/>
    <n v="0"/>
    <n v="1144.310999999987"/>
    <n v="1144.310999999987"/>
    <n v="1144.310999999987"/>
    <n v="0"/>
    <x v="0"/>
  </r>
  <r>
    <n v="71707.167000000001"/>
    <x v="97"/>
    <n v="300"/>
    <n v="71630.0383"/>
    <n v="0"/>
    <n v="-77.128700000001118"/>
    <n v="-77.128700000001118"/>
    <n v="0"/>
    <n v="-77.128700000001118"/>
    <x v="0"/>
  </r>
  <r>
    <n v="360823.41749999998"/>
    <x v="98"/>
    <n v="1850"/>
    <n v="352163.20890000003"/>
    <n v="0"/>
    <n v="-8660.2085999999545"/>
    <n v="-8660.2085999999545"/>
    <n v="0"/>
    <n v="-8660.2085999999545"/>
    <x v="0"/>
  </r>
  <r>
    <n v="109659.6453"/>
    <x v="99"/>
    <n v="100"/>
    <n v="108875.1455"/>
    <n v="0"/>
    <n v="-784.49980000000505"/>
    <n v="-784.49980000000505"/>
    <n v="0"/>
    <n v="-784.49980000000505"/>
    <x v="0"/>
  </r>
  <r>
    <n v="2792465.5633999999"/>
    <x v="100"/>
    <n v="43775"/>
    <n v="2792943.0484000002"/>
    <n v="0"/>
    <n v="477.48500000033528"/>
    <n v="477.48500000033528"/>
    <n v="477.48500000033528"/>
    <n v="0"/>
    <x v="0"/>
  </r>
  <r>
    <n v="162462.685"/>
    <x v="101"/>
    <n v="300"/>
    <n v="160957.6704"/>
    <n v="0"/>
    <n v="-1505.014599999995"/>
    <n v="-1505.014599999995"/>
    <n v="0"/>
    <n v="-1505.014599999995"/>
    <x v="0"/>
  </r>
  <r>
    <n v="168243.1826"/>
    <x v="102"/>
    <n v="2000"/>
    <n v="169965.1655"/>
    <n v="0"/>
    <n v="1721.9829000000027"/>
    <n v="1721.9829000000027"/>
    <n v="1721.9829000000027"/>
    <n v="0"/>
    <x v="0"/>
  </r>
  <r>
    <n v="94865.055600000007"/>
    <x v="103"/>
    <n v="500"/>
    <n v="93714.085800000001"/>
    <n v="0"/>
    <n v="-1150.9698000000062"/>
    <n v="-1150.9698000000062"/>
    <n v="0"/>
    <n v="-1150.9698000000062"/>
    <x v="0"/>
  </r>
  <r>
    <n v="77098.181899999996"/>
    <x v="104"/>
    <n v="100"/>
    <n v="77131.900800000003"/>
    <n v="0"/>
    <n v="33.718900000007125"/>
    <n v="33.718900000007125"/>
    <n v="33.718900000007125"/>
    <n v="0"/>
    <x v="0"/>
  </r>
  <r>
    <n v="31405.8295"/>
    <x v="105"/>
    <n v="250"/>
    <n v="30959.083999999999"/>
    <n v="0"/>
    <n v="-446.7455000000009"/>
    <n v="-446.7455000000009"/>
    <n v="0"/>
    <n v="-446.7455000000009"/>
    <x v="0"/>
  </r>
  <r>
    <n v="62839.720800000003"/>
    <x v="106"/>
    <n v="100"/>
    <n v="62675.391900000002"/>
    <n v="0"/>
    <n v="-164.32890000000043"/>
    <n v="-164.32890000000043"/>
    <n v="0"/>
    <n v="-164.32890000000043"/>
    <x v="0"/>
  </r>
  <r>
    <n v="36568.555399999997"/>
    <x v="107"/>
    <n v="250"/>
    <n v="36747.265599999999"/>
    <n v="0"/>
    <n v="178.71020000000135"/>
    <n v="178.71020000000135"/>
    <n v="178.71020000000135"/>
    <n v="0"/>
    <x v="0"/>
  </r>
  <r>
    <n v="202558.9"/>
    <x v="108"/>
    <n v="1000"/>
    <n v="206525.85"/>
    <n v="0"/>
    <n v="3966.9500000000116"/>
    <n v="3966.9500000000116"/>
    <n v="3966.9500000000116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73">
  <r>
    <d v="2019-10-10T00:00:00"/>
    <x v="0"/>
    <x v="0"/>
    <n v="250"/>
    <n v="240"/>
    <n v="60000"/>
    <s v="20191010N200000849"/>
    <n v="2019190"/>
    <s v="Rolling"/>
    <s v="IN302679-38296183"/>
    <s v="NSE"/>
    <n v="0"/>
    <n v="0"/>
    <n v="0"/>
    <n v="0"/>
    <n v="0"/>
  </r>
  <r>
    <d v="2019-10-10T00:00:00"/>
    <x v="1"/>
    <x v="0"/>
    <n v="100"/>
    <n v="247"/>
    <n v="24700"/>
    <s v="20191010N300013763"/>
    <n v="2019190"/>
    <s v="Rolling"/>
    <s v="IN302679-38296183"/>
    <s v="NSE"/>
    <n v="0"/>
    <n v="0"/>
    <n v="0"/>
    <n v="0"/>
    <n v="0"/>
  </r>
  <r>
    <d v="2019-10-10T00:00:00"/>
    <x v="0"/>
    <x v="1"/>
    <n v="250"/>
    <n v="212.47"/>
    <n v="53116.95"/>
    <s v="20191010N300016520"/>
    <n v="2019190"/>
    <s v="Rolling"/>
    <s v="IN302679-38296183"/>
    <s v="NSE"/>
    <n v="0"/>
    <n v="0"/>
    <n v="0"/>
    <n v="0"/>
    <n v="0"/>
  </r>
  <r>
    <d v="2019-10-10T00:00:00"/>
    <x v="1"/>
    <x v="1"/>
    <n v="500"/>
    <n v="245.3"/>
    <n v="122650"/>
    <s v="20191010N300017812"/>
    <n v="2019190"/>
    <s v="Rolling"/>
    <s v="IN302679-38296183"/>
    <s v="NSE"/>
    <n v="0"/>
    <n v="0"/>
    <n v="0"/>
    <n v="0"/>
    <n v="0"/>
  </r>
  <r>
    <d v="2019-10-10T00:00:00"/>
    <x v="1"/>
    <x v="0"/>
    <n v="400"/>
    <n v="245.2"/>
    <n v="98080"/>
    <s v="20191010N300017897"/>
    <n v="2019190"/>
    <s v="Rolling"/>
    <s v="IN302679-38296183"/>
    <s v="NSE"/>
    <n v="0"/>
    <n v="0"/>
    <n v="0"/>
    <n v="0"/>
    <n v="0"/>
  </r>
  <r>
    <d v="2019-10-10T00:00:00"/>
    <x v="0"/>
    <x v="1"/>
    <n v="500"/>
    <n v="201.38"/>
    <n v="100691.95"/>
    <s v="20191010N300021912"/>
    <n v="2019190"/>
    <s v="Rolling"/>
    <s v="IN302679-38296183"/>
    <s v="NSE"/>
    <n v="0"/>
    <n v="0"/>
    <n v="0"/>
    <n v="0"/>
    <n v="0"/>
  </r>
  <r>
    <d v="2019-10-10T00:00:00"/>
    <x v="0"/>
    <x v="1"/>
    <n v="250"/>
    <n v="195"/>
    <n v="48750"/>
    <s v="20191010N300022202"/>
    <n v="2019190"/>
    <s v="Rolling"/>
    <s v="IN302679-38296183"/>
    <s v="NSE"/>
    <n v="0"/>
    <n v="0"/>
    <n v="0"/>
    <n v="0"/>
    <n v="0"/>
  </r>
  <r>
    <d v="2019-10-10T00:00:00"/>
    <x v="0"/>
    <x v="0"/>
    <n v="366"/>
    <n v="193.13"/>
    <n v="70685.850000000006"/>
    <s v="20191010N300025561"/>
    <n v="2019190"/>
    <s v="Rolling"/>
    <s v="IN302679-38296183"/>
    <s v="NSE"/>
    <n v="0"/>
    <n v="0"/>
    <n v="0"/>
    <n v="0"/>
    <n v="0"/>
  </r>
  <r>
    <d v="2019-10-10T00:00:00"/>
    <x v="0"/>
    <x v="0"/>
    <n v="384"/>
    <n v="197.5"/>
    <n v="75840"/>
    <s v="20191010N300028251"/>
    <n v="2019190"/>
    <s v="Rolling"/>
    <s v="IN302679-38296183"/>
    <s v="NSE"/>
    <n v="0"/>
    <n v="0"/>
    <n v="0"/>
    <n v="0"/>
    <n v="0"/>
  </r>
  <r>
    <d v="2019-10-09T00:00:00"/>
    <x v="2"/>
    <x v="1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d v="2019-10-09T00:00:00"/>
    <x v="2"/>
    <x v="1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d v="2019-10-09T00:00:00"/>
    <x v="2"/>
    <x v="0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d v="2019-10-09T00:00:00"/>
    <x v="3"/>
    <x v="1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d v="2019-10-09T00:00:00"/>
    <x v="3"/>
    <x v="0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d v="2019-10-09T00:00:00"/>
    <x v="4"/>
    <x v="1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d v="2019-10-07T00:00:00"/>
    <x v="2"/>
    <x v="1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d v="2019-10-07T00:00:00"/>
    <x v="2"/>
    <x v="1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d v="2019-10-07T00:00:00"/>
    <x v="2"/>
    <x v="0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d v="2019-10-07T00:00:00"/>
    <x v="4"/>
    <x v="1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d v="2019-10-04T00:00:00"/>
    <x v="2"/>
    <x v="0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d v="2019-10-04T00:00:00"/>
    <x v="2"/>
    <x v="1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d v="2019-10-03T00:00:00"/>
    <x v="2"/>
    <x v="1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d v="2019-10-03T00:00:00"/>
    <x v="2"/>
    <x v="0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d v="2019-10-03T00:00:00"/>
    <x v="2"/>
    <x v="1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d v="2019-10-03T00:00:00"/>
    <x v="2"/>
    <x v="1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d v="2019-10-03T00:00:00"/>
    <x v="2"/>
    <x v="0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d v="2019-10-01T00:00:00"/>
    <x v="5"/>
    <x v="0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d v="2019-10-01T00:00:00"/>
    <x v="5"/>
    <x v="1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d v="2019-10-01T00:00:00"/>
    <x v="4"/>
    <x v="1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d v="2019-10-01T00:00:00"/>
    <x v="6"/>
    <x v="1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d v="2019-10-01T00:00:00"/>
    <x v="6"/>
    <x v="1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d v="2019-09-30T00:00:00"/>
    <x v="6"/>
    <x v="1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d v="2019-09-27T00:00:00"/>
    <x v="6"/>
    <x v="1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d v="2019-09-25T00:00:00"/>
    <x v="7"/>
    <x v="1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d v="2019-09-24T00:00:00"/>
    <x v="1"/>
    <x v="0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d v="2019-09-24T00:00:00"/>
    <x v="1"/>
    <x v="1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d v="2019-09-24T00:00:00"/>
    <x v="4"/>
    <x v="1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d v="2019-09-19T00:00:00"/>
    <x v="6"/>
    <x v="1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d v="2019-09-03T00:00:00"/>
    <x v="5"/>
    <x v="1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d v="2019-09-03T00:00:00"/>
    <x v="5"/>
    <x v="0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d v="2019-09-03T00:00:00"/>
    <x v="5"/>
    <x v="1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d v="2019-09-03T00:00:00"/>
    <x v="5"/>
    <x v="0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d v="2019-08-30T00:00:00"/>
    <x v="6"/>
    <x v="1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d v="2019-08-30T00:00:00"/>
    <x v="6"/>
    <x v="0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d v="2019-08-27T00:00:00"/>
    <x v="5"/>
    <x v="0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d v="2019-08-27T00:00:00"/>
    <x v="5"/>
    <x v="1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d v="2019-08-27T00:00:00"/>
    <x v="5"/>
    <x v="1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d v="2019-08-27T00:00:00"/>
    <x v="5"/>
    <x v="0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d v="2019-08-27T00:00:00"/>
    <x v="5"/>
    <x v="1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d v="2019-08-26T00:00:00"/>
    <x v="8"/>
    <x v="0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d v="2019-08-26T00:00:00"/>
    <x v="8"/>
    <x v="0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d v="2019-08-26T00:00:00"/>
    <x v="5"/>
    <x v="0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d v="2019-08-26T00:00:00"/>
    <x v="5"/>
    <x v="1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d v="2019-08-26T00:00:00"/>
    <x v="8"/>
    <x v="1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d v="2019-08-26T00:00:00"/>
    <x v="8"/>
    <x v="1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d v="2019-08-26T00:00:00"/>
    <x v="8"/>
    <x v="1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d v="2019-08-26T00:00:00"/>
    <x v="8"/>
    <x v="0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d v="2019-08-26T00:00:00"/>
    <x v="5"/>
    <x v="0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d v="2019-08-26T00:00:00"/>
    <x v="5"/>
    <x v="0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d v="2019-08-26T00:00:00"/>
    <x v="9"/>
    <x v="1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d v="2019-08-26T00:00:00"/>
    <x v="5"/>
    <x v="0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d v="2019-08-26T00:00:00"/>
    <x v="5"/>
    <x v="0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d v="2019-08-26T00:00:00"/>
    <x v="5"/>
    <x v="0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d v="2019-08-26T00:00:00"/>
    <x v="5"/>
    <x v="1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d v="2019-08-26T00:00:00"/>
    <x v="9"/>
    <x v="0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d v="2019-08-23T00:00:00"/>
    <x v="8"/>
    <x v="1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d v="2019-08-23T00:00:00"/>
    <x v="5"/>
    <x v="0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d v="2019-08-23T00:00:00"/>
    <x v="5"/>
    <x v="1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d v="2019-08-23T00:00:00"/>
    <x v="5"/>
    <x v="1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d v="2019-08-23T00:00:00"/>
    <x v="8"/>
    <x v="0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d v="2019-08-23T00:00:00"/>
    <x v="8"/>
    <x v="0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d v="2019-08-22T00:00:00"/>
    <x v="10"/>
    <x v="0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d v="2019-08-21T00:00:00"/>
    <x v="8"/>
    <x v="1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d v="2019-08-21T00:00:00"/>
    <x v="8"/>
    <x v="0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d v="2019-08-21T00:00:00"/>
    <x v="10"/>
    <x v="1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d v="2019-08-21T00:00:00"/>
    <x v="10"/>
    <x v="0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d v="2019-08-21T00:00:00"/>
    <x v="11"/>
    <x v="1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d v="2019-08-21T00:00:00"/>
    <x v="4"/>
    <x v="1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d v="2019-08-21T00:00:00"/>
    <x v="9"/>
    <x v="0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d v="2019-08-21T00:00:00"/>
    <x v="10"/>
    <x v="1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d v="2019-08-21T00:00:00"/>
    <x v="9"/>
    <x v="1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d v="2019-08-21T00:00:00"/>
    <x v="10"/>
    <x v="1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d v="2019-08-21T00:00:00"/>
    <x v="9"/>
    <x v="0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d v="2019-08-21T00:00:00"/>
    <x v="12"/>
    <x v="1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d v="2019-08-20T00:00:00"/>
    <x v="8"/>
    <x v="1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d v="2019-08-20T00:00:00"/>
    <x v="8"/>
    <x v="1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d v="2019-08-20T00:00:00"/>
    <x v="8"/>
    <x v="0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d v="2019-08-20T00:00:00"/>
    <x v="4"/>
    <x v="1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d v="2019-08-20T00:00:00"/>
    <x v="4"/>
    <x v="1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d v="2019-08-20T00:00:00"/>
    <x v="13"/>
    <x v="1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d v="2019-08-19T00:00:00"/>
    <x v="14"/>
    <x v="1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d v="2019-08-19T00:00:00"/>
    <x v="14"/>
    <x v="0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d v="2019-08-19T00:00:00"/>
    <x v="8"/>
    <x v="0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d v="2019-08-19T00:00:00"/>
    <x v="8"/>
    <x v="1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d v="2019-08-19T00:00:00"/>
    <x v="8"/>
    <x v="1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d v="2019-08-19T00:00:00"/>
    <x v="8"/>
    <x v="0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d v="2019-08-19T00:00:00"/>
    <x v="7"/>
    <x v="1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d v="2019-08-16T00:00:00"/>
    <x v="8"/>
    <x v="0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d v="2019-08-16T00:00:00"/>
    <x v="8"/>
    <x v="0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d v="2019-08-16T00:00:00"/>
    <x v="8"/>
    <x v="0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d v="2019-08-16T00:00:00"/>
    <x v="8"/>
    <x v="0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d v="2019-08-16T00:00:00"/>
    <x v="8"/>
    <x v="0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d v="2019-08-16T00:00:00"/>
    <x v="8"/>
    <x v="1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d v="2019-08-14T00:00:00"/>
    <x v="15"/>
    <x v="0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d v="2019-08-14T00:00:00"/>
    <x v="15"/>
    <x v="1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d v="2019-08-14T00:00:00"/>
    <x v="8"/>
    <x v="1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d v="2019-08-14T00:00:00"/>
    <x v="8"/>
    <x v="0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d v="2019-08-14T00:00:00"/>
    <x v="8"/>
    <x v="0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d v="2019-08-14T00:00:00"/>
    <x v="16"/>
    <x v="0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d v="2019-08-14T00:00:00"/>
    <x v="16"/>
    <x v="1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d v="2019-08-14T00:00:00"/>
    <x v="8"/>
    <x v="1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d v="2019-08-13T00:00:00"/>
    <x v="8"/>
    <x v="0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d v="2019-08-13T00:00:00"/>
    <x v="8"/>
    <x v="0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d v="2019-08-13T00:00:00"/>
    <x v="8"/>
    <x v="1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d v="2019-08-09T00:00:00"/>
    <x v="17"/>
    <x v="1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d v="2019-08-09T00:00:00"/>
    <x v="18"/>
    <x v="0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d v="2019-08-09T00:00:00"/>
    <x v="18"/>
    <x v="1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d v="2019-08-09T00:00:00"/>
    <x v="17"/>
    <x v="0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d v="2019-08-09T00:00:00"/>
    <x v="17"/>
    <x v="1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d v="2019-08-09T00:00:00"/>
    <x v="17"/>
    <x v="1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d v="2019-08-08T00:00:00"/>
    <x v="8"/>
    <x v="0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d v="2019-08-08T00:00:00"/>
    <x v="8"/>
    <x v="1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d v="2019-08-08T00:00:00"/>
    <x v="8"/>
    <x v="0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d v="2019-08-08T00:00:00"/>
    <x v="8"/>
    <x v="0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d v="2019-08-08T00:00:00"/>
    <x v="12"/>
    <x v="1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d v="2019-08-07T00:00:00"/>
    <x v="19"/>
    <x v="1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d v="2019-08-07T00:00:00"/>
    <x v="19"/>
    <x v="0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d v="2019-08-07T00:00:00"/>
    <x v="19"/>
    <x v="1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d v="2019-08-07T00:00:00"/>
    <x v="11"/>
    <x v="1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d v="2019-08-05T00:00:00"/>
    <x v="20"/>
    <x v="0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d v="2019-08-05T00:00:00"/>
    <x v="21"/>
    <x v="0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d v="2019-08-05T00:00:00"/>
    <x v="20"/>
    <x v="1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d v="2019-08-05T00:00:00"/>
    <x v="21"/>
    <x v="1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d v="2019-08-02T00:00:00"/>
    <x v="13"/>
    <x v="1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d v="2019-07-30T00:00:00"/>
    <x v="6"/>
    <x v="0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d v="2019-07-30T00:00:00"/>
    <x v="6"/>
    <x v="1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d v="2019-07-29T00:00:00"/>
    <x v="11"/>
    <x v="1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d v="2019-07-26T00:00:00"/>
    <x v="22"/>
    <x v="1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d v="2019-07-26T00:00:00"/>
    <x v="22"/>
    <x v="0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d v="2019-07-25T00:00:00"/>
    <x v="6"/>
    <x v="0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d v="2019-07-25T00:00:00"/>
    <x v="6"/>
    <x v="1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d v="2019-07-24T00:00:00"/>
    <x v="23"/>
    <x v="1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d v="2019-07-24T00:00:00"/>
    <x v="23"/>
    <x v="0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d v="2019-07-23T00:00:00"/>
    <x v="13"/>
    <x v="1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d v="2019-07-22T00:00:00"/>
    <x v="24"/>
    <x v="0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d v="2019-07-17T00:00:00"/>
    <x v="25"/>
    <x v="0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d v="2019-07-17T00:00:00"/>
    <x v="25"/>
    <x v="1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d v="2019-07-17T00:00:00"/>
    <x v="25"/>
    <x v="1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d v="2019-07-17T00:00:00"/>
    <x v="25"/>
    <x v="0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d v="2019-07-16T00:00:00"/>
    <x v="26"/>
    <x v="0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d v="2019-07-16T00:00:00"/>
    <x v="26"/>
    <x v="1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d v="2019-07-15T00:00:00"/>
    <x v="26"/>
    <x v="0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d v="2019-07-15T00:00:00"/>
    <x v="26"/>
    <x v="1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d v="2019-07-09T00:00:00"/>
    <x v="27"/>
    <x v="1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d v="2019-07-09T00:00:00"/>
    <x v="27"/>
    <x v="0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d v="2019-07-08T00:00:00"/>
    <x v="7"/>
    <x v="1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d v="2019-07-04T00:00:00"/>
    <x v="28"/>
    <x v="0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d v="2019-07-04T00:00:00"/>
    <x v="28"/>
    <x v="1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d v="2019-07-04T00:00:00"/>
    <x v="29"/>
    <x v="0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d v="2019-07-04T00:00:00"/>
    <x v="29"/>
    <x v="1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d v="2019-07-04T00:00:00"/>
    <x v="30"/>
    <x v="0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d v="2019-07-04T00:00:00"/>
    <x v="30"/>
    <x v="1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d v="2019-07-04T00:00:00"/>
    <x v="12"/>
    <x v="1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d v="2019-07-04T00:00:00"/>
    <x v="12"/>
    <x v="0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d v="2019-07-03T00:00:00"/>
    <x v="21"/>
    <x v="0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d v="2019-07-03T00:00:00"/>
    <x v="21"/>
    <x v="1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d v="2019-07-03T00:00:00"/>
    <x v="30"/>
    <x v="0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d v="2019-07-03T00:00:00"/>
    <x v="30"/>
    <x v="1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d v="2019-07-03T00:00:00"/>
    <x v="12"/>
    <x v="1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d v="2019-07-03T00:00:00"/>
    <x v="12"/>
    <x v="1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d v="2019-07-03T00:00:00"/>
    <x v="12"/>
    <x v="0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d v="2019-07-03T00:00:00"/>
    <x v="12"/>
    <x v="0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d v="2019-07-02T00:00:00"/>
    <x v="21"/>
    <x v="0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d v="2019-07-02T00:00:00"/>
    <x v="21"/>
    <x v="1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d v="2019-06-28T00:00:00"/>
    <x v="31"/>
    <x v="1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d v="2019-06-28T00:00:00"/>
    <x v="29"/>
    <x v="1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d v="2019-06-28T00:00:00"/>
    <x v="31"/>
    <x v="1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d v="2019-06-28T00:00:00"/>
    <x v="29"/>
    <x v="0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d v="2019-06-28T00:00:00"/>
    <x v="29"/>
    <x v="1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d v="2019-06-28T00:00:00"/>
    <x v="29"/>
    <x v="0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d v="2019-06-28T00:00:00"/>
    <x v="31"/>
    <x v="1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d v="2019-06-28T00:00:00"/>
    <x v="31"/>
    <x v="0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d v="2019-06-28T00:00:00"/>
    <x v="32"/>
    <x v="1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d v="2019-06-28T00:00:00"/>
    <x v="31"/>
    <x v="1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d v="2019-06-28T00:00:00"/>
    <x v="31"/>
    <x v="0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d v="2019-06-28T00:00:00"/>
    <x v="32"/>
    <x v="0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d v="2019-06-28T00:00:00"/>
    <x v="32"/>
    <x v="1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d v="2019-06-27T00:00:00"/>
    <x v="29"/>
    <x v="1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d v="2019-06-27T00:00:00"/>
    <x v="29"/>
    <x v="1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d v="2019-06-27T00:00:00"/>
    <x v="29"/>
    <x v="0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d v="2019-06-26T00:00:00"/>
    <x v="33"/>
    <x v="0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d v="2019-06-26T00:00:00"/>
    <x v="33"/>
    <x v="0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d v="2019-06-26T00:00:00"/>
    <x v="33"/>
    <x v="1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d v="2019-06-25T00:00:00"/>
    <x v="33"/>
    <x v="0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d v="2019-06-25T00:00:00"/>
    <x v="33"/>
    <x v="1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d v="2019-06-25T00:00:00"/>
    <x v="33"/>
    <x v="0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d v="2019-06-25T00:00:00"/>
    <x v="33"/>
    <x v="0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d v="2019-06-25T00:00:00"/>
    <x v="33"/>
    <x v="1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d v="2019-06-25T00:00:00"/>
    <x v="33"/>
    <x v="1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d v="2019-06-25T00:00:00"/>
    <x v="33"/>
    <x v="0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d v="2019-06-25T00:00:00"/>
    <x v="33"/>
    <x v="1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d v="2019-06-25T00:00:00"/>
    <x v="20"/>
    <x v="1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d v="2019-06-25T00:00:00"/>
    <x v="20"/>
    <x v="1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d v="2019-06-25T00:00:00"/>
    <x v="20"/>
    <x v="0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d v="2019-06-24T00:00:00"/>
    <x v="6"/>
    <x v="0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d v="2019-06-24T00:00:00"/>
    <x v="6"/>
    <x v="1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d v="2019-06-24T00:00:00"/>
    <x v="33"/>
    <x v="0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d v="2019-06-24T00:00:00"/>
    <x v="6"/>
    <x v="1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d v="2019-06-24T00:00:00"/>
    <x v="33"/>
    <x v="0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d v="2019-06-24T00:00:00"/>
    <x v="33"/>
    <x v="0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d v="2019-06-24T00:00:00"/>
    <x v="6"/>
    <x v="0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d v="2019-06-24T00:00:00"/>
    <x v="33"/>
    <x v="1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d v="2019-06-24T00:00:00"/>
    <x v="33"/>
    <x v="0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d v="2019-06-21T00:00:00"/>
    <x v="34"/>
    <x v="0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d v="2019-06-21T00:00:00"/>
    <x v="34"/>
    <x v="1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d v="2019-06-21T00:00:00"/>
    <x v="35"/>
    <x v="1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d v="2019-06-21T00:00:00"/>
    <x v="20"/>
    <x v="1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d v="2019-06-21T00:00:00"/>
    <x v="20"/>
    <x v="0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d v="2019-06-21T00:00:00"/>
    <x v="31"/>
    <x v="1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d v="2019-06-21T00:00:00"/>
    <x v="31"/>
    <x v="0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d v="2019-06-21T00:00:00"/>
    <x v="35"/>
    <x v="0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d v="2019-06-21T00:00:00"/>
    <x v="12"/>
    <x v="1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d v="2019-06-21T00:00:00"/>
    <x v="12"/>
    <x v="0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d v="2019-06-20T00:00:00"/>
    <x v="6"/>
    <x v="1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d v="2019-06-20T00:00:00"/>
    <x v="6"/>
    <x v="0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d v="2019-06-20T00:00:00"/>
    <x v="12"/>
    <x v="1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d v="2019-06-20T00:00:00"/>
    <x v="3"/>
    <x v="1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d v="2019-06-20T00:00:00"/>
    <x v="3"/>
    <x v="0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d v="2019-06-19T00:00:00"/>
    <x v="6"/>
    <x v="0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d v="2019-06-19T00:00:00"/>
    <x v="6"/>
    <x v="1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d v="2019-06-18T00:00:00"/>
    <x v="36"/>
    <x v="0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d v="2019-06-18T00:00:00"/>
    <x v="36"/>
    <x v="0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d v="2019-06-18T00:00:00"/>
    <x v="36"/>
    <x v="1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d v="2019-06-18T00:00:00"/>
    <x v="37"/>
    <x v="1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d v="2019-06-18T00:00:00"/>
    <x v="37"/>
    <x v="0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d v="2019-06-18T00:00:00"/>
    <x v="37"/>
    <x v="1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d v="2019-06-17T00:00:00"/>
    <x v="12"/>
    <x v="1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d v="2019-06-17T00:00:00"/>
    <x v="37"/>
    <x v="1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d v="2019-06-17T00:00:00"/>
    <x v="37"/>
    <x v="1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d v="2019-06-17T00:00:00"/>
    <x v="37"/>
    <x v="1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d v="2019-06-17T00:00:00"/>
    <x v="37"/>
    <x v="0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d v="2019-06-17T00:00:00"/>
    <x v="37"/>
    <x v="1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d v="2019-06-14T00:00:00"/>
    <x v="6"/>
    <x v="0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d v="2019-06-14T00:00:00"/>
    <x v="6"/>
    <x v="1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d v="2019-06-14T00:00:00"/>
    <x v="38"/>
    <x v="1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d v="2019-06-14T00:00:00"/>
    <x v="38"/>
    <x v="0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d v="2019-06-14T00:00:00"/>
    <x v="6"/>
    <x v="1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d v="2019-06-14T00:00:00"/>
    <x v="6"/>
    <x v="0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d v="2019-06-13T00:00:00"/>
    <x v="7"/>
    <x v="0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d v="2019-06-13T00:00:00"/>
    <x v="7"/>
    <x v="1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d v="2019-06-13T00:00:00"/>
    <x v="39"/>
    <x v="0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d v="2019-06-13T00:00:00"/>
    <x v="7"/>
    <x v="0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d v="2019-06-13T00:00:00"/>
    <x v="7"/>
    <x v="1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d v="2019-06-13T00:00:00"/>
    <x v="39"/>
    <x v="1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d v="2019-06-13T00:00:00"/>
    <x v="40"/>
    <x v="0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d v="2019-06-13T00:00:00"/>
    <x v="40"/>
    <x v="1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d v="2019-06-13T00:00:00"/>
    <x v="35"/>
    <x v="0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d v="2019-06-12T00:00:00"/>
    <x v="41"/>
    <x v="1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d v="2019-06-12T00:00:00"/>
    <x v="41"/>
    <x v="0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d v="2019-06-12T00:00:00"/>
    <x v="41"/>
    <x v="0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d v="2019-06-12T00:00:00"/>
    <x v="41"/>
    <x v="1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d v="2019-06-11T00:00:00"/>
    <x v="5"/>
    <x v="0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d v="2019-06-11T00:00:00"/>
    <x v="5"/>
    <x v="1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d v="2019-06-11T00:00:00"/>
    <x v="15"/>
    <x v="1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d v="2019-06-11T00:00:00"/>
    <x v="15"/>
    <x v="0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d v="2019-06-11T00:00:00"/>
    <x v="42"/>
    <x v="1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d v="2019-06-11T00:00:00"/>
    <x v="41"/>
    <x v="1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d v="2019-06-11T00:00:00"/>
    <x v="41"/>
    <x v="0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d v="2019-06-11T00:00:00"/>
    <x v="42"/>
    <x v="0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d v="2019-06-10T00:00:00"/>
    <x v="43"/>
    <x v="1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d v="2019-06-10T00:00:00"/>
    <x v="44"/>
    <x v="0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d v="2019-06-10T00:00:00"/>
    <x v="44"/>
    <x v="0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d v="2019-06-10T00:00:00"/>
    <x v="45"/>
    <x v="0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d v="2019-06-10T00:00:00"/>
    <x v="45"/>
    <x v="1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d v="2019-06-10T00:00:00"/>
    <x v="44"/>
    <x v="1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d v="2019-06-10T00:00:00"/>
    <x v="21"/>
    <x v="0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d v="2019-06-10T00:00:00"/>
    <x v="46"/>
    <x v="0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d v="2019-06-10T00:00:00"/>
    <x v="47"/>
    <x v="0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d v="2019-06-10T00:00:00"/>
    <x v="46"/>
    <x v="1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d v="2019-06-10T00:00:00"/>
    <x v="21"/>
    <x v="1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d v="2019-06-10T00:00:00"/>
    <x v="43"/>
    <x v="0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d v="2019-06-10T00:00:00"/>
    <x v="47"/>
    <x v="1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d v="2019-06-07T00:00:00"/>
    <x v="48"/>
    <x v="1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d v="2019-06-07T00:00:00"/>
    <x v="48"/>
    <x v="0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d v="2019-06-07T00:00:00"/>
    <x v="37"/>
    <x v="0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d v="2019-06-07T00:00:00"/>
    <x v="37"/>
    <x v="1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d v="2019-06-07T00:00:00"/>
    <x v="37"/>
    <x v="0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d v="2019-06-06T00:00:00"/>
    <x v="14"/>
    <x v="0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d v="2019-06-06T00:00:00"/>
    <x v="14"/>
    <x v="1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d v="2019-06-06T00:00:00"/>
    <x v="14"/>
    <x v="0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d v="2019-06-06T00:00:00"/>
    <x v="14"/>
    <x v="1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d v="2019-06-06T00:00:00"/>
    <x v="31"/>
    <x v="0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d v="2019-06-06T00:00:00"/>
    <x v="31"/>
    <x v="1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d v="2019-06-06T00:00:00"/>
    <x v="18"/>
    <x v="0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d v="2019-06-06T00:00:00"/>
    <x v="18"/>
    <x v="1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d v="2019-06-06T00:00:00"/>
    <x v="49"/>
    <x v="1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d v="2019-06-06T00:00:00"/>
    <x v="48"/>
    <x v="0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d v="2019-06-06T00:00:00"/>
    <x v="48"/>
    <x v="1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d v="2019-06-06T00:00:00"/>
    <x v="49"/>
    <x v="1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d v="2019-06-06T00:00:00"/>
    <x v="50"/>
    <x v="0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d v="2019-06-06T00:00:00"/>
    <x v="50"/>
    <x v="1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d v="2019-06-06T00:00:00"/>
    <x v="50"/>
    <x v="0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d v="2019-06-06T00:00:00"/>
    <x v="47"/>
    <x v="0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d v="2019-06-06T00:00:00"/>
    <x v="47"/>
    <x v="1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d v="2019-06-06T00:00:00"/>
    <x v="49"/>
    <x v="1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d v="2019-06-06T00:00:00"/>
    <x v="49"/>
    <x v="1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d v="2019-06-06T00:00:00"/>
    <x v="49"/>
    <x v="1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d v="2019-06-06T00:00:00"/>
    <x v="49"/>
    <x v="0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d v="2019-06-06T00:00:00"/>
    <x v="35"/>
    <x v="1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d v="2019-05-31T00:00:00"/>
    <x v="10"/>
    <x v="0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d v="2019-05-31T00:00:00"/>
    <x v="10"/>
    <x v="1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d v="2019-05-31T00:00:00"/>
    <x v="5"/>
    <x v="1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d v="2019-05-31T00:00:00"/>
    <x v="5"/>
    <x v="1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d v="2019-05-31T00:00:00"/>
    <x v="5"/>
    <x v="0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d v="2019-05-30T00:00:00"/>
    <x v="51"/>
    <x v="1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d v="2019-05-30T00:00:00"/>
    <x v="51"/>
    <x v="0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d v="2019-05-30T00:00:00"/>
    <x v="8"/>
    <x v="1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d v="2019-05-30T00:00:00"/>
    <x v="8"/>
    <x v="0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d v="2019-05-30T00:00:00"/>
    <x v="8"/>
    <x v="0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d v="2019-05-30T00:00:00"/>
    <x v="8"/>
    <x v="1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d v="2019-05-30T00:00:00"/>
    <x v="5"/>
    <x v="1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d v="2019-05-30T00:00:00"/>
    <x v="5"/>
    <x v="0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d v="2019-05-29T00:00:00"/>
    <x v="19"/>
    <x v="0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d v="2019-05-29T00:00:00"/>
    <x v="19"/>
    <x v="1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d v="2019-05-29T00:00:00"/>
    <x v="52"/>
    <x v="0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d v="2019-05-29T00:00:00"/>
    <x v="52"/>
    <x v="0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d v="2019-05-29T00:00:00"/>
    <x v="52"/>
    <x v="1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d v="2019-05-28T00:00:00"/>
    <x v="11"/>
    <x v="0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d v="2019-05-28T00:00:00"/>
    <x v="11"/>
    <x v="0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d v="2019-05-28T00:00:00"/>
    <x v="11"/>
    <x v="1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d v="2019-05-28T00:00:00"/>
    <x v="11"/>
    <x v="1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d v="2019-05-28T00:00:00"/>
    <x v="11"/>
    <x v="0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d v="2019-05-28T00:00:00"/>
    <x v="30"/>
    <x v="1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d v="2019-05-28T00:00:00"/>
    <x v="30"/>
    <x v="0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d v="2019-05-28T00:00:00"/>
    <x v="3"/>
    <x v="0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d v="2019-05-28T00:00:00"/>
    <x v="3"/>
    <x v="1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d v="2019-05-27T00:00:00"/>
    <x v="11"/>
    <x v="1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d v="2019-05-27T00:00:00"/>
    <x v="11"/>
    <x v="0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d v="2019-05-27T00:00:00"/>
    <x v="3"/>
    <x v="1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d v="2019-05-27T00:00:00"/>
    <x v="3"/>
    <x v="0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d v="2019-05-27T00:00:00"/>
    <x v="11"/>
    <x v="1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d v="2019-05-27T00:00:00"/>
    <x v="11"/>
    <x v="1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d v="2019-05-27T00:00:00"/>
    <x v="35"/>
    <x v="1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d v="2019-05-27T00:00:00"/>
    <x v="35"/>
    <x v="0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d v="2019-05-27T00:00:00"/>
    <x v="12"/>
    <x v="1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d v="2019-05-27T00:00:00"/>
    <x v="12"/>
    <x v="0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d v="2019-05-27T00:00:00"/>
    <x v="12"/>
    <x v="1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d v="2019-05-24T00:00:00"/>
    <x v="53"/>
    <x v="0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d v="2019-05-24T00:00:00"/>
    <x v="53"/>
    <x v="0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d v="2019-05-24T00:00:00"/>
    <x v="53"/>
    <x v="0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d v="2019-05-24T00:00:00"/>
    <x v="53"/>
    <x v="0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d v="2019-05-24T00:00:00"/>
    <x v="53"/>
    <x v="0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d v="2019-05-24T00:00:00"/>
    <x v="53"/>
    <x v="1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d v="2019-05-24T00:00:00"/>
    <x v="53"/>
    <x v="0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d v="2019-05-24T00:00:00"/>
    <x v="53"/>
    <x v="1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d v="2019-05-23T00:00:00"/>
    <x v="54"/>
    <x v="0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d v="2019-05-23T00:00:00"/>
    <x v="54"/>
    <x v="0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d v="2019-05-23T00:00:00"/>
    <x v="29"/>
    <x v="0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d v="2019-05-23T00:00:00"/>
    <x v="29"/>
    <x v="0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d v="2019-05-23T00:00:00"/>
    <x v="29"/>
    <x v="0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d v="2019-05-23T00:00:00"/>
    <x v="54"/>
    <x v="0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d v="2019-05-23T00:00:00"/>
    <x v="29"/>
    <x v="0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d v="2019-05-23T00:00:00"/>
    <x v="29"/>
    <x v="1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d v="2019-05-23T00:00:00"/>
    <x v="54"/>
    <x v="1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d v="2019-05-23T00:00:00"/>
    <x v="54"/>
    <x v="0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d v="2019-05-22T00:00:00"/>
    <x v="12"/>
    <x v="1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d v="2019-05-22T00:00:00"/>
    <x v="11"/>
    <x v="1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d v="2019-05-22T00:00:00"/>
    <x v="35"/>
    <x v="0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d v="2019-05-22T00:00:00"/>
    <x v="35"/>
    <x v="0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d v="2019-05-22T00:00:00"/>
    <x v="11"/>
    <x v="0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d v="2019-05-22T00:00:00"/>
    <x v="12"/>
    <x v="0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d v="2019-05-22T00:00:00"/>
    <x v="35"/>
    <x v="1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d v="2019-05-22T00:00:00"/>
    <x v="35"/>
    <x v="1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d v="2019-05-21T00:00:00"/>
    <x v="11"/>
    <x v="0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d v="2019-05-21T00:00:00"/>
    <x v="11"/>
    <x v="0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d v="2019-05-21T00:00:00"/>
    <x v="11"/>
    <x v="1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d v="2019-05-20T00:00:00"/>
    <x v="11"/>
    <x v="0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d v="2019-05-20T00:00:00"/>
    <x v="12"/>
    <x v="1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d v="2019-05-20T00:00:00"/>
    <x v="11"/>
    <x v="0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d v="2019-05-20T00:00:00"/>
    <x v="12"/>
    <x v="0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d v="2019-05-20T00:00:00"/>
    <x v="11"/>
    <x v="1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d v="2019-05-20T00:00:00"/>
    <x v="11"/>
    <x v="1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d v="2019-05-20T00:00:00"/>
    <x v="11"/>
    <x v="1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d v="2019-05-20T00:00:00"/>
    <x v="11"/>
    <x v="1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d v="2019-05-20T00:00:00"/>
    <x v="11"/>
    <x v="0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d v="2019-05-17T00:00:00"/>
    <x v="11"/>
    <x v="0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d v="2019-05-17T00:00:00"/>
    <x v="11"/>
    <x v="0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d v="2019-05-17T00:00:00"/>
    <x v="11"/>
    <x v="1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d v="2019-05-17T00:00:00"/>
    <x v="12"/>
    <x v="1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d v="2019-05-17T00:00:00"/>
    <x v="12"/>
    <x v="1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d v="2019-05-17T00:00:00"/>
    <x v="11"/>
    <x v="1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d v="2019-05-17T00:00:00"/>
    <x v="11"/>
    <x v="0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d v="2019-05-16T00:00:00"/>
    <x v="22"/>
    <x v="0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d v="2019-05-16T00:00:00"/>
    <x v="22"/>
    <x v="0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d v="2019-05-16T00:00:00"/>
    <x v="22"/>
    <x v="0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d v="2019-05-16T00:00:00"/>
    <x v="22"/>
    <x v="0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d v="2019-05-16T00:00:00"/>
    <x v="22"/>
    <x v="1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d v="2019-05-16T00:00:00"/>
    <x v="22"/>
    <x v="0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d v="2019-05-16T00:00:00"/>
    <x v="11"/>
    <x v="1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d v="2019-05-16T00:00:00"/>
    <x v="11"/>
    <x v="0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d v="2019-05-15T00:00:00"/>
    <x v="4"/>
    <x v="1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d v="2019-05-15T00:00:00"/>
    <x v="11"/>
    <x v="0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d v="2019-05-15T00:00:00"/>
    <x v="11"/>
    <x v="1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d v="2019-05-14T00:00:00"/>
    <x v="22"/>
    <x v="0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d v="2019-05-14T00:00:00"/>
    <x v="22"/>
    <x v="1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d v="2019-05-14T00:00:00"/>
    <x v="22"/>
    <x v="0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d v="2019-05-13T00:00:00"/>
    <x v="22"/>
    <x v="0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d v="2019-05-13T00:00:00"/>
    <x v="22"/>
    <x v="1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d v="2019-05-13T00:00:00"/>
    <x v="11"/>
    <x v="1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d v="2019-05-10T00:00:00"/>
    <x v="11"/>
    <x v="1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d v="2019-05-10T00:00:00"/>
    <x v="11"/>
    <x v="1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d v="2019-05-10T00:00:00"/>
    <x v="11"/>
    <x v="1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d v="2019-05-10T00:00:00"/>
    <x v="11"/>
    <x v="0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d v="2019-05-10T00:00:00"/>
    <x v="11"/>
    <x v="0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d v="2019-05-10T00:00:00"/>
    <x v="11"/>
    <x v="1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d v="2019-05-06T00:00:00"/>
    <x v="11"/>
    <x v="1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d v="2019-05-06T00:00:00"/>
    <x v="11"/>
    <x v="0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d v="2019-05-06T00:00:00"/>
    <x v="12"/>
    <x v="1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d v="2019-05-06T00:00:00"/>
    <x v="12"/>
    <x v="0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d v="2019-05-06T00:00:00"/>
    <x v="13"/>
    <x v="1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d v="2019-05-02T00:00:00"/>
    <x v="7"/>
    <x v="1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d v="2019-04-25T00:00:00"/>
    <x v="24"/>
    <x v="1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d v="2019-04-24T00:00:00"/>
    <x v="4"/>
    <x v="1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d v="2019-04-23T00:00:00"/>
    <x v="55"/>
    <x v="0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d v="2019-04-23T00:00:00"/>
    <x v="55"/>
    <x v="0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d v="2019-04-23T00:00:00"/>
    <x v="55"/>
    <x v="1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d v="2019-04-23T00:00:00"/>
    <x v="55"/>
    <x v="0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d v="2019-04-23T00:00:00"/>
    <x v="11"/>
    <x v="1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d v="2019-04-23T00:00:00"/>
    <x v="11"/>
    <x v="0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d v="2019-04-23T00:00:00"/>
    <x v="55"/>
    <x v="0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d v="2019-04-23T00:00:00"/>
    <x v="55"/>
    <x v="0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d v="2019-04-23T00:00:00"/>
    <x v="55"/>
    <x v="0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d v="2019-04-23T00:00:00"/>
    <x v="55"/>
    <x v="0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d v="2019-04-23T00:00:00"/>
    <x v="55"/>
    <x v="1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d v="2019-04-22T00:00:00"/>
    <x v="11"/>
    <x v="1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d v="2019-04-22T00:00:00"/>
    <x v="11"/>
    <x v="1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d v="2019-04-22T00:00:00"/>
    <x v="11"/>
    <x v="0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d v="2019-04-22T00:00:00"/>
    <x v="56"/>
    <x v="1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d v="2019-04-22T00:00:00"/>
    <x v="56"/>
    <x v="0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d v="2019-04-22T00:00:00"/>
    <x v="57"/>
    <x v="0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d v="2019-04-22T00:00:00"/>
    <x v="57"/>
    <x v="1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d v="2019-04-22T00:00:00"/>
    <x v="56"/>
    <x v="1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d v="2019-04-22T00:00:00"/>
    <x v="56"/>
    <x v="1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d v="2019-04-22T00:00:00"/>
    <x v="56"/>
    <x v="1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d v="2019-04-18T00:00:00"/>
    <x v="58"/>
    <x v="1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d v="2019-04-18T00:00:00"/>
    <x v="58"/>
    <x v="0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d v="2019-04-18T00:00:00"/>
    <x v="58"/>
    <x v="1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d v="2019-04-18T00:00:00"/>
    <x v="58"/>
    <x v="1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d v="2019-04-18T00:00:00"/>
    <x v="58"/>
    <x v="1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d v="2019-04-18T00:00:00"/>
    <x v="58"/>
    <x v="1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d v="2019-04-18T00:00:00"/>
    <x v="58"/>
    <x v="1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d v="2019-04-18T00:00:00"/>
    <x v="58"/>
    <x v="0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d v="2019-04-16T00:00:00"/>
    <x v="56"/>
    <x v="0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d v="2019-04-16T00:00:00"/>
    <x v="56"/>
    <x v="1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d v="2019-04-16T00:00:00"/>
    <x v="56"/>
    <x v="1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d v="2019-04-16T00:00:00"/>
    <x v="56"/>
    <x v="1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d v="2019-04-16T00:00:00"/>
    <x v="56"/>
    <x v="1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d v="2019-04-16T00:00:00"/>
    <x v="56"/>
    <x v="1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d v="2019-04-16T00:00:00"/>
    <x v="56"/>
    <x v="0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d v="2019-04-15T00:00:00"/>
    <x v="56"/>
    <x v="0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d v="2019-04-15T00:00:00"/>
    <x v="56"/>
    <x v="0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d v="2019-04-15T00:00:00"/>
    <x v="56"/>
    <x v="1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d v="2019-04-15T00:00:00"/>
    <x v="56"/>
    <x v="0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d v="2019-04-12T00:00:00"/>
    <x v="56"/>
    <x v="0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d v="2019-04-12T00:00:00"/>
    <x v="56"/>
    <x v="0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d v="2019-04-12T00:00:00"/>
    <x v="56"/>
    <x v="1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d v="2019-04-12T00:00:00"/>
    <x v="56"/>
    <x v="0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d v="2019-04-12T00:00:00"/>
    <x v="56"/>
    <x v="0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d v="2019-04-12T00:00:00"/>
    <x v="11"/>
    <x v="1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d v="2019-04-11T00:00:00"/>
    <x v="55"/>
    <x v="0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d v="2019-04-11T00:00:00"/>
    <x v="55"/>
    <x v="1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d v="2019-04-11T00:00:00"/>
    <x v="55"/>
    <x v="1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d v="2019-04-11T00:00:00"/>
    <x v="55"/>
    <x v="0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d v="2019-04-05T00:00:00"/>
    <x v="24"/>
    <x v="1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d v="2019-04-04T00:00:00"/>
    <x v="59"/>
    <x v="1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d v="2019-04-04T00:00:00"/>
    <x v="55"/>
    <x v="0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d v="2019-04-04T00:00:00"/>
    <x v="55"/>
    <x v="1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d v="2019-04-04T00:00:00"/>
    <x v="59"/>
    <x v="1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d v="2019-04-04T00:00:00"/>
    <x v="59"/>
    <x v="1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d v="2019-04-04T00:00:00"/>
    <x v="59"/>
    <x v="0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d v="2019-04-03T00:00:00"/>
    <x v="35"/>
    <x v="1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d v="2019-04-03T00:00:00"/>
    <x v="35"/>
    <x v="0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d v="2019-04-03T00:00:00"/>
    <x v="60"/>
    <x v="1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d v="2019-04-03T00:00:00"/>
    <x v="35"/>
    <x v="1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d v="2019-04-03T00:00:00"/>
    <x v="35"/>
    <x v="0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d v="2019-04-03T00:00:00"/>
    <x v="60"/>
    <x v="1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d v="2019-04-03T00:00:00"/>
    <x v="60"/>
    <x v="0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d v="2019-04-02T00:00:00"/>
    <x v="35"/>
    <x v="0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d v="2019-04-02T00:00:00"/>
    <x v="35"/>
    <x v="1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d v="2019-04-02T00:00:00"/>
    <x v="60"/>
    <x v="1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d v="2019-04-02T00:00:00"/>
    <x v="12"/>
    <x v="1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d v="2019-04-02T00:00:00"/>
    <x v="60"/>
    <x v="0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d v="2019-04-01T00:00:00"/>
    <x v="59"/>
    <x v="0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d v="2019-04-01T00:00:00"/>
    <x v="35"/>
    <x v="0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d v="2019-04-01T00:00:00"/>
    <x v="35"/>
    <x v="1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d v="2019-04-01T00:00:00"/>
    <x v="60"/>
    <x v="1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d v="2019-04-01T00:00:00"/>
    <x v="60"/>
    <x v="0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d v="2019-03-29T00:00:00"/>
    <x v="11"/>
    <x v="0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d v="2019-03-29T00:00:00"/>
    <x v="11"/>
    <x v="1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d v="2019-03-28T00:00:00"/>
    <x v="7"/>
    <x v="0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d v="2019-03-28T00:00:00"/>
    <x v="11"/>
    <x v="0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d v="2019-03-28T00:00:00"/>
    <x v="11"/>
    <x v="1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d v="2019-03-28T00:00:00"/>
    <x v="11"/>
    <x v="0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d v="2019-03-28T00:00:00"/>
    <x v="7"/>
    <x v="1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d v="2019-03-27T00:00:00"/>
    <x v="60"/>
    <x v="1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d v="2019-03-27T00:00:00"/>
    <x v="60"/>
    <x v="1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d v="2019-03-27T00:00:00"/>
    <x v="60"/>
    <x v="0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d v="2019-03-27T00:00:00"/>
    <x v="12"/>
    <x v="1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d v="2019-03-27T00:00:00"/>
    <x v="11"/>
    <x v="0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d v="2019-03-27T00:00:00"/>
    <x v="60"/>
    <x v="0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d v="2019-03-27T00:00:00"/>
    <x v="12"/>
    <x v="0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d v="2019-03-27T00:00:00"/>
    <x v="11"/>
    <x v="1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d v="2019-03-22T00:00:00"/>
    <x v="35"/>
    <x v="0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d v="2019-03-22T00:00:00"/>
    <x v="35"/>
    <x v="0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d v="2019-03-22T00:00:00"/>
    <x v="35"/>
    <x v="0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d v="2019-03-22T00:00:00"/>
    <x v="35"/>
    <x v="0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d v="2019-03-22T00:00:00"/>
    <x v="35"/>
    <x v="0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d v="2019-03-22T00:00:00"/>
    <x v="35"/>
    <x v="1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d v="2019-03-18T00:00:00"/>
    <x v="13"/>
    <x v="1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d v="2019-03-14T00:00:00"/>
    <x v="61"/>
    <x v="0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d v="2019-03-14T00:00:00"/>
    <x v="61"/>
    <x v="1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d v="2019-03-14T00:00:00"/>
    <x v="61"/>
    <x v="0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d v="2019-03-14T00:00:00"/>
    <x v="61"/>
    <x v="0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d v="2019-03-14T00:00:00"/>
    <x v="61"/>
    <x v="1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d v="2019-03-13T00:00:00"/>
    <x v="59"/>
    <x v="1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d v="2019-03-13T00:00:00"/>
    <x v="61"/>
    <x v="0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d v="2019-03-13T00:00:00"/>
    <x v="61"/>
    <x v="1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d v="2019-03-13T00:00:00"/>
    <x v="62"/>
    <x v="0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d v="2019-03-13T00:00:00"/>
    <x v="62"/>
    <x v="1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d v="2019-03-12T00:00:00"/>
    <x v="59"/>
    <x v="1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d v="2019-03-12T00:00:00"/>
    <x v="63"/>
    <x v="0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d v="2019-03-12T00:00:00"/>
    <x v="63"/>
    <x v="1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d v="2019-03-12T00:00:00"/>
    <x v="59"/>
    <x v="1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d v="2019-03-12T00:00:00"/>
    <x v="59"/>
    <x v="1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d v="2019-03-12T00:00:00"/>
    <x v="3"/>
    <x v="0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d v="2019-03-12T00:00:00"/>
    <x v="3"/>
    <x v="1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d v="2019-03-12T00:00:00"/>
    <x v="3"/>
    <x v="1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d v="2019-03-12T00:00:00"/>
    <x v="59"/>
    <x v="0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d v="2019-03-12T00:00:00"/>
    <x v="3"/>
    <x v="0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d v="2019-03-11T00:00:00"/>
    <x v="59"/>
    <x v="1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d v="2019-03-11T00:00:00"/>
    <x v="60"/>
    <x v="1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d v="2019-03-11T00:00:00"/>
    <x v="60"/>
    <x v="0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d v="2019-03-11T00:00:00"/>
    <x v="3"/>
    <x v="0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d v="2019-03-11T00:00:00"/>
    <x v="3"/>
    <x v="1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d v="2019-03-11T00:00:00"/>
    <x v="59"/>
    <x v="1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d v="2019-03-11T00:00:00"/>
    <x v="59"/>
    <x v="0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d v="2019-03-08T00:00:00"/>
    <x v="62"/>
    <x v="0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d v="2019-03-08T00:00:00"/>
    <x v="62"/>
    <x v="1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d v="2019-03-08T00:00:00"/>
    <x v="12"/>
    <x v="0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d v="2019-03-07T00:00:00"/>
    <x v="7"/>
    <x v="0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d v="2019-03-07T00:00:00"/>
    <x v="7"/>
    <x v="1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d v="2019-03-07T00:00:00"/>
    <x v="7"/>
    <x v="0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d v="2019-03-07T00:00:00"/>
    <x v="60"/>
    <x v="1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d v="2019-03-07T00:00:00"/>
    <x v="60"/>
    <x v="0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d v="2019-03-07T00:00:00"/>
    <x v="7"/>
    <x v="0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d v="2019-03-07T00:00:00"/>
    <x v="7"/>
    <x v="1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d v="2019-03-07T00:00:00"/>
    <x v="60"/>
    <x v="0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d v="2019-03-07T00:00:00"/>
    <x v="7"/>
    <x v="1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d v="2019-03-07T00:00:00"/>
    <x v="7"/>
    <x v="0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d v="2019-03-07T00:00:00"/>
    <x v="60"/>
    <x v="1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d v="2019-03-07T00:00:00"/>
    <x v="60"/>
    <x v="1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d v="2019-03-07T00:00:00"/>
    <x v="60"/>
    <x v="0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d v="2019-03-06T00:00:00"/>
    <x v="60"/>
    <x v="0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d v="2019-03-06T00:00:00"/>
    <x v="60"/>
    <x v="0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d v="2019-03-06T00:00:00"/>
    <x v="60"/>
    <x v="1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d v="2019-03-05T00:00:00"/>
    <x v="60"/>
    <x v="1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d v="2019-03-05T00:00:00"/>
    <x v="60"/>
    <x v="0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d v="2019-03-05T00:00:00"/>
    <x v="12"/>
    <x v="1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d v="2019-03-05T00:00:00"/>
    <x v="60"/>
    <x v="0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d v="2019-03-05T00:00:00"/>
    <x v="60"/>
    <x v="1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d v="2019-03-05T00:00:00"/>
    <x v="60"/>
    <x v="1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d v="2019-03-05T00:00:00"/>
    <x v="60"/>
    <x v="1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d v="2019-03-05T00:00:00"/>
    <x v="60"/>
    <x v="0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d v="2019-03-01T00:00:00"/>
    <x v="54"/>
    <x v="0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d v="2019-03-01T00:00:00"/>
    <x v="54"/>
    <x v="1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d v="2019-03-01T00:00:00"/>
    <x v="54"/>
    <x v="0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d v="2019-03-01T00:00:00"/>
    <x v="54"/>
    <x v="0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d v="2019-02-18T00:00:00"/>
    <x v="24"/>
    <x v="1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d v="2019-02-05T00:00:00"/>
    <x v="64"/>
    <x v="1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d v="2019-02-05T00:00:00"/>
    <x v="64"/>
    <x v="1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d v="2019-02-05T00:00:00"/>
    <x v="64"/>
    <x v="0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d v="2019-02-05T00:00:00"/>
    <x v="64"/>
    <x v="0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d v="2019-02-05T00:00:00"/>
    <x v="64"/>
    <x v="0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d v="2019-02-04T00:00:00"/>
    <x v="16"/>
    <x v="0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d v="2019-02-04T00:00:00"/>
    <x v="16"/>
    <x v="0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d v="2019-02-04T00:00:00"/>
    <x v="16"/>
    <x v="1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d v="2019-02-04T00:00:00"/>
    <x v="16"/>
    <x v="1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d v="2019-02-04T00:00:00"/>
    <x v="16"/>
    <x v="0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d v="2019-02-04T00:00:00"/>
    <x v="16"/>
    <x v="1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d v="2019-02-01T00:00:00"/>
    <x v="61"/>
    <x v="1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d v="2019-02-01T00:00:00"/>
    <x v="61"/>
    <x v="1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d v="2019-02-01T00:00:00"/>
    <x v="61"/>
    <x v="0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d v="2019-01-23T00:00:00"/>
    <x v="19"/>
    <x v="0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d v="2019-01-23T00:00:00"/>
    <x v="19"/>
    <x v="0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d v="2019-01-23T00:00:00"/>
    <x v="19"/>
    <x v="1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d v="2019-01-23T00:00:00"/>
    <x v="19"/>
    <x v="0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d v="2019-01-23T00:00:00"/>
    <x v="19"/>
    <x v="0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d v="2019-01-22T00:00:00"/>
    <x v="65"/>
    <x v="0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d v="2019-01-22T00:00:00"/>
    <x v="65"/>
    <x v="1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d v="2019-01-22T00:00:00"/>
    <x v="65"/>
    <x v="0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d v="2019-01-22T00:00:00"/>
    <x v="24"/>
    <x v="1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d v="2019-01-21T00:00:00"/>
    <x v="66"/>
    <x v="1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d v="2019-01-21T00:00:00"/>
    <x v="66"/>
    <x v="0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d v="2019-01-21T00:00:00"/>
    <x v="19"/>
    <x v="0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d v="2019-01-21T00:00:00"/>
    <x v="19"/>
    <x v="1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d v="2019-01-18T00:00:00"/>
    <x v="54"/>
    <x v="0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d v="2019-01-18T00:00:00"/>
    <x v="24"/>
    <x v="1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d v="2019-01-18T00:00:00"/>
    <x v="35"/>
    <x v="0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d v="2019-01-18T00:00:00"/>
    <x v="35"/>
    <x v="1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d v="2019-01-18T00:00:00"/>
    <x v="54"/>
    <x v="1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d v="2019-01-17T00:00:00"/>
    <x v="58"/>
    <x v="0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d v="2019-01-17T00:00:00"/>
    <x v="54"/>
    <x v="0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d v="2019-01-17T00:00:00"/>
    <x v="54"/>
    <x v="1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d v="2019-01-17T00:00:00"/>
    <x v="58"/>
    <x v="1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d v="2019-01-17T00:00:00"/>
    <x v="58"/>
    <x v="0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d v="2019-01-17T00:00:00"/>
    <x v="58"/>
    <x v="1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d v="2019-01-17T00:00:00"/>
    <x v="54"/>
    <x v="1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d v="2019-01-17T00:00:00"/>
    <x v="54"/>
    <x v="0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d v="2019-01-17T00:00:00"/>
    <x v="24"/>
    <x v="1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d v="2019-01-09T00:00:00"/>
    <x v="55"/>
    <x v="0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d v="2019-01-09T00:00:00"/>
    <x v="55"/>
    <x v="0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d v="2019-01-09T00:00:00"/>
    <x v="55"/>
    <x v="0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d v="2019-01-09T00:00:00"/>
    <x v="55"/>
    <x v="1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d v="2019-01-08T00:00:00"/>
    <x v="55"/>
    <x v="1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d v="2019-01-08T00:00:00"/>
    <x v="55"/>
    <x v="0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d v="2019-01-04T00:00:00"/>
    <x v="35"/>
    <x v="1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d v="2019-01-04T00:00:00"/>
    <x v="35"/>
    <x v="0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d v="2019-01-04T00:00:00"/>
    <x v="61"/>
    <x v="0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d v="2019-01-04T00:00:00"/>
    <x v="35"/>
    <x v="0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d v="2019-01-04T00:00:00"/>
    <x v="35"/>
    <x v="1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d v="2019-01-04T00:00:00"/>
    <x v="61"/>
    <x v="1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d v="2019-01-03T00:00:00"/>
    <x v="35"/>
    <x v="0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d v="2019-01-03T00:00:00"/>
    <x v="35"/>
    <x v="1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d v="2019-01-03T00:00:00"/>
    <x v="35"/>
    <x v="1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d v="2019-01-03T00:00:00"/>
    <x v="35"/>
    <x v="1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d v="2019-01-03T00:00:00"/>
    <x v="35"/>
    <x v="1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d v="2019-01-03T00:00:00"/>
    <x v="35"/>
    <x v="0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d v="2019-01-02T00:00:00"/>
    <x v="54"/>
    <x v="0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d v="2019-01-02T00:00:00"/>
    <x v="54"/>
    <x v="1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d v="2019-01-02T00:00:00"/>
    <x v="54"/>
    <x v="0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d v="2019-01-02T00:00:00"/>
    <x v="54"/>
    <x v="0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d v="2019-01-02T00:00:00"/>
    <x v="54"/>
    <x v="1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d v="2019-01-02T00:00:00"/>
    <x v="24"/>
    <x v="1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d v="2018-12-18T00:00:00"/>
    <x v="67"/>
    <x v="0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d v="2018-12-18T00:00:00"/>
    <x v="67"/>
    <x v="1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d v="2018-12-14T00:00:00"/>
    <x v="54"/>
    <x v="0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d v="2018-12-14T00:00:00"/>
    <x v="54"/>
    <x v="1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d v="2018-12-13T00:00:00"/>
    <x v="54"/>
    <x v="1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d v="2018-12-13T00:00:00"/>
    <x v="54"/>
    <x v="0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d v="2018-12-12T00:00:00"/>
    <x v="24"/>
    <x v="1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d v="2018-11-29T00:00:00"/>
    <x v="54"/>
    <x v="0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d v="2018-11-29T00:00:00"/>
    <x v="54"/>
    <x v="0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d v="2018-11-29T00:00:00"/>
    <x v="54"/>
    <x v="0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d v="2018-11-29T00:00:00"/>
    <x v="54"/>
    <x v="1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d v="2018-11-15T00:00:00"/>
    <x v="60"/>
    <x v="0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d v="2018-11-15T00:00:00"/>
    <x v="60"/>
    <x v="1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d v="2018-11-15T00:00:00"/>
    <x v="60"/>
    <x v="1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d v="2018-11-15T00:00:00"/>
    <x v="60"/>
    <x v="0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d v="2018-11-15T00:00:00"/>
    <x v="68"/>
    <x v="0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d v="2018-11-15T00:00:00"/>
    <x v="12"/>
    <x v="0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d v="2018-11-15T00:00:00"/>
    <x v="24"/>
    <x v="0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d v="2018-11-15T00:00:00"/>
    <x v="4"/>
    <x v="0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d v="2018-11-14T00:00:00"/>
    <x v="60"/>
    <x v="1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d v="2018-11-14T00:00:00"/>
    <x v="60"/>
    <x v="0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d v="2018-11-14T00:00:00"/>
    <x v="60"/>
    <x v="1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d v="2018-11-14T00:00:00"/>
    <x v="60"/>
    <x v="0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d v="2018-11-14T00:00:00"/>
    <x v="60"/>
    <x v="1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d v="2018-11-14T00:00:00"/>
    <x v="60"/>
    <x v="1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d v="2018-11-14T00:00:00"/>
    <x v="60"/>
    <x v="0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d v="2018-11-14T00:00:00"/>
    <x v="60"/>
    <x v="1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d v="2018-11-14T00:00:00"/>
    <x v="60"/>
    <x v="1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d v="2018-11-14T00:00:00"/>
    <x v="60"/>
    <x v="0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d v="2018-11-14T00:00:00"/>
    <x v="60"/>
    <x v="0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d v="2018-11-14T00:00:00"/>
    <x v="60"/>
    <x v="1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d v="2018-10-31T00:00:00"/>
    <x v="60"/>
    <x v="0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d v="2018-10-31T00:00:00"/>
    <x v="60"/>
    <x v="0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d v="2018-10-31T00:00:00"/>
    <x v="60"/>
    <x v="0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d v="2018-10-31T00:00:00"/>
    <x v="60"/>
    <x v="0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d v="2018-10-31T00:00:00"/>
    <x v="60"/>
    <x v="0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d v="2018-10-31T00:00:00"/>
    <x v="60"/>
    <x v="1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d v="2018-10-30T00:00:00"/>
    <x v="60"/>
    <x v="0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d v="2018-10-30T00:00:00"/>
    <x v="54"/>
    <x v="0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d v="2018-10-30T00:00:00"/>
    <x v="54"/>
    <x v="1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d v="2018-10-30T00:00:00"/>
    <x v="60"/>
    <x v="1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d v="2018-10-30T00:00:00"/>
    <x v="54"/>
    <x v="0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d v="2018-10-30T00:00:00"/>
    <x v="54"/>
    <x v="1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d v="2018-10-29T00:00:00"/>
    <x v="60"/>
    <x v="0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d v="2018-10-29T00:00:00"/>
    <x v="60"/>
    <x v="0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d v="2018-10-29T00:00:00"/>
    <x v="60"/>
    <x v="0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d v="2018-10-29T00:00:00"/>
    <x v="60"/>
    <x v="0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d v="2018-10-29T00:00:00"/>
    <x v="60"/>
    <x v="1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d v="2018-10-26T00:00:00"/>
    <x v="66"/>
    <x v="0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d v="2018-10-26T00:00:00"/>
    <x v="66"/>
    <x v="1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d v="2018-10-26T00:00:00"/>
    <x v="60"/>
    <x v="0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d v="2018-10-26T00:00:00"/>
    <x v="60"/>
    <x v="0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d v="2018-10-26T00:00:00"/>
    <x v="60"/>
    <x v="0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d v="2018-10-26T00:00:00"/>
    <x v="60"/>
    <x v="1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d v="2018-10-25T00:00:00"/>
    <x v="54"/>
    <x v="1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d v="2018-10-25T00:00:00"/>
    <x v="66"/>
    <x v="0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d v="2018-10-25T00:00:00"/>
    <x v="66"/>
    <x v="0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d v="2018-10-25T00:00:00"/>
    <x v="66"/>
    <x v="0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d v="2018-10-25T00:00:00"/>
    <x v="66"/>
    <x v="0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d v="2018-10-25T00:00:00"/>
    <x v="66"/>
    <x v="1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d v="2018-10-25T00:00:00"/>
    <x v="54"/>
    <x v="0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d v="2018-10-17T00:00:00"/>
    <x v="54"/>
    <x v="0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d v="2018-10-17T00:00:00"/>
    <x v="54"/>
    <x v="1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d v="2018-10-17T00:00:00"/>
    <x v="54"/>
    <x v="0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d v="2018-10-17T00:00:00"/>
    <x v="54"/>
    <x v="1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d v="2018-10-17T00:00:00"/>
    <x v="69"/>
    <x v="0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d v="2018-10-17T00:00:00"/>
    <x v="59"/>
    <x v="0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d v="2018-10-17T00:00:00"/>
    <x v="70"/>
    <x v="0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d v="2018-10-17T00:00:00"/>
    <x v="71"/>
    <x v="0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d v="2018-10-17T00:00:00"/>
    <x v="22"/>
    <x v="0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d v="2018-10-16T00:00:00"/>
    <x v="54"/>
    <x v="0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d v="2018-10-16T00:00:00"/>
    <x v="72"/>
    <x v="0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d v="2018-10-16T00:00:00"/>
    <x v="54"/>
    <x v="0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d v="2018-10-16T00:00:00"/>
    <x v="72"/>
    <x v="1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d v="2018-10-16T00:00:00"/>
    <x v="54"/>
    <x v="0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d v="2018-10-16T00:00:00"/>
    <x v="54"/>
    <x v="0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d v="2018-10-16T00:00:00"/>
    <x v="54"/>
    <x v="1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d v="2018-10-15T00:00:00"/>
    <x v="6"/>
    <x v="0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d v="2018-10-15T00:00:00"/>
    <x v="6"/>
    <x v="1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d v="2018-10-12T00:00:00"/>
    <x v="73"/>
    <x v="1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d v="2018-10-12T00:00:00"/>
    <x v="73"/>
    <x v="0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d v="2018-10-12T00:00:00"/>
    <x v="73"/>
    <x v="1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d v="2018-10-12T00:00:00"/>
    <x v="73"/>
    <x v="0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d v="2018-10-12T00:00:00"/>
    <x v="73"/>
    <x v="1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d v="2018-10-11T00:00:00"/>
    <x v="1"/>
    <x v="0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d v="2018-10-11T00:00:00"/>
    <x v="1"/>
    <x v="0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d v="2018-10-11T00:00:00"/>
    <x v="1"/>
    <x v="1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d v="2018-10-09T00:00:00"/>
    <x v="7"/>
    <x v="1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d v="2018-10-09T00:00:00"/>
    <x v="7"/>
    <x v="0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d v="2018-10-09T00:00:00"/>
    <x v="7"/>
    <x v="0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d v="2018-10-09T00:00:00"/>
    <x v="7"/>
    <x v="0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d v="2018-10-09T00:00:00"/>
    <x v="7"/>
    <x v="1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d v="2018-10-09T00:00:00"/>
    <x v="7"/>
    <x v="1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d v="2018-10-09T00:00:00"/>
    <x v="25"/>
    <x v="0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d v="2018-10-09T00:00:00"/>
    <x v="25"/>
    <x v="1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d v="2018-10-09T00:00:00"/>
    <x v="7"/>
    <x v="1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d v="2018-10-08T00:00:00"/>
    <x v="22"/>
    <x v="0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d v="2018-10-08T00:00:00"/>
    <x v="22"/>
    <x v="0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d v="2018-10-08T00:00:00"/>
    <x v="54"/>
    <x v="0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d v="2018-10-08T00:00:00"/>
    <x v="22"/>
    <x v="0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d v="2018-10-08T00:00:00"/>
    <x v="22"/>
    <x v="1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d v="2018-10-08T00:00:00"/>
    <x v="54"/>
    <x v="1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d v="2018-10-05T00:00:00"/>
    <x v="54"/>
    <x v="0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d v="2018-10-05T00:00:00"/>
    <x v="7"/>
    <x v="0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d v="2018-10-05T00:00:00"/>
    <x v="54"/>
    <x v="0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d v="2018-10-05T00:00:00"/>
    <x v="7"/>
    <x v="1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d v="2018-10-05T00:00:00"/>
    <x v="54"/>
    <x v="1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d v="2018-10-04T00:00:00"/>
    <x v="54"/>
    <x v="0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d v="2018-10-04T00:00:00"/>
    <x v="29"/>
    <x v="0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d v="2018-10-04T00:00:00"/>
    <x v="29"/>
    <x v="1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d v="2018-10-04T00:00:00"/>
    <x v="60"/>
    <x v="0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d v="2018-10-04T00:00:00"/>
    <x v="60"/>
    <x v="0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d v="2018-10-04T00:00:00"/>
    <x v="54"/>
    <x v="1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d v="2018-10-04T00:00:00"/>
    <x v="60"/>
    <x v="0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d v="2018-10-04T00:00:00"/>
    <x v="60"/>
    <x v="1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d v="2018-10-03T00:00:00"/>
    <x v="25"/>
    <x v="0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d v="2018-10-03T00:00:00"/>
    <x v="25"/>
    <x v="0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d v="2018-10-03T00:00:00"/>
    <x v="25"/>
    <x v="1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d v="2018-10-03T00:00:00"/>
    <x v="25"/>
    <x v="0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d v="2018-10-03T00:00:00"/>
    <x v="25"/>
    <x v="1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d v="2018-10-03T00:00:00"/>
    <x v="25"/>
    <x v="0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d v="2018-10-03T00:00:00"/>
    <x v="25"/>
    <x v="1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d v="2018-10-03T00:00:00"/>
    <x v="25"/>
    <x v="0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d v="2018-10-03T00:00:00"/>
    <x v="25"/>
    <x v="0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d v="2018-10-03T00:00:00"/>
    <x v="25"/>
    <x v="1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d v="2018-09-28T00:00:00"/>
    <x v="25"/>
    <x v="0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d v="2018-09-28T00:00:00"/>
    <x v="25"/>
    <x v="1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d v="2018-09-28T00:00:00"/>
    <x v="25"/>
    <x v="0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d v="2018-09-28T00:00:00"/>
    <x v="25"/>
    <x v="1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d v="2018-09-28T00:00:00"/>
    <x v="25"/>
    <x v="0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d v="2018-09-28T00:00:00"/>
    <x v="25"/>
    <x v="0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d v="2018-09-28T00:00:00"/>
    <x v="25"/>
    <x v="1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d v="2018-09-27T00:00:00"/>
    <x v="6"/>
    <x v="0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d v="2018-09-27T00:00:00"/>
    <x v="7"/>
    <x v="0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d v="2018-09-27T00:00:00"/>
    <x v="7"/>
    <x v="1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d v="2018-09-27T00:00:00"/>
    <x v="6"/>
    <x v="1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d v="2018-09-27T00:00:00"/>
    <x v="22"/>
    <x v="0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d v="2018-09-27T00:00:00"/>
    <x v="22"/>
    <x v="1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d v="2018-09-26T00:00:00"/>
    <x v="62"/>
    <x v="1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d v="2018-09-26T00:00:00"/>
    <x v="62"/>
    <x v="0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d v="2018-09-26T00:00:00"/>
    <x v="7"/>
    <x v="0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d v="2018-09-26T00:00:00"/>
    <x v="7"/>
    <x v="1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d v="2018-09-26T00:00:00"/>
    <x v="64"/>
    <x v="0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d v="2018-09-26T00:00:00"/>
    <x v="64"/>
    <x v="1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d v="2018-09-26T00:00:00"/>
    <x v="62"/>
    <x v="0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d v="2018-09-25T00:00:00"/>
    <x v="25"/>
    <x v="0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d v="2018-09-25T00:00:00"/>
    <x v="25"/>
    <x v="1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d v="2018-09-25T00:00:00"/>
    <x v="22"/>
    <x v="1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d v="2018-09-25T00:00:00"/>
    <x v="22"/>
    <x v="0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d v="2018-09-25T00:00:00"/>
    <x v="6"/>
    <x v="0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d v="2018-09-25T00:00:00"/>
    <x v="6"/>
    <x v="1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d v="2018-09-24T00:00:00"/>
    <x v="13"/>
    <x v="0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d v="2018-09-24T00:00:00"/>
    <x v="22"/>
    <x v="0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d v="2018-09-24T00:00:00"/>
    <x v="22"/>
    <x v="0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d v="2018-09-24T00:00:00"/>
    <x v="16"/>
    <x v="0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d v="2018-09-24T00:00:00"/>
    <x v="16"/>
    <x v="1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d v="2018-09-24T00:00:00"/>
    <x v="22"/>
    <x v="0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d v="2018-09-24T00:00:00"/>
    <x v="22"/>
    <x v="1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d v="2018-09-24T00:00:00"/>
    <x v="16"/>
    <x v="0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d v="2018-09-24T00:00:00"/>
    <x v="16"/>
    <x v="1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d v="2018-09-24T00:00:00"/>
    <x v="7"/>
    <x v="0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d v="2018-09-24T00:00:00"/>
    <x v="7"/>
    <x v="1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d v="2018-09-21T00:00:00"/>
    <x v="64"/>
    <x v="0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d v="2018-09-21T00:00:00"/>
    <x v="64"/>
    <x v="0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d v="2018-09-21T00:00:00"/>
    <x v="64"/>
    <x v="1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d v="2018-09-21T00:00:00"/>
    <x v="62"/>
    <x v="0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d v="2018-09-21T00:00:00"/>
    <x v="62"/>
    <x v="1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d v="2018-09-21T00:00:00"/>
    <x v="64"/>
    <x v="0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d v="2018-09-19T00:00:00"/>
    <x v="62"/>
    <x v="1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d v="2018-09-19T00:00:00"/>
    <x v="62"/>
    <x v="0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d v="2018-09-14T00:00:00"/>
    <x v="71"/>
    <x v="1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d v="2018-09-07T00:00:00"/>
    <x v="62"/>
    <x v="1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d v="2018-09-07T00:00:00"/>
    <x v="62"/>
    <x v="1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d v="2018-09-07T00:00:00"/>
    <x v="62"/>
    <x v="0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d v="2018-09-07T00:00:00"/>
    <x v="62"/>
    <x v="0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d v="2018-09-06T00:00:00"/>
    <x v="24"/>
    <x v="1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d v="2018-09-06T00:00:00"/>
    <x v="24"/>
    <x v="0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d v="2018-09-06T00:00:00"/>
    <x v="68"/>
    <x v="1"/>
    <n v="1000"/>
    <n v="5"/>
    <n v="5000"/>
    <s v="20180906N300029661"/>
    <n v="2018171"/>
    <s v="TT"/>
    <s v="IN302679-38296183"/>
    <s v="NSE"/>
    <n v="5"/>
    <n v="0.15"/>
    <n v="0.3"/>
    <n v="59.03"/>
    <n v="64.48"/>
  </r>
  <r>
    <d v="2018-09-05T00:00:00"/>
    <x v="24"/>
    <x v="1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d v="2018-09-04T00:00:00"/>
    <x v="64"/>
    <x v="1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d v="2018-09-04T00:00:00"/>
    <x v="59"/>
    <x v="1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d v="2018-09-04T00:00:00"/>
    <x v="59"/>
    <x v="0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d v="2018-09-04T00:00:00"/>
    <x v="64"/>
    <x v="0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d v="2018-09-03T00:00:00"/>
    <x v="59"/>
    <x v="1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d v="2018-09-03T00:00:00"/>
    <x v="59"/>
    <x v="0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d v="2018-09-03T00:00:00"/>
    <x v="59"/>
    <x v="1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d v="2018-09-03T00:00:00"/>
    <x v="59"/>
    <x v="0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d v="2018-08-31T00:00:00"/>
    <x v="59"/>
    <x v="1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d v="2018-08-31T00:00:00"/>
    <x v="59"/>
    <x v="1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d v="2018-08-31T00:00:00"/>
    <x v="59"/>
    <x v="0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d v="2018-08-29T00:00:00"/>
    <x v="59"/>
    <x v="1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d v="2018-08-29T00:00:00"/>
    <x v="59"/>
    <x v="0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d v="2018-08-28T00:00:00"/>
    <x v="64"/>
    <x v="1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d v="2018-08-28T00:00:00"/>
    <x v="22"/>
    <x v="1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d v="2018-08-28T00:00:00"/>
    <x v="64"/>
    <x v="0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d v="2018-08-27T00:00:00"/>
    <x v="13"/>
    <x v="1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d v="2018-08-27T00:00:00"/>
    <x v="59"/>
    <x v="1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d v="2018-08-27T00:00:00"/>
    <x v="59"/>
    <x v="1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d v="2018-08-27T00:00:00"/>
    <x v="59"/>
    <x v="0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d v="2018-08-27T00:00:00"/>
    <x v="70"/>
    <x v="1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d v="2018-08-27T00:00:00"/>
    <x v="70"/>
    <x v="0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d v="2018-08-21T00:00:00"/>
    <x v="64"/>
    <x v="1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d v="2018-08-21T00:00:00"/>
    <x v="12"/>
    <x v="1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d v="2018-08-21T00:00:00"/>
    <x v="12"/>
    <x v="0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d v="2018-08-21T00:00:00"/>
    <x v="59"/>
    <x v="1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d v="2018-08-21T00:00:00"/>
    <x v="59"/>
    <x v="0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d v="2018-08-20T00:00:00"/>
    <x v="64"/>
    <x v="1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d v="2018-08-20T00:00:00"/>
    <x v="64"/>
    <x v="0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d v="2018-08-20T00:00:00"/>
    <x v="64"/>
    <x v="1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d v="2018-08-20T00:00:00"/>
    <x v="64"/>
    <x v="1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d v="2018-08-20T00:00:00"/>
    <x v="59"/>
    <x v="0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d v="2018-08-20T00:00:00"/>
    <x v="64"/>
    <x v="1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d v="2018-08-20T00:00:00"/>
    <x v="64"/>
    <x v="0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d v="2018-08-16T00:00:00"/>
    <x v="64"/>
    <x v="0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d v="2018-08-16T00:00:00"/>
    <x v="12"/>
    <x v="0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d v="2018-08-14T00:00:00"/>
    <x v="12"/>
    <x v="1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d v="2018-08-14T00:00:00"/>
    <x v="12"/>
    <x v="0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d v="2018-08-10T00:00:00"/>
    <x v="74"/>
    <x v="1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d v="2018-08-10T00:00:00"/>
    <x v="74"/>
    <x v="1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d v="2018-08-10T00:00:00"/>
    <x v="74"/>
    <x v="0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d v="2018-08-10T00:00:00"/>
    <x v="64"/>
    <x v="1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d v="2018-08-09T00:00:00"/>
    <x v="12"/>
    <x v="1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d v="2018-08-09T00:00:00"/>
    <x v="64"/>
    <x v="1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d v="2018-08-09T00:00:00"/>
    <x v="12"/>
    <x v="1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d v="2018-08-09T00:00:00"/>
    <x v="64"/>
    <x v="1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d v="2018-08-09T00:00:00"/>
    <x v="64"/>
    <x v="0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d v="2018-08-09T00:00:00"/>
    <x v="70"/>
    <x v="1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d v="2018-08-09T00:00:00"/>
    <x v="70"/>
    <x v="0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d v="2018-08-09T00:00:00"/>
    <x v="64"/>
    <x v="1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d v="2018-08-09T00:00:00"/>
    <x v="64"/>
    <x v="0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d v="2018-08-08T00:00:00"/>
    <x v="70"/>
    <x v="1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d v="2018-08-08T00:00:00"/>
    <x v="70"/>
    <x v="0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d v="2018-08-08T00:00:00"/>
    <x v="12"/>
    <x v="1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d v="2018-08-08T00:00:00"/>
    <x v="12"/>
    <x v="0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d v="2018-08-07T00:00:00"/>
    <x v="64"/>
    <x v="1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d v="2018-08-07T00:00:00"/>
    <x v="64"/>
    <x v="1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d v="2018-08-07T00:00:00"/>
    <x v="7"/>
    <x v="1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d v="2018-08-07T00:00:00"/>
    <x v="7"/>
    <x v="0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d v="2018-08-07T00:00:00"/>
    <x v="64"/>
    <x v="0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d v="2018-08-07T00:00:00"/>
    <x v="64"/>
    <x v="0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d v="2018-08-06T00:00:00"/>
    <x v="70"/>
    <x v="1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d v="2018-08-06T00:00:00"/>
    <x v="64"/>
    <x v="1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d v="2018-08-06T00:00:00"/>
    <x v="70"/>
    <x v="1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d v="2018-08-06T00:00:00"/>
    <x v="64"/>
    <x v="0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d v="2018-08-06T00:00:00"/>
    <x v="64"/>
    <x v="1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d v="2018-08-03T00:00:00"/>
    <x v="75"/>
    <x v="1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d v="2018-08-03T00:00:00"/>
    <x v="75"/>
    <x v="0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d v="2018-08-03T00:00:00"/>
    <x v="64"/>
    <x v="0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d v="2018-08-03T00:00:00"/>
    <x v="13"/>
    <x v="1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d v="2018-08-03T00:00:00"/>
    <x v="68"/>
    <x v="1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d v="2018-08-03T00:00:00"/>
    <x v="64"/>
    <x v="1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d v="2018-08-02T00:00:00"/>
    <x v="64"/>
    <x v="1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d v="2018-08-02T00:00:00"/>
    <x v="64"/>
    <x v="0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d v="2018-08-01T00:00:00"/>
    <x v="70"/>
    <x v="1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d v="2018-08-01T00:00:00"/>
    <x v="70"/>
    <x v="0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d v="2018-08-01T00:00:00"/>
    <x v="70"/>
    <x v="1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d v="2018-08-01T00:00:00"/>
    <x v="70"/>
    <x v="0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d v="2018-08-01T00:00:00"/>
    <x v="70"/>
    <x v="0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d v="2018-07-31T00:00:00"/>
    <x v="64"/>
    <x v="1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d v="2018-07-31T00:00:00"/>
    <x v="64"/>
    <x v="1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d v="2018-07-31T00:00:00"/>
    <x v="64"/>
    <x v="0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d v="2018-07-30T00:00:00"/>
    <x v="70"/>
    <x v="1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d v="2018-07-30T00:00:00"/>
    <x v="70"/>
    <x v="1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d v="2018-07-19T00:00:00"/>
    <x v="76"/>
    <x v="0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d v="2018-07-18T00:00:00"/>
    <x v="32"/>
    <x v="1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d v="2018-07-18T00:00:00"/>
    <x v="32"/>
    <x v="0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d v="2018-07-18T00:00:00"/>
    <x v="32"/>
    <x v="1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d v="2018-07-18T00:00:00"/>
    <x v="32"/>
    <x v="0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d v="2018-07-06T00:00:00"/>
    <x v="76"/>
    <x v="1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d v="2018-06-26T00:00:00"/>
    <x v="22"/>
    <x v="1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d v="2018-06-26T00:00:00"/>
    <x v="22"/>
    <x v="1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d v="2018-06-26T00:00:00"/>
    <x v="22"/>
    <x v="0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d v="2018-06-22T00:00:00"/>
    <x v="22"/>
    <x v="1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d v="2018-06-22T00:00:00"/>
    <x v="22"/>
    <x v="1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d v="2018-06-22T00:00:00"/>
    <x v="22"/>
    <x v="1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d v="2018-06-22T00:00:00"/>
    <x v="22"/>
    <x v="1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d v="2018-06-22T00:00:00"/>
    <x v="22"/>
    <x v="0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d v="2018-06-20T00:00:00"/>
    <x v="22"/>
    <x v="1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d v="2018-06-20T00:00:00"/>
    <x v="22"/>
    <x v="0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d v="2018-06-20T00:00:00"/>
    <x v="13"/>
    <x v="0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d v="2018-06-19T00:00:00"/>
    <x v="22"/>
    <x v="0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d v="2018-06-18T00:00:00"/>
    <x v="22"/>
    <x v="1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d v="2018-06-18T00:00:00"/>
    <x v="22"/>
    <x v="0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d v="2018-06-18T00:00:00"/>
    <x v="22"/>
    <x v="1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d v="2018-06-18T00:00:00"/>
    <x v="22"/>
    <x v="0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d v="2018-06-18T00:00:00"/>
    <x v="22"/>
    <x v="1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d v="2018-06-15T00:00:00"/>
    <x v="34"/>
    <x v="1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d v="2018-06-15T00:00:00"/>
    <x v="34"/>
    <x v="0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d v="2018-06-15T00:00:00"/>
    <x v="32"/>
    <x v="1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d v="2018-06-15T00:00:00"/>
    <x v="32"/>
    <x v="0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d v="2018-06-15T00:00:00"/>
    <x v="22"/>
    <x v="1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d v="2018-06-15T00:00:00"/>
    <x v="22"/>
    <x v="1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d v="2018-06-15T00:00:00"/>
    <x v="22"/>
    <x v="0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d v="2018-06-14T00:00:00"/>
    <x v="59"/>
    <x v="1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d v="2018-06-14T00:00:00"/>
    <x v="59"/>
    <x v="0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d v="2018-06-13T00:00:00"/>
    <x v="32"/>
    <x v="1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d v="2018-06-13T00:00:00"/>
    <x v="32"/>
    <x v="0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d v="2018-06-13T00:00:00"/>
    <x v="22"/>
    <x v="1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d v="2018-06-13T00:00:00"/>
    <x v="22"/>
    <x v="0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d v="2018-06-12T00:00:00"/>
    <x v="7"/>
    <x v="1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d v="2018-06-12T00:00:00"/>
    <x v="7"/>
    <x v="0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d v="2018-06-12T00:00:00"/>
    <x v="22"/>
    <x v="1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d v="2018-06-12T00:00:00"/>
    <x v="22"/>
    <x v="1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d v="2018-06-12T00:00:00"/>
    <x v="22"/>
    <x v="1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d v="2018-06-12T00:00:00"/>
    <x v="22"/>
    <x v="0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d v="2018-06-12T00:00:00"/>
    <x v="7"/>
    <x v="0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d v="2018-06-11T00:00:00"/>
    <x v="22"/>
    <x v="1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d v="2018-06-11T00:00:00"/>
    <x v="74"/>
    <x v="1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d v="2018-06-11T00:00:00"/>
    <x v="22"/>
    <x v="0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d v="2018-06-11T00:00:00"/>
    <x v="74"/>
    <x v="0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d v="2018-06-08T00:00:00"/>
    <x v="7"/>
    <x v="1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d v="2018-06-08T00:00:00"/>
    <x v="7"/>
    <x v="0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d v="2018-06-07T00:00:00"/>
    <x v="77"/>
    <x v="1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d v="2018-06-07T00:00:00"/>
    <x v="77"/>
    <x v="1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d v="2018-06-07T00:00:00"/>
    <x v="77"/>
    <x v="0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d v="2018-06-06T00:00:00"/>
    <x v="7"/>
    <x v="1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d v="2018-06-06T00:00:00"/>
    <x v="7"/>
    <x v="1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d v="2018-06-06T00:00:00"/>
    <x v="7"/>
    <x v="0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d v="2018-06-06T00:00:00"/>
    <x v="12"/>
    <x v="1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d v="2018-06-06T00:00:00"/>
    <x v="12"/>
    <x v="0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d v="2018-06-06T00:00:00"/>
    <x v="64"/>
    <x v="1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d v="2018-06-06T00:00:00"/>
    <x v="64"/>
    <x v="0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d v="2018-06-05T00:00:00"/>
    <x v="74"/>
    <x v="1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d v="2018-06-05T00:00:00"/>
    <x v="74"/>
    <x v="1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d v="2018-06-05T00:00:00"/>
    <x v="74"/>
    <x v="1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d v="2018-06-05T00:00:00"/>
    <x v="74"/>
    <x v="0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d v="2018-06-05T00:00:00"/>
    <x v="74"/>
    <x v="1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d v="2018-06-05T00:00:00"/>
    <x v="74"/>
    <x v="0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d v="2018-06-05T00:00:00"/>
    <x v="12"/>
    <x v="1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d v="2018-06-05T00:00:00"/>
    <x v="12"/>
    <x v="1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d v="2018-06-05T00:00:00"/>
    <x v="7"/>
    <x v="1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d v="2018-06-05T00:00:00"/>
    <x v="7"/>
    <x v="0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d v="2018-06-05T00:00:00"/>
    <x v="12"/>
    <x v="0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d v="2018-06-05T00:00:00"/>
    <x v="7"/>
    <x v="1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d v="2018-06-05T00:00:00"/>
    <x v="7"/>
    <x v="1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d v="2018-06-05T00:00:00"/>
    <x v="7"/>
    <x v="1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d v="2018-06-05T00:00:00"/>
    <x v="7"/>
    <x v="0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d v="2018-06-05T00:00:00"/>
    <x v="7"/>
    <x v="1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d v="2018-06-04T00:00:00"/>
    <x v="78"/>
    <x v="1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d v="2018-06-04T00:00:00"/>
    <x v="78"/>
    <x v="1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d v="2018-06-04T00:00:00"/>
    <x v="78"/>
    <x v="0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d v="2018-06-01T00:00:00"/>
    <x v="78"/>
    <x v="1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d v="2018-06-01T00:00:00"/>
    <x v="78"/>
    <x v="0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d v="2018-05-31T00:00:00"/>
    <x v="13"/>
    <x v="1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d v="2018-05-31T00:00:00"/>
    <x v="13"/>
    <x v="1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d v="2018-05-31T00:00:00"/>
    <x v="13"/>
    <x v="0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d v="2018-05-31T00:00:00"/>
    <x v="79"/>
    <x v="1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d v="2018-05-31T00:00:00"/>
    <x v="79"/>
    <x v="0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d v="2018-05-30T00:00:00"/>
    <x v="74"/>
    <x v="1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d v="2018-05-30T00:00:00"/>
    <x v="64"/>
    <x v="1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d v="2018-05-30T00:00:00"/>
    <x v="64"/>
    <x v="0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d v="2018-05-30T00:00:00"/>
    <x v="74"/>
    <x v="0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d v="2018-05-29T00:00:00"/>
    <x v="64"/>
    <x v="1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d v="2018-05-29T00:00:00"/>
    <x v="64"/>
    <x v="0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d v="2018-05-29T00:00:00"/>
    <x v="64"/>
    <x v="1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d v="2018-05-29T00:00:00"/>
    <x v="64"/>
    <x v="1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d v="2018-05-29T00:00:00"/>
    <x v="70"/>
    <x v="1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d v="2018-05-29T00:00:00"/>
    <x v="70"/>
    <x v="1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d v="2018-05-29T00:00:00"/>
    <x v="70"/>
    <x v="0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d v="2018-05-29T00:00:00"/>
    <x v="13"/>
    <x v="0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d v="2018-05-25T00:00:00"/>
    <x v="13"/>
    <x v="1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d v="2018-05-25T00:00:00"/>
    <x v="13"/>
    <x v="1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d v="2018-05-25T00:00:00"/>
    <x v="64"/>
    <x v="0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d v="2018-05-24T00:00:00"/>
    <x v="13"/>
    <x v="1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d v="2018-05-24T00:00:00"/>
    <x v="13"/>
    <x v="0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d v="2018-05-24T00:00:00"/>
    <x v="13"/>
    <x v="0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d v="2018-05-23T00:00:00"/>
    <x v="22"/>
    <x v="1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d v="2018-05-23T00:00:00"/>
    <x v="22"/>
    <x v="1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d v="2018-05-23T00:00:00"/>
    <x v="22"/>
    <x v="1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d v="2018-05-23T00:00:00"/>
    <x v="22"/>
    <x v="1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d v="2018-05-23T00:00:00"/>
    <x v="22"/>
    <x v="0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d v="2018-05-22T00:00:00"/>
    <x v="13"/>
    <x v="1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d v="2018-05-21T00:00:00"/>
    <x v="64"/>
    <x v="1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d v="2018-05-21T00:00:00"/>
    <x v="53"/>
    <x v="1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d v="2018-05-21T00:00:00"/>
    <x v="53"/>
    <x v="0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d v="2018-05-21T00:00:00"/>
    <x v="53"/>
    <x v="1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d v="2018-05-21T00:00:00"/>
    <x v="53"/>
    <x v="0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d v="2018-05-18T00:00:00"/>
    <x v="7"/>
    <x v="0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d v="2018-05-18T00:00:00"/>
    <x v="64"/>
    <x v="1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d v="2018-05-18T00:00:00"/>
    <x v="53"/>
    <x v="1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d v="2018-05-18T00:00:00"/>
    <x v="53"/>
    <x v="0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d v="2018-05-18T00:00:00"/>
    <x v="64"/>
    <x v="1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d v="2018-05-17T00:00:00"/>
    <x v="7"/>
    <x v="1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d v="2018-05-17T00:00:00"/>
    <x v="7"/>
    <x v="0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d v="2018-05-17T00:00:00"/>
    <x v="64"/>
    <x v="1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d v="2018-05-17T00:00:00"/>
    <x v="64"/>
    <x v="1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d v="2018-05-16T00:00:00"/>
    <x v="80"/>
    <x v="1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d v="2018-05-16T00:00:00"/>
    <x v="80"/>
    <x v="1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d v="2018-05-16T00:00:00"/>
    <x v="80"/>
    <x v="0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d v="2018-05-14T00:00:00"/>
    <x v="80"/>
    <x v="1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d v="2018-05-14T00:00:00"/>
    <x v="80"/>
    <x v="1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d v="2018-05-14T00:00:00"/>
    <x v="80"/>
    <x v="0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d v="2018-05-11T00:00:00"/>
    <x v="13"/>
    <x v="1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d v="2018-05-11T00:00:00"/>
    <x v="13"/>
    <x v="0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d v="2018-05-10T00:00:00"/>
    <x v="54"/>
    <x v="1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d v="2018-05-10T00:00:00"/>
    <x v="24"/>
    <x v="0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d v="2018-05-10T00:00:00"/>
    <x v="54"/>
    <x v="1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d v="2018-05-10T00:00:00"/>
    <x v="54"/>
    <x v="0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d v="2018-05-10T00:00:00"/>
    <x v="68"/>
    <x v="1"/>
    <n v="1000"/>
    <n v="7"/>
    <n v="7000"/>
    <s v="20180510N300024665"/>
    <n v="2018088"/>
    <s v="TT"/>
    <s v="IN302679-38296183"/>
    <s v="NSE"/>
    <n v="7"/>
    <n v="0.21"/>
    <n v="0.3"/>
    <n v="59.04"/>
    <n v="66.55"/>
  </r>
  <r>
    <d v="2018-05-09T00:00:00"/>
    <x v="54"/>
    <x v="1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d v="2018-05-09T00:00:00"/>
    <x v="54"/>
    <x v="0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d v="2018-05-04T00:00:00"/>
    <x v="22"/>
    <x v="1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d v="2018-05-04T00:00:00"/>
    <x v="22"/>
    <x v="0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d v="2018-05-03T00:00:00"/>
    <x v="7"/>
    <x v="0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d v="2018-05-03T00:00:00"/>
    <x v="7"/>
    <x v="0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d v="2018-04-30T00:00:00"/>
    <x v="7"/>
    <x v="1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d v="2018-04-30T00:00:00"/>
    <x v="7"/>
    <x v="1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d v="2018-04-30T00:00:00"/>
    <x v="7"/>
    <x v="1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d v="2018-04-30T00:00:00"/>
    <x v="7"/>
    <x v="0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d v="2018-04-30T00:00:00"/>
    <x v="7"/>
    <x v="1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d v="2018-04-27T00:00:00"/>
    <x v="13"/>
    <x v="1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d v="2018-04-27T00:00:00"/>
    <x v="56"/>
    <x v="1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d v="2018-04-27T00:00:00"/>
    <x v="56"/>
    <x v="0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d v="2018-04-27T00:00:00"/>
    <x v="7"/>
    <x v="0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d v="2018-04-26T00:00:00"/>
    <x v="59"/>
    <x v="1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d v="2018-04-26T00:00:00"/>
    <x v="68"/>
    <x v="1"/>
    <n v="1000"/>
    <n v="8"/>
    <n v="8000"/>
    <s v="20180426N300026254"/>
    <n v="2018079"/>
    <s v="TT"/>
    <s v="IN302679-38296183"/>
    <s v="NSE"/>
    <n v="8"/>
    <n v="0.24"/>
    <n v="0.3"/>
    <n v="59.04"/>
    <n v="67.58"/>
  </r>
  <r>
    <d v="2018-04-25T00:00:00"/>
    <x v="56"/>
    <x v="1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d v="2018-04-25T00:00:00"/>
    <x v="56"/>
    <x v="0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d v="2018-04-25T00:00:00"/>
    <x v="22"/>
    <x v="0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d v="2018-04-25T00:00:00"/>
    <x v="56"/>
    <x v="1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d v="2018-04-25T00:00:00"/>
    <x v="22"/>
    <x v="1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d v="2018-04-24T00:00:00"/>
    <x v="7"/>
    <x v="1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d v="2018-04-24T00:00:00"/>
    <x v="7"/>
    <x v="1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d v="2018-04-24T00:00:00"/>
    <x v="81"/>
    <x v="1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d v="2018-04-24T00:00:00"/>
    <x v="81"/>
    <x v="0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d v="2018-04-23T00:00:00"/>
    <x v="7"/>
    <x v="1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d v="2018-04-23T00:00:00"/>
    <x v="7"/>
    <x v="0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d v="2018-04-23T00:00:00"/>
    <x v="82"/>
    <x v="1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d v="2018-04-23T00:00:00"/>
    <x v="82"/>
    <x v="0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d v="2018-04-23T00:00:00"/>
    <x v="7"/>
    <x v="1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d v="2018-04-23T00:00:00"/>
    <x v="7"/>
    <x v="0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d v="2018-04-23T00:00:00"/>
    <x v="59"/>
    <x v="1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d v="2018-04-23T00:00:00"/>
    <x v="82"/>
    <x v="1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d v="2018-04-20T00:00:00"/>
    <x v="7"/>
    <x v="1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d v="2018-04-20T00:00:00"/>
    <x v="7"/>
    <x v="0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d v="2018-04-19T00:00:00"/>
    <x v="83"/>
    <x v="1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d v="2018-04-19T00:00:00"/>
    <x v="22"/>
    <x v="1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d v="2018-04-19T00:00:00"/>
    <x v="69"/>
    <x v="1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d v="2018-04-19T00:00:00"/>
    <x v="83"/>
    <x v="0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d v="2018-04-18T00:00:00"/>
    <x v="83"/>
    <x v="0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d v="2018-04-18T00:00:00"/>
    <x v="4"/>
    <x v="1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d v="2018-04-18T00:00:00"/>
    <x v="58"/>
    <x v="1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d v="2018-04-18T00:00:00"/>
    <x v="58"/>
    <x v="0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d v="2018-04-16T00:00:00"/>
    <x v="24"/>
    <x v="0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d v="2018-04-13T00:00:00"/>
    <x v="7"/>
    <x v="1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d v="2018-04-13T00:00:00"/>
    <x v="7"/>
    <x v="0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d v="2018-04-12T00:00:00"/>
    <x v="7"/>
    <x v="1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d v="2018-04-12T00:00:00"/>
    <x v="7"/>
    <x v="0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d v="2018-04-12T00:00:00"/>
    <x v="7"/>
    <x v="1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d v="2018-04-12T00:00:00"/>
    <x v="7"/>
    <x v="0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d v="2018-04-10T00:00:00"/>
    <x v="68"/>
    <x v="1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d v="2018-04-09T00:00:00"/>
    <x v="24"/>
    <x v="1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d v="2018-04-06T00:00:00"/>
    <x v="4"/>
    <x v="1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d v="2018-04-05T00:00:00"/>
    <x v="7"/>
    <x v="1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d v="2018-04-05T00:00:00"/>
    <x v="7"/>
    <x v="0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d v="2018-04-05T00:00:00"/>
    <x v="4"/>
    <x v="1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d v="2018-04-04T00:00:00"/>
    <x v="25"/>
    <x v="1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d v="2018-04-04T00:00:00"/>
    <x v="25"/>
    <x v="1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d v="2018-04-04T00:00:00"/>
    <x v="25"/>
    <x v="0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d v="2018-04-04T00:00:00"/>
    <x v="7"/>
    <x v="1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d v="2018-04-04T00:00:00"/>
    <x v="7"/>
    <x v="0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d v="2018-04-03T00:00:00"/>
    <x v="24"/>
    <x v="1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d v="2018-04-03T00:00:00"/>
    <x v="24"/>
    <x v="0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d v="2018-04-02T00:00:00"/>
    <x v="24"/>
    <x v="1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d v="2018-04-02T00:00:00"/>
    <x v="24"/>
    <x v="0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d v="2018-04-02T00:00:00"/>
    <x v="25"/>
    <x v="1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d v="2018-04-02T00:00:00"/>
    <x v="25"/>
    <x v="1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d v="2018-04-02T00:00:00"/>
    <x v="25"/>
    <x v="1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d v="2018-04-02T00:00:00"/>
    <x v="25"/>
    <x v="0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d v="2018-03-26T00:00:00"/>
    <x v="24"/>
    <x v="1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d v="2018-03-26T00:00:00"/>
    <x v="24"/>
    <x v="0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d v="2018-03-23T00:00:00"/>
    <x v="24"/>
    <x v="0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d v="2018-03-23T00:00:00"/>
    <x v="84"/>
    <x v="0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d v="2018-03-22T00:00:00"/>
    <x v="4"/>
    <x v="1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d v="2018-03-19T00:00:00"/>
    <x v="70"/>
    <x v="0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d v="2018-03-19T00:00:00"/>
    <x v="24"/>
    <x v="1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d v="2018-03-15T00:00:00"/>
    <x v="85"/>
    <x v="1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d v="2018-03-15T00:00:00"/>
    <x v="85"/>
    <x v="0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d v="2018-03-14T00:00:00"/>
    <x v="7"/>
    <x v="1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d v="2018-03-14T00:00:00"/>
    <x v="7"/>
    <x v="0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d v="2018-03-13T00:00:00"/>
    <x v="7"/>
    <x v="1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d v="2018-03-13T00:00:00"/>
    <x v="7"/>
    <x v="0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d v="2018-03-12T00:00:00"/>
    <x v="7"/>
    <x v="1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d v="2018-03-12T00:00:00"/>
    <x v="7"/>
    <x v="0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d v="2018-03-08T00:00:00"/>
    <x v="25"/>
    <x v="1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d v="2018-03-08T00:00:00"/>
    <x v="25"/>
    <x v="0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d v="2018-03-08T00:00:00"/>
    <x v="83"/>
    <x v="1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d v="2018-03-07T00:00:00"/>
    <x v="34"/>
    <x v="0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d v="2018-03-07T00:00:00"/>
    <x v="7"/>
    <x v="1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d v="2018-03-01T00:00:00"/>
    <x v="22"/>
    <x v="1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d v="2018-03-01T00:00:00"/>
    <x v="22"/>
    <x v="0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d v="2018-02-23T00:00:00"/>
    <x v="83"/>
    <x v="1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d v="2018-02-22T00:00:00"/>
    <x v="84"/>
    <x v="1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d v="2018-02-21T00:00:00"/>
    <x v="4"/>
    <x v="1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d v="2018-02-21T00:00:00"/>
    <x v="7"/>
    <x v="1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d v="2018-02-21T00:00:00"/>
    <x v="7"/>
    <x v="0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d v="2018-02-20T00:00:00"/>
    <x v="7"/>
    <x v="1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d v="2018-02-20T00:00:00"/>
    <x v="7"/>
    <x v="0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d v="2018-02-20T00:00:00"/>
    <x v="7"/>
    <x v="1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d v="2018-02-20T00:00:00"/>
    <x v="7"/>
    <x v="0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d v="2018-02-16T00:00:00"/>
    <x v="7"/>
    <x v="1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d v="2018-02-16T00:00:00"/>
    <x v="7"/>
    <x v="0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d v="2018-02-16T00:00:00"/>
    <x v="7"/>
    <x v="1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d v="2018-02-16T00:00:00"/>
    <x v="7"/>
    <x v="0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d v="2018-02-16T00:00:00"/>
    <x v="7"/>
    <x v="1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d v="2018-02-16T00:00:00"/>
    <x v="7"/>
    <x v="0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d v="2018-02-15T00:00:00"/>
    <x v="85"/>
    <x v="1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d v="2018-02-15T00:00:00"/>
    <x v="85"/>
    <x v="0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d v="2018-02-15T00:00:00"/>
    <x v="7"/>
    <x v="0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d v="2018-02-14T00:00:00"/>
    <x v="7"/>
    <x v="1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d v="2018-02-09T00:00:00"/>
    <x v="85"/>
    <x v="1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d v="2018-02-09T00:00:00"/>
    <x v="85"/>
    <x v="0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d v="2018-02-09T00:00:00"/>
    <x v="34"/>
    <x v="1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d v="2018-02-09T00:00:00"/>
    <x v="34"/>
    <x v="0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d v="2018-02-08T00:00:00"/>
    <x v="7"/>
    <x v="1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d v="2018-02-08T00:00:00"/>
    <x v="85"/>
    <x v="1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d v="2018-02-08T00:00:00"/>
    <x v="85"/>
    <x v="0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d v="2018-02-08T00:00:00"/>
    <x v="7"/>
    <x v="0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d v="2018-02-08T00:00:00"/>
    <x v="7"/>
    <x v="1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d v="2018-02-08T00:00:00"/>
    <x v="7"/>
    <x v="0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d v="2018-02-08T00:00:00"/>
    <x v="7"/>
    <x v="0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d v="2018-02-06T00:00:00"/>
    <x v="7"/>
    <x v="1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d v="2018-02-06T00:00:00"/>
    <x v="85"/>
    <x v="1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d v="2018-02-06T00:00:00"/>
    <x v="85"/>
    <x v="0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d v="2018-02-06T00:00:00"/>
    <x v="7"/>
    <x v="1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d v="2018-02-06T00:00:00"/>
    <x v="78"/>
    <x v="0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d v="2018-02-05T00:00:00"/>
    <x v="4"/>
    <x v="1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d v="2018-02-02T00:00:00"/>
    <x v="70"/>
    <x v="0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d v="2018-02-02T00:00:00"/>
    <x v="15"/>
    <x v="0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d v="2018-02-02T00:00:00"/>
    <x v="15"/>
    <x v="0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d v="2018-01-31T00:00:00"/>
    <x v="15"/>
    <x v="1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d v="2018-01-31T00:00:00"/>
    <x v="70"/>
    <x v="1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d v="2018-01-29T00:00:00"/>
    <x v="84"/>
    <x v="1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d v="2018-01-29T00:00:00"/>
    <x v="25"/>
    <x v="1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d v="2018-01-29T00:00:00"/>
    <x v="25"/>
    <x v="0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d v="2018-01-25T00:00:00"/>
    <x v="2"/>
    <x v="0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d v="2018-01-25T00:00:00"/>
    <x v="29"/>
    <x v="0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d v="2018-01-25T00:00:00"/>
    <x v="78"/>
    <x v="1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d v="2018-01-25T00:00:00"/>
    <x v="29"/>
    <x v="1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d v="2018-01-25T00:00:00"/>
    <x v="2"/>
    <x v="1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d v="2018-01-23T00:00:00"/>
    <x v="86"/>
    <x v="0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d v="2018-01-23T00:00:00"/>
    <x v="87"/>
    <x v="1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d v="2018-01-23T00:00:00"/>
    <x v="87"/>
    <x v="0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d v="2018-01-23T00:00:00"/>
    <x v="25"/>
    <x v="1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d v="2018-01-23T00:00:00"/>
    <x v="25"/>
    <x v="0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d v="2018-01-22T00:00:00"/>
    <x v="88"/>
    <x v="1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d v="2018-01-22T00:00:00"/>
    <x v="88"/>
    <x v="0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d v="2018-01-19T00:00:00"/>
    <x v="85"/>
    <x v="1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d v="2018-01-19T00:00:00"/>
    <x v="85"/>
    <x v="0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d v="2018-01-19T00:00:00"/>
    <x v="74"/>
    <x v="1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d v="2018-01-19T00:00:00"/>
    <x v="74"/>
    <x v="0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d v="2018-01-19T00:00:00"/>
    <x v="74"/>
    <x v="1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d v="2018-01-19T00:00:00"/>
    <x v="74"/>
    <x v="0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d v="2018-01-19T00:00:00"/>
    <x v="74"/>
    <x v="1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d v="2018-01-19T00:00:00"/>
    <x v="74"/>
    <x v="0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d v="2018-01-19T00:00:00"/>
    <x v="74"/>
    <x v="0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d v="2018-01-19T00:00:00"/>
    <x v="74"/>
    <x v="1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d v="2018-01-19T00:00:00"/>
    <x v="74"/>
    <x v="0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d v="2018-01-19T00:00:00"/>
    <x v="74"/>
    <x v="1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d v="2018-01-19T00:00:00"/>
    <x v="74"/>
    <x v="0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d v="2018-01-18T00:00:00"/>
    <x v="86"/>
    <x v="1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d v="2018-01-18T00:00:00"/>
    <x v="57"/>
    <x v="1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d v="2018-01-18T00:00:00"/>
    <x v="57"/>
    <x v="0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d v="2018-01-18T00:00:00"/>
    <x v="1"/>
    <x v="0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d v="2018-01-17T00:00:00"/>
    <x v="85"/>
    <x v="0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d v="2018-01-17T00:00:00"/>
    <x v="89"/>
    <x v="0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d v="2018-01-17T00:00:00"/>
    <x v="68"/>
    <x v="0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d v="2018-01-17T00:00:00"/>
    <x v="70"/>
    <x v="1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d v="2018-01-17T00:00:00"/>
    <x v="70"/>
    <x v="0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d v="2018-01-17T00:00:00"/>
    <x v="70"/>
    <x v="1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d v="2018-01-17T00:00:00"/>
    <x v="1"/>
    <x v="1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d v="2018-01-16T00:00:00"/>
    <x v="89"/>
    <x v="0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d v="2018-01-16T00:00:00"/>
    <x v="89"/>
    <x v="0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d v="2018-01-15T00:00:00"/>
    <x v="90"/>
    <x v="1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d v="2018-01-15T00:00:00"/>
    <x v="90"/>
    <x v="0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d v="2018-01-15T00:00:00"/>
    <x v="39"/>
    <x v="1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d v="2018-01-15T00:00:00"/>
    <x v="39"/>
    <x v="0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d v="2018-01-15T00:00:00"/>
    <x v="70"/>
    <x v="1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d v="2018-01-15T00:00:00"/>
    <x v="3"/>
    <x v="1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d v="2018-01-15T00:00:00"/>
    <x v="70"/>
    <x v="0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d v="2018-01-15T00:00:00"/>
    <x v="34"/>
    <x v="1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d v="2018-01-15T00:00:00"/>
    <x v="34"/>
    <x v="0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d v="2018-01-15T00:00:00"/>
    <x v="89"/>
    <x v="1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d v="2018-01-15T00:00:00"/>
    <x v="85"/>
    <x v="1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d v="2018-01-15T00:00:00"/>
    <x v="3"/>
    <x v="0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d v="2018-01-12T00:00:00"/>
    <x v="24"/>
    <x v="1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d v="2018-01-12T00:00:00"/>
    <x v="91"/>
    <x v="1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d v="2018-01-12T00:00:00"/>
    <x v="70"/>
    <x v="0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d v="2018-01-12T00:00:00"/>
    <x v="70"/>
    <x v="1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d v="2018-01-12T00:00:00"/>
    <x v="70"/>
    <x v="0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d v="2018-01-12T00:00:00"/>
    <x v="91"/>
    <x v="0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d v="2018-01-12T00:00:00"/>
    <x v="24"/>
    <x v="0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d v="2018-01-12T00:00:00"/>
    <x v="92"/>
    <x v="1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d v="2018-01-12T00:00:00"/>
    <x v="92"/>
    <x v="0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d v="2018-01-11T00:00:00"/>
    <x v="24"/>
    <x v="1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d v="2018-01-11T00:00:00"/>
    <x v="24"/>
    <x v="0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d v="2018-01-11T00:00:00"/>
    <x v="24"/>
    <x v="1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d v="2018-01-10T00:00:00"/>
    <x v="89"/>
    <x v="0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d v="2018-01-10T00:00:00"/>
    <x v="89"/>
    <x v="0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d v="2018-01-10T00:00:00"/>
    <x v="93"/>
    <x v="0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d v="2018-01-09T00:00:00"/>
    <x v="89"/>
    <x v="1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d v="2018-01-09T00:00:00"/>
    <x v="89"/>
    <x v="0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d v="2018-01-09T00:00:00"/>
    <x v="89"/>
    <x v="1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d v="2018-01-09T00:00:00"/>
    <x v="89"/>
    <x v="0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d v="2018-01-09T00:00:00"/>
    <x v="89"/>
    <x v="1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d v="2018-01-05T00:00:00"/>
    <x v="94"/>
    <x v="1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d v="2018-01-05T00:00:00"/>
    <x v="94"/>
    <x v="0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d v="2018-01-04T00:00:00"/>
    <x v="68"/>
    <x v="1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d v="2018-01-04T00:00:00"/>
    <x v="95"/>
    <x v="1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d v="2018-01-04T00:00:00"/>
    <x v="95"/>
    <x v="0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d v="2018-01-03T00:00:00"/>
    <x v="93"/>
    <x v="1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d v="2018-01-02T00:00:00"/>
    <x v="13"/>
    <x v="0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d v="2018-01-02T00:00:00"/>
    <x v="79"/>
    <x v="0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d v="2018-01-01T00:00:00"/>
    <x v="89"/>
    <x v="1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d v="2018-01-01T00:00:00"/>
    <x v="70"/>
    <x v="0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d v="2018-01-01T00:00:00"/>
    <x v="34"/>
    <x v="1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d v="2017-12-29T00:00:00"/>
    <x v="13"/>
    <x v="1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d v="2017-12-29T00:00:00"/>
    <x v="89"/>
    <x v="0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d v="2017-12-28T00:00:00"/>
    <x v="79"/>
    <x v="1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d v="2017-12-28T00:00:00"/>
    <x v="12"/>
    <x v="0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d v="2017-12-22T00:00:00"/>
    <x v="89"/>
    <x v="1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d v="2017-12-19T00:00:00"/>
    <x v="78"/>
    <x v="0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d v="2017-12-14T00:00:00"/>
    <x v="70"/>
    <x v="1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d v="2017-12-14T00:00:00"/>
    <x v="12"/>
    <x v="1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d v="2017-12-14T00:00:00"/>
    <x v="96"/>
    <x v="0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d v="2017-12-08T00:00:00"/>
    <x v="70"/>
    <x v="1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d v="2017-12-08T00:00:00"/>
    <x v="96"/>
    <x v="1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d v="2017-12-06T00:00:00"/>
    <x v="78"/>
    <x v="1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d v="2017-12-01T00:00:00"/>
    <x v="12"/>
    <x v="0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d v="2017-11-21T00:00:00"/>
    <x v="70"/>
    <x v="1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d v="2017-11-21T00:00:00"/>
    <x v="70"/>
    <x v="0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d v="2017-11-16T00:00:00"/>
    <x v="12"/>
    <x v="1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d v="2017-10-04T00:00:00"/>
    <x v="79"/>
    <x v="0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d v="2017-09-22T00:00:00"/>
    <x v="79"/>
    <x v="1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d v="2017-06-23T00:00:00"/>
    <x v="79"/>
    <x v="1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d v="2017-06-23T00:00:00"/>
    <x v="79"/>
    <x v="0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d v="2017-06-21T00:00:00"/>
    <x v="70"/>
    <x v="1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d v="2017-05-11T00:00:00"/>
    <x v="79"/>
    <x v="1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d v="2017-05-02T00:00:00"/>
    <x v="79"/>
    <x v="0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d v="2017-04-11T00:00:00"/>
    <x v="79"/>
    <x v="1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d v="2017-03-30T00:00:00"/>
    <x v="79"/>
    <x v="0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d v="2017-03-24T00:00:00"/>
    <x v="79"/>
    <x v="1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d v="2017-03-24T00:00:00"/>
    <x v="97"/>
    <x v="0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d v="2017-03-14T00:00:00"/>
    <x v="97"/>
    <x v="1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d v="2016-11-02T00:00:00"/>
    <x v="98"/>
    <x v="0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d v="2016-11-02T00:00:00"/>
    <x v="34"/>
    <x v="1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d v="2016-10-27T00:00:00"/>
    <x v="98"/>
    <x v="1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d v="2016-10-25T00:00:00"/>
    <x v="99"/>
    <x v="0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d v="2016-10-24T00:00:00"/>
    <x v="58"/>
    <x v="0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d v="2016-10-18T00:00:00"/>
    <x v="98"/>
    <x v="0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d v="2016-10-18T00:00:00"/>
    <x v="99"/>
    <x v="1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d v="2016-09-30T00:00:00"/>
    <x v="70"/>
    <x v="0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d v="2016-09-30T00:00:00"/>
    <x v="98"/>
    <x v="1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d v="2016-09-14T00:00:00"/>
    <x v="58"/>
    <x v="0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d v="2016-08-31T00:00:00"/>
    <x v="79"/>
    <x v="0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d v="2016-08-01T00:00:00"/>
    <x v="70"/>
    <x v="1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d v="2016-07-21T00:00:00"/>
    <x v="32"/>
    <x v="0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d v="2016-07-21T00:00:00"/>
    <x v="58"/>
    <x v="1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d v="2016-07-14T00:00:00"/>
    <x v="100"/>
    <x v="0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d v="2016-07-14T00:00:00"/>
    <x v="32"/>
    <x v="1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d v="2016-06-24T00:00:00"/>
    <x v="58"/>
    <x v="1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d v="2016-03-22T00:00:00"/>
    <x v="100"/>
    <x v="0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d v="2016-02-16T00:00:00"/>
    <x v="79"/>
    <x v="1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d v="2016-01-29T00:00:00"/>
    <x v="26"/>
    <x v="0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d v="2016-01-04T00:00:00"/>
    <x v="100"/>
    <x v="1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d v="2015-12-24T00:00:00"/>
    <x v="79"/>
    <x v="0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d v="2015-12-17T00:00:00"/>
    <x v="79"/>
    <x v="1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d v="2015-08-17T00:00:00"/>
    <x v="78"/>
    <x v="0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d v="2015-08-17T00:00:00"/>
    <x v="65"/>
    <x v="0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d v="2015-08-17T00:00:00"/>
    <x v="26"/>
    <x v="1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d v="2015-07-15T00:00:00"/>
    <x v="78"/>
    <x v="1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d v="2015-07-10T00:00:00"/>
    <x v="65"/>
    <x v="0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d v="2015-06-12T00:00:00"/>
    <x v="65"/>
    <x v="1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d v="2015-04-17T00:00:00"/>
    <x v="78"/>
    <x v="1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d v="2015-04-13T00:00:00"/>
    <x v="78"/>
    <x v="0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d v="2015-04-07T00:00:00"/>
    <x v="78"/>
    <x v="1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d v="2015-03-24T00:00:00"/>
    <x v="101"/>
    <x v="0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d v="2015-03-18T00:00:00"/>
    <x v="65"/>
    <x v="1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d v="2015-03-10T00:00:00"/>
    <x v="79"/>
    <x v="0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d v="2015-02-28T00:00:00"/>
    <x v="78"/>
    <x v="1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d v="2015-02-18T00:00:00"/>
    <x v="101"/>
    <x v="1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d v="2015-01-15T00:00:00"/>
    <x v="79"/>
    <x v="1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d v="2015-01-09T00:00:00"/>
    <x v="79"/>
    <x v="0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d v="2014-12-22T00:00:00"/>
    <x v="79"/>
    <x v="1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d v="2014-12-11T00:00:00"/>
    <x v="102"/>
    <x v="0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d v="2014-12-11T00:00:00"/>
    <x v="53"/>
    <x v="0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d v="2014-12-09T00:00:00"/>
    <x v="79"/>
    <x v="1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d v="2014-12-05T00:00:00"/>
    <x v="53"/>
    <x v="1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d v="2014-12-05T00:00:00"/>
    <x v="102"/>
    <x v="1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d v="2014-12-04T00:00:00"/>
    <x v="103"/>
    <x v="0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d v="2014-12-04T00:00:00"/>
    <x v="101"/>
    <x v="0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d v="2014-07-03T00:00:00"/>
    <x v="58"/>
    <x v="0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d v="2014-07-03T00:00:00"/>
    <x v="103"/>
    <x v="1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d v="2014-07-03T00:00:00"/>
    <x v="101"/>
    <x v="1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d v="2014-06-30T00:00:00"/>
    <x v="19"/>
    <x v="0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d v="2014-06-20T00:00:00"/>
    <x v="19"/>
    <x v="1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d v="2014-06-18T00:00:00"/>
    <x v="102"/>
    <x v="0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d v="2014-06-05T00:00:00"/>
    <x v="104"/>
    <x v="0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d v="2014-06-05T00:00:00"/>
    <x v="103"/>
    <x v="1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d v="2014-05-27T00:00:00"/>
    <x v="102"/>
    <x v="1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d v="2014-05-16T00:00:00"/>
    <x v="105"/>
    <x v="0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d v="2014-05-16T00:00:00"/>
    <x v="104"/>
    <x v="1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d v="2014-05-15T00:00:00"/>
    <x v="106"/>
    <x v="0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d v="2014-05-15T00:00:00"/>
    <x v="102"/>
    <x v="1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d v="2014-04-23T00:00:00"/>
    <x v="106"/>
    <x v="1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d v="2014-04-17T00:00:00"/>
    <x v="58"/>
    <x v="1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d v="2014-04-11T00:00:00"/>
    <x v="105"/>
    <x v="1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d v="2014-04-04T00:00:00"/>
    <x v="85"/>
    <x v="0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d v="2014-02-17T00:00:00"/>
    <x v="85"/>
    <x v="1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d v="2014-02-17T00:00:00"/>
    <x v="107"/>
    <x v="0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d v="2013-12-27T00:00:00"/>
    <x v="107"/>
    <x v="1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d v="2013-12-27T00:00:00"/>
    <x v="107"/>
    <x v="0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d v="2013-12-09T00:00:00"/>
    <x v="107"/>
    <x v="1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d v="2013-11-03T00:00:00"/>
    <x v="78"/>
    <x v="0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d v="2013-10-07T00:00:00"/>
    <x v="78"/>
    <x v="1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d v="2013-09-16T00:00:00"/>
    <x v="108"/>
    <x v="1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d v="2013-09-11T00:00:00"/>
    <x v="85"/>
    <x v="1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d v="2013-07-22T00:00:00"/>
    <x v="85"/>
    <x v="1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d v="2013-07-15T00:00:00"/>
    <x v="85"/>
    <x v="0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d v="2013-07-08T00:00:00"/>
    <x v="85"/>
    <x v="1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d v="2013-05-20T00:00:00"/>
    <x v="85"/>
    <x v="1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d v="2013-03-19T00:00:00"/>
    <x v="78"/>
    <x v="0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d v="2013-01-08T00:00:00"/>
    <x v="78"/>
    <x v="1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d v="2012-12-31T00:00:00"/>
    <x v="102"/>
    <x v="1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d v="2012-12-31T00:00:00"/>
    <x v="102"/>
    <x v="1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d v="2012-12-26T00:00:00"/>
    <x v="85"/>
    <x v="1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d v="2012-12-20T00:00:00"/>
    <x v="85"/>
    <x v="1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d v="2012-06-19T00:00:00"/>
    <x v="85"/>
    <x v="0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d v="2012-03-27T00:00:00"/>
    <x v="85"/>
    <x v="1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m/>
    <x v="109"/>
    <x v="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3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7:E118" firstHeaderRow="1" firstDataRow="2" firstDataCol="1" rowPageCount="1" colPageCount="1"/>
  <pivotFields count="16">
    <pivotField numFmtId="15" showAll="0"/>
    <pivotField axis="axisRow" showAll="0">
      <items count="111">
        <item x="99"/>
        <item x="53"/>
        <item x="102"/>
        <item x="70"/>
        <item x="78"/>
        <item x="105"/>
        <item x="26"/>
        <item x="104"/>
        <item x="101"/>
        <item x="34"/>
        <item x="96"/>
        <item x="107"/>
        <item x="12"/>
        <item x="97"/>
        <item x="58"/>
        <item x="85"/>
        <item x="106"/>
        <item x="32"/>
        <item x="79"/>
        <item x="103"/>
        <item x="65"/>
        <item x="19"/>
        <item x="100"/>
        <item x="98"/>
        <item x="108"/>
        <item x="109"/>
        <item x="89"/>
        <item x="13"/>
        <item x="94"/>
        <item x="68"/>
        <item x="95"/>
        <item x="93"/>
        <item x="24"/>
        <item x="91"/>
        <item x="92"/>
        <item x="1"/>
        <item x="90"/>
        <item x="39"/>
        <item x="3"/>
        <item x="86"/>
        <item x="57"/>
        <item x="88"/>
        <item x="74"/>
        <item x="2"/>
        <item x="29"/>
        <item x="87"/>
        <item x="25"/>
        <item x="7"/>
        <item x="4"/>
        <item x="15"/>
        <item x="84"/>
        <item x="22"/>
        <item x="83"/>
        <item x="56"/>
        <item x="81"/>
        <item x="82"/>
        <item x="59"/>
        <item x="69"/>
        <item x="64"/>
        <item x="80"/>
        <item x="54"/>
        <item x="75"/>
        <item x="76"/>
        <item x="77"/>
        <item x="6"/>
        <item x="16"/>
        <item x="62"/>
        <item x="71"/>
        <item x="72"/>
        <item x="73"/>
        <item x="60"/>
        <item x="66"/>
        <item x="35"/>
        <item x="55"/>
        <item x="61"/>
        <item x="67"/>
        <item x="63"/>
        <item x="11"/>
        <item x="33"/>
        <item x="20"/>
        <item x="31"/>
        <item x="36"/>
        <item x="37"/>
        <item x="38"/>
        <item x="40"/>
        <item x="41"/>
        <item x="5"/>
        <item x="42"/>
        <item x="43"/>
        <item x="44"/>
        <item x="45"/>
        <item x="21"/>
        <item x="46"/>
        <item x="47"/>
        <item x="48"/>
        <item x="14"/>
        <item x="18"/>
        <item x="49"/>
        <item x="50"/>
        <item x="10"/>
        <item x="51"/>
        <item x="8"/>
        <item x="52"/>
        <item x="30"/>
        <item x="9"/>
        <item x="17"/>
        <item x="23"/>
        <item x="27"/>
        <item x="28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13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3:E113" firstHeaderRow="1" firstDataRow="2" firstDataCol="1" rowPageCount="1" colPageCount="1"/>
  <pivotFields count="16">
    <pivotField numFmtId="15" showAll="0"/>
    <pivotField axis="axisRow" showAll="0">
      <items count="111">
        <item x="99"/>
        <item x="53"/>
        <item x="102"/>
        <item x="70"/>
        <item x="78"/>
        <item x="105"/>
        <item x="26"/>
        <item x="104"/>
        <item x="101"/>
        <item x="34"/>
        <item x="96"/>
        <item x="107"/>
        <item x="12"/>
        <item x="97"/>
        <item x="58"/>
        <item x="85"/>
        <item x="106"/>
        <item x="32"/>
        <item x="79"/>
        <item x="103"/>
        <item x="65"/>
        <item x="19"/>
        <item x="100"/>
        <item x="98"/>
        <item x="108"/>
        <item x="89"/>
        <item x="13"/>
        <item x="94"/>
        <item x="68"/>
        <item x="95"/>
        <item x="93"/>
        <item x="109"/>
        <item x="24"/>
        <item x="91"/>
        <item x="92"/>
        <item x="1"/>
        <item x="90"/>
        <item x="39"/>
        <item x="3"/>
        <item x="86"/>
        <item x="57"/>
        <item x="88"/>
        <item x="74"/>
        <item x="2"/>
        <item x="29"/>
        <item x="87"/>
        <item x="25"/>
        <item x="7"/>
        <item x="4"/>
        <item x="15"/>
        <item x="84"/>
        <item x="22"/>
        <item x="83"/>
        <item x="56"/>
        <item x="81"/>
        <item x="82"/>
        <item x="59"/>
        <item x="69"/>
        <item x="64"/>
        <item x="80"/>
        <item x="54"/>
        <item x="75"/>
        <item x="76"/>
        <item x="77"/>
        <item x="6"/>
        <item x="16"/>
        <item x="62"/>
        <item x="71"/>
        <item x="72"/>
        <item x="73"/>
        <item x="60"/>
        <item x="66"/>
        <item x="35"/>
        <item x="55"/>
        <item x="61"/>
        <item x="67"/>
        <item x="63"/>
        <item x="11"/>
        <item x="33"/>
        <item x="20"/>
        <item x="31"/>
        <item x="36"/>
        <item x="37"/>
        <item x="38"/>
        <item x="40"/>
        <item x="41"/>
        <item x="5"/>
        <item x="42"/>
        <item x="43"/>
        <item x="44"/>
        <item x="45"/>
        <item x="21"/>
        <item x="46"/>
        <item x="47"/>
        <item x="48"/>
        <item x="14"/>
        <item x="18"/>
        <item x="49"/>
        <item x="50"/>
        <item x="10"/>
        <item x="51"/>
        <item x="8"/>
        <item x="52"/>
        <item x="30"/>
        <item x="9"/>
        <item x="17"/>
        <item x="23"/>
        <item x="27"/>
        <item x="28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2" cacheId="1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7" firstHeaderRow="1" firstDataRow="1" firstDataCol="1" rowPageCount="1" colPageCount="1"/>
  <pivotFields count="10">
    <pivotField numFmtId="2" showAll="0"/>
    <pivotField axis="axisRow" showAll="0">
      <items count="110">
        <item x="61"/>
        <item x="0"/>
        <item x="1"/>
        <item x="43"/>
        <item x="27"/>
        <item x="48"/>
        <item x="30"/>
        <item x="49"/>
        <item x="46"/>
        <item x="28"/>
        <item x="45"/>
        <item x="2"/>
        <item x="62"/>
        <item x="64"/>
        <item x="32"/>
        <item x="55"/>
        <item x="59"/>
        <item x="26"/>
        <item x="3"/>
        <item x="4"/>
        <item x="54"/>
        <item x="5"/>
        <item x="50"/>
        <item x="33"/>
        <item x="60"/>
        <item x="6"/>
        <item x="7"/>
        <item x="8"/>
        <item x="9"/>
        <item x="37"/>
        <item x="51"/>
        <item x="65"/>
        <item x="10"/>
        <item x="11"/>
        <item x="12"/>
        <item x="13"/>
        <item x="39"/>
        <item x="44"/>
        <item x="14"/>
        <item x="15"/>
        <item x="35"/>
        <item x="16"/>
        <item x="41"/>
        <item x="58"/>
        <item x="40"/>
        <item x="17"/>
        <item x="57"/>
        <item x="18"/>
        <item x="53"/>
        <item x="36"/>
        <item x="19"/>
        <item x="31"/>
        <item x="29"/>
        <item x="38"/>
        <item x="42"/>
        <item x="20"/>
        <item x="21"/>
        <item x="25"/>
        <item x="22"/>
        <item x="52"/>
        <item x="23"/>
        <item x="63"/>
        <item x="34"/>
        <item x="24"/>
        <item x="67"/>
        <item x="68"/>
        <item x="69"/>
        <item x="56"/>
        <item x="66"/>
        <item x="70"/>
        <item x="4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showAll="0"/>
    <pivotField numFmtId="2" showAll="0"/>
    <pivotField showAll="0"/>
    <pivotField numFmtId="2" showAll="0"/>
    <pivotField dataField="1" numFmtId="2" showAll="0"/>
    <pivotField numFmtId="2" showAll="0"/>
    <pivotField numFmtId="2"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"/>
  </rowFields>
  <row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pageFields count="1">
    <pageField fld="9" hier="-1"/>
  </pageFields>
  <dataFields count="1">
    <dataField name="Sum of P/L" fld="6" baseField="0" baseItem="0" numFmtId="2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373"/>
  <sheetViews>
    <sheetView topLeftCell="A1090" workbookViewId="0">
      <selection activeCell="C1099" sqref="C1099"/>
    </sheetView>
  </sheetViews>
  <sheetFormatPr defaultRowHeight="15" x14ac:dyDescent="0.25"/>
  <cols>
    <col min="1" max="1" width="10.140625" bestFit="1" customWidth="1"/>
    <col min="16" max="16" width="2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s="22">
        <v>43748</v>
      </c>
      <c r="B2" t="s">
        <v>1476</v>
      </c>
      <c r="C2" t="s">
        <v>23</v>
      </c>
      <c r="D2">
        <v>250</v>
      </c>
      <c r="E2">
        <v>240</v>
      </c>
      <c r="F2">
        <v>60000</v>
      </c>
      <c r="G2" t="s">
        <v>1477</v>
      </c>
      <c r="H2">
        <v>2019190</v>
      </c>
      <c r="I2" t="s">
        <v>19</v>
      </c>
      <c r="J2" t="s">
        <v>20</v>
      </c>
      <c r="K2" t="s">
        <v>25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idden="1" x14ac:dyDescent="0.25">
      <c r="A3" s="22">
        <v>43748</v>
      </c>
      <c r="B3" t="s">
        <v>226</v>
      </c>
      <c r="C3" t="s">
        <v>23</v>
      </c>
      <c r="D3">
        <v>100</v>
      </c>
      <c r="E3">
        <v>247</v>
      </c>
      <c r="F3">
        <v>24700</v>
      </c>
      <c r="G3" t="s">
        <v>1478</v>
      </c>
      <c r="H3">
        <v>2019190</v>
      </c>
      <c r="I3" t="s">
        <v>19</v>
      </c>
      <c r="J3" t="s">
        <v>20</v>
      </c>
      <c r="K3" t="s">
        <v>25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hidden="1" x14ac:dyDescent="0.25">
      <c r="A4" s="22">
        <v>43748</v>
      </c>
      <c r="B4" t="s">
        <v>1476</v>
      </c>
      <c r="C4" t="s">
        <v>17</v>
      </c>
      <c r="D4">
        <v>250</v>
      </c>
      <c r="E4">
        <v>212.47</v>
      </c>
      <c r="F4">
        <v>53116.95</v>
      </c>
      <c r="G4" t="s">
        <v>1479</v>
      </c>
      <c r="H4">
        <v>2019190</v>
      </c>
      <c r="I4" t="s">
        <v>19</v>
      </c>
      <c r="J4" t="s">
        <v>20</v>
      </c>
      <c r="K4" t="s">
        <v>25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hidden="1" x14ac:dyDescent="0.25">
      <c r="A5" s="22">
        <v>43748</v>
      </c>
      <c r="B5" t="s">
        <v>226</v>
      </c>
      <c r="C5" t="s">
        <v>17</v>
      </c>
      <c r="D5">
        <v>500</v>
      </c>
      <c r="E5">
        <v>245.3</v>
      </c>
      <c r="F5">
        <v>122650</v>
      </c>
      <c r="G5" t="s">
        <v>1480</v>
      </c>
      <c r="H5">
        <v>2019190</v>
      </c>
      <c r="I5" t="s">
        <v>19</v>
      </c>
      <c r="J5" t="s">
        <v>20</v>
      </c>
      <c r="K5" t="s">
        <v>25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hidden="1" x14ac:dyDescent="0.25">
      <c r="A6" s="22">
        <v>43748</v>
      </c>
      <c r="B6" t="s">
        <v>226</v>
      </c>
      <c r="C6" t="s">
        <v>23</v>
      </c>
      <c r="D6">
        <v>400</v>
      </c>
      <c r="E6">
        <v>245.2</v>
      </c>
      <c r="F6">
        <v>98080</v>
      </c>
      <c r="G6" t="s">
        <v>1481</v>
      </c>
      <c r="H6">
        <v>2019190</v>
      </c>
      <c r="I6" t="s">
        <v>19</v>
      </c>
      <c r="J6" t="s">
        <v>20</v>
      </c>
      <c r="K6" t="s">
        <v>25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hidden="1" x14ac:dyDescent="0.25">
      <c r="A7" s="22">
        <v>43748</v>
      </c>
      <c r="B7" t="s">
        <v>1476</v>
      </c>
      <c r="C7" t="s">
        <v>17</v>
      </c>
      <c r="D7">
        <v>500</v>
      </c>
      <c r="E7">
        <v>201.38</v>
      </c>
      <c r="F7">
        <v>100691.95</v>
      </c>
      <c r="G7" t="s">
        <v>1482</v>
      </c>
      <c r="H7">
        <v>2019190</v>
      </c>
      <c r="I7" t="s">
        <v>19</v>
      </c>
      <c r="J7" t="s">
        <v>20</v>
      </c>
      <c r="K7" t="s">
        <v>25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hidden="1" x14ac:dyDescent="0.25">
      <c r="A8" s="22">
        <v>43748</v>
      </c>
      <c r="B8" t="s">
        <v>1476</v>
      </c>
      <c r="C8" t="s">
        <v>17</v>
      </c>
      <c r="D8">
        <v>250</v>
      </c>
      <c r="E8">
        <v>195</v>
      </c>
      <c r="F8">
        <v>48750</v>
      </c>
      <c r="G8" t="s">
        <v>1483</v>
      </c>
      <c r="H8">
        <v>2019190</v>
      </c>
      <c r="I8" t="s">
        <v>19</v>
      </c>
      <c r="J8" t="s">
        <v>20</v>
      </c>
      <c r="K8" t="s">
        <v>25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hidden="1" x14ac:dyDescent="0.25">
      <c r="A9" s="22">
        <v>43748</v>
      </c>
      <c r="B9" t="s">
        <v>1476</v>
      </c>
      <c r="C9" t="s">
        <v>23</v>
      </c>
      <c r="D9">
        <v>366</v>
      </c>
      <c r="E9">
        <v>193.13</v>
      </c>
      <c r="F9">
        <v>70685.850000000006</v>
      </c>
      <c r="G9" t="s">
        <v>1484</v>
      </c>
      <c r="H9">
        <v>2019190</v>
      </c>
      <c r="I9" t="s">
        <v>19</v>
      </c>
      <c r="J9" t="s">
        <v>20</v>
      </c>
      <c r="K9" t="s">
        <v>25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hidden="1" x14ac:dyDescent="0.25">
      <c r="A10" s="22">
        <v>43748</v>
      </c>
      <c r="B10" t="s">
        <v>1476</v>
      </c>
      <c r="C10" t="s">
        <v>23</v>
      </c>
      <c r="D10">
        <v>384</v>
      </c>
      <c r="E10">
        <v>197.5</v>
      </c>
      <c r="F10">
        <v>75840</v>
      </c>
      <c r="G10" t="s">
        <v>1485</v>
      </c>
      <c r="H10">
        <v>2019190</v>
      </c>
      <c r="I10" t="s">
        <v>19</v>
      </c>
      <c r="J10" t="s">
        <v>20</v>
      </c>
      <c r="K10" t="s">
        <v>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hidden="1" x14ac:dyDescent="0.25">
      <c r="A11" s="22">
        <v>43747</v>
      </c>
      <c r="B11" t="s">
        <v>268</v>
      </c>
      <c r="C11" t="s">
        <v>17</v>
      </c>
      <c r="D11">
        <v>1000</v>
      </c>
      <c r="E11">
        <v>249.69</v>
      </c>
      <c r="F11">
        <v>249686.15</v>
      </c>
      <c r="G11" t="s">
        <v>1486</v>
      </c>
      <c r="H11">
        <v>2019189</v>
      </c>
      <c r="I11" t="s">
        <v>19</v>
      </c>
      <c r="J11" t="s">
        <v>20</v>
      </c>
      <c r="K11" t="s">
        <v>25</v>
      </c>
      <c r="L11">
        <v>0</v>
      </c>
      <c r="M11">
        <v>5.49</v>
      </c>
      <c r="N11">
        <v>0</v>
      </c>
      <c r="O11">
        <v>148.30000000000001</v>
      </c>
      <c r="P11">
        <v>153.79300000000001</v>
      </c>
    </row>
    <row r="12" spans="1:16" hidden="1" x14ac:dyDescent="0.25">
      <c r="A12" s="22">
        <v>43747</v>
      </c>
      <c r="B12" t="s">
        <v>268</v>
      </c>
      <c r="C12" t="s">
        <v>17</v>
      </c>
      <c r="D12">
        <v>500</v>
      </c>
      <c r="E12">
        <v>246.2</v>
      </c>
      <c r="F12">
        <v>123100</v>
      </c>
      <c r="G12" t="s">
        <v>1487</v>
      </c>
      <c r="H12">
        <v>2019189</v>
      </c>
      <c r="I12" t="s">
        <v>19</v>
      </c>
      <c r="J12" t="s">
        <v>20</v>
      </c>
      <c r="K12" t="s">
        <v>25</v>
      </c>
      <c r="L12">
        <v>0</v>
      </c>
      <c r="M12">
        <v>2.71</v>
      </c>
      <c r="N12">
        <v>0</v>
      </c>
      <c r="O12">
        <v>73.12</v>
      </c>
      <c r="P12">
        <v>75.828199999999995</v>
      </c>
    </row>
    <row r="13" spans="1:16" hidden="1" x14ac:dyDescent="0.25">
      <c r="A13" s="22">
        <v>43747</v>
      </c>
      <c r="B13" t="s">
        <v>268</v>
      </c>
      <c r="C13" t="s">
        <v>23</v>
      </c>
      <c r="D13">
        <v>1500</v>
      </c>
      <c r="E13">
        <v>251</v>
      </c>
      <c r="F13">
        <v>376500</v>
      </c>
      <c r="G13" t="s">
        <v>1488</v>
      </c>
      <c r="H13">
        <v>2019189</v>
      </c>
      <c r="I13" t="s">
        <v>19</v>
      </c>
      <c r="J13" t="s">
        <v>20</v>
      </c>
      <c r="K13" t="s">
        <v>25</v>
      </c>
      <c r="L13">
        <v>93.66</v>
      </c>
      <c r="M13">
        <v>8.2799999999999994</v>
      </c>
      <c r="N13">
        <v>0</v>
      </c>
      <c r="O13">
        <v>223.63</v>
      </c>
      <c r="P13">
        <v>325.57299999999998</v>
      </c>
    </row>
    <row r="14" spans="1:16" hidden="1" x14ac:dyDescent="0.25">
      <c r="A14" s="22">
        <v>43747</v>
      </c>
      <c r="B14" t="s">
        <v>237</v>
      </c>
      <c r="C14" t="s">
        <v>17</v>
      </c>
      <c r="D14">
        <v>500</v>
      </c>
      <c r="E14">
        <v>212.45</v>
      </c>
      <c r="F14">
        <v>106225</v>
      </c>
      <c r="G14" t="s">
        <v>1489</v>
      </c>
      <c r="H14">
        <v>2019189</v>
      </c>
      <c r="I14" t="s">
        <v>19</v>
      </c>
      <c r="J14" t="s">
        <v>20</v>
      </c>
      <c r="K14" t="s">
        <v>25</v>
      </c>
      <c r="L14">
        <v>0</v>
      </c>
      <c r="M14">
        <v>2.34</v>
      </c>
      <c r="N14">
        <v>0</v>
      </c>
      <c r="O14">
        <v>63.09</v>
      </c>
      <c r="P14">
        <v>65.426900000000003</v>
      </c>
    </row>
    <row r="15" spans="1:16" hidden="1" x14ac:dyDescent="0.25">
      <c r="A15" s="22">
        <v>43747</v>
      </c>
      <c r="B15" t="s">
        <v>237</v>
      </c>
      <c r="C15" t="s">
        <v>23</v>
      </c>
      <c r="D15">
        <v>500</v>
      </c>
      <c r="E15">
        <v>213.5</v>
      </c>
      <c r="F15">
        <v>106750</v>
      </c>
      <c r="G15" t="s">
        <v>1490</v>
      </c>
      <c r="H15">
        <v>2019189</v>
      </c>
      <c r="I15" t="s">
        <v>19</v>
      </c>
      <c r="J15" t="s">
        <v>20</v>
      </c>
      <c r="K15" t="s">
        <v>25</v>
      </c>
      <c r="L15">
        <v>26.62</v>
      </c>
      <c r="M15">
        <v>2.35</v>
      </c>
      <c r="N15">
        <v>0</v>
      </c>
      <c r="O15">
        <v>63.4</v>
      </c>
      <c r="P15">
        <v>92.368600000000001</v>
      </c>
    </row>
    <row r="16" spans="1:16" hidden="1" x14ac:dyDescent="0.25">
      <c r="A16" s="22">
        <v>43747</v>
      </c>
      <c r="B16" t="s">
        <v>288</v>
      </c>
      <c r="C16" t="s">
        <v>17</v>
      </c>
      <c r="D16">
        <v>100</v>
      </c>
      <c r="E16">
        <v>26</v>
      </c>
      <c r="F16">
        <v>2600</v>
      </c>
      <c r="G16" t="s">
        <v>1491</v>
      </c>
      <c r="H16">
        <v>2019189</v>
      </c>
      <c r="I16" t="s">
        <v>19</v>
      </c>
      <c r="J16" t="s">
        <v>20</v>
      </c>
      <c r="K16" t="s">
        <v>25</v>
      </c>
      <c r="L16">
        <v>2.72</v>
      </c>
      <c r="M16">
        <v>0.06</v>
      </c>
      <c r="N16">
        <v>29.1</v>
      </c>
      <c r="O16">
        <v>41.31</v>
      </c>
      <c r="P16">
        <v>73.187200000000004</v>
      </c>
    </row>
    <row r="17" spans="1:16" hidden="1" x14ac:dyDescent="0.25">
      <c r="A17" s="22">
        <v>43745</v>
      </c>
      <c r="B17" t="s">
        <v>268</v>
      </c>
      <c r="C17" t="s">
        <v>17</v>
      </c>
      <c r="D17">
        <v>500</v>
      </c>
      <c r="E17">
        <v>250.55</v>
      </c>
      <c r="F17">
        <v>125275</v>
      </c>
      <c r="G17" t="s">
        <v>1492</v>
      </c>
      <c r="H17">
        <v>2019188</v>
      </c>
      <c r="I17" t="s">
        <v>19</v>
      </c>
      <c r="J17" t="s">
        <v>20</v>
      </c>
      <c r="K17" t="s">
        <v>25</v>
      </c>
      <c r="L17">
        <v>0</v>
      </c>
      <c r="M17">
        <v>2.76</v>
      </c>
      <c r="N17">
        <v>0</v>
      </c>
      <c r="O17">
        <v>74.41</v>
      </c>
      <c r="P17">
        <v>77.1661</v>
      </c>
    </row>
    <row r="18" spans="1:16" hidden="1" x14ac:dyDescent="0.25">
      <c r="A18" s="22">
        <v>43745</v>
      </c>
      <c r="B18" t="s">
        <v>268</v>
      </c>
      <c r="C18" t="s">
        <v>17</v>
      </c>
      <c r="D18">
        <v>500</v>
      </c>
      <c r="E18">
        <v>248</v>
      </c>
      <c r="F18">
        <v>124000</v>
      </c>
      <c r="G18" t="s">
        <v>1493</v>
      </c>
      <c r="H18">
        <v>2019188</v>
      </c>
      <c r="I18" t="s">
        <v>19</v>
      </c>
      <c r="J18" t="s">
        <v>20</v>
      </c>
      <c r="K18" t="s">
        <v>25</v>
      </c>
      <c r="L18">
        <v>0</v>
      </c>
      <c r="M18">
        <v>2.73</v>
      </c>
      <c r="N18">
        <v>15.3</v>
      </c>
      <c r="O18">
        <v>73.650000000000006</v>
      </c>
      <c r="P18">
        <v>91.677999999999997</v>
      </c>
    </row>
    <row r="19" spans="1:16" hidden="1" x14ac:dyDescent="0.25">
      <c r="A19" s="22">
        <v>43745</v>
      </c>
      <c r="B19" t="s">
        <v>268</v>
      </c>
      <c r="C19" t="s">
        <v>23</v>
      </c>
      <c r="D19">
        <v>1000</v>
      </c>
      <c r="E19">
        <v>250</v>
      </c>
      <c r="F19">
        <v>250000</v>
      </c>
      <c r="G19" t="s">
        <v>1494</v>
      </c>
      <c r="H19">
        <v>2019188</v>
      </c>
      <c r="I19" t="s">
        <v>19</v>
      </c>
      <c r="J19" t="s">
        <v>20</v>
      </c>
      <c r="K19" t="s">
        <v>25</v>
      </c>
      <c r="L19">
        <v>62.6</v>
      </c>
      <c r="M19">
        <v>5.5</v>
      </c>
      <c r="N19">
        <v>0</v>
      </c>
      <c r="O19">
        <v>148.5</v>
      </c>
      <c r="P19">
        <v>216.60059999999999</v>
      </c>
    </row>
    <row r="20" spans="1:16" hidden="1" x14ac:dyDescent="0.25">
      <c r="A20" s="22">
        <v>43745</v>
      </c>
      <c r="B20" t="s">
        <v>288</v>
      </c>
      <c r="C20" t="s">
        <v>17</v>
      </c>
      <c r="D20">
        <v>50</v>
      </c>
      <c r="E20">
        <v>28</v>
      </c>
      <c r="F20">
        <v>1400</v>
      </c>
      <c r="G20" t="s">
        <v>1495</v>
      </c>
      <c r="H20">
        <v>2019188</v>
      </c>
      <c r="I20" t="s">
        <v>19</v>
      </c>
      <c r="J20" t="s">
        <v>20</v>
      </c>
      <c r="K20" t="s">
        <v>25</v>
      </c>
      <c r="L20">
        <v>1.4</v>
      </c>
      <c r="M20">
        <v>0.03</v>
      </c>
      <c r="N20">
        <v>0</v>
      </c>
      <c r="O20">
        <v>41.31</v>
      </c>
      <c r="P20">
        <v>42.7408</v>
      </c>
    </row>
    <row r="21" spans="1:16" hidden="1" x14ac:dyDescent="0.25">
      <c r="A21" s="22">
        <v>43742</v>
      </c>
      <c r="B21" t="s">
        <v>268</v>
      </c>
      <c r="C21" t="s">
        <v>23</v>
      </c>
      <c r="D21">
        <v>1000</v>
      </c>
      <c r="E21">
        <v>259.10000000000002</v>
      </c>
      <c r="F21">
        <v>259100</v>
      </c>
      <c r="G21" t="s">
        <v>1496</v>
      </c>
      <c r="H21">
        <v>2019187</v>
      </c>
      <c r="I21" t="s">
        <v>19</v>
      </c>
      <c r="J21" t="s">
        <v>20</v>
      </c>
      <c r="K21" t="s">
        <v>25</v>
      </c>
      <c r="L21">
        <v>64</v>
      </c>
      <c r="M21">
        <v>5.7</v>
      </c>
      <c r="N21">
        <v>15.6</v>
      </c>
      <c r="O21">
        <v>153.88999999999999</v>
      </c>
      <c r="P21">
        <v>239.1902</v>
      </c>
    </row>
    <row r="22" spans="1:16" hidden="1" x14ac:dyDescent="0.25">
      <c r="A22" s="22">
        <v>43742</v>
      </c>
      <c r="B22" t="s">
        <v>268</v>
      </c>
      <c r="C22" t="s">
        <v>17</v>
      </c>
      <c r="D22">
        <v>1000</v>
      </c>
      <c r="E22">
        <v>252</v>
      </c>
      <c r="F22">
        <v>252000</v>
      </c>
      <c r="G22" t="s">
        <v>1497</v>
      </c>
      <c r="H22">
        <v>2019187</v>
      </c>
      <c r="I22" t="s">
        <v>19</v>
      </c>
      <c r="J22" t="s">
        <v>20</v>
      </c>
      <c r="K22" t="s">
        <v>25</v>
      </c>
      <c r="L22">
        <v>0</v>
      </c>
      <c r="M22">
        <v>5.54</v>
      </c>
      <c r="N22">
        <v>0</v>
      </c>
      <c r="O22">
        <v>149.69</v>
      </c>
      <c r="P22">
        <v>155.23400000000001</v>
      </c>
    </row>
    <row r="23" spans="1:16" hidden="1" x14ac:dyDescent="0.25">
      <c r="A23" s="22">
        <v>43741</v>
      </c>
      <c r="B23" t="s">
        <v>268</v>
      </c>
      <c r="C23" t="s">
        <v>17</v>
      </c>
      <c r="D23">
        <v>500</v>
      </c>
      <c r="E23">
        <v>257</v>
      </c>
      <c r="F23">
        <v>128500</v>
      </c>
      <c r="G23" t="s">
        <v>1498</v>
      </c>
      <c r="H23">
        <v>2019186</v>
      </c>
      <c r="I23" t="s">
        <v>19</v>
      </c>
      <c r="J23" t="s">
        <v>20</v>
      </c>
      <c r="K23" t="s">
        <v>25</v>
      </c>
      <c r="L23">
        <v>0</v>
      </c>
      <c r="M23">
        <v>2.83</v>
      </c>
      <c r="N23">
        <v>0</v>
      </c>
      <c r="O23">
        <v>76.319999999999993</v>
      </c>
      <c r="P23">
        <v>79.147000000000006</v>
      </c>
    </row>
    <row r="24" spans="1:16" hidden="1" x14ac:dyDescent="0.25">
      <c r="A24" s="22">
        <v>43741</v>
      </c>
      <c r="B24" t="s">
        <v>268</v>
      </c>
      <c r="C24" t="s">
        <v>23</v>
      </c>
      <c r="D24">
        <v>500</v>
      </c>
      <c r="E24">
        <v>259.5</v>
      </c>
      <c r="F24">
        <v>129750</v>
      </c>
      <c r="G24" t="s">
        <v>1499</v>
      </c>
      <c r="H24">
        <v>2019186</v>
      </c>
      <c r="I24" t="s">
        <v>19</v>
      </c>
      <c r="J24" t="s">
        <v>20</v>
      </c>
      <c r="K24" t="s">
        <v>25</v>
      </c>
      <c r="L24">
        <v>31.94</v>
      </c>
      <c r="M24">
        <v>2.85</v>
      </c>
      <c r="N24">
        <v>0</v>
      </c>
      <c r="O24">
        <v>77.069999999999993</v>
      </c>
      <c r="P24">
        <v>111.86450000000001</v>
      </c>
    </row>
    <row r="25" spans="1:16" hidden="1" x14ac:dyDescent="0.25">
      <c r="A25" s="22">
        <v>43741</v>
      </c>
      <c r="B25" t="s">
        <v>268</v>
      </c>
      <c r="C25" t="s">
        <v>17</v>
      </c>
      <c r="D25">
        <v>500</v>
      </c>
      <c r="E25">
        <v>257</v>
      </c>
      <c r="F25">
        <v>128500</v>
      </c>
      <c r="G25" t="s">
        <v>1500</v>
      </c>
      <c r="H25">
        <v>2019186</v>
      </c>
      <c r="I25" t="s">
        <v>19</v>
      </c>
      <c r="J25" t="s">
        <v>20</v>
      </c>
      <c r="K25" t="s">
        <v>25</v>
      </c>
      <c r="L25">
        <v>0</v>
      </c>
      <c r="M25">
        <v>2.83</v>
      </c>
      <c r="N25">
        <v>0</v>
      </c>
      <c r="O25">
        <v>76.319999999999993</v>
      </c>
      <c r="P25">
        <v>79.147000000000006</v>
      </c>
    </row>
    <row r="26" spans="1:16" hidden="1" x14ac:dyDescent="0.25">
      <c r="A26" s="22">
        <v>43741</v>
      </c>
      <c r="B26" t="s">
        <v>268</v>
      </c>
      <c r="C26" t="s">
        <v>17</v>
      </c>
      <c r="D26">
        <v>500</v>
      </c>
      <c r="E26">
        <v>252</v>
      </c>
      <c r="F26">
        <v>126000</v>
      </c>
      <c r="G26" t="s">
        <v>1501</v>
      </c>
      <c r="H26">
        <v>2019186</v>
      </c>
      <c r="I26" t="s">
        <v>19</v>
      </c>
      <c r="J26" t="s">
        <v>20</v>
      </c>
      <c r="K26" t="s">
        <v>25</v>
      </c>
      <c r="L26">
        <v>0</v>
      </c>
      <c r="M26">
        <v>2.77</v>
      </c>
      <c r="N26">
        <v>23.1</v>
      </c>
      <c r="O26">
        <v>74.84</v>
      </c>
      <c r="P26">
        <v>100.712</v>
      </c>
    </row>
    <row r="27" spans="1:16" hidden="1" x14ac:dyDescent="0.25">
      <c r="A27" s="22">
        <v>43741</v>
      </c>
      <c r="B27" t="s">
        <v>268</v>
      </c>
      <c r="C27" t="s">
        <v>23</v>
      </c>
      <c r="D27">
        <v>1000</v>
      </c>
      <c r="E27">
        <v>253.7</v>
      </c>
      <c r="F27">
        <v>253700</v>
      </c>
      <c r="G27" t="s">
        <v>1502</v>
      </c>
      <c r="H27">
        <v>2019186</v>
      </c>
      <c r="I27" t="s">
        <v>19</v>
      </c>
      <c r="J27" t="s">
        <v>20</v>
      </c>
      <c r="K27" t="s">
        <v>25</v>
      </c>
      <c r="L27">
        <v>64.06</v>
      </c>
      <c r="M27">
        <v>5.58</v>
      </c>
      <c r="N27">
        <v>0</v>
      </c>
      <c r="O27">
        <v>150.69</v>
      </c>
      <c r="P27">
        <v>220.3314</v>
      </c>
    </row>
    <row r="28" spans="1:16" hidden="1" x14ac:dyDescent="0.25">
      <c r="A28" s="22">
        <v>43739</v>
      </c>
      <c r="B28" t="s">
        <v>1086</v>
      </c>
      <c r="C28" t="s">
        <v>23</v>
      </c>
      <c r="D28">
        <v>500</v>
      </c>
      <c r="E28">
        <v>56.15</v>
      </c>
      <c r="F28">
        <v>28075</v>
      </c>
      <c r="G28" t="s">
        <v>1503</v>
      </c>
      <c r="H28">
        <v>2019185</v>
      </c>
      <c r="I28" t="s">
        <v>19</v>
      </c>
      <c r="J28" t="s">
        <v>20</v>
      </c>
      <c r="K28" t="s">
        <v>25</v>
      </c>
      <c r="L28">
        <v>7.43</v>
      </c>
      <c r="M28">
        <v>0.62</v>
      </c>
      <c r="N28">
        <v>2.1</v>
      </c>
      <c r="O28">
        <v>29.62</v>
      </c>
      <c r="P28">
        <v>39.767699999999998</v>
      </c>
    </row>
    <row r="29" spans="1:16" hidden="1" x14ac:dyDescent="0.25">
      <c r="A29" s="22">
        <v>43739</v>
      </c>
      <c r="B29" t="s">
        <v>1086</v>
      </c>
      <c r="C29" t="s">
        <v>17</v>
      </c>
      <c r="D29">
        <v>500</v>
      </c>
      <c r="E29">
        <v>54.8</v>
      </c>
      <c r="F29">
        <v>27400</v>
      </c>
      <c r="G29" t="s">
        <v>1504</v>
      </c>
      <c r="H29">
        <v>2019185</v>
      </c>
      <c r="I29" t="s">
        <v>19</v>
      </c>
      <c r="J29" t="s">
        <v>20</v>
      </c>
      <c r="K29" t="s">
        <v>25</v>
      </c>
      <c r="L29">
        <v>0</v>
      </c>
      <c r="M29">
        <v>0.6</v>
      </c>
      <c r="N29">
        <v>0</v>
      </c>
      <c r="O29">
        <v>29.61</v>
      </c>
      <c r="P29">
        <v>30.212800000000001</v>
      </c>
    </row>
    <row r="30" spans="1:16" hidden="1" x14ac:dyDescent="0.25">
      <c r="A30" s="22">
        <v>43739</v>
      </c>
      <c r="B30" t="s">
        <v>288</v>
      </c>
      <c r="C30" t="s">
        <v>17</v>
      </c>
      <c r="D30">
        <v>50</v>
      </c>
      <c r="E30">
        <v>30</v>
      </c>
      <c r="F30">
        <v>1500</v>
      </c>
      <c r="G30" t="s">
        <v>1505</v>
      </c>
      <c r="H30">
        <v>2019185</v>
      </c>
      <c r="I30" t="s">
        <v>19</v>
      </c>
      <c r="J30" t="s">
        <v>20</v>
      </c>
      <c r="K30" t="s">
        <v>25</v>
      </c>
      <c r="L30">
        <v>1.5</v>
      </c>
      <c r="M30">
        <v>0.03</v>
      </c>
      <c r="N30">
        <v>0</v>
      </c>
      <c r="O30">
        <v>41.31</v>
      </c>
      <c r="P30">
        <v>42.843000000000004</v>
      </c>
    </row>
    <row r="31" spans="1:16" hidden="1" x14ac:dyDescent="0.25">
      <c r="A31" s="22">
        <v>43739</v>
      </c>
      <c r="B31" t="s">
        <v>659</v>
      </c>
      <c r="C31" t="s">
        <v>17</v>
      </c>
      <c r="D31">
        <v>100</v>
      </c>
      <c r="E31">
        <v>31</v>
      </c>
      <c r="F31">
        <v>3100</v>
      </c>
      <c r="G31" t="s">
        <v>1506</v>
      </c>
      <c r="H31">
        <v>2019185</v>
      </c>
      <c r="I31" t="s">
        <v>19</v>
      </c>
      <c r="J31" t="s">
        <v>20</v>
      </c>
      <c r="K31" t="s">
        <v>25</v>
      </c>
      <c r="L31">
        <v>3.26</v>
      </c>
      <c r="M31">
        <v>7.0000000000000007E-2</v>
      </c>
      <c r="N31">
        <v>0</v>
      </c>
      <c r="O31">
        <v>41.31</v>
      </c>
      <c r="P31">
        <v>44.638199999999998</v>
      </c>
    </row>
    <row r="32" spans="1:16" hidden="1" x14ac:dyDescent="0.25">
      <c r="A32" s="22">
        <v>43739</v>
      </c>
      <c r="B32" t="s">
        <v>659</v>
      </c>
      <c r="C32" t="s">
        <v>17</v>
      </c>
      <c r="D32">
        <v>25</v>
      </c>
      <c r="E32">
        <v>39</v>
      </c>
      <c r="F32">
        <v>975</v>
      </c>
      <c r="G32" t="s">
        <v>1507</v>
      </c>
      <c r="H32">
        <v>2019185</v>
      </c>
      <c r="I32" t="s">
        <v>19</v>
      </c>
      <c r="J32" t="s">
        <v>20</v>
      </c>
      <c r="K32" t="s">
        <v>25</v>
      </c>
      <c r="L32">
        <v>0.82</v>
      </c>
      <c r="M32">
        <v>0.02</v>
      </c>
      <c r="N32">
        <v>0</v>
      </c>
      <c r="O32">
        <v>28.77</v>
      </c>
      <c r="P32">
        <v>29.611499999999999</v>
      </c>
    </row>
    <row r="33" spans="1:16" hidden="1" x14ac:dyDescent="0.25">
      <c r="A33" s="22">
        <v>43738</v>
      </c>
      <c r="B33" t="s">
        <v>659</v>
      </c>
      <c r="C33" t="s">
        <v>17</v>
      </c>
      <c r="D33">
        <v>30</v>
      </c>
      <c r="E33">
        <v>44.5</v>
      </c>
      <c r="F33">
        <v>1335</v>
      </c>
      <c r="G33" t="s">
        <v>1508</v>
      </c>
      <c r="H33">
        <v>2019184</v>
      </c>
      <c r="I33" t="s">
        <v>19</v>
      </c>
      <c r="J33" t="s">
        <v>20</v>
      </c>
      <c r="K33" t="s">
        <v>25</v>
      </c>
      <c r="L33">
        <v>1</v>
      </c>
      <c r="M33">
        <v>0.03</v>
      </c>
      <c r="N33">
        <v>0.3</v>
      </c>
      <c r="O33">
        <v>39.39</v>
      </c>
      <c r="P33">
        <v>40.719299999999997</v>
      </c>
    </row>
    <row r="34" spans="1:16" hidden="1" x14ac:dyDescent="0.25">
      <c r="A34" s="22">
        <v>43735</v>
      </c>
      <c r="B34" t="s">
        <v>659</v>
      </c>
      <c r="C34" t="s">
        <v>17</v>
      </c>
      <c r="D34">
        <v>10</v>
      </c>
      <c r="E34">
        <v>49</v>
      </c>
      <c r="F34">
        <v>490</v>
      </c>
      <c r="G34" t="s">
        <v>1509</v>
      </c>
      <c r="H34">
        <v>2019183</v>
      </c>
      <c r="I34" t="s">
        <v>19</v>
      </c>
      <c r="J34" t="s">
        <v>20</v>
      </c>
      <c r="K34" t="s">
        <v>25</v>
      </c>
      <c r="L34">
        <v>0</v>
      </c>
      <c r="M34">
        <v>0.01</v>
      </c>
      <c r="N34">
        <v>0.3</v>
      </c>
      <c r="O34">
        <v>14.46</v>
      </c>
      <c r="P34">
        <v>14.770799999999999</v>
      </c>
    </row>
    <row r="35" spans="1:16" hidden="1" x14ac:dyDescent="0.25">
      <c r="A35" s="22">
        <v>43733</v>
      </c>
      <c r="B35" t="s">
        <v>282</v>
      </c>
      <c r="C35" t="s">
        <v>17</v>
      </c>
      <c r="D35">
        <v>10</v>
      </c>
      <c r="E35">
        <v>218</v>
      </c>
      <c r="F35">
        <v>2180</v>
      </c>
      <c r="G35" t="s">
        <v>1510</v>
      </c>
      <c r="H35">
        <v>2019181</v>
      </c>
      <c r="I35" t="s">
        <v>19</v>
      </c>
      <c r="J35" t="s">
        <v>20</v>
      </c>
      <c r="K35" t="s">
        <v>25</v>
      </c>
      <c r="L35">
        <v>2</v>
      </c>
      <c r="M35">
        <v>0.05</v>
      </c>
      <c r="N35">
        <v>0.3</v>
      </c>
      <c r="O35">
        <v>41.31</v>
      </c>
      <c r="P35">
        <v>43.658000000000001</v>
      </c>
    </row>
    <row r="36" spans="1:16" hidden="1" x14ac:dyDescent="0.25">
      <c r="A36" s="22">
        <v>43732</v>
      </c>
      <c r="B36" t="s">
        <v>226</v>
      </c>
      <c r="C36" t="s">
        <v>23</v>
      </c>
      <c r="D36">
        <v>100</v>
      </c>
      <c r="E36">
        <v>276.26</v>
      </c>
      <c r="F36">
        <v>27625.9</v>
      </c>
      <c r="G36" t="s">
        <v>1511</v>
      </c>
      <c r="H36">
        <v>2019180</v>
      </c>
      <c r="I36" t="s">
        <v>19</v>
      </c>
      <c r="J36" t="s">
        <v>20</v>
      </c>
      <c r="K36" t="s">
        <v>25</v>
      </c>
      <c r="L36">
        <v>7</v>
      </c>
      <c r="M36">
        <v>0.61</v>
      </c>
      <c r="N36">
        <v>1.8</v>
      </c>
      <c r="O36">
        <v>29.62</v>
      </c>
      <c r="P36">
        <v>39.027799999999999</v>
      </c>
    </row>
    <row r="37" spans="1:16" hidden="1" x14ac:dyDescent="0.25">
      <c r="A37" s="22">
        <v>43732</v>
      </c>
      <c r="B37" t="s">
        <v>226</v>
      </c>
      <c r="C37" t="s">
        <v>17</v>
      </c>
      <c r="D37">
        <v>100</v>
      </c>
      <c r="E37">
        <v>274</v>
      </c>
      <c r="F37">
        <v>27400</v>
      </c>
      <c r="G37" t="s">
        <v>1512</v>
      </c>
      <c r="H37">
        <v>2019180</v>
      </c>
      <c r="I37" t="s">
        <v>19</v>
      </c>
      <c r="J37" t="s">
        <v>20</v>
      </c>
      <c r="K37" t="s">
        <v>25</v>
      </c>
      <c r="L37">
        <v>0</v>
      </c>
      <c r="M37">
        <v>0.6</v>
      </c>
      <c r="N37">
        <v>0</v>
      </c>
      <c r="O37">
        <v>29.61</v>
      </c>
      <c r="P37">
        <v>30.212800000000001</v>
      </c>
    </row>
    <row r="38" spans="1:16" hidden="1" x14ac:dyDescent="0.25">
      <c r="A38" s="22">
        <v>43732</v>
      </c>
      <c r="B38" t="s">
        <v>288</v>
      </c>
      <c r="C38" t="s">
        <v>17</v>
      </c>
      <c r="D38">
        <v>100</v>
      </c>
      <c r="E38">
        <v>30</v>
      </c>
      <c r="F38">
        <v>3000</v>
      </c>
      <c r="G38" t="s">
        <v>1513</v>
      </c>
      <c r="H38">
        <v>2019180</v>
      </c>
      <c r="I38" t="s">
        <v>19</v>
      </c>
      <c r="J38" t="s">
        <v>20</v>
      </c>
      <c r="K38" t="s">
        <v>25</v>
      </c>
      <c r="L38">
        <v>3</v>
      </c>
      <c r="M38">
        <v>7.0000000000000007E-2</v>
      </c>
      <c r="N38">
        <v>0</v>
      </c>
      <c r="O38">
        <v>41.31</v>
      </c>
      <c r="P38">
        <v>44.375999999999998</v>
      </c>
    </row>
    <row r="39" spans="1:16" hidden="1" x14ac:dyDescent="0.25">
      <c r="A39" s="22">
        <v>43727</v>
      </c>
      <c r="B39" t="s">
        <v>659</v>
      </c>
      <c r="C39" t="s">
        <v>17</v>
      </c>
      <c r="D39">
        <v>10</v>
      </c>
      <c r="E39">
        <v>54</v>
      </c>
      <c r="F39">
        <v>540</v>
      </c>
      <c r="G39" t="s">
        <v>1514</v>
      </c>
      <c r="H39">
        <v>2019177</v>
      </c>
      <c r="I39" t="s">
        <v>19</v>
      </c>
      <c r="J39" t="s">
        <v>20</v>
      </c>
      <c r="K39" t="s">
        <v>25</v>
      </c>
      <c r="L39">
        <v>1</v>
      </c>
      <c r="M39">
        <v>0.01</v>
      </c>
      <c r="N39">
        <v>0.3</v>
      </c>
      <c r="O39">
        <v>15.93</v>
      </c>
      <c r="P39">
        <v>17.241800000000001</v>
      </c>
    </row>
    <row r="40" spans="1:16" hidden="1" x14ac:dyDescent="0.25">
      <c r="A40" s="22">
        <v>43711</v>
      </c>
      <c r="B40" t="s">
        <v>1086</v>
      </c>
      <c r="C40" t="s">
        <v>17</v>
      </c>
      <c r="D40">
        <v>1000</v>
      </c>
      <c r="E40">
        <v>55</v>
      </c>
      <c r="F40">
        <v>55000</v>
      </c>
      <c r="G40" t="s">
        <v>1515</v>
      </c>
      <c r="H40">
        <v>2019166</v>
      </c>
      <c r="I40" t="s">
        <v>19</v>
      </c>
      <c r="J40" t="s">
        <v>20</v>
      </c>
      <c r="K40" t="s">
        <v>25</v>
      </c>
      <c r="L40">
        <v>0</v>
      </c>
      <c r="M40">
        <v>1.21</v>
      </c>
      <c r="N40">
        <v>0</v>
      </c>
      <c r="O40">
        <v>32.67</v>
      </c>
      <c r="P40">
        <v>33.880000000000003</v>
      </c>
    </row>
    <row r="41" spans="1:16" hidden="1" x14ac:dyDescent="0.25">
      <c r="A41" s="22">
        <v>43711</v>
      </c>
      <c r="B41" t="s">
        <v>1086</v>
      </c>
      <c r="C41" t="s">
        <v>23</v>
      </c>
      <c r="D41">
        <v>1000</v>
      </c>
      <c r="E41">
        <v>55.1</v>
      </c>
      <c r="F41">
        <v>55100</v>
      </c>
      <c r="G41" t="s">
        <v>1516</v>
      </c>
      <c r="H41">
        <v>2019166</v>
      </c>
      <c r="I41" t="s">
        <v>19</v>
      </c>
      <c r="J41" t="s">
        <v>20</v>
      </c>
      <c r="K41" t="s">
        <v>25</v>
      </c>
      <c r="L41">
        <v>13.3</v>
      </c>
      <c r="M41">
        <v>1.21</v>
      </c>
      <c r="N41">
        <v>0</v>
      </c>
      <c r="O41">
        <v>32.729999999999997</v>
      </c>
      <c r="P41">
        <v>47.242199999999997</v>
      </c>
    </row>
    <row r="42" spans="1:16" hidden="1" x14ac:dyDescent="0.25">
      <c r="A42" s="22">
        <v>43711</v>
      </c>
      <c r="B42" t="s">
        <v>1086</v>
      </c>
      <c r="C42" t="s">
        <v>17</v>
      </c>
      <c r="D42">
        <v>1000</v>
      </c>
      <c r="E42">
        <v>55</v>
      </c>
      <c r="F42">
        <v>55000</v>
      </c>
      <c r="G42" t="s">
        <v>1517</v>
      </c>
      <c r="H42">
        <v>2019166</v>
      </c>
      <c r="I42" t="s">
        <v>19</v>
      </c>
      <c r="J42" t="s">
        <v>20</v>
      </c>
      <c r="K42" t="s">
        <v>25</v>
      </c>
      <c r="L42">
        <v>0</v>
      </c>
      <c r="M42">
        <v>1.21</v>
      </c>
      <c r="N42">
        <v>6.6</v>
      </c>
      <c r="O42">
        <v>32.659999999999997</v>
      </c>
      <c r="P42">
        <v>40.47</v>
      </c>
    </row>
    <row r="43" spans="1:16" hidden="1" x14ac:dyDescent="0.25">
      <c r="A43" s="22">
        <v>43711</v>
      </c>
      <c r="B43" t="s">
        <v>1086</v>
      </c>
      <c r="C43" t="s">
        <v>23</v>
      </c>
      <c r="D43">
        <v>1000</v>
      </c>
      <c r="E43">
        <v>54.1</v>
      </c>
      <c r="F43">
        <v>54100</v>
      </c>
      <c r="G43" t="s">
        <v>1518</v>
      </c>
      <c r="H43">
        <v>2019166</v>
      </c>
      <c r="I43" t="s">
        <v>19</v>
      </c>
      <c r="J43" t="s">
        <v>20</v>
      </c>
      <c r="K43" t="s">
        <v>25</v>
      </c>
      <c r="L43">
        <v>13.7</v>
      </c>
      <c r="M43">
        <v>1.19</v>
      </c>
      <c r="N43">
        <v>0</v>
      </c>
      <c r="O43">
        <v>32.130000000000003</v>
      </c>
      <c r="P43">
        <v>47.020200000000003</v>
      </c>
    </row>
    <row r="44" spans="1:16" hidden="1" x14ac:dyDescent="0.25">
      <c r="A44" s="22">
        <v>43707</v>
      </c>
      <c r="B44" t="s">
        <v>659</v>
      </c>
      <c r="C44" t="s">
        <v>17</v>
      </c>
      <c r="D44">
        <v>1000</v>
      </c>
      <c r="E44">
        <v>57.7</v>
      </c>
      <c r="F44">
        <v>57700</v>
      </c>
      <c r="G44" t="s">
        <v>1519</v>
      </c>
      <c r="H44">
        <v>2019165</v>
      </c>
      <c r="I44" t="s">
        <v>19</v>
      </c>
      <c r="J44" t="s">
        <v>20</v>
      </c>
      <c r="K44" t="s">
        <v>25</v>
      </c>
      <c r="L44">
        <v>0</v>
      </c>
      <c r="M44">
        <v>1.27</v>
      </c>
      <c r="N44">
        <v>3.6</v>
      </c>
      <c r="O44">
        <v>34.270000000000003</v>
      </c>
      <c r="P44">
        <v>39.139400000000002</v>
      </c>
    </row>
    <row r="45" spans="1:16" hidden="1" x14ac:dyDescent="0.25">
      <c r="A45" s="22">
        <v>43707</v>
      </c>
      <c r="B45" t="s">
        <v>659</v>
      </c>
      <c r="C45" t="s">
        <v>23</v>
      </c>
      <c r="D45">
        <v>1000</v>
      </c>
      <c r="E45">
        <v>58</v>
      </c>
      <c r="F45">
        <v>58000</v>
      </c>
      <c r="G45" t="s">
        <v>1520</v>
      </c>
      <c r="H45">
        <v>2019165</v>
      </c>
      <c r="I45" t="s">
        <v>19</v>
      </c>
      <c r="J45" t="s">
        <v>20</v>
      </c>
      <c r="K45" t="s">
        <v>25</v>
      </c>
      <c r="L45">
        <v>14</v>
      </c>
      <c r="M45">
        <v>1.28</v>
      </c>
      <c r="N45">
        <v>0</v>
      </c>
      <c r="O45">
        <v>34.450000000000003</v>
      </c>
      <c r="P45">
        <v>49.725999999999999</v>
      </c>
    </row>
    <row r="46" spans="1:16" hidden="1" x14ac:dyDescent="0.25">
      <c r="A46" s="22">
        <v>43704</v>
      </c>
      <c r="B46" t="s">
        <v>1086</v>
      </c>
      <c r="C46" t="s">
        <v>23</v>
      </c>
      <c r="D46">
        <v>5000</v>
      </c>
      <c r="E46">
        <v>55.6</v>
      </c>
      <c r="F46">
        <v>278000</v>
      </c>
      <c r="G46" t="s">
        <v>1521</v>
      </c>
      <c r="H46">
        <v>2019162</v>
      </c>
      <c r="I46" t="s">
        <v>19</v>
      </c>
      <c r="J46" t="s">
        <v>20</v>
      </c>
      <c r="K46" t="s">
        <v>25</v>
      </c>
      <c r="L46">
        <v>72.010000000000005</v>
      </c>
      <c r="M46">
        <v>6.12</v>
      </c>
      <c r="N46">
        <v>0</v>
      </c>
      <c r="O46">
        <v>165.12</v>
      </c>
      <c r="P46">
        <v>243.24600000000001</v>
      </c>
    </row>
    <row r="47" spans="1:16" hidden="1" x14ac:dyDescent="0.25">
      <c r="A47" s="22">
        <v>43704</v>
      </c>
      <c r="B47" t="s">
        <v>1086</v>
      </c>
      <c r="C47" t="s">
        <v>17</v>
      </c>
      <c r="D47">
        <v>2621</v>
      </c>
      <c r="E47">
        <v>57.4</v>
      </c>
      <c r="F47">
        <v>150445.4</v>
      </c>
      <c r="G47" t="s">
        <v>1522</v>
      </c>
      <c r="H47">
        <v>2019162</v>
      </c>
      <c r="I47" t="s">
        <v>19</v>
      </c>
      <c r="J47" t="s">
        <v>20</v>
      </c>
      <c r="K47" t="s">
        <v>25</v>
      </c>
      <c r="L47">
        <v>0</v>
      </c>
      <c r="M47">
        <v>3.31</v>
      </c>
      <c r="N47">
        <v>34.799999999999997</v>
      </c>
      <c r="O47">
        <v>89.33</v>
      </c>
      <c r="P47">
        <v>127.44</v>
      </c>
    </row>
    <row r="48" spans="1:16" hidden="1" x14ac:dyDescent="0.25">
      <c r="A48" s="22">
        <v>43704</v>
      </c>
      <c r="B48" t="s">
        <v>1086</v>
      </c>
      <c r="C48" t="s">
        <v>17</v>
      </c>
      <c r="D48">
        <v>2379</v>
      </c>
      <c r="E48">
        <v>57.45</v>
      </c>
      <c r="F48">
        <v>136673.54999999999</v>
      </c>
      <c r="G48" t="s">
        <v>1523</v>
      </c>
      <c r="H48">
        <v>2019162</v>
      </c>
      <c r="I48" t="s">
        <v>19</v>
      </c>
      <c r="J48" t="s">
        <v>20</v>
      </c>
      <c r="K48" t="s">
        <v>25</v>
      </c>
      <c r="L48">
        <v>0</v>
      </c>
      <c r="M48">
        <v>3.01</v>
      </c>
      <c r="N48">
        <v>0</v>
      </c>
      <c r="O48">
        <v>81.180000000000007</v>
      </c>
      <c r="P48">
        <v>84.186800000000005</v>
      </c>
    </row>
    <row r="49" spans="1:16" hidden="1" x14ac:dyDescent="0.25">
      <c r="A49" s="22">
        <v>43704</v>
      </c>
      <c r="B49" t="s">
        <v>1086</v>
      </c>
      <c r="C49" t="s">
        <v>23</v>
      </c>
      <c r="D49">
        <v>5000</v>
      </c>
      <c r="E49">
        <v>58.4</v>
      </c>
      <c r="F49">
        <v>292000</v>
      </c>
      <c r="G49" t="s">
        <v>1524</v>
      </c>
      <c r="H49">
        <v>2019162</v>
      </c>
      <c r="I49" t="s">
        <v>19</v>
      </c>
      <c r="J49" t="s">
        <v>20</v>
      </c>
      <c r="K49" t="s">
        <v>25</v>
      </c>
      <c r="L49">
        <v>71.989999999999995</v>
      </c>
      <c r="M49">
        <v>6.42</v>
      </c>
      <c r="N49">
        <v>0</v>
      </c>
      <c r="O49">
        <v>173.43</v>
      </c>
      <c r="P49">
        <v>251.84399999999999</v>
      </c>
    </row>
    <row r="50" spans="1:16" hidden="1" x14ac:dyDescent="0.25">
      <c r="A50" s="22">
        <v>43704</v>
      </c>
      <c r="B50" t="s">
        <v>1086</v>
      </c>
      <c r="C50" t="s">
        <v>17</v>
      </c>
      <c r="D50">
        <v>5000</v>
      </c>
      <c r="E50">
        <v>59</v>
      </c>
      <c r="F50">
        <v>295000</v>
      </c>
      <c r="G50" t="s">
        <v>1525</v>
      </c>
      <c r="H50">
        <v>2019162</v>
      </c>
      <c r="I50" t="s">
        <v>19</v>
      </c>
      <c r="J50" t="s">
        <v>20</v>
      </c>
      <c r="K50" t="s">
        <v>25</v>
      </c>
      <c r="L50">
        <v>0</v>
      </c>
      <c r="M50">
        <v>6.49</v>
      </c>
      <c r="N50">
        <v>0</v>
      </c>
      <c r="O50">
        <v>175.22</v>
      </c>
      <c r="P50">
        <v>181.71</v>
      </c>
    </row>
    <row r="51" spans="1:16" hidden="1" x14ac:dyDescent="0.25">
      <c r="A51" s="22">
        <v>43703</v>
      </c>
      <c r="B51" t="s">
        <v>1156</v>
      </c>
      <c r="C51" t="s">
        <v>23</v>
      </c>
      <c r="D51">
        <v>1000</v>
      </c>
      <c r="E51">
        <v>60.25</v>
      </c>
      <c r="F51">
        <v>60250</v>
      </c>
      <c r="G51" t="s">
        <v>1460</v>
      </c>
      <c r="H51">
        <v>2019161</v>
      </c>
      <c r="I51" t="s">
        <v>19</v>
      </c>
      <c r="J51" t="s">
        <v>20</v>
      </c>
      <c r="K51" t="s">
        <v>25</v>
      </c>
      <c r="L51">
        <v>15.2</v>
      </c>
      <c r="M51">
        <v>1.33</v>
      </c>
      <c r="N51">
        <v>0</v>
      </c>
      <c r="O51">
        <v>35.78</v>
      </c>
      <c r="P51">
        <v>52.305500000000002</v>
      </c>
    </row>
    <row r="52" spans="1:16" hidden="1" x14ac:dyDescent="0.25">
      <c r="A52" s="22">
        <v>43703</v>
      </c>
      <c r="B52" t="s">
        <v>1156</v>
      </c>
      <c r="C52" t="s">
        <v>23</v>
      </c>
      <c r="D52">
        <v>680</v>
      </c>
      <c r="E52">
        <v>61</v>
      </c>
      <c r="F52">
        <v>41480</v>
      </c>
      <c r="G52" t="s">
        <v>1461</v>
      </c>
      <c r="H52">
        <v>2019161</v>
      </c>
      <c r="I52" t="s">
        <v>19</v>
      </c>
      <c r="J52" t="s">
        <v>20</v>
      </c>
      <c r="K52" t="s">
        <v>25</v>
      </c>
      <c r="L52">
        <v>10.33</v>
      </c>
      <c r="M52">
        <v>0.91</v>
      </c>
      <c r="N52">
        <v>0</v>
      </c>
      <c r="O52">
        <v>29.66</v>
      </c>
      <c r="P52">
        <v>40.9026</v>
      </c>
    </row>
    <row r="53" spans="1:16" hidden="1" x14ac:dyDescent="0.25">
      <c r="A53" s="22">
        <v>43703</v>
      </c>
      <c r="B53" t="s">
        <v>1086</v>
      </c>
      <c r="C53" t="s">
        <v>23</v>
      </c>
      <c r="D53">
        <v>2500</v>
      </c>
      <c r="E53">
        <v>54.5</v>
      </c>
      <c r="F53">
        <v>136250</v>
      </c>
      <c r="G53" t="s">
        <v>1462</v>
      </c>
      <c r="H53">
        <v>2019161</v>
      </c>
      <c r="I53" t="s">
        <v>19</v>
      </c>
      <c r="J53" t="s">
        <v>20</v>
      </c>
      <c r="K53" t="s">
        <v>25</v>
      </c>
      <c r="L53">
        <v>34.340000000000003</v>
      </c>
      <c r="M53">
        <v>3</v>
      </c>
      <c r="N53">
        <v>0</v>
      </c>
      <c r="O53">
        <v>80.930000000000007</v>
      </c>
      <c r="P53">
        <v>118.26730000000001</v>
      </c>
    </row>
    <row r="54" spans="1:16" hidden="1" x14ac:dyDescent="0.25">
      <c r="A54" s="22">
        <v>43703</v>
      </c>
      <c r="B54" t="s">
        <v>1086</v>
      </c>
      <c r="C54" t="s">
        <v>17</v>
      </c>
      <c r="D54">
        <v>2500</v>
      </c>
      <c r="E54">
        <v>53.7</v>
      </c>
      <c r="F54">
        <v>134250</v>
      </c>
      <c r="G54" t="s">
        <v>1463</v>
      </c>
      <c r="H54">
        <v>2019161</v>
      </c>
      <c r="I54" t="s">
        <v>19</v>
      </c>
      <c r="J54" t="s">
        <v>20</v>
      </c>
      <c r="K54" t="s">
        <v>25</v>
      </c>
      <c r="L54">
        <v>0</v>
      </c>
      <c r="M54">
        <v>2.95</v>
      </c>
      <c r="N54">
        <v>46.2</v>
      </c>
      <c r="O54">
        <v>79.73</v>
      </c>
      <c r="P54">
        <v>128.8836</v>
      </c>
    </row>
    <row r="55" spans="1:16" hidden="1" x14ac:dyDescent="0.25">
      <c r="A55" s="22">
        <v>43703</v>
      </c>
      <c r="B55" t="s">
        <v>1156</v>
      </c>
      <c r="C55" t="s">
        <v>17</v>
      </c>
      <c r="D55">
        <v>1680</v>
      </c>
      <c r="E55">
        <v>60.7</v>
      </c>
      <c r="F55">
        <v>101976</v>
      </c>
      <c r="G55" t="s">
        <v>1464</v>
      </c>
      <c r="H55">
        <v>2019161</v>
      </c>
      <c r="I55" t="s">
        <v>19</v>
      </c>
      <c r="J55" t="s">
        <v>20</v>
      </c>
      <c r="K55" t="s">
        <v>25</v>
      </c>
      <c r="L55">
        <v>0</v>
      </c>
      <c r="M55">
        <v>2.2400000000000002</v>
      </c>
      <c r="N55">
        <v>0</v>
      </c>
      <c r="O55">
        <v>60.57</v>
      </c>
      <c r="P55">
        <v>62.813400000000001</v>
      </c>
    </row>
    <row r="56" spans="1:16" hidden="1" x14ac:dyDescent="0.25">
      <c r="A56" s="22">
        <v>43703</v>
      </c>
      <c r="B56" t="s">
        <v>1156</v>
      </c>
      <c r="C56" t="s">
        <v>17</v>
      </c>
      <c r="D56">
        <v>2500</v>
      </c>
      <c r="E56">
        <v>60.6</v>
      </c>
      <c r="F56">
        <v>151500</v>
      </c>
      <c r="G56" t="s">
        <v>1465</v>
      </c>
      <c r="H56">
        <v>2019161</v>
      </c>
      <c r="I56" t="s">
        <v>19</v>
      </c>
      <c r="J56" t="s">
        <v>20</v>
      </c>
      <c r="K56" t="s">
        <v>25</v>
      </c>
      <c r="L56">
        <v>0</v>
      </c>
      <c r="M56">
        <v>3.33</v>
      </c>
      <c r="N56">
        <v>0</v>
      </c>
      <c r="O56">
        <v>89.99</v>
      </c>
      <c r="P56">
        <v>93.322999999999993</v>
      </c>
    </row>
    <row r="57" spans="1:16" hidden="1" x14ac:dyDescent="0.25">
      <c r="A57" s="22">
        <v>43703</v>
      </c>
      <c r="B57" t="s">
        <v>1156</v>
      </c>
      <c r="C57" t="s">
        <v>17</v>
      </c>
      <c r="D57">
        <v>1000</v>
      </c>
      <c r="E57">
        <v>60.1</v>
      </c>
      <c r="F57">
        <v>60100</v>
      </c>
      <c r="G57" t="s">
        <v>1466</v>
      </c>
      <c r="H57">
        <v>2019161</v>
      </c>
      <c r="I57" t="s">
        <v>19</v>
      </c>
      <c r="J57" t="s">
        <v>20</v>
      </c>
      <c r="K57" t="s">
        <v>25</v>
      </c>
      <c r="L57">
        <v>0</v>
      </c>
      <c r="M57">
        <v>1.32</v>
      </c>
      <c r="N57">
        <v>0</v>
      </c>
      <c r="O57">
        <v>35.700000000000003</v>
      </c>
      <c r="P57">
        <v>37.022199999999998</v>
      </c>
    </row>
    <row r="58" spans="1:16" hidden="1" x14ac:dyDescent="0.25">
      <c r="A58" s="22">
        <v>43703</v>
      </c>
      <c r="B58" t="s">
        <v>1156</v>
      </c>
      <c r="C58" t="s">
        <v>23</v>
      </c>
      <c r="D58">
        <v>3500</v>
      </c>
      <c r="E58">
        <v>61.25</v>
      </c>
      <c r="F58">
        <v>214375</v>
      </c>
      <c r="G58" t="s">
        <v>1467</v>
      </c>
      <c r="H58">
        <v>2019161</v>
      </c>
      <c r="I58" t="s">
        <v>19</v>
      </c>
      <c r="J58" t="s">
        <v>20</v>
      </c>
      <c r="K58" t="s">
        <v>25</v>
      </c>
      <c r="L58">
        <v>52.83</v>
      </c>
      <c r="M58">
        <v>4.72</v>
      </c>
      <c r="N58">
        <v>0</v>
      </c>
      <c r="O58">
        <v>127.33</v>
      </c>
      <c r="P58">
        <v>184.87629999999999</v>
      </c>
    </row>
    <row r="59" spans="1:16" hidden="1" x14ac:dyDescent="0.25">
      <c r="A59" s="22">
        <v>43703</v>
      </c>
      <c r="B59" t="s">
        <v>1086</v>
      </c>
      <c r="C59" t="s">
        <v>23</v>
      </c>
      <c r="D59">
        <v>1000</v>
      </c>
      <c r="E59">
        <v>53.5</v>
      </c>
      <c r="F59">
        <v>53500</v>
      </c>
      <c r="G59" t="s">
        <v>1468</v>
      </c>
      <c r="H59">
        <v>2019161</v>
      </c>
      <c r="I59" t="s">
        <v>19</v>
      </c>
      <c r="J59" t="s">
        <v>20</v>
      </c>
      <c r="K59" t="s">
        <v>25</v>
      </c>
      <c r="L59">
        <v>13.74</v>
      </c>
      <c r="M59">
        <v>1.18</v>
      </c>
      <c r="N59">
        <v>0</v>
      </c>
      <c r="O59">
        <v>31.78</v>
      </c>
      <c r="P59">
        <v>46.697000000000003</v>
      </c>
    </row>
    <row r="60" spans="1:16" hidden="1" x14ac:dyDescent="0.25">
      <c r="A60" s="22">
        <v>43703</v>
      </c>
      <c r="B60" t="s">
        <v>1086</v>
      </c>
      <c r="C60" t="s">
        <v>23</v>
      </c>
      <c r="D60">
        <v>1000</v>
      </c>
      <c r="E60">
        <v>54.5</v>
      </c>
      <c r="F60">
        <v>54500</v>
      </c>
      <c r="G60" t="s">
        <v>1469</v>
      </c>
      <c r="H60">
        <v>2019161</v>
      </c>
      <c r="I60" t="s">
        <v>19</v>
      </c>
      <c r="J60" t="s">
        <v>20</v>
      </c>
      <c r="K60" t="s">
        <v>25</v>
      </c>
      <c r="L60">
        <v>13.74</v>
      </c>
      <c r="M60">
        <v>1.2</v>
      </c>
      <c r="N60">
        <v>0</v>
      </c>
      <c r="O60">
        <v>32.369999999999997</v>
      </c>
      <c r="P60">
        <v>47.308999999999997</v>
      </c>
    </row>
    <row r="61" spans="1:16" hidden="1" x14ac:dyDescent="0.25">
      <c r="A61" s="22">
        <v>43703</v>
      </c>
      <c r="B61" t="s">
        <v>1329</v>
      </c>
      <c r="C61" t="s">
        <v>17</v>
      </c>
      <c r="D61">
        <v>200</v>
      </c>
      <c r="E61">
        <v>193.5</v>
      </c>
      <c r="F61">
        <v>38700</v>
      </c>
      <c r="G61" t="s">
        <v>1470</v>
      </c>
      <c r="H61">
        <v>2019161</v>
      </c>
      <c r="I61" t="s">
        <v>19</v>
      </c>
      <c r="J61" t="s">
        <v>20</v>
      </c>
      <c r="K61" t="s">
        <v>25</v>
      </c>
      <c r="L61">
        <v>0</v>
      </c>
      <c r="M61">
        <v>0.85</v>
      </c>
      <c r="N61">
        <v>0</v>
      </c>
      <c r="O61">
        <v>29.65</v>
      </c>
      <c r="P61">
        <v>30.5014</v>
      </c>
    </row>
    <row r="62" spans="1:16" hidden="1" x14ac:dyDescent="0.25">
      <c r="A62" s="22">
        <v>43703</v>
      </c>
      <c r="B62" t="s">
        <v>1086</v>
      </c>
      <c r="C62" t="s">
        <v>23</v>
      </c>
      <c r="D62">
        <v>1000</v>
      </c>
      <c r="E62">
        <v>55</v>
      </c>
      <c r="F62">
        <v>55000</v>
      </c>
      <c r="G62" t="s">
        <v>1471</v>
      </c>
      <c r="H62">
        <v>2019161</v>
      </c>
      <c r="I62" t="s">
        <v>19</v>
      </c>
      <c r="J62" t="s">
        <v>20</v>
      </c>
      <c r="K62" t="s">
        <v>25</v>
      </c>
      <c r="L62">
        <v>13.74</v>
      </c>
      <c r="M62">
        <v>1.21</v>
      </c>
      <c r="N62">
        <v>0</v>
      </c>
      <c r="O62">
        <v>32.67</v>
      </c>
      <c r="P62">
        <v>47.62</v>
      </c>
    </row>
    <row r="63" spans="1:16" hidden="1" x14ac:dyDescent="0.25">
      <c r="A63" s="22">
        <v>43703</v>
      </c>
      <c r="B63" t="s">
        <v>1086</v>
      </c>
      <c r="C63" t="s">
        <v>23</v>
      </c>
      <c r="D63">
        <v>1000</v>
      </c>
      <c r="E63">
        <v>55.5</v>
      </c>
      <c r="F63">
        <v>55500</v>
      </c>
      <c r="G63" t="s">
        <v>1472</v>
      </c>
      <c r="H63">
        <v>2019161</v>
      </c>
      <c r="I63" t="s">
        <v>19</v>
      </c>
      <c r="J63" t="s">
        <v>20</v>
      </c>
      <c r="K63" t="s">
        <v>25</v>
      </c>
      <c r="L63">
        <v>13.74</v>
      </c>
      <c r="M63">
        <v>1.22</v>
      </c>
      <c r="N63">
        <v>0</v>
      </c>
      <c r="O63">
        <v>32.96</v>
      </c>
      <c r="P63">
        <v>47.920999999999999</v>
      </c>
    </row>
    <row r="64" spans="1:16" hidden="1" x14ac:dyDescent="0.25">
      <c r="A64" s="22">
        <v>43703</v>
      </c>
      <c r="B64" t="s">
        <v>1086</v>
      </c>
      <c r="C64" t="s">
        <v>23</v>
      </c>
      <c r="D64">
        <v>1000</v>
      </c>
      <c r="E64">
        <v>55.7</v>
      </c>
      <c r="F64">
        <v>55700</v>
      </c>
      <c r="G64" t="s">
        <v>1473</v>
      </c>
      <c r="H64">
        <v>2019161</v>
      </c>
      <c r="I64" t="s">
        <v>19</v>
      </c>
      <c r="J64" t="s">
        <v>20</v>
      </c>
      <c r="K64" t="s">
        <v>25</v>
      </c>
      <c r="L64">
        <v>13.74</v>
      </c>
      <c r="M64">
        <v>1.23</v>
      </c>
      <c r="N64">
        <v>0</v>
      </c>
      <c r="O64">
        <v>33.08</v>
      </c>
      <c r="P64">
        <v>48.045400000000001</v>
      </c>
    </row>
    <row r="65" spans="1:16" hidden="1" x14ac:dyDescent="0.25">
      <c r="A65" s="22">
        <v>43703</v>
      </c>
      <c r="B65" t="s">
        <v>1086</v>
      </c>
      <c r="C65" t="s">
        <v>17</v>
      </c>
      <c r="D65">
        <v>5000</v>
      </c>
      <c r="E65">
        <v>55.9</v>
      </c>
      <c r="F65">
        <v>279500</v>
      </c>
      <c r="G65" t="s">
        <v>1474</v>
      </c>
      <c r="H65">
        <v>2019161</v>
      </c>
      <c r="I65" t="s">
        <v>19</v>
      </c>
      <c r="J65" t="s">
        <v>20</v>
      </c>
      <c r="K65" t="s">
        <v>25</v>
      </c>
      <c r="L65">
        <v>0</v>
      </c>
      <c r="M65">
        <v>6.15</v>
      </c>
      <c r="N65">
        <v>0</v>
      </c>
      <c r="O65">
        <v>166.01</v>
      </c>
      <c r="P65">
        <v>172.15899999999999</v>
      </c>
    </row>
    <row r="66" spans="1:16" hidden="1" x14ac:dyDescent="0.25">
      <c r="A66" s="22">
        <v>43703</v>
      </c>
      <c r="B66" t="s">
        <v>1329</v>
      </c>
      <c r="C66" t="s">
        <v>23</v>
      </c>
      <c r="D66">
        <v>200</v>
      </c>
      <c r="E66">
        <v>191.14</v>
      </c>
      <c r="F66">
        <v>38228.6</v>
      </c>
      <c r="G66" t="s">
        <v>1475</v>
      </c>
      <c r="H66">
        <v>2019161</v>
      </c>
      <c r="I66" t="s">
        <v>19</v>
      </c>
      <c r="J66" t="s">
        <v>20</v>
      </c>
      <c r="K66" t="s">
        <v>25</v>
      </c>
      <c r="L66">
        <v>9.6199999999999992</v>
      </c>
      <c r="M66">
        <v>0.84</v>
      </c>
      <c r="N66">
        <v>0</v>
      </c>
      <c r="O66">
        <v>29.65</v>
      </c>
      <c r="P66">
        <v>40.110999999999997</v>
      </c>
    </row>
    <row r="67" spans="1:16" hidden="1" x14ac:dyDescent="0.25">
      <c r="A67" s="22">
        <v>43700</v>
      </c>
      <c r="B67" t="s">
        <v>1156</v>
      </c>
      <c r="C67" t="s">
        <v>17</v>
      </c>
      <c r="D67">
        <v>5000</v>
      </c>
      <c r="E67">
        <v>59.1</v>
      </c>
      <c r="F67">
        <v>295500</v>
      </c>
      <c r="G67" t="s">
        <v>1316</v>
      </c>
      <c r="H67">
        <v>2019160</v>
      </c>
      <c r="I67" t="s">
        <v>19</v>
      </c>
      <c r="J67" t="s">
        <v>20</v>
      </c>
      <c r="K67" t="s">
        <v>25</v>
      </c>
      <c r="L67">
        <v>0</v>
      </c>
      <c r="M67">
        <v>6.5</v>
      </c>
      <c r="N67">
        <v>0</v>
      </c>
      <c r="O67">
        <v>175.51</v>
      </c>
      <c r="P67">
        <v>182.011</v>
      </c>
    </row>
    <row r="68" spans="1:16" hidden="1" x14ac:dyDescent="0.25">
      <c r="A68" s="22">
        <v>43700</v>
      </c>
      <c r="B68" t="s">
        <v>1086</v>
      </c>
      <c r="C68" t="s">
        <v>23</v>
      </c>
      <c r="D68">
        <v>1000</v>
      </c>
      <c r="E68">
        <v>52.6</v>
      </c>
      <c r="F68">
        <v>52600</v>
      </c>
      <c r="G68" t="s">
        <v>1317</v>
      </c>
      <c r="H68">
        <v>2019160</v>
      </c>
      <c r="I68" t="s">
        <v>19</v>
      </c>
      <c r="J68" t="s">
        <v>20</v>
      </c>
      <c r="K68" t="s">
        <v>25</v>
      </c>
      <c r="L68">
        <v>13.87</v>
      </c>
      <c r="M68">
        <v>1.1599999999999999</v>
      </c>
      <c r="N68">
        <v>0</v>
      </c>
      <c r="O68">
        <v>31.24</v>
      </c>
      <c r="P68">
        <v>46.267200000000003</v>
      </c>
    </row>
    <row r="69" spans="1:16" hidden="1" x14ac:dyDescent="0.25">
      <c r="A69" s="22">
        <v>43700</v>
      </c>
      <c r="B69" t="s">
        <v>1086</v>
      </c>
      <c r="C69" t="s">
        <v>17</v>
      </c>
      <c r="D69">
        <v>522</v>
      </c>
      <c r="E69">
        <v>54.25</v>
      </c>
      <c r="F69">
        <v>28318.5</v>
      </c>
      <c r="G69" t="s">
        <v>1318</v>
      </c>
      <c r="H69">
        <v>2019160</v>
      </c>
      <c r="I69" t="s">
        <v>19</v>
      </c>
      <c r="J69" t="s">
        <v>20</v>
      </c>
      <c r="K69" t="s">
        <v>25</v>
      </c>
      <c r="L69">
        <v>0</v>
      </c>
      <c r="M69">
        <v>0.62</v>
      </c>
      <c r="N69">
        <v>21</v>
      </c>
      <c r="O69">
        <v>29.61</v>
      </c>
      <c r="P69">
        <v>51.232999999999997</v>
      </c>
    </row>
    <row r="70" spans="1:16" hidden="1" x14ac:dyDescent="0.25">
      <c r="A70" s="22">
        <v>43700</v>
      </c>
      <c r="B70" t="s">
        <v>1086</v>
      </c>
      <c r="C70" t="s">
        <v>17</v>
      </c>
      <c r="D70">
        <v>478</v>
      </c>
      <c r="E70">
        <v>54.45</v>
      </c>
      <c r="F70">
        <v>26027.1</v>
      </c>
      <c r="G70" t="s">
        <v>1319</v>
      </c>
      <c r="H70">
        <v>2019160</v>
      </c>
      <c r="I70" t="s">
        <v>19</v>
      </c>
      <c r="J70" t="s">
        <v>20</v>
      </c>
      <c r="K70" t="s">
        <v>25</v>
      </c>
      <c r="L70">
        <v>0</v>
      </c>
      <c r="M70">
        <v>0.56999999999999995</v>
      </c>
      <c r="N70">
        <v>0</v>
      </c>
      <c r="O70">
        <v>29.6</v>
      </c>
      <c r="P70">
        <v>30.172599999999999</v>
      </c>
    </row>
    <row r="71" spans="1:16" hidden="1" x14ac:dyDescent="0.25">
      <c r="A71" s="22">
        <v>43700</v>
      </c>
      <c r="B71" t="s">
        <v>1156</v>
      </c>
      <c r="C71" t="s">
        <v>23</v>
      </c>
      <c r="D71">
        <v>1029</v>
      </c>
      <c r="E71">
        <v>59.7</v>
      </c>
      <c r="F71">
        <v>61431.3</v>
      </c>
      <c r="G71" t="s">
        <v>1320</v>
      </c>
      <c r="H71">
        <v>2019160</v>
      </c>
      <c r="I71" t="s">
        <v>19</v>
      </c>
      <c r="J71" t="s">
        <v>20</v>
      </c>
      <c r="K71" t="s">
        <v>25</v>
      </c>
      <c r="L71">
        <v>15.26</v>
      </c>
      <c r="M71">
        <v>1.35</v>
      </c>
      <c r="N71">
        <v>0</v>
      </c>
      <c r="O71">
        <v>36.49</v>
      </c>
      <c r="P71">
        <v>53.101599999999998</v>
      </c>
    </row>
    <row r="72" spans="1:16" hidden="1" x14ac:dyDescent="0.25">
      <c r="A72" s="22">
        <v>43700</v>
      </c>
      <c r="B72" t="s">
        <v>1156</v>
      </c>
      <c r="C72" t="s">
        <v>23</v>
      </c>
      <c r="D72">
        <v>3971</v>
      </c>
      <c r="E72">
        <v>59.45</v>
      </c>
      <c r="F72">
        <v>236075.95</v>
      </c>
      <c r="G72" t="s">
        <v>1321</v>
      </c>
      <c r="H72">
        <v>2019160</v>
      </c>
      <c r="I72" t="s">
        <v>19</v>
      </c>
      <c r="J72" t="s">
        <v>20</v>
      </c>
      <c r="K72" t="s">
        <v>25</v>
      </c>
      <c r="L72">
        <v>58.87</v>
      </c>
      <c r="M72">
        <v>5.19</v>
      </c>
      <c r="N72">
        <v>0</v>
      </c>
      <c r="O72">
        <v>140.22</v>
      </c>
      <c r="P72">
        <v>204.28360000000001</v>
      </c>
    </row>
    <row r="73" spans="1:16" hidden="1" x14ac:dyDescent="0.25">
      <c r="A73" s="22">
        <v>43699</v>
      </c>
      <c r="B73" t="s">
        <v>1147</v>
      </c>
      <c r="C73" t="s">
        <v>23</v>
      </c>
      <c r="D73">
        <v>1250</v>
      </c>
      <c r="E73">
        <v>184.5</v>
      </c>
      <c r="F73">
        <v>230625</v>
      </c>
      <c r="G73" t="s">
        <v>1322</v>
      </c>
      <c r="H73">
        <v>2019159</v>
      </c>
      <c r="I73" t="s">
        <v>19</v>
      </c>
      <c r="J73" t="s">
        <v>1526</v>
      </c>
      <c r="K73" t="s">
        <v>25</v>
      </c>
      <c r="L73">
        <v>231</v>
      </c>
      <c r="M73">
        <v>5.07</v>
      </c>
      <c r="N73">
        <v>7.2</v>
      </c>
      <c r="O73">
        <v>1497.67</v>
      </c>
      <c r="P73">
        <v>1740.9437</v>
      </c>
    </row>
    <row r="74" spans="1:16" hidden="1" x14ac:dyDescent="0.25">
      <c r="A74" s="22">
        <v>43698</v>
      </c>
      <c r="B74" t="s">
        <v>1156</v>
      </c>
      <c r="C74" t="s">
        <v>17</v>
      </c>
      <c r="D74">
        <v>5000</v>
      </c>
      <c r="E74">
        <v>61.35</v>
      </c>
      <c r="F74">
        <v>306750</v>
      </c>
      <c r="G74" t="s">
        <v>1323</v>
      </c>
      <c r="H74">
        <v>2019158</v>
      </c>
      <c r="I74" t="s">
        <v>19</v>
      </c>
      <c r="J74" t="s">
        <v>20</v>
      </c>
      <c r="K74" t="s">
        <v>25</v>
      </c>
      <c r="L74">
        <v>0</v>
      </c>
      <c r="M74">
        <v>6.75</v>
      </c>
      <c r="N74">
        <v>0</v>
      </c>
      <c r="O74">
        <v>182.2</v>
      </c>
      <c r="P74">
        <v>188.9486</v>
      </c>
    </row>
    <row r="75" spans="1:16" hidden="1" x14ac:dyDescent="0.25">
      <c r="A75" s="22">
        <v>43698</v>
      </c>
      <c r="B75" t="s">
        <v>1156</v>
      </c>
      <c r="C75" t="s">
        <v>23</v>
      </c>
      <c r="D75">
        <v>5000</v>
      </c>
      <c r="E75">
        <v>62</v>
      </c>
      <c r="F75">
        <v>310000</v>
      </c>
      <c r="G75" t="s">
        <v>1324</v>
      </c>
      <c r="H75">
        <v>2019158</v>
      </c>
      <c r="I75" t="s">
        <v>19</v>
      </c>
      <c r="J75" t="s">
        <v>20</v>
      </c>
      <c r="K75" t="s">
        <v>25</v>
      </c>
      <c r="L75">
        <v>77.09</v>
      </c>
      <c r="M75">
        <v>6.82</v>
      </c>
      <c r="N75">
        <v>0</v>
      </c>
      <c r="O75">
        <v>184.16</v>
      </c>
      <c r="P75">
        <v>268.07040000000001</v>
      </c>
    </row>
    <row r="76" spans="1:16" hidden="1" x14ac:dyDescent="0.25">
      <c r="A76" s="22">
        <v>43698</v>
      </c>
      <c r="B76" t="s">
        <v>1147</v>
      </c>
      <c r="C76" t="s">
        <v>17</v>
      </c>
      <c r="D76">
        <v>500</v>
      </c>
      <c r="E76">
        <v>192.4</v>
      </c>
      <c r="F76">
        <v>96200</v>
      </c>
      <c r="G76" t="s">
        <v>1325</v>
      </c>
      <c r="H76">
        <v>2019158</v>
      </c>
      <c r="I76" t="s">
        <v>19</v>
      </c>
      <c r="J76" t="s">
        <v>1526</v>
      </c>
      <c r="K76" t="s">
        <v>25</v>
      </c>
      <c r="L76">
        <v>0</v>
      </c>
      <c r="M76">
        <v>2.12</v>
      </c>
      <c r="N76">
        <v>0</v>
      </c>
      <c r="O76">
        <v>57.14</v>
      </c>
      <c r="P76">
        <v>59.256399999999999</v>
      </c>
    </row>
    <row r="77" spans="1:16" hidden="1" x14ac:dyDescent="0.25">
      <c r="A77" s="22">
        <v>43698</v>
      </c>
      <c r="B77" t="s">
        <v>1147</v>
      </c>
      <c r="C77" t="s">
        <v>23</v>
      </c>
      <c r="D77">
        <v>500</v>
      </c>
      <c r="E77">
        <v>195</v>
      </c>
      <c r="F77">
        <v>97500</v>
      </c>
      <c r="G77" t="s">
        <v>1326</v>
      </c>
      <c r="H77">
        <v>2019158</v>
      </c>
      <c r="I77" t="s">
        <v>19</v>
      </c>
      <c r="J77" t="s">
        <v>1526</v>
      </c>
      <c r="K77" t="s">
        <v>25</v>
      </c>
      <c r="L77">
        <v>23.93</v>
      </c>
      <c r="M77">
        <v>2.15</v>
      </c>
      <c r="N77">
        <v>0</v>
      </c>
      <c r="O77">
        <v>57.91</v>
      </c>
      <c r="P77">
        <v>83.984999999999999</v>
      </c>
    </row>
    <row r="78" spans="1:16" hidden="1" x14ac:dyDescent="0.25">
      <c r="A78" s="22">
        <v>43698</v>
      </c>
      <c r="B78" t="s">
        <v>981</v>
      </c>
      <c r="C78" t="s">
        <v>17</v>
      </c>
      <c r="D78">
        <v>10</v>
      </c>
      <c r="E78">
        <v>122.5</v>
      </c>
      <c r="F78">
        <v>1225</v>
      </c>
      <c r="G78" t="s">
        <v>1327</v>
      </c>
      <c r="H78">
        <v>2019158</v>
      </c>
      <c r="I78" t="s">
        <v>19</v>
      </c>
      <c r="J78" t="s">
        <v>20</v>
      </c>
      <c r="K78" t="s">
        <v>25</v>
      </c>
      <c r="L78">
        <v>1.23</v>
      </c>
      <c r="M78">
        <v>0.03</v>
      </c>
      <c r="N78">
        <v>0</v>
      </c>
      <c r="O78">
        <v>36.14</v>
      </c>
      <c r="P78">
        <v>37.396999999999998</v>
      </c>
    </row>
    <row r="79" spans="1:16" hidden="1" x14ac:dyDescent="0.25">
      <c r="A79" s="22">
        <v>43698</v>
      </c>
      <c r="B79" t="s">
        <v>288</v>
      </c>
      <c r="C79" t="s">
        <v>17</v>
      </c>
      <c r="D79">
        <v>25</v>
      </c>
      <c r="E79">
        <v>32</v>
      </c>
      <c r="F79">
        <v>800</v>
      </c>
      <c r="G79" t="s">
        <v>1328</v>
      </c>
      <c r="H79">
        <v>2019158</v>
      </c>
      <c r="I79" t="s">
        <v>19</v>
      </c>
      <c r="J79" t="s">
        <v>20</v>
      </c>
      <c r="K79" t="s">
        <v>25</v>
      </c>
      <c r="L79">
        <v>0.41</v>
      </c>
      <c r="M79">
        <v>0.02</v>
      </c>
      <c r="N79">
        <v>35.1</v>
      </c>
      <c r="O79">
        <v>23.6</v>
      </c>
      <c r="P79">
        <v>59.127600000000001</v>
      </c>
    </row>
    <row r="80" spans="1:16" hidden="1" x14ac:dyDescent="0.25">
      <c r="A80" s="22">
        <v>43698</v>
      </c>
      <c r="B80" t="s">
        <v>1329</v>
      </c>
      <c r="C80" t="s">
        <v>23</v>
      </c>
      <c r="D80">
        <v>100</v>
      </c>
      <c r="E80">
        <v>180</v>
      </c>
      <c r="F80">
        <v>18000</v>
      </c>
      <c r="G80" t="s">
        <v>1330</v>
      </c>
      <c r="H80">
        <v>2019158</v>
      </c>
      <c r="I80" t="s">
        <v>19</v>
      </c>
      <c r="J80" t="s">
        <v>20</v>
      </c>
      <c r="K80" t="s">
        <v>25</v>
      </c>
      <c r="L80">
        <v>4.6500000000000004</v>
      </c>
      <c r="M80">
        <v>0.4</v>
      </c>
      <c r="N80">
        <v>0</v>
      </c>
      <c r="O80">
        <v>29.57</v>
      </c>
      <c r="P80">
        <v>34.616</v>
      </c>
    </row>
    <row r="81" spans="1:16" hidden="1" x14ac:dyDescent="0.25">
      <c r="A81" s="22">
        <v>43698</v>
      </c>
      <c r="B81" t="s">
        <v>1147</v>
      </c>
      <c r="C81" t="s">
        <v>17</v>
      </c>
      <c r="D81">
        <v>250</v>
      </c>
      <c r="E81">
        <v>192</v>
      </c>
      <c r="F81">
        <v>48000</v>
      </c>
      <c r="G81" t="s">
        <v>1331</v>
      </c>
      <c r="H81">
        <v>2019158</v>
      </c>
      <c r="I81" t="s">
        <v>19</v>
      </c>
      <c r="J81" t="s">
        <v>1526</v>
      </c>
      <c r="K81" t="s">
        <v>25</v>
      </c>
      <c r="L81">
        <v>47.86</v>
      </c>
      <c r="M81">
        <v>1.06</v>
      </c>
      <c r="N81">
        <v>0</v>
      </c>
      <c r="O81">
        <v>311.70999999999998</v>
      </c>
      <c r="P81">
        <v>360.62599999999998</v>
      </c>
    </row>
    <row r="82" spans="1:16" hidden="1" x14ac:dyDescent="0.25">
      <c r="A82" s="22">
        <v>43698</v>
      </c>
      <c r="B82" t="s">
        <v>1329</v>
      </c>
      <c r="C82" t="s">
        <v>17</v>
      </c>
      <c r="D82">
        <v>300</v>
      </c>
      <c r="E82">
        <v>187</v>
      </c>
      <c r="F82">
        <v>56100</v>
      </c>
      <c r="G82" t="s">
        <v>1332</v>
      </c>
      <c r="H82">
        <v>2019158</v>
      </c>
      <c r="I82" t="s">
        <v>19</v>
      </c>
      <c r="J82" t="s">
        <v>20</v>
      </c>
      <c r="K82" t="s">
        <v>25</v>
      </c>
      <c r="L82">
        <v>0</v>
      </c>
      <c r="M82">
        <v>1.23</v>
      </c>
      <c r="N82">
        <v>0</v>
      </c>
      <c r="O82">
        <v>33.32</v>
      </c>
      <c r="P82">
        <v>34.554200000000002</v>
      </c>
    </row>
    <row r="83" spans="1:16" hidden="1" x14ac:dyDescent="0.25">
      <c r="A83" s="22">
        <v>43698</v>
      </c>
      <c r="B83" t="s">
        <v>1147</v>
      </c>
      <c r="C83" t="s">
        <v>17</v>
      </c>
      <c r="D83">
        <v>1000</v>
      </c>
      <c r="E83">
        <v>189</v>
      </c>
      <c r="F83">
        <v>189000</v>
      </c>
      <c r="G83" t="s">
        <v>1333</v>
      </c>
      <c r="H83">
        <v>2019158</v>
      </c>
      <c r="I83" t="s">
        <v>19</v>
      </c>
      <c r="J83" t="s">
        <v>1526</v>
      </c>
      <c r="K83" t="s">
        <v>25</v>
      </c>
      <c r="L83">
        <v>191.42</v>
      </c>
      <c r="M83">
        <v>4.16</v>
      </c>
      <c r="N83">
        <v>0</v>
      </c>
      <c r="O83">
        <v>1227.3599999999999</v>
      </c>
      <c r="P83">
        <v>1422.9380000000001</v>
      </c>
    </row>
    <row r="84" spans="1:16" hidden="1" x14ac:dyDescent="0.25">
      <c r="A84" s="22">
        <v>43698</v>
      </c>
      <c r="B84" t="s">
        <v>1329</v>
      </c>
      <c r="C84" t="s">
        <v>23</v>
      </c>
      <c r="D84">
        <v>200</v>
      </c>
      <c r="E84">
        <v>188</v>
      </c>
      <c r="F84">
        <v>37600</v>
      </c>
      <c r="G84" t="s">
        <v>1334</v>
      </c>
      <c r="H84">
        <v>2019158</v>
      </c>
      <c r="I84" t="s">
        <v>19</v>
      </c>
      <c r="J84" t="s">
        <v>20</v>
      </c>
      <c r="K84" t="s">
        <v>25</v>
      </c>
      <c r="L84">
        <v>9.31</v>
      </c>
      <c r="M84">
        <v>0.83</v>
      </c>
      <c r="N84">
        <v>0</v>
      </c>
      <c r="O84">
        <v>29.65</v>
      </c>
      <c r="P84">
        <v>39.787199999999999</v>
      </c>
    </row>
    <row r="85" spans="1:16" hidden="1" x14ac:dyDescent="0.25">
      <c r="A85" s="22">
        <v>43698</v>
      </c>
      <c r="B85" t="s">
        <v>16</v>
      </c>
      <c r="C85" t="s">
        <v>17</v>
      </c>
      <c r="D85">
        <v>100</v>
      </c>
      <c r="E85">
        <v>21</v>
      </c>
      <c r="F85">
        <v>2100</v>
      </c>
      <c r="G85" t="s">
        <v>1335</v>
      </c>
      <c r="H85">
        <v>2019158</v>
      </c>
      <c r="I85" t="s">
        <v>19</v>
      </c>
      <c r="J85" t="s">
        <v>20</v>
      </c>
      <c r="K85" t="s">
        <v>25</v>
      </c>
      <c r="L85">
        <v>2.1</v>
      </c>
      <c r="M85">
        <v>0.05</v>
      </c>
      <c r="N85">
        <v>0</v>
      </c>
      <c r="O85">
        <v>41.31</v>
      </c>
      <c r="P85">
        <v>43.456200000000003</v>
      </c>
    </row>
    <row r="86" spans="1:16" hidden="1" x14ac:dyDescent="0.25">
      <c r="A86" s="22">
        <v>43697</v>
      </c>
      <c r="B86" t="s">
        <v>1156</v>
      </c>
      <c r="C86" t="s">
        <v>17</v>
      </c>
      <c r="D86">
        <v>1000</v>
      </c>
      <c r="E86">
        <v>62.25</v>
      </c>
      <c r="F86">
        <v>62250</v>
      </c>
      <c r="G86" t="s">
        <v>1336</v>
      </c>
      <c r="H86">
        <v>2019157</v>
      </c>
      <c r="I86" t="s">
        <v>19</v>
      </c>
      <c r="J86" t="s">
        <v>20</v>
      </c>
      <c r="K86" t="s">
        <v>25</v>
      </c>
      <c r="L86">
        <v>0</v>
      </c>
      <c r="M86">
        <v>1.37</v>
      </c>
      <c r="N86">
        <v>0</v>
      </c>
      <c r="O86">
        <v>36.97</v>
      </c>
      <c r="P86">
        <v>38.339599999999997</v>
      </c>
    </row>
    <row r="87" spans="1:16" hidden="1" x14ac:dyDescent="0.25">
      <c r="A87" s="22">
        <v>43697</v>
      </c>
      <c r="B87" t="s">
        <v>1156</v>
      </c>
      <c r="C87" t="s">
        <v>17</v>
      </c>
      <c r="D87">
        <v>1500</v>
      </c>
      <c r="E87">
        <v>61.9</v>
      </c>
      <c r="F87">
        <v>92850</v>
      </c>
      <c r="G87" t="s">
        <v>1337</v>
      </c>
      <c r="H87">
        <v>2019157</v>
      </c>
      <c r="I87" t="s">
        <v>19</v>
      </c>
      <c r="J87" t="s">
        <v>20</v>
      </c>
      <c r="K87" t="s">
        <v>25</v>
      </c>
      <c r="L87">
        <v>0</v>
      </c>
      <c r="M87">
        <v>2.04</v>
      </c>
      <c r="N87">
        <v>9.6</v>
      </c>
      <c r="O87">
        <v>55.15</v>
      </c>
      <c r="P87">
        <v>66.7928</v>
      </c>
    </row>
    <row r="88" spans="1:16" hidden="1" x14ac:dyDescent="0.25">
      <c r="A88" s="22">
        <v>43697</v>
      </c>
      <c r="B88" t="s">
        <v>1156</v>
      </c>
      <c r="C88" t="s">
        <v>23</v>
      </c>
      <c r="D88">
        <v>2500</v>
      </c>
      <c r="E88">
        <v>61.6</v>
      </c>
      <c r="F88">
        <v>154000</v>
      </c>
      <c r="G88" t="s">
        <v>1338</v>
      </c>
      <c r="H88">
        <v>2019157</v>
      </c>
      <c r="I88" t="s">
        <v>19</v>
      </c>
      <c r="J88" t="s">
        <v>20</v>
      </c>
      <c r="K88" t="s">
        <v>25</v>
      </c>
      <c r="L88">
        <v>39.04</v>
      </c>
      <c r="M88">
        <v>3.39</v>
      </c>
      <c r="N88">
        <v>0</v>
      </c>
      <c r="O88">
        <v>91.47</v>
      </c>
      <c r="P88">
        <v>133.898</v>
      </c>
    </row>
    <row r="89" spans="1:16" hidden="1" x14ac:dyDescent="0.25">
      <c r="A89" s="22">
        <v>43697</v>
      </c>
      <c r="B89" t="s">
        <v>288</v>
      </c>
      <c r="C89" t="s">
        <v>17</v>
      </c>
      <c r="D89">
        <v>25</v>
      </c>
      <c r="E89">
        <v>34.5</v>
      </c>
      <c r="F89">
        <v>862.5</v>
      </c>
      <c r="G89" t="s">
        <v>1339</v>
      </c>
      <c r="H89">
        <v>2019157</v>
      </c>
      <c r="I89" t="s">
        <v>19</v>
      </c>
      <c r="J89" t="s">
        <v>20</v>
      </c>
      <c r="K89" t="s">
        <v>25</v>
      </c>
      <c r="L89">
        <v>0.86</v>
      </c>
      <c r="M89">
        <v>0.02</v>
      </c>
      <c r="N89">
        <v>0</v>
      </c>
      <c r="O89">
        <v>25.45</v>
      </c>
      <c r="P89">
        <v>26.329000000000001</v>
      </c>
    </row>
    <row r="90" spans="1:16" hidden="1" x14ac:dyDescent="0.25">
      <c r="A90" s="22">
        <v>43697</v>
      </c>
      <c r="B90" t="s">
        <v>288</v>
      </c>
      <c r="C90" t="s">
        <v>17</v>
      </c>
      <c r="D90">
        <v>25</v>
      </c>
      <c r="E90">
        <v>34</v>
      </c>
      <c r="F90">
        <v>850</v>
      </c>
      <c r="G90" t="s">
        <v>1340</v>
      </c>
      <c r="H90">
        <v>2019157</v>
      </c>
      <c r="I90" t="s">
        <v>19</v>
      </c>
      <c r="J90" t="s">
        <v>20</v>
      </c>
      <c r="K90" t="s">
        <v>25</v>
      </c>
      <c r="L90">
        <v>0.86</v>
      </c>
      <c r="M90">
        <v>0.02</v>
      </c>
      <c r="N90">
        <v>0</v>
      </c>
      <c r="O90">
        <v>25.08</v>
      </c>
      <c r="P90">
        <v>25.9588</v>
      </c>
    </row>
    <row r="91" spans="1:16" hidden="1" x14ac:dyDescent="0.25">
      <c r="A91" s="22">
        <v>43697</v>
      </c>
      <c r="B91" t="s">
        <v>179</v>
      </c>
      <c r="C91" t="s">
        <v>17</v>
      </c>
      <c r="D91">
        <v>50</v>
      </c>
      <c r="E91">
        <v>25</v>
      </c>
      <c r="F91">
        <v>1250</v>
      </c>
      <c r="G91" t="s">
        <v>1341</v>
      </c>
      <c r="H91">
        <v>2019157</v>
      </c>
      <c r="I91" t="s">
        <v>19</v>
      </c>
      <c r="J91" t="s">
        <v>20</v>
      </c>
      <c r="K91" t="s">
        <v>25</v>
      </c>
      <c r="L91">
        <v>1.25</v>
      </c>
      <c r="M91">
        <v>0.03</v>
      </c>
      <c r="N91">
        <v>0</v>
      </c>
      <c r="O91">
        <v>36.880000000000003</v>
      </c>
      <c r="P91">
        <v>38.157600000000002</v>
      </c>
    </row>
    <row r="92" spans="1:16" hidden="1" x14ac:dyDescent="0.25">
      <c r="A92" s="22">
        <v>43696</v>
      </c>
      <c r="B92" t="s">
        <v>1121</v>
      </c>
      <c r="C92" t="s">
        <v>17</v>
      </c>
      <c r="D92">
        <v>25</v>
      </c>
      <c r="E92">
        <v>1610.5</v>
      </c>
      <c r="F92">
        <v>40262.5</v>
      </c>
      <c r="G92" t="s">
        <v>1342</v>
      </c>
      <c r="H92">
        <v>2019156</v>
      </c>
      <c r="I92" t="s">
        <v>19</v>
      </c>
      <c r="J92" t="s">
        <v>20</v>
      </c>
      <c r="K92" t="s">
        <v>25</v>
      </c>
      <c r="L92">
        <v>0</v>
      </c>
      <c r="M92">
        <v>0.89</v>
      </c>
      <c r="N92">
        <v>0</v>
      </c>
      <c r="O92">
        <v>29.66</v>
      </c>
      <c r="P92">
        <v>30.5458</v>
      </c>
    </row>
    <row r="93" spans="1:16" hidden="1" x14ac:dyDescent="0.25">
      <c r="A93" s="22">
        <v>43696</v>
      </c>
      <c r="B93" t="s">
        <v>1121</v>
      </c>
      <c r="C93" t="s">
        <v>23</v>
      </c>
      <c r="D93">
        <v>25</v>
      </c>
      <c r="E93">
        <v>1603.36</v>
      </c>
      <c r="F93">
        <v>40084</v>
      </c>
      <c r="G93" t="s">
        <v>1343</v>
      </c>
      <c r="H93">
        <v>2019156</v>
      </c>
      <c r="I93" t="s">
        <v>19</v>
      </c>
      <c r="J93" t="s">
        <v>20</v>
      </c>
      <c r="K93" t="s">
        <v>25</v>
      </c>
      <c r="L93">
        <v>9.65</v>
      </c>
      <c r="M93">
        <v>0.88</v>
      </c>
      <c r="N93">
        <v>10.199999999999999</v>
      </c>
      <c r="O93">
        <v>29.66</v>
      </c>
      <c r="P93">
        <v>50.391800000000003</v>
      </c>
    </row>
    <row r="94" spans="1:16" hidden="1" x14ac:dyDescent="0.25">
      <c r="A94" s="22">
        <v>43696</v>
      </c>
      <c r="B94" t="s">
        <v>1156</v>
      </c>
      <c r="C94" t="s">
        <v>23</v>
      </c>
      <c r="D94">
        <v>1000</v>
      </c>
      <c r="E94">
        <v>64.599999999999994</v>
      </c>
      <c r="F94">
        <v>64600</v>
      </c>
      <c r="G94" t="s">
        <v>1344</v>
      </c>
      <c r="H94">
        <v>2019156</v>
      </c>
      <c r="I94" t="s">
        <v>19</v>
      </c>
      <c r="J94" t="s">
        <v>20</v>
      </c>
      <c r="K94" t="s">
        <v>25</v>
      </c>
      <c r="L94">
        <v>16.079999999999998</v>
      </c>
      <c r="M94">
        <v>1.42</v>
      </c>
      <c r="N94">
        <v>0</v>
      </c>
      <c r="O94">
        <v>38.369999999999997</v>
      </c>
      <c r="P94">
        <v>55.871200000000002</v>
      </c>
    </row>
    <row r="95" spans="1:16" hidden="1" x14ac:dyDescent="0.25">
      <c r="A95" s="22">
        <v>43696</v>
      </c>
      <c r="B95" t="s">
        <v>1156</v>
      </c>
      <c r="C95" t="s">
        <v>17</v>
      </c>
      <c r="D95">
        <v>1000</v>
      </c>
      <c r="E95">
        <v>64.45</v>
      </c>
      <c r="F95">
        <v>64450</v>
      </c>
      <c r="G95" t="s">
        <v>1345</v>
      </c>
      <c r="H95">
        <v>2019156</v>
      </c>
      <c r="I95" t="s">
        <v>19</v>
      </c>
      <c r="J95" t="s">
        <v>20</v>
      </c>
      <c r="K95" t="s">
        <v>25</v>
      </c>
      <c r="L95">
        <v>0</v>
      </c>
      <c r="M95">
        <v>1.42</v>
      </c>
      <c r="N95">
        <v>0</v>
      </c>
      <c r="O95">
        <v>38.29</v>
      </c>
      <c r="P95">
        <v>39.707799999999999</v>
      </c>
    </row>
    <row r="96" spans="1:16" hidden="1" x14ac:dyDescent="0.25">
      <c r="A96" s="22">
        <v>43696</v>
      </c>
      <c r="B96" t="s">
        <v>1156</v>
      </c>
      <c r="C96" t="s">
        <v>17</v>
      </c>
      <c r="D96">
        <v>1000</v>
      </c>
      <c r="E96">
        <v>64.099999999999994</v>
      </c>
      <c r="F96">
        <v>64100</v>
      </c>
      <c r="G96" t="s">
        <v>1346</v>
      </c>
      <c r="H96">
        <v>2019156</v>
      </c>
      <c r="I96" t="s">
        <v>19</v>
      </c>
      <c r="J96" t="s">
        <v>20</v>
      </c>
      <c r="K96" t="s">
        <v>25</v>
      </c>
      <c r="L96">
        <v>0</v>
      </c>
      <c r="M96">
        <v>1.41</v>
      </c>
      <c r="N96">
        <v>0</v>
      </c>
      <c r="O96">
        <v>38.07</v>
      </c>
      <c r="P96">
        <v>39.480200000000004</v>
      </c>
    </row>
    <row r="97" spans="1:16" hidden="1" x14ac:dyDescent="0.25">
      <c r="A97" s="22">
        <v>43696</v>
      </c>
      <c r="B97" t="s">
        <v>1156</v>
      </c>
      <c r="C97" t="s">
        <v>23</v>
      </c>
      <c r="D97">
        <v>1000</v>
      </c>
      <c r="E97">
        <v>64.150000000000006</v>
      </c>
      <c r="F97">
        <v>64150</v>
      </c>
      <c r="G97" t="s">
        <v>1347</v>
      </c>
      <c r="H97">
        <v>2019156</v>
      </c>
      <c r="I97" t="s">
        <v>19</v>
      </c>
      <c r="J97" t="s">
        <v>20</v>
      </c>
      <c r="K97" t="s">
        <v>25</v>
      </c>
      <c r="L97">
        <v>16.079999999999998</v>
      </c>
      <c r="M97">
        <v>1.41</v>
      </c>
      <c r="N97">
        <v>0</v>
      </c>
      <c r="O97">
        <v>38.11</v>
      </c>
      <c r="P97">
        <v>55.601300000000002</v>
      </c>
    </row>
    <row r="98" spans="1:16" hidden="1" x14ac:dyDescent="0.25">
      <c r="A98" s="22">
        <v>43696</v>
      </c>
      <c r="B98" t="s">
        <v>282</v>
      </c>
      <c r="C98" t="s">
        <v>17</v>
      </c>
      <c r="D98">
        <v>10</v>
      </c>
      <c r="E98">
        <v>219</v>
      </c>
      <c r="F98">
        <v>2190</v>
      </c>
      <c r="G98" t="s">
        <v>1348</v>
      </c>
      <c r="H98">
        <v>2019156</v>
      </c>
      <c r="I98" t="s">
        <v>19</v>
      </c>
      <c r="J98" t="s">
        <v>20</v>
      </c>
      <c r="K98" t="s">
        <v>25</v>
      </c>
      <c r="L98">
        <v>2.19</v>
      </c>
      <c r="M98">
        <v>0.05</v>
      </c>
      <c r="N98">
        <v>0</v>
      </c>
      <c r="O98">
        <v>41.31</v>
      </c>
      <c r="P98">
        <v>43.548200000000001</v>
      </c>
    </row>
    <row r="99" spans="1:16" hidden="1" x14ac:dyDescent="0.25">
      <c r="A99" s="22">
        <v>43693</v>
      </c>
      <c r="B99" t="s">
        <v>1156</v>
      </c>
      <c r="C99" t="s">
        <v>23</v>
      </c>
      <c r="D99">
        <v>1000</v>
      </c>
      <c r="E99">
        <v>62.5</v>
      </c>
      <c r="F99">
        <v>62500</v>
      </c>
      <c r="G99" t="s">
        <v>1349</v>
      </c>
      <c r="H99">
        <v>2019155</v>
      </c>
      <c r="I99" t="s">
        <v>19</v>
      </c>
      <c r="J99" t="s">
        <v>20</v>
      </c>
      <c r="K99" t="s">
        <v>25</v>
      </c>
      <c r="L99">
        <v>16.079999999999998</v>
      </c>
      <c r="M99">
        <v>1.38</v>
      </c>
      <c r="N99">
        <v>0</v>
      </c>
      <c r="O99">
        <v>37.119999999999997</v>
      </c>
      <c r="P99">
        <v>54.575000000000003</v>
      </c>
    </row>
    <row r="100" spans="1:16" hidden="1" x14ac:dyDescent="0.25">
      <c r="A100" s="22">
        <v>43693</v>
      </c>
      <c r="B100" t="s">
        <v>1156</v>
      </c>
      <c r="C100" t="s">
        <v>23</v>
      </c>
      <c r="D100">
        <v>1000</v>
      </c>
      <c r="E100">
        <v>63.5</v>
      </c>
      <c r="F100">
        <v>63500</v>
      </c>
      <c r="G100" t="s">
        <v>1350</v>
      </c>
      <c r="H100">
        <v>2019155</v>
      </c>
      <c r="I100" t="s">
        <v>19</v>
      </c>
      <c r="J100" t="s">
        <v>20</v>
      </c>
      <c r="K100" t="s">
        <v>25</v>
      </c>
      <c r="L100">
        <v>16.53</v>
      </c>
      <c r="M100">
        <v>1.4</v>
      </c>
      <c r="N100">
        <v>0</v>
      </c>
      <c r="O100">
        <v>37.72</v>
      </c>
      <c r="P100">
        <v>55.646999999999998</v>
      </c>
    </row>
    <row r="101" spans="1:16" hidden="1" x14ac:dyDescent="0.25">
      <c r="A101" s="22">
        <v>43693</v>
      </c>
      <c r="B101" t="s">
        <v>1156</v>
      </c>
      <c r="C101" t="s">
        <v>23</v>
      </c>
      <c r="D101">
        <v>1000</v>
      </c>
      <c r="E101">
        <v>64.2</v>
      </c>
      <c r="F101">
        <v>64200</v>
      </c>
      <c r="G101" t="s">
        <v>1351</v>
      </c>
      <c r="H101">
        <v>2019155</v>
      </c>
      <c r="I101" t="s">
        <v>19</v>
      </c>
      <c r="J101" t="s">
        <v>20</v>
      </c>
      <c r="K101" t="s">
        <v>25</v>
      </c>
      <c r="L101">
        <v>16.079999999999998</v>
      </c>
      <c r="M101">
        <v>1.41</v>
      </c>
      <c r="N101">
        <v>0</v>
      </c>
      <c r="O101">
        <v>38.130000000000003</v>
      </c>
      <c r="P101">
        <v>55.622399999999999</v>
      </c>
    </row>
    <row r="102" spans="1:16" hidden="1" x14ac:dyDescent="0.25">
      <c r="A102" s="22">
        <v>43693</v>
      </c>
      <c r="B102" t="s">
        <v>1156</v>
      </c>
      <c r="C102" t="s">
        <v>23</v>
      </c>
      <c r="D102">
        <v>1000</v>
      </c>
      <c r="E102">
        <v>64.5</v>
      </c>
      <c r="F102">
        <v>64500</v>
      </c>
      <c r="G102" t="s">
        <v>1352</v>
      </c>
      <c r="H102">
        <v>2019155</v>
      </c>
      <c r="I102" t="s">
        <v>19</v>
      </c>
      <c r="J102" t="s">
        <v>20</v>
      </c>
      <c r="K102" t="s">
        <v>25</v>
      </c>
      <c r="L102">
        <v>16.079999999999998</v>
      </c>
      <c r="M102">
        <v>1.42</v>
      </c>
      <c r="N102">
        <v>0</v>
      </c>
      <c r="O102">
        <v>38.31</v>
      </c>
      <c r="P102">
        <v>55.808999999999997</v>
      </c>
    </row>
    <row r="103" spans="1:16" hidden="1" x14ac:dyDescent="0.25">
      <c r="A103" s="22">
        <v>43693</v>
      </c>
      <c r="B103" t="s">
        <v>1156</v>
      </c>
      <c r="C103" t="s">
        <v>23</v>
      </c>
      <c r="D103">
        <v>3000</v>
      </c>
      <c r="E103">
        <v>65</v>
      </c>
      <c r="F103">
        <v>195000</v>
      </c>
      <c r="G103" t="s">
        <v>1353</v>
      </c>
      <c r="H103">
        <v>2019155</v>
      </c>
      <c r="I103" t="s">
        <v>19</v>
      </c>
      <c r="J103" t="s">
        <v>20</v>
      </c>
      <c r="K103" t="s">
        <v>25</v>
      </c>
      <c r="L103">
        <v>48.23</v>
      </c>
      <c r="M103">
        <v>4.29</v>
      </c>
      <c r="N103">
        <v>0</v>
      </c>
      <c r="O103">
        <v>115.82</v>
      </c>
      <c r="P103">
        <v>168.34</v>
      </c>
    </row>
    <row r="104" spans="1:16" hidden="1" x14ac:dyDescent="0.25">
      <c r="A104" s="22">
        <v>43693</v>
      </c>
      <c r="B104" t="s">
        <v>1156</v>
      </c>
      <c r="C104" t="s">
        <v>17</v>
      </c>
      <c r="D104">
        <v>7000</v>
      </c>
      <c r="E104">
        <v>64.38</v>
      </c>
      <c r="F104">
        <v>450680.25</v>
      </c>
      <c r="G104" t="s">
        <v>1354</v>
      </c>
      <c r="H104">
        <v>2019155</v>
      </c>
      <c r="I104" t="s">
        <v>19</v>
      </c>
      <c r="J104" t="s">
        <v>20</v>
      </c>
      <c r="K104" t="s">
        <v>25</v>
      </c>
      <c r="L104">
        <v>0</v>
      </c>
      <c r="M104">
        <v>9.92</v>
      </c>
      <c r="N104">
        <v>27.3</v>
      </c>
      <c r="O104">
        <v>267.7</v>
      </c>
      <c r="P104">
        <v>304.91520000000003</v>
      </c>
    </row>
    <row r="105" spans="1:16" hidden="1" x14ac:dyDescent="0.25">
      <c r="A105" s="22">
        <v>43691</v>
      </c>
      <c r="B105" t="s">
        <v>291</v>
      </c>
      <c r="C105" t="s">
        <v>23</v>
      </c>
      <c r="D105">
        <v>500</v>
      </c>
      <c r="E105">
        <v>94.5</v>
      </c>
      <c r="F105">
        <v>47250</v>
      </c>
      <c r="G105" t="s">
        <v>1355</v>
      </c>
      <c r="H105">
        <v>2019154</v>
      </c>
      <c r="I105" t="s">
        <v>19</v>
      </c>
      <c r="J105" t="s">
        <v>20</v>
      </c>
      <c r="K105" t="s">
        <v>25</v>
      </c>
      <c r="L105">
        <v>11.79</v>
      </c>
      <c r="M105">
        <v>1.04</v>
      </c>
      <c r="N105">
        <v>20.399999999999999</v>
      </c>
      <c r="O105">
        <v>29.69</v>
      </c>
      <c r="P105">
        <v>62.919600000000003</v>
      </c>
    </row>
    <row r="106" spans="1:16" hidden="1" x14ac:dyDescent="0.25">
      <c r="A106" s="22">
        <v>43691</v>
      </c>
      <c r="B106" t="s">
        <v>291</v>
      </c>
      <c r="C106" t="s">
        <v>17</v>
      </c>
      <c r="D106">
        <v>500</v>
      </c>
      <c r="E106">
        <v>94.15</v>
      </c>
      <c r="F106">
        <v>47075</v>
      </c>
      <c r="G106" t="s">
        <v>1356</v>
      </c>
      <c r="H106">
        <v>2019154</v>
      </c>
      <c r="I106" t="s">
        <v>19</v>
      </c>
      <c r="J106" t="s">
        <v>20</v>
      </c>
      <c r="K106" t="s">
        <v>25</v>
      </c>
      <c r="L106">
        <v>0</v>
      </c>
      <c r="M106">
        <v>1.04</v>
      </c>
      <c r="N106">
        <v>0</v>
      </c>
      <c r="O106">
        <v>29.69</v>
      </c>
      <c r="P106">
        <v>30.7256</v>
      </c>
    </row>
    <row r="107" spans="1:16" hidden="1" x14ac:dyDescent="0.25">
      <c r="A107" s="22">
        <v>43691</v>
      </c>
      <c r="B107" t="s">
        <v>1156</v>
      </c>
      <c r="C107" t="s">
        <v>17</v>
      </c>
      <c r="D107">
        <v>2095</v>
      </c>
      <c r="E107">
        <v>63.45</v>
      </c>
      <c r="F107">
        <v>132927.75</v>
      </c>
      <c r="G107" t="s">
        <v>1357</v>
      </c>
      <c r="H107">
        <v>2019154</v>
      </c>
      <c r="I107" t="s">
        <v>19</v>
      </c>
      <c r="J107" t="s">
        <v>20</v>
      </c>
      <c r="K107" t="s">
        <v>25</v>
      </c>
      <c r="L107">
        <v>0</v>
      </c>
      <c r="M107">
        <v>2.92</v>
      </c>
      <c r="N107">
        <v>0</v>
      </c>
      <c r="O107">
        <v>78.959999999999994</v>
      </c>
      <c r="P107">
        <v>81.884299999999996</v>
      </c>
    </row>
    <row r="108" spans="1:16" hidden="1" x14ac:dyDescent="0.25">
      <c r="A108" s="22">
        <v>43691</v>
      </c>
      <c r="B108" t="s">
        <v>1156</v>
      </c>
      <c r="C108" t="s">
        <v>23</v>
      </c>
      <c r="D108">
        <v>2095</v>
      </c>
      <c r="E108">
        <v>63.7</v>
      </c>
      <c r="F108">
        <v>133451.5</v>
      </c>
      <c r="G108" t="s">
        <v>1358</v>
      </c>
      <c r="H108">
        <v>2019154</v>
      </c>
      <c r="I108" t="s">
        <v>19</v>
      </c>
      <c r="J108" t="s">
        <v>20</v>
      </c>
      <c r="K108" t="s">
        <v>25</v>
      </c>
      <c r="L108">
        <v>33.29</v>
      </c>
      <c r="M108">
        <v>2.94</v>
      </c>
      <c r="N108">
        <v>0</v>
      </c>
      <c r="O108">
        <v>79.27</v>
      </c>
      <c r="P108">
        <v>115.496</v>
      </c>
    </row>
    <row r="109" spans="1:16" hidden="1" x14ac:dyDescent="0.25">
      <c r="A109" s="22">
        <v>43691</v>
      </c>
      <c r="B109" t="s">
        <v>1156</v>
      </c>
      <c r="C109" t="s">
        <v>23</v>
      </c>
      <c r="D109">
        <v>1000</v>
      </c>
      <c r="E109">
        <v>63.5</v>
      </c>
      <c r="F109">
        <v>63500</v>
      </c>
      <c r="G109" t="s">
        <v>1359</v>
      </c>
      <c r="H109">
        <v>2019154</v>
      </c>
      <c r="I109" t="s">
        <v>19</v>
      </c>
      <c r="J109" t="s">
        <v>20</v>
      </c>
      <c r="K109" t="s">
        <v>25</v>
      </c>
      <c r="L109">
        <v>15.89</v>
      </c>
      <c r="M109">
        <v>1.4</v>
      </c>
      <c r="N109">
        <v>0</v>
      </c>
      <c r="O109">
        <v>37.72</v>
      </c>
      <c r="P109">
        <v>55.006999999999998</v>
      </c>
    </row>
    <row r="110" spans="1:16" hidden="1" x14ac:dyDescent="0.25">
      <c r="A110" s="22">
        <v>43691</v>
      </c>
      <c r="B110" t="s">
        <v>665</v>
      </c>
      <c r="C110" t="s">
        <v>23</v>
      </c>
      <c r="D110">
        <v>2000</v>
      </c>
      <c r="E110">
        <v>47</v>
      </c>
      <c r="F110">
        <v>94000</v>
      </c>
      <c r="G110" t="s">
        <v>1360</v>
      </c>
      <c r="H110">
        <v>2019154</v>
      </c>
      <c r="I110" t="s">
        <v>19</v>
      </c>
      <c r="J110" t="s">
        <v>20</v>
      </c>
      <c r="K110" t="s">
        <v>25</v>
      </c>
      <c r="L110">
        <v>23.02</v>
      </c>
      <c r="M110">
        <v>2.0699999999999998</v>
      </c>
      <c r="N110">
        <v>0</v>
      </c>
      <c r="O110">
        <v>55.84</v>
      </c>
      <c r="P110">
        <v>80.928700000000006</v>
      </c>
    </row>
    <row r="111" spans="1:16" hidden="1" x14ac:dyDescent="0.25">
      <c r="A111" s="22">
        <v>43691</v>
      </c>
      <c r="B111" t="s">
        <v>665</v>
      </c>
      <c r="C111" t="s">
        <v>17</v>
      </c>
      <c r="D111">
        <v>2000</v>
      </c>
      <c r="E111">
        <v>46.25</v>
      </c>
      <c r="F111">
        <v>92500</v>
      </c>
      <c r="G111" t="s">
        <v>1361</v>
      </c>
      <c r="H111">
        <v>2019154</v>
      </c>
      <c r="I111" t="s">
        <v>19</v>
      </c>
      <c r="J111" t="s">
        <v>20</v>
      </c>
      <c r="K111" t="s">
        <v>25</v>
      </c>
      <c r="L111">
        <v>0</v>
      </c>
      <c r="M111">
        <v>2.04</v>
      </c>
      <c r="N111">
        <v>0</v>
      </c>
      <c r="O111">
        <v>54.94</v>
      </c>
      <c r="P111">
        <v>56.975000000000001</v>
      </c>
    </row>
    <row r="112" spans="1:16" hidden="1" x14ac:dyDescent="0.25">
      <c r="A112" s="22">
        <v>43691</v>
      </c>
      <c r="B112" t="s">
        <v>1156</v>
      </c>
      <c r="C112" t="s">
        <v>17</v>
      </c>
      <c r="D112">
        <v>1000</v>
      </c>
      <c r="E112">
        <v>63.6</v>
      </c>
      <c r="F112">
        <v>63600</v>
      </c>
      <c r="G112" t="s">
        <v>1362</v>
      </c>
      <c r="H112">
        <v>2019154</v>
      </c>
      <c r="I112" t="s">
        <v>19</v>
      </c>
      <c r="J112" t="s">
        <v>20</v>
      </c>
      <c r="K112" t="s">
        <v>25</v>
      </c>
      <c r="L112">
        <v>0</v>
      </c>
      <c r="M112">
        <v>1.4</v>
      </c>
      <c r="N112">
        <v>0</v>
      </c>
      <c r="O112">
        <v>37.78</v>
      </c>
      <c r="P112">
        <v>39.179200000000002</v>
      </c>
    </row>
    <row r="113" spans="1:16" hidden="1" x14ac:dyDescent="0.25">
      <c r="A113" s="22">
        <v>43690</v>
      </c>
      <c r="B113" t="s">
        <v>1156</v>
      </c>
      <c r="C113" t="s">
        <v>23</v>
      </c>
      <c r="D113">
        <v>250</v>
      </c>
      <c r="E113">
        <v>64.55</v>
      </c>
      <c r="F113">
        <v>16137.5</v>
      </c>
      <c r="G113" t="s">
        <v>1363</v>
      </c>
      <c r="H113">
        <v>2019153</v>
      </c>
      <c r="I113" t="s">
        <v>19</v>
      </c>
      <c r="J113" t="s">
        <v>20</v>
      </c>
      <c r="K113" t="s">
        <v>25</v>
      </c>
      <c r="L113">
        <v>3.98</v>
      </c>
      <c r="M113">
        <v>0.36</v>
      </c>
      <c r="N113">
        <v>2.1</v>
      </c>
      <c r="O113">
        <v>29.56</v>
      </c>
      <c r="P113">
        <v>35.994999999999997</v>
      </c>
    </row>
    <row r="114" spans="1:16" hidden="1" x14ac:dyDescent="0.25">
      <c r="A114" s="22">
        <v>43690</v>
      </c>
      <c r="B114" t="s">
        <v>1156</v>
      </c>
      <c r="C114" t="s">
        <v>23</v>
      </c>
      <c r="D114">
        <v>250</v>
      </c>
      <c r="E114">
        <v>65.05</v>
      </c>
      <c r="F114">
        <v>16262.5</v>
      </c>
      <c r="G114" t="s">
        <v>1364</v>
      </c>
      <c r="H114">
        <v>2019153</v>
      </c>
      <c r="I114" t="s">
        <v>19</v>
      </c>
      <c r="J114" t="s">
        <v>20</v>
      </c>
      <c r="K114" t="s">
        <v>25</v>
      </c>
      <c r="L114">
        <v>4.03</v>
      </c>
      <c r="M114">
        <v>0.36</v>
      </c>
      <c r="N114">
        <v>0</v>
      </c>
      <c r="O114">
        <v>29.56</v>
      </c>
      <c r="P114">
        <v>33.947800000000001</v>
      </c>
    </row>
    <row r="115" spans="1:16" hidden="1" x14ac:dyDescent="0.25">
      <c r="A115" s="22">
        <v>43690</v>
      </c>
      <c r="B115" t="s">
        <v>1156</v>
      </c>
      <c r="C115" t="s">
        <v>17</v>
      </c>
      <c r="D115">
        <v>500</v>
      </c>
      <c r="E115">
        <v>64</v>
      </c>
      <c r="F115">
        <v>32000</v>
      </c>
      <c r="G115" t="s">
        <v>1365</v>
      </c>
      <c r="H115">
        <v>2019153</v>
      </c>
      <c r="I115" t="s">
        <v>19</v>
      </c>
      <c r="J115" t="s">
        <v>20</v>
      </c>
      <c r="K115" t="s">
        <v>25</v>
      </c>
      <c r="L115">
        <v>0</v>
      </c>
      <c r="M115">
        <v>0.7</v>
      </c>
      <c r="N115">
        <v>0</v>
      </c>
      <c r="O115">
        <v>29.63</v>
      </c>
      <c r="P115">
        <v>30.334</v>
      </c>
    </row>
    <row r="116" spans="1:16" hidden="1" x14ac:dyDescent="0.25">
      <c r="A116" s="22">
        <v>43686</v>
      </c>
      <c r="B116" t="s">
        <v>1366</v>
      </c>
      <c r="C116" t="s">
        <v>17</v>
      </c>
      <c r="D116">
        <v>25</v>
      </c>
      <c r="E116">
        <v>778.8</v>
      </c>
      <c r="F116">
        <v>19470</v>
      </c>
      <c r="G116" t="s">
        <v>1367</v>
      </c>
      <c r="H116">
        <v>2019152</v>
      </c>
      <c r="I116" t="s">
        <v>19</v>
      </c>
      <c r="J116" t="s">
        <v>20</v>
      </c>
      <c r="K116" t="s">
        <v>25</v>
      </c>
      <c r="L116">
        <v>0</v>
      </c>
      <c r="M116">
        <v>0.7</v>
      </c>
      <c r="N116">
        <v>0</v>
      </c>
      <c r="O116">
        <v>29.63</v>
      </c>
      <c r="P116">
        <v>30.331</v>
      </c>
    </row>
    <row r="117" spans="1:16" hidden="1" x14ac:dyDescent="0.25">
      <c r="A117" s="22">
        <v>43686</v>
      </c>
      <c r="B117" t="s">
        <v>1128</v>
      </c>
      <c r="C117" t="s">
        <v>23</v>
      </c>
      <c r="D117">
        <v>1000</v>
      </c>
      <c r="E117">
        <v>111.95</v>
      </c>
      <c r="F117">
        <v>111950</v>
      </c>
      <c r="G117" t="s">
        <v>1368</v>
      </c>
      <c r="H117">
        <v>2019152</v>
      </c>
      <c r="I117" t="s">
        <v>19</v>
      </c>
      <c r="J117" t="s">
        <v>20</v>
      </c>
      <c r="K117" t="s">
        <v>25</v>
      </c>
      <c r="L117">
        <v>27.73</v>
      </c>
      <c r="M117">
        <v>4.03</v>
      </c>
      <c r="N117">
        <v>0</v>
      </c>
      <c r="O117">
        <v>66.77</v>
      </c>
      <c r="P117">
        <v>98.530199999999994</v>
      </c>
    </row>
    <row r="118" spans="1:16" hidden="1" x14ac:dyDescent="0.25">
      <c r="A118" s="22">
        <v>43686</v>
      </c>
      <c r="B118" t="s">
        <v>1128</v>
      </c>
      <c r="C118" t="s">
        <v>17</v>
      </c>
      <c r="D118">
        <v>1000</v>
      </c>
      <c r="E118">
        <v>111.15</v>
      </c>
      <c r="F118">
        <v>111150</v>
      </c>
      <c r="G118" t="s">
        <v>1369</v>
      </c>
      <c r="H118">
        <v>2019152</v>
      </c>
      <c r="I118" t="s">
        <v>19</v>
      </c>
      <c r="J118" t="s">
        <v>20</v>
      </c>
      <c r="K118" t="s">
        <v>25</v>
      </c>
      <c r="L118">
        <v>0</v>
      </c>
      <c r="M118">
        <v>4</v>
      </c>
      <c r="N118">
        <v>0</v>
      </c>
      <c r="O118">
        <v>66.290000000000006</v>
      </c>
      <c r="P118">
        <v>70.291399999999996</v>
      </c>
    </row>
    <row r="119" spans="1:16" hidden="1" x14ac:dyDescent="0.25">
      <c r="A119" s="22">
        <v>43686</v>
      </c>
      <c r="B119" t="s">
        <v>1366</v>
      </c>
      <c r="C119" t="s">
        <v>23</v>
      </c>
      <c r="D119">
        <v>100</v>
      </c>
      <c r="E119">
        <v>772</v>
      </c>
      <c r="F119">
        <v>77200</v>
      </c>
      <c r="G119" t="s">
        <v>1370</v>
      </c>
      <c r="H119">
        <v>2019152</v>
      </c>
      <c r="I119" t="s">
        <v>19</v>
      </c>
      <c r="J119" t="s">
        <v>20</v>
      </c>
      <c r="K119" t="s">
        <v>25</v>
      </c>
      <c r="L119">
        <v>19.27</v>
      </c>
      <c r="M119">
        <v>2.78</v>
      </c>
      <c r="N119">
        <v>0</v>
      </c>
      <c r="O119">
        <v>46.05</v>
      </c>
      <c r="P119">
        <v>68.099199999999996</v>
      </c>
    </row>
    <row r="120" spans="1:16" hidden="1" x14ac:dyDescent="0.25">
      <c r="A120" s="22">
        <v>43686</v>
      </c>
      <c r="B120" t="s">
        <v>1366</v>
      </c>
      <c r="C120" t="s">
        <v>17</v>
      </c>
      <c r="D120">
        <v>25</v>
      </c>
      <c r="E120">
        <v>777</v>
      </c>
      <c r="F120">
        <v>19425</v>
      </c>
      <c r="G120" t="s">
        <v>1371</v>
      </c>
      <c r="H120">
        <v>2019152</v>
      </c>
      <c r="I120" t="s">
        <v>19</v>
      </c>
      <c r="J120" t="s">
        <v>20</v>
      </c>
      <c r="K120" t="s">
        <v>25</v>
      </c>
      <c r="L120">
        <v>0</v>
      </c>
      <c r="M120">
        <v>0.7</v>
      </c>
      <c r="N120">
        <v>11.4</v>
      </c>
      <c r="O120">
        <v>29.63</v>
      </c>
      <c r="P120">
        <v>41.729300000000002</v>
      </c>
    </row>
    <row r="121" spans="1:16" hidden="1" x14ac:dyDescent="0.25">
      <c r="A121" s="22">
        <v>43686</v>
      </c>
      <c r="B121" t="s">
        <v>1366</v>
      </c>
      <c r="C121" t="s">
        <v>17</v>
      </c>
      <c r="D121">
        <v>50</v>
      </c>
      <c r="E121">
        <v>762</v>
      </c>
      <c r="F121">
        <v>38100</v>
      </c>
      <c r="G121" t="s">
        <v>1372</v>
      </c>
      <c r="H121">
        <v>2019152</v>
      </c>
      <c r="I121" t="s">
        <v>19</v>
      </c>
      <c r="J121" t="s">
        <v>20</v>
      </c>
      <c r="K121" t="s">
        <v>25</v>
      </c>
      <c r="L121">
        <v>0</v>
      </c>
      <c r="M121">
        <v>1.37</v>
      </c>
      <c r="N121">
        <v>0</v>
      </c>
      <c r="O121">
        <v>29.75</v>
      </c>
      <c r="P121">
        <v>31.121600000000001</v>
      </c>
    </row>
    <row r="122" spans="1:16" hidden="1" x14ac:dyDescent="0.25">
      <c r="A122" s="22">
        <v>43685</v>
      </c>
      <c r="B122" t="s">
        <v>1156</v>
      </c>
      <c r="C122" t="s">
        <v>23</v>
      </c>
      <c r="D122">
        <v>2500</v>
      </c>
      <c r="E122">
        <v>62</v>
      </c>
      <c r="F122">
        <v>155000</v>
      </c>
      <c r="G122" t="s">
        <v>1373</v>
      </c>
      <c r="H122">
        <v>2019151</v>
      </c>
      <c r="I122" t="s">
        <v>19</v>
      </c>
      <c r="J122" t="s">
        <v>20</v>
      </c>
      <c r="K122" t="s">
        <v>25</v>
      </c>
      <c r="L122">
        <v>39.64</v>
      </c>
      <c r="M122">
        <v>5.58</v>
      </c>
      <c r="N122">
        <v>0</v>
      </c>
      <c r="O122">
        <v>92.45</v>
      </c>
      <c r="P122">
        <v>137.66999999999999</v>
      </c>
    </row>
    <row r="123" spans="1:16" hidden="1" x14ac:dyDescent="0.25">
      <c r="A123" s="22">
        <v>43685</v>
      </c>
      <c r="B123" t="s">
        <v>1156</v>
      </c>
      <c r="C123" t="s">
        <v>17</v>
      </c>
      <c r="D123">
        <v>10000</v>
      </c>
      <c r="E123">
        <v>63.5</v>
      </c>
      <c r="F123">
        <v>635000</v>
      </c>
      <c r="G123" t="s">
        <v>1374</v>
      </c>
      <c r="H123">
        <v>2019151</v>
      </c>
      <c r="I123" t="s">
        <v>19</v>
      </c>
      <c r="J123" t="s">
        <v>20</v>
      </c>
      <c r="K123" t="s">
        <v>25</v>
      </c>
      <c r="L123">
        <v>0</v>
      </c>
      <c r="M123">
        <v>22.86</v>
      </c>
      <c r="N123">
        <v>0</v>
      </c>
      <c r="O123">
        <v>378.76</v>
      </c>
      <c r="P123">
        <v>401.62</v>
      </c>
    </row>
    <row r="124" spans="1:16" hidden="1" x14ac:dyDescent="0.25">
      <c r="A124" s="22">
        <v>43685</v>
      </c>
      <c r="B124" t="s">
        <v>1156</v>
      </c>
      <c r="C124" t="s">
        <v>23</v>
      </c>
      <c r="D124">
        <v>2500</v>
      </c>
      <c r="E124">
        <v>63</v>
      </c>
      <c r="F124">
        <v>157500</v>
      </c>
      <c r="G124" t="s">
        <v>1375</v>
      </c>
      <c r="H124">
        <v>2019151</v>
      </c>
      <c r="I124" t="s">
        <v>19</v>
      </c>
      <c r="J124" t="s">
        <v>20</v>
      </c>
      <c r="K124" t="s">
        <v>25</v>
      </c>
      <c r="L124">
        <v>39.64</v>
      </c>
      <c r="M124">
        <v>5.67</v>
      </c>
      <c r="N124">
        <v>0</v>
      </c>
      <c r="O124">
        <v>93.95</v>
      </c>
      <c r="P124">
        <v>139.26</v>
      </c>
    </row>
    <row r="125" spans="1:16" hidden="1" x14ac:dyDescent="0.25">
      <c r="A125" s="22">
        <v>43685</v>
      </c>
      <c r="B125" t="s">
        <v>1156</v>
      </c>
      <c r="C125" t="s">
        <v>23</v>
      </c>
      <c r="D125">
        <v>5000</v>
      </c>
      <c r="E125">
        <v>64.2</v>
      </c>
      <c r="F125">
        <v>321000</v>
      </c>
      <c r="G125" t="s">
        <v>1376</v>
      </c>
      <c r="H125">
        <v>2019151</v>
      </c>
      <c r="I125" t="s">
        <v>19</v>
      </c>
      <c r="J125" t="s">
        <v>20</v>
      </c>
      <c r="K125" t="s">
        <v>25</v>
      </c>
      <c r="L125">
        <v>78.89</v>
      </c>
      <c r="M125">
        <v>11.56</v>
      </c>
      <c r="N125">
        <v>38.4</v>
      </c>
      <c r="O125">
        <v>191.48</v>
      </c>
      <c r="P125">
        <v>320.32600000000002</v>
      </c>
    </row>
    <row r="126" spans="1:16" hidden="1" x14ac:dyDescent="0.25">
      <c r="A126" s="22">
        <v>43685</v>
      </c>
      <c r="B126" t="s">
        <v>16</v>
      </c>
      <c r="C126" t="s">
        <v>17</v>
      </c>
      <c r="D126">
        <v>100</v>
      </c>
      <c r="E126">
        <v>18.25</v>
      </c>
      <c r="F126">
        <v>1825</v>
      </c>
      <c r="G126" t="s">
        <v>1377</v>
      </c>
      <c r="H126">
        <v>2019151</v>
      </c>
      <c r="I126" t="s">
        <v>19</v>
      </c>
      <c r="J126" t="s">
        <v>20</v>
      </c>
      <c r="K126" t="s">
        <v>25</v>
      </c>
      <c r="L126">
        <v>1.83</v>
      </c>
      <c r="M126">
        <v>7.0000000000000007E-2</v>
      </c>
      <c r="N126">
        <v>0</v>
      </c>
      <c r="O126">
        <v>41.31</v>
      </c>
      <c r="P126">
        <v>43.2057</v>
      </c>
    </row>
    <row r="127" spans="1:16" hidden="1" x14ac:dyDescent="0.25">
      <c r="A127" s="22">
        <v>43684</v>
      </c>
      <c r="B127" t="s">
        <v>111</v>
      </c>
      <c r="C127" t="s">
        <v>17</v>
      </c>
      <c r="D127">
        <v>100</v>
      </c>
      <c r="E127">
        <v>427.25</v>
      </c>
      <c r="F127">
        <v>42725</v>
      </c>
      <c r="G127" t="s">
        <v>1378</v>
      </c>
      <c r="H127">
        <v>2019150</v>
      </c>
      <c r="I127" t="s">
        <v>19</v>
      </c>
      <c r="J127" t="s">
        <v>20</v>
      </c>
      <c r="K127" t="s">
        <v>25</v>
      </c>
      <c r="L127">
        <v>0</v>
      </c>
      <c r="M127">
        <v>1.54</v>
      </c>
      <c r="N127">
        <v>7.8</v>
      </c>
      <c r="O127">
        <v>29.78</v>
      </c>
      <c r="P127">
        <v>39.118099999999998</v>
      </c>
    </row>
    <row r="128" spans="1:16" hidden="1" x14ac:dyDescent="0.25">
      <c r="A128" s="22">
        <v>43684</v>
      </c>
      <c r="B128" t="s">
        <v>111</v>
      </c>
      <c r="C128" t="s">
        <v>23</v>
      </c>
      <c r="D128">
        <v>300</v>
      </c>
      <c r="E128">
        <v>424.5</v>
      </c>
      <c r="F128">
        <v>127350</v>
      </c>
      <c r="G128" t="s">
        <v>1379</v>
      </c>
      <c r="H128">
        <v>2019150</v>
      </c>
      <c r="I128" t="s">
        <v>19</v>
      </c>
      <c r="J128" t="s">
        <v>20</v>
      </c>
      <c r="K128" t="s">
        <v>25</v>
      </c>
      <c r="L128">
        <v>31.42</v>
      </c>
      <c r="M128">
        <v>4.58</v>
      </c>
      <c r="N128">
        <v>0</v>
      </c>
      <c r="O128">
        <v>75.959999999999994</v>
      </c>
      <c r="P128">
        <v>111.96469999999999</v>
      </c>
    </row>
    <row r="129" spans="1:16" hidden="1" x14ac:dyDescent="0.25">
      <c r="A129" s="22">
        <v>43684</v>
      </c>
      <c r="B129" t="s">
        <v>111</v>
      </c>
      <c r="C129" t="s">
        <v>17</v>
      </c>
      <c r="D129">
        <v>200</v>
      </c>
      <c r="E129">
        <v>420.25</v>
      </c>
      <c r="F129">
        <v>84050</v>
      </c>
      <c r="G129" t="s">
        <v>1380</v>
      </c>
      <c r="H129">
        <v>2019150</v>
      </c>
      <c r="I129" t="s">
        <v>19</v>
      </c>
      <c r="J129" t="s">
        <v>20</v>
      </c>
      <c r="K129" t="s">
        <v>25</v>
      </c>
      <c r="L129">
        <v>0</v>
      </c>
      <c r="M129">
        <v>3.03</v>
      </c>
      <c r="N129">
        <v>0</v>
      </c>
      <c r="O129">
        <v>50.13</v>
      </c>
      <c r="P129">
        <v>53.155900000000003</v>
      </c>
    </row>
    <row r="130" spans="1:16" hidden="1" x14ac:dyDescent="0.25">
      <c r="A130" s="22">
        <v>43684</v>
      </c>
      <c r="B130" t="s">
        <v>981</v>
      </c>
      <c r="C130" t="s">
        <v>17</v>
      </c>
      <c r="D130">
        <v>20</v>
      </c>
      <c r="E130">
        <v>129</v>
      </c>
      <c r="F130">
        <v>2580</v>
      </c>
      <c r="G130" t="s">
        <v>1381</v>
      </c>
      <c r="H130">
        <v>2019150</v>
      </c>
      <c r="I130" t="s">
        <v>19</v>
      </c>
      <c r="J130" t="s">
        <v>20</v>
      </c>
      <c r="K130" t="s">
        <v>25</v>
      </c>
      <c r="L130">
        <v>2.58</v>
      </c>
      <c r="M130">
        <v>0.09</v>
      </c>
      <c r="N130">
        <v>0</v>
      </c>
      <c r="O130">
        <v>41.32</v>
      </c>
      <c r="P130">
        <v>43.992899999999999</v>
      </c>
    </row>
    <row r="131" spans="1:16" hidden="1" x14ac:dyDescent="0.25">
      <c r="A131" s="22">
        <v>43682</v>
      </c>
      <c r="B131" t="s">
        <v>1034</v>
      </c>
      <c r="C131" t="s">
        <v>23</v>
      </c>
      <c r="D131">
        <v>100</v>
      </c>
      <c r="E131">
        <v>224</v>
      </c>
      <c r="F131">
        <v>22400</v>
      </c>
      <c r="G131" t="s">
        <v>1382</v>
      </c>
      <c r="H131">
        <v>2019148</v>
      </c>
      <c r="I131" t="s">
        <v>19</v>
      </c>
      <c r="J131" t="s">
        <v>20</v>
      </c>
      <c r="K131" t="s">
        <v>25</v>
      </c>
      <c r="L131">
        <v>5.59</v>
      </c>
      <c r="M131">
        <v>0.81</v>
      </c>
      <c r="N131">
        <v>0</v>
      </c>
      <c r="O131">
        <v>29.65</v>
      </c>
      <c r="P131">
        <v>36.046399999999998</v>
      </c>
    </row>
    <row r="132" spans="1:16" hidden="1" x14ac:dyDescent="0.25">
      <c r="A132" s="22">
        <v>43682</v>
      </c>
      <c r="B132" t="s">
        <v>1105</v>
      </c>
      <c r="C132" t="s">
        <v>23</v>
      </c>
      <c r="D132">
        <v>100</v>
      </c>
      <c r="E132">
        <v>782.26</v>
      </c>
      <c r="F132">
        <v>78226.05</v>
      </c>
      <c r="G132" t="s">
        <v>1383</v>
      </c>
      <c r="H132">
        <v>2019148</v>
      </c>
      <c r="I132" t="s">
        <v>19</v>
      </c>
      <c r="J132" t="s">
        <v>20</v>
      </c>
      <c r="K132" t="s">
        <v>25</v>
      </c>
      <c r="L132">
        <v>19.41</v>
      </c>
      <c r="M132">
        <v>2.82</v>
      </c>
      <c r="N132">
        <v>0</v>
      </c>
      <c r="O132">
        <v>46.65</v>
      </c>
      <c r="P132">
        <v>68.876199999999997</v>
      </c>
    </row>
    <row r="133" spans="1:16" hidden="1" x14ac:dyDescent="0.25">
      <c r="A133" s="22">
        <v>43682</v>
      </c>
      <c r="B133" t="s">
        <v>1034</v>
      </c>
      <c r="C133" t="s">
        <v>17</v>
      </c>
      <c r="D133">
        <v>100</v>
      </c>
      <c r="E133">
        <v>223</v>
      </c>
      <c r="F133">
        <v>22300</v>
      </c>
      <c r="G133" t="s">
        <v>1384</v>
      </c>
      <c r="H133">
        <v>2019148</v>
      </c>
      <c r="I133" t="s">
        <v>19</v>
      </c>
      <c r="J133" t="s">
        <v>20</v>
      </c>
      <c r="K133" t="s">
        <v>25</v>
      </c>
      <c r="L133">
        <v>0</v>
      </c>
      <c r="M133">
        <v>0.8</v>
      </c>
      <c r="N133">
        <v>0</v>
      </c>
      <c r="O133">
        <v>29.64</v>
      </c>
      <c r="P133">
        <v>30.442799999999998</v>
      </c>
    </row>
    <row r="134" spans="1:16" hidden="1" x14ac:dyDescent="0.25">
      <c r="A134" s="22">
        <v>43682</v>
      </c>
      <c r="B134" t="s">
        <v>1105</v>
      </c>
      <c r="C134" t="s">
        <v>17</v>
      </c>
      <c r="D134">
        <v>100</v>
      </c>
      <c r="E134">
        <v>778</v>
      </c>
      <c r="F134">
        <v>77800</v>
      </c>
      <c r="G134" t="s">
        <v>1385</v>
      </c>
      <c r="H134">
        <v>2019148</v>
      </c>
      <c r="I134" t="s">
        <v>19</v>
      </c>
      <c r="J134" t="s">
        <v>20</v>
      </c>
      <c r="K134" t="s">
        <v>25</v>
      </c>
      <c r="L134">
        <v>0</v>
      </c>
      <c r="M134">
        <v>2.8</v>
      </c>
      <c r="N134">
        <v>6.3</v>
      </c>
      <c r="O134">
        <v>46.4</v>
      </c>
      <c r="P134">
        <v>55.500799999999998</v>
      </c>
    </row>
    <row r="135" spans="1:16" hidden="1" x14ac:dyDescent="0.25">
      <c r="A135" s="22">
        <v>43679</v>
      </c>
      <c r="B135" t="s">
        <v>179</v>
      </c>
      <c r="C135" t="s">
        <v>17</v>
      </c>
      <c r="D135">
        <v>100</v>
      </c>
      <c r="E135">
        <v>25</v>
      </c>
      <c r="F135">
        <v>2500</v>
      </c>
      <c r="G135" t="s">
        <v>1386</v>
      </c>
      <c r="H135">
        <v>2019147</v>
      </c>
      <c r="I135" t="s">
        <v>19</v>
      </c>
      <c r="J135" t="s">
        <v>20</v>
      </c>
      <c r="K135" t="s">
        <v>25</v>
      </c>
      <c r="L135">
        <v>3</v>
      </c>
      <c r="M135">
        <v>0.09</v>
      </c>
      <c r="N135">
        <v>0.3</v>
      </c>
      <c r="O135">
        <v>41.32</v>
      </c>
      <c r="P135">
        <v>44.71</v>
      </c>
    </row>
    <row r="136" spans="1:16" hidden="1" x14ac:dyDescent="0.25">
      <c r="A136" s="22">
        <v>43676</v>
      </c>
      <c r="B136" t="s">
        <v>659</v>
      </c>
      <c r="C136" t="s">
        <v>23</v>
      </c>
      <c r="D136">
        <v>100</v>
      </c>
      <c r="E136">
        <v>93.75</v>
      </c>
      <c r="F136">
        <v>9375</v>
      </c>
      <c r="G136" t="s">
        <v>1387</v>
      </c>
      <c r="H136">
        <v>2019144</v>
      </c>
      <c r="I136" t="s">
        <v>19</v>
      </c>
      <c r="J136" t="s">
        <v>20</v>
      </c>
      <c r="K136" t="s">
        <v>25</v>
      </c>
      <c r="L136">
        <v>2</v>
      </c>
      <c r="M136">
        <v>0.34</v>
      </c>
      <c r="N136">
        <v>0.6</v>
      </c>
      <c r="O136">
        <v>29.56</v>
      </c>
      <c r="P136">
        <v>32.497500000000002</v>
      </c>
    </row>
    <row r="137" spans="1:16" hidden="1" x14ac:dyDescent="0.25">
      <c r="A137" s="22">
        <v>43676</v>
      </c>
      <c r="B137" t="s">
        <v>659</v>
      </c>
      <c r="C137" t="s">
        <v>17</v>
      </c>
      <c r="D137">
        <v>100</v>
      </c>
      <c r="E137">
        <v>92.1</v>
      </c>
      <c r="F137">
        <v>9210</v>
      </c>
      <c r="G137" t="s">
        <v>1388</v>
      </c>
      <c r="H137">
        <v>2019144</v>
      </c>
      <c r="I137" t="s">
        <v>19</v>
      </c>
      <c r="J137" t="s">
        <v>20</v>
      </c>
      <c r="K137" t="s">
        <v>25</v>
      </c>
      <c r="L137">
        <v>0</v>
      </c>
      <c r="M137">
        <v>0.33</v>
      </c>
      <c r="N137">
        <v>0</v>
      </c>
      <c r="O137">
        <v>29.56</v>
      </c>
      <c r="P137">
        <v>29.8916</v>
      </c>
    </row>
    <row r="138" spans="1:16" hidden="1" x14ac:dyDescent="0.25">
      <c r="A138" s="22">
        <v>43675</v>
      </c>
      <c r="B138" t="s">
        <v>981</v>
      </c>
      <c r="C138" t="s">
        <v>17</v>
      </c>
      <c r="D138">
        <v>20</v>
      </c>
      <c r="E138">
        <v>140</v>
      </c>
      <c r="F138">
        <v>2800</v>
      </c>
      <c r="G138" t="s">
        <v>1389</v>
      </c>
      <c r="H138">
        <v>2019143</v>
      </c>
      <c r="I138" t="s">
        <v>19</v>
      </c>
      <c r="J138" t="s">
        <v>20</v>
      </c>
      <c r="K138" t="s">
        <v>25</v>
      </c>
      <c r="L138">
        <v>3</v>
      </c>
      <c r="M138">
        <v>0.1</v>
      </c>
      <c r="N138">
        <v>0.3</v>
      </c>
      <c r="O138">
        <v>41.32</v>
      </c>
      <c r="P138">
        <v>44.720799999999997</v>
      </c>
    </row>
    <row r="139" spans="1:16" hidden="1" x14ac:dyDescent="0.25">
      <c r="A139" s="22">
        <v>43672</v>
      </c>
      <c r="B139" t="s">
        <v>321</v>
      </c>
      <c r="C139" t="s">
        <v>17</v>
      </c>
      <c r="D139">
        <v>100</v>
      </c>
      <c r="E139">
        <v>275.95</v>
      </c>
      <c r="F139">
        <v>27595</v>
      </c>
      <c r="G139" t="s">
        <v>1390</v>
      </c>
      <c r="H139">
        <v>2019142</v>
      </c>
      <c r="I139" t="s">
        <v>19</v>
      </c>
      <c r="J139" t="s">
        <v>20</v>
      </c>
      <c r="K139" t="s">
        <v>25</v>
      </c>
      <c r="L139">
        <v>0</v>
      </c>
      <c r="M139">
        <v>0.99</v>
      </c>
      <c r="N139">
        <v>0</v>
      </c>
      <c r="O139">
        <v>29.68</v>
      </c>
      <c r="P139">
        <v>30.673400000000001</v>
      </c>
    </row>
    <row r="140" spans="1:16" hidden="1" x14ac:dyDescent="0.25">
      <c r="A140" s="22">
        <v>43672</v>
      </c>
      <c r="B140" t="s">
        <v>321</v>
      </c>
      <c r="C140" t="s">
        <v>23</v>
      </c>
      <c r="D140">
        <v>100</v>
      </c>
      <c r="E140">
        <v>275.39999999999998</v>
      </c>
      <c r="F140">
        <v>27540</v>
      </c>
      <c r="G140" t="s">
        <v>1391</v>
      </c>
      <c r="H140">
        <v>2019142</v>
      </c>
      <c r="I140" t="s">
        <v>19</v>
      </c>
      <c r="J140" t="s">
        <v>20</v>
      </c>
      <c r="K140" t="s">
        <v>25</v>
      </c>
      <c r="L140">
        <v>7</v>
      </c>
      <c r="M140">
        <v>0.99</v>
      </c>
      <c r="N140">
        <v>1.8</v>
      </c>
      <c r="O140">
        <v>29.68</v>
      </c>
      <c r="P140">
        <v>39.471400000000003</v>
      </c>
    </row>
    <row r="141" spans="1:16" hidden="1" x14ac:dyDescent="0.25">
      <c r="A141" s="22">
        <v>43671</v>
      </c>
      <c r="B141" t="s">
        <v>659</v>
      </c>
      <c r="C141" t="s">
        <v>23</v>
      </c>
      <c r="D141">
        <v>250</v>
      </c>
      <c r="E141">
        <v>89.15</v>
      </c>
      <c r="F141">
        <v>22287.5</v>
      </c>
      <c r="G141" t="s">
        <v>1392</v>
      </c>
      <c r="H141">
        <v>2019141</v>
      </c>
      <c r="I141" t="s">
        <v>19</v>
      </c>
      <c r="J141" t="s">
        <v>20</v>
      </c>
      <c r="K141" t="s">
        <v>25</v>
      </c>
      <c r="L141">
        <v>5</v>
      </c>
      <c r="M141">
        <v>0.8</v>
      </c>
      <c r="N141">
        <v>0</v>
      </c>
      <c r="O141">
        <v>29.64</v>
      </c>
      <c r="P141">
        <v>35.442399999999999</v>
      </c>
    </row>
    <row r="142" spans="1:16" hidden="1" x14ac:dyDescent="0.25">
      <c r="A142" s="22">
        <v>43671</v>
      </c>
      <c r="B142" t="s">
        <v>659</v>
      </c>
      <c r="C142" t="s">
        <v>17</v>
      </c>
      <c r="D142">
        <v>250</v>
      </c>
      <c r="E142">
        <v>86.25</v>
      </c>
      <c r="F142">
        <v>21562.5</v>
      </c>
      <c r="G142" t="s">
        <v>1393</v>
      </c>
      <c r="H142">
        <v>2019141</v>
      </c>
      <c r="I142" t="s">
        <v>19</v>
      </c>
      <c r="J142" t="s">
        <v>20</v>
      </c>
      <c r="K142" t="s">
        <v>25</v>
      </c>
      <c r="L142">
        <v>0</v>
      </c>
      <c r="M142">
        <v>0.78</v>
      </c>
      <c r="N142">
        <v>1.5</v>
      </c>
      <c r="O142">
        <v>29.64</v>
      </c>
      <c r="P142">
        <v>31.9163</v>
      </c>
    </row>
    <row r="143" spans="1:16" hidden="1" x14ac:dyDescent="0.25">
      <c r="A143" s="22">
        <v>43670</v>
      </c>
      <c r="B143" t="s">
        <v>1394</v>
      </c>
      <c r="C143" t="s">
        <v>17</v>
      </c>
      <c r="D143">
        <v>250</v>
      </c>
      <c r="E143">
        <v>125.5</v>
      </c>
      <c r="F143">
        <v>31375</v>
      </c>
      <c r="G143" t="s">
        <v>1395</v>
      </c>
      <c r="H143">
        <v>2019140</v>
      </c>
      <c r="I143" t="s">
        <v>19</v>
      </c>
      <c r="J143" t="s">
        <v>20</v>
      </c>
      <c r="K143" t="s">
        <v>25</v>
      </c>
      <c r="L143">
        <v>0</v>
      </c>
      <c r="M143">
        <v>1.1299999999999999</v>
      </c>
      <c r="N143">
        <v>0</v>
      </c>
      <c r="O143">
        <v>29.7</v>
      </c>
      <c r="P143">
        <v>30.829499999999999</v>
      </c>
    </row>
    <row r="144" spans="1:16" hidden="1" x14ac:dyDescent="0.25">
      <c r="A144" s="22">
        <v>43670</v>
      </c>
      <c r="B144" t="s">
        <v>1394</v>
      </c>
      <c r="C144" t="s">
        <v>23</v>
      </c>
      <c r="D144">
        <v>250</v>
      </c>
      <c r="E144">
        <v>124</v>
      </c>
      <c r="F144">
        <v>31000</v>
      </c>
      <c r="G144" t="s">
        <v>1396</v>
      </c>
      <c r="H144">
        <v>2019140</v>
      </c>
      <c r="I144" t="s">
        <v>19</v>
      </c>
      <c r="J144" t="s">
        <v>20</v>
      </c>
      <c r="K144" t="s">
        <v>25</v>
      </c>
      <c r="L144">
        <v>8</v>
      </c>
      <c r="M144">
        <v>1.1200000000000001</v>
      </c>
      <c r="N144">
        <v>2.1</v>
      </c>
      <c r="O144">
        <v>29.7</v>
      </c>
      <c r="P144">
        <v>40.915999999999997</v>
      </c>
    </row>
    <row r="145" spans="1:16" hidden="1" x14ac:dyDescent="0.25">
      <c r="A145" s="22">
        <v>43669</v>
      </c>
      <c r="B145" t="s">
        <v>179</v>
      </c>
      <c r="C145" t="s">
        <v>17</v>
      </c>
      <c r="D145">
        <v>100</v>
      </c>
      <c r="E145">
        <v>30</v>
      </c>
      <c r="F145">
        <v>3000</v>
      </c>
      <c r="G145" t="s">
        <v>1397</v>
      </c>
      <c r="H145">
        <v>2019139</v>
      </c>
      <c r="I145" t="s">
        <v>19</v>
      </c>
      <c r="J145" t="s">
        <v>20</v>
      </c>
      <c r="K145" t="s">
        <v>25</v>
      </c>
      <c r="L145">
        <v>3</v>
      </c>
      <c r="M145">
        <v>0.11</v>
      </c>
      <c r="N145">
        <v>0.3</v>
      </c>
      <c r="O145">
        <v>41.32</v>
      </c>
      <c r="P145">
        <v>44.728000000000002</v>
      </c>
    </row>
    <row r="146" spans="1:16" hidden="1" x14ac:dyDescent="0.25">
      <c r="A146" s="22">
        <v>43668</v>
      </c>
      <c r="B146" t="s">
        <v>205</v>
      </c>
      <c r="C146" t="s">
        <v>23</v>
      </c>
      <c r="D146">
        <v>550</v>
      </c>
      <c r="E146">
        <v>5.9</v>
      </c>
      <c r="F146">
        <v>3245</v>
      </c>
      <c r="G146" t="s">
        <v>1398</v>
      </c>
      <c r="H146">
        <v>2019138</v>
      </c>
      <c r="I146" t="s">
        <v>19</v>
      </c>
      <c r="J146" t="s">
        <v>20</v>
      </c>
      <c r="K146" t="s">
        <v>25</v>
      </c>
      <c r="L146">
        <v>3</v>
      </c>
      <c r="M146">
        <v>0.12</v>
      </c>
      <c r="N146">
        <v>0.3</v>
      </c>
      <c r="O146">
        <v>41.3</v>
      </c>
      <c r="P146">
        <v>44.716799999999999</v>
      </c>
    </row>
    <row r="147" spans="1:16" hidden="1" x14ac:dyDescent="0.25">
      <c r="A147" s="22">
        <v>43663</v>
      </c>
      <c r="B147" t="s">
        <v>279</v>
      </c>
      <c r="C147" t="s">
        <v>23</v>
      </c>
      <c r="D147">
        <v>100</v>
      </c>
      <c r="E147">
        <v>379</v>
      </c>
      <c r="F147">
        <v>37900</v>
      </c>
      <c r="G147" t="s">
        <v>1399</v>
      </c>
      <c r="H147">
        <v>2019135</v>
      </c>
      <c r="I147" t="s">
        <v>19</v>
      </c>
      <c r="J147" t="s">
        <v>20</v>
      </c>
      <c r="K147" t="s">
        <v>25</v>
      </c>
      <c r="L147">
        <v>9.57</v>
      </c>
      <c r="M147">
        <v>1.36</v>
      </c>
      <c r="N147">
        <v>0</v>
      </c>
      <c r="O147">
        <v>29.75</v>
      </c>
      <c r="P147">
        <v>40.684399999999997</v>
      </c>
    </row>
    <row r="148" spans="1:16" hidden="1" x14ac:dyDescent="0.25">
      <c r="A148" s="22">
        <v>43663</v>
      </c>
      <c r="B148" t="s">
        <v>279</v>
      </c>
      <c r="C148" t="s">
        <v>17</v>
      </c>
      <c r="D148">
        <v>100</v>
      </c>
      <c r="E148">
        <v>384</v>
      </c>
      <c r="F148">
        <v>38400</v>
      </c>
      <c r="G148" t="s">
        <v>1400</v>
      </c>
      <c r="H148">
        <v>2019135</v>
      </c>
      <c r="I148" t="s">
        <v>19</v>
      </c>
      <c r="J148" t="s">
        <v>20</v>
      </c>
      <c r="K148" t="s">
        <v>25</v>
      </c>
      <c r="L148">
        <v>0</v>
      </c>
      <c r="M148">
        <v>1.38</v>
      </c>
      <c r="N148">
        <v>0</v>
      </c>
      <c r="O148">
        <v>29.75</v>
      </c>
      <c r="P148">
        <v>31.132400000000001</v>
      </c>
    </row>
    <row r="149" spans="1:16" hidden="1" x14ac:dyDescent="0.25">
      <c r="A149" s="22">
        <v>43663</v>
      </c>
      <c r="B149" t="s">
        <v>279</v>
      </c>
      <c r="C149" t="s">
        <v>17</v>
      </c>
      <c r="D149">
        <v>200</v>
      </c>
      <c r="E149">
        <v>385</v>
      </c>
      <c r="F149">
        <v>77000</v>
      </c>
      <c r="G149" t="s">
        <v>1401</v>
      </c>
      <c r="H149">
        <v>2019135</v>
      </c>
      <c r="I149" t="s">
        <v>19</v>
      </c>
      <c r="J149" t="s">
        <v>20</v>
      </c>
      <c r="K149" t="s">
        <v>25</v>
      </c>
      <c r="L149">
        <v>0</v>
      </c>
      <c r="M149">
        <v>2.77</v>
      </c>
      <c r="N149">
        <v>6.9</v>
      </c>
      <c r="O149">
        <v>59.5</v>
      </c>
      <c r="P149">
        <v>69.172200000000004</v>
      </c>
    </row>
    <row r="150" spans="1:16" hidden="1" x14ac:dyDescent="0.25">
      <c r="A150" s="22">
        <v>43663</v>
      </c>
      <c r="B150" t="s">
        <v>279</v>
      </c>
      <c r="C150" t="s">
        <v>23</v>
      </c>
      <c r="D150">
        <v>200</v>
      </c>
      <c r="E150">
        <v>382.36</v>
      </c>
      <c r="F150">
        <v>76472</v>
      </c>
      <c r="G150" t="s">
        <v>1402</v>
      </c>
      <c r="H150">
        <v>2019135</v>
      </c>
      <c r="I150" t="s">
        <v>19</v>
      </c>
      <c r="J150" t="s">
        <v>20</v>
      </c>
      <c r="K150" t="s">
        <v>25</v>
      </c>
      <c r="L150">
        <v>19.43</v>
      </c>
      <c r="M150">
        <v>2.75</v>
      </c>
      <c r="N150">
        <v>0</v>
      </c>
      <c r="O150">
        <v>45.61</v>
      </c>
      <c r="P150">
        <v>67.793099999999995</v>
      </c>
    </row>
    <row r="151" spans="1:16" hidden="1" x14ac:dyDescent="0.25">
      <c r="A151" s="22">
        <v>43662</v>
      </c>
      <c r="B151" t="s">
        <v>74</v>
      </c>
      <c r="C151" t="s">
        <v>23</v>
      </c>
      <c r="D151">
        <v>100</v>
      </c>
      <c r="E151">
        <v>782</v>
      </c>
      <c r="F151">
        <v>78200</v>
      </c>
      <c r="G151" t="s">
        <v>1403</v>
      </c>
      <c r="H151">
        <v>2019134</v>
      </c>
      <c r="I151" t="s">
        <v>19</v>
      </c>
      <c r="J151" t="s">
        <v>20</v>
      </c>
      <c r="K151" t="s">
        <v>25</v>
      </c>
      <c r="L151">
        <v>20</v>
      </c>
      <c r="M151">
        <v>2.82</v>
      </c>
      <c r="N151">
        <v>0</v>
      </c>
      <c r="O151">
        <v>46.64</v>
      </c>
      <c r="P151">
        <v>69.455200000000005</v>
      </c>
    </row>
    <row r="152" spans="1:16" hidden="1" x14ac:dyDescent="0.25">
      <c r="A152" s="22">
        <v>43662</v>
      </c>
      <c r="B152" t="s">
        <v>74</v>
      </c>
      <c r="C152" t="s">
        <v>17</v>
      </c>
      <c r="D152">
        <v>100</v>
      </c>
      <c r="E152">
        <v>780.7</v>
      </c>
      <c r="F152">
        <v>78070</v>
      </c>
      <c r="G152" t="s">
        <v>1404</v>
      </c>
      <c r="H152">
        <v>2019134</v>
      </c>
      <c r="I152" t="s">
        <v>19</v>
      </c>
      <c r="J152" t="s">
        <v>20</v>
      </c>
      <c r="K152" t="s">
        <v>25</v>
      </c>
      <c r="L152">
        <v>0</v>
      </c>
      <c r="M152">
        <v>2.81</v>
      </c>
      <c r="N152">
        <v>4.8</v>
      </c>
      <c r="O152">
        <v>46.57</v>
      </c>
      <c r="P152">
        <v>54.180599999999998</v>
      </c>
    </row>
    <row r="153" spans="1:16" hidden="1" x14ac:dyDescent="0.25">
      <c r="A153" s="22">
        <v>43661</v>
      </c>
      <c r="B153" t="s">
        <v>74</v>
      </c>
      <c r="C153" t="s">
        <v>23</v>
      </c>
      <c r="D153">
        <v>100</v>
      </c>
      <c r="E153">
        <v>760</v>
      </c>
      <c r="F153">
        <v>76000</v>
      </c>
      <c r="G153" t="s">
        <v>1405</v>
      </c>
      <c r="H153">
        <v>2019133</v>
      </c>
      <c r="I153" t="s">
        <v>19</v>
      </c>
      <c r="J153" t="s">
        <v>20</v>
      </c>
      <c r="K153" t="s">
        <v>25</v>
      </c>
      <c r="L153">
        <v>19</v>
      </c>
      <c r="M153">
        <v>2.74</v>
      </c>
      <c r="N153">
        <v>4.8</v>
      </c>
      <c r="O153">
        <v>45.33</v>
      </c>
      <c r="P153">
        <v>71.866</v>
      </c>
    </row>
    <row r="154" spans="1:16" hidden="1" x14ac:dyDescent="0.25">
      <c r="A154" s="22">
        <v>43661</v>
      </c>
      <c r="B154" t="s">
        <v>74</v>
      </c>
      <c r="C154" t="s">
        <v>17</v>
      </c>
      <c r="D154">
        <v>100</v>
      </c>
      <c r="E154">
        <v>775</v>
      </c>
      <c r="F154">
        <v>77500</v>
      </c>
      <c r="G154" t="s">
        <v>1406</v>
      </c>
      <c r="H154">
        <v>2019133</v>
      </c>
      <c r="I154" t="s">
        <v>19</v>
      </c>
      <c r="J154" t="s">
        <v>20</v>
      </c>
      <c r="K154" t="s">
        <v>25</v>
      </c>
      <c r="L154">
        <v>0</v>
      </c>
      <c r="M154">
        <v>2.79</v>
      </c>
      <c r="N154">
        <v>0</v>
      </c>
      <c r="O154">
        <v>46.23</v>
      </c>
      <c r="P154">
        <v>49.02</v>
      </c>
    </row>
    <row r="155" spans="1:16" hidden="1" x14ac:dyDescent="0.25">
      <c r="A155" s="22">
        <v>43655</v>
      </c>
      <c r="B155" t="s">
        <v>1407</v>
      </c>
      <c r="C155" t="s">
        <v>17</v>
      </c>
      <c r="D155">
        <v>100</v>
      </c>
      <c r="E155">
        <v>628</v>
      </c>
      <c r="F155">
        <v>62800</v>
      </c>
      <c r="G155" t="s">
        <v>1408</v>
      </c>
      <c r="H155">
        <v>2019129</v>
      </c>
      <c r="I155" t="s">
        <v>19</v>
      </c>
      <c r="J155" t="s">
        <v>20</v>
      </c>
      <c r="K155" t="s">
        <v>25</v>
      </c>
      <c r="L155">
        <v>0</v>
      </c>
      <c r="M155">
        <v>2.2599999999999998</v>
      </c>
      <c r="N155">
        <v>0</v>
      </c>
      <c r="O155">
        <v>37.46</v>
      </c>
      <c r="P155">
        <v>39.720799999999997</v>
      </c>
    </row>
    <row r="156" spans="1:16" hidden="1" x14ac:dyDescent="0.25">
      <c r="A156" s="22">
        <v>43655</v>
      </c>
      <c r="B156" t="s">
        <v>1407</v>
      </c>
      <c r="C156" t="s">
        <v>23</v>
      </c>
      <c r="D156">
        <v>100</v>
      </c>
      <c r="E156">
        <v>627.35</v>
      </c>
      <c r="F156">
        <v>62735</v>
      </c>
      <c r="G156" t="s">
        <v>1409</v>
      </c>
      <c r="H156">
        <v>2019129</v>
      </c>
      <c r="I156" t="s">
        <v>19</v>
      </c>
      <c r="J156" t="s">
        <v>20</v>
      </c>
      <c r="K156" t="s">
        <v>25</v>
      </c>
      <c r="L156">
        <v>16</v>
      </c>
      <c r="M156">
        <v>2.2599999999999998</v>
      </c>
      <c r="N156">
        <v>3.9</v>
      </c>
      <c r="O156">
        <v>37.450000000000003</v>
      </c>
      <c r="P156">
        <v>59.6081</v>
      </c>
    </row>
    <row r="157" spans="1:16" hidden="1" x14ac:dyDescent="0.25">
      <c r="A157" s="22">
        <v>43654</v>
      </c>
      <c r="B157" t="s">
        <v>282</v>
      </c>
      <c r="C157" t="s">
        <v>17</v>
      </c>
      <c r="D157">
        <v>30</v>
      </c>
      <c r="E157">
        <v>230</v>
      </c>
      <c r="F157">
        <v>6900</v>
      </c>
      <c r="G157" t="s">
        <v>1410</v>
      </c>
      <c r="H157">
        <v>2019128</v>
      </c>
      <c r="I157" t="s">
        <v>19</v>
      </c>
      <c r="J157" t="s">
        <v>20</v>
      </c>
      <c r="K157" t="s">
        <v>25</v>
      </c>
      <c r="L157">
        <v>7</v>
      </c>
      <c r="M157">
        <v>0.25</v>
      </c>
      <c r="N157">
        <v>0.3</v>
      </c>
      <c r="O157">
        <v>44.83</v>
      </c>
      <c r="P157">
        <v>52.378399999999999</v>
      </c>
    </row>
    <row r="158" spans="1:16" hidden="1" x14ac:dyDescent="0.25">
      <c r="A158" s="22">
        <v>43650</v>
      </c>
      <c r="B158" t="s">
        <v>1411</v>
      </c>
      <c r="C158" t="s">
        <v>23</v>
      </c>
      <c r="D158">
        <v>250</v>
      </c>
      <c r="E158">
        <v>147.15</v>
      </c>
      <c r="F158">
        <v>36787.5</v>
      </c>
      <c r="G158" t="s">
        <v>1412</v>
      </c>
      <c r="H158">
        <v>2019126</v>
      </c>
      <c r="I158" t="s">
        <v>19</v>
      </c>
      <c r="J158" t="s">
        <v>20</v>
      </c>
      <c r="K158" t="s">
        <v>25</v>
      </c>
      <c r="L158">
        <v>9.17</v>
      </c>
      <c r="M158">
        <v>1.32</v>
      </c>
      <c r="N158">
        <v>0</v>
      </c>
      <c r="O158">
        <v>29.74</v>
      </c>
      <c r="P158">
        <v>40.234400000000001</v>
      </c>
    </row>
    <row r="159" spans="1:16" hidden="1" x14ac:dyDescent="0.25">
      <c r="A159" s="22">
        <v>43650</v>
      </c>
      <c r="B159" t="s">
        <v>1411</v>
      </c>
      <c r="C159" t="s">
        <v>17</v>
      </c>
      <c r="D159">
        <v>250</v>
      </c>
      <c r="E159">
        <v>146.15</v>
      </c>
      <c r="F159">
        <v>36537.5</v>
      </c>
      <c r="G159" t="s">
        <v>1413</v>
      </c>
      <c r="H159">
        <v>2019126</v>
      </c>
      <c r="I159" t="s">
        <v>19</v>
      </c>
      <c r="J159" t="s">
        <v>20</v>
      </c>
      <c r="K159" t="s">
        <v>25</v>
      </c>
      <c r="L159">
        <v>0</v>
      </c>
      <c r="M159">
        <v>1.32</v>
      </c>
      <c r="N159">
        <v>0</v>
      </c>
      <c r="O159">
        <v>29.74</v>
      </c>
      <c r="P159">
        <v>31.055399999999999</v>
      </c>
    </row>
    <row r="160" spans="1:16" hidden="1" x14ac:dyDescent="0.25">
      <c r="A160" s="22">
        <v>43650</v>
      </c>
      <c r="B160" t="s">
        <v>270</v>
      </c>
      <c r="C160" t="s">
        <v>23</v>
      </c>
      <c r="D160">
        <v>500</v>
      </c>
      <c r="E160">
        <v>129</v>
      </c>
      <c r="F160">
        <v>64500</v>
      </c>
      <c r="G160" t="s">
        <v>1414</v>
      </c>
      <c r="H160">
        <v>2019126</v>
      </c>
      <c r="I160" t="s">
        <v>19</v>
      </c>
      <c r="J160" t="s">
        <v>20</v>
      </c>
      <c r="K160" t="s">
        <v>25</v>
      </c>
      <c r="L160">
        <v>16.190000000000001</v>
      </c>
      <c r="M160">
        <v>2.3199999999999998</v>
      </c>
      <c r="N160">
        <v>0</v>
      </c>
      <c r="O160">
        <v>38.47</v>
      </c>
      <c r="P160">
        <v>56.981999999999999</v>
      </c>
    </row>
    <row r="161" spans="1:16" hidden="1" x14ac:dyDescent="0.25">
      <c r="A161" s="22">
        <v>43650</v>
      </c>
      <c r="B161" t="s">
        <v>270</v>
      </c>
      <c r="C161" t="s">
        <v>17</v>
      </c>
      <c r="D161">
        <v>500</v>
      </c>
      <c r="E161">
        <v>130</v>
      </c>
      <c r="F161">
        <v>65000</v>
      </c>
      <c r="G161" t="s">
        <v>1415</v>
      </c>
      <c r="H161">
        <v>2019126</v>
      </c>
      <c r="I161" t="s">
        <v>19</v>
      </c>
      <c r="J161" t="s">
        <v>20</v>
      </c>
      <c r="K161" t="s">
        <v>25</v>
      </c>
      <c r="L161">
        <v>0</v>
      </c>
      <c r="M161">
        <v>2.34</v>
      </c>
      <c r="N161">
        <v>0</v>
      </c>
      <c r="O161">
        <v>38.770000000000003</v>
      </c>
      <c r="P161">
        <v>41.11</v>
      </c>
    </row>
    <row r="162" spans="1:16" hidden="1" x14ac:dyDescent="0.25">
      <c r="A162" s="22">
        <v>43650</v>
      </c>
      <c r="B162" t="s">
        <v>1174</v>
      </c>
      <c r="C162" t="s">
        <v>23</v>
      </c>
      <c r="D162">
        <v>1000</v>
      </c>
      <c r="E162">
        <v>65.5</v>
      </c>
      <c r="F162">
        <v>65500</v>
      </c>
      <c r="G162" t="s">
        <v>1416</v>
      </c>
      <c r="H162">
        <v>2019126</v>
      </c>
      <c r="I162" t="s">
        <v>19</v>
      </c>
      <c r="J162" t="s">
        <v>20</v>
      </c>
      <c r="K162" t="s">
        <v>25</v>
      </c>
      <c r="L162">
        <v>16.309999999999999</v>
      </c>
      <c r="M162">
        <v>2.36</v>
      </c>
      <c r="N162">
        <v>0</v>
      </c>
      <c r="O162">
        <v>39.07</v>
      </c>
      <c r="P162">
        <v>57.738</v>
      </c>
    </row>
    <row r="163" spans="1:16" hidden="1" x14ac:dyDescent="0.25">
      <c r="A163" s="22">
        <v>43650</v>
      </c>
      <c r="B163" t="s">
        <v>1174</v>
      </c>
      <c r="C163" t="s">
        <v>17</v>
      </c>
      <c r="D163">
        <v>1000</v>
      </c>
      <c r="E163">
        <v>65</v>
      </c>
      <c r="F163">
        <v>65000</v>
      </c>
      <c r="G163" t="s">
        <v>1417</v>
      </c>
      <c r="H163">
        <v>2019126</v>
      </c>
      <c r="I163" t="s">
        <v>19</v>
      </c>
      <c r="J163" t="s">
        <v>20</v>
      </c>
      <c r="K163" t="s">
        <v>25</v>
      </c>
      <c r="L163">
        <v>0</v>
      </c>
      <c r="M163">
        <v>2.34</v>
      </c>
      <c r="N163">
        <v>0</v>
      </c>
      <c r="O163">
        <v>38.770000000000003</v>
      </c>
      <c r="P163">
        <v>41.11</v>
      </c>
    </row>
    <row r="164" spans="1:16" hidden="1" x14ac:dyDescent="0.25">
      <c r="A164" s="22">
        <v>43650</v>
      </c>
      <c r="B164" t="s">
        <v>16</v>
      </c>
      <c r="C164" t="s">
        <v>17</v>
      </c>
      <c r="D164">
        <v>2500</v>
      </c>
      <c r="E164">
        <v>24.15</v>
      </c>
      <c r="F164">
        <v>60375</v>
      </c>
      <c r="G164" t="s">
        <v>1418</v>
      </c>
      <c r="H164">
        <v>2019126</v>
      </c>
      <c r="I164" t="s">
        <v>19</v>
      </c>
      <c r="J164" t="s">
        <v>20</v>
      </c>
      <c r="K164" t="s">
        <v>25</v>
      </c>
      <c r="L164">
        <v>0</v>
      </c>
      <c r="M164">
        <v>2.17</v>
      </c>
      <c r="N164">
        <v>13.8</v>
      </c>
      <c r="O164">
        <v>36.01</v>
      </c>
      <c r="P164">
        <v>51.983499999999999</v>
      </c>
    </row>
    <row r="165" spans="1:16" hidden="1" x14ac:dyDescent="0.25">
      <c r="A165" s="22">
        <v>43650</v>
      </c>
      <c r="B165" t="s">
        <v>16</v>
      </c>
      <c r="C165" t="s">
        <v>23</v>
      </c>
      <c r="D165">
        <v>2500</v>
      </c>
      <c r="E165">
        <v>24.2</v>
      </c>
      <c r="F165">
        <v>60500</v>
      </c>
      <c r="G165" t="s">
        <v>1419</v>
      </c>
      <c r="H165">
        <v>2019126</v>
      </c>
      <c r="I165" t="s">
        <v>19</v>
      </c>
      <c r="J165" t="s">
        <v>20</v>
      </c>
      <c r="K165" t="s">
        <v>25</v>
      </c>
      <c r="L165">
        <v>15.33</v>
      </c>
      <c r="M165">
        <v>2.1800000000000002</v>
      </c>
      <c r="N165">
        <v>0</v>
      </c>
      <c r="O165">
        <v>36.090000000000003</v>
      </c>
      <c r="P165">
        <v>53.597999999999999</v>
      </c>
    </row>
    <row r="166" spans="1:16" hidden="1" x14ac:dyDescent="0.25">
      <c r="A166" s="22">
        <v>43649</v>
      </c>
      <c r="B166" t="s">
        <v>1105</v>
      </c>
      <c r="C166" t="s">
        <v>23</v>
      </c>
      <c r="D166">
        <v>50</v>
      </c>
      <c r="E166">
        <v>930</v>
      </c>
      <c r="F166">
        <v>46500</v>
      </c>
      <c r="G166" t="s">
        <v>1420</v>
      </c>
      <c r="H166">
        <v>2019125</v>
      </c>
      <c r="I166" t="s">
        <v>19</v>
      </c>
      <c r="J166" t="s">
        <v>20</v>
      </c>
      <c r="K166" t="s">
        <v>25</v>
      </c>
      <c r="L166">
        <v>11.68</v>
      </c>
      <c r="M166">
        <v>1.67</v>
      </c>
      <c r="N166">
        <v>0</v>
      </c>
      <c r="O166">
        <v>29.81</v>
      </c>
      <c r="P166">
        <v>43.164099999999998</v>
      </c>
    </row>
    <row r="167" spans="1:16" hidden="1" x14ac:dyDescent="0.25">
      <c r="A167" s="22">
        <v>43649</v>
      </c>
      <c r="B167" t="s">
        <v>1105</v>
      </c>
      <c r="C167" t="s">
        <v>17</v>
      </c>
      <c r="D167">
        <v>50</v>
      </c>
      <c r="E167">
        <v>927.3</v>
      </c>
      <c r="F167">
        <v>46365</v>
      </c>
      <c r="G167" t="s">
        <v>1421</v>
      </c>
      <c r="H167">
        <v>2019125</v>
      </c>
      <c r="I167" t="s">
        <v>19</v>
      </c>
      <c r="J167" t="s">
        <v>20</v>
      </c>
      <c r="K167" t="s">
        <v>25</v>
      </c>
      <c r="L167">
        <v>0</v>
      </c>
      <c r="M167">
        <v>1.67</v>
      </c>
      <c r="N167">
        <v>0</v>
      </c>
      <c r="O167">
        <v>29.8</v>
      </c>
      <c r="P167">
        <v>31.469200000000001</v>
      </c>
    </row>
    <row r="168" spans="1:16" hidden="1" x14ac:dyDescent="0.25">
      <c r="A168" s="22">
        <v>43649</v>
      </c>
      <c r="B168" t="s">
        <v>1174</v>
      </c>
      <c r="C168" t="s">
        <v>23</v>
      </c>
      <c r="D168">
        <v>500</v>
      </c>
      <c r="E168">
        <v>66.25</v>
      </c>
      <c r="F168">
        <v>33125</v>
      </c>
      <c r="G168" t="s">
        <v>1422</v>
      </c>
      <c r="H168">
        <v>2019125</v>
      </c>
      <c r="I168" t="s">
        <v>19</v>
      </c>
      <c r="J168" t="s">
        <v>20</v>
      </c>
      <c r="K168" t="s">
        <v>25</v>
      </c>
      <c r="L168">
        <v>8.2200000000000006</v>
      </c>
      <c r="M168">
        <v>1.19</v>
      </c>
      <c r="N168">
        <v>0</v>
      </c>
      <c r="O168">
        <v>29.71</v>
      </c>
      <c r="P168">
        <v>39.122500000000002</v>
      </c>
    </row>
    <row r="169" spans="1:16" hidden="1" x14ac:dyDescent="0.25">
      <c r="A169" s="22">
        <v>43649</v>
      </c>
      <c r="B169" t="s">
        <v>1174</v>
      </c>
      <c r="C169" t="s">
        <v>17</v>
      </c>
      <c r="D169">
        <v>500</v>
      </c>
      <c r="E169">
        <v>65.25</v>
      </c>
      <c r="F169">
        <v>32625</v>
      </c>
      <c r="G169" t="s">
        <v>1423</v>
      </c>
      <c r="H169">
        <v>2019125</v>
      </c>
      <c r="I169" t="s">
        <v>19</v>
      </c>
      <c r="J169" t="s">
        <v>20</v>
      </c>
      <c r="K169" t="s">
        <v>25</v>
      </c>
      <c r="L169">
        <v>0</v>
      </c>
      <c r="M169">
        <v>1.17</v>
      </c>
      <c r="N169">
        <v>0</v>
      </c>
      <c r="O169">
        <v>29.71</v>
      </c>
      <c r="P169">
        <v>30.884499999999999</v>
      </c>
    </row>
    <row r="170" spans="1:16" hidden="1" x14ac:dyDescent="0.25">
      <c r="A170" s="22">
        <v>43649</v>
      </c>
      <c r="B170" t="s">
        <v>16</v>
      </c>
      <c r="C170" t="s">
        <v>17</v>
      </c>
      <c r="D170">
        <v>1000</v>
      </c>
      <c r="E170">
        <v>24.2</v>
      </c>
      <c r="F170">
        <v>24200</v>
      </c>
      <c r="G170" t="s">
        <v>1424</v>
      </c>
      <c r="H170">
        <v>2019125</v>
      </c>
      <c r="I170" t="s">
        <v>19</v>
      </c>
      <c r="J170" t="s">
        <v>20</v>
      </c>
      <c r="K170" t="s">
        <v>25</v>
      </c>
      <c r="L170">
        <v>0</v>
      </c>
      <c r="M170">
        <v>0.87</v>
      </c>
      <c r="N170">
        <v>0</v>
      </c>
      <c r="O170">
        <v>29.66</v>
      </c>
      <c r="P170">
        <v>30.531199999999998</v>
      </c>
    </row>
    <row r="171" spans="1:16" hidden="1" x14ac:dyDescent="0.25">
      <c r="A171" s="22">
        <v>43649</v>
      </c>
      <c r="B171" t="s">
        <v>16</v>
      </c>
      <c r="C171" t="s">
        <v>17</v>
      </c>
      <c r="D171">
        <v>1500</v>
      </c>
      <c r="E171">
        <v>24.15</v>
      </c>
      <c r="F171">
        <v>36225</v>
      </c>
      <c r="G171" t="s">
        <v>1425</v>
      </c>
      <c r="H171">
        <v>2019125</v>
      </c>
      <c r="I171" t="s">
        <v>19</v>
      </c>
      <c r="J171" t="s">
        <v>20</v>
      </c>
      <c r="K171" t="s">
        <v>25</v>
      </c>
      <c r="L171">
        <v>0</v>
      </c>
      <c r="M171">
        <v>1.3</v>
      </c>
      <c r="N171">
        <v>8.4</v>
      </c>
      <c r="O171">
        <v>29.74</v>
      </c>
      <c r="P171">
        <v>39.444099999999999</v>
      </c>
    </row>
    <row r="172" spans="1:16" hidden="1" x14ac:dyDescent="0.25">
      <c r="A172" s="22">
        <v>43649</v>
      </c>
      <c r="B172" t="s">
        <v>16</v>
      </c>
      <c r="C172" t="s">
        <v>23</v>
      </c>
      <c r="D172">
        <v>183</v>
      </c>
      <c r="E172">
        <v>24.25</v>
      </c>
      <c r="F172">
        <v>4437.75</v>
      </c>
      <c r="G172" t="s">
        <v>1426</v>
      </c>
      <c r="H172">
        <v>2019125</v>
      </c>
      <c r="I172" t="s">
        <v>19</v>
      </c>
      <c r="J172" t="s">
        <v>20</v>
      </c>
      <c r="K172" t="s">
        <v>25</v>
      </c>
      <c r="L172">
        <v>1.1100000000000001</v>
      </c>
      <c r="M172">
        <v>0.16</v>
      </c>
      <c r="N172">
        <v>0</v>
      </c>
      <c r="O172">
        <v>29.53</v>
      </c>
      <c r="P172">
        <v>30.799700000000001</v>
      </c>
    </row>
    <row r="173" spans="1:16" hidden="1" x14ac:dyDescent="0.25">
      <c r="A173" s="22">
        <v>43649</v>
      </c>
      <c r="B173" t="s">
        <v>16</v>
      </c>
      <c r="C173" t="s">
        <v>23</v>
      </c>
      <c r="D173">
        <v>2317</v>
      </c>
      <c r="E173">
        <v>24.15</v>
      </c>
      <c r="F173">
        <v>55955.55</v>
      </c>
      <c r="G173" t="s">
        <v>1427</v>
      </c>
      <c r="H173">
        <v>2019125</v>
      </c>
      <c r="I173" t="s">
        <v>19</v>
      </c>
      <c r="J173" t="s">
        <v>20</v>
      </c>
      <c r="K173" t="s">
        <v>25</v>
      </c>
      <c r="L173">
        <v>14</v>
      </c>
      <c r="M173">
        <v>2.0099999999999998</v>
      </c>
      <c r="N173">
        <v>0</v>
      </c>
      <c r="O173">
        <v>33.380000000000003</v>
      </c>
      <c r="P173">
        <v>49.394399999999997</v>
      </c>
    </row>
    <row r="174" spans="1:16" hidden="1" x14ac:dyDescent="0.25">
      <c r="A174" s="22">
        <v>43648</v>
      </c>
      <c r="B174" t="s">
        <v>1105</v>
      </c>
      <c r="C174" t="s">
        <v>23</v>
      </c>
      <c r="D174">
        <v>100</v>
      </c>
      <c r="E174">
        <v>916</v>
      </c>
      <c r="F174">
        <v>91600</v>
      </c>
      <c r="G174" t="s">
        <v>1428</v>
      </c>
      <c r="H174">
        <v>2019124</v>
      </c>
      <c r="I174" t="s">
        <v>19</v>
      </c>
      <c r="J174" t="s">
        <v>20</v>
      </c>
      <c r="K174" t="s">
        <v>25</v>
      </c>
      <c r="L174">
        <v>23</v>
      </c>
      <c r="M174">
        <v>3.3</v>
      </c>
      <c r="N174">
        <v>5.7</v>
      </c>
      <c r="O174">
        <v>54.64</v>
      </c>
      <c r="P174">
        <v>86.637600000000006</v>
      </c>
    </row>
    <row r="175" spans="1:16" hidden="1" x14ac:dyDescent="0.25">
      <c r="A175" s="22">
        <v>43648</v>
      </c>
      <c r="B175" t="s">
        <v>1105</v>
      </c>
      <c r="C175" t="s">
        <v>17</v>
      </c>
      <c r="D175">
        <v>100</v>
      </c>
      <c r="E175">
        <v>916.1</v>
      </c>
      <c r="F175">
        <v>91610</v>
      </c>
      <c r="G175" t="s">
        <v>1429</v>
      </c>
      <c r="H175">
        <v>2019124</v>
      </c>
      <c r="I175" t="s">
        <v>19</v>
      </c>
      <c r="J175" t="s">
        <v>20</v>
      </c>
      <c r="K175" t="s">
        <v>25</v>
      </c>
      <c r="L175">
        <v>0</v>
      </c>
      <c r="M175">
        <v>3.3</v>
      </c>
      <c r="N175">
        <v>0</v>
      </c>
      <c r="O175">
        <v>54.65</v>
      </c>
      <c r="P175">
        <v>57.947899999999997</v>
      </c>
    </row>
    <row r="176" spans="1:16" hidden="1" x14ac:dyDescent="0.25">
      <c r="A176" s="22">
        <v>43644</v>
      </c>
      <c r="B176" t="s">
        <v>1037</v>
      </c>
      <c r="C176" t="s">
        <v>17</v>
      </c>
      <c r="D176">
        <v>100</v>
      </c>
      <c r="E176">
        <v>622</v>
      </c>
      <c r="F176">
        <v>62200</v>
      </c>
      <c r="G176" t="s">
        <v>1430</v>
      </c>
      <c r="H176">
        <v>2019122</v>
      </c>
      <c r="I176" t="s">
        <v>19</v>
      </c>
      <c r="J176" t="s">
        <v>20</v>
      </c>
      <c r="K176" t="s">
        <v>25</v>
      </c>
      <c r="L176">
        <v>0</v>
      </c>
      <c r="M176">
        <v>2.2400000000000002</v>
      </c>
      <c r="N176">
        <v>0</v>
      </c>
      <c r="O176">
        <v>37.1</v>
      </c>
      <c r="P176">
        <v>39.339199999999998</v>
      </c>
    </row>
    <row r="177" spans="1:16" hidden="1" x14ac:dyDescent="0.25">
      <c r="A177" s="22">
        <v>43644</v>
      </c>
      <c r="B177" t="s">
        <v>270</v>
      </c>
      <c r="C177" t="s">
        <v>17</v>
      </c>
      <c r="D177">
        <v>1000</v>
      </c>
      <c r="E177">
        <v>123</v>
      </c>
      <c r="F177">
        <v>123000</v>
      </c>
      <c r="G177" t="s">
        <v>1431</v>
      </c>
      <c r="H177">
        <v>2019122</v>
      </c>
      <c r="I177" t="s">
        <v>19</v>
      </c>
      <c r="J177" t="s">
        <v>20</v>
      </c>
      <c r="K177" t="s">
        <v>25</v>
      </c>
      <c r="L177">
        <v>0</v>
      </c>
      <c r="M177">
        <v>4.43</v>
      </c>
      <c r="N177">
        <v>42.9</v>
      </c>
      <c r="O177">
        <v>73.37</v>
      </c>
      <c r="P177">
        <v>120.69799999999999</v>
      </c>
    </row>
    <row r="178" spans="1:16" hidden="1" x14ac:dyDescent="0.25">
      <c r="A178" s="22">
        <v>43644</v>
      </c>
      <c r="B178" t="s">
        <v>1037</v>
      </c>
      <c r="C178" t="s">
        <v>17</v>
      </c>
      <c r="D178">
        <v>100</v>
      </c>
      <c r="E178">
        <v>616.5</v>
      </c>
      <c r="F178">
        <v>61650</v>
      </c>
      <c r="G178" t="s">
        <v>1432</v>
      </c>
      <c r="H178">
        <v>2019122</v>
      </c>
      <c r="I178" t="s">
        <v>19</v>
      </c>
      <c r="J178" t="s">
        <v>20</v>
      </c>
      <c r="K178" t="s">
        <v>25</v>
      </c>
      <c r="L178">
        <v>0</v>
      </c>
      <c r="M178">
        <v>2.2200000000000002</v>
      </c>
      <c r="N178">
        <v>0</v>
      </c>
      <c r="O178">
        <v>36.770000000000003</v>
      </c>
      <c r="P178">
        <v>38.9895</v>
      </c>
    </row>
    <row r="179" spans="1:16" hidden="1" x14ac:dyDescent="0.25">
      <c r="A179" s="22">
        <v>43644</v>
      </c>
      <c r="B179" t="s">
        <v>270</v>
      </c>
      <c r="C179" t="s">
        <v>23</v>
      </c>
      <c r="D179">
        <v>1000</v>
      </c>
      <c r="E179">
        <v>123.25</v>
      </c>
      <c r="F179">
        <v>123250</v>
      </c>
      <c r="G179" t="s">
        <v>1433</v>
      </c>
      <c r="H179">
        <v>2019122</v>
      </c>
      <c r="I179" t="s">
        <v>19</v>
      </c>
      <c r="J179" t="s">
        <v>20</v>
      </c>
      <c r="K179" t="s">
        <v>25</v>
      </c>
      <c r="L179">
        <v>30.82</v>
      </c>
      <c r="M179">
        <v>4.4400000000000004</v>
      </c>
      <c r="N179">
        <v>0</v>
      </c>
      <c r="O179">
        <v>73.52</v>
      </c>
      <c r="P179">
        <v>108.7771</v>
      </c>
    </row>
    <row r="180" spans="1:16" hidden="1" x14ac:dyDescent="0.25">
      <c r="A180" s="22">
        <v>43644</v>
      </c>
      <c r="B180" t="s">
        <v>270</v>
      </c>
      <c r="C180" t="s">
        <v>17</v>
      </c>
      <c r="D180">
        <v>500</v>
      </c>
      <c r="E180">
        <v>123.4</v>
      </c>
      <c r="F180">
        <v>61700</v>
      </c>
      <c r="G180" t="s">
        <v>1434</v>
      </c>
      <c r="H180">
        <v>2019122</v>
      </c>
      <c r="I180" t="s">
        <v>19</v>
      </c>
      <c r="J180" t="s">
        <v>20</v>
      </c>
      <c r="K180" t="s">
        <v>25</v>
      </c>
      <c r="L180">
        <v>0</v>
      </c>
      <c r="M180">
        <v>2.2200000000000002</v>
      </c>
      <c r="N180">
        <v>0</v>
      </c>
      <c r="O180">
        <v>36.79</v>
      </c>
      <c r="P180">
        <v>39.011299999999999</v>
      </c>
    </row>
    <row r="181" spans="1:16" hidden="1" x14ac:dyDescent="0.25">
      <c r="A181" s="22">
        <v>43644</v>
      </c>
      <c r="B181" t="s">
        <v>270</v>
      </c>
      <c r="C181" t="s">
        <v>23</v>
      </c>
      <c r="D181">
        <v>500</v>
      </c>
      <c r="E181">
        <v>123.7</v>
      </c>
      <c r="F181">
        <v>61850</v>
      </c>
      <c r="G181" t="s">
        <v>1435</v>
      </c>
      <c r="H181">
        <v>2019122</v>
      </c>
      <c r="I181" t="s">
        <v>19</v>
      </c>
      <c r="J181" t="s">
        <v>20</v>
      </c>
      <c r="K181" t="s">
        <v>25</v>
      </c>
      <c r="L181">
        <v>15.41</v>
      </c>
      <c r="M181">
        <v>2.23</v>
      </c>
      <c r="N181">
        <v>0</v>
      </c>
      <c r="O181">
        <v>36.89</v>
      </c>
      <c r="P181">
        <v>54.526699999999998</v>
      </c>
    </row>
    <row r="182" spans="1:16" hidden="1" x14ac:dyDescent="0.25">
      <c r="A182" s="22">
        <v>43644</v>
      </c>
      <c r="B182" t="s">
        <v>1037</v>
      </c>
      <c r="C182" t="s">
        <v>17</v>
      </c>
      <c r="D182">
        <v>100</v>
      </c>
      <c r="E182">
        <v>613</v>
      </c>
      <c r="F182">
        <v>61300</v>
      </c>
      <c r="G182" t="s">
        <v>1436</v>
      </c>
      <c r="H182">
        <v>2019122</v>
      </c>
      <c r="I182" t="s">
        <v>19</v>
      </c>
      <c r="J182" t="s">
        <v>20</v>
      </c>
      <c r="K182" t="s">
        <v>25</v>
      </c>
      <c r="L182">
        <v>0</v>
      </c>
      <c r="M182">
        <v>2.21</v>
      </c>
      <c r="N182">
        <v>0</v>
      </c>
      <c r="O182">
        <v>36.56</v>
      </c>
      <c r="P182">
        <v>38.766800000000003</v>
      </c>
    </row>
    <row r="183" spans="1:16" hidden="1" x14ac:dyDescent="0.25">
      <c r="A183" s="22">
        <v>43644</v>
      </c>
      <c r="B183" t="s">
        <v>1037</v>
      </c>
      <c r="C183" t="s">
        <v>23</v>
      </c>
      <c r="D183">
        <v>300</v>
      </c>
      <c r="E183">
        <v>611</v>
      </c>
      <c r="F183">
        <v>183300</v>
      </c>
      <c r="G183" t="s">
        <v>1437</v>
      </c>
      <c r="H183">
        <v>2019122</v>
      </c>
      <c r="I183" t="s">
        <v>19</v>
      </c>
      <c r="J183" t="s">
        <v>20</v>
      </c>
      <c r="K183" t="s">
        <v>25</v>
      </c>
      <c r="L183">
        <v>45.72</v>
      </c>
      <c r="M183">
        <v>6.6</v>
      </c>
      <c r="N183">
        <v>0</v>
      </c>
      <c r="O183">
        <v>109.34</v>
      </c>
      <c r="P183">
        <v>161.65899999999999</v>
      </c>
    </row>
    <row r="184" spans="1:16" hidden="1" x14ac:dyDescent="0.25">
      <c r="A184" s="22">
        <v>43644</v>
      </c>
      <c r="B184" t="s">
        <v>65</v>
      </c>
      <c r="C184" t="s">
        <v>17</v>
      </c>
      <c r="D184">
        <v>1000</v>
      </c>
      <c r="E184">
        <v>81.25</v>
      </c>
      <c r="F184">
        <v>81250</v>
      </c>
      <c r="G184" t="s">
        <v>1438</v>
      </c>
      <c r="H184">
        <v>2019122</v>
      </c>
      <c r="I184" t="s">
        <v>19</v>
      </c>
      <c r="J184" t="s">
        <v>20</v>
      </c>
      <c r="K184" t="s">
        <v>25</v>
      </c>
      <c r="L184">
        <v>0</v>
      </c>
      <c r="M184">
        <v>2.93</v>
      </c>
      <c r="N184">
        <v>0</v>
      </c>
      <c r="O184">
        <v>48.46</v>
      </c>
      <c r="P184">
        <v>51.385100000000001</v>
      </c>
    </row>
    <row r="185" spans="1:16" hidden="1" x14ac:dyDescent="0.25">
      <c r="A185" s="22">
        <v>43644</v>
      </c>
      <c r="B185" t="s">
        <v>1037</v>
      </c>
      <c r="C185" t="s">
        <v>17</v>
      </c>
      <c r="D185">
        <v>300</v>
      </c>
      <c r="E185">
        <v>613</v>
      </c>
      <c r="F185">
        <v>183900</v>
      </c>
      <c r="G185" t="s">
        <v>1439</v>
      </c>
      <c r="H185">
        <v>2019122</v>
      </c>
      <c r="I185" t="s">
        <v>19</v>
      </c>
      <c r="J185" t="s">
        <v>20</v>
      </c>
      <c r="K185" t="s">
        <v>25</v>
      </c>
      <c r="L185">
        <v>0</v>
      </c>
      <c r="M185">
        <v>6.62</v>
      </c>
      <c r="N185">
        <v>0</v>
      </c>
      <c r="O185">
        <v>109.69</v>
      </c>
      <c r="P185">
        <v>116.3104</v>
      </c>
    </row>
    <row r="186" spans="1:16" hidden="1" x14ac:dyDescent="0.25">
      <c r="A186" s="22">
        <v>43644</v>
      </c>
      <c r="B186" t="s">
        <v>1037</v>
      </c>
      <c r="C186" t="s">
        <v>23</v>
      </c>
      <c r="D186">
        <v>300</v>
      </c>
      <c r="E186">
        <v>607.49</v>
      </c>
      <c r="F186">
        <v>182247.65</v>
      </c>
      <c r="G186" t="s">
        <v>1440</v>
      </c>
      <c r="H186">
        <v>2019122</v>
      </c>
      <c r="I186" t="s">
        <v>19</v>
      </c>
      <c r="J186" t="s">
        <v>20</v>
      </c>
      <c r="K186" t="s">
        <v>25</v>
      </c>
      <c r="L186">
        <v>45.91</v>
      </c>
      <c r="M186">
        <v>6.56</v>
      </c>
      <c r="N186">
        <v>0</v>
      </c>
      <c r="O186">
        <v>108.71</v>
      </c>
      <c r="P186">
        <v>161.18100000000001</v>
      </c>
    </row>
    <row r="187" spans="1:16" hidden="1" x14ac:dyDescent="0.25">
      <c r="A187" s="22">
        <v>43644</v>
      </c>
      <c r="B187" t="s">
        <v>65</v>
      </c>
      <c r="C187" t="s">
        <v>23</v>
      </c>
      <c r="D187">
        <v>2000</v>
      </c>
      <c r="E187">
        <v>80.099999999999994</v>
      </c>
      <c r="F187">
        <v>160200</v>
      </c>
      <c r="G187" t="s">
        <v>1441</v>
      </c>
      <c r="H187">
        <v>2019122</v>
      </c>
      <c r="I187" t="s">
        <v>19</v>
      </c>
      <c r="J187" t="s">
        <v>20</v>
      </c>
      <c r="K187" t="s">
        <v>25</v>
      </c>
      <c r="L187">
        <v>40.14</v>
      </c>
      <c r="M187">
        <v>5.77</v>
      </c>
      <c r="N187">
        <v>0</v>
      </c>
      <c r="O187">
        <v>95.56</v>
      </c>
      <c r="P187">
        <v>141.46719999999999</v>
      </c>
    </row>
    <row r="188" spans="1:16" hidden="1" x14ac:dyDescent="0.25">
      <c r="A188" s="22">
        <v>43644</v>
      </c>
      <c r="B188" t="s">
        <v>65</v>
      </c>
      <c r="C188" t="s">
        <v>17</v>
      </c>
      <c r="D188">
        <v>1000</v>
      </c>
      <c r="E188">
        <v>79.7</v>
      </c>
      <c r="F188">
        <v>79700</v>
      </c>
      <c r="G188" t="s">
        <v>1442</v>
      </c>
      <c r="H188">
        <v>2019122</v>
      </c>
      <c r="I188" t="s">
        <v>19</v>
      </c>
      <c r="J188" t="s">
        <v>20</v>
      </c>
      <c r="K188" t="s">
        <v>25</v>
      </c>
      <c r="L188">
        <v>0</v>
      </c>
      <c r="M188">
        <v>2.87</v>
      </c>
      <c r="N188">
        <v>0</v>
      </c>
      <c r="O188">
        <v>47.54</v>
      </c>
      <c r="P188">
        <v>50.409199999999998</v>
      </c>
    </row>
    <row r="189" spans="1:16" hidden="1" x14ac:dyDescent="0.25">
      <c r="A189" s="22">
        <v>43643</v>
      </c>
      <c r="B189" t="s">
        <v>270</v>
      </c>
      <c r="C189" t="s">
        <v>17</v>
      </c>
      <c r="D189">
        <v>1000</v>
      </c>
      <c r="E189">
        <v>121.65</v>
      </c>
      <c r="F189">
        <v>121650</v>
      </c>
      <c r="G189" t="s">
        <v>1443</v>
      </c>
      <c r="H189">
        <v>2019121</v>
      </c>
      <c r="I189" t="s">
        <v>19</v>
      </c>
      <c r="J189" t="s">
        <v>20</v>
      </c>
      <c r="K189" t="s">
        <v>25</v>
      </c>
      <c r="L189">
        <v>0</v>
      </c>
      <c r="M189">
        <v>4.38</v>
      </c>
      <c r="N189">
        <v>0</v>
      </c>
      <c r="O189">
        <v>72.56</v>
      </c>
      <c r="P189">
        <v>76.939400000000006</v>
      </c>
    </row>
    <row r="190" spans="1:16" hidden="1" x14ac:dyDescent="0.25">
      <c r="A190" s="22">
        <v>43643</v>
      </c>
      <c r="B190" t="s">
        <v>270</v>
      </c>
      <c r="C190" t="s">
        <v>17</v>
      </c>
      <c r="D190">
        <v>1000</v>
      </c>
      <c r="E190">
        <v>121.25</v>
      </c>
      <c r="F190">
        <v>121250</v>
      </c>
      <c r="G190" t="s">
        <v>1444</v>
      </c>
      <c r="H190">
        <v>2019121</v>
      </c>
      <c r="I190" t="s">
        <v>19</v>
      </c>
      <c r="J190" t="s">
        <v>20</v>
      </c>
      <c r="K190" t="s">
        <v>25</v>
      </c>
      <c r="L190">
        <v>0</v>
      </c>
      <c r="M190">
        <v>4.37</v>
      </c>
      <c r="N190">
        <v>0</v>
      </c>
      <c r="O190">
        <v>72.319999999999993</v>
      </c>
      <c r="P190">
        <v>76.685100000000006</v>
      </c>
    </row>
    <row r="191" spans="1:16" hidden="1" x14ac:dyDescent="0.25">
      <c r="A191" s="22">
        <v>43643</v>
      </c>
      <c r="B191" t="s">
        <v>270</v>
      </c>
      <c r="C191" t="s">
        <v>23</v>
      </c>
      <c r="D191">
        <v>2000</v>
      </c>
      <c r="E191">
        <v>122.05</v>
      </c>
      <c r="F191">
        <v>244100</v>
      </c>
      <c r="G191" t="s">
        <v>1445</v>
      </c>
      <c r="H191">
        <v>2019121</v>
      </c>
      <c r="I191" t="s">
        <v>19</v>
      </c>
      <c r="J191" t="s">
        <v>20</v>
      </c>
      <c r="K191" t="s">
        <v>25</v>
      </c>
      <c r="L191">
        <v>61</v>
      </c>
      <c r="M191">
        <v>8.7899999999999991</v>
      </c>
      <c r="N191">
        <v>14.7</v>
      </c>
      <c r="O191">
        <v>145.56</v>
      </c>
      <c r="P191">
        <v>230.04769999999999</v>
      </c>
    </row>
    <row r="192" spans="1:16" hidden="1" x14ac:dyDescent="0.25">
      <c r="A192" s="22">
        <v>43642</v>
      </c>
      <c r="B192" t="s">
        <v>1023</v>
      </c>
      <c r="C192" t="s">
        <v>23</v>
      </c>
      <c r="D192">
        <v>2500</v>
      </c>
      <c r="E192">
        <v>28.25</v>
      </c>
      <c r="F192">
        <v>70625</v>
      </c>
      <c r="G192" t="s">
        <v>1446</v>
      </c>
      <c r="H192">
        <v>2019120</v>
      </c>
      <c r="I192" t="s">
        <v>19</v>
      </c>
      <c r="J192" t="s">
        <v>20</v>
      </c>
      <c r="K192" t="s">
        <v>25</v>
      </c>
      <c r="L192">
        <v>18.11</v>
      </c>
      <c r="M192">
        <v>2.54</v>
      </c>
      <c r="N192">
        <v>0</v>
      </c>
      <c r="O192">
        <v>42.13</v>
      </c>
      <c r="P192">
        <v>62.782499999999999</v>
      </c>
    </row>
    <row r="193" spans="1:16" hidden="1" x14ac:dyDescent="0.25">
      <c r="A193" s="22">
        <v>43642</v>
      </c>
      <c r="B193" t="s">
        <v>1023</v>
      </c>
      <c r="C193" t="s">
        <v>23</v>
      </c>
      <c r="D193">
        <v>5000</v>
      </c>
      <c r="E193">
        <v>28.5</v>
      </c>
      <c r="F193">
        <v>142500</v>
      </c>
      <c r="G193" t="s">
        <v>1447</v>
      </c>
      <c r="H193">
        <v>2019120</v>
      </c>
      <c r="I193" t="s">
        <v>19</v>
      </c>
      <c r="J193" t="s">
        <v>20</v>
      </c>
      <c r="K193" t="s">
        <v>25</v>
      </c>
      <c r="L193">
        <v>35.89</v>
      </c>
      <c r="M193">
        <v>5.13</v>
      </c>
      <c r="N193">
        <v>0</v>
      </c>
      <c r="O193">
        <v>85</v>
      </c>
      <c r="P193">
        <v>126.02</v>
      </c>
    </row>
    <row r="194" spans="1:16" hidden="1" x14ac:dyDescent="0.25">
      <c r="A194" s="22">
        <v>43642</v>
      </c>
      <c r="B194" t="s">
        <v>1023</v>
      </c>
      <c r="C194" t="s">
        <v>17</v>
      </c>
      <c r="D194">
        <v>7500</v>
      </c>
      <c r="E194">
        <v>29</v>
      </c>
      <c r="F194">
        <v>217500</v>
      </c>
      <c r="G194" t="s">
        <v>1448</v>
      </c>
      <c r="H194">
        <v>2019120</v>
      </c>
      <c r="I194" t="s">
        <v>19</v>
      </c>
      <c r="J194" t="s">
        <v>20</v>
      </c>
      <c r="K194" t="s">
        <v>25</v>
      </c>
      <c r="L194">
        <v>0</v>
      </c>
      <c r="M194">
        <v>7.83</v>
      </c>
      <c r="N194">
        <v>13.2</v>
      </c>
      <c r="O194">
        <v>129.77000000000001</v>
      </c>
      <c r="P194">
        <v>150.80019999999999</v>
      </c>
    </row>
    <row r="195" spans="1:16" hidden="1" x14ac:dyDescent="0.25">
      <c r="A195" s="22">
        <v>43641</v>
      </c>
      <c r="B195" t="s">
        <v>1023</v>
      </c>
      <c r="C195" t="s">
        <v>23</v>
      </c>
      <c r="D195">
        <v>1000</v>
      </c>
      <c r="E195">
        <v>28.5</v>
      </c>
      <c r="F195">
        <v>28500</v>
      </c>
      <c r="G195" t="s">
        <v>1449</v>
      </c>
      <c r="H195">
        <v>2019119</v>
      </c>
      <c r="I195" t="s">
        <v>19</v>
      </c>
      <c r="J195" t="s">
        <v>20</v>
      </c>
      <c r="K195" t="s">
        <v>25</v>
      </c>
      <c r="L195">
        <v>7.02</v>
      </c>
      <c r="M195">
        <v>1.03</v>
      </c>
      <c r="N195">
        <v>0</v>
      </c>
      <c r="O195">
        <v>29.69</v>
      </c>
      <c r="P195">
        <v>37.735999999999997</v>
      </c>
    </row>
    <row r="196" spans="1:16" hidden="1" x14ac:dyDescent="0.25">
      <c r="A196" s="22">
        <v>43641</v>
      </c>
      <c r="B196" t="s">
        <v>1023</v>
      </c>
      <c r="C196" t="s">
        <v>17</v>
      </c>
      <c r="D196">
        <v>1000</v>
      </c>
      <c r="E196">
        <v>28.25</v>
      </c>
      <c r="F196">
        <v>28250</v>
      </c>
      <c r="G196" t="s">
        <v>1450</v>
      </c>
      <c r="H196">
        <v>2019119</v>
      </c>
      <c r="I196" t="s">
        <v>19</v>
      </c>
      <c r="J196" t="s">
        <v>20</v>
      </c>
      <c r="K196" t="s">
        <v>25</v>
      </c>
      <c r="L196">
        <v>0</v>
      </c>
      <c r="M196">
        <v>1.02</v>
      </c>
      <c r="N196">
        <v>0</v>
      </c>
      <c r="O196">
        <v>29.68</v>
      </c>
      <c r="P196">
        <v>30.697099999999999</v>
      </c>
    </row>
    <row r="197" spans="1:16" hidden="1" x14ac:dyDescent="0.25">
      <c r="A197" s="22">
        <v>43641</v>
      </c>
      <c r="B197" t="s">
        <v>1023</v>
      </c>
      <c r="C197" t="s">
        <v>23</v>
      </c>
      <c r="D197">
        <v>1500</v>
      </c>
      <c r="E197">
        <v>28.3</v>
      </c>
      <c r="F197">
        <v>42450</v>
      </c>
      <c r="G197" t="s">
        <v>1451</v>
      </c>
      <c r="H197">
        <v>2019119</v>
      </c>
      <c r="I197" t="s">
        <v>19</v>
      </c>
      <c r="J197" t="s">
        <v>20</v>
      </c>
      <c r="K197" t="s">
        <v>25</v>
      </c>
      <c r="L197">
        <v>10.53</v>
      </c>
      <c r="M197">
        <v>1.53</v>
      </c>
      <c r="N197">
        <v>0</v>
      </c>
      <c r="O197">
        <v>29.78</v>
      </c>
      <c r="P197">
        <v>41.838299999999997</v>
      </c>
    </row>
    <row r="198" spans="1:16" hidden="1" x14ac:dyDescent="0.25">
      <c r="A198" s="22">
        <v>43641</v>
      </c>
      <c r="B198" t="s">
        <v>1023</v>
      </c>
      <c r="C198" t="s">
        <v>23</v>
      </c>
      <c r="D198">
        <v>5000</v>
      </c>
      <c r="E198">
        <v>28.5</v>
      </c>
      <c r="F198">
        <v>142500</v>
      </c>
      <c r="G198" t="s">
        <v>1452</v>
      </c>
      <c r="H198">
        <v>2019119</v>
      </c>
      <c r="I198" t="s">
        <v>19</v>
      </c>
      <c r="J198" t="s">
        <v>20</v>
      </c>
      <c r="K198" t="s">
        <v>25</v>
      </c>
      <c r="L198">
        <v>35.1</v>
      </c>
      <c r="M198">
        <v>5.13</v>
      </c>
      <c r="N198">
        <v>0</v>
      </c>
      <c r="O198">
        <v>84.99</v>
      </c>
      <c r="P198">
        <v>125.22</v>
      </c>
    </row>
    <row r="199" spans="1:16" hidden="1" x14ac:dyDescent="0.25">
      <c r="A199" s="22">
        <v>43641</v>
      </c>
      <c r="B199" t="s">
        <v>1023</v>
      </c>
      <c r="C199" t="s">
        <v>17</v>
      </c>
      <c r="D199">
        <v>6500</v>
      </c>
      <c r="E199">
        <v>28.2</v>
      </c>
      <c r="F199">
        <v>183300</v>
      </c>
      <c r="G199" t="s">
        <v>1453</v>
      </c>
      <c r="H199">
        <v>2019119</v>
      </c>
      <c r="I199" t="s">
        <v>19</v>
      </c>
      <c r="J199" t="s">
        <v>20</v>
      </c>
      <c r="K199" t="s">
        <v>25</v>
      </c>
      <c r="L199">
        <v>0</v>
      </c>
      <c r="M199">
        <v>6.6</v>
      </c>
      <c r="N199">
        <v>0</v>
      </c>
      <c r="O199">
        <v>109.33</v>
      </c>
      <c r="P199">
        <v>115.9289</v>
      </c>
    </row>
    <row r="200" spans="1:16" hidden="1" x14ac:dyDescent="0.25">
      <c r="A200" s="22">
        <v>43641</v>
      </c>
      <c r="B200" t="s">
        <v>1023</v>
      </c>
      <c r="C200" t="s">
        <v>17</v>
      </c>
      <c r="D200">
        <v>5000</v>
      </c>
      <c r="E200">
        <v>28.25</v>
      </c>
      <c r="F200">
        <v>141250</v>
      </c>
      <c r="G200" t="s">
        <v>1454</v>
      </c>
      <c r="H200">
        <v>2019119</v>
      </c>
      <c r="I200" t="s">
        <v>19</v>
      </c>
      <c r="J200" t="s">
        <v>20</v>
      </c>
      <c r="K200" t="s">
        <v>25</v>
      </c>
      <c r="L200">
        <v>0</v>
      </c>
      <c r="M200">
        <v>5.09</v>
      </c>
      <c r="N200">
        <v>0</v>
      </c>
      <c r="O200">
        <v>84.27</v>
      </c>
      <c r="P200">
        <v>89.355199999999996</v>
      </c>
    </row>
    <row r="201" spans="1:16" hidden="1" x14ac:dyDescent="0.25">
      <c r="A201" s="22">
        <v>43641</v>
      </c>
      <c r="B201" t="s">
        <v>1023</v>
      </c>
      <c r="C201" t="s">
        <v>23</v>
      </c>
      <c r="D201">
        <v>10000</v>
      </c>
      <c r="E201">
        <v>27.8</v>
      </c>
      <c r="F201">
        <v>278000</v>
      </c>
      <c r="G201" t="s">
        <v>1455</v>
      </c>
      <c r="H201">
        <v>2019119</v>
      </c>
      <c r="I201" t="s">
        <v>19</v>
      </c>
      <c r="J201" t="s">
        <v>20</v>
      </c>
      <c r="K201" t="s">
        <v>25</v>
      </c>
      <c r="L201">
        <v>70.2</v>
      </c>
      <c r="M201">
        <v>10.01</v>
      </c>
      <c r="N201">
        <v>0</v>
      </c>
      <c r="O201">
        <v>165.83</v>
      </c>
      <c r="P201">
        <v>246.03800000000001</v>
      </c>
    </row>
    <row r="202" spans="1:16" hidden="1" x14ac:dyDescent="0.25">
      <c r="A202" s="22">
        <v>43641</v>
      </c>
      <c r="B202" t="s">
        <v>1023</v>
      </c>
      <c r="C202" t="s">
        <v>17</v>
      </c>
      <c r="D202">
        <v>5000</v>
      </c>
      <c r="E202">
        <v>27.7</v>
      </c>
      <c r="F202">
        <v>138500</v>
      </c>
      <c r="G202" t="s">
        <v>1456</v>
      </c>
      <c r="H202">
        <v>2019119</v>
      </c>
      <c r="I202" t="s">
        <v>19</v>
      </c>
      <c r="J202" t="s">
        <v>20</v>
      </c>
      <c r="K202" t="s">
        <v>25</v>
      </c>
      <c r="L202">
        <v>0</v>
      </c>
      <c r="M202">
        <v>4.99</v>
      </c>
      <c r="N202">
        <v>0</v>
      </c>
      <c r="O202">
        <v>82.61</v>
      </c>
      <c r="P202">
        <v>87.596199999999996</v>
      </c>
    </row>
    <row r="203" spans="1:16" hidden="1" x14ac:dyDescent="0.25">
      <c r="A203" s="22">
        <v>43641</v>
      </c>
      <c r="B203" t="s">
        <v>1034</v>
      </c>
      <c r="C203" t="s">
        <v>17</v>
      </c>
      <c r="D203">
        <v>2000</v>
      </c>
      <c r="E203">
        <v>276</v>
      </c>
      <c r="F203">
        <v>552000</v>
      </c>
      <c r="G203" t="s">
        <v>1457</v>
      </c>
      <c r="H203">
        <v>2019119</v>
      </c>
      <c r="I203" t="s">
        <v>19</v>
      </c>
      <c r="J203" t="s">
        <v>20</v>
      </c>
      <c r="K203" t="s">
        <v>25</v>
      </c>
      <c r="L203">
        <v>0</v>
      </c>
      <c r="M203">
        <v>19.87</v>
      </c>
      <c r="N203">
        <v>0</v>
      </c>
      <c r="O203">
        <v>329.25</v>
      </c>
      <c r="P203">
        <v>349.12200000000001</v>
      </c>
    </row>
    <row r="204" spans="1:16" hidden="1" x14ac:dyDescent="0.25">
      <c r="A204" s="22">
        <v>43641</v>
      </c>
      <c r="B204" t="s">
        <v>1034</v>
      </c>
      <c r="C204" t="s">
        <v>17</v>
      </c>
      <c r="D204">
        <v>2000</v>
      </c>
      <c r="E204">
        <v>275.8</v>
      </c>
      <c r="F204">
        <v>551600</v>
      </c>
      <c r="G204" t="s">
        <v>1458</v>
      </c>
      <c r="H204">
        <v>2019119</v>
      </c>
      <c r="I204" t="s">
        <v>19</v>
      </c>
      <c r="J204" t="s">
        <v>20</v>
      </c>
      <c r="K204" t="s">
        <v>25</v>
      </c>
      <c r="L204">
        <v>0</v>
      </c>
      <c r="M204">
        <v>19.86</v>
      </c>
      <c r="N204">
        <v>0</v>
      </c>
      <c r="O204">
        <v>329.02</v>
      </c>
      <c r="P204">
        <v>348.8777</v>
      </c>
    </row>
    <row r="205" spans="1:16" hidden="1" x14ac:dyDescent="0.25">
      <c r="A205" s="22">
        <v>43641</v>
      </c>
      <c r="B205" t="s">
        <v>1034</v>
      </c>
      <c r="C205" t="s">
        <v>23</v>
      </c>
      <c r="D205">
        <v>4000</v>
      </c>
      <c r="E205">
        <v>274.5</v>
      </c>
      <c r="F205">
        <v>1098015.7</v>
      </c>
      <c r="G205" t="s">
        <v>1459</v>
      </c>
      <c r="H205">
        <v>2019119</v>
      </c>
      <c r="I205" t="s">
        <v>19</v>
      </c>
      <c r="J205" t="s">
        <v>20</v>
      </c>
      <c r="K205" t="s">
        <v>25</v>
      </c>
      <c r="L205">
        <v>275.16000000000003</v>
      </c>
      <c r="M205">
        <v>39.53</v>
      </c>
      <c r="N205">
        <v>95.7</v>
      </c>
      <c r="O205">
        <v>654.91999999999996</v>
      </c>
      <c r="P205">
        <v>1065.3088</v>
      </c>
    </row>
    <row r="206" spans="1:16" hidden="1" x14ac:dyDescent="0.25">
      <c r="A206" s="22">
        <v>43640</v>
      </c>
      <c r="B206" t="s">
        <v>659</v>
      </c>
      <c r="C206" t="s">
        <v>23</v>
      </c>
      <c r="D206">
        <v>500</v>
      </c>
      <c r="E206">
        <v>109.65</v>
      </c>
      <c r="F206">
        <v>54825</v>
      </c>
      <c r="G206" t="s">
        <v>1021</v>
      </c>
      <c r="H206">
        <v>2019118</v>
      </c>
      <c r="I206" t="s">
        <v>19</v>
      </c>
      <c r="J206" t="s">
        <v>20</v>
      </c>
      <c r="K206" t="s">
        <v>25</v>
      </c>
      <c r="L206">
        <v>14.02</v>
      </c>
      <c r="M206">
        <v>1.97</v>
      </c>
      <c r="N206">
        <v>0</v>
      </c>
      <c r="O206">
        <v>32.700000000000003</v>
      </c>
      <c r="P206">
        <v>48.693800000000003</v>
      </c>
    </row>
    <row r="207" spans="1:16" hidden="1" x14ac:dyDescent="0.25">
      <c r="A207" s="22">
        <v>43640</v>
      </c>
      <c r="B207" t="s">
        <v>659</v>
      </c>
      <c r="C207" t="s">
        <v>17</v>
      </c>
      <c r="D207">
        <v>500</v>
      </c>
      <c r="E207">
        <v>112</v>
      </c>
      <c r="F207">
        <v>56000</v>
      </c>
      <c r="G207" t="s">
        <v>1022</v>
      </c>
      <c r="H207">
        <v>2019118</v>
      </c>
      <c r="I207" t="s">
        <v>19</v>
      </c>
      <c r="J207" t="s">
        <v>20</v>
      </c>
      <c r="K207" t="s">
        <v>25</v>
      </c>
      <c r="L207">
        <v>0</v>
      </c>
      <c r="M207">
        <v>2.02</v>
      </c>
      <c r="N207">
        <v>0</v>
      </c>
      <c r="O207">
        <v>33.4</v>
      </c>
      <c r="P207">
        <v>35.415999999999997</v>
      </c>
    </row>
    <row r="208" spans="1:16" hidden="1" x14ac:dyDescent="0.25">
      <c r="A208" s="22">
        <v>43640</v>
      </c>
      <c r="B208" t="s">
        <v>1023</v>
      </c>
      <c r="C208" t="s">
        <v>23</v>
      </c>
      <c r="D208">
        <v>1500</v>
      </c>
      <c r="E208">
        <v>26.25</v>
      </c>
      <c r="F208">
        <v>39375</v>
      </c>
      <c r="G208" t="s">
        <v>1024</v>
      </c>
      <c r="H208">
        <v>2019118</v>
      </c>
      <c r="I208" t="s">
        <v>19</v>
      </c>
      <c r="J208" t="s">
        <v>20</v>
      </c>
      <c r="K208" t="s">
        <v>25</v>
      </c>
      <c r="L208">
        <v>10.35</v>
      </c>
      <c r="M208">
        <v>1.42</v>
      </c>
      <c r="N208">
        <v>0</v>
      </c>
      <c r="O208">
        <v>29.76</v>
      </c>
      <c r="P208">
        <v>41.527500000000003</v>
      </c>
    </row>
    <row r="209" spans="1:16" hidden="1" x14ac:dyDescent="0.25">
      <c r="A209" s="22">
        <v>43640</v>
      </c>
      <c r="B209" t="s">
        <v>659</v>
      </c>
      <c r="C209" t="s">
        <v>17</v>
      </c>
      <c r="D209">
        <v>2000</v>
      </c>
      <c r="E209">
        <v>112.25</v>
      </c>
      <c r="F209">
        <v>224500</v>
      </c>
      <c r="G209" t="s">
        <v>1025</v>
      </c>
      <c r="H209">
        <v>2019118</v>
      </c>
      <c r="I209" t="s">
        <v>19</v>
      </c>
      <c r="J209" t="s">
        <v>20</v>
      </c>
      <c r="K209" t="s">
        <v>25</v>
      </c>
      <c r="L209">
        <v>0</v>
      </c>
      <c r="M209">
        <v>8.08</v>
      </c>
      <c r="N209">
        <v>0</v>
      </c>
      <c r="O209">
        <v>133.91</v>
      </c>
      <c r="P209">
        <v>141.99199999999999</v>
      </c>
    </row>
    <row r="210" spans="1:16" hidden="1" x14ac:dyDescent="0.25">
      <c r="A210" s="22">
        <v>43640</v>
      </c>
      <c r="B210" t="s">
        <v>1023</v>
      </c>
      <c r="C210" t="s">
        <v>23</v>
      </c>
      <c r="D210">
        <v>1000</v>
      </c>
      <c r="E210">
        <v>27.1</v>
      </c>
      <c r="F210">
        <v>27100</v>
      </c>
      <c r="G210" t="s">
        <v>1026</v>
      </c>
      <c r="H210">
        <v>2019118</v>
      </c>
      <c r="I210" t="s">
        <v>19</v>
      </c>
      <c r="J210" t="s">
        <v>20</v>
      </c>
      <c r="K210" t="s">
        <v>25</v>
      </c>
      <c r="L210">
        <v>6.9</v>
      </c>
      <c r="M210">
        <v>0.98</v>
      </c>
      <c r="N210">
        <v>0</v>
      </c>
      <c r="O210">
        <v>29.68</v>
      </c>
      <c r="P210">
        <v>37.555599999999998</v>
      </c>
    </row>
    <row r="211" spans="1:16" hidden="1" x14ac:dyDescent="0.25">
      <c r="A211" s="22">
        <v>43640</v>
      </c>
      <c r="B211" t="s">
        <v>1023</v>
      </c>
      <c r="C211" t="s">
        <v>23</v>
      </c>
      <c r="D211">
        <v>2000</v>
      </c>
      <c r="E211">
        <v>28.5</v>
      </c>
      <c r="F211">
        <v>57000</v>
      </c>
      <c r="G211" t="s">
        <v>1027</v>
      </c>
      <c r="H211">
        <v>2019118</v>
      </c>
      <c r="I211" t="s">
        <v>19</v>
      </c>
      <c r="J211" t="s">
        <v>20</v>
      </c>
      <c r="K211" t="s">
        <v>25</v>
      </c>
      <c r="L211">
        <v>13.8</v>
      </c>
      <c r="M211">
        <v>2.0499999999999998</v>
      </c>
      <c r="N211">
        <v>0</v>
      </c>
      <c r="O211">
        <v>34</v>
      </c>
      <c r="P211">
        <v>49.852200000000003</v>
      </c>
    </row>
    <row r="212" spans="1:16" hidden="1" x14ac:dyDescent="0.25">
      <c r="A212" s="22">
        <v>43640</v>
      </c>
      <c r="B212" t="s">
        <v>659</v>
      </c>
      <c r="C212" t="s">
        <v>23</v>
      </c>
      <c r="D212">
        <v>2000</v>
      </c>
      <c r="E212">
        <v>112.7</v>
      </c>
      <c r="F212">
        <v>225400</v>
      </c>
      <c r="G212" t="s">
        <v>1028</v>
      </c>
      <c r="H212">
        <v>2019118</v>
      </c>
      <c r="I212" t="s">
        <v>19</v>
      </c>
      <c r="J212" t="s">
        <v>20</v>
      </c>
      <c r="K212" t="s">
        <v>25</v>
      </c>
      <c r="L212">
        <v>56.07</v>
      </c>
      <c r="M212">
        <v>8.11</v>
      </c>
      <c r="N212">
        <v>0</v>
      </c>
      <c r="O212">
        <v>134.44999999999999</v>
      </c>
      <c r="P212">
        <v>198.6343</v>
      </c>
    </row>
    <row r="213" spans="1:16" hidden="1" x14ac:dyDescent="0.25">
      <c r="A213" s="22">
        <v>43640</v>
      </c>
      <c r="B213" t="s">
        <v>1023</v>
      </c>
      <c r="C213" t="s">
        <v>17</v>
      </c>
      <c r="D213">
        <v>5500</v>
      </c>
      <c r="E213">
        <v>28.3</v>
      </c>
      <c r="F213">
        <v>155650</v>
      </c>
      <c r="G213" t="s">
        <v>1029</v>
      </c>
      <c r="H213">
        <v>2019118</v>
      </c>
      <c r="I213" t="s">
        <v>19</v>
      </c>
      <c r="J213" t="s">
        <v>20</v>
      </c>
      <c r="K213" t="s">
        <v>25</v>
      </c>
      <c r="L213">
        <v>0</v>
      </c>
      <c r="M213">
        <v>5.6</v>
      </c>
      <c r="N213">
        <v>0</v>
      </c>
      <c r="O213">
        <v>92.84</v>
      </c>
      <c r="P213">
        <v>98.4435</v>
      </c>
    </row>
    <row r="214" spans="1:16" hidden="1" x14ac:dyDescent="0.25">
      <c r="A214" s="22">
        <v>43640</v>
      </c>
      <c r="B214" t="s">
        <v>1023</v>
      </c>
      <c r="C214" t="s">
        <v>23</v>
      </c>
      <c r="D214">
        <v>1000</v>
      </c>
      <c r="E214">
        <v>24.5</v>
      </c>
      <c r="F214">
        <v>24500</v>
      </c>
      <c r="G214" t="s">
        <v>1030</v>
      </c>
      <c r="H214">
        <v>2019118</v>
      </c>
      <c r="I214" t="s">
        <v>19</v>
      </c>
      <c r="J214" t="s">
        <v>20</v>
      </c>
      <c r="K214" t="s">
        <v>25</v>
      </c>
      <c r="L214">
        <v>6.86</v>
      </c>
      <c r="M214">
        <v>0.88</v>
      </c>
      <c r="N214">
        <v>26.1</v>
      </c>
      <c r="O214">
        <v>29.66</v>
      </c>
      <c r="P214">
        <v>63.502000000000002</v>
      </c>
    </row>
    <row r="215" spans="1:16" hidden="1" x14ac:dyDescent="0.25">
      <c r="A215" s="22">
        <v>43637</v>
      </c>
      <c r="B215" t="s">
        <v>51</v>
      </c>
      <c r="C215" t="s">
        <v>23</v>
      </c>
      <c r="D215">
        <v>50</v>
      </c>
      <c r="E215">
        <v>388</v>
      </c>
      <c r="F215">
        <v>19400</v>
      </c>
      <c r="G215" t="s">
        <v>1031</v>
      </c>
      <c r="H215">
        <v>2019117</v>
      </c>
      <c r="I215" t="s">
        <v>19</v>
      </c>
      <c r="J215" t="s">
        <v>20</v>
      </c>
      <c r="K215" t="s">
        <v>25</v>
      </c>
      <c r="L215">
        <v>4.83</v>
      </c>
      <c r="M215">
        <v>0.7</v>
      </c>
      <c r="N215">
        <v>0</v>
      </c>
      <c r="O215">
        <v>29.63</v>
      </c>
      <c r="P215">
        <v>35.1584</v>
      </c>
    </row>
    <row r="216" spans="1:16" hidden="1" x14ac:dyDescent="0.25">
      <c r="A216" s="22">
        <v>43637</v>
      </c>
      <c r="B216" t="s">
        <v>51</v>
      </c>
      <c r="C216" t="s">
        <v>17</v>
      </c>
      <c r="D216">
        <v>50</v>
      </c>
      <c r="E216">
        <v>384</v>
      </c>
      <c r="F216">
        <v>19200</v>
      </c>
      <c r="G216" t="s">
        <v>1032</v>
      </c>
      <c r="H216">
        <v>2019117</v>
      </c>
      <c r="I216" t="s">
        <v>19</v>
      </c>
      <c r="J216" t="s">
        <v>20</v>
      </c>
      <c r="K216" t="s">
        <v>25</v>
      </c>
      <c r="L216">
        <v>0</v>
      </c>
      <c r="M216">
        <v>0.69</v>
      </c>
      <c r="N216">
        <v>0</v>
      </c>
      <c r="O216">
        <v>29.62</v>
      </c>
      <c r="P216">
        <v>30.311199999999999</v>
      </c>
    </row>
    <row r="217" spans="1:16" hidden="1" x14ac:dyDescent="0.25">
      <c r="A217" s="22">
        <v>43637</v>
      </c>
      <c r="B217" t="s">
        <v>849</v>
      </c>
      <c r="C217" t="s">
        <v>17</v>
      </c>
      <c r="D217">
        <v>100</v>
      </c>
      <c r="E217">
        <v>56.6</v>
      </c>
      <c r="F217">
        <v>5660</v>
      </c>
      <c r="G217" t="s">
        <v>1033</v>
      </c>
      <c r="H217">
        <v>2019117</v>
      </c>
      <c r="I217" t="s">
        <v>19</v>
      </c>
      <c r="J217" t="s">
        <v>20</v>
      </c>
      <c r="K217" t="s">
        <v>25</v>
      </c>
      <c r="L217">
        <v>0</v>
      </c>
      <c r="M217">
        <v>0.2</v>
      </c>
      <c r="N217">
        <v>0</v>
      </c>
      <c r="O217">
        <v>29.54</v>
      </c>
      <c r="P217">
        <v>29.7438</v>
      </c>
    </row>
    <row r="218" spans="1:16" hidden="1" x14ac:dyDescent="0.25">
      <c r="A218" s="22">
        <v>43637</v>
      </c>
      <c r="B218" t="s">
        <v>1034</v>
      </c>
      <c r="C218" t="s">
        <v>17</v>
      </c>
      <c r="D218">
        <v>1000</v>
      </c>
      <c r="E218">
        <v>267.25</v>
      </c>
      <c r="F218">
        <v>267250</v>
      </c>
      <c r="G218" t="s">
        <v>1035</v>
      </c>
      <c r="H218">
        <v>2019117</v>
      </c>
      <c r="I218" t="s">
        <v>19</v>
      </c>
      <c r="J218" t="s">
        <v>20</v>
      </c>
      <c r="K218" t="s">
        <v>25</v>
      </c>
      <c r="L218">
        <v>0</v>
      </c>
      <c r="M218">
        <v>9.6199999999999992</v>
      </c>
      <c r="N218">
        <v>0</v>
      </c>
      <c r="O218">
        <v>159.41</v>
      </c>
      <c r="P218">
        <v>169.0309</v>
      </c>
    </row>
    <row r="219" spans="1:16" hidden="1" x14ac:dyDescent="0.25">
      <c r="A219" s="22">
        <v>43637</v>
      </c>
      <c r="B219" t="s">
        <v>1034</v>
      </c>
      <c r="C219" t="s">
        <v>23</v>
      </c>
      <c r="D219">
        <v>1000</v>
      </c>
      <c r="E219">
        <v>267.89999999999998</v>
      </c>
      <c r="F219">
        <v>267900</v>
      </c>
      <c r="G219" t="s">
        <v>1036</v>
      </c>
      <c r="H219">
        <v>2019117</v>
      </c>
      <c r="I219" t="s">
        <v>19</v>
      </c>
      <c r="J219" t="s">
        <v>20</v>
      </c>
      <c r="K219" t="s">
        <v>25</v>
      </c>
      <c r="L219">
        <v>66.89</v>
      </c>
      <c r="M219">
        <v>9.64</v>
      </c>
      <c r="N219">
        <v>0</v>
      </c>
      <c r="O219">
        <v>159.80000000000001</v>
      </c>
      <c r="P219">
        <v>236.33439999999999</v>
      </c>
    </row>
    <row r="220" spans="1:16" hidden="1" x14ac:dyDescent="0.25">
      <c r="A220" s="22">
        <v>43637</v>
      </c>
      <c r="B220" t="s">
        <v>1037</v>
      </c>
      <c r="C220" t="s">
        <v>17</v>
      </c>
      <c r="D220">
        <v>100</v>
      </c>
      <c r="E220">
        <v>593.70000000000005</v>
      </c>
      <c r="F220">
        <v>59370</v>
      </c>
      <c r="G220" t="s">
        <v>1038</v>
      </c>
      <c r="H220">
        <v>2019117</v>
      </c>
      <c r="I220" t="s">
        <v>19</v>
      </c>
      <c r="J220" t="s">
        <v>20</v>
      </c>
      <c r="K220" t="s">
        <v>25</v>
      </c>
      <c r="L220">
        <v>0</v>
      </c>
      <c r="M220">
        <v>2.14</v>
      </c>
      <c r="N220">
        <v>0</v>
      </c>
      <c r="O220">
        <v>35.409999999999997</v>
      </c>
      <c r="P220">
        <v>37.547400000000003</v>
      </c>
    </row>
    <row r="221" spans="1:16" hidden="1" x14ac:dyDescent="0.25">
      <c r="A221" s="22">
        <v>43637</v>
      </c>
      <c r="B221" t="s">
        <v>1037</v>
      </c>
      <c r="C221" t="s">
        <v>23</v>
      </c>
      <c r="D221">
        <v>100</v>
      </c>
      <c r="E221">
        <v>597</v>
      </c>
      <c r="F221">
        <v>59700</v>
      </c>
      <c r="G221" t="s">
        <v>1039</v>
      </c>
      <c r="H221">
        <v>2019117</v>
      </c>
      <c r="I221" t="s">
        <v>19</v>
      </c>
      <c r="J221" t="s">
        <v>20</v>
      </c>
      <c r="K221" t="s">
        <v>25</v>
      </c>
      <c r="L221">
        <v>14.89</v>
      </c>
      <c r="M221">
        <v>2.15</v>
      </c>
      <c r="N221">
        <v>0</v>
      </c>
      <c r="O221">
        <v>35.61</v>
      </c>
      <c r="P221">
        <v>52.6492</v>
      </c>
    </row>
    <row r="222" spans="1:16" hidden="1" x14ac:dyDescent="0.25">
      <c r="A222" s="22">
        <v>43637</v>
      </c>
      <c r="B222" t="s">
        <v>849</v>
      </c>
      <c r="C222" t="s">
        <v>23</v>
      </c>
      <c r="D222">
        <v>100</v>
      </c>
      <c r="E222">
        <v>75</v>
      </c>
      <c r="F222">
        <v>7500</v>
      </c>
      <c r="G222" t="s">
        <v>1040</v>
      </c>
      <c r="H222">
        <v>2019117</v>
      </c>
      <c r="I222" t="s">
        <v>19</v>
      </c>
      <c r="J222" t="s">
        <v>20</v>
      </c>
      <c r="K222" t="s">
        <v>25</v>
      </c>
      <c r="L222">
        <v>1.65</v>
      </c>
      <c r="M222">
        <v>0.27</v>
      </c>
      <c r="N222">
        <v>0</v>
      </c>
      <c r="O222">
        <v>29.55</v>
      </c>
      <c r="P222">
        <v>31.47</v>
      </c>
    </row>
    <row r="223" spans="1:16" hidden="1" x14ac:dyDescent="0.25">
      <c r="A223" s="22">
        <v>43637</v>
      </c>
      <c r="B223" t="s">
        <v>16</v>
      </c>
      <c r="C223" t="s">
        <v>17</v>
      </c>
      <c r="D223">
        <v>2500</v>
      </c>
      <c r="E223">
        <v>22.05</v>
      </c>
      <c r="F223">
        <v>55125</v>
      </c>
      <c r="G223" t="s">
        <v>1041</v>
      </c>
      <c r="H223">
        <v>2019117</v>
      </c>
      <c r="I223" t="s">
        <v>19</v>
      </c>
      <c r="J223" t="s">
        <v>20</v>
      </c>
      <c r="K223" t="s">
        <v>25</v>
      </c>
      <c r="L223">
        <v>0</v>
      </c>
      <c r="M223">
        <v>1.98</v>
      </c>
      <c r="N223">
        <v>24.6</v>
      </c>
      <c r="O223">
        <v>32.880000000000003</v>
      </c>
      <c r="P223">
        <v>59.464500000000001</v>
      </c>
    </row>
    <row r="224" spans="1:16" hidden="1" x14ac:dyDescent="0.25">
      <c r="A224" s="22">
        <v>43637</v>
      </c>
      <c r="B224" t="s">
        <v>16</v>
      </c>
      <c r="C224" t="s">
        <v>23</v>
      </c>
      <c r="D224">
        <v>2500</v>
      </c>
      <c r="E224">
        <v>21.95</v>
      </c>
      <c r="F224">
        <v>54878.55</v>
      </c>
      <c r="G224" t="s">
        <v>1042</v>
      </c>
      <c r="H224">
        <v>2019117</v>
      </c>
      <c r="I224" t="s">
        <v>19</v>
      </c>
      <c r="J224" t="s">
        <v>20</v>
      </c>
      <c r="K224" t="s">
        <v>25</v>
      </c>
      <c r="L224">
        <v>13.75</v>
      </c>
      <c r="M224">
        <v>1.98</v>
      </c>
      <c r="N224">
        <v>0</v>
      </c>
      <c r="O224">
        <v>32.72</v>
      </c>
      <c r="P224">
        <v>48.445599999999999</v>
      </c>
    </row>
    <row r="225" spans="1:16" hidden="1" x14ac:dyDescent="0.25">
      <c r="A225" s="22">
        <v>43636</v>
      </c>
      <c r="B225" t="s">
        <v>659</v>
      </c>
      <c r="C225" t="s">
        <v>17</v>
      </c>
      <c r="D225">
        <v>1000</v>
      </c>
      <c r="E225">
        <v>104.5</v>
      </c>
      <c r="F225">
        <v>104500</v>
      </c>
      <c r="G225" t="s">
        <v>1043</v>
      </c>
      <c r="H225">
        <v>2019116</v>
      </c>
      <c r="I225" t="s">
        <v>19</v>
      </c>
      <c r="J225" t="s">
        <v>20</v>
      </c>
      <c r="K225" t="s">
        <v>25</v>
      </c>
      <c r="L225">
        <v>0</v>
      </c>
      <c r="M225">
        <v>3.76</v>
      </c>
      <c r="N225">
        <v>0</v>
      </c>
      <c r="O225">
        <v>62.33</v>
      </c>
      <c r="P225">
        <v>66.091999999999999</v>
      </c>
    </row>
    <row r="226" spans="1:16" hidden="1" x14ac:dyDescent="0.25">
      <c r="A226" s="22">
        <v>43636</v>
      </c>
      <c r="B226" t="s">
        <v>659</v>
      </c>
      <c r="C226" t="s">
        <v>23</v>
      </c>
      <c r="D226">
        <v>1000</v>
      </c>
      <c r="E226">
        <v>107.5</v>
      </c>
      <c r="F226">
        <v>107500</v>
      </c>
      <c r="G226" t="s">
        <v>1044</v>
      </c>
      <c r="H226">
        <v>2019116</v>
      </c>
      <c r="I226" t="s">
        <v>19</v>
      </c>
      <c r="J226" t="s">
        <v>20</v>
      </c>
      <c r="K226" t="s">
        <v>25</v>
      </c>
      <c r="L226">
        <v>26.5</v>
      </c>
      <c r="M226">
        <v>3.87</v>
      </c>
      <c r="N226">
        <v>0</v>
      </c>
      <c r="O226">
        <v>64.12</v>
      </c>
      <c r="P226">
        <v>94.49</v>
      </c>
    </row>
    <row r="227" spans="1:16" hidden="1" x14ac:dyDescent="0.25">
      <c r="A227" s="22">
        <v>43636</v>
      </c>
      <c r="B227" t="s">
        <v>16</v>
      </c>
      <c r="C227" t="s">
        <v>17</v>
      </c>
      <c r="D227">
        <v>150</v>
      </c>
      <c r="E227">
        <v>22</v>
      </c>
      <c r="F227">
        <v>3300</v>
      </c>
      <c r="G227" t="s">
        <v>1045</v>
      </c>
      <c r="H227">
        <v>2019116</v>
      </c>
      <c r="I227" t="s">
        <v>19</v>
      </c>
      <c r="J227" t="s">
        <v>20</v>
      </c>
      <c r="K227" t="s">
        <v>25</v>
      </c>
      <c r="L227">
        <v>3.03</v>
      </c>
      <c r="M227">
        <v>0.12</v>
      </c>
      <c r="N227">
        <v>0</v>
      </c>
      <c r="O227">
        <v>41.32</v>
      </c>
      <c r="P227">
        <v>44.468800000000002</v>
      </c>
    </row>
    <row r="228" spans="1:16" hidden="1" x14ac:dyDescent="0.25">
      <c r="A228" s="22">
        <v>43636</v>
      </c>
      <c r="B228" t="s">
        <v>237</v>
      </c>
      <c r="C228" t="s">
        <v>17</v>
      </c>
      <c r="D228">
        <v>500</v>
      </c>
      <c r="E228">
        <v>267</v>
      </c>
      <c r="F228">
        <v>133500</v>
      </c>
      <c r="G228" t="s">
        <v>1046</v>
      </c>
      <c r="H228">
        <v>2019116</v>
      </c>
      <c r="I228" t="s">
        <v>19</v>
      </c>
      <c r="J228" t="s">
        <v>20</v>
      </c>
      <c r="K228" t="s">
        <v>25</v>
      </c>
      <c r="L228">
        <v>0</v>
      </c>
      <c r="M228">
        <v>4.8099999999999996</v>
      </c>
      <c r="N228">
        <v>14.7</v>
      </c>
      <c r="O228">
        <v>79.63</v>
      </c>
      <c r="P228">
        <v>99.135999999999996</v>
      </c>
    </row>
    <row r="229" spans="1:16" hidden="1" x14ac:dyDescent="0.25">
      <c r="A229" s="22">
        <v>43636</v>
      </c>
      <c r="B229" t="s">
        <v>237</v>
      </c>
      <c r="C229" t="s">
        <v>23</v>
      </c>
      <c r="D229">
        <v>500</v>
      </c>
      <c r="E229">
        <v>268.5</v>
      </c>
      <c r="F229">
        <v>134250</v>
      </c>
      <c r="G229" t="s">
        <v>1047</v>
      </c>
      <c r="H229">
        <v>2019116</v>
      </c>
      <c r="I229" t="s">
        <v>19</v>
      </c>
      <c r="J229" t="s">
        <v>20</v>
      </c>
      <c r="K229" t="s">
        <v>25</v>
      </c>
      <c r="L229">
        <v>33.47</v>
      </c>
      <c r="M229">
        <v>4.83</v>
      </c>
      <c r="N229">
        <v>0</v>
      </c>
      <c r="O229">
        <v>80.08</v>
      </c>
      <c r="P229">
        <v>118.3831</v>
      </c>
    </row>
    <row r="230" spans="1:16" hidden="1" x14ac:dyDescent="0.25">
      <c r="A230" s="22">
        <v>43635</v>
      </c>
      <c r="B230" t="s">
        <v>659</v>
      </c>
      <c r="C230" t="s">
        <v>23</v>
      </c>
      <c r="D230">
        <v>500</v>
      </c>
      <c r="E230">
        <v>105.8</v>
      </c>
      <c r="F230">
        <v>52900</v>
      </c>
      <c r="G230" t="s">
        <v>1048</v>
      </c>
      <c r="H230">
        <v>2019115</v>
      </c>
      <c r="I230" t="s">
        <v>19</v>
      </c>
      <c r="J230" t="s">
        <v>20</v>
      </c>
      <c r="K230" t="s">
        <v>25</v>
      </c>
      <c r="L230">
        <v>13</v>
      </c>
      <c r="M230">
        <v>1.9</v>
      </c>
      <c r="N230">
        <v>3.3</v>
      </c>
      <c r="O230">
        <v>31.55</v>
      </c>
      <c r="P230">
        <v>49.754399999999997</v>
      </c>
    </row>
    <row r="231" spans="1:16" hidden="1" x14ac:dyDescent="0.25">
      <c r="A231" s="22">
        <v>43635</v>
      </c>
      <c r="B231" t="s">
        <v>659</v>
      </c>
      <c r="C231" t="s">
        <v>17</v>
      </c>
      <c r="D231">
        <v>500</v>
      </c>
      <c r="E231">
        <v>103.25</v>
      </c>
      <c r="F231">
        <v>51625</v>
      </c>
      <c r="G231" t="s">
        <v>1049</v>
      </c>
      <c r="H231">
        <v>2019115</v>
      </c>
      <c r="I231" t="s">
        <v>19</v>
      </c>
      <c r="J231" t="s">
        <v>20</v>
      </c>
      <c r="K231" t="s">
        <v>25</v>
      </c>
      <c r="L231">
        <v>0</v>
      </c>
      <c r="M231">
        <v>1.86</v>
      </c>
      <c r="N231">
        <v>0</v>
      </c>
      <c r="O231">
        <v>30.79</v>
      </c>
      <c r="P231">
        <v>32.648499999999999</v>
      </c>
    </row>
    <row r="232" spans="1:16" hidden="1" x14ac:dyDescent="0.25">
      <c r="A232" s="22">
        <v>43634</v>
      </c>
      <c r="B232" t="s">
        <v>1050</v>
      </c>
      <c r="C232" t="s">
        <v>23</v>
      </c>
      <c r="D232">
        <v>100</v>
      </c>
      <c r="E232">
        <v>178</v>
      </c>
      <c r="F232">
        <v>17800</v>
      </c>
      <c r="G232" t="s">
        <v>1051</v>
      </c>
      <c r="H232">
        <v>2019114</v>
      </c>
      <c r="I232" t="s">
        <v>19</v>
      </c>
      <c r="J232" t="s">
        <v>20</v>
      </c>
      <c r="K232" t="s">
        <v>25</v>
      </c>
      <c r="L232">
        <v>4.45</v>
      </c>
      <c r="M232">
        <v>0.64</v>
      </c>
      <c r="N232">
        <v>0</v>
      </c>
      <c r="O232">
        <v>29.62</v>
      </c>
      <c r="P232">
        <v>34.710799999999999</v>
      </c>
    </row>
    <row r="233" spans="1:16" hidden="1" x14ac:dyDescent="0.25">
      <c r="A233" s="22">
        <v>43634</v>
      </c>
      <c r="B233" t="s">
        <v>1050</v>
      </c>
      <c r="C233" t="s">
        <v>23</v>
      </c>
      <c r="D233">
        <v>200</v>
      </c>
      <c r="E233">
        <v>179</v>
      </c>
      <c r="F233">
        <v>35800</v>
      </c>
      <c r="G233" t="s">
        <v>1052</v>
      </c>
      <c r="H233">
        <v>2019114</v>
      </c>
      <c r="I233" t="s">
        <v>19</v>
      </c>
      <c r="J233" t="s">
        <v>20</v>
      </c>
      <c r="K233" t="s">
        <v>25</v>
      </c>
      <c r="L233">
        <v>8.91</v>
      </c>
      <c r="M233">
        <v>1.29</v>
      </c>
      <c r="N233">
        <v>0</v>
      </c>
      <c r="O233">
        <v>29.73</v>
      </c>
      <c r="P233">
        <v>39.928800000000003</v>
      </c>
    </row>
    <row r="234" spans="1:16" hidden="1" x14ac:dyDescent="0.25">
      <c r="A234" s="22">
        <v>43634</v>
      </c>
      <c r="B234" t="s">
        <v>1050</v>
      </c>
      <c r="C234" t="s">
        <v>17</v>
      </c>
      <c r="D234">
        <v>300</v>
      </c>
      <c r="E234">
        <v>177.65</v>
      </c>
      <c r="F234">
        <v>53295</v>
      </c>
      <c r="G234" t="s">
        <v>1053</v>
      </c>
      <c r="H234">
        <v>2019114</v>
      </c>
      <c r="I234" t="s">
        <v>19</v>
      </c>
      <c r="J234" t="s">
        <v>20</v>
      </c>
      <c r="K234" t="s">
        <v>25</v>
      </c>
      <c r="L234">
        <v>0</v>
      </c>
      <c r="M234">
        <v>1.92</v>
      </c>
      <c r="N234">
        <v>31.5</v>
      </c>
      <c r="O234">
        <v>31.79</v>
      </c>
      <c r="P234">
        <v>65.208600000000004</v>
      </c>
    </row>
    <row r="235" spans="1:16" hidden="1" x14ac:dyDescent="0.25">
      <c r="A235" s="22">
        <v>43634</v>
      </c>
      <c r="B235" t="s">
        <v>1054</v>
      </c>
      <c r="C235" t="s">
        <v>17</v>
      </c>
      <c r="D235">
        <v>500</v>
      </c>
      <c r="E235">
        <v>471.5</v>
      </c>
      <c r="F235">
        <v>235750</v>
      </c>
      <c r="G235" t="s">
        <v>1055</v>
      </c>
      <c r="H235">
        <v>2019114</v>
      </c>
      <c r="I235" t="s">
        <v>19</v>
      </c>
      <c r="J235" t="s">
        <v>20</v>
      </c>
      <c r="K235" t="s">
        <v>25</v>
      </c>
      <c r="L235">
        <v>0</v>
      </c>
      <c r="M235">
        <v>8.49</v>
      </c>
      <c r="N235">
        <v>0</v>
      </c>
      <c r="O235">
        <v>140.62</v>
      </c>
      <c r="P235">
        <v>149.107</v>
      </c>
    </row>
    <row r="236" spans="1:16" hidden="1" x14ac:dyDescent="0.25">
      <c r="A236" s="22">
        <v>43634</v>
      </c>
      <c r="B236" t="s">
        <v>1054</v>
      </c>
      <c r="C236" t="s">
        <v>23</v>
      </c>
      <c r="D236">
        <v>1000</v>
      </c>
      <c r="E236">
        <v>471.5</v>
      </c>
      <c r="F236">
        <v>471500</v>
      </c>
      <c r="G236" t="s">
        <v>1056</v>
      </c>
      <c r="H236">
        <v>2019114</v>
      </c>
      <c r="I236" t="s">
        <v>19</v>
      </c>
      <c r="J236" t="s">
        <v>20</v>
      </c>
      <c r="K236" t="s">
        <v>25</v>
      </c>
      <c r="L236">
        <v>117.64</v>
      </c>
      <c r="M236">
        <v>16.97</v>
      </c>
      <c r="N236">
        <v>0</v>
      </c>
      <c r="O236">
        <v>281.23</v>
      </c>
      <c r="P236">
        <v>415.84429999999998</v>
      </c>
    </row>
    <row r="237" spans="1:16" hidden="1" x14ac:dyDescent="0.25">
      <c r="A237" s="22">
        <v>43634</v>
      </c>
      <c r="B237" t="s">
        <v>1054</v>
      </c>
      <c r="C237" t="s">
        <v>17</v>
      </c>
      <c r="D237">
        <v>500</v>
      </c>
      <c r="E237">
        <v>468</v>
      </c>
      <c r="F237">
        <v>234000</v>
      </c>
      <c r="G237" t="s">
        <v>1057</v>
      </c>
      <c r="H237">
        <v>2019114</v>
      </c>
      <c r="I237" t="s">
        <v>19</v>
      </c>
      <c r="J237" t="s">
        <v>20</v>
      </c>
      <c r="K237" t="s">
        <v>25</v>
      </c>
      <c r="L237">
        <v>0</v>
      </c>
      <c r="M237">
        <v>8.42</v>
      </c>
      <c r="N237">
        <v>0</v>
      </c>
      <c r="O237">
        <v>139.58000000000001</v>
      </c>
      <c r="P237">
        <v>148.00399999999999</v>
      </c>
    </row>
    <row r="238" spans="1:16" hidden="1" x14ac:dyDescent="0.25">
      <c r="A238" s="22">
        <v>43633</v>
      </c>
      <c r="B238" t="s">
        <v>16</v>
      </c>
      <c r="C238" t="s">
        <v>17</v>
      </c>
      <c r="D238">
        <v>100</v>
      </c>
      <c r="E238">
        <v>24.25</v>
      </c>
      <c r="F238">
        <v>2425</v>
      </c>
      <c r="G238" t="s">
        <v>1058</v>
      </c>
      <c r="H238">
        <v>2019113</v>
      </c>
      <c r="I238" t="s">
        <v>19</v>
      </c>
      <c r="J238" t="s">
        <v>20</v>
      </c>
      <c r="K238" t="s">
        <v>25</v>
      </c>
      <c r="L238">
        <v>2.4300000000000002</v>
      </c>
      <c r="M238">
        <v>0.09</v>
      </c>
      <c r="N238">
        <v>0</v>
      </c>
      <c r="O238">
        <v>41.32</v>
      </c>
      <c r="P238">
        <v>43.837299999999999</v>
      </c>
    </row>
    <row r="239" spans="1:16" hidden="1" x14ac:dyDescent="0.25">
      <c r="A239" s="22">
        <v>43633</v>
      </c>
      <c r="B239" t="s">
        <v>1054</v>
      </c>
      <c r="C239" t="s">
        <v>17</v>
      </c>
      <c r="D239">
        <v>100</v>
      </c>
      <c r="E239">
        <v>493.15</v>
      </c>
      <c r="F239">
        <v>49315</v>
      </c>
      <c r="G239" t="s">
        <v>1059</v>
      </c>
      <c r="H239">
        <v>2019113</v>
      </c>
      <c r="I239" t="s">
        <v>19</v>
      </c>
      <c r="J239" t="s">
        <v>20</v>
      </c>
      <c r="K239" t="s">
        <v>25</v>
      </c>
      <c r="L239">
        <v>0</v>
      </c>
      <c r="M239">
        <v>1.78</v>
      </c>
      <c r="N239">
        <v>0</v>
      </c>
      <c r="O239">
        <v>29.82</v>
      </c>
      <c r="P239">
        <v>31.595300000000002</v>
      </c>
    </row>
    <row r="240" spans="1:16" hidden="1" x14ac:dyDescent="0.25">
      <c r="A240" s="22">
        <v>43633</v>
      </c>
      <c r="B240" t="s">
        <v>1054</v>
      </c>
      <c r="C240" t="s">
        <v>17</v>
      </c>
      <c r="D240">
        <v>100</v>
      </c>
      <c r="E240">
        <v>490.85</v>
      </c>
      <c r="F240">
        <v>49084.95</v>
      </c>
      <c r="G240" t="s">
        <v>1060</v>
      </c>
      <c r="H240">
        <v>2019113</v>
      </c>
      <c r="I240" t="s">
        <v>19</v>
      </c>
      <c r="J240" t="s">
        <v>20</v>
      </c>
      <c r="K240" t="s">
        <v>25</v>
      </c>
      <c r="L240">
        <v>0</v>
      </c>
      <c r="M240">
        <v>1.77</v>
      </c>
      <c r="N240">
        <v>0</v>
      </c>
      <c r="O240">
        <v>29.82</v>
      </c>
      <c r="P240">
        <v>31.5871</v>
      </c>
    </row>
    <row r="241" spans="1:16" hidden="1" x14ac:dyDescent="0.25">
      <c r="A241" s="22">
        <v>43633</v>
      </c>
      <c r="B241" t="s">
        <v>1054</v>
      </c>
      <c r="C241" t="s">
        <v>17</v>
      </c>
      <c r="D241">
        <v>100</v>
      </c>
      <c r="E241">
        <v>486</v>
      </c>
      <c r="F241">
        <v>48600</v>
      </c>
      <c r="G241" t="s">
        <v>1061</v>
      </c>
      <c r="H241">
        <v>2019113</v>
      </c>
      <c r="I241" t="s">
        <v>19</v>
      </c>
      <c r="J241" t="s">
        <v>20</v>
      </c>
      <c r="K241" t="s">
        <v>25</v>
      </c>
      <c r="L241">
        <v>0</v>
      </c>
      <c r="M241">
        <v>1.75</v>
      </c>
      <c r="N241">
        <v>0</v>
      </c>
      <c r="O241">
        <v>29.82</v>
      </c>
      <c r="P241">
        <v>31.569600000000001</v>
      </c>
    </row>
    <row r="242" spans="1:16" hidden="1" x14ac:dyDescent="0.25">
      <c r="A242" s="22">
        <v>43633</v>
      </c>
      <c r="B242" t="s">
        <v>1054</v>
      </c>
      <c r="C242" t="s">
        <v>23</v>
      </c>
      <c r="D242">
        <v>2000</v>
      </c>
      <c r="E242">
        <v>484.25</v>
      </c>
      <c r="F242">
        <v>968500</v>
      </c>
      <c r="G242" t="s">
        <v>1062</v>
      </c>
      <c r="H242">
        <v>2019113</v>
      </c>
      <c r="I242" t="s">
        <v>19</v>
      </c>
      <c r="J242" t="s">
        <v>20</v>
      </c>
      <c r="K242" t="s">
        <v>25</v>
      </c>
      <c r="L242">
        <v>241.58</v>
      </c>
      <c r="M242">
        <v>34.869999999999997</v>
      </c>
      <c r="N242">
        <v>58.2</v>
      </c>
      <c r="O242">
        <v>577.69000000000005</v>
      </c>
      <c r="P242">
        <v>912.33609999999999</v>
      </c>
    </row>
    <row r="243" spans="1:16" hidden="1" x14ac:dyDescent="0.25">
      <c r="A243" s="22">
        <v>43633</v>
      </c>
      <c r="B243" t="s">
        <v>1054</v>
      </c>
      <c r="C243" t="s">
        <v>17</v>
      </c>
      <c r="D243">
        <v>1700</v>
      </c>
      <c r="E243">
        <v>482.25</v>
      </c>
      <c r="F243">
        <v>819825</v>
      </c>
      <c r="G243" t="s">
        <v>1063</v>
      </c>
      <c r="H243">
        <v>2019113</v>
      </c>
      <c r="I243" t="s">
        <v>19</v>
      </c>
      <c r="J243" t="s">
        <v>20</v>
      </c>
      <c r="K243" t="s">
        <v>25</v>
      </c>
      <c r="L243">
        <v>0</v>
      </c>
      <c r="M243">
        <v>29.51</v>
      </c>
      <c r="N243">
        <v>0</v>
      </c>
      <c r="O243">
        <v>489.01</v>
      </c>
      <c r="P243">
        <v>518.52369999999996</v>
      </c>
    </row>
    <row r="244" spans="1:16" hidden="1" x14ac:dyDescent="0.25">
      <c r="A244" s="22">
        <v>43630</v>
      </c>
      <c r="B244" t="s">
        <v>659</v>
      </c>
      <c r="C244" t="s">
        <v>23</v>
      </c>
      <c r="D244">
        <v>1000</v>
      </c>
      <c r="E244">
        <v>115</v>
      </c>
      <c r="F244">
        <v>115000</v>
      </c>
      <c r="G244" t="s">
        <v>1064</v>
      </c>
      <c r="H244">
        <v>2019112</v>
      </c>
      <c r="I244" t="s">
        <v>19</v>
      </c>
      <c r="J244" t="s">
        <v>20</v>
      </c>
      <c r="K244" t="s">
        <v>25</v>
      </c>
      <c r="L244">
        <v>29.01</v>
      </c>
      <c r="M244">
        <v>4.1399999999999997</v>
      </c>
      <c r="N244">
        <v>0</v>
      </c>
      <c r="O244">
        <v>68.599999999999994</v>
      </c>
      <c r="P244">
        <v>101.75</v>
      </c>
    </row>
    <row r="245" spans="1:16" hidden="1" x14ac:dyDescent="0.25">
      <c r="A245" s="22">
        <v>43630</v>
      </c>
      <c r="B245" t="s">
        <v>659</v>
      </c>
      <c r="C245" t="s">
        <v>17</v>
      </c>
      <c r="D245">
        <v>1000</v>
      </c>
      <c r="E245">
        <v>113</v>
      </c>
      <c r="F245">
        <v>113000</v>
      </c>
      <c r="G245" t="s">
        <v>1065</v>
      </c>
      <c r="H245">
        <v>2019112</v>
      </c>
      <c r="I245" t="s">
        <v>19</v>
      </c>
      <c r="J245" t="s">
        <v>20</v>
      </c>
      <c r="K245" t="s">
        <v>25</v>
      </c>
      <c r="L245">
        <v>0</v>
      </c>
      <c r="M245">
        <v>4.07</v>
      </c>
      <c r="N245">
        <v>0</v>
      </c>
      <c r="O245">
        <v>67.400000000000006</v>
      </c>
      <c r="P245">
        <v>71.468000000000004</v>
      </c>
    </row>
    <row r="246" spans="1:16" hidden="1" x14ac:dyDescent="0.25">
      <c r="A246" s="22">
        <v>43630</v>
      </c>
      <c r="B246" t="s">
        <v>1066</v>
      </c>
      <c r="C246" t="s">
        <v>17</v>
      </c>
      <c r="D246">
        <v>500</v>
      </c>
      <c r="E246">
        <v>58.4</v>
      </c>
      <c r="F246">
        <v>29200</v>
      </c>
      <c r="G246" t="s">
        <v>1067</v>
      </c>
      <c r="H246">
        <v>2019112</v>
      </c>
      <c r="I246" t="s">
        <v>19</v>
      </c>
      <c r="J246" t="s">
        <v>20</v>
      </c>
      <c r="K246" t="s">
        <v>25</v>
      </c>
      <c r="L246">
        <v>0</v>
      </c>
      <c r="M246">
        <v>1.05</v>
      </c>
      <c r="N246">
        <v>0</v>
      </c>
      <c r="O246">
        <v>29.69</v>
      </c>
      <c r="P246">
        <v>30.741199999999999</v>
      </c>
    </row>
    <row r="247" spans="1:16" hidden="1" x14ac:dyDescent="0.25">
      <c r="A247" s="22">
        <v>43630</v>
      </c>
      <c r="B247" t="s">
        <v>1066</v>
      </c>
      <c r="C247" t="s">
        <v>23</v>
      </c>
      <c r="D247">
        <v>500</v>
      </c>
      <c r="E247">
        <v>59.1</v>
      </c>
      <c r="F247">
        <v>29550</v>
      </c>
      <c r="G247" t="s">
        <v>1068</v>
      </c>
      <c r="H247">
        <v>2019112</v>
      </c>
      <c r="I247" t="s">
        <v>19</v>
      </c>
      <c r="J247" t="s">
        <v>20</v>
      </c>
      <c r="K247" t="s">
        <v>25</v>
      </c>
      <c r="L247">
        <v>7.34</v>
      </c>
      <c r="M247">
        <v>1.06</v>
      </c>
      <c r="N247">
        <v>0</v>
      </c>
      <c r="O247">
        <v>29.69</v>
      </c>
      <c r="P247">
        <v>38.093899999999998</v>
      </c>
    </row>
    <row r="248" spans="1:16" hidden="1" x14ac:dyDescent="0.25">
      <c r="A248" s="22">
        <v>43630</v>
      </c>
      <c r="B248" t="s">
        <v>659</v>
      </c>
      <c r="C248" t="s">
        <v>17</v>
      </c>
      <c r="D248">
        <v>2000</v>
      </c>
      <c r="E248">
        <v>118</v>
      </c>
      <c r="F248">
        <v>236000</v>
      </c>
      <c r="G248" t="s">
        <v>1069</v>
      </c>
      <c r="H248">
        <v>2019112</v>
      </c>
      <c r="I248" t="s">
        <v>19</v>
      </c>
      <c r="J248" t="s">
        <v>20</v>
      </c>
      <c r="K248" t="s">
        <v>25</v>
      </c>
      <c r="L248">
        <v>0</v>
      </c>
      <c r="M248">
        <v>8.5</v>
      </c>
      <c r="N248">
        <v>23.1</v>
      </c>
      <c r="O248">
        <v>140.77000000000001</v>
      </c>
      <c r="P248">
        <v>172.36590000000001</v>
      </c>
    </row>
    <row r="249" spans="1:16" hidden="1" x14ac:dyDescent="0.25">
      <c r="A249" s="22">
        <v>43630</v>
      </c>
      <c r="B249" t="s">
        <v>659</v>
      </c>
      <c r="C249" t="s">
        <v>23</v>
      </c>
      <c r="D249">
        <v>2000</v>
      </c>
      <c r="E249">
        <v>119.9</v>
      </c>
      <c r="F249">
        <v>239800</v>
      </c>
      <c r="G249" t="s">
        <v>1070</v>
      </c>
      <c r="H249">
        <v>2019112</v>
      </c>
      <c r="I249" t="s">
        <v>19</v>
      </c>
      <c r="J249" t="s">
        <v>20</v>
      </c>
      <c r="K249" t="s">
        <v>25</v>
      </c>
      <c r="L249">
        <v>58.65</v>
      </c>
      <c r="M249">
        <v>8.6300000000000008</v>
      </c>
      <c r="N249">
        <v>0</v>
      </c>
      <c r="O249">
        <v>143.04</v>
      </c>
      <c r="P249">
        <v>210.3228</v>
      </c>
    </row>
    <row r="250" spans="1:16" x14ac:dyDescent="0.25">
      <c r="A250" s="22">
        <v>43139</v>
      </c>
      <c r="B250" t="s">
        <v>282</v>
      </c>
      <c r="C250" t="s">
        <v>23</v>
      </c>
      <c r="D250">
        <v>100</v>
      </c>
      <c r="E250">
        <v>620</v>
      </c>
      <c r="F250">
        <v>62000</v>
      </c>
      <c r="G250" t="s">
        <v>303</v>
      </c>
      <c r="H250">
        <v>2018028</v>
      </c>
      <c r="I250" t="s">
        <v>19</v>
      </c>
      <c r="J250" t="s">
        <v>20</v>
      </c>
      <c r="K250" t="s">
        <v>25</v>
      </c>
      <c r="L250">
        <v>61.27</v>
      </c>
      <c r="M250">
        <v>2.02</v>
      </c>
      <c r="N250">
        <v>0</v>
      </c>
      <c r="O250">
        <v>36.94</v>
      </c>
      <c r="P250">
        <v>100.22499999999999</v>
      </c>
    </row>
    <row r="251" spans="1:16" hidden="1" x14ac:dyDescent="0.25">
      <c r="A251" s="22">
        <v>43629</v>
      </c>
      <c r="B251" t="s">
        <v>282</v>
      </c>
      <c r="C251" t="s">
        <v>17</v>
      </c>
      <c r="D251">
        <v>2000</v>
      </c>
      <c r="E251">
        <v>252.5</v>
      </c>
      <c r="F251">
        <v>505000</v>
      </c>
      <c r="G251" t="s">
        <v>1072</v>
      </c>
      <c r="H251">
        <v>2019111</v>
      </c>
      <c r="I251" t="s">
        <v>19</v>
      </c>
      <c r="J251" t="s">
        <v>20</v>
      </c>
      <c r="K251" t="s">
        <v>25</v>
      </c>
      <c r="L251">
        <v>0</v>
      </c>
      <c r="M251">
        <v>18.18</v>
      </c>
      <c r="N251">
        <v>0</v>
      </c>
      <c r="O251">
        <v>301.23</v>
      </c>
      <c r="P251">
        <v>319.41000000000003</v>
      </c>
    </row>
    <row r="252" spans="1:16" hidden="1" x14ac:dyDescent="0.25">
      <c r="A252" s="22">
        <v>43629</v>
      </c>
      <c r="B252" t="s">
        <v>233</v>
      </c>
      <c r="C252" t="s">
        <v>23</v>
      </c>
      <c r="D252">
        <v>10</v>
      </c>
      <c r="E252">
        <v>1323</v>
      </c>
      <c r="F252">
        <v>13230</v>
      </c>
      <c r="G252" t="s">
        <v>1073</v>
      </c>
      <c r="H252">
        <v>2019111</v>
      </c>
      <c r="I252" t="s">
        <v>19</v>
      </c>
      <c r="J252" t="s">
        <v>20</v>
      </c>
      <c r="K252" t="s">
        <v>25</v>
      </c>
      <c r="L252">
        <v>3.3</v>
      </c>
      <c r="M252">
        <v>0.48</v>
      </c>
      <c r="N252">
        <v>0</v>
      </c>
      <c r="O252">
        <v>29.59</v>
      </c>
      <c r="P252">
        <v>33.366300000000003</v>
      </c>
    </row>
    <row r="253" spans="1:16" x14ac:dyDescent="0.25">
      <c r="A253" s="22">
        <v>43139</v>
      </c>
      <c r="B253" t="s">
        <v>282</v>
      </c>
      <c r="C253" t="s">
        <v>23</v>
      </c>
      <c r="D253">
        <v>500</v>
      </c>
      <c r="E253">
        <v>617</v>
      </c>
      <c r="F253">
        <v>308500</v>
      </c>
      <c r="G253" t="s">
        <v>305</v>
      </c>
      <c r="H253">
        <v>2018028</v>
      </c>
      <c r="I253" t="s">
        <v>19</v>
      </c>
      <c r="J253" t="s">
        <v>20</v>
      </c>
      <c r="K253" t="s">
        <v>25</v>
      </c>
      <c r="L253">
        <v>306.33</v>
      </c>
      <c r="M253">
        <v>10.029999999999999</v>
      </c>
      <c r="N253">
        <v>0</v>
      </c>
      <c r="O253">
        <v>183.82</v>
      </c>
      <c r="P253">
        <v>500.17630000000003</v>
      </c>
    </row>
    <row r="254" spans="1:16" hidden="1" x14ac:dyDescent="0.25">
      <c r="A254" s="22">
        <v>43629</v>
      </c>
      <c r="B254" t="s">
        <v>282</v>
      </c>
      <c r="C254" t="s">
        <v>17</v>
      </c>
      <c r="D254">
        <v>1000</v>
      </c>
      <c r="E254">
        <v>251.25</v>
      </c>
      <c r="F254">
        <v>251250</v>
      </c>
      <c r="G254" t="s">
        <v>1075</v>
      </c>
      <c r="H254">
        <v>2019111</v>
      </c>
      <c r="I254" t="s">
        <v>19</v>
      </c>
      <c r="J254" t="s">
        <v>20</v>
      </c>
      <c r="K254" t="s">
        <v>25</v>
      </c>
      <c r="L254">
        <v>0</v>
      </c>
      <c r="M254">
        <v>9.0500000000000007</v>
      </c>
      <c r="N254">
        <v>0</v>
      </c>
      <c r="O254">
        <v>149.87</v>
      </c>
      <c r="P254">
        <v>158.9151</v>
      </c>
    </row>
    <row r="255" spans="1:16" hidden="1" x14ac:dyDescent="0.25">
      <c r="A255" s="22">
        <v>43629</v>
      </c>
      <c r="B255" t="s">
        <v>233</v>
      </c>
      <c r="C255" t="s">
        <v>17</v>
      </c>
      <c r="D255">
        <v>10</v>
      </c>
      <c r="E255">
        <v>1317</v>
      </c>
      <c r="F255">
        <v>13170</v>
      </c>
      <c r="G255" t="s">
        <v>1076</v>
      </c>
      <c r="H255">
        <v>2019111</v>
      </c>
      <c r="I255" t="s">
        <v>19</v>
      </c>
      <c r="J255" t="s">
        <v>20</v>
      </c>
      <c r="K255" t="s">
        <v>25</v>
      </c>
      <c r="L255">
        <v>0</v>
      </c>
      <c r="M255">
        <v>0.47</v>
      </c>
      <c r="N255">
        <v>0</v>
      </c>
      <c r="O255">
        <v>29.59</v>
      </c>
      <c r="P255">
        <v>30.0642</v>
      </c>
    </row>
    <row r="256" spans="1:16" hidden="1" x14ac:dyDescent="0.25">
      <c r="A256" s="22">
        <v>43629</v>
      </c>
      <c r="B256" t="s">
        <v>1077</v>
      </c>
      <c r="C256" t="s">
        <v>23</v>
      </c>
      <c r="D256">
        <v>500</v>
      </c>
      <c r="E256">
        <v>104.5</v>
      </c>
      <c r="F256">
        <v>52250</v>
      </c>
      <c r="G256" t="s">
        <v>1078</v>
      </c>
      <c r="H256">
        <v>2019111</v>
      </c>
      <c r="I256" t="s">
        <v>19</v>
      </c>
      <c r="J256" t="s">
        <v>20</v>
      </c>
      <c r="K256" t="s">
        <v>25</v>
      </c>
      <c r="L256">
        <v>13.11</v>
      </c>
      <c r="M256">
        <v>1.88</v>
      </c>
      <c r="N256">
        <v>0</v>
      </c>
      <c r="O256">
        <v>31.17</v>
      </c>
      <c r="P256">
        <v>46.161099999999998</v>
      </c>
    </row>
    <row r="257" spans="1:16" hidden="1" x14ac:dyDescent="0.25">
      <c r="A257" s="22">
        <v>43629</v>
      </c>
      <c r="B257" t="s">
        <v>1077</v>
      </c>
      <c r="C257" t="s">
        <v>17</v>
      </c>
      <c r="D257">
        <v>500</v>
      </c>
      <c r="E257">
        <v>105.3</v>
      </c>
      <c r="F257">
        <v>52650</v>
      </c>
      <c r="G257" t="s">
        <v>1079</v>
      </c>
      <c r="H257">
        <v>2019111</v>
      </c>
      <c r="I257" t="s">
        <v>19</v>
      </c>
      <c r="J257" t="s">
        <v>20</v>
      </c>
      <c r="K257" t="s">
        <v>25</v>
      </c>
      <c r="L257">
        <v>0</v>
      </c>
      <c r="M257">
        <v>1.9</v>
      </c>
      <c r="N257">
        <v>0</v>
      </c>
      <c r="O257">
        <v>31.4</v>
      </c>
      <c r="P257">
        <v>33.295499999999997</v>
      </c>
    </row>
    <row r="258" spans="1:16" hidden="1" x14ac:dyDescent="0.25">
      <c r="A258" s="22">
        <v>43629</v>
      </c>
      <c r="B258" t="s">
        <v>849</v>
      </c>
      <c r="C258" t="s">
        <v>23</v>
      </c>
      <c r="D258">
        <v>20</v>
      </c>
      <c r="E258">
        <v>98</v>
      </c>
      <c r="F258">
        <v>1960</v>
      </c>
      <c r="G258" t="s">
        <v>1080</v>
      </c>
      <c r="H258">
        <v>2019111</v>
      </c>
      <c r="I258" t="s">
        <v>19</v>
      </c>
      <c r="J258" t="s">
        <v>20</v>
      </c>
      <c r="K258" t="s">
        <v>25</v>
      </c>
      <c r="L258">
        <v>1.96</v>
      </c>
      <c r="M258">
        <v>7.0000000000000007E-2</v>
      </c>
      <c r="N258">
        <v>0</v>
      </c>
      <c r="O258">
        <v>41.31</v>
      </c>
      <c r="P258">
        <v>43.340600000000002</v>
      </c>
    </row>
    <row r="259" spans="1:16" hidden="1" x14ac:dyDescent="0.25">
      <c r="A259" s="22">
        <v>43628</v>
      </c>
      <c r="B259" t="s">
        <v>1081</v>
      </c>
      <c r="C259" t="s">
        <v>17</v>
      </c>
      <c r="D259">
        <v>1000</v>
      </c>
      <c r="E259">
        <v>89.2</v>
      </c>
      <c r="F259">
        <v>89200</v>
      </c>
      <c r="G259" t="s">
        <v>1082</v>
      </c>
      <c r="H259">
        <v>2019110</v>
      </c>
      <c r="I259" t="s">
        <v>19</v>
      </c>
      <c r="J259" t="s">
        <v>20</v>
      </c>
      <c r="K259" t="s">
        <v>25</v>
      </c>
      <c r="L259">
        <v>0</v>
      </c>
      <c r="M259">
        <v>3.21</v>
      </c>
      <c r="N259">
        <v>0</v>
      </c>
      <c r="O259">
        <v>53.21</v>
      </c>
      <c r="P259">
        <v>56.421199999999999</v>
      </c>
    </row>
    <row r="260" spans="1:16" hidden="1" x14ac:dyDescent="0.25">
      <c r="A260" s="22">
        <v>43628</v>
      </c>
      <c r="B260" t="s">
        <v>1081</v>
      </c>
      <c r="C260" t="s">
        <v>23</v>
      </c>
      <c r="D260">
        <v>1000</v>
      </c>
      <c r="E260">
        <v>88</v>
      </c>
      <c r="F260">
        <v>88000</v>
      </c>
      <c r="G260" t="s">
        <v>1083</v>
      </c>
      <c r="H260">
        <v>2019110</v>
      </c>
      <c r="I260" t="s">
        <v>19</v>
      </c>
      <c r="J260" t="s">
        <v>20</v>
      </c>
      <c r="K260" t="s">
        <v>25</v>
      </c>
      <c r="L260">
        <v>22.14</v>
      </c>
      <c r="M260">
        <v>3.17</v>
      </c>
      <c r="N260">
        <v>31.8</v>
      </c>
      <c r="O260">
        <v>52.48</v>
      </c>
      <c r="P260">
        <v>109.58799999999999</v>
      </c>
    </row>
    <row r="261" spans="1:16" hidden="1" x14ac:dyDescent="0.25">
      <c r="A261" s="22">
        <v>43628</v>
      </c>
      <c r="B261" t="s">
        <v>1081</v>
      </c>
      <c r="C261" t="s">
        <v>23</v>
      </c>
      <c r="D261">
        <v>5000</v>
      </c>
      <c r="E261">
        <v>88</v>
      </c>
      <c r="F261">
        <v>440000</v>
      </c>
      <c r="G261" t="s">
        <v>1084</v>
      </c>
      <c r="H261">
        <v>2019110</v>
      </c>
      <c r="I261" t="s">
        <v>19</v>
      </c>
      <c r="J261" t="s">
        <v>20</v>
      </c>
      <c r="K261" t="s">
        <v>25</v>
      </c>
      <c r="L261">
        <v>109.86</v>
      </c>
      <c r="M261">
        <v>15.84</v>
      </c>
      <c r="N261">
        <v>0</v>
      </c>
      <c r="O261">
        <v>262.45</v>
      </c>
      <c r="P261">
        <v>388.15</v>
      </c>
    </row>
    <row r="262" spans="1:16" hidden="1" x14ac:dyDescent="0.25">
      <c r="A262" s="22">
        <v>43628</v>
      </c>
      <c r="B262" t="s">
        <v>1081</v>
      </c>
      <c r="C262" t="s">
        <v>17</v>
      </c>
      <c r="D262">
        <v>5000</v>
      </c>
      <c r="E262">
        <v>87.5</v>
      </c>
      <c r="F262">
        <v>437500</v>
      </c>
      <c r="G262" t="s">
        <v>1085</v>
      </c>
      <c r="H262">
        <v>2019110</v>
      </c>
      <c r="I262" t="s">
        <v>19</v>
      </c>
      <c r="J262" t="s">
        <v>20</v>
      </c>
      <c r="K262" t="s">
        <v>25</v>
      </c>
      <c r="L262">
        <v>0</v>
      </c>
      <c r="M262">
        <v>15.75</v>
      </c>
      <c r="N262">
        <v>0</v>
      </c>
      <c r="O262">
        <v>260.95999999999998</v>
      </c>
      <c r="P262">
        <v>276.70999999999998</v>
      </c>
    </row>
    <row r="263" spans="1:16" hidden="1" x14ac:dyDescent="0.25">
      <c r="A263" s="22">
        <v>43627</v>
      </c>
      <c r="B263" t="s">
        <v>1086</v>
      </c>
      <c r="C263" t="s">
        <v>23</v>
      </c>
      <c r="D263">
        <v>1000</v>
      </c>
      <c r="E263">
        <v>94.5</v>
      </c>
      <c r="F263">
        <v>94500</v>
      </c>
      <c r="G263" t="s">
        <v>1087</v>
      </c>
      <c r="H263">
        <v>2019109</v>
      </c>
      <c r="I263" t="s">
        <v>19</v>
      </c>
      <c r="J263" t="s">
        <v>20</v>
      </c>
      <c r="K263" t="s">
        <v>25</v>
      </c>
      <c r="L263">
        <v>23.63</v>
      </c>
      <c r="M263">
        <v>3.4</v>
      </c>
      <c r="N263">
        <v>0</v>
      </c>
      <c r="O263">
        <v>56.36</v>
      </c>
      <c r="P263">
        <v>83.391999999999996</v>
      </c>
    </row>
    <row r="264" spans="1:16" hidden="1" x14ac:dyDescent="0.25">
      <c r="A264" s="22">
        <v>43627</v>
      </c>
      <c r="B264" t="s">
        <v>1086</v>
      </c>
      <c r="C264" t="s">
        <v>17</v>
      </c>
      <c r="D264">
        <v>1000</v>
      </c>
      <c r="E264">
        <v>94.5</v>
      </c>
      <c r="F264">
        <v>94500</v>
      </c>
      <c r="G264" t="s">
        <v>1088</v>
      </c>
      <c r="H264">
        <v>2019109</v>
      </c>
      <c r="I264" t="s">
        <v>19</v>
      </c>
      <c r="J264" t="s">
        <v>20</v>
      </c>
      <c r="K264" t="s">
        <v>25</v>
      </c>
      <c r="L264">
        <v>0</v>
      </c>
      <c r="M264">
        <v>3.4</v>
      </c>
      <c r="N264">
        <v>0</v>
      </c>
      <c r="O264">
        <v>56.37</v>
      </c>
      <c r="P264">
        <v>59.771999999999998</v>
      </c>
    </row>
    <row r="265" spans="1:16" hidden="1" x14ac:dyDescent="0.25">
      <c r="A265" s="22">
        <v>43627</v>
      </c>
      <c r="B265" t="s">
        <v>291</v>
      </c>
      <c r="C265" t="s">
        <v>17</v>
      </c>
      <c r="D265">
        <v>2000</v>
      </c>
      <c r="E265">
        <v>109.25</v>
      </c>
      <c r="F265">
        <v>218500</v>
      </c>
      <c r="G265" t="s">
        <v>1089</v>
      </c>
      <c r="H265">
        <v>2019109</v>
      </c>
      <c r="I265" t="s">
        <v>19</v>
      </c>
      <c r="J265" t="s">
        <v>20</v>
      </c>
      <c r="K265" t="s">
        <v>25</v>
      </c>
      <c r="L265">
        <v>0</v>
      </c>
      <c r="M265">
        <v>7.87</v>
      </c>
      <c r="N265">
        <v>0</v>
      </c>
      <c r="O265">
        <v>130.33000000000001</v>
      </c>
      <c r="P265">
        <v>138.19589999999999</v>
      </c>
    </row>
    <row r="266" spans="1:16" hidden="1" x14ac:dyDescent="0.25">
      <c r="A266" s="22">
        <v>43627</v>
      </c>
      <c r="B266" t="s">
        <v>291</v>
      </c>
      <c r="C266" t="s">
        <v>23</v>
      </c>
      <c r="D266">
        <v>2000</v>
      </c>
      <c r="E266">
        <v>110</v>
      </c>
      <c r="F266">
        <v>220000</v>
      </c>
      <c r="G266" t="s">
        <v>1090</v>
      </c>
      <c r="H266">
        <v>2019109</v>
      </c>
      <c r="I266" t="s">
        <v>19</v>
      </c>
      <c r="J266" t="s">
        <v>20</v>
      </c>
      <c r="K266" t="s">
        <v>25</v>
      </c>
      <c r="L266">
        <v>54.81</v>
      </c>
      <c r="M266">
        <v>7.92</v>
      </c>
      <c r="N266">
        <v>0</v>
      </c>
      <c r="O266">
        <v>131.22</v>
      </c>
      <c r="P266">
        <v>193.95</v>
      </c>
    </row>
    <row r="267" spans="1:16" hidden="1" x14ac:dyDescent="0.25">
      <c r="A267" s="22">
        <v>43627</v>
      </c>
      <c r="B267" t="s">
        <v>1091</v>
      </c>
      <c r="C267" t="s">
        <v>17</v>
      </c>
      <c r="D267">
        <v>100</v>
      </c>
      <c r="E267">
        <v>329</v>
      </c>
      <c r="F267">
        <v>32900</v>
      </c>
      <c r="G267" t="s">
        <v>1092</v>
      </c>
      <c r="H267">
        <v>2019109</v>
      </c>
      <c r="I267" t="s">
        <v>19</v>
      </c>
      <c r="J267" t="s">
        <v>20</v>
      </c>
      <c r="K267" t="s">
        <v>25</v>
      </c>
      <c r="L267">
        <v>0</v>
      </c>
      <c r="M267">
        <v>1.18</v>
      </c>
      <c r="N267">
        <v>0</v>
      </c>
      <c r="O267">
        <v>29.71</v>
      </c>
      <c r="P267">
        <v>30.894400000000001</v>
      </c>
    </row>
    <row r="268" spans="1:16" hidden="1" x14ac:dyDescent="0.25">
      <c r="A268" s="22">
        <v>43627</v>
      </c>
      <c r="B268" t="s">
        <v>1081</v>
      </c>
      <c r="C268" t="s">
        <v>17</v>
      </c>
      <c r="D268">
        <v>2000</v>
      </c>
      <c r="E268">
        <v>88.5</v>
      </c>
      <c r="F268">
        <v>177000</v>
      </c>
      <c r="G268" t="s">
        <v>1093</v>
      </c>
      <c r="H268">
        <v>2019109</v>
      </c>
      <c r="I268" t="s">
        <v>19</v>
      </c>
      <c r="J268" t="s">
        <v>20</v>
      </c>
      <c r="K268" t="s">
        <v>25</v>
      </c>
      <c r="L268">
        <v>0</v>
      </c>
      <c r="M268">
        <v>6.37</v>
      </c>
      <c r="N268">
        <v>31.5</v>
      </c>
      <c r="O268">
        <v>105.59</v>
      </c>
      <c r="P268">
        <v>143.4623</v>
      </c>
    </row>
    <row r="269" spans="1:16" hidden="1" x14ac:dyDescent="0.25">
      <c r="A269" s="22">
        <v>43627</v>
      </c>
      <c r="B269" t="s">
        <v>1081</v>
      </c>
      <c r="C269" t="s">
        <v>23</v>
      </c>
      <c r="D269">
        <v>2000</v>
      </c>
      <c r="E269">
        <v>89.1</v>
      </c>
      <c r="F269">
        <v>178200</v>
      </c>
      <c r="G269" t="s">
        <v>1094</v>
      </c>
      <c r="H269">
        <v>2019109</v>
      </c>
      <c r="I269" t="s">
        <v>19</v>
      </c>
      <c r="J269" t="s">
        <v>20</v>
      </c>
      <c r="K269" t="s">
        <v>25</v>
      </c>
      <c r="L269">
        <v>44.4</v>
      </c>
      <c r="M269">
        <v>6.42</v>
      </c>
      <c r="N269">
        <v>0</v>
      </c>
      <c r="O269">
        <v>106.29</v>
      </c>
      <c r="P269">
        <v>157.1052</v>
      </c>
    </row>
    <row r="270" spans="1:16" hidden="1" x14ac:dyDescent="0.25">
      <c r="A270" s="22">
        <v>43627</v>
      </c>
      <c r="B270" t="s">
        <v>1091</v>
      </c>
      <c r="C270" t="s">
        <v>23</v>
      </c>
      <c r="D270">
        <v>100</v>
      </c>
      <c r="E270">
        <v>327.23</v>
      </c>
      <c r="F270">
        <v>32723.25</v>
      </c>
      <c r="G270" t="s">
        <v>1095</v>
      </c>
      <c r="H270">
        <v>2019109</v>
      </c>
      <c r="I270" t="s">
        <v>19</v>
      </c>
      <c r="J270" t="s">
        <v>20</v>
      </c>
      <c r="K270" t="s">
        <v>25</v>
      </c>
      <c r="L270">
        <v>8.16</v>
      </c>
      <c r="M270">
        <v>1.18</v>
      </c>
      <c r="N270">
        <v>0</v>
      </c>
      <c r="O270">
        <v>29.71</v>
      </c>
      <c r="P270">
        <v>39.048000000000002</v>
      </c>
    </row>
    <row r="271" spans="1:16" hidden="1" x14ac:dyDescent="0.25">
      <c r="A271" s="22">
        <v>43626</v>
      </c>
      <c r="B271" t="s">
        <v>1096</v>
      </c>
      <c r="C271" t="s">
        <v>17</v>
      </c>
      <c r="D271">
        <v>10</v>
      </c>
      <c r="E271">
        <v>3536</v>
      </c>
      <c r="F271">
        <v>35360</v>
      </c>
      <c r="G271" t="s">
        <v>1097</v>
      </c>
      <c r="H271">
        <v>2019108</v>
      </c>
      <c r="I271" t="s">
        <v>19</v>
      </c>
      <c r="J271" t="s">
        <v>20</v>
      </c>
      <c r="K271" t="s">
        <v>25</v>
      </c>
      <c r="L271">
        <v>0</v>
      </c>
      <c r="M271">
        <v>1.27</v>
      </c>
      <c r="N271">
        <v>0</v>
      </c>
      <c r="O271">
        <v>29.73</v>
      </c>
      <c r="P271">
        <v>31.003</v>
      </c>
    </row>
    <row r="272" spans="1:16" hidden="1" x14ac:dyDescent="0.25">
      <c r="A272" s="22">
        <v>43626</v>
      </c>
      <c r="B272" t="s">
        <v>1098</v>
      </c>
      <c r="C272" t="s">
        <v>23</v>
      </c>
      <c r="D272">
        <v>50</v>
      </c>
      <c r="E272">
        <v>1346</v>
      </c>
      <c r="F272">
        <v>67300</v>
      </c>
      <c r="G272" t="s">
        <v>1099</v>
      </c>
      <c r="H272">
        <v>2019108</v>
      </c>
      <c r="I272" t="s">
        <v>19</v>
      </c>
      <c r="J272" t="s">
        <v>20</v>
      </c>
      <c r="K272" t="s">
        <v>25</v>
      </c>
      <c r="L272">
        <v>16.77</v>
      </c>
      <c r="M272">
        <v>2.42</v>
      </c>
      <c r="N272">
        <v>0</v>
      </c>
      <c r="O272">
        <v>40.14</v>
      </c>
      <c r="P272">
        <v>59.332799999999999</v>
      </c>
    </row>
    <row r="273" spans="1:16" hidden="1" x14ac:dyDescent="0.25">
      <c r="A273" s="22">
        <v>43626</v>
      </c>
      <c r="B273" t="s">
        <v>1098</v>
      </c>
      <c r="C273" t="s">
        <v>23</v>
      </c>
      <c r="D273">
        <v>50</v>
      </c>
      <c r="E273">
        <v>1341</v>
      </c>
      <c r="F273">
        <v>67050</v>
      </c>
      <c r="G273" t="s">
        <v>1100</v>
      </c>
      <c r="H273">
        <v>2019108</v>
      </c>
      <c r="I273" t="s">
        <v>19</v>
      </c>
      <c r="J273" t="s">
        <v>20</v>
      </c>
      <c r="K273" t="s">
        <v>25</v>
      </c>
      <c r="L273">
        <v>16.77</v>
      </c>
      <c r="M273">
        <v>2.41</v>
      </c>
      <c r="N273">
        <v>0</v>
      </c>
      <c r="O273">
        <v>39.99</v>
      </c>
      <c r="P273">
        <v>59.173900000000003</v>
      </c>
    </row>
    <row r="274" spans="1:16" hidden="1" x14ac:dyDescent="0.25">
      <c r="A274" s="22">
        <v>43626</v>
      </c>
      <c r="B274" t="s">
        <v>1101</v>
      </c>
      <c r="C274" t="s">
        <v>23</v>
      </c>
      <c r="D274">
        <v>100</v>
      </c>
      <c r="E274">
        <v>412</v>
      </c>
      <c r="F274">
        <v>41200</v>
      </c>
      <c r="G274" t="s">
        <v>1102</v>
      </c>
      <c r="H274">
        <v>2019108</v>
      </c>
      <c r="I274" t="s">
        <v>19</v>
      </c>
      <c r="J274" t="s">
        <v>20</v>
      </c>
      <c r="K274" t="s">
        <v>25</v>
      </c>
      <c r="L274">
        <v>10.28</v>
      </c>
      <c r="M274">
        <v>1.48</v>
      </c>
      <c r="N274">
        <v>0</v>
      </c>
      <c r="O274">
        <v>29.77</v>
      </c>
      <c r="P274">
        <v>41.533200000000001</v>
      </c>
    </row>
    <row r="275" spans="1:16" hidden="1" x14ac:dyDescent="0.25">
      <c r="A275" s="22">
        <v>43626</v>
      </c>
      <c r="B275" t="s">
        <v>1101</v>
      </c>
      <c r="C275" t="s">
        <v>17</v>
      </c>
      <c r="D275">
        <v>100</v>
      </c>
      <c r="E275">
        <v>410</v>
      </c>
      <c r="F275">
        <v>41000</v>
      </c>
      <c r="G275" t="s">
        <v>1103</v>
      </c>
      <c r="H275">
        <v>2019108</v>
      </c>
      <c r="I275" t="s">
        <v>19</v>
      </c>
      <c r="J275" t="s">
        <v>20</v>
      </c>
      <c r="K275" t="s">
        <v>25</v>
      </c>
      <c r="L275">
        <v>0</v>
      </c>
      <c r="M275">
        <v>1.48</v>
      </c>
      <c r="N275">
        <v>0</v>
      </c>
      <c r="O275">
        <v>29.77</v>
      </c>
      <c r="P275">
        <v>31.245999999999999</v>
      </c>
    </row>
    <row r="276" spans="1:16" hidden="1" x14ac:dyDescent="0.25">
      <c r="A276" s="22">
        <v>43626</v>
      </c>
      <c r="B276" t="s">
        <v>1098</v>
      </c>
      <c r="C276" t="s">
        <v>17</v>
      </c>
      <c r="D276">
        <v>100</v>
      </c>
      <c r="E276">
        <v>1340</v>
      </c>
      <c r="F276">
        <v>134000</v>
      </c>
      <c r="G276" t="s">
        <v>1104</v>
      </c>
      <c r="H276">
        <v>2019108</v>
      </c>
      <c r="I276" t="s">
        <v>19</v>
      </c>
      <c r="J276" t="s">
        <v>20</v>
      </c>
      <c r="K276" t="s">
        <v>25</v>
      </c>
      <c r="L276">
        <v>0</v>
      </c>
      <c r="M276">
        <v>4.82</v>
      </c>
      <c r="N276">
        <v>0</v>
      </c>
      <c r="O276">
        <v>79.930000000000007</v>
      </c>
      <c r="P276">
        <v>84.754000000000005</v>
      </c>
    </row>
    <row r="277" spans="1:16" hidden="1" x14ac:dyDescent="0.25">
      <c r="A277" s="22">
        <v>43626</v>
      </c>
      <c r="B277" t="s">
        <v>1105</v>
      </c>
      <c r="C277" t="s">
        <v>23</v>
      </c>
      <c r="D277">
        <v>100</v>
      </c>
      <c r="E277">
        <v>961</v>
      </c>
      <c r="F277">
        <v>96100</v>
      </c>
      <c r="G277" t="s">
        <v>1106</v>
      </c>
      <c r="H277">
        <v>2019108</v>
      </c>
      <c r="I277" t="s">
        <v>19</v>
      </c>
      <c r="J277" t="s">
        <v>20</v>
      </c>
      <c r="K277" t="s">
        <v>25</v>
      </c>
      <c r="L277">
        <v>24.05</v>
      </c>
      <c r="M277">
        <v>3.46</v>
      </c>
      <c r="N277">
        <v>0</v>
      </c>
      <c r="O277">
        <v>57.33</v>
      </c>
      <c r="P277">
        <v>84.839600000000004</v>
      </c>
    </row>
    <row r="278" spans="1:16" hidden="1" x14ac:dyDescent="0.25">
      <c r="A278" s="22">
        <v>43626</v>
      </c>
      <c r="B278" t="s">
        <v>1107</v>
      </c>
      <c r="C278" t="s">
        <v>23</v>
      </c>
      <c r="D278">
        <v>590</v>
      </c>
      <c r="E278">
        <v>186.5</v>
      </c>
      <c r="F278">
        <v>110035</v>
      </c>
      <c r="G278" t="s">
        <v>1108</v>
      </c>
      <c r="H278">
        <v>2019108</v>
      </c>
      <c r="I278" t="s">
        <v>19</v>
      </c>
      <c r="J278" t="s">
        <v>20</v>
      </c>
      <c r="K278" t="s">
        <v>25</v>
      </c>
      <c r="L278">
        <v>27.54</v>
      </c>
      <c r="M278">
        <v>3.96</v>
      </c>
      <c r="N278">
        <v>0</v>
      </c>
      <c r="O278">
        <v>65.63</v>
      </c>
      <c r="P278">
        <v>97.131299999999996</v>
      </c>
    </row>
    <row r="279" spans="1:16" hidden="1" x14ac:dyDescent="0.25">
      <c r="A279" s="22">
        <v>43626</v>
      </c>
      <c r="B279" t="s">
        <v>1109</v>
      </c>
      <c r="C279" t="s">
        <v>23</v>
      </c>
      <c r="D279">
        <v>200</v>
      </c>
      <c r="E279">
        <v>155</v>
      </c>
      <c r="F279">
        <v>31000</v>
      </c>
      <c r="G279" t="s">
        <v>1110</v>
      </c>
      <c r="H279">
        <v>2019108</v>
      </c>
      <c r="I279" t="s">
        <v>19</v>
      </c>
      <c r="J279" t="s">
        <v>20</v>
      </c>
      <c r="K279" t="s">
        <v>25</v>
      </c>
      <c r="L279">
        <v>7.79</v>
      </c>
      <c r="M279">
        <v>1.1200000000000001</v>
      </c>
      <c r="N279">
        <v>0</v>
      </c>
      <c r="O279">
        <v>29.7</v>
      </c>
      <c r="P279">
        <v>38.606000000000002</v>
      </c>
    </row>
    <row r="280" spans="1:16" hidden="1" x14ac:dyDescent="0.25">
      <c r="A280" s="22">
        <v>43626</v>
      </c>
      <c r="B280" t="s">
        <v>1107</v>
      </c>
      <c r="C280" t="s">
        <v>17</v>
      </c>
      <c r="D280">
        <v>590</v>
      </c>
      <c r="E280">
        <v>189</v>
      </c>
      <c r="F280">
        <v>111510</v>
      </c>
      <c r="G280" t="s">
        <v>1111</v>
      </c>
      <c r="H280">
        <v>2019108</v>
      </c>
      <c r="I280" t="s">
        <v>19</v>
      </c>
      <c r="J280" t="s">
        <v>20</v>
      </c>
      <c r="K280" t="s">
        <v>25</v>
      </c>
      <c r="L280">
        <v>0</v>
      </c>
      <c r="M280">
        <v>4.01</v>
      </c>
      <c r="N280">
        <v>27</v>
      </c>
      <c r="O280">
        <v>66.510000000000005</v>
      </c>
      <c r="P280">
        <v>97.5244</v>
      </c>
    </row>
    <row r="281" spans="1:16" hidden="1" x14ac:dyDescent="0.25">
      <c r="A281" s="22">
        <v>43626</v>
      </c>
      <c r="B281" t="s">
        <v>1105</v>
      </c>
      <c r="C281" t="s">
        <v>17</v>
      </c>
      <c r="D281">
        <v>100</v>
      </c>
      <c r="E281">
        <v>962.6</v>
      </c>
      <c r="F281">
        <v>96260</v>
      </c>
      <c r="G281" t="s">
        <v>1112</v>
      </c>
      <c r="H281">
        <v>2019108</v>
      </c>
      <c r="I281" t="s">
        <v>19</v>
      </c>
      <c r="J281" t="s">
        <v>20</v>
      </c>
      <c r="K281" t="s">
        <v>25</v>
      </c>
      <c r="L281">
        <v>0</v>
      </c>
      <c r="M281">
        <v>3.47</v>
      </c>
      <c r="N281">
        <v>0</v>
      </c>
      <c r="O281">
        <v>57.42</v>
      </c>
      <c r="P281">
        <v>60.885399999999997</v>
      </c>
    </row>
    <row r="282" spans="1:16" hidden="1" x14ac:dyDescent="0.25">
      <c r="A282" s="22">
        <v>43626</v>
      </c>
      <c r="B282" t="s">
        <v>1096</v>
      </c>
      <c r="C282" t="s">
        <v>23</v>
      </c>
      <c r="D282">
        <v>10</v>
      </c>
      <c r="E282">
        <v>3511</v>
      </c>
      <c r="F282">
        <v>35110</v>
      </c>
      <c r="G282" t="s">
        <v>1113</v>
      </c>
      <c r="H282">
        <v>2019108</v>
      </c>
      <c r="I282" t="s">
        <v>19</v>
      </c>
      <c r="J282" t="s">
        <v>20</v>
      </c>
      <c r="K282" t="s">
        <v>25</v>
      </c>
      <c r="L282">
        <v>8.81</v>
      </c>
      <c r="M282">
        <v>1.26</v>
      </c>
      <c r="N282">
        <v>0</v>
      </c>
      <c r="O282">
        <v>29.73</v>
      </c>
      <c r="P282">
        <v>39.804000000000002</v>
      </c>
    </row>
    <row r="283" spans="1:16" hidden="1" x14ac:dyDescent="0.25">
      <c r="A283" s="22">
        <v>43626</v>
      </c>
      <c r="B283" t="s">
        <v>1109</v>
      </c>
      <c r="C283" t="s">
        <v>17</v>
      </c>
      <c r="D283">
        <v>200</v>
      </c>
      <c r="E283">
        <v>156.68</v>
      </c>
      <c r="F283">
        <v>31335.599999999999</v>
      </c>
      <c r="G283" t="s">
        <v>1114</v>
      </c>
      <c r="H283">
        <v>2019108</v>
      </c>
      <c r="I283" t="s">
        <v>19</v>
      </c>
      <c r="J283" t="s">
        <v>20</v>
      </c>
      <c r="K283" t="s">
        <v>25</v>
      </c>
      <c r="L283">
        <v>0</v>
      </c>
      <c r="M283">
        <v>1.1299999999999999</v>
      </c>
      <c r="N283">
        <v>0</v>
      </c>
      <c r="O283">
        <v>29.71</v>
      </c>
      <c r="P283">
        <v>30.838200000000001</v>
      </c>
    </row>
    <row r="284" spans="1:16" hidden="1" x14ac:dyDescent="0.25">
      <c r="A284" s="22">
        <v>43623</v>
      </c>
      <c r="B284" t="s">
        <v>1115</v>
      </c>
      <c r="C284" t="s">
        <v>17</v>
      </c>
      <c r="D284">
        <v>74</v>
      </c>
      <c r="E284">
        <v>150.25</v>
      </c>
      <c r="F284">
        <v>11118.5</v>
      </c>
      <c r="G284" t="s">
        <v>1116</v>
      </c>
      <c r="H284">
        <v>2019107</v>
      </c>
      <c r="I284" t="s">
        <v>19</v>
      </c>
      <c r="J284" t="s">
        <v>20</v>
      </c>
      <c r="K284" t="s">
        <v>25</v>
      </c>
      <c r="L284">
        <v>0</v>
      </c>
      <c r="M284">
        <v>0.4</v>
      </c>
      <c r="N284">
        <v>0</v>
      </c>
      <c r="O284">
        <v>29.57</v>
      </c>
      <c r="P284">
        <v>29.970199999999998</v>
      </c>
    </row>
    <row r="285" spans="1:16" hidden="1" x14ac:dyDescent="0.25">
      <c r="A285" s="22">
        <v>43623</v>
      </c>
      <c r="B285" t="s">
        <v>1115</v>
      </c>
      <c r="C285" t="s">
        <v>23</v>
      </c>
      <c r="D285">
        <v>74</v>
      </c>
      <c r="E285">
        <v>151.05000000000001</v>
      </c>
      <c r="F285">
        <v>11177.7</v>
      </c>
      <c r="G285" t="s">
        <v>1117</v>
      </c>
      <c r="H285">
        <v>2019107</v>
      </c>
      <c r="I285" t="s">
        <v>19</v>
      </c>
      <c r="J285" t="s">
        <v>20</v>
      </c>
      <c r="K285" t="s">
        <v>25</v>
      </c>
      <c r="L285">
        <v>2.79</v>
      </c>
      <c r="M285">
        <v>0.4</v>
      </c>
      <c r="N285">
        <v>0</v>
      </c>
      <c r="O285">
        <v>29.57</v>
      </c>
      <c r="P285">
        <v>32.7624</v>
      </c>
    </row>
    <row r="286" spans="1:16" hidden="1" x14ac:dyDescent="0.25">
      <c r="A286" s="22">
        <v>43623</v>
      </c>
      <c r="B286" t="s">
        <v>1054</v>
      </c>
      <c r="C286" t="s">
        <v>23</v>
      </c>
      <c r="D286">
        <v>100</v>
      </c>
      <c r="E286">
        <v>485.5</v>
      </c>
      <c r="F286">
        <v>48550</v>
      </c>
      <c r="G286" t="s">
        <v>1118</v>
      </c>
      <c r="H286">
        <v>2019107</v>
      </c>
      <c r="I286" t="s">
        <v>19</v>
      </c>
      <c r="J286" t="s">
        <v>20</v>
      </c>
      <c r="K286" t="s">
        <v>25</v>
      </c>
      <c r="L286">
        <v>12.1</v>
      </c>
      <c r="M286">
        <v>1.75</v>
      </c>
      <c r="N286">
        <v>6.6</v>
      </c>
      <c r="O286">
        <v>29.82</v>
      </c>
      <c r="P286">
        <v>50.267800000000001</v>
      </c>
    </row>
    <row r="287" spans="1:16" hidden="1" x14ac:dyDescent="0.25">
      <c r="A287" s="22">
        <v>43623</v>
      </c>
      <c r="B287" t="s">
        <v>1054</v>
      </c>
      <c r="C287" t="s">
        <v>17</v>
      </c>
      <c r="D287">
        <v>200</v>
      </c>
      <c r="E287">
        <v>483</v>
      </c>
      <c r="F287">
        <v>96600</v>
      </c>
      <c r="G287" t="s">
        <v>1119</v>
      </c>
      <c r="H287">
        <v>2019107</v>
      </c>
      <c r="I287" t="s">
        <v>19</v>
      </c>
      <c r="J287" t="s">
        <v>20</v>
      </c>
      <c r="K287" t="s">
        <v>25</v>
      </c>
      <c r="L287">
        <v>0</v>
      </c>
      <c r="M287">
        <v>3.48</v>
      </c>
      <c r="N287">
        <v>0</v>
      </c>
      <c r="O287">
        <v>57.62</v>
      </c>
      <c r="P287">
        <v>61.0976</v>
      </c>
    </row>
    <row r="288" spans="1:16" hidden="1" x14ac:dyDescent="0.25">
      <c r="A288" s="22">
        <v>43623</v>
      </c>
      <c r="B288" t="s">
        <v>1054</v>
      </c>
      <c r="C288" t="s">
        <v>23</v>
      </c>
      <c r="D288">
        <v>100</v>
      </c>
      <c r="E288">
        <v>487</v>
      </c>
      <c r="F288">
        <v>48700</v>
      </c>
      <c r="G288" t="s">
        <v>1120</v>
      </c>
      <c r="H288">
        <v>2019107</v>
      </c>
      <c r="I288" t="s">
        <v>19</v>
      </c>
      <c r="J288" t="s">
        <v>20</v>
      </c>
      <c r="K288" t="s">
        <v>25</v>
      </c>
      <c r="L288">
        <v>12.12</v>
      </c>
      <c r="M288">
        <v>1.75</v>
      </c>
      <c r="N288">
        <v>0</v>
      </c>
      <c r="O288">
        <v>29.81</v>
      </c>
      <c r="P288">
        <v>43.683300000000003</v>
      </c>
    </row>
    <row r="289" spans="1:16" hidden="1" x14ac:dyDescent="0.25">
      <c r="A289" s="22">
        <v>43622</v>
      </c>
      <c r="B289" t="s">
        <v>1121</v>
      </c>
      <c r="C289" t="s">
        <v>23</v>
      </c>
      <c r="D289">
        <v>100</v>
      </c>
      <c r="E289">
        <v>1635.07</v>
      </c>
      <c r="F289">
        <v>163507.4</v>
      </c>
      <c r="G289" t="s">
        <v>1122</v>
      </c>
      <c r="H289">
        <v>2019106</v>
      </c>
      <c r="I289" t="s">
        <v>19</v>
      </c>
      <c r="J289" t="s">
        <v>20</v>
      </c>
      <c r="K289" t="s">
        <v>25</v>
      </c>
      <c r="L289">
        <v>40.69</v>
      </c>
      <c r="M289">
        <v>5.89</v>
      </c>
      <c r="N289">
        <v>0</v>
      </c>
      <c r="O289">
        <v>97.55</v>
      </c>
      <c r="P289">
        <v>144.126</v>
      </c>
    </row>
    <row r="290" spans="1:16" hidden="1" x14ac:dyDescent="0.25">
      <c r="A290" s="22">
        <v>43622</v>
      </c>
      <c r="B290" t="s">
        <v>1121</v>
      </c>
      <c r="C290" t="s">
        <v>17</v>
      </c>
      <c r="D290">
        <v>100</v>
      </c>
      <c r="E290">
        <v>1639</v>
      </c>
      <c r="F290">
        <v>163900</v>
      </c>
      <c r="G290" t="s">
        <v>1123</v>
      </c>
      <c r="H290">
        <v>2019106</v>
      </c>
      <c r="I290" t="s">
        <v>19</v>
      </c>
      <c r="J290" t="s">
        <v>20</v>
      </c>
      <c r="K290" t="s">
        <v>25</v>
      </c>
      <c r="L290">
        <v>0</v>
      </c>
      <c r="M290">
        <v>5.9</v>
      </c>
      <c r="N290">
        <v>0</v>
      </c>
      <c r="O290">
        <v>97.77</v>
      </c>
      <c r="P290">
        <v>103.6704</v>
      </c>
    </row>
    <row r="291" spans="1:16" hidden="1" x14ac:dyDescent="0.25">
      <c r="A291" s="22">
        <v>43622</v>
      </c>
      <c r="B291" t="s">
        <v>1121</v>
      </c>
      <c r="C291" t="s">
        <v>23</v>
      </c>
      <c r="D291">
        <v>200</v>
      </c>
      <c r="E291">
        <v>1635.78</v>
      </c>
      <c r="F291">
        <v>327156.40000000002</v>
      </c>
      <c r="G291" t="s">
        <v>1124</v>
      </c>
      <c r="H291">
        <v>2019106</v>
      </c>
      <c r="I291" t="s">
        <v>19</v>
      </c>
      <c r="J291" t="s">
        <v>20</v>
      </c>
      <c r="K291" t="s">
        <v>25</v>
      </c>
      <c r="L291">
        <v>81.73</v>
      </c>
      <c r="M291">
        <v>11.78</v>
      </c>
      <c r="N291">
        <v>0</v>
      </c>
      <c r="O291">
        <v>195.14</v>
      </c>
      <c r="P291">
        <v>288.64749999999998</v>
      </c>
    </row>
    <row r="292" spans="1:16" hidden="1" x14ac:dyDescent="0.25">
      <c r="A292" s="22">
        <v>43622</v>
      </c>
      <c r="B292" t="s">
        <v>1121</v>
      </c>
      <c r="C292" t="s">
        <v>17</v>
      </c>
      <c r="D292">
        <v>200</v>
      </c>
      <c r="E292">
        <v>1631</v>
      </c>
      <c r="F292">
        <v>326200</v>
      </c>
      <c r="G292" t="s">
        <v>1125</v>
      </c>
      <c r="H292">
        <v>2019106</v>
      </c>
      <c r="I292" t="s">
        <v>19</v>
      </c>
      <c r="J292" t="s">
        <v>20</v>
      </c>
      <c r="K292" t="s">
        <v>25</v>
      </c>
      <c r="L292">
        <v>0</v>
      </c>
      <c r="M292">
        <v>11.74</v>
      </c>
      <c r="N292">
        <v>0</v>
      </c>
      <c r="O292">
        <v>194.57</v>
      </c>
      <c r="P292">
        <v>206.31309999999999</v>
      </c>
    </row>
    <row r="293" spans="1:16" hidden="1" x14ac:dyDescent="0.25">
      <c r="A293" s="22">
        <v>43622</v>
      </c>
      <c r="B293" t="s">
        <v>1037</v>
      </c>
      <c r="C293" t="s">
        <v>23</v>
      </c>
      <c r="D293">
        <v>100</v>
      </c>
      <c r="E293">
        <v>638</v>
      </c>
      <c r="F293">
        <v>63800</v>
      </c>
      <c r="G293" t="s">
        <v>1126</v>
      </c>
      <c r="H293">
        <v>2019106</v>
      </c>
      <c r="I293" t="s">
        <v>19</v>
      </c>
      <c r="J293" t="s">
        <v>20</v>
      </c>
      <c r="K293" t="s">
        <v>25</v>
      </c>
      <c r="L293">
        <v>15.93</v>
      </c>
      <c r="M293">
        <v>2.2999999999999998</v>
      </c>
      <c r="N293">
        <v>0</v>
      </c>
      <c r="O293">
        <v>38.06</v>
      </c>
      <c r="P293">
        <v>56.286799999999999</v>
      </c>
    </row>
    <row r="294" spans="1:16" hidden="1" x14ac:dyDescent="0.25">
      <c r="A294" s="22">
        <v>43622</v>
      </c>
      <c r="B294" t="s">
        <v>1037</v>
      </c>
      <c r="C294" t="s">
        <v>17</v>
      </c>
      <c r="D294">
        <v>100</v>
      </c>
      <c r="E294">
        <v>636.5</v>
      </c>
      <c r="F294">
        <v>63650</v>
      </c>
      <c r="G294" t="s">
        <v>1127</v>
      </c>
      <c r="H294">
        <v>2019106</v>
      </c>
      <c r="I294" t="s">
        <v>19</v>
      </c>
      <c r="J294" t="s">
        <v>20</v>
      </c>
      <c r="K294" t="s">
        <v>25</v>
      </c>
      <c r="L294">
        <v>0</v>
      </c>
      <c r="M294">
        <v>2.29</v>
      </c>
      <c r="N294">
        <v>0</v>
      </c>
      <c r="O294">
        <v>37.96</v>
      </c>
      <c r="P294">
        <v>40.251300000000001</v>
      </c>
    </row>
    <row r="295" spans="1:16" hidden="1" x14ac:dyDescent="0.25">
      <c r="A295" s="22">
        <v>43622</v>
      </c>
      <c r="B295" t="s">
        <v>1128</v>
      </c>
      <c r="C295" t="s">
        <v>23</v>
      </c>
      <c r="D295">
        <v>500</v>
      </c>
      <c r="E295">
        <v>136</v>
      </c>
      <c r="F295">
        <v>68000</v>
      </c>
      <c r="G295" t="s">
        <v>1129</v>
      </c>
      <c r="H295">
        <v>2019106</v>
      </c>
      <c r="I295" t="s">
        <v>19</v>
      </c>
      <c r="J295" t="s">
        <v>20</v>
      </c>
      <c r="K295" t="s">
        <v>25</v>
      </c>
      <c r="L295">
        <v>16.84</v>
      </c>
      <c r="M295">
        <v>2.4500000000000002</v>
      </c>
      <c r="N295">
        <v>0</v>
      </c>
      <c r="O295">
        <v>40.56</v>
      </c>
      <c r="P295">
        <v>59.847900000000003</v>
      </c>
    </row>
    <row r="296" spans="1:16" hidden="1" x14ac:dyDescent="0.25">
      <c r="A296" s="22">
        <v>43622</v>
      </c>
      <c r="B296" t="s">
        <v>1128</v>
      </c>
      <c r="C296" t="s">
        <v>17</v>
      </c>
      <c r="D296">
        <v>500</v>
      </c>
      <c r="E296">
        <v>133.5</v>
      </c>
      <c r="F296">
        <v>66750</v>
      </c>
      <c r="G296" t="s">
        <v>1130</v>
      </c>
      <c r="H296">
        <v>2019106</v>
      </c>
      <c r="I296" t="s">
        <v>19</v>
      </c>
      <c r="J296" t="s">
        <v>20</v>
      </c>
      <c r="K296" t="s">
        <v>25</v>
      </c>
      <c r="L296">
        <v>0</v>
      </c>
      <c r="M296">
        <v>2.4</v>
      </c>
      <c r="N296">
        <v>0</v>
      </c>
      <c r="O296">
        <v>39.81</v>
      </c>
      <c r="P296">
        <v>42.213099999999997</v>
      </c>
    </row>
    <row r="297" spans="1:16" hidden="1" x14ac:dyDescent="0.25">
      <c r="A297" s="22">
        <v>43622</v>
      </c>
      <c r="B297" t="s">
        <v>1131</v>
      </c>
      <c r="C297" t="s">
        <v>17</v>
      </c>
      <c r="D297">
        <v>100</v>
      </c>
      <c r="E297">
        <v>379.8</v>
      </c>
      <c r="F297">
        <v>37980</v>
      </c>
      <c r="G297" t="s">
        <v>1132</v>
      </c>
      <c r="H297">
        <v>2019106</v>
      </c>
      <c r="I297" t="s">
        <v>19</v>
      </c>
      <c r="J297" t="s">
        <v>20</v>
      </c>
      <c r="K297" t="s">
        <v>25</v>
      </c>
      <c r="L297">
        <v>0</v>
      </c>
      <c r="M297">
        <v>1.37</v>
      </c>
      <c r="N297">
        <v>0</v>
      </c>
      <c r="O297">
        <v>29.75</v>
      </c>
      <c r="P297">
        <v>31.1173</v>
      </c>
    </row>
    <row r="298" spans="1:16" hidden="1" x14ac:dyDescent="0.25">
      <c r="A298" s="22">
        <v>43622</v>
      </c>
      <c r="B298" t="s">
        <v>1115</v>
      </c>
      <c r="C298" t="s">
        <v>23</v>
      </c>
      <c r="D298">
        <v>500</v>
      </c>
      <c r="E298">
        <v>152.25</v>
      </c>
      <c r="F298">
        <v>76125</v>
      </c>
      <c r="G298" t="s">
        <v>1133</v>
      </c>
      <c r="H298">
        <v>2019106</v>
      </c>
      <c r="I298" t="s">
        <v>19</v>
      </c>
      <c r="J298" t="s">
        <v>20</v>
      </c>
      <c r="K298" t="s">
        <v>25</v>
      </c>
      <c r="L298">
        <v>18.95</v>
      </c>
      <c r="M298">
        <v>2.74</v>
      </c>
      <c r="N298">
        <v>0</v>
      </c>
      <c r="O298">
        <v>45.41</v>
      </c>
      <c r="P298">
        <v>67.1006</v>
      </c>
    </row>
    <row r="299" spans="1:16" hidden="1" x14ac:dyDescent="0.25">
      <c r="A299" s="22">
        <v>43622</v>
      </c>
      <c r="B299" t="s">
        <v>1115</v>
      </c>
      <c r="C299" t="s">
        <v>17</v>
      </c>
      <c r="D299">
        <v>500</v>
      </c>
      <c r="E299">
        <v>151</v>
      </c>
      <c r="F299">
        <v>75500</v>
      </c>
      <c r="G299" t="s">
        <v>1134</v>
      </c>
      <c r="H299">
        <v>2019106</v>
      </c>
      <c r="I299" t="s">
        <v>19</v>
      </c>
      <c r="J299" t="s">
        <v>20</v>
      </c>
      <c r="K299" t="s">
        <v>25</v>
      </c>
      <c r="L299">
        <v>0</v>
      </c>
      <c r="M299">
        <v>2.72</v>
      </c>
      <c r="N299">
        <v>0</v>
      </c>
      <c r="O299">
        <v>45.03</v>
      </c>
      <c r="P299">
        <v>47.747999999999998</v>
      </c>
    </row>
    <row r="300" spans="1:16" hidden="1" x14ac:dyDescent="0.25">
      <c r="A300" s="22">
        <v>43622</v>
      </c>
      <c r="B300" t="s">
        <v>1131</v>
      </c>
      <c r="C300" t="s">
        <v>17</v>
      </c>
      <c r="D300">
        <v>100</v>
      </c>
      <c r="E300">
        <v>378.72</v>
      </c>
      <c r="F300">
        <v>37871.599999999999</v>
      </c>
      <c r="G300" t="s">
        <v>1135</v>
      </c>
      <c r="H300">
        <v>2019106</v>
      </c>
      <c r="I300" t="s">
        <v>19</v>
      </c>
      <c r="J300" t="s">
        <v>20</v>
      </c>
      <c r="K300" t="s">
        <v>25</v>
      </c>
      <c r="L300">
        <v>0</v>
      </c>
      <c r="M300">
        <v>1.36</v>
      </c>
      <c r="N300">
        <v>0</v>
      </c>
      <c r="O300">
        <v>29.75</v>
      </c>
      <c r="P300">
        <v>31.113399999999999</v>
      </c>
    </row>
    <row r="301" spans="1:16" hidden="1" x14ac:dyDescent="0.25">
      <c r="A301" s="22">
        <v>43622</v>
      </c>
      <c r="B301" t="s">
        <v>1136</v>
      </c>
      <c r="C301" t="s">
        <v>23</v>
      </c>
      <c r="D301">
        <v>200</v>
      </c>
      <c r="E301">
        <v>238.8</v>
      </c>
      <c r="F301">
        <v>47760</v>
      </c>
      <c r="G301" t="s">
        <v>1137</v>
      </c>
      <c r="H301">
        <v>2019106</v>
      </c>
      <c r="I301" t="s">
        <v>19</v>
      </c>
      <c r="J301" t="s">
        <v>20</v>
      </c>
      <c r="K301" t="s">
        <v>25</v>
      </c>
      <c r="L301">
        <v>11.94</v>
      </c>
      <c r="M301">
        <v>1.72</v>
      </c>
      <c r="N301">
        <v>0</v>
      </c>
      <c r="O301">
        <v>29.81</v>
      </c>
      <c r="P301">
        <v>43.4694</v>
      </c>
    </row>
    <row r="302" spans="1:16" hidden="1" x14ac:dyDescent="0.25">
      <c r="A302" s="22">
        <v>43622</v>
      </c>
      <c r="B302" t="s">
        <v>1136</v>
      </c>
      <c r="C302" t="s">
        <v>17</v>
      </c>
      <c r="D302">
        <v>300</v>
      </c>
      <c r="E302">
        <v>238.6</v>
      </c>
      <c r="F302">
        <v>71580</v>
      </c>
      <c r="G302" t="s">
        <v>1138</v>
      </c>
      <c r="H302">
        <v>2019106</v>
      </c>
      <c r="I302" t="s">
        <v>19</v>
      </c>
      <c r="J302" t="s">
        <v>20</v>
      </c>
      <c r="K302" t="s">
        <v>25</v>
      </c>
      <c r="L302">
        <v>0</v>
      </c>
      <c r="M302">
        <v>2.58</v>
      </c>
      <c r="N302">
        <v>81.900000000000006</v>
      </c>
      <c r="O302">
        <v>42.69</v>
      </c>
      <c r="P302">
        <v>127.167</v>
      </c>
    </row>
    <row r="303" spans="1:16" hidden="1" x14ac:dyDescent="0.25">
      <c r="A303" s="22">
        <v>43622</v>
      </c>
      <c r="B303" t="s">
        <v>1136</v>
      </c>
      <c r="C303" t="s">
        <v>23</v>
      </c>
      <c r="D303">
        <v>100</v>
      </c>
      <c r="E303">
        <v>239.5</v>
      </c>
      <c r="F303">
        <v>23950</v>
      </c>
      <c r="G303" t="s">
        <v>1139</v>
      </c>
      <c r="H303">
        <v>2019106</v>
      </c>
      <c r="I303" t="s">
        <v>19</v>
      </c>
      <c r="J303" t="s">
        <v>20</v>
      </c>
      <c r="K303" t="s">
        <v>25</v>
      </c>
      <c r="L303">
        <v>5.97</v>
      </c>
      <c r="M303">
        <v>0.86</v>
      </c>
      <c r="N303">
        <v>0</v>
      </c>
      <c r="O303">
        <v>29.66</v>
      </c>
      <c r="P303">
        <v>36.4923</v>
      </c>
    </row>
    <row r="304" spans="1:16" hidden="1" x14ac:dyDescent="0.25">
      <c r="A304" s="22">
        <v>43622</v>
      </c>
      <c r="B304" t="s">
        <v>1109</v>
      </c>
      <c r="C304" t="s">
        <v>23</v>
      </c>
      <c r="D304">
        <v>200</v>
      </c>
      <c r="E304">
        <v>159.5</v>
      </c>
      <c r="F304">
        <v>31900</v>
      </c>
      <c r="G304" t="s">
        <v>1140</v>
      </c>
      <c r="H304">
        <v>2019106</v>
      </c>
      <c r="I304" t="s">
        <v>19</v>
      </c>
      <c r="J304" t="s">
        <v>20</v>
      </c>
      <c r="K304" t="s">
        <v>25</v>
      </c>
      <c r="L304">
        <v>7.95</v>
      </c>
      <c r="M304">
        <v>1.1499999999999999</v>
      </c>
      <c r="N304">
        <v>0</v>
      </c>
      <c r="O304">
        <v>29.71</v>
      </c>
      <c r="P304">
        <v>38.808399999999999</v>
      </c>
    </row>
    <row r="305" spans="1:16" hidden="1" x14ac:dyDescent="0.25">
      <c r="A305" s="22">
        <v>43622</v>
      </c>
      <c r="B305" t="s">
        <v>1109</v>
      </c>
      <c r="C305" t="s">
        <v>17</v>
      </c>
      <c r="D305">
        <v>200</v>
      </c>
      <c r="E305">
        <v>158.6</v>
      </c>
      <c r="F305">
        <v>31720</v>
      </c>
      <c r="G305" t="s">
        <v>1141</v>
      </c>
      <c r="H305">
        <v>2019106</v>
      </c>
      <c r="I305" t="s">
        <v>19</v>
      </c>
      <c r="J305" t="s">
        <v>20</v>
      </c>
      <c r="K305" t="s">
        <v>25</v>
      </c>
      <c r="L305">
        <v>0</v>
      </c>
      <c r="M305">
        <v>1.1399999999999999</v>
      </c>
      <c r="N305">
        <v>0</v>
      </c>
      <c r="O305">
        <v>29.71</v>
      </c>
      <c r="P305">
        <v>30.852</v>
      </c>
    </row>
    <row r="306" spans="1:16" hidden="1" x14ac:dyDescent="0.25">
      <c r="A306" s="22">
        <v>43622</v>
      </c>
      <c r="B306" t="s">
        <v>1131</v>
      </c>
      <c r="C306" t="s">
        <v>17</v>
      </c>
      <c r="D306">
        <v>150</v>
      </c>
      <c r="E306">
        <v>376.5</v>
      </c>
      <c r="F306">
        <v>56475</v>
      </c>
      <c r="G306" t="s">
        <v>1142</v>
      </c>
      <c r="H306">
        <v>2019106</v>
      </c>
      <c r="I306" t="s">
        <v>19</v>
      </c>
      <c r="J306" t="s">
        <v>20</v>
      </c>
      <c r="K306" t="s">
        <v>25</v>
      </c>
      <c r="L306">
        <v>0</v>
      </c>
      <c r="M306">
        <v>2.0299999999999998</v>
      </c>
      <c r="N306">
        <v>0</v>
      </c>
      <c r="O306">
        <v>33.69</v>
      </c>
      <c r="P306">
        <v>35.723100000000002</v>
      </c>
    </row>
    <row r="307" spans="1:16" hidden="1" x14ac:dyDescent="0.25">
      <c r="A307" s="22">
        <v>43622</v>
      </c>
      <c r="B307" t="s">
        <v>1131</v>
      </c>
      <c r="C307" t="s">
        <v>17</v>
      </c>
      <c r="D307">
        <v>150</v>
      </c>
      <c r="E307">
        <v>375.25</v>
      </c>
      <c r="F307">
        <v>56287.5</v>
      </c>
      <c r="G307" t="s">
        <v>1143</v>
      </c>
      <c r="H307">
        <v>2019106</v>
      </c>
      <c r="I307" t="s">
        <v>19</v>
      </c>
      <c r="J307" t="s">
        <v>20</v>
      </c>
      <c r="K307" t="s">
        <v>25</v>
      </c>
      <c r="L307">
        <v>0</v>
      </c>
      <c r="M307">
        <v>2.0299999999999998</v>
      </c>
      <c r="N307">
        <v>0</v>
      </c>
      <c r="O307">
        <v>33.57</v>
      </c>
      <c r="P307">
        <v>35.596400000000003</v>
      </c>
    </row>
    <row r="308" spans="1:16" hidden="1" x14ac:dyDescent="0.25">
      <c r="A308" s="22">
        <v>43622</v>
      </c>
      <c r="B308" t="s">
        <v>1131</v>
      </c>
      <c r="C308" t="s">
        <v>17</v>
      </c>
      <c r="D308">
        <v>1000</v>
      </c>
      <c r="E308">
        <v>373</v>
      </c>
      <c r="F308">
        <v>373000</v>
      </c>
      <c r="G308" t="s">
        <v>1144</v>
      </c>
      <c r="H308">
        <v>2019106</v>
      </c>
      <c r="I308" t="s">
        <v>19</v>
      </c>
      <c r="J308" t="s">
        <v>20</v>
      </c>
      <c r="K308" t="s">
        <v>25</v>
      </c>
      <c r="L308">
        <v>0</v>
      </c>
      <c r="M308">
        <v>13.43</v>
      </c>
      <c r="N308">
        <v>0</v>
      </c>
      <c r="O308">
        <v>222.49</v>
      </c>
      <c r="P308">
        <v>235.91800000000001</v>
      </c>
    </row>
    <row r="309" spans="1:16" hidden="1" x14ac:dyDescent="0.25">
      <c r="A309" s="22">
        <v>43622</v>
      </c>
      <c r="B309" t="s">
        <v>1131</v>
      </c>
      <c r="C309" t="s">
        <v>23</v>
      </c>
      <c r="D309">
        <v>1500</v>
      </c>
      <c r="E309">
        <v>375.75</v>
      </c>
      <c r="F309">
        <v>563625</v>
      </c>
      <c r="G309" t="s">
        <v>1145</v>
      </c>
      <c r="H309">
        <v>2019106</v>
      </c>
      <c r="I309" t="s">
        <v>19</v>
      </c>
      <c r="J309" t="s">
        <v>20</v>
      </c>
      <c r="K309" t="s">
        <v>25</v>
      </c>
      <c r="L309">
        <v>140.65</v>
      </c>
      <c r="M309">
        <v>20.29</v>
      </c>
      <c r="N309">
        <v>0</v>
      </c>
      <c r="O309">
        <v>336.18</v>
      </c>
      <c r="P309">
        <v>497.12079999999997</v>
      </c>
    </row>
    <row r="310" spans="1:16" hidden="1" x14ac:dyDescent="0.25">
      <c r="A310" s="22">
        <v>43622</v>
      </c>
      <c r="B310" t="s">
        <v>849</v>
      </c>
      <c r="C310" t="s">
        <v>17</v>
      </c>
      <c r="D310">
        <v>10</v>
      </c>
      <c r="E310">
        <v>133.44999999999999</v>
      </c>
      <c r="F310">
        <v>1334.5</v>
      </c>
      <c r="G310" t="s">
        <v>1146</v>
      </c>
      <c r="H310">
        <v>2019106</v>
      </c>
      <c r="I310" t="s">
        <v>19</v>
      </c>
      <c r="J310" t="s">
        <v>20</v>
      </c>
      <c r="K310" t="s">
        <v>25</v>
      </c>
      <c r="L310">
        <v>1.33</v>
      </c>
      <c r="M310">
        <v>0.05</v>
      </c>
      <c r="N310">
        <v>0</v>
      </c>
      <c r="O310">
        <v>39.380000000000003</v>
      </c>
      <c r="P310">
        <v>40.758000000000003</v>
      </c>
    </row>
    <row r="311" spans="1:16" hidden="1" x14ac:dyDescent="0.25">
      <c r="A311" s="22">
        <v>43616</v>
      </c>
      <c r="B311" t="s">
        <v>1147</v>
      </c>
      <c r="C311" t="s">
        <v>23</v>
      </c>
      <c r="D311">
        <v>100</v>
      </c>
      <c r="E311">
        <v>259</v>
      </c>
      <c r="F311">
        <v>25900</v>
      </c>
      <c r="G311" t="s">
        <v>1148</v>
      </c>
      <c r="H311">
        <v>2019103</v>
      </c>
      <c r="I311" t="s">
        <v>19</v>
      </c>
      <c r="J311" t="s">
        <v>20</v>
      </c>
      <c r="K311" t="s">
        <v>25</v>
      </c>
      <c r="L311">
        <v>6.26</v>
      </c>
      <c r="M311">
        <v>0.93</v>
      </c>
      <c r="N311">
        <v>0</v>
      </c>
      <c r="O311">
        <v>29.67</v>
      </c>
      <c r="P311">
        <v>36.862400000000001</v>
      </c>
    </row>
    <row r="312" spans="1:16" hidden="1" x14ac:dyDescent="0.25">
      <c r="A312" s="22">
        <v>43616</v>
      </c>
      <c r="B312" t="s">
        <v>1147</v>
      </c>
      <c r="C312" t="s">
        <v>17</v>
      </c>
      <c r="D312">
        <v>100</v>
      </c>
      <c r="E312">
        <v>257.5</v>
      </c>
      <c r="F312">
        <v>25750</v>
      </c>
      <c r="G312" t="s">
        <v>1149</v>
      </c>
      <c r="H312">
        <v>2019103</v>
      </c>
      <c r="I312" t="s">
        <v>19</v>
      </c>
      <c r="J312" t="s">
        <v>20</v>
      </c>
      <c r="K312" t="s">
        <v>25</v>
      </c>
      <c r="L312">
        <v>0</v>
      </c>
      <c r="M312">
        <v>0.93</v>
      </c>
      <c r="N312">
        <v>0</v>
      </c>
      <c r="O312">
        <v>29.67</v>
      </c>
      <c r="P312">
        <v>30.597100000000001</v>
      </c>
    </row>
    <row r="313" spans="1:16" hidden="1" x14ac:dyDescent="0.25">
      <c r="A313" s="22">
        <v>43616</v>
      </c>
      <c r="B313" t="s">
        <v>1086</v>
      </c>
      <c r="C313" t="s">
        <v>17</v>
      </c>
      <c r="D313">
        <v>1000</v>
      </c>
      <c r="E313">
        <v>104</v>
      </c>
      <c r="F313">
        <v>104000</v>
      </c>
      <c r="G313" t="s">
        <v>1150</v>
      </c>
      <c r="H313">
        <v>2019103</v>
      </c>
      <c r="I313" t="s">
        <v>19</v>
      </c>
      <c r="J313" t="s">
        <v>20</v>
      </c>
      <c r="K313" t="s">
        <v>25</v>
      </c>
      <c r="L313">
        <v>0</v>
      </c>
      <c r="M313">
        <v>3.74</v>
      </c>
      <c r="N313">
        <v>0</v>
      </c>
      <c r="O313">
        <v>62.03</v>
      </c>
      <c r="P313">
        <v>65.774000000000001</v>
      </c>
    </row>
    <row r="314" spans="1:16" hidden="1" x14ac:dyDescent="0.25">
      <c r="A314" s="22">
        <v>43616</v>
      </c>
      <c r="B314" t="s">
        <v>1086</v>
      </c>
      <c r="C314" t="s">
        <v>17</v>
      </c>
      <c r="D314">
        <v>1500</v>
      </c>
      <c r="E314">
        <v>96.95</v>
      </c>
      <c r="F314">
        <v>145425</v>
      </c>
      <c r="G314" t="s">
        <v>1151</v>
      </c>
      <c r="H314">
        <v>2019103</v>
      </c>
      <c r="I314" t="s">
        <v>19</v>
      </c>
      <c r="J314" t="s">
        <v>20</v>
      </c>
      <c r="K314" t="s">
        <v>25</v>
      </c>
      <c r="L314">
        <v>0</v>
      </c>
      <c r="M314">
        <v>5.24</v>
      </c>
      <c r="N314">
        <v>16.5</v>
      </c>
      <c r="O314">
        <v>86.74</v>
      </c>
      <c r="P314">
        <v>108.4753</v>
      </c>
    </row>
    <row r="315" spans="1:16" hidden="1" x14ac:dyDescent="0.25">
      <c r="A315" s="22">
        <v>43616</v>
      </c>
      <c r="B315" t="s">
        <v>1086</v>
      </c>
      <c r="C315" t="s">
        <v>23</v>
      </c>
      <c r="D315">
        <v>2500</v>
      </c>
      <c r="E315">
        <v>97.8</v>
      </c>
      <c r="F315">
        <v>244505.4</v>
      </c>
      <c r="G315" t="s">
        <v>1152</v>
      </c>
      <c r="H315">
        <v>2019103</v>
      </c>
      <c r="I315" t="s">
        <v>19</v>
      </c>
      <c r="J315" t="s">
        <v>20</v>
      </c>
      <c r="K315" t="s">
        <v>25</v>
      </c>
      <c r="L315">
        <v>61.74</v>
      </c>
      <c r="M315">
        <v>8.8000000000000007</v>
      </c>
      <c r="N315">
        <v>0</v>
      </c>
      <c r="O315">
        <v>145.84</v>
      </c>
      <c r="P315">
        <v>216.38220000000001</v>
      </c>
    </row>
    <row r="316" spans="1:16" hidden="1" x14ac:dyDescent="0.25">
      <c r="A316" s="22">
        <v>43615</v>
      </c>
      <c r="B316" t="s">
        <v>1153</v>
      </c>
      <c r="C316" t="s">
        <v>17</v>
      </c>
      <c r="D316">
        <v>100</v>
      </c>
      <c r="E316">
        <v>1095.9000000000001</v>
      </c>
      <c r="F316">
        <v>109590.35</v>
      </c>
      <c r="G316" t="s">
        <v>1154</v>
      </c>
      <c r="H316">
        <v>2019102</v>
      </c>
      <c r="I316" t="s">
        <v>19</v>
      </c>
      <c r="J316" t="s">
        <v>20</v>
      </c>
      <c r="K316" t="s">
        <v>25</v>
      </c>
      <c r="L316">
        <v>0</v>
      </c>
      <c r="M316">
        <v>3.95</v>
      </c>
      <c r="N316">
        <v>0</v>
      </c>
      <c r="O316">
        <v>65.349999999999994</v>
      </c>
      <c r="P316">
        <v>69.295299999999997</v>
      </c>
    </row>
    <row r="317" spans="1:16" hidden="1" x14ac:dyDescent="0.25">
      <c r="A317" s="22">
        <v>43615</v>
      </c>
      <c r="B317" t="s">
        <v>1153</v>
      </c>
      <c r="C317" t="s">
        <v>23</v>
      </c>
      <c r="D317">
        <v>100</v>
      </c>
      <c r="E317">
        <v>1090.02</v>
      </c>
      <c r="F317">
        <v>109002.2</v>
      </c>
      <c r="G317" t="s">
        <v>1155</v>
      </c>
      <c r="H317">
        <v>2019102</v>
      </c>
      <c r="I317" t="s">
        <v>19</v>
      </c>
      <c r="J317" t="s">
        <v>20</v>
      </c>
      <c r="K317" t="s">
        <v>25</v>
      </c>
      <c r="L317">
        <v>27.81</v>
      </c>
      <c r="M317">
        <v>3.92</v>
      </c>
      <c r="N317">
        <v>30.3</v>
      </c>
      <c r="O317">
        <v>65.02</v>
      </c>
      <c r="P317">
        <v>127.0545</v>
      </c>
    </row>
    <row r="318" spans="1:16" hidden="1" x14ac:dyDescent="0.25">
      <c r="A318" s="22">
        <v>43615</v>
      </c>
      <c r="B318" t="s">
        <v>1156</v>
      </c>
      <c r="C318" t="s">
        <v>17</v>
      </c>
      <c r="D318">
        <v>1000</v>
      </c>
      <c r="E318">
        <v>79.75</v>
      </c>
      <c r="F318">
        <v>79750</v>
      </c>
      <c r="G318" t="s">
        <v>1157</v>
      </c>
      <c r="H318">
        <v>2019102</v>
      </c>
      <c r="I318" t="s">
        <v>19</v>
      </c>
      <c r="J318" t="s">
        <v>20</v>
      </c>
      <c r="K318" t="s">
        <v>25</v>
      </c>
      <c r="L318">
        <v>0</v>
      </c>
      <c r="M318">
        <v>2.87</v>
      </c>
      <c r="N318">
        <v>0</v>
      </c>
      <c r="O318">
        <v>47.56</v>
      </c>
      <c r="P318">
        <v>50.431100000000001</v>
      </c>
    </row>
    <row r="319" spans="1:16" hidden="1" x14ac:dyDescent="0.25">
      <c r="A319" s="22">
        <v>43615</v>
      </c>
      <c r="B319" t="s">
        <v>1156</v>
      </c>
      <c r="C319" t="s">
        <v>23</v>
      </c>
      <c r="D319">
        <v>1000</v>
      </c>
      <c r="E319">
        <v>79.05</v>
      </c>
      <c r="F319">
        <v>79050</v>
      </c>
      <c r="G319" t="s">
        <v>1158</v>
      </c>
      <c r="H319">
        <v>2019102</v>
      </c>
      <c r="I319" t="s">
        <v>19</v>
      </c>
      <c r="J319" t="s">
        <v>20</v>
      </c>
      <c r="K319" t="s">
        <v>25</v>
      </c>
      <c r="L319">
        <v>19.77</v>
      </c>
      <c r="M319">
        <v>2.85</v>
      </c>
      <c r="N319">
        <v>0</v>
      </c>
      <c r="O319">
        <v>47.15</v>
      </c>
      <c r="P319">
        <v>69.765900000000002</v>
      </c>
    </row>
    <row r="320" spans="1:16" hidden="1" x14ac:dyDescent="0.25">
      <c r="A320" s="22">
        <v>43615</v>
      </c>
      <c r="B320" t="s">
        <v>1156</v>
      </c>
      <c r="C320" t="s">
        <v>23</v>
      </c>
      <c r="D320">
        <v>2500</v>
      </c>
      <c r="E320">
        <v>79</v>
      </c>
      <c r="F320">
        <v>197500</v>
      </c>
      <c r="G320" t="s">
        <v>1159</v>
      </c>
      <c r="H320">
        <v>2019102</v>
      </c>
      <c r="I320" t="s">
        <v>19</v>
      </c>
      <c r="J320" t="s">
        <v>20</v>
      </c>
      <c r="K320" t="s">
        <v>25</v>
      </c>
      <c r="L320">
        <v>49.42</v>
      </c>
      <c r="M320">
        <v>7.11</v>
      </c>
      <c r="N320">
        <v>0</v>
      </c>
      <c r="O320">
        <v>117.8</v>
      </c>
      <c r="P320">
        <v>174.33</v>
      </c>
    </row>
    <row r="321" spans="1:16" hidden="1" x14ac:dyDescent="0.25">
      <c r="A321" s="22">
        <v>43615</v>
      </c>
      <c r="B321" t="s">
        <v>1156</v>
      </c>
      <c r="C321" t="s">
        <v>17</v>
      </c>
      <c r="D321">
        <v>2500</v>
      </c>
      <c r="E321">
        <v>78.900000000000006</v>
      </c>
      <c r="F321">
        <v>197250</v>
      </c>
      <c r="G321" t="s">
        <v>1160</v>
      </c>
      <c r="H321">
        <v>2019102</v>
      </c>
      <c r="I321" t="s">
        <v>19</v>
      </c>
      <c r="J321" t="s">
        <v>20</v>
      </c>
      <c r="K321" t="s">
        <v>25</v>
      </c>
      <c r="L321">
        <v>0</v>
      </c>
      <c r="M321">
        <v>7.1</v>
      </c>
      <c r="N321">
        <v>0</v>
      </c>
      <c r="O321">
        <v>117.66</v>
      </c>
      <c r="P321">
        <v>124.761</v>
      </c>
    </row>
    <row r="322" spans="1:16" hidden="1" x14ac:dyDescent="0.25">
      <c r="A322" s="22">
        <v>43615</v>
      </c>
      <c r="B322" t="s">
        <v>1086</v>
      </c>
      <c r="C322" t="s">
        <v>17</v>
      </c>
      <c r="D322">
        <v>1000</v>
      </c>
      <c r="E322">
        <v>115</v>
      </c>
      <c r="F322">
        <v>115000</v>
      </c>
      <c r="G322" t="s">
        <v>1161</v>
      </c>
      <c r="H322">
        <v>2019102</v>
      </c>
      <c r="I322" t="s">
        <v>19</v>
      </c>
      <c r="J322" t="s">
        <v>20</v>
      </c>
      <c r="K322" t="s">
        <v>25</v>
      </c>
      <c r="L322">
        <v>0</v>
      </c>
      <c r="M322">
        <v>4.1399999999999997</v>
      </c>
      <c r="N322">
        <v>0</v>
      </c>
      <c r="O322">
        <v>68.599999999999994</v>
      </c>
      <c r="P322">
        <v>72.739999999999995</v>
      </c>
    </row>
    <row r="323" spans="1:16" hidden="1" x14ac:dyDescent="0.25">
      <c r="A323" s="22">
        <v>43615</v>
      </c>
      <c r="B323" t="s">
        <v>1086</v>
      </c>
      <c r="C323" t="s">
        <v>23</v>
      </c>
      <c r="D323">
        <v>1000</v>
      </c>
      <c r="E323">
        <v>117</v>
      </c>
      <c r="F323">
        <v>117000</v>
      </c>
      <c r="G323" t="s">
        <v>1162</v>
      </c>
      <c r="H323">
        <v>2019102</v>
      </c>
      <c r="I323" t="s">
        <v>19</v>
      </c>
      <c r="J323" t="s">
        <v>20</v>
      </c>
      <c r="K323" t="s">
        <v>25</v>
      </c>
      <c r="L323">
        <v>29</v>
      </c>
      <c r="M323">
        <v>4.21</v>
      </c>
      <c r="N323">
        <v>0</v>
      </c>
      <c r="O323">
        <v>69.790000000000006</v>
      </c>
      <c r="P323">
        <v>103.002</v>
      </c>
    </row>
    <row r="324" spans="1:16" hidden="1" x14ac:dyDescent="0.25">
      <c r="A324" s="22">
        <v>43614</v>
      </c>
      <c r="B324" t="s">
        <v>111</v>
      </c>
      <c r="C324" t="s">
        <v>23</v>
      </c>
      <c r="D324">
        <v>500</v>
      </c>
      <c r="E324">
        <v>410.15</v>
      </c>
      <c r="F324">
        <v>205075</v>
      </c>
      <c r="G324" t="s">
        <v>1163</v>
      </c>
      <c r="H324">
        <v>2019101</v>
      </c>
      <c r="I324" t="s">
        <v>19</v>
      </c>
      <c r="J324" t="s">
        <v>20</v>
      </c>
      <c r="K324" t="s">
        <v>25</v>
      </c>
      <c r="L324">
        <v>50.57</v>
      </c>
      <c r="M324">
        <v>7.38</v>
      </c>
      <c r="N324">
        <v>22.2</v>
      </c>
      <c r="O324">
        <v>122.32</v>
      </c>
      <c r="P324">
        <v>202.4726</v>
      </c>
    </row>
    <row r="325" spans="1:16" hidden="1" x14ac:dyDescent="0.25">
      <c r="A325" s="22">
        <v>43614</v>
      </c>
      <c r="B325" t="s">
        <v>111</v>
      </c>
      <c r="C325" t="s">
        <v>17</v>
      </c>
      <c r="D325">
        <v>500</v>
      </c>
      <c r="E325">
        <v>405</v>
      </c>
      <c r="F325">
        <v>202500</v>
      </c>
      <c r="G325" t="s">
        <v>1164</v>
      </c>
      <c r="H325">
        <v>2019101</v>
      </c>
      <c r="I325" t="s">
        <v>19</v>
      </c>
      <c r="J325" t="s">
        <v>20</v>
      </c>
      <c r="K325" t="s">
        <v>25</v>
      </c>
      <c r="L325">
        <v>0</v>
      </c>
      <c r="M325">
        <v>7.29</v>
      </c>
      <c r="N325">
        <v>0</v>
      </c>
      <c r="O325">
        <v>120.79</v>
      </c>
      <c r="P325">
        <v>128.08000000000001</v>
      </c>
    </row>
    <row r="326" spans="1:16" hidden="1" x14ac:dyDescent="0.25">
      <c r="A326" s="22">
        <v>43614</v>
      </c>
      <c r="B326" t="s">
        <v>1165</v>
      </c>
      <c r="C326" t="s">
        <v>23</v>
      </c>
      <c r="D326">
        <v>100</v>
      </c>
      <c r="E326">
        <v>532</v>
      </c>
      <c r="F326">
        <v>53200</v>
      </c>
      <c r="G326" t="s">
        <v>1166</v>
      </c>
      <c r="H326">
        <v>2019101</v>
      </c>
      <c r="I326" t="s">
        <v>19</v>
      </c>
      <c r="J326" t="s">
        <v>20</v>
      </c>
      <c r="K326" t="s">
        <v>25</v>
      </c>
      <c r="L326">
        <v>13.48</v>
      </c>
      <c r="M326">
        <v>1.92</v>
      </c>
      <c r="N326">
        <v>0</v>
      </c>
      <c r="O326">
        <v>31.73</v>
      </c>
      <c r="P326">
        <v>47.1252</v>
      </c>
    </row>
    <row r="327" spans="1:16" hidden="1" x14ac:dyDescent="0.25">
      <c r="A327" s="22">
        <v>43614</v>
      </c>
      <c r="B327" t="s">
        <v>1165</v>
      </c>
      <c r="C327" t="s">
        <v>23</v>
      </c>
      <c r="D327">
        <v>200</v>
      </c>
      <c r="E327">
        <v>539.5</v>
      </c>
      <c r="F327">
        <v>107900</v>
      </c>
      <c r="G327" t="s">
        <v>1167</v>
      </c>
      <c r="H327">
        <v>2019101</v>
      </c>
      <c r="I327" t="s">
        <v>19</v>
      </c>
      <c r="J327" t="s">
        <v>20</v>
      </c>
      <c r="K327" t="s">
        <v>25</v>
      </c>
      <c r="L327">
        <v>26.96</v>
      </c>
      <c r="M327">
        <v>3.88</v>
      </c>
      <c r="N327">
        <v>0</v>
      </c>
      <c r="O327">
        <v>64.36</v>
      </c>
      <c r="P327">
        <v>95.204400000000007</v>
      </c>
    </row>
    <row r="328" spans="1:16" hidden="1" x14ac:dyDescent="0.25">
      <c r="A328" s="22">
        <v>43614</v>
      </c>
      <c r="B328" t="s">
        <v>1165</v>
      </c>
      <c r="C328" t="s">
        <v>17</v>
      </c>
      <c r="D328">
        <v>300</v>
      </c>
      <c r="E328">
        <v>541.20000000000005</v>
      </c>
      <c r="F328">
        <v>162360</v>
      </c>
      <c r="G328" t="s">
        <v>1168</v>
      </c>
      <c r="H328">
        <v>2019101</v>
      </c>
      <c r="I328" t="s">
        <v>19</v>
      </c>
      <c r="J328" t="s">
        <v>20</v>
      </c>
      <c r="K328" t="s">
        <v>25</v>
      </c>
      <c r="L328">
        <v>0</v>
      </c>
      <c r="M328">
        <v>5.85</v>
      </c>
      <c r="N328">
        <v>0</v>
      </c>
      <c r="O328">
        <v>96.84</v>
      </c>
      <c r="P328">
        <v>102.685</v>
      </c>
    </row>
    <row r="329" spans="1:16" hidden="1" x14ac:dyDescent="0.25">
      <c r="A329" s="22">
        <v>43613</v>
      </c>
      <c r="B329" t="s">
        <v>981</v>
      </c>
      <c r="C329" t="s">
        <v>23</v>
      </c>
      <c r="D329">
        <v>250</v>
      </c>
      <c r="E329">
        <v>160.5</v>
      </c>
      <c r="F329">
        <v>40125</v>
      </c>
      <c r="G329" t="s">
        <v>1169</v>
      </c>
      <c r="H329">
        <v>2019100</v>
      </c>
      <c r="I329" t="s">
        <v>19</v>
      </c>
      <c r="J329" t="s">
        <v>20</v>
      </c>
      <c r="K329" t="s">
        <v>25</v>
      </c>
      <c r="L329">
        <v>10.119999999999999</v>
      </c>
      <c r="M329">
        <v>1.44</v>
      </c>
      <c r="N329">
        <v>0</v>
      </c>
      <c r="O329">
        <v>29.76</v>
      </c>
      <c r="P329">
        <v>41.3245</v>
      </c>
    </row>
    <row r="330" spans="1:16" hidden="1" x14ac:dyDescent="0.25">
      <c r="A330" s="22">
        <v>43613</v>
      </c>
      <c r="B330" t="s">
        <v>981</v>
      </c>
      <c r="C330" t="s">
        <v>23</v>
      </c>
      <c r="D330">
        <v>250</v>
      </c>
      <c r="E330">
        <v>162.5</v>
      </c>
      <c r="F330">
        <v>40625</v>
      </c>
      <c r="G330" t="s">
        <v>1170</v>
      </c>
      <c r="H330">
        <v>2019100</v>
      </c>
      <c r="I330" t="s">
        <v>19</v>
      </c>
      <c r="J330" t="s">
        <v>20</v>
      </c>
      <c r="K330" t="s">
        <v>25</v>
      </c>
      <c r="L330">
        <v>10.119999999999999</v>
      </c>
      <c r="M330">
        <v>1.46</v>
      </c>
      <c r="N330">
        <v>0</v>
      </c>
      <c r="O330">
        <v>29.76</v>
      </c>
      <c r="P330">
        <v>41.342700000000001</v>
      </c>
    </row>
    <row r="331" spans="1:16" hidden="1" x14ac:dyDescent="0.25">
      <c r="A331" s="22">
        <v>43613</v>
      </c>
      <c r="B331" t="s">
        <v>981</v>
      </c>
      <c r="C331" t="s">
        <v>17</v>
      </c>
      <c r="D331">
        <v>500</v>
      </c>
      <c r="E331">
        <v>161.75</v>
      </c>
      <c r="F331">
        <v>80875</v>
      </c>
      <c r="G331" t="s">
        <v>1171</v>
      </c>
      <c r="H331">
        <v>2019100</v>
      </c>
      <c r="I331" t="s">
        <v>19</v>
      </c>
      <c r="J331" t="s">
        <v>20</v>
      </c>
      <c r="K331" t="s">
        <v>25</v>
      </c>
      <c r="L331">
        <v>0</v>
      </c>
      <c r="M331">
        <v>2.91</v>
      </c>
      <c r="N331">
        <v>0</v>
      </c>
      <c r="O331">
        <v>48.24</v>
      </c>
      <c r="P331">
        <v>51.151499999999999</v>
      </c>
    </row>
    <row r="332" spans="1:16" hidden="1" x14ac:dyDescent="0.25">
      <c r="A332" s="22">
        <v>43613</v>
      </c>
      <c r="B332" t="s">
        <v>981</v>
      </c>
      <c r="C332" t="s">
        <v>17</v>
      </c>
      <c r="D332">
        <v>1500</v>
      </c>
      <c r="E332">
        <v>162</v>
      </c>
      <c r="F332">
        <v>243000</v>
      </c>
      <c r="G332" t="s">
        <v>1172</v>
      </c>
      <c r="H332">
        <v>2019100</v>
      </c>
      <c r="I332" t="s">
        <v>19</v>
      </c>
      <c r="J332" t="s">
        <v>20</v>
      </c>
      <c r="K332" t="s">
        <v>25</v>
      </c>
      <c r="L332">
        <v>0</v>
      </c>
      <c r="M332">
        <v>8.75</v>
      </c>
      <c r="N332">
        <v>0</v>
      </c>
      <c r="O332">
        <v>144.94</v>
      </c>
      <c r="P332">
        <v>153.68799999999999</v>
      </c>
    </row>
    <row r="333" spans="1:16" hidden="1" x14ac:dyDescent="0.25">
      <c r="A333" s="22">
        <v>43613</v>
      </c>
      <c r="B333" t="s">
        <v>981</v>
      </c>
      <c r="C333" t="s">
        <v>23</v>
      </c>
      <c r="D333">
        <v>1500</v>
      </c>
      <c r="E333">
        <v>162.19999999999999</v>
      </c>
      <c r="F333">
        <v>243300</v>
      </c>
      <c r="G333" t="s">
        <v>1173</v>
      </c>
      <c r="H333">
        <v>2019100</v>
      </c>
      <c r="I333" t="s">
        <v>19</v>
      </c>
      <c r="J333" t="s">
        <v>20</v>
      </c>
      <c r="K333" t="s">
        <v>25</v>
      </c>
      <c r="L333">
        <v>60.39</v>
      </c>
      <c r="M333">
        <v>8.76</v>
      </c>
      <c r="N333">
        <v>32.700000000000003</v>
      </c>
      <c r="O333">
        <v>145.13</v>
      </c>
      <c r="P333">
        <v>246.97890000000001</v>
      </c>
    </row>
    <row r="334" spans="1:16" hidden="1" x14ac:dyDescent="0.25">
      <c r="A334" s="22">
        <v>43613</v>
      </c>
      <c r="B334" t="s">
        <v>1174</v>
      </c>
      <c r="C334" t="s">
        <v>17</v>
      </c>
      <c r="D334">
        <v>500</v>
      </c>
      <c r="E334">
        <v>141</v>
      </c>
      <c r="F334">
        <v>70501.600000000006</v>
      </c>
      <c r="G334" t="s">
        <v>1175</v>
      </c>
      <c r="H334">
        <v>2019100</v>
      </c>
      <c r="I334" t="s">
        <v>19</v>
      </c>
      <c r="J334" t="s">
        <v>20</v>
      </c>
      <c r="K334" t="s">
        <v>25</v>
      </c>
      <c r="L334">
        <v>0</v>
      </c>
      <c r="M334">
        <v>2.54</v>
      </c>
      <c r="N334">
        <v>0</v>
      </c>
      <c r="O334">
        <v>42.05</v>
      </c>
      <c r="P334">
        <v>44.588099999999997</v>
      </c>
    </row>
    <row r="335" spans="1:16" hidden="1" x14ac:dyDescent="0.25">
      <c r="A335" s="22">
        <v>43613</v>
      </c>
      <c r="B335" t="s">
        <v>1174</v>
      </c>
      <c r="C335" t="s">
        <v>23</v>
      </c>
      <c r="D335">
        <v>500</v>
      </c>
      <c r="E335">
        <v>143</v>
      </c>
      <c r="F335">
        <v>71500</v>
      </c>
      <c r="G335" t="s">
        <v>1176</v>
      </c>
      <c r="H335">
        <v>2019100</v>
      </c>
      <c r="I335" t="s">
        <v>19</v>
      </c>
      <c r="J335" t="s">
        <v>20</v>
      </c>
      <c r="K335" t="s">
        <v>25</v>
      </c>
      <c r="L335">
        <v>17.75</v>
      </c>
      <c r="M335">
        <v>2.57</v>
      </c>
      <c r="N335">
        <v>0</v>
      </c>
      <c r="O335">
        <v>42.65</v>
      </c>
      <c r="P335">
        <v>62.973999999999997</v>
      </c>
    </row>
    <row r="336" spans="1:16" hidden="1" x14ac:dyDescent="0.25">
      <c r="A336" s="22">
        <v>43613</v>
      </c>
      <c r="B336" t="s">
        <v>237</v>
      </c>
      <c r="C336" t="s">
        <v>23</v>
      </c>
      <c r="D336">
        <v>500</v>
      </c>
      <c r="E336">
        <v>292.64999999999998</v>
      </c>
      <c r="F336">
        <v>146325</v>
      </c>
      <c r="G336" t="s">
        <v>1177</v>
      </c>
      <c r="H336">
        <v>2019100</v>
      </c>
      <c r="I336" t="s">
        <v>19</v>
      </c>
      <c r="J336" t="s">
        <v>20</v>
      </c>
      <c r="K336" t="s">
        <v>25</v>
      </c>
      <c r="L336">
        <v>36.619999999999997</v>
      </c>
      <c r="M336">
        <v>5.27</v>
      </c>
      <c r="N336">
        <v>0</v>
      </c>
      <c r="O336">
        <v>87.28</v>
      </c>
      <c r="P336">
        <v>129.1677</v>
      </c>
    </row>
    <row r="337" spans="1:16" hidden="1" x14ac:dyDescent="0.25">
      <c r="A337" s="22">
        <v>43613</v>
      </c>
      <c r="B337" t="s">
        <v>237</v>
      </c>
      <c r="C337" t="s">
        <v>17</v>
      </c>
      <c r="D337">
        <v>500</v>
      </c>
      <c r="E337">
        <v>293.2</v>
      </c>
      <c r="F337">
        <v>146600</v>
      </c>
      <c r="G337" t="s">
        <v>1178</v>
      </c>
      <c r="H337">
        <v>2019100</v>
      </c>
      <c r="I337" t="s">
        <v>19</v>
      </c>
      <c r="J337" t="s">
        <v>20</v>
      </c>
      <c r="K337" t="s">
        <v>25</v>
      </c>
      <c r="L337">
        <v>0</v>
      </c>
      <c r="M337">
        <v>5.28</v>
      </c>
      <c r="N337">
        <v>0</v>
      </c>
      <c r="O337">
        <v>87.44</v>
      </c>
      <c r="P337">
        <v>92.717600000000004</v>
      </c>
    </row>
    <row r="338" spans="1:16" hidden="1" x14ac:dyDescent="0.25">
      <c r="A338" s="22">
        <v>43612</v>
      </c>
      <c r="B338" t="s">
        <v>981</v>
      </c>
      <c r="C338" t="s">
        <v>17</v>
      </c>
      <c r="D338">
        <v>500</v>
      </c>
      <c r="E338">
        <v>156</v>
      </c>
      <c r="F338">
        <v>78000</v>
      </c>
      <c r="G338" t="s">
        <v>1179</v>
      </c>
      <c r="H338">
        <v>2019099</v>
      </c>
      <c r="I338" t="s">
        <v>19</v>
      </c>
      <c r="J338" t="s">
        <v>20</v>
      </c>
      <c r="K338" t="s">
        <v>25</v>
      </c>
      <c r="L338">
        <v>0</v>
      </c>
      <c r="M338">
        <v>2.81</v>
      </c>
      <c r="N338">
        <v>0</v>
      </c>
      <c r="O338">
        <v>46.53</v>
      </c>
      <c r="P338">
        <v>49.338000000000001</v>
      </c>
    </row>
    <row r="339" spans="1:16" hidden="1" x14ac:dyDescent="0.25">
      <c r="A339" s="22">
        <v>43612</v>
      </c>
      <c r="B339" t="s">
        <v>981</v>
      </c>
      <c r="C339" t="s">
        <v>23</v>
      </c>
      <c r="D339">
        <v>700</v>
      </c>
      <c r="E339">
        <v>158.9</v>
      </c>
      <c r="F339">
        <v>111230</v>
      </c>
      <c r="G339" t="s">
        <v>1180</v>
      </c>
      <c r="H339">
        <v>2019099</v>
      </c>
      <c r="I339" t="s">
        <v>19</v>
      </c>
      <c r="J339" t="s">
        <v>20</v>
      </c>
      <c r="K339" t="s">
        <v>25</v>
      </c>
      <c r="L339">
        <v>27.48</v>
      </c>
      <c r="M339">
        <v>4</v>
      </c>
      <c r="N339">
        <v>0</v>
      </c>
      <c r="O339">
        <v>66.349999999999994</v>
      </c>
      <c r="P339">
        <v>97.834299999999999</v>
      </c>
    </row>
    <row r="340" spans="1:16" hidden="1" x14ac:dyDescent="0.25">
      <c r="A340" s="22">
        <v>43612</v>
      </c>
      <c r="B340" t="s">
        <v>237</v>
      </c>
      <c r="C340" t="s">
        <v>17</v>
      </c>
      <c r="D340">
        <v>500</v>
      </c>
      <c r="E340">
        <v>281.60000000000002</v>
      </c>
      <c r="F340">
        <v>140800</v>
      </c>
      <c r="G340" t="s">
        <v>1181</v>
      </c>
      <c r="H340">
        <v>2019099</v>
      </c>
      <c r="I340" t="s">
        <v>19</v>
      </c>
      <c r="J340" t="s">
        <v>20</v>
      </c>
      <c r="K340" t="s">
        <v>25</v>
      </c>
      <c r="L340">
        <v>0</v>
      </c>
      <c r="M340">
        <v>5.07</v>
      </c>
      <c r="N340">
        <v>0</v>
      </c>
      <c r="O340">
        <v>83.98</v>
      </c>
      <c r="P340">
        <v>89.0488</v>
      </c>
    </row>
    <row r="341" spans="1:16" hidden="1" x14ac:dyDescent="0.25">
      <c r="A341" s="22">
        <v>43612</v>
      </c>
      <c r="B341" t="s">
        <v>237</v>
      </c>
      <c r="C341" t="s">
        <v>23</v>
      </c>
      <c r="D341">
        <v>500</v>
      </c>
      <c r="E341">
        <v>286</v>
      </c>
      <c r="F341">
        <v>143000</v>
      </c>
      <c r="G341" t="s">
        <v>1182</v>
      </c>
      <c r="H341">
        <v>2019099</v>
      </c>
      <c r="I341" t="s">
        <v>19</v>
      </c>
      <c r="J341" t="s">
        <v>20</v>
      </c>
      <c r="K341" t="s">
        <v>25</v>
      </c>
      <c r="L341">
        <v>35.479999999999997</v>
      </c>
      <c r="M341">
        <v>5.15</v>
      </c>
      <c r="N341">
        <v>0</v>
      </c>
      <c r="O341">
        <v>85.3</v>
      </c>
      <c r="P341">
        <v>125.928</v>
      </c>
    </row>
    <row r="342" spans="1:16" hidden="1" x14ac:dyDescent="0.25">
      <c r="A342" s="22">
        <v>43612</v>
      </c>
      <c r="B342" t="s">
        <v>981</v>
      </c>
      <c r="C342" t="s">
        <v>17</v>
      </c>
      <c r="D342">
        <v>100</v>
      </c>
      <c r="E342">
        <v>157.44999999999999</v>
      </c>
      <c r="F342">
        <v>15745</v>
      </c>
      <c r="G342" t="s">
        <v>1183</v>
      </c>
      <c r="H342">
        <v>2019099</v>
      </c>
      <c r="I342" t="s">
        <v>19</v>
      </c>
      <c r="J342" t="s">
        <v>20</v>
      </c>
      <c r="K342" t="s">
        <v>25</v>
      </c>
      <c r="L342">
        <v>0</v>
      </c>
      <c r="M342">
        <v>0.56999999999999995</v>
      </c>
      <c r="N342">
        <v>0</v>
      </c>
      <c r="O342">
        <v>29.6</v>
      </c>
      <c r="P342">
        <v>30.166799999999999</v>
      </c>
    </row>
    <row r="343" spans="1:16" hidden="1" x14ac:dyDescent="0.25">
      <c r="A343" s="22">
        <v>43612</v>
      </c>
      <c r="B343" t="s">
        <v>981</v>
      </c>
      <c r="C343" t="s">
        <v>17</v>
      </c>
      <c r="D343">
        <v>100</v>
      </c>
      <c r="E343">
        <v>157.25</v>
      </c>
      <c r="F343">
        <v>15725</v>
      </c>
      <c r="G343" t="s">
        <v>1184</v>
      </c>
      <c r="H343">
        <v>2019099</v>
      </c>
      <c r="I343" t="s">
        <v>19</v>
      </c>
      <c r="J343" t="s">
        <v>20</v>
      </c>
      <c r="K343" t="s">
        <v>25</v>
      </c>
      <c r="L343">
        <v>0</v>
      </c>
      <c r="M343">
        <v>0.56999999999999995</v>
      </c>
      <c r="N343">
        <v>25.5</v>
      </c>
      <c r="O343">
        <v>29.6</v>
      </c>
      <c r="P343">
        <v>55.6661</v>
      </c>
    </row>
    <row r="344" spans="1:16" hidden="1" x14ac:dyDescent="0.25">
      <c r="A344" s="22">
        <v>43612</v>
      </c>
      <c r="B344" t="s">
        <v>849</v>
      </c>
      <c r="C344" t="s">
        <v>17</v>
      </c>
      <c r="D344">
        <v>1000</v>
      </c>
      <c r="E344">
        <v>152</v>
      </c>
      <c r="F344">
        <v>151997.5</v>
      </c>
      <c r="G344" t="s">
        <v>1185</v>
      </c>
      <c r="H344">
        <v>2019099</v>
      </c>
      <c r="I344" t="s">
        <v>19</v>
      </c>
      <c r="J344" t="s">
        <v>20</v>
      </c>
      <c r="K344" t="s">
        <v>25</v>
      </c>
      <c r="L344">
        <v>0</v>
      </c>
      <c r="M344">
        <v>5.47</v>
      </c>
      <c r="N344">
        <v>0</v>
      </c>
      <c r="O344">
        <v>90.66</v>
      </c>
      <c r="P344">
        <v>96.131900000000002</v>
      </c>
    </row>
    <row r="345" spans="1:16" hidden="1" x14ac:dyDescent="0.25">
      <c r="A345" s="22">
        <v>43612</v>
      </c>
      <c r="B345" t="s">
        <v>849</v>
      </c>
      <c r="C345" t="s">
        <v>23</v>
      </c>
      <c r="D345">
        <v>1000</v>
      </c>
      <c r="E345">
        <v>152.5</v>
      </c>
      <c r="F345">
        <v>152500</v>
      </c>
      <c r="G345" t="s">
        <v>1186</v>
      </c>
      <c r="H345">
        <v>2019099</v>
      </c>
      <c r="I345" t="s">
        <v>19</v>
      </c>
      <c r="J345" t="s">
        <v>20</v>
      </c>
      <c r="K345" t="s">
        <v>25</v>
      </c>
      <c r="L345">
        <v>38.06</v>
      </c>
      <c r="M345">
        <v>5.49</v>
      </c>
      <c r="N345">
        <v>0</v>
      </c>
      <c r="O345">
        <v>90.96</v>
      </c>
      <c r="P345">
        <v>134.51</v>
      </c>
    </row>
    <row r="346" spans="1:16" hidden="1" x14ac:dyDescent="0.25">
      <c r="A346" s="22">
        <v>43612</v>
      </c>
      <c r="B346" t="s">
        <v>16</v>
      </c>
      <c r="C346" t="s">
        <v>17</v>
      </c>
      <c r="D346">
        <v>500</v>
      </c>
      <c r="E346">
        <v>30.5</v>
      </c>
      <c r="F346">
        <v>15250</v>
      </c>
      <c r="G346" t="s">
        <v>1187</v>
      </c>
      <c r="H346">
        <v>2019099</v>
      </c>
      <c r="I346" t="s">
        <v>19</v>
      </c>
      <c r="J346" t="s">
        <v>20</v>
      </c>
      <c r="K346" t="s">
        <v>25</v>
      </c>
      <c r="L346">
        <v>0</v>
      </c>
      <c r="M346">
        <v>0.55000000000000004</v>
      </c>
      <c r="N346">
        <v>0</v>
      </c>
      <c r="O346">
        <v>70.900000000000006</v>
      </c>
      <c r="P346">
        <v>71.449100000000001</v>
      </c>
    </row>
    <row r="347" spans="1:16" hidden="1" x14ac:dyDescent="0.25">
      <c r="A347" s="22">
        <v>43612</v>
      </c>
      <c r="B347" t="s">
        <v>16</v>
      </c>
      <c r="C347" t="s">
        <v>23</v>
      </c>
      <c r="D347">
        <v>500</v>
      </c>
      <c r="E347">
        <v>31.5</v>
      </c>
      <c r="F347">
        <v>15750</v>
      </c>
      <c r="G347" t="s">
        <v>1188</v>
      </c>
      <c r="H347">
        <v>2019099</v>
      </c>
      <c r="I347" t="s">
        <v>19</v>
      </c>
      <c r="J347" t="s">
        <v>20</v>
      </c>
      <c r="K347" t="s">
        <v>25</v>
      </c>
      <c r="L347">
        <v>3.88</v>
      </c>
      <c r="M347">
        <v>0.56999999999999995</v>
      </c>
      <c r="N347">
        <v>0</v>
      </c>
      <c r="O347">
        <v>29.6</v>
      </c>
      <c r="P347">
        <v>34.046999999999997</v>
      </c>
    </row>
    <row r="348" spans="1:16" hidden="1" x14ac:dyDescent="0.25">
      <c r="A348" s="22">
        <v>43612</v>
      </c>
      <c r="B348" t="s">
        <v>16</v>
      </c>
      <c r="C348" t="s">
        <v>17</v>
      </c>
      <c r="D348">
        <v>100</v>
      </c>
      <c r="E348">
        <v>31.5</v>
      </c>
      <c r="F348">
        <v>3150</v>
      </c>
      <c r="G348" t="s">
        <v>1189</v>
      </c>
      <c r="H348">
        <v>2019099</v>
      </c>
      <c r="I348" t="s">
        <v>19</v>
      </c>
      <c r="J348" t="s">
        <v>20</v>
      </c>
      <c r="K348" t="s">
        <v>25</v>
      </c>
      <c r="L348">
        <v>3.1</v>
      </c>
      <c r="M348">
        <v>0.11</v>
      </c>
      <c r="N348">
        <v>0</v>
      </c>
      <c r="O348">
        <v>29.52</v>
      </c>
      <c r="P348">
        <v>32.733400000000003</v>
      </c>
    </row>
    <row r="349" spans="1:16" hidden="1" x14ac:dyDescent="0.25">
      <c r="A349" s="22">
        <v>43609</v>
      </c>
      <c r="B349" t="s">
        <v>100</v>
      </c>
      <c r="C349" t="s">
        <v>23</v>
      </c>
      <c r="D349">
        <v>250</v>
      </c>
      <c r="E349">
        <v>90</v>
      </c>
      <c r="F349">
        <v>22500</v>
      </c>
      <c r="G349" t="s">
        <v>1190</v>
      </c>
      <c r="H349">
        <v>2019098</v>
      </c>
      <c r="I349" t="s">
        <v>19</v>
      </c>
      <c r="J349" t="s">
        <v>20</v>
      </c>
      <c r="K349" t="s">
        <v>25</v>
      </c>
      <c r="L349">
        <v>5.84</v>
      </c>
      <c r="M349">
        <v>0.81</v>
      </c>
      <c r="N349">
        <v>0</v>
      </c>
      <c r="O349">
        <v>29.65</v>
      </c>
      <c r="P349">
        <v>36.299999999999997</v>
      </c>
    </row>
    <row r="350" spans="1:16" hidden="1" x14ac:dyDescent="0.25">
      <c r="A350" s="22">
        <v>43609</v>
      </c>
      <c r="B350" t="s">
        <v>100</v>
      </c>
      <c r="C350" t="s">
        <v>23</v>
      </c>
      <c r="D350">
        <v>100</v>
      </c>
      <c r="E350">
        <v>91</v>
      </c>
      <c r="F350">
        <v>9100</v>
      </c>
      <c r="G350" t="s">
        <v>1191</v>
      </c>
      <c r="H350">
        <v>2019098</v>
      </c>
      <c r="I350" t="s">
        <v>19</v>
      </c>
      <c r="J350" t="s">
        <v>20</v>
      </c>
      <c r="K350" t="s">
        <v>25</v>
      </c>
      <c r="L350">
        <v>2.34</v>
      </c>
      <c r="M350">
        <v>0.33</v>
      </c>
      <c r="N350">
        <v>0</v>
      </c>
      <c r="O350">
        <v>29.56</v>
      </c>
      <c r="P350">
        <v>32.227600000000002</v>
      </c>
    </row>
    <row r="351" spans="1:16" hidden="1" x14ac:dyDescent="0.25">
      <c r="A351" s="22">
        <v>43609</v>
      </c>
      <c r="B351" t="s">
        <v>100</v>
      </c>
      <c r="C351" t="s">
        <v>23</v>
      </c>
      <c r="D351">
        <v>100</v>
      </c>
      <c r="E351">
        <v>92</v>
      </c>
      <c r="F351">
        <v>9200</v>
      </c>
      <c r="G351" t="s">
        <v>1192</v>
      </c>
      <c r="H351">
        <v>2019098</v>
      </c>
      <c r="I351" t="s">
        <v>19</v>
      </c>
      <c r="J351" t="s">
        <v>20</v>
      </c>
      <c r="K351" t="s">
        <v>25</v>
      </c>
      <c r="L351">
        <v>2.34</v>
      </c>
      <c r="M351">
        <v>0.33</v>
      </c>
      <c r="N351">
        <v>0</v>
      </c>
      <c r="O351">
        <v>29.56</v>
      </c>
      <c r="P351">
        <v>32.231200000000001</v>
      </c>
    </row>
    <row r="352" spans="1:16" hidden="1" x14ac:dyDescent="0.25">
      <c r="A352" s="22">
        <v>43609</v>
      </c>
      <c r="B352" t="s">
        <v>100</v>
      </c>
      <c r="C352" t="s">
        <v>23</v>
      </c>
      <c r="D352">
        <v>100</v>
      </c>
      <c r="E352">
        <v>93</v>
      </c>
      <c r="F352">
        <v>9300</v>
      </c>
      <c r="G352" t="s">
        <v>1193</v>
      </c>
      <c r="H352">
        <v>2019098</v>
      </c>
      <c r="I352" t="s">
        <v>19</v>
      </c>
      <c r="J352" t="s">
        <v>20</v>
      </c>
      <c r="K352" t="s">
        <v>25</v>
      </c>
      <c r="L352">
        <v>2.34</v>
      </c>
      <c r="M352">
        <v>0.33</v>
      </c>
      <c r="N352">
        <v>0</v>
      </c>
      <c r="O352">
        <v>29.56</v>
      </c>
      <c r="P352">
        <v>32.2348</v>
      </c>
    </row>
    <row r="353" spans="1:16" hidden="1" x14ac:dyDescent="0.25">
      <c r="A353" s="22">
        <v>43609</v>
      </c>
      <c r="B353" t="s">
        <v>100</v>
      </c>
      <c r="C353" t="s">
        <v>23</v>
      </c>
      <c r="D353">
        <v>200</v>
      </c>
      <c r="E353">
        <v>94.5</v>
      </c>
      <c r="F353">
        <v>18900</v>
      </c>
      <c r="G353" t="s">
        <v>1194</v>
      </c>
      <c r="H353">
        <v>2019098</v>
      </c>
      <c r="I353" t="s">
        <v>19</v>
      </c>
      <c r="J353" t="s">
        <v>20</v>
      </c>
      <c r="K353" t="s">
        <v>25</v>
      </c>
      <c r="L353">
        <v>4.78</v>
      </c>
      <c r="M353">
        <v>0.68</v>
      </c>
      <c r="N353">
        <v>18.3</v>
      </c>
      <c r="O353">
        <v>29.62</v>
      </c>
      <c r="P353">
        <v>53.380400000000002</v>
      </c>
    </row>
    <row r="354" spans="1:16" hidden="1" x14ac:dyDescent="0.25">
      <c r="A354" s="22">
        <v>43609</v>
      </c>
      <c r="B354" t="s">
        <v>100</v>
      </c>
      <c r="C354" t="s">
        <v>17</v>
      </c>
      <c r="D354">
        <v>750</v>
      </c>
      <c r="E354">
        <v>93.75</v>
      </c>
      <c r="F354">
        <v>70312.5</v>
      </c>
      <c r="G354" t="s">
        <v>1195</v>
      </c>
      <c r="H354">
        <v>2019098</v>
      </c>
      <c r="I354" t="s">
        <v>19</v>
      </c>
      <c r="J354" t="s">
        <v>20</v>
      </c>
      <c r="K354" t="s">
        <v>25</v>
      </c>
      <c r="L354">
        <v>0</v>
      </c>
      <c r="M354">
        <v>2.5299999999999998</v>
      </c>
      <c r="N354">
        <v>0</v>
      </c>
      <c r="O354">
        <v>41.94</v>
      </c>
      <c r="P354">
        <v>44.471200000000003</v>
      </c>
    </row>
    <row r="355" spans="1:16" hidden="1" x14ac:dyDescent="0.25">
      <c r="A355" s="22">
        <v>43609</v>
      </c>
      <c r="B355" t="s">
        <v>100</v>
      </c>
      <c r="C355" t="s">
        <v>23</v>
      </c>
      <c r="D355">
        <v>2500</v>
      </c>
      <c r="E355">
        <v>93.54</v>
      </c>
      <c r="F355">
        <v>233839.8</v>
      </c>
      <c r="G355" t="s">
        <v>1196</v>
      </c>
      <c r="H355">
        <v>2019098</v>
      </c>
      <c r="I355" t="s">
        <v>19</v>
      </c>
      <c r="J355" t="s">
        <v>20</v>
      </c>
      <c r="K355" t="s">
        <v>25</v>
      </c>
      <c r="L355">
        <v>58.38</v>
      </c>
      <c r="M355">
        <v>8.42</v>
      </c>
      <c r="N355">
        <v>0</v>
      </c>
      <c r="O355">
        <v>139.47</v>
      </c>
      <c r="P355">
        <v>206.26830000000001</v>
      </c>
    </row>
    <row r="356" spans="1:16" hidden="1" x14ac:dyDescent="0.25">
      <c r="A356" s="22">
        <v>43609</v>
      </c>
      <c r="B356" t="s">
        <v>100</v>
      </c>
      <c r="C356" t="s">
        <v>17</v>
      </c>
      <c r="D356">
        <v>2500</v>
      </c>
      <c r="E356">
        <v>93.6</v>
      </c>
      <c r="F356">
        <v>234000</v>
      </c>
      <c r="G356" t="s">
        <v>1197</v>
      </c>
      <c r="H356">
        <v>2019098</v>
      </c>
      <c r="I356" t="s">
        <v>19</v>
      </c>
      <c r="J356" t="s">
        <v>20</v>
      </c>
      <c r="K356" t="s">
        <v>25</v>
      </c>
      <c r="L356">
        <v>0</v>
      </c>
      <c r="M356">
        <v>8.42</v>
      </c>
      <c r="N356">
        <v>0</v>
      </c>
      <c r="O356">
        <v>139.58000000000001</v>
      </c>
      <c r="P356">
        <v>148.00399999999999</v>
      </c>
    </row>
    <row r="357" spans="1:16" hidden="1" x14ac:dyDescent="0.25">
      <c r="A357" s="22">
        <v>43608</v>
      </c>
      <c r="B357" t="s">
        <v>480</v>
      </c>
      <c r="C357" t="s">
        <v>23</v>
      </c>
      <c r="D357">
        <v>500</v>
      </c>
      <c r="E357">
        <v>103.5</v>
      </c>
      <c r="F357">
        <v>51750</v>
      </c>
      <c r="G357" t="s">
        <v>1198</v>
      </c>
      <c r="H357">
        <v>2019097</v>
      </c>
      <c r="I357" t="s">
        <v>19</v>
      </c>
      <c r="J357" t="s">
        <v>20</v>
      </c>
      <c r="K357" t="s">
        <v>25</v>
      </c>
      <c r="L357">
        <v>13.04</v>
      </c>
      <c r="M357">
        <v>1.86</v>
      </c>
      <c r="N357">
        <v>0</v>
      </c>
      <c r="O357">
        <v>30.87</v>
      </c>
      <c r="P357">
        <v>45.773000000000003</v>
      </c>
    </row>
    <row r="358" spans="1:16" hidden="1" x14ac:dyDescent="0.25">
      <c r="A358" s="22">
        <v>43608</v>
      </c>
      <c r="B358" t="s">
        <v>480</v>
      </c>
      <c r="C358" t="s">
        <v>23</v>
      </c>
      <c r="D358">
        <v>250</v>
      </c>
      <c r="E358">
        <v>104</v>
      </c>
      <c r="F358">
        <v>26000</v>
      </c>
      <c r="G358" t="s">
        <v>1199</v>
      </c>
      <c r="H358">
        <v>2019097</v>
      </c>
      <c r="I358" t="s">
        <v>19</v>
      </c>
      <c r="J358" t="s">
        <v>20</v>
      </c>
      <c r="K358" t="s">
        <v>25</v>
      </c>
      <c r="L358">
        <v>6.52</v>
      </c>
      <c r="M358">
        <v>0.94</v>
      </c>
      <c r="N358">
        <v>0</v>
      </c>
      <c r="O358">
        <v>29.66</v>
      </c>
      <c r="P358">
        <v>37.116</v>
      </c>
    </row>
    <row r="359" spans="1:16" hidden="1" x14ac:dyDescent="0.25">
      <c r="A359" s="22">
        <v>43608</v>
      </c>
      <c r="B359" t="s">
        <v>270</v>
      </c>
      <c r="C359" t="s">
        <v>23</v>
      </c>
      <c r="D359">
        <v>100</v>
      </c>
      <c r="E359">
        <v>134</v>
      </c>
      <c r="F359">
        <v>13400</v>
      </c>
      <c r="G359" t="s">
        <v>1200</v>
      </c>
      <c r="H359">
        <v>2019097</v>
      </c>
      <c r="I359" t="s">
        <v>19</v>
      </c>
      <c r="J359" t="s">
        <v>20</v>
      </c>
      <c r="K359" t="s">
        <v>25</v>
      </c>
      <c r="L359">
        <v>3.45</v>
      </c>
      <c r="M359">
        <v>0.48</v>
      </c>
      <c r="N359">
        <v>0</v>
      </c>
      <c r="O359">
        <v>29.59</v>
      </c>
      <c r="P359">
        <v>33.522399999999998</v>
      </c>
    </row>
    <row r="360" spans="1:16" hidden="1" x14ac:dyDescent="0.25">
      <c r="A360" s="22">
        <v>43608</v>
      </c>
      <c r="B360" t="s">
        <v>270</v>
      </c>
      <c r="C360" t="s">
        <v>23</v>
      </c>
      <c r="D360">
        <v>200</v>
      </c>
      <c r="E360">
        <v>136.5</v>
      </c>
      <c r="F360">
        <v>27300</v>
      </c>
      <c r="G360" t="s">
        <v>1201</v>
      </c>
      <c r="H360">
        <v>2019097</v>
      </c>
      <c r="I360" t="s">
        <v>19</v>
      </c>
      <c r="J360" t="s">
        <v>20</v>
      </c>
      <c r="K360" t="s">
        <v>25</v>
      </c>
      <c r="L360">
        <v>6.91</v>
      </c>
      <c r="M360">
        <v>0.98</v>
      </c>
      <c r="N360">
        <v>0</v>
      </c>
      <c r="O360">
        <v>29.67</v>
      </c>
      <c r="P360">
        <v>37.562800000000003</v>
      </c>
    </row>
    <row r="361" spans="1:16" hidden="1" x14ac:dyDescent="0.25">
      <c r="A361" s="22">
        <v>43608</v>
      </c>
      <c r="B361" t="s">
        <v>270</v>
      </c>
      <c r="C361" t="s">
        <v>23</v>
      </c>
      <c r="D361">
        <v>200</v>
      </c>
      <c r="E361">
        <v>138.5</v>
      </c>
      <c r="F361">
        <v>27700</v>
      </c>
      <c r="G361" t="s">
        <v>1202</v>
      </c>
      <c r="H361">
        <v>2019097</v>
      </c>
      <c r="I361" t="s">
        <v>19</v>
      </c>
      <c r="J361" t="s">
        <v>20</v>
      </c>
      <c r="K361" t="s">
        <v>25</v>
      </c>
      <c r="L361">
        <v>6.91</v>
      </c>
      <c r="M361">
        <v>1</v>
      </c>
      <c r="N361">
        <v>0</v>
      </c>
      <c r="O361">
        <v>29.68</v>
      </c>
      <c r="P361">
        <v>37.587200000000003</v>
      </c>
    </row>
    <row r="362" spans="1:16" hidden="1" x14ac:dyDescent="0.25">
      <c r="A362" s="22">
        <v>43608</v>
      </c>
      <c r="B362" t="s">
        <v>480</v>
      </c>
      <c r="C362" t="s">
        <v>23</v>
      </c>
      <c r="D362">
        <v>250</v>
      </c>
      <c r="E362">
        <v>106</v>
      </c>
      <c r="F362">
        <v>26500</v>
      </c>
      <c r="G362" t="s">
        <v>1203</v>
      </c>
      <c r="H362">
        <v>2019097</v>
      </c>
      <c r="I362" t="s">
        <v>19</v>
      </c>
      <c r="J362" t="s">
        <v>20</v>
      </c>
      <c r="K362" t="s">
        <v>25</v>
      </c>
      <c r="L362">
        <v>6.5</v>
      </c>
      <c r="M362">
        <v>0.95</v>
      </c>
      <c r="N362">
        <v>15.9</v>
      </c>
      <c r="O362">
        <v>29.67</v>
      </c>
      <c r="P362">
        <v>53.024000000000001</v>
      </c>
    </row>
    <row r="363" spans="1:16" hidden="1" x14ac:dyDescent="0.25">
      <c r="A363" s="22">
        <v>43608</v>
      </c>
      <c r="B363" t="s">
        <v>270</v>
      </c>
      <c r="C363" t="s">
        <v>23</v>
      </c>
      <c r="D363">
        <v>250</v>
      </c>
      <c r="E363">
        <v>143</v>
      </c>
      <c r="F363">
        <v>35750</v>
      </c>
      <c r="G363" t="s">
        <v>1204</v>
      </c>
      <c r="H363">
        <v>2019097</v>
      </c>
      <c r="I363" t="s">
        <v>19</v>
      </c>
      <c r="J363" t="s">
        <v>20</v>
      </c>
      <c r="K363" t="s">
        <v>25</v>
      </c>
      <c r="L363">
        <v>8.64</v>
      </c>
      <c r="M363">
        <v>1.29</v>
      </c>
      <c r="N363">
        <v>0</v>
      </c>
      <c r="O363">
        <v>29.72</v>
      </c>
      <c r="P363">
        <v>39.646999999999998</v>
      </c>
    </row>
    <row r="364" spans="1:16" hidden="1" x14ac:dyDescent="0.25">
      <c r="A364" s="22">
        <v>43608</v>
      </c>
      <c r="B364" t="s">
        <v>270</v>
      </c>
      <c r="C364" t="s">
        <v>17</v>
      </c>
      <c r="D364">
        <v>750</v>
      </c>
      <c r="E364">
        <v>137.5</v>
      </c>
      <c r="F364">
        <v>103125</v>
      </c>
      <c r="G364" t="s">
        <v>1205</v>
      </c>
      <c r="H364">
        <v>2019097</v>
      </c>
      <c r="I364" t="s">
        <v>19</v>
      </c>
      <c r="J364" t="s">
        <v>20</v>
      </c>
      <c r="K364" t="s">
        <v>25</v>
      </c>
      <c r="L364">
        <v>0</v>
      </c>
      <c r="M364">
        <v>3.71</v>
      </c>
      <c r="N364">
        <v>0</v>
      </c>
      <c r="O364">
        <v>61.51</v>
      </c>
      <c r="P364">
        <v>65.222499999999997</v>
      </c>
    </row>
    <row r="365" spans="1:16" hidden="1" x14ac:dyDescent="0.25">
      <c r="A365" s="22">
        <v>43608</v>
      </c>
      <c r="B365" t="s">
        <v>480</v>
      </c>
      <c r="C365" t="s">
        <v>17</v>
      </c>
      <c r="D365">
        <v>1500</v>
      </c>
      <c r="E365">
        <v>103.5</v>
      </c>
      <c r="F365">
        <v>155250</v>
      </c>
      <c r="G365" t="s">
        <v>1206</v>
      </c>
      <c r="H365">
        <v>2019097</v>
      </c>
      <c r="I365" t="s">
        <v>19</v>
      </c>
      <c r="J365" t="s">
        <v>20</v>
      </c>
      <c r="K365" t="s">
        <v>25</v>
      </c>
      <c r="L365">
        <v>0</v>
      </c>
      <c r="M365">
        <v>5.59</v>
      </c>
      <c r="N365">
        <v>0</v>
      </c>
      <c r="O365">
        <v>92.6</v>
      </c>
      <c r="P365">
        <v>98.189099999999996</v>
      </c>
    </row>
    <row r="366" spans="1:16" hidden="1" x14ac:dyDescent="0.25">
      <c r="A366" s="22">
        <v>43608</v>
      </c>
      <c r="B366" t="s">
        <v>480</v>
      </c>
      <c r="C366" t="s">
        <v>23</v>
      </c>
      <c r="D366">
        <v>500</v>
      </c>
      <c r="E366">
        <v>106.7</v>
      </c>
      <c r="F366">
        <v>53350</v>
      </c>
      <c r="G366" t="s">
        <v>1207</v>
      </c>
      <c r="H366">
        <v>2019097</v>
      </c>
      <c r="I366" t="s">
        <v>19</v>
      </c>
      <c r="J366" t="s">
        <v>20</v>
      </c>
      <c r="K366" t="s">
        <v>25</v>
      </c>
      <c r="L366">
        <v>13.04</v>
      </c>
      <c r="M366">
        <v>1.92</v>
      </c>
      <c r="N366">
        <v>0</v>
      </c>
      <c r="O366">
        <v>31.82</v>
      </c>
      <c r="P366">
        <v>46.780700000000003</v>
      </c>
    </row>
    <row r="367" spans="1:16" hidden="1" x14ac:dyDescent="0.25">
      <c r="A367" s="22">
        <v>43607</v>
      </c>
      <c r="B367" t="s">
        <v>16</v>
      </c>
      <c r="C367" t="s">
        <v>17</v>
      </c>
      <c r="D367">
        <v>1000</v>
      </c>
      <c r="E367">
        <v>28.5</v>
      </c>
      <c r="F367">
        <v>28500</v>
      </c>
      <c r="G367" t="s">
        <v>1208</v>
      </c>
      <c r="H367">
        <v>2019096</v>
      </c>
      <c r="I367" t="s">
        <v>19</v>
      </c>
      <c r="J367" t="s">
        <v>20</v>
      </c>
      <c r="K367" t="s">
        <v>25</v>
      </c>
      <c r="L367">
        <v>0</v>
      </c>
      <c r="M367">
        <v>1.03</v>
      </c>
      <c r="N367">
        <v>0</v>
      </c>
      <c r="O367">
        <v>29.68</v>
      </c>
      <c r="P367">
        <v>30.706</v>
      </c>
    </row>
    <row r="368" spans="1:16" hidden="1" x14ac:dyDescent="0.25">
      <c r="A368" s="22">
        <v>43607</v>
      </c>
      <c r="B368" t="s">
        <v>981</v>
      </c>
      <c r="C368" t="s">
        <v>17</v>
      </c>
      <c r="D368">
        <v>500</v>
      </c>
      <c r="E368">
        <v>154</v>
      </c>
      <c r="F368">
        <v>77000</v>
      </c>
      <c r="G368" t="s">
        <v>1209</v>
      </c>
      <c r="H368">
        <v>2019096</v>
      </c>
      <c r="I368" t="s">
        <v>19</v>
      </c>
      <c r="J368" t="s">
        <v>20</v>
      </c>
      <c r="K368" t="s">
        <v>25</v>
      </c>
      <c r="L368">
        <v>0</v>
      </c>
      <c r="M368">
        <v>2.77</v>
      </c>
      <c r="N368">
        <v>0</v>
      </c>
      <c r="O368">
        <v>45.93</v>
      </c>
      <c r="P368">
        <v>48.701999999999998</v>
      </c>
    </row>
    <row r="369" spans="1:16" hidden="1" x14ac:dyDescent="0.25">
      <c r="A369" s="22">
        <v>43607</v>
      </c>
      <c r="B369" t="s">
        <v>849</v>
      </c>
      <c r="C369" t="s">
        <v>23</v>
      </c>
      <c r="D369">
        <v>250</v>
      </c>
      <c r="E369">
        <v>147</v>
      </c>
      <c r="F369">
        <v>36750</v>
      </c>
      <c r="G369" t="s">
        <v>1210</v>
      </c>
      <c r="H369">
        <v>2019096</v>
      </c>
      <c r="I369" t="s">
        <v>19</v>
      </c>
      <c r="J369" t="s">
        <v>20</v>
      </c>
      <c r="K369" t="s">
        <v>25</v>
      </c>
      <c r="L369">
        <v>9.75</v>
      </c>
      <c r="M369">
        <v>1.32</v>
      </c>
      <c r="N369">
        <v>0</v>
      </c>
      <c r="O369">
        <v>29.74</v>
      </c>
      <c r="P369">
        <v>40.813099999999999</v>
      </c>
    </row>
    <row r="370" spans="1:16" hidden="1" x14ac:dyDescent="0.25">
      <c r="A370" s="22">
        <v>43607</v>
      </c>
      <c r="B370" t="s">
        <v>849</v>
      </c>
      <c r="C370" t="s">
        <v>23</v>
      </c>
      <c r="D370">
        <v>500</v>
      </c>
      <c r="E370">
        <v>162</v>
      </c>
      <c r="F370">
        <v>81000</v>
      </c>
      <c r="G370" t="s">
        <v>1211</v>
      </c>
      <c r="H370">
        <v>2019096</v>
      </c>
      <c r="I370" t="s">
        <v>19</v>
      </c>
      <c r="J370" t="s">
        <v>20</v>
      </c>
      <c r="K370" t="s">
        <v>25</v>
      </c>
      <c r="L370">
        <v>19.5</v>
      </c>
      <c r="M370">
        <v>2.92</v>
      </c>
      <c r="N370">
        <v>0</v>
      </c>
      <c r="O370">
        <v>48.31</v>
      </c>
      <c r="P370">
        <v>70.726200000000006</v>
      </c>
    </row>
    <row r="371" spans="1:16" hidden="1" x14ac:dyDescent="0.25">
      <c r="A371" s="22">
        <v>43607</v>
      </c>
      <c r="B371" t="s">
        <v>981</v>
      </c>
      <c r="C371" t="s">
        <v>23</v>
      </c>
      <c r="D371">
        <v>500</v>
      </c>
      <c r="E371">
        <v>155</v>
      </c>
      <c r="F371">
        <v>77500</v>
      </c>
      <c r="G371" t="s">
        <v>1212</v>
      </c>
      <c r="H371">
        <v>2019096</v>
      </c>
      <c r="I371" t="s">
        <v>19</v>
      </c>
      <c r="J371" t="s">
        <v>20</v>
      </c>
      <c r="K371" t="s">
        <v>25</v>
      </c>
      <c r="L371">
        <v>19.010000000000002</v>
      </c>
      <c r="M371">
        <v>2.79</v>
      </c>
      <c r="N371">
        <v>13.5</v>
      </c>
      <c r="O371">
        <v>46.21</v>
      </c>
      <c r="P371">
        <v>81.510800000000003</v>
      </c>
    </row>
    <row r="372" spans="1:16" hidden="1" x14ac:dyDescent="0.25">
      <c r="A372" s="22">
        <v>43607</v>
      </c>
      <c r="B372" t="s">
        <v>16</v>
      </c>
      <c r="C372" t="s">
        <v>23</v>
      </c>
      <c r="D372">
        <v>1000</v>
      </c>
      <c r="E372">
        <v>29</v>
      </c>
      <c r="F372">
        <v>29000</v>
      </c>
      <c r="G372" t="s">
        <v>1213</v>
      </c>
      <c r="H372">
        <v>2019096</v>
      </c>
      <c r="I372" t="s">
        <v>19</v>
      </c>
      <c r="J372" t="s">
        <v>20</v>
      </c>
      <c r="K372" t="s">
        <v>25</v>
      </c>
      <c r="L372">
        <v>7.19</v>
      </c>
      <c r="M372">
        <v>1.04</v>
      </c>
      <c r="N372">
        <v>0</v>
      </c>
      <c r="O372">
        <v>29.69</v>
      </c>
      <c r="P372">
        <v>37.923999999999999</v>
      </c>
    </row>
    <row r="373" spans="1:16" hidden="1" x14ac:dyDescent="0.25">
      <c r="A373" s="22">
        <v>43607</v>
      </c>
      <c r="B373" t="s">
        <v>849</v>
      </c>
      <c r="C373" t="s">
        <v>17</v>
      </c>
      <c r="D373">
        <v>10</v>
      </c>
      <c r="E373">
        <v>154</v>
      </c>
      <c r="F373">
        <v>1540</v>
      </c>
      <c r="G373" t="s">
        <v>1214</v>
      </c>
      <c r="H373">
        <v>2019096</v>
      </c>
      <c r="I373" t="s">
        <v>19</v>
      </c>
      <c r="J373" t="s">
        <v>20</v>
      </c>
      <c r="K373" t="s">
        <v>25</v>
      </c>
      <c r="L373">
        <v>1.56</v>
      </c>
      <c r="M373">
        <v>0.06</v>
      </c>
      <c r="N373">
        <v>0</v>
      </c>
      <c r="O373">
        <v>41.32</v>
      </c>
      <c r="P373">
        <v>42.935600000000001</v>
      </c>
    </row>
    <row r="374" spans="1:16" hidden="1" x14ac:dyDescent="0.25">
      <c r="A374" s="22">
        <v>43607</v>
      </c>
      <c r="B374" t="s">
        <v>849</v>
      </c>
      <c r="C374" t="s">
        <v>17</v>
      </c>
      <c r="D374">
        <v>750</v>
      </c>
      <c r="E374">
        <v>155</v>
      </c>
      <c r="F374">
        <v>116250</v>
      </c>
      <c r="G374" t="s">
        <v>1215</v>
      </c>
      <c r="H374">
        <v>2019096</v>
      </c>
      <c r="I374" t="s">
        <v>19</v>
      </c>
      <c r="J374" t="s">
        <v>20</v>
      </c>
      <c r="K374" t="s">
        <v>25</v>
      </c>
      <c r="L374">
        <v>0</v>
      </c>
      <c r="M374">
        <v>4.1900000000000004</v>
      </c>
      <c r="N374">
        <v>0</v>
      </c>
      <c r="O374">
        <v>69.34</v>
      </c>
      <c r="P374">
        <v>73.525099999999995</v>
      </c>
    </row>
    <row r="375" spans="1:16" hidden="1" x14ac:dyDescent="0.25">
      <c r="A375" s="22">
        <v>43606</v>
      </c>
      <c r="B375" t="s">
        <v>981</v>
      </c>
      <c r="C375" t="s">
        <v>23</v>
      </c>
      <c r="D375">
        <v>250</v>
      </c>
      <c r="E375">
        <v>155.25</v>
      </c>
      <c r="F375">
        <v>38812.5</v>
      </c>
      <c r="G375" t="s">
        <v>1216</v>
      </c>
      <c r="H375">
        <v>2019095</v>
      </c>
      <c r="I375" t="s">
        <v>19</v>
      </c>
      <c r="J375" t="s">
        <v>20</v>
      </c>
      <c r="K375" t="s">
        <v>25</v>
      </c>
      <c r="L375">
        <v>9.6300000000000008</v>
      </c>
      <c r="M375">
        <v>1.4</v>
      </c>
      <c r="N375">
        <v>0</v>
      </c>
      <c r="O375">
        <v>29.75</v>
      </c>
      <c r="P375">
        <v>40.777200000000001</v>
      </c>
    </row>
    <row r="376" spans="1:16" hidden="1" x14ac:dyDescent="0.25">
      <c r="A376" s="22">
        <v>43606</v>
      </c>
      <c r="B376" t="s">
        <v>981</v>
      </c>
      <c r="C376" t="s">
        <v>23</v>
      </c>
      <c r="D376">
        <v>1064</v>
      </c>
      <c r="E376">
        <v>155</v>
      </c>
      <c r="F376">
        <v>164920</v>
      </c>
      <c r="G376" t="s">
        <v>1217</v>
      </c>
      <c r="H376">
        <v>2019095</v>
      </c>
      <c r="I376" t="s">
        <v>19</v>
      </c>
      <c r="J376" t="s">
        <v>20</v>
      </c>
      <c r="K376" t="s">
        <v>25</v>
      </c>
      <c r="L376">
        <v>41.37</v>
      </c>
      <c r="M376">
        <v>5.94</v>
      </c>
      <c r="N376">
        <v>12.3</v>
      </c>
      <c r="O376">
        <v>98.33</v>
      </c>
      <c r="P376">
        <v>157.93780000000001</v>
      </c>
    </row>
    <row r="377" spans="1:16" hidden="1" x14ac:dyDescent="0.25">
      <c r="A377" s="22">
        <v>43606</v>
      </c>
      <c r="B377" t="s">
        <v>981</v>
      </c>
      <c r="C377" t="s">
        <v>17</v>
      </c>
      <c r="D377">
        <v>1314</v>
      </c>
      <c r="E377">
        <v>153.25</v>
      </c>
      <c r="F377">
        <v>201370.5</v>
      </c>
      <c r="G377" t="s">
        <v>1218</v>
      </c>
      <c r="H377">
        <v>2019095</v>
      </c>
      <c r="I377" t="s">
        <v>19</v>
      </c>
      <c r="J377" t="s">
        <v>20</v>
      </c>
      <c r="K377" t="s">
        <v>25</v>
      </c>
      <c r="L377">
        <v>0</v>
      </c>
      <c r="M377">
        <v>7.25</v>
      </c>
      <c r="N377">
        <v>0</v>
      </c>
      <c r="O377">
        <v>120.11</v>
      </c>
      <c r="P377">
        <v>127.35939999999999</v>
      </c>
    </row>
    <row r="378" spans="1:16" hidden="1" x14ac:dyDescent="0.25">
      <c r="A378" s="22">
        <v>43605</v>
      </c>
      <c r="B378" t="s">
        <v>981</v>
      </c>
      <c r="C378" t="s">
        <v>23</v>
      </c>
      <c r="D378">
        <v>100</v>
      </c>
      <c r="E378">
        <v>155.5</v>
      </c>
      <c r="F378">
        <v>15550</v>
      </c>
      <c r="G378" t="s">
        <v>1219</v>
      </c>
      <c r="H378">
        <v>2019094</v>
      </c>
      <c r="I378" t="s">
        <v>19</v>
      </c>
      <c r="J378" t="s">
        <v>20</v>
      </c>
      <c r="K378" t="s">
        <v>25</v>
      </c>
      <c r="L378">
        <v>3.95</v>
      </c>
      <c r="M378">
        <v>0.56000000000000005</v>
      </c>
      <c r="N378">
        <v>0</v>
      </c>
      <c r="O378">
        <v>29.6</v>
      </c>
      <c r="P378">
        <v>34.109900000000003</v>
      </c>
    </row>
    <row r="379" spans="1:16" hidden="1" x14ac:dyDescent="0.25">
      <c r="A379" s="22">
        <v>43605</v>
      </c>
      <c r="B379" t="s">
        <v>16</v>
      </c>
      <c r="C379" t="s">
        <v>17</v>
      </c>
      <c r="D379">
        <v>1000</v>
      </c>
      <c r="E379">
        <v>28.5</v>
      </c>
      <c r="F379">
        <v>28500</v>
      </c>
      <c r="G379" t="s">
        <v>1220</v>
      </c>
      <c r="H379">
        <v>2019094</v>
      </c>
      <c r="I379" t="s">
        <v>19</v>
      </c>
      <c r="J379" t="s">
        <v>20</v>
      </c>
      <c r="K379" t="s">
        <v>25</v>
      </c>
      <c r="L379">
        <v>0</v>
      </c>
      <c r="M379">
        <v>1.03</v>
      </c>
      <c r="N379">
        <v>0</v>
      </c>
      <c r="O379">
        <v>29.69</v>
      </c>
      <c r="P379">
        <v>30.716200000000001</v>
      </c>
    </row>
    <row r="380" spans="1:16" hidden="1" x14ac:dyDescent="0.25">
      <c r="A380" s="22">
        <v>43605</v>
      </c>
      <c r="B380" t="s">
        <v>981</v>
      </c>
      <c r="C380" t="s">
        <v>23</v>
      </c>
      <c r="D380">
        <v>100</v>
      </c>
      <c r="E380">
        <v>155</v>
      </c>
      <c r="F380">
        <v>15500</v>
      </c>
      <c r="G380" t="s">
        <v>1221</v>
      </c>
      <c r="H380">
        <v>2019094</v>
      </c>
      <c r="I380" t="s">
        <v>19</v>
      </c>
      <c r="J380" t="s">
        <v>20</v>
      </c>
      <c r="K380" t="s">
        <v>25</v>
      </c>
      <c r="L380">
        <v>3.95</v>
      </c>
      <c r="M380">
        <v>0.56000000000000005</v>
      </c>
      <c r="N380">
        <v>0</v>
      </c>
      <c r="O380">
        <v>29.6</v>
      </c>
      <c r="P380">
        <v>34.107999999999997</v>
      </c>
    </row>
    <row r="381" spans="1:16" hidden="1" x14ac:dyDescent="0.25">
      <c r="A381" s="22">
        <v>43605</v>
      </c>
      <c r="B381" t="s">
        <v>16</v>
      </c>
      <c r="C381" t="s">
        <v>23</v>
      </c>
      <c r="D381">
        <v>1000</v>
      </c>
      <c r="E381">
        <v>28.65</v>
      </c>
      <c r="F381">
        <v>28650</v>
      </c>
      <c r="G381" t="s">
        <v>1222</v>
      </c>
      <c r="H381">
        <v>2019094</v>
      </c>
      <c r="I381" t="s">
        <v>19</v>
      </c>
      <c r="J381" t="s">
        <v>20</v>
      </c>
      <c r="K381" t="s">
        <v>25</v>
      </c>
      <c r="L381">
        <v>7.43</v>
      </c>
      <c r="M381">
        <v>1.03</v>
      </c>
      <c r="N381">
        <v>0</v>
      </c>
      <c r="O381">
        <v>29.69</v>
      </c>
      <c r="P381">
        <v>38.151400000000002</v>
      </c>
    </row>
    <row r="382" spans="1:16" hidden="1" x14ac:dyDescent="0.25">
      <c r="A382" s="22">
        <v>43605</v>
      </c>
      <c r="B382" t="s">
        <v>981</v>
      </c>
      <c r="C382" t="s">
        <v>17</v>
      </c>
      <c r="D382">
        <v>200</v>
      </c>
      <c r="E382">
        <v>158.5</v>
      </c>
      <c r="F382">
        <v>31700</v>
      </c>
      <c r="G382" t="s">
        <v>1223</v>
      </c>
      <c r="H382">
        <v>2019094</v>
      </c>
      <c r="I382" t="s">
        <v>19</v>
      </c>
      <c r="J382" t="s">
        <v>20</v>
      </c>
      <c r="K382" t="s">
        <v>25</v>
      </c>
      <c r="L382">
        <v>0</v>
      </c>
      <c r="M382">
        <v>1.1399999999999999</v>
      </c>
      <c r="N382">
        <v>0</v>
      </c>
      <c r="O382">
        <v>29.71</v>
      </c>
      <c r="P382">
        <v>30.851199999999999</v>
      </c>
    </row>
    <row r="383" spans="1:16" hidden="1" x14ac:dyDescent="0.25">
      <c r="A383" s="22">
        <v>43605</v>
      </c>
      <c r="B383" t="s">
        <v>981</v>
      </c>
      <c r="C383" t="s">
        <v>17</v>
      </c>
      <c r="D383">
        <v>1000</v>
      </c>
      <c r="E383">
        <v>158.5</v>
      </c>
      <c r="F383">
        <v>158500</v>
      </c>
      <c r="G383" t="s">
        <v>1224</v>
      </c>
      <c r="H383">
        <v>2019094</v>
      </c>
      <c r="I383" t="s">
        <v>19</v>
      </c>
      <c r="J383" t="s">
        <v>20</v>
      </c>
      <c r="K383" t="s">
        <v>25</v>
      </c>
      <c r="L383">
        <v>0</v>
      </c>
      <c r="M383">
        <v>5.71</v>
      </c>
      <c r="N383">
        <v>27.3</v>
      </c>
      <c r="O383">
        <v>94.54</v>
      </c>
      <c r="P383">
        <v>127.5459</v>
      </c>
    </row>
    <row r="384" spans="1:16" hidden="1" x14ac:dyDescent="0.25">
      <c r="A384" s="22">
        <v>43605</v>
      </c>
      <c r="B384" t="s">
        <v>981</v>
      </c>
      <c r="C384" t="s">
        <v>17</v>
      </c>
      <c r="D384">
        <v>1000</v>
      </c>
      <c r="E384">
        <v>157.94999999999999</v>
      </c>
      <c r="F384">
        <v>157950</v>
      </c>
      <c r="G384" t="s">
        <v>1225</v>
      </c>
      <c r="H384">
        <v>2019094</v>
      </c>
      <c r="I384" t="s">
        <v>19</v>
      </c>
      <c r="J384" t="s">
        <v>20</v>
      </c>
      <c r="K384" t="s">
        <v>25</v>
      </c>
      <c r="L384">
        <v>0</v>
      </c>
      <c r="M384">
        <v>5.69</v>
      </c>
      <c r="N384">
        <v>0</v>
      </c>
      <c r="O384">
        <v>94.21</v>
      </c>
      <c r="P384">
        <v>99.896199999999993</v>
      </c>
    </row>
    <row r="385" spans="1:16" hidden="1" x14ac:dyDescent="0.25">
      <c r="A385" s="22">
        <v>43605</v>
      </c>
      <c r="B385" t="s">
        <v>981</v>
      </c>
      <c r="C385" t="s">
        <v>17</v>
      </c>
      <c r="D385">
        <v>500</v>
      </c>
      <c r="E385">
        <v>157.4</v>
      </c>
      <c r="F385">
        <v>78700</v>
      </c>
      <c r="G385" t="s">
        <v>1226</v>
      </c>
      <c r="H385">
        <v>2019094</v>
      </c>
      <c r="I385" t="s">
        <v>19</v>
      </c>
      <c r="J385" t="s">
        <v>20</v>
      </c>
      <c r="K385" t="s">
        <v>25</v>
      </c>
      <c r="L385">
        <v>0</v>
      </c>
      <c r="M385">
        <v>2.83</v>
      </c>
      <c r="N385">
        <v>0</v>
      </c>
      <c r="O385">
        <v>46.94</v>
      </c>
      <c r="P385">
        <v>49.773200000000003</v>
      </c>
    </row>
    <row r="386" spans="1:16" hidden="1" x14ac:dyDescent="0.25">
      <c r="A386" s="22">
        <v>43605</v>
      </c>
      <c r="B386" t="s">
        <v>981</v>
      </c>
      <c r="C386" t="s">
        <v>23</v>
      </c>
      <c r="D386">
        <v>2500</v>
      </c>
      <c r="E386">
        <v>157.87</v>
      </c>
      <c r="F386">
        <v>394681.85</v>
      </c>
      <c r="G386" t="s">
        <v>1227</v>
      </c>
      <c r="H386">
        <v>2019094</v>
      </c>
      <c r="I386" t="s">
        <v>19</v>
      </c>
      <c r="J386" t="s">
        <v>20</v>
      </c>
      <c r="K386" t="s">
        <v>25</v>
      </c>
      <c r="L386">
        <v>98.68</v>
      </c>
      <c r="M386">
        <v>14.21</v>
      </c>
      <c r="N386">
        <v>0</v>
      </c>
      <c r="O386">
        <v>235.41</v>
      </c>
      <c r="P386">
        <v>348.29840000000002</v>
      </c>
    </row>
    <row r="387" spans="1:16" hidden="1" x14ac:dyDescent="0.25">
      <c r="A387" s="22">
        <v>43602</v>
      </c>
      <c r="B387" t="s">
        <v>981</v>
      </c>
      <c r="C387" t="s">
        <v>23</v>
      </c>
      <c r="D387">
        <v>500</v>
      </c>
      <c r="E387">
        <v>150</v>
      </c>
      <c r="F387">
        <v>75000</v>
      </c>
      <c r="G387" t="s">
        <v>1228</v>
      </c>
      <c r="H387">
        <v>2019093</v>
      </c>
      <c r="I387" t="s">
        <v>19</v>
      </c>
      <c r="J387" t="s">
        <v>20</v>
      </c>
      <c r="K387" t="s">
        <v>25</v>
      </c>
      <c r="L387">
        <v>18.34</v>
      </c>
      <c r="M387">
        <v>2.7</v>
      </c>
      <c r="N387">
        <v>0</v>
      </c>
      <c r="O387">
        <v>44.74</v>
      </c>
      <c r="P387">
        <v>65.78</v>
      </c>
    </row>
    <row r="388" spans="1:16" hidden="1" x14ac:dyDescent="0.25">
      <c r="A388" s="22">
        <v>43602</v>
      </c>
      <c r="B388" t="s">
        <v>981</v>
      </c>
      <c r="C388" t="s">
        <v>23</v>
      </c>
      <c r="D388">
        <v>250</v>
      </c>
      <c r="E388">
        <v>149.44999999999999</v>
      </c>
      <c r="F388">
        <v>37362.5</v>
      </c>
      <c r="G388" t="s">
        <v>1229</v>
      </c>
      <c r="H388">
        <v>2019093</v>
      </c>
      <c r="I388" t="s">
        <v>19</v>
      </c>
      <c r="J388" t="s">
        <v>20</v>
      </c>
      <c r="K388" t="s">
        <v>25</v>
      </c>
      <c r="L388">
        <v>9.3000000000000007</v>
      </c>
      <c r="M388">
        <v>1.35</v>
      </c>
      <c r="N388">
        <v>0</v>
      </c>
      <c r="O388">
        <v>29.74</v>
      </c>
      <c r="P388">
        <v>40.384999999999998</v>
      </c>
    </row>
    <row r="389" spans="1:16" hidden="1" x14ac:dyDescent="0.25">
      <c r="A389" s="22">
        <v>43602</v>
      </c>
      <c r="B389" t="s">
        <v>981</v>
      </c>
      <c r="C389" t="s">
        <v>17</v>
      </c>
      <c r="D389">
        <v>750</v>
      </c>
      <c r="E389">
        <v>148.9</v>
      </c>
      <c r="F389">
        <v>111675</v>
      </c>
      <c r="G389" t="s">
        <v>1230</v>
      </c>
      <c r="H389">
        <v>2019093</v>
      </c>
      <c r="I389" t="s">
        <v>19</v>
      </c>
      <c r="J389" t="s">
        <v>20</v>
      </c>
      <c r="K389" t="s">
        <v>25</v>
      </c>
      <c r="L389">
        <v>0</v>
      </c>
      <c r="M389">
        <v>4.0199999999999996</v>
      </c>
      <c r="N389">
        <v>11.4</v>
      </c>
      <c r="O389">
        <v>66.61</v>
      </c>
      <c r="P389">
        <v>82.030299999999997</v>
      </c>
    </row>
    <row r="390" spans="1:16" hidden="1" x14ac:dyDescent="0.25">
      <c r="A390" s="22">
        <v>43602</v>
      </c>
      <c r="B390" t="s">
        <v>16</v>
      </c>
      <c r="C390" t="s">
        <v>17</v>
      </c>
      <c r="D390">
        <v>50</v>
      </c>
      <c r="E390">
        <v>28</v>
      </c>
      <c r="F390">
        <v>1400</v>
      </c>
      <c r="G390" t="s">
        <v>1231</v>
      </c>
      <c r="H390">
        <v>2019093</v>
      </c>
      <c r="I390" t="s">
        <v>19</v>
      </c>
      <c r="J390" t="s">
        <v>1526</v>
      </c>
      <c r="K390" t="s">
        <v>25</v>
      </c>
      <c r="L390">
        <v>1.38</v>
      </c>
      <c r="M390">
        <v>0.05</v>
      </c>
      <c r="N390">
        <v>0</v>
      </c>
      <c r="O390">
        <v>41.31</v>
      </c>
      <c r="P390">
        <v>42.740400000000001</v>
      </c>
    </row>
    <row r="391" spans="1:16" hidden="1" x14ac:dyDescent="0.25">
      <c r="A391" s="22">
        <v>43602</v>
      </c>
      <c r="B391" t="s">
        <v>16</v>
      </c>
      <c r="C391" t="s">
        <v>17</v>
      </c>
      <c r="D391">
        <v>50</v>
      </c>
      <c r="E391">
        <v>27</v>
      </c>
      <c r="F391">
        <v>1350</v>
      </c>
      <c r="G391" t="s">
        <v>1232</v>
      </c>
      <c r="H391">
        <v>2019093</v>
      </c>
      <c r="I391" t="s">
        <v>19</v>
      </c>
      <c r="J391" t="s">
        <v>1526</v>
      </c>
      <c r="K391" t="s">
        <v>25</v>
      </c>
      <c r="L391">
        <v>1.38</v>
      </c>
      <c r="M391">
        <v>0.05</v>
      </c>
      <c r="N391">
        <v>0</v>
      </c>
      <c r="O391">
        <v>39.83</v>
      </c>
      <c r="P391">
        <v>41.258699999999997</v>
      </c>
    </row>
    <row r="392" spans="1:16" hidden="1" x14ac:dyDescent="0.25">
      <c r="A392" s="22">
        <v>43602</v>
      </c>
      <c r="B392" t="s">
        <v>981</v>
      </c>
      <c r="C392" t="s">
        <v>17</v>
      </c>
      <c r="D392">
        <v>500</v>
      </c>
      <c r="E392">
        <v>147.5</v>
      </c>
      <c r="F392">
        <v>73750</v>
      </c>
      <c r="G392" t="s">
        <v>1233</v>
      </c>
      <c r="H392">
        <v>2019093</v>
      </c>
      <c r="I392" t="s">
        <v>19</v>
      </c>
      <c r="J392" t="s">
        <v>20</v>
      </c>
      <c r="K392" t="s">
        <v>25</v>
      </c>
      <c r="L392">
        <v>0</v>
      </c>
      <c r="M392">
        <v>2.66</v>
      </c>
      <c r="N392">
        <v>0</v>
      </c>
      <c r="O392">
        <v>43.99</v>
      </c>
      <c r="P392">
        <v>46.645099999999999</v>
      </c>
    </row>
    <row r="393" spans="1:16" hidden="1" x14ac:dyDescent="0.25">
      <c r="A393" s="22">
        <v>43602</v>
      </c>
      <c r="B393" t="s">
        <v>981</v>
      </c>
      <c r="C393" t="s">
        <v>23</v>
      </c>
      <c r="D393">
        <v>500</v>
      </c>
      <c r="E393">
        <v>148.75</v>
      </c>
      <c r="F393">
        <v>74375</v>
      </c>
      <c r="G393" t="s">
        <v>1234</v>
      </c>
      <c r="H393">
        <v>2019093</v>
      </c>
      <c r="I393" t="s">
        <v>19</v>
      </c>
      <c r="J393" t="s">
        <v>20</v>
      </c>
      <c r="K393" t="s">
        <v>25</v>
      </c>
      <c r="L393">
        <v>18.61</v>
      </c>
      <c r="M393">
        <v>2.68</v>
      </c>
      <c r="N393">
        <v>0</v>
      </c>
      <c r="O393">
        <v>44.36</v>
      </c>
      <c r="P393">
        <v>65.647400000000005</v>
      </c>
    </row>
    <row r="394" spans="1:16" hidden="1" x14ac:dyDescent="0.25">
      <c r="A394" s="22">
        <v>43601</v>
      </c>
      <c r="B394" t="s">
        <v>321</v>
      </c>
      <c r="C394" t="s">
        <v>23</v>
      </c>
      <c r="D394">
        <v>100</v>
      </c>
      <c r="E394">
        <v>266.5</v>
      </c>
      <c r="F394">
        <v>26650</v>
      </c>
      <c r="G394" t="s">
        <v>1235</v>
      </c>
      <c r="H394">
        <v>2019092</v>
      </c>
      <c r="I394" t="s">
        <v>19</v>
      </c>
      <c r="J394" t="s">
        <v>20</v>
      </c>
      <c r="K394" t="s">
        <v>25</v>
      </c>
      <c r="L394">
        <v>7.17</v>
      </c>
      <c r="M394">
        <v>0.96</v>
      </c>
      <c r="N394">
        <v>0</v>
      </c>
      <c r="O394">
        <v>29.67</v>
      </c>
      <c r="P394">
        <v>37.799300000000002</v>
      </c>
    </row>
    <row r="395" spans="1:16" hidden="1" x14ac:dyDescent="0.25">
      <c r="A395" s="22">
        <v>43601</v>
      </c>
      <c r="B395" t="s">
        <v>321</v>
      </c>
      <c r="C395" t="s">
        <v>23</v>
      </c>
      <c r="D395">
        <v>100</v>
      </c>
      <c r="E395">
        <v>268</v>
      </c>
      <c r="F395">
        <v>26800</v>
      </c>
      <c r="G395" t="s">
        <v>1236</v>
      </c>
      <c r="H395">
        <v>2019092</v>
      </c>
      <c r="I395" t="s">
        <v>19</v>
      </c>
      <c r="J395" t="s">
        <v>20</v>
      </c>
      <c r="K395" t="s">
        <v>25</v>
      </c>
      <c r="L395">
        <v>6.81</v>
      </c>
      <c r="M395">
        <v>0.96</v>
      </c>
      <c r="N395">
        <v>0</v>
      </c>
      <c r="O395">
        <v>29.67</v>
      </c>
      <c r="P395">
        <v>37.444800000000001</v>
      </c>
    </row>
    <row r="396" spans="1:16" hidden="1" x14ac:dyDescent="0.25">
      <c r="A396" s="22">
        <v>43601</v>
      </c>
      <c r="B396" t="s">
        <v>321</v>
      </c>
      <c r="C396" t="s">
        <v>23</v>
      </c>
      <c r="D396">
        <v>100</v>
      </c>
      <c r="E396">
        <v>271</v>
      </c>
      <c r="F396">
        <v>27100</v>
      </c>
      <c r="G396" t="s">
        <v>1237</v>
      </c>
      <c r="H396">
        <v>2019092</v>
      </c>
      <c r="I396" t="s">
        <v>19</v>
      </c>
      <c r="J396" t="s">
        <v>20</v>
      </c>
      <c r="K396" t="s">
        <v>25</v>
      </c>
      <c r="L396">
        <v>6.81</v>
      </c>
      <c r="M396">
        <v>0.98</v>
      </c>
      <c r="N396">
        <v>0</v>
      </c>
      <c r="O396">
        <v>29.68</v>
      </c>
      <c r="P396">
        <v>37.465600000000002</v>
      </c>
    </row>
    <row r="397" spans="1:16" hidden="1" x14ac:dyDescent="0.25">
      <c r="A397" s="22">
        <v>43601</v>
      </c>
      <c r="B397" t="s">
        <v>321</v>
      </c>
      <c r="C397" t="s">
        <v>23</v>
      </c>
      <c r="D397">
        <v>150</v>
      </c>
      <c r="E397">
        <v>270</v>
      </c>
      <c r="F397">
        <v>40500</v>
      </c>
      <c r="G397" t="s">
        <v>1238</v>
      </c>
      <c r="H397">
        <v>2019092</v>
      </c>
      <c r="I397" t="s">
        <v>19</v>
      </c>
      <c r="J397" t="s">
        <v>20</v>
      </c>
      <c r="K397" t="s">
        <v>25</v>
      </c>
      <c r="L397">
        <v>10.220000000000001</v>
      </c>
      <c r="M397">
        <v>1.46</v>
      </c>
      <c r="N397">
        <v>0</v>
      </c>
      <c r="O397">
        <v>29.76</v>
      </c>
      <c r="P397">
        <v>41.438000000000002</v>
      </c>
    </row>
    <row r="398" spans="1:16" hidden="1" x14ac:dyDescent="0.25">
      <c r="A398" s="22">
        <v>43601</v>
      </c>
      <c r="B398" t="s">
        <v>321</v>
      </c>
      <c r="C398" t="s">
        <v>17</v>
      </c>
      <c r="D398">
        <v>650</v>
      </c>
      <c r="E398">
        <v>274.5</v>
      </c>
      <c r="F398">
        <v>178425</v>
      </c>
      <c r="G398" t="s">
        <v>1239</v>
      </c>
      <c r="H398">
        <v>2019092</v>
      </c>
      <c r="I398" t="s">
        <v>19</v>
      </c>
      <c r="J398" t="s">
        <v>20</v>
      </c>
      <c r="K398" t="s">
        <v>25</v>
      </c>
      <c r="L398">
        <v>0</v>
      </c>
      <c r="M398">
        <v>6.42</v>
      </c>
      <c r="N398">
        <v>19.8</v>
      </c>
      <c r="O398">
        <v>106.43</v>
      </c>
      <c r="P398">
        <v>132.6533</v>
      </c>
    </row>
    <row r="399" spans="1:16" hidden="1" x14ac:dyDescent="0.25">
      <c r="A399" s="22">
        <v>43601</v>
      </c>
      <c r="B399" t="s">
        <v>321</v>
      </c>
      <c r="C399" t="s">
        <v>23</v>
      </c>
      <c r="D399">
        <v>200</v>
      </c>
      <c r="E399">
        <v>274</v>
      </c>
      <c r="F399">
        <v>54800</v>
      </c>
      <c r="G399" t="s">
        <v>1240</v>
      </c>
      <c r="H399">
        <v>2019092</v>
      </c>
      <c r="I399" t="s">
        <v>19</v>
      </c>
      <c r="J399" t="s">
        <v>20</v>
      </c>
      <c r="K399" t="s">
        <v>25</v>
      </c>
      <c r="L399">
        <v>13.63</v>
      </c>
      <c r="M399">
        <v>1.97</v>
      </c>
      <c r="N399">
        <v>0</v>
      </c>
      <c r="O399">
        <v>32.69</v>
      </c>
      <c r="P399">
        <v>48.2928</v>
      </c>
    </row>
    <row r="400" spans="1:16" hidden="1" x14ac:dyDescent="0.25">
      <c r="A400" s="22">
        <v>43601</v>
      </c>
      <c r="B400" t="s">
        <v>981</v>
      </c>
      <c r="C400" t="s">
        <v>17</v>
      </c>
      <c r="D400">
        <v>1000</v>
      </c>
      <c r="E400">
        <v>148.9</v>
      </c>
      <c r="F400">
        <v>148900</v>
      </c>
      <c r="G400" t="s">
        <v>1241</v>
      </c>
      <c r="H400">
        <v>2019092</v>
      </c>
      <c r="I400" t="s">
        <v>19</v>
      </c>
      <c r="J400" t="s">
        <v>20</v>
      </c>
      <c r="K400" t="s">
        <v>25</v>
      </c>
      <c r="L400">
        <v>0</v>
      </c>
      <c r="M400">
        <v>5.36</v>
      </c>
      <c r="N400">
        <v>0</v>
      </c>
      <c r="O400">
        <v>88.82</v>
      </c>
      <c r="P400">
        <v>94.180400000000006</v>
      </c>
    </row>
    <row r="401" spans="1:16" hidden="1" x14ac:dyDescent="0.25">
      <c r="A401" s="22">
        <v>43601</v>
      </c>
      <c r="B401" t="s">
        <v>981</v>
      </c>
      <c r="C401" t="s">
        <v>23</v>
      </c>
      <c r="D401">
        <v>1000</v>
      </c>
      <c r="E401">
        <v>150</v>
      </c>
      <c r="F401">
        <v>150000</v>
      </c>
      <c r="G401" t="s">
        <v>1242</v>
      </c>
      <c r="H401">
        <v>2019092</v>
      </c>
      <c r="I401" t="s">
        <v>19</v>
      </c>
      <c r="J401" t="s">
        <v>20</v>
      </c>
      <c r="K401" t="s">
        <v>25</v>
      </c>
      <c r="L401">
        <v>37.36</v>
      </c>
      <c r="M401">
        <v>5.4</v>
      </c>
      <c r="N401">
        <v>0</v>
      </c>
      <c r="O401">
        <v>89.48</v>
      </c>
      <c r="P401">
        <v>132.24019999999999</v>
      </c>
    </row>
    <row r="402" spans="1:16" hidden="1" x14ac:dyDescent="0.25">
      <c r="A402" s="22">
        <v>43600</v>
      </c>
      <c r="B402" t="s">
        <v>288</v>
      </c>
      <c r="C402" t="s">
        <v>17</v>
      </c>
      <c r="D402">
        <v>50</v>
      </c>
      <c r="E402">
        <v>50</v>
      </c>
      <c r="F402">
        <v>2500</v>
      </c>
      <c r="G402" t="s">
        <v>1243</v>
      </c>
      <c r="H402">
        <v>2019091</v>
      </c>
      <c r="I402" t="s">
        <v>19</v>
      </c>
      <c r="J402" t="s">
        <v>20</v>
      </c>
      <c r="K402" t="s">
        <v>25</v>
      </c>
      <c r="L402">
        <v>2.5</v>
      </c>
      <c r="M402">
        <v>0.09</v>
      </c>
      <c r="N402">
        <v>0</v>
      </c>
      <c r="O402">
        <v>41.32</v>
      </c>
      <c r="P402">
        <v>43.91</v>
      </c>
    </row>
    <row r="403" spans="1:16" hidden="1" x14ac:dyDescent="0.25">
      <c r="A403" s="22">
        <v>43600</v>
      </c>
      <c r="B403" t="s">
        <v>981</v>
      </c>
      <c r="C403" t="s">
        <v>23</v>
      </c>
      <c r="D403">
        <v>500</v>
      </c>
      <c r="E403">
        <v>144.80000000000001</v>
      </c>
      <c r="F403">
        <v>72400</v>
      </c>
      <c r="G403" t="s">
        <v>1244</v>
      </c>
      <c r="H403">
        <v>2019091</v>
      </c>
      <c r="I403" t="s">
        <v>19</v>
      </c>
      <c r="J403" t="s">
        <v>20</v>
      </c>
      <c r="K403" t="s">
        <v>25</v>
      </c>
      <c r="L403">
        <v>18.5</v>
      </c>
      <c r="M403">
        <v>2.61</v>
      </c>
      <c r="N403">
        <v>0</v>
      </c>
      <c r="O403">
        <v>43.19</v>
      </c>
      <c r="P403">
        <v>64.296400000000006</v>
      </c>
    </row>
    <row r="404" spans="1:16" hidden="1" x14ac:dyDescent="0.25">
      <c r="A404" s="22">
        <v>43600</v>
      </c>
      <c r="B404" t="s">
        <v>981</v>
      </c>
      <c r="C404" t="s">
        <v>17</v>
      </c>
      <c r="D404">
        <v>500</v>
      </c>
      <c r="E404">
        <v>144.44999999999999</v>
      </c>
      <c r="F404">
        <v>72225</v>
      </c>
      <c r="G404" t="s">
        <v>1245</v>
      </c>
      <c r="H404">
        <v>2019091</v>
      </c>
      <c r="I404" t="s">
        <v>19</v>
      </c>
      <c r="J404" t="s">
        <v>20</v>
      </c>
      <c r="K404" t="s">
        <v>25</v>
      </c>
      <c r="L404">
        <v>0</v>
      </c>
      <c r="M404">
        <v>2.6</v>
      </c>
      <c r="N404">
        <v>4.5</v>
      </c>
      <c r="O404">
        <v>43.08</v>
      </c>
      <c r="P404">
        <v>50.18</v>
      </c>
    </row>
    <row r="405" spans="1:16" hidden="1" x14ac:dyDescent="0.25">
      <c r="A405" s="22">
        <v>43599</v>
      </c>
      <c r="B405" t="s">
        <v>321</v>
      </c>
      <c r="C405" t="s">
        <v>23</v>
      </c>
      <c r="D405">
        <v>250</v>
      </c>
      <c r="E405">
        <v>262.25</v>
      </c>
      <c r="F405">
        <v>65562.5</v>
      </c>
      <c r="G405" t="s">
        <v>1246</v>
      </c>
      <c r="H405">
        <v>2019090</v>
      </c>
      <c r="I405" t="s">
        <v>19</v>
      </c>
      <c r="J405" t="s">
        <v>20</v>
      </c>
      <c r="K405" t="s">
        <v>25</v>
      </c>
      <c r="L405">
        <v>16.420000000000002</v>
      </c>
      <c r="M405">
        <v>2.36</v>
      </c>
      <c r="N405">
        <v>0</v>
      </c>
      <c r="O405">
        <v>39.1</v>
      </c>
      <c r="P405">
        <v>57.880200000000002</v>
      </c>
    </row>
    <row r="406" spans="1:16" hidden="1" x14ac:dyDescent="0.25">
      <c r="A406" s="22">
        <v>43599</v>
      </c>
      <c r="B406" t="s">
        <v>321</v>
      </c>
      <c r="C406" t="s">
        <v>17</v>
      </c>
      <c r="D406">
        <v>350</v>
      </c>
      <c r="E406">
        <v>262.25</v>
      </c>
      <c r="F406">
        <v>91787.5</v>
      </c>
      <c r="G406" t="s">
        <v>1247</v>
      </c>
      <c r="H406">
        <v>2019090</v>
      </c>
      <c r="I406" t="s">
        <v>19</v>
      </c>
      <c r="J406" t="s">
        <v>20</v>
      </c>
      <c r="K406" t="s">
        <v>25</v>
      </c>
      <c r="L406">
        <v>0</v>
      </c>
      <c r="M406">
        <v>3.3</v>
      </c>
      <c r="N406">
        <v>0</v>
      </c>
      <c r="O406">
        <v>54.74</v>
      </c>
      <c r="P406">
        <v>58.044400000000003</v>
      </c>
    </row>
    <row r="407" spans="1:16" hidden="1" x14ac:dyDescent="0.25">
      <c r="A407" s="22">
        <v>43599</v>
      </c>
      <c r="B407" t="s">
        <v>321</v>
      </c>
      <c r="C407" t="s">
        <v>23</v>
      </c>
      <c r="D407">
        <v>100</v>
      </c>
      <c r="E407">
        <v>265</v>
      </c>
      <c r="F407">
        <v>26500</v>
      </c>
      <c r="G407" t="s">
        <v>1248</v>
      </c>
      <c r="H407">
        <v>2019090</v>
      </c>
      <c r="I407" t="s">
        <v>19</v>
      </c>
      <c r="J407" t="s">
        <v>20</v>
      </c>
      <c r="K407" t="s">
        <v>25</v>
      </c>
      <c r="L407">
        <v>6.58</v>
      </c>
      <c r="M407">
        <v>0.95</v>
      </c>
      <c r="N407">
        <v>5.7</v>
      </c>
      <c r="O407">
        <v>29.67</v>
      </c>
      <c r="P407">
        <v>42.904000000000003</v>
      </c>
    </row>
    <row r="408" spans="1:16" hidden="1" x14ac:dyDescent="0.25">
      <c r="A408" s="22">
        <v>43598</v>
      </c>
      <c r="B408" t="s">
        <v>321</v>
      </c>
      <c r="C408" t="s">
        <v>23</v>
      </c>
      <c r="D408">
        <v>1000</v>
      </c>
      <c r="E408">
        <v>274</v>
      </c>
      <c r="F408">
        <v>274000</v>
      </c>
      <c r="G408" t="s">
        <v>1249</v>
      </c>
      <c r="H408">
        <v>2019089</v>
      </c>
      <c r="I408" t="s">
        <v>19</v>
      </c>
      <c r="J408" t="s">
        <v>20</v>
      </c>
      <c r="K408" t="s">
        <v>25</v>
      </c>
      <c r="L408">
        <v>68.55</v>
      </c>
      <c r="M408">
        <v>9.86</v>
      </c>
      <c r="N408">
        <v>16.5</v>
      </c>
      <c r="O408">
        <v>163.43</v>
      </c>
      <c r="P408">
        <v>258.34410000000003</v>
      </c>
    </row>
    <row r="409" spans="1:16" hidden="1" x14ac:dyDescent="0.25">
      <c r="A409" s="22">
        <v>43598</v>
      </c>
      <c r="B409" t="s">
        <v>321</v>
      </c>
      <c r="C409" t="s">
        <v>17</v>
      </c>
      <c r="D409">
        <v>1000</v>
      </c>
      <c r="E409">
        <v>273</v>
      </c>
      <c r="F409">
        <v>273000</v>
      </c>
      <c r="G409" t="s">
        <v>1250</v>
      </c>
      <c r="H409">
        <v>2019089</v>
      </c>
      <c r="I409" t="s">
        <v>19</v>
      </c>
      <c r="J409" t="s">
        <v>20</v>
      </c>
      <c r="K409" t="s">
        <v>25</v>
      </c>
      <c r="L409">
        <v>0</v>
      </c>
      <c r="M409">
        <v>9.83</v>
      </c>
      <c r="N409">
        <v>0</v>
      </c>
      <c r="O409">
        <v>162.84</v>
      </c>
      <c r="P409">
        <v>172.66800000000001</v>
      </c>
    </row>
    <row r="410" spans="1:16" hidden="1" x14ac:dyDescent="0.25">
      <c r="A410" s="22">
        <v>43598</v>
      </c>
      <c r="B410" t="s">
        <v>981</v>
      </c>
      <c r="C410" t="s">
        <v>17</v>
      </c>
      <c r="D410">
        <v>10</v>
      </c>
      <c r="E410">
        <v>145</v>
      </c>
      <c r="F410">
        <v>1450</v>
      </c>
      <c r="G410" t="s">
        <v>1251</v>
      </c>
      <c r="H410">
        <v>2019089</v>
      </c>
      <c r="I410" t="s">
        <v>19</v>
      </c>
      <c r="J410" t="s">
        <v>1526</v>
      </c>
      <c r="K410" t="s">
        <v>25</v>
      </c>
      <c r="L410">
        <v>1.45</v>
      </c>
      <c r="M410">
        <v>0.05</v>
      </c>
      <c r="N410">
        <v>0</v>
      </c>
      <c r="O410">
        <v>41.31</v>
      </c>
      <c r="P410">
        <v>42.8123</v>
      </c>
    </row>
    <row r="411" spans="1:16" hidden="1" x14ac:dyDescent="0.25">
      <c r="A411" s="22">
        <v>43595</v>
      </c>
      <c r="B411" t="s">
        <v>981</v>
      </c>
      <c r="C411" t="s">
        <v>17</v>
      </c>
      <c r="D411">
        <v>250</v>
      </c>
      <c r="E411">
        <v>149</v>
      </c>
      <c r="F411">
        <v>37250</v>
      </c>
      <c r="G411" t="s">
        <v>1252</v>
      </c>
      <c r="H411">
        <v>2019088</v>
      </c>
      <c r="I411" t="s">
        <v>19</v>
      </c>
      <c r="J411" t="s">
        <v>20</v>
      </c>
      <c r="K411" t="s">
        <v>25</v>
      </c>
      <c r="L411">
        <v>0</v>
      </c>
      <c r="M411">
        <v>1.34</v>
      </c>
      <c r="N411">
        <v>0</v>
      </c>
      <c r="O411">
        <v>29.74</v>
      </c>
      <c r="P411">
        <v>31.081099999999999</v>
      </c>
    </row>
    <row r="412" spans="1:16" hidden="1" x14ac:dyDescent="0.25">
      <c r="A412" s="22">
        <v>43595</v>
      </c>
      <c r="B412" t="s">
        <v>981</v>
      </c>
      <c r="C412" t="s">
        <v>17</v>
      </c>
      <c r="D412">
        <v>50</v>
      </c>
      <c r="E412">
        <v>148.5</v>
      </c>
      <c r="F412">
        <v>7425</v>
      </c>
      <c r="G412" t="s">
        <v>1253</v>
      </c>
      <c r="H412">
        <v>2019088</v>
      </c>
      <c r="I412" t="s">
        <v>19</v>
      </c>
      <c r="J412" t="s">
        <v>20</v>
      </c>
      <c r="K412" t="s">
        <v>25</v>
      </c>
      <c r="L412">
        <v>0</v>
      </c>
      <c r="M412">
        <v>0.27</v>
      </c>
      <c r="N412">
        <v>0</v>
      </c>
      <c r="O412">
        <v>29.55</v>
      </c>
      <c r="P412">
        <v>29.817299999999999</v>
      </c>
    </row>
    <row r="413" spans="1:16" hidden="1" x14ac:dyDescent="0.25">
      <c r="A413" s="22">
        <v>43595</v>
      </c>
      <c r="B413" t="s">
        <v>981</v>
      </c>
      <c r="C413" t="s">
        <v>17</v>
      </c>
      <c r="D413">
        <v>50</v>
      </c>
      <c r="E413">
        <v>148</v>
      </c>
      <c r="F413">
        <v>7400</v>
      </c>
      <c r="G413" t="s">
        <v>1254</v>
      </c>
      <c r="H413">
        <v>2019088</v>
      </c>
      <c r="I413" t="s">
        <v>19</v>
      </c>
      <c r="J413" t="s">
        <v>20</v>
      </c>
      <c r="K413" t="s">
        <v>25</v>
      </c>
      <c r="L413">
        <v>0</v>
      </c>
      <c r="M413">
        <v>0.27</v>
      </c>
      <c r="N413">
        <v>0</v>
      </c>
      <c r="O413">
        <v>29.55</v>
      </c>
      <c r="P413">
        <v>29.816400000000002</v>
      </c>
    </row>
    <row r="414" spans="1:16" hidden="1" x14ac:dyDescent="0.25">
      <c r="A414" s="22">
        <v>43595</v>
      </c>
      <c r="B414" t="s">
        <v>981</v>
      </c>
      <c r="C414" t="s">
        <v>23</v>
      </c>
      <c r="D414">
        <v>350</v>
      </c>
      <c r="E414">
        <v>149</v>
      </c>
      <c r="F414">
        <v>52150</v>
      </c>
      <c r="G414" t="s">
        <v>1255</v>
      </c>
      <c r="H414">
        <v>2019088</v>
      </c>
      <c r="I414" t="s">
        <v>19</v>
      </c>
      <c r="J414" t="s">
        <v>20</v>
      </c>
      <c r="K414" t="s">
        <v>25</v>
      </c>
      <c r="L414">
        <v>13.01</v>
      </c>
      <c r="M414">
        <v>1.88</v>
      </c>
      <c r="N414">
        <v>0</v>
      </c>
      <c r="O414">
        <v>31.1</v>
      </c>
      <c r="P414">
        <v>45.987499999999997</v>
      </c>
    </row>
    <row r="415" spans="1:16" hidden="1" x14ac:dyDescent="0.25">
      <c r="A415" s="22">
        <v>43595</v>
      </c>
      <c r="B415" t="s">
        <v>981</v>
      </c>
      <c r="C415" t="s">
        <v>23</v>
      </c>
      <c r="D415">
        <v>250</v>
      </c>
      <c r="E415">
        <v>149.05000000000001</v>
      </c>
      <c r="F415">
        <v>37262.5</v>
      </c>
      <c r="G415" t="s">
        <v>1256</v>
      </c>
      <c r="H415">
        <v>2019088</v>
      </c>
      <c r="I415" t="s">
        <v>19</v>
      </c>
      <c r="J415" t="s">
        <v>20</v>
      </c>
      <c r="K415" t="s">
        <v>25</v>
      </c>
      <c r="L415">
        <v>8.99</v>
      </c>
      <c r="M415">
        <v>1.34</v>
      </c>
      <c r="N415">
        <v>5.4</v>
      </c>
      <c r="O415">
        <v>29.74</v>
      </c>
      <c r="P415">
        <v>45.471499999999999</v>
      </c>
    </row>
    <row r="416" spans="1:16" hidden="1" x14ac:dyDescent="0.25">
      <c r="A416" s="22">
        <v>43595</v>
      </c>
      <c r="B416" t="s">
        <v>981</v>
      </c>
      <c r="C416" t="s">
        <v>17</v>
      </c>
      <c r="D416">
        <v>250</v>
      </c>
      <c r="E416">
        <v>147.9</v>
      </c>
      <c r="F416">
        <v>36975</v>
      </c>
      <c r="G416" t="s">
        <v>1257</v>
      </c>
      <c r="H416">
        <v>2019088</v>
      </c>
      <c r="I416" t="s">
        <v>19</v>
      </c>
      <c r="J416" t="s">
        <v>20</v>
      </c>
      <c r="K416" t="s">
        <v>25</v>
      </c>
      <c r="L416">
        <v>0</v>
      </c>
      <c r="M416">
        <v>1.33</v>
      </c>
      <c r="N416">
        <v>0</v>
      </c>
      <c r="O416">
        <v>29.74</v>
      </c>
      <c r="P416">
        <v>31.071100000000001</v>
      </c>
    </row>
    <row r="417" spans="1:16" hidden="1" x14ac:dyDescent="0.25">
      <c r="A417" s="22">
        <v>43591</v>
      </c>
      <c r="B417" t="s">
        <v>981</v>
      </c>
      <c r="C417" t="s">
        <v>17</v>
      </c>
      <c r="D417">
        <v>1000</v>
      </c>
      <c r="E417">
        <v>157.19999999999999</v>
      </c>
      <c r="F417">
        <v>157204.45000000001</v>
      </c>
      <c r="G417" t="s">
        <v>1258</v>
      </c>
      <c r="H417">
        <v>2019084</v>
      </c>
      <c r="I417" t="s">
        <v>19</v>
      </c>
      <c r="J417" t="s">
        <v>20</v>
      </c>
      <c r="K417" t="s">
        <v>25</v>
      </c>
      <c r="L417">
        <v>0</v>
      </c>
      <c r="M417">
        <v>5.66</v>
      </c>
      <c r="N417">
        <v>0</v>
      </c>
      <c r="O417">
        <v>93.79</v>
      </c>
      <c r="P417">
        <v>99.449200000000005</v>
      </c>
    </row>
    <row r="418" spans="1:16" hidden="1" x14ac:dyDescent="0.25">
      <c r="A418" s="22">
        <v>43591</v>
      </c>
      <c r="B418" t="s">
        <v>981</v>
      </c>
      <c r="C418" t="s">
        <v>23</v>
      </c>
      <c r="D418">
        <v>1000</v>
      </c>
      <c r="E418">
        <v>157.5</v>
      </c>
      <c r="F418">
        <v>157500</v>
      </c>
      <c r="G418" t="s">
        <v>1259</v>
      </c>
      <c r="H418">
        <v>2019084</v>
      </c>
      <c r="I418" t="s">
        <v>19</v>
      </c>
      <c r="J418" t="s">
        <v>20</v>
      </c>
      <c r="K418" t="s">
        <v>25</v>
      </c>
      <c r="L418">
        <v>39.340000000000003</v>
      </c>
      <c r="M418">
        <v>5.67</v>
      </c>
      <c r="N418">
        <v>0</v>
      </c>
      <c r="O418">
        <v>93.95</v>
      </c>
      <c r="P418">
        <v>138.96</v>
      </c>
    </row>
    <row r="419" spans="1:16" hidden="1" x14ac:dyDescent="0.25">
      <c r="A419" s="22">
        <v>43591</v>
      </c>
      <c r="B419" t="s">
        <v>16</v>
      </c>
      <c r="C419" t="s">
        <v>17</v>
      </c>
      <c r="D419">
        <v>250</v>
      </c>
      <c r="E419">
        <v>33.9</v>
      </c>
      <c r="F419">
        <v>8475</v>
      </c>
      <c r="G419" t="s">
        <v>1260</v>
      </c>
      <c r="H419">
        <v>2019084</v>
      </c>
      <c r="I419" t="s">
        <v>19</v>
      </c>
      <c r="J419" t="s">
        <v>20</v>
      </c>
      <c r="K419" t="s">
        <v>25</v>
      </c>
      <c r="L419">
        <v>0</v>
      </c>
      <c r="M419">
        <v>0.31</v>
      </c>
      <c r="N419">
        <v>0</v>
      </c>
      <c r="O419">
        <v>29.56</v>
      </c>
      <c r="P419">
        <v>29.865100000000002</v>
      </c>
    </row>
    <row r="420" spans="1:16" hidden="1" x14ac:dyDescent="0.25">
      <c r="A420" s="22">
        <v>43591</v>
      </c>
      <c r="B420" t="s">
        <v>16</v>
      </c>
      <c r="C420" t="s">
        <v>23</v>
      </c>
      <c r="D420">
        <v>250</v>
      </c>
      <c r="E420">
        <v>33.700000000000003</v>
      </c>
      <c r="F420">
        <v>8425</v>
      </c>
      <c r="G420" t="s">
        <v>1261</v>
      </c>
      <c r="H420">
        <v>2019084</v>
      </c>
      <c r="I420" t="s">
        <v>19</v>
      </c>
      <c r="J420" t="s">
        <v>20</v>
      </c>
      <c r="K420" t="s">
        <v>25</v>
      </c>
      <c r="L420">
        <v>1.87</v>
      </c>
      <c r="M420">
        <v>0.3</v>
      </c>
      <c r="N420">
        <v>10.199999999999999</v>
      </c>
      <c r="O420">
        <v>29.55</v>
      </c>
      <c r="P420">
        <v>41.923299999999998</v>
      </c>
    </row>
    <row r="421" spans="1:16" hidden="1" x14ac:dyDescent="0.25">
      <c r="A421" s="22">
        <v>43591</v>
      </c>
      <c r="B421" t="s">
        <v>179</v>
      </c>
      <c r="C421" t="s">
        <v>17</v>
      </c>
      <c r="D421">
        <v>50</v>
      </c>
      <c r="E421">
        <v>35.75</v>
      </c>
      <c r="F421">
        <v>1787.5</v>
      </c>
      <c r="G421" t="s">
        <v>1262</v>
      </c>
      <c r="H421">
        <v>2019084</v>
      </c>
      <c r="I421" t="s">
        <v>19</v>
      </c>
      <c r="J421" t="s">
        <v>20</v>
      </c>
      <c r="K421" t="s">
        <v>25</v>
      </c>
      <c r="L421">
        <v>1.79</v>
      </c>
      <c r="M421">
        <v>0.06</v>
      </c>
      <c r="N421">
        <v>0</v>
      </c>
      <c r="O421">
        <v>41.31</v>
      </c>
      <c r="P421">
        <v>43.164400000000001</v>
      </c>
    </row>
    <row r="422" spans="1:16" hidden="1" x14ac:dyDescent="0.25">
      <c r="A422" s="22">
        <v>43587</v>
      </c>
      <c r="B422" t="s">
        <v>282</v>
      </c>
      <c r="C422" t="s">
        <v>17</v>
      </c>
      <c r="D422">
        <v>10</v>
      </c>
      <c r="E422">
        <v>560</v>
      </c>
      <c r="F422">
        <v>5600</v>
      </c>
      <c r="G422" t="s">
        <v>1263</v>
      </c>
      <c r="H422">
        <v>2019082</v>
      </c>
      <c r="I422" t="s">
        <v>19</v>
      </c>
      <c r="J422" t="s">
        <v>20</v>
      </c>
      <c r="K422" t="s">
        <v>25</v>
      </c>
      <c r="L422">
        <v>6</v>
      </c>
      <c r="M422">
        <v>0.2</v>
      </c>
      <c r="N422">
        <v>0.3</v>
      </c>
      <c r="O422">
        <v>41.34</v>
      </c>
      <c r="P422">
        <v>47.8416</v>
      </c>
    </row>
    <row r="423" spans="1:16" hidden="1" x14ac:dyDescent="0.25">
      <c r="A423" s="22">
        <v>43580</v>
      </c>
      <c r="B423" t="s">
        <v>205</v>
      </c>
      <c r="C423" t="s">
        <v>17</v>
      </c>
      <c r="D423">
        <v>100</v>
      </c>
      <c r="E423">
        <v>18.25</v>
      </c>
      <c r="F423">
        <v>1825</v>
      </c>
      <c r="G423" t="s">
        <v>1264</v>
      </c>
      <c r="H423">
        <v>2019079</v>
      </c>
      <c r="I423" t="s">
        <v>19</v>
      </c>
      <c r="J423" t="s">
        <v>20</v>
      </c>
      <c r="K423" t="s">
        <v>25</v>
      </c>
      <c r="L423">
        <v>2</v>
      </c>
      <c r="M423">
        <v>7.0000000000000007E-2</v>
      </c>
      <c r="N423">
        <v>0.3</v>
      </c>
      <c r="O423">
        <v>41.31</v>
      </c>
      <c r="P423">
        <v>43.675699999999999</v>
      </c>
    </row>
    <row r="424" spans="1:16" hidden="1" x14ac:dyDescent="0.25">
      <c r="A424" s="22">
        <v>43579</v>
      </c>
      <c r="B424" t="s">
        <v>288</v>
      </c>
      <c r="C424" t="s">
        <v>17</v>
      </c>
      <c r="D424">
        <v>25</v>
      </c>
      <c r="E424">
        <v>60</v>
      </c>
      <c r="F424">
        <v>1500</v>
      </c>
      <c r="G424" t="s">
        <v>1265</v>
      </c>
      <c r="H424">
        <v>2019078</v>
      </c>
      <c r="I424" t="s">
        <v>19</v>
      </c>
      <c r="J424" t="s">
        <v>20</v>
      </c>
      <c r="K424" t="s">
        <v>25</v>
      </c>
      <c r="L424">
        <v>2</v>
      </c>
      <c r="M424">
        <v>0.05</v>
      </c>
      <c r="N424">
        <v>0.3</v>
      </c>
      <c r="O424">
        <v>41.31</v>
      </c>
      <c r="P424">
        <v>43.664000000000001</v>
      </c>
    </row>
    <row r="425" spans="1:16" hidden="1" x14ac:dyDescent="0.25">
      <c r="A425" s="22">
        <v>43578</v>
      </c>
      <c r="B425" t="s">
        <v>862</v>
      </c>
      <c r="C425" t="s">
        <v>23</v>
      </c>
      <c r="D425">
        <v>100</v>
      </c>
      <c r="E425">
        <v>287</v>
      </c>
      <c r="F425">
        <v>28700</v>
      </c>
      <c r="G425" t="s">
        <v>1266</v>
      </c>
      <c r="H425">
        <v>2019077</v>
      </c>
      <c r="I425" t="s">
        <v>19</v>
      </c>
      <c r="J425" t="s">
        <v>20</v>
      </c>
      <c r="K425" t="s">
        <v>25</v>
      </c>
      <c r="L425">
        <v>6.87</v>
      </c>
      <c r="M425">
        <v>1.03</v>
      </c>
      <c r="N425">
        <v>0</v>
      </c>
      <c r="O425">
        <v>29.69</v>
      </c>
      <c r="P425">
        <v>37.593200000000003</v>
      </c>
    </row>
    <row r="426" spans="1:16" hidden="1" x14ac:dyDescent="0.25">
      <c r="A426" s="22">
        <v>43578</v>
      </c>
      <c r="B426" t="s">
        <v>862</v>
      </c>
      <c r="C426" t="s">
        <v>23</v>
      </c>
      <c r="D426">
        <v>100</v>
      </c>
      <c r="E426">
        <v>289</v>
      </c>
      <c r="F426">
        <v>28900</v>
      </c>
      <c r="G426" t="s">
        <v>1267</v>
      </c>
      <c r="H426">
        <v>2019077</v>
      </c>
      <c r="I426" t="s">
        <v>19</v>
      </c>
      <c r="J426" t="s">
        <v>20</v>
      </c>
      <c r="K426" t="s">
        <v>25</v>
      </c>
      <c r="L426">
        <v>7.35</v>
      </c>
      <c r="M426">
        <v>1.04</v>
      </c>
      <c r="N426">
        <v>0</v>
      </c>
      <c r="O426">
        <v>29.69</v>
      </c>
      <c r="P426">
        <v>38.080399999999997</v>
      </c>
    </row>
    <row r="427" spans="1:16" hidden="1" x14ac:dyDescent="0.25">
      <c r="A427" s="22">
        <v>43578</v>
      </c>
      <c r="B427" t="s">
        <v>862</v>
      </c>
      <c r="C427" t="s">
        <v>17</v>
      </c>
      <c r="D427">
        <v>100</v>
      </c>
      <c r="E427">
        <v>284</v>
      </c>
      <c r="F427">
        <v>28400</v>
      </c>
      <c r="G427" t="s">
        <v>1268</v>
      </c>
      <c r="H427">
        <v>2019077</v>
      </c>
      <c r="I427" t="s">
        <v>19</v>
      </c>
      <c r="J427" t="s">
        <v>20</v>
      </c>
      <c r="K427" t="s">
        <v>25</v>
      </c>
      <c r="L427">
        <v>0</v>
      </c>
      <c r="M427">
        <v>1.02</v>
      </c>
      <c r="N427">
        <v>15</v>
      </c>
      <c r="O427">
        <v>29.68</v>
      </c>
      <c r="P427">
        <v>45.702399999999997</v>
      </c>
    </row>
    <row r="428" spans="1:16" hidden="1" x14ac:dyDescent="0.25">
      <c r="A428" s="22">
        <v>43578</v>
      </c>
      <c r="B428" t="s">
        <v>862</v>
      </c>
      <c r="C428" t="s">
        <v>23</v>
      </c>
      <c r="D428">
        <v>100</v>
      </c>
      <c r="E428">
        <v>290</v>
      </c>
      <c r="F428">
        <v>29000</v>
      </c>
      <c r="G428" t="s">
        <v>1269</v>
      </c>
      <c r="H428">
        <v>2019077</v>
      </c>
      <c r="I428" t="s">
        <v>19</v>
      </c>
      <c r="J428" t="s">
        <v>20</v>
      </c>
      <c r="K428" t="s">
        <v>25</v>
      </c>
      <c r="L428">
        <v>7.35</v>
      </c>
      <c r="M428">
        <v>1.04</v>
      </c>
      <c r="N428">
        <v>0</v>
      </c>
      <c r="O428">
        <v>29.69</v>
      </c>
      <c r="P428">
        <v>38.084000000000003</v>
      </c>
    </row>
    <row r="429" spans="1:16" hidden="1" x14ac:dyDescent="0.25">
      <c r="A429" s="22">
        <v>43578</v>
      </c>
      <c r="B429" t="s">
        <v>981</v>
      </c>
      <c r="C429" t="s">
        <v>17</v>
      </c>
      <c r="D429">
        <v>100</v>
      </c>
      <c r="E429">
        <v>148</v>
      </c>
      <c r="F429">
        <v>14800</v>
      </c>
      <c r="G429" t="s">
        <v>1270</v>
      </c>
      <c r="H429">
        <v>2019077</v>
      </c>
      <c r="I429" t="s">
        <v>19</v>
      </c>
      <c r="J429" t="s">
        <v>20</v>
      </c>
      <c r="K429" t="s">
        <v>25</v>
      </c>
      <c r="L429">
        <v>0</v>
      </c>
      <c r="M429">
        <v>0.53</v>
      </c>
      <c r="N429">
        <v>0</v>
      </c>
      <c r="O429">
        <v>29.6</v>
      </c>
      <c r="P429">
        <v>30.1328</v>
      </c>
    </row>
    <row r="430" spans="1:16" hidden="1" x14ac:dyDescent="0.25">
      <c r="A430" s="22">
        <v>43578</v>
      </c>
      <c r="B430" t="s">
        <v>981</v>
      </c>
      <c r="C430" t="s">
        <v>23</v>
      </c>
      <c r="D430">
        <v>100</v>
      </c>
      <c r="E430">
        <v>148.5</v>
      </c>
      <c r="F430">
        <v>14850</v>
      </c>
      <c r="G430" t="s">
        <v>1271</v>
      </c>
      <c r="H430">
        <v>2019077</v>
      </c>
      <c r="I430" t="s">
        <v>19</v>
      </c>
      <c r="J430" t="s">
        <v>20</v>
      </c>
      <c r="K430" t="s">
        <v>25</v>
      </c>
      <c r="L430">
        <v>3.71</v>
      </c>
      <c r="M430">
        <v>0.53</v>
      </c>
      <c r="N430">
        <v>0</v>
      </c>
      <c r="O430">
        <v>29.6</v>
      </c>
      <c r="P430">
        <v>33.844700000000003</v>
      </c>
    </row>
    <row r="431" spans="1:16" hidden="1" x14ac:dyDescent="0.25">
      <c r="A431" s="22">
        <v>43578</v>
      </c>
      <c r="B431" t="s">
        <v>862</v>
      </c>
      <c r="C431" t="s">
        <v>23</v>
      </c>
      <c r="D431">
        <v>100</v>
      </c>
      <c r="E431">
        <v>291</v>
      </c>
      <c r="F431">
        <v>29100</v>
      </c>
      <c r="G431" t="s">
        <v>1272</v>
      </c>
      <c r="H431">
        <v>2019077</v>
      </c>
      <c r="I431" t="s">
        <v>19</v>
      </c>
      <c r="J431" t="s">
        <v>20</v>
      </c>
      <c r="K431" t="s">
        <v>25</v>
      </c>
      <c r="L431">
        <v>7.35</v>
      </c>
      <c r="M431">
        <v>1.05</v>
      </c>
      <c r="N431">
        <v>0</v>
      </c>
      <c r="O431">
        <v>29.69</v>
      </c>
      <c r="P431">
        <v>38.087600000000002</v>
      </c>
    </row>
    <row r="432" spans="1:16" hidden="1" x14ac:dyDescent="0.25">
      <c r="A432" s="22">
        <v>43578</v>
      </c>
      <c r="B432" t="s">
        <v>862</v>
      </c>
      <c r="C432" t="s">
        <v>23</v>
      </c>
      <c r="D432">
        <v>100</v>
      </c>
      <c r="E432">
        <v>292.3</v>
      </c>
      <c r="F432">
        <v>29230</v>
      </c>
      <c r="G432" t="s">
        <v>1273</v>
      </c>
      <c r="H432">
        <v>2019077</v>
      </c>
      <c r="I432" t="s">
        <v>19</v>
      </c>
      <c r="J432" t="s">
        <v>20</v>
      </c>
      <c r="K432" t="s">
        <v>25</v>
      </c>
      <c r="L432">
        <v>7.35</v>
      </c>
      <c r="M432">
        <v>1.05</v>
      </c>
      <c r="N432">
        <v>0</v>
      </c>
      <c r="O432">
        <v>29.69</v>
      </c>
      <c r="P432">
        <v>38.092300000000002</v>
      </c>
    </row>
    <row r="433" spans="1:16" hidden="1" x14ac:dyDescent="0.25">
      <c r="A433" s="22">
        <v>43578</v>
      </c>
      <c r="B433" t="s">
        <v>862</v>
      </c>
      <c r="C433" t="s">
        <v>23</v>
      </c>
      <c r="D433">
        <v>100</v>
      </c>
      <c r="E433">
        <v>295</v>
      </c>
      <c r="F433">
        <v>29500</v>
      </c>
      <c r="G433" t="s">
        <v>1274</v>
      </c>
      <c r="H433">
        <v>2019077</v>
      </c>
      <c r="I433" t="s">
        <v>19</v>
      </c>
      <c r="J433" t="s">
        <v>20</v>
      </c>
      <c r="K433" t="s">
        <v>25</v>
      </c>
      <c r="L433">
        <v>7.35</v>
      </c>
      <c r="M433">
        <v>1.06</v>
      </c>
      <c r="N433">
        <v>0</v>
      </c>
      <c r="O433">
        <v>29.69</v>
      </c>
      <c r="P433">
        <v>38.101999999999997</v>
      </c>
    </row>
    <row r="434" spans="1:16" hidden="1" x14ac:dyDescent="0.25">
      <c r="A434" s="22">
        <v>43578</v>
      </c>
      <c r="B434" t="s">
        <v>862</v>
      </c>
      <c r="C434" t="s">
        <v>23</v>
      </c>
      <c r="D434">
        <v>200</v>
      </c>
      <c r="E434">
        <v>293.5</v>
      </c>
      <c r="F434">
        <v>58700</v>
      </c>
      <c r="G434" t="s">
        <v>1275</v>
      </c>
      <c r="H434">
        <v>2019077</v>
      </c>
      <c r="I434" t="s">
        <v>19</v>
      </c>
      <c r="J434" t="s">
        <v>20</v>
      </c>
      <c r="K434" t="s">
        <v>25</v>
      </c>
      <c r="L434">
        <v>14.69</v>
      </c>
      <c r="M434">
        <v>2.11</v>
      </c>
      <c r="N434">
        <v>0</v>
      </c>
      <c r="O434">
        <v>35.01</v>
      </c>
      <c r="P434">
        <v>51.813200000000002</v>
      </c>
    </row>
    <row r="435" spans="1:16" hidden="1" x14ac:dyDescent="0.25">
      <c r="A435" s="22">
        <v>43578</v>
      </c>
      <c r="B435" t="s">
        <v>862</v>
      </c>
      <c r="C435" t="s">
        <v>17</v>
      </c>
      <c r="D435">
        <v>700</v>
      </c>
      <c r="E435">
        <v>298</v>
      </c>
      <c r="F435">
        <v>208600</v>
      </c>
      <c r="G435" t="s">
        <v>1276</v>
      </c>
      <c r="H435">
        <v>2019077</v>
      </c>
      <c r="I435" t="s">
        <v>19</v>
      </c>
      <c r="J435" t="s">
        <v>20</v>
      </c>
      <c r="K435" t="s">
        <v>25</v>
      </c>
      <c r="L435">
        <v>0</v>
      </c>
      <c r="M435">
        <v>7.51</v>
      </c>
      <c r="N435">
        <v>0</v>
      </c>
      <c r="O435">
        <v>124.43</v>
      </c>
      <c r="P435">
        <v>131.93960000000001</v>
      </c>
    </row>
    <row r="436" spans="1:16" hidden="1" x14ac:dyDescent="0.25">
      <c r="A436" s="22">
        <v>43577</v>
      </c>
      <c r="B436" t="s">
        <v>981</v>
      </c>
      <c r="C436" t="s">
        <v>17</v>
      </c>
      <c r="D436">
        <v>100</v>
      </c>
      <c r="E436">
        <v>151</v>
      </c>
      <c r="F436">
        <v>15100</v>
      </c>
      <c r="G436" t="s">
        <v>1277</v>
      </c>
      <c r="H436">
        <v>2019076</v>
      </c>
      <c r="I436" t="s">
        <v>19</v>
      </c>
      <c r="J436" t="s">
        <v>20</v>
      </c>
      <c r="K436" t="s">
        <v>25</v>
      </c>
      <c r="L436">
        <v>0</v>
      </c>
      <c r="M436">
        <v>0.54</v>
      </c>
      <c r="N436">
        <v>0</v>
      </c>
      <c r="O436">
        <v>29.6</v>
      </c>
      <c r="P436">
        <v>30.143599999999999</v>
      </c>
    </row>
    <row r="437" spans="1:16" hidden="1" x14ac:dyDescent="0.25">
      <c r="A437" s="22">
        <v>43577</v>
      </c>
      <c r="B437" t="s">
        <v>981</v>
      </c>
      <c r="C437" t="s">
        <v>17</v>
      </c>
      <c r="D437">
        <v>100</v>
      </c>
      <c r="E437">
        <v>150</v>
      </c>
      <c r="F437">
        <v>15000</v>
      </c>
      <c r="G437" t="s">
        <v>1278</v>
      </c>
      <c r="H437">
        <v>2019076</v>
      </c>
      <c r="I437" t="s">
        <v>19</v>
      </c>
      <c r="J437" t="s">
        <v>20</v>
      </c>
      <c r="K437" t="s">
        <v>25</v>
      </c>
      <c r="L437">
        <v>0</v>
      </c>
      <c r="M437">
        <v>0.54</v>
      </c>
      <c r="N437">
        <v>0</v>
      </c>
      <c r="O437">
        <v>29.6</v>
      </c>
      <c r="P437">
        <v>30.14</v>
      </c>
    </row>
    <row r="438" spans="1:16" hidden="1" x14ac:dyDescent="0.25">
      <c r="A438" s="22">
        <v>43577</v>
      </c>
      <c r="B438" t="s">
        <v>981</v>
      </c>
      <c r="C438" t="s">
        <v>23</v>
      </c>
      <c r="D438">
        <v>200</v>
      </c>
      <c r="E438">
        <v>150</v>
      </c>
      <c r="F438">
        <v>30000</v>
      </c>
      <c r="G438" t="s">
        <v>1279</v>
      </c>
      <c r="H438">
        <v>2019076</v>
      </c>
      <c r="I438" t="s">
        <v>19</v>
      </c>
      <c r="J438" t="s">
        <v>20</v>
      </c>
      <c r="K438" t="s">
        <v>25</v>
      </c>
      <c r="L438">
        <v>7.51</v>
      </c>
      <c r="M438">
        <v>1.08</v>
      </c>
      <c r="N438">
        <v>0</v>
      </c>
      <c r="O438">
        <v>29.7</v>
      </c>
      <c r="P438">
        <v>38.290199999999999</v>
      </c>
    </row>
    <row r="439" spans="1:16" hidden="1" x14ac:dyDescent="0.25">
      <c r="A439" s="22">
        <v>43577</v>
      </c>
      <c r="B439" t="s">
        <v>379</v>
      </c>
      <c r="C439" t="s">
        <v>17</v>
      </c>
      <c r="D439">
        <v>250</v>
      </c>
      <c r="E439">
        <v>151</v>
      </c>
      <c r="F439">
        <v>37750</v>
      </c>
      <c r="G439" t="s">
        <v>1280</v>
      </c>
      <c r="H439">
        <v>2019076</v>
      </c>
      <c r="I439" t="s">
        <v>19</v>
      </c>
      <c r="J439" t="s">
        <v>20</v>
      </c>
      <c r="K439" t="s">
        <v>25</v>
      </c>
      <c r="L439">
        <v>0</v>
      </c>
      <c r="M439">
        <v>1.36</v>
      </c>
      <c r="N439">
        <v>0</v>
      </c>
      <c r="O439">
        <v>29.74</v>
      </c>
      <c r="P439">
        <v>31.0991</v>
      </c>
    </row>
    <row r="440" spans="1:16" hidden="1" x14ac:dyDescent="0.25">
      <c r="A440" s="22">
        <v>43577</v>
      </c>
      <c r="B440" t="s">
        <v>379</v>
      </c>
      <c r="C440" t="s">
        <v>23</v>
      </c>
      <c r="D440">
        <v>1000</v>
      </c>
      <c r="E440">
        <v>148.9</v>
      </c>
      <c r="F440">
        <v>148900</v>
      </c>
      <c r="G440" t="s">
        <v>1281</v>
      </c>
      <c r="H440">
        <v>2019076</v>
      </c>
      <c r="I440" t="s">
        <v>19</v>
      </c>
      <c r="J440" t="s">
        <v>20</v>
      </c>
      <c r="K440" t="s">
        <v>25</v>
      </c>
      <c r="L440">
        <v>37.29</v>
      </c>
      <c r="M440">
        <v>5.36</v>
      </c>
      <c r="N440">
        <v>0</v>
      </c>
      <c r="O440">
        <v>88.81</v>
      </c>
      <c r="P440">
        <v>131.46029999999999</v>
      </c>
    </row>
    <row r="441" spans="1:16" hidden="1" x14ac:dyDescent="0.25">
      <c r="A441" s="22">
        <v>43577</v>
      </c>
      <c r="B441" t="s">
        <v>247</v>
      </c>
      <c r="C441" t="s">
        <v>23</v>
      </c>
      <c r="D441">
        <v>100</v>
      </c>
      <c r="E441">
        <v>480</v>
      </c>
      <c r="F441">
        <v>48000</v>
      </c>
      <c r="G441" t="s">
        <v>1282</v>
      </c>
      <c r="H441">
        <v>2019076</v>
      </c>
      <c r="I441" t="s">
        <v>19</v>
      </c>
      <c r="J441" t="s">
        <v>20</v>
      </c>
      <c r="K441" t="s">
        <v>25</v>
      </c>
      <c r="L441">
        <v>12.2</v>
      </c>
      <c r="M441">
        <v>1.73</v>
      </c>
      <c r="N441">
        <v>13.8</v>
      </c>
      <c r="O441">
        <v>29.81</v>
      </c>
      <c r="P441">
        <v>57.537999999999997</v>
      </c>
    </row>
    <row r="442" spans="1:16" hidden="1" x14ac:dyDescent="0.25">
      <c r="A442" s="22">
        <v>43577</v>
      </c>
      <c r="B442" t="s">
        <v>247</v>
      </c>
      <c r="C442" t="s">
        <v>17</v>
      </c>
      <c r="D442">
        <v>100</v>
      </c>
      <c r="E442">
        <v>474</v>
      </c>
      <c r="F442">
        <v>47400</v>
      </c>
      <c r="G442" t="s">
        <v>1283</v>
      </c>
      <c r="H442">
        <v>2019076</v>
      </c>
      <c r="I442" t="s">
        <v>19</v>
      </c>
      <c r="J442" t="s">
        <v>20</v>
      </c>
      <c r="K442" t="s">
        <v>25</v>
      </c>
      <c r="L442">
        <v>0</v>
      </c>
      <c r="M442">
        <v>1.71</v>
      </c>
      <c r="N442">
        <v>0</v>
      </c>
      <c r="O442">
        <v>29.81</v>
      </c>
      <c r="P442">
        <v>31.516400000000001</v>
      </c>
    </row>
    <row r="443" spans="1:16" hidden="1" x14ac:dyDescent="0.25">
      <c r="A443" s="22">
        <v>43577</v>
      </c>
      <c r="B443" t="s">
        <v>379</v>
      </c>
      <c r="C443" t="s">
        <v>17</v>
      </c>
      <c r="D443">
        <v>100</v>
      </c>
      <c r="E443">
        <v>149</v>
      </c>
      <c r="F443">
        <v>14900</v>
      </c>
      <c r="G443" t="s">
        <v>1284</v>
      </c>
      <c r="H443">
        <v>2019076</v>
      </c>
      <c r="I443" t="s">
        <v>19</v>
      </c>
      <c r="J443" t="s">
        <v>20</v>
      </c>
      <c r="K443" t="s">
        <v>25</v>
      </c>
      <c r="L443">
        <v>0</v>
      </c>
      <c r="M443">
        <v>0.54</v>
      </c>
      <c r="N443">
        <v>0</v>
      </c>
      <c r="O443">
        <v>29.6</v>
      </c>
      <c r="P443">
        <v>30.136399999999998</v>
      </c>
    </row>
    <row r="444" spans="1:16" hidden="1" x14ac:dyDescent="0.25">
      <c r="A444" s="22">
        <v>43577</v>
      </c>
      <c r="B444" t="s">
        <v>379</v>
      </c>
      <c r="C444" t="s">
        <v>17</v>
      </c>
      <c r="D444">
        <v>250</v>
      </c>
      <c r="E444">
        <v>149</v>
      </c>
      <c r="F444">
        <v>37250</v>
      </c>
      <c r="G444" t="s">
        <v>1285</v>
      </c>
      <c r="H444">
        <v>2019076</v>
      </c>
      <c r="I444" t="s">
        <v>19</v>
      </c>
      <c r="J444" t="s">
        <v>20</v>
      </c>
      <c r="K444" t="s">
        <v>25</v>
      </c>
      <c r="L444">
        <v>0</v>
      </c>
      <c r="M444">
        <v>1.34</v>
      </c>
      <c r="N444">
        <v>0</v>
      </c>
      <c r="O444">
        <v>29.74</v>
      </c>
      <c r="P444">
        <v>31.081099999999999</v>
      </c>
    </row>
    <row r="445" spans="1:16" hidden="1" x14ac:dyDescent="0.25">
      <c r="A445" s="22">
        <v>43577</v>
      </c>
      <c r="B445" t="s">
        <v>379</v>
      </c>
      <c r="C445" t="s">
        <v>17</v>
      </c>
      <c r="D445">
        <v>400</v>
      </c>
      <c r="E445">
        <v>148.79</v>
      </c>
      <c r="F445">
        <v>59516.85</v>
      </c>
      <c r="G445" t="s">
        <v>1286</v>
      </c>
      <c r="H445">
        <v>2019076</v>
      </c>
      <c r="I445" t="s">
        <v>19</v>
      </c>
      <c r="J445" t="s">
        <v>20</v>
      </c>
      <c r="K445" t="s">
        <v>25</v>
      </c>
      <c r="L445">
        <v>0</v>
      </c>
      <c r="M445">
        <v>2.14</v>
      </c>
      <c r="N445">
        <v>0</v>
      </c>
      <c r="O445">
        <v>35.5</v>
      </c>
      <c r="P445">
        <v>37.642499999999998</v>
      </c>
    </row>
    <row r="446" spans="1:16" hidden="1" x14ac:dyDescent="0.25">
      <c r="A446" s="22">
        <v>43573</v>
      </c>
      <c r="B446" t="s">
        <v>56</v>
      </c>
      <c r="C446" t="s">
        <v>17</v>
      </c>
      <c r="D446">
        <v>100</v>
      </c>
      <c r="E446">
        <v>966.44</v>
      </c>
      <c r="F446">
        <v>96644.3</v>
      </c>
      <c r="G446" t="s">
        <v>1287</v>
      </c>
      <c r="H446">
        <v>2019075</v>
      </c>
      <c r="I446" t="s">
        <v>19</v>
      </c>
      <c r="J446" t="s">
        <v>20</v>
      </c>
      <c r="K446" t="s">
        <v>25</v>
      </c>
      <c r="L446">
        <v>0</v>
      </c>
      <c r="M446">
        <v>3.48</v>
      </c>
      <c r="N446">
        <v>0</v>
      </c>
      <c r="O446">
        <v>57.65</v>
      </c>
      <c r="P446">
        <v>61.129199999999997</v>
      </c>
    </row>
    <row r="447" spans="1:16" hidden="1" x14ac:dyDescent="0.25">
      <c r="A447" s="22">
        <v>43573</v>
      </c>
      <c r="B447" t="s">
        <v>56</v>
      </c>
      <c r="C447" t="s">
        <v>23</v>
      </c>
      <c r="D447">
        <v>200</v>
      </c>
      <c r="E447">
        <v>976</v>
      </c>
      <c r="F447">
        <v>195200</v>
      </c>
      <c r="G447" t="s">
        <v>1288</v>
      </c>
      <c r="H447">
        <v>2019075</v>
      </c>
      <c r="I447" t="s">
        <v>19</v>
      </c>
      <c r="J447" t="s">
        <v>20</v>
      </c>
      <c r="K447" t="s">
        <v>25</v>
      </c>
      <c r="L447">
        <v>48.47</v>
      </c>
      <c r="M447">
        <v>7.03</v>
      </c>
      <c r="N447">
        <v>0</v>
      </c>
      <c r="O447">
        <v>116.43</v>
      </c>
      <c r="P447">
        <v>171.9272</v>
      </c>
    </row>
    <row r="448" spans="1:16" hidden="1" x14ac:dyDescent="0.25">
      <c r="A448" s="22">
        <v>43573</v>
      </c>
      <c r="B448" t="s">
        <v>56</v>
      </c>
      <c r="C448" t="s">
        <v>17</v>
      </c>
      <c r="D448">
        <v>50</v>
      </c>
      <c r="E448">
        <v>981</v>
      </c>
      <c r="F448">
        <v>49050</v>
      </c>
      <c r="G448" t="s">
        <v>1289</v>
      </c>
      <c r="H448">
        <v>2019075</v>
      </c>
      <c r="I448" t="s">
        <v>19</v>
      </c>
      <c r="J448" t="s">
        <v>20</v>
      </c>
      <c r="K448" t="s">
        <v>25</v>
      </c>
      <c r="L448">
        <v>0</v>
      </c>
      <c r="M448">
        <v>1.77</v>
      </c>
      <c r="N448">
        <v>0</v>
      </c>
      <c r="O448">
        <v>29.82</v>
      </c>
      <c r="P448">
        <v>31.585899999999999</v>
      </c>
    </row>
    <row r="449" spans="1:16" hidden="1" x14ac:dyDescent="0.25">
      <c r="A449" s="22">
        <v>43573</v>
      </c>
      <c r="B449" t="s">
        <v>56</v>
      </c>
      <c r="C449" t="s">
        <v>17</v>
      </c>
      <c r="D449">
        <v>50</v>
      </c>
      <c r="E449">
        <v>978.5</v>
      </c>
      <c r="F449">
        <v>48925</v>
      </c>
      <c r="G449" t="s">
        <v>1290</v>
      </c>
      <c r="H449">
        <v>2019075</v>
      </c>
      <c r="I449" t="s">
        <v>19</v>
      </c>
      <c r="J449" t="s">
        <v>20</v>
      </c>
      <c r="K449" t="s">
        <v>25</v>
      </c>
      <c r="L449">
        <v>0</v>
      </c>
      <c r="M449">
        <v>1.76</v>
      </c>
      <c r="N449">
        <v>0</v>
      </c>
      <c r="O449">
        <v>29.82</v>
      </c>
      <c r="P449">
        <v>31.581299999999999</v>
      </c>
    </row>
    <row r="450" spans="1:16" hidden="1" x14ac:dyDescent="0.25">
      <c r="A450" s="22">
        <v>43573</v>
      </c>
      <c r="B450" t="s">
        <v>56</v>
      </c>
      <c r="C450" t="s">
        <v>17</v>
      </c>
      <c r="D450">
        <v>50</v>
      </c>
      <c r="E450">
        <v>976.4</v>
      </c>
      <c r="F450">
        <v>48820</v>
      </c>
      <c r="G450" t="s">
        <v>1291</v>
      </c>
      <c r="H450">
        <v>2019075</v>
      </c>
      <c r="I450" t="s">
        <v>19</v>
      </c>
      <c r="J450" t="s">
        <v>20</v>
      </c>
      <c r="K450" t="s">
        <v>25</v>
      </c>
      <c r="L450">
        <v>0</v>
      </c>
      <c r="M450">
        <v>1.76</v>
      </c>
      <c r="N450">
        <v>0</v>
      </c>
      <c r="O450">
        <v>29.82</v>
      </c>
      <c r="P450">
        <v>31.577500000000001</v>
      </c>
    </row>
    <row r="451" spans="1:16" hidden="1" x14ac:dyDescent="0.25">
      <c r="A451" s="22">
        <v>43573</v>
      </c>
      <c r="B451" t="s">
        <v>56</v>
      </c>
      <c r="C451" t="s">
        <v>17</v>
      </c>
      <c r="D451">
        <v>200</v>
      </c>
      <c r="E451">
        <v>979</v>
      </c>
      <c r="F451">
        <v>195800</v>
      </c>
      <c r="G451" t="s">
        <v>1292</v>
      </c>
      <c r="H451">
        <v>2019075</v>
      </c>
      <c r="I451" t="s">
        <v>19</v>
      </c>
      <c r="J451" t="s">
        <v>20</v>
      </c>
      <c r="K451" t="s">
        <v>25</v>
      </c>
      <c r="L451">
        <v>0</v>
      </c>
      <c r="M451">
        <v>7.05</v>
      </c>
      <c r="N451">
        <v>0</v>
      </c>
      <c r="O451">
        <v>116.79</v>
      </c>
      <c r="P451">
        <v>123.83880000000001</v>
      </c>
    </row>
    <row r="452" spans="1:16" hidden="1" x14ac:dyDescent="0.25">
      <c r="A452" s="22">
        <v>43573</v>
      </c>
      <c r="B452" t="s">
        <v>56</v>
      </c>
      <c r="C452" t="s">
        <v>17</v>
      </c>
      <c r="D452">
        <v>1000</v>
      </c>
      <c r="E452">
        <v>974</v>
      </c>
      <c r="F452">
        <v>974000</v>
      </c>
      <c r="G452" t="s">
        <v>1293</v>
      </c>
      <c r="H452">
        <v>2019075</v>
      </c>
      <c r="I452" t="s">
        <v>19</v>
      </c>
      <c r="J452" t="s">
        <v>20</v>
      </c>
      <c r="K452" t="s">
        <v>25</v>
      </c>
      <c r="L452">
        <v>0</v>
      </c>
      <c r="M452">
        <v>35.06</v>
      </c>
      <c r="N452">
        <v>0</v>
      </c>
      <c r="O452">
        <v>580.97</v>
      </c>
      <c r="P452">
        <v>616.03420000000006</v>
      </c>
    </row>
    <row r="453" spans="1:16" hidden="1" x14ac:dyDescent="0.25">
      <c r="A453" s="22">
        <v>43573</v>
      </c>
      <c r="B453" t="s">
        <v>56</v>
      </c>
      <c r="C453" t="s">
        <v>23</v>
      </c>
      <c r="D453">
        <v>1250</v>
      </c>
      <c r="E453">
        <v>962.11</v>
      </c>
      <c r="F453">
        <v>1202633.6499999999</v>
      </c>
      <c r="G453" t="s">
        <v>1294</v>
      </c>
      <c r="H453">
        <v>2019075</v>
      </c>
      <c r="I453" t="s">
        <v>19</v>
      </c>
      <c r="J453" t="s">
        <v>20</v>
      </c>
      <c r="K453" t="s">
        <v>25</v>
      </c>
      <c r="L453">
        <v>302.52999999999997</v>
      </c>
      <c r="M453">
        <v>43.29</v>
      </c>
      <c r="N453">
        <v>84.6</v>
      </c>
      <c r="O453">
        <v>717.35</v>
      </c>
      <c r="P453">
        <v>1147.7748999999999</v>
      </c>
    </row>
    <row r="454" spans="1:16" hidden="1" x14ac:dyDescent="0.25">
      <c r="A454" s="22">
        <v>43571</v>
      </c>
      <c r="B454" t="s">
        <v>379</v>
      </c>
      <c r="C454" t="s">
        <v>23</v>
      </c>
      <c r="D454">
        <v>1872</v>
      </c>
      <c r="E454">
        <v>158.75</v>
      </c>
      <c r="F454">
        <v>297180</v>
      </c>
      <c r="G454" t="s">
        <v>1295</v>
      </c>
      <c r="H454">
        <v>201920014</v>
      </c>
      <c r="I454" t="s">
        <v>19</v>
      </c>
      <c r="J454" t="s">
        <v>20</v>
      </c>
      <c r="K454" t="s">
        <v>21</v>
      </c>
      <c r="L454">
        <v>74</v>
      </c>
      <c r="M454">
        <v>8.82</v>
      </c>
      <c r="N454">
        <v>0</v>
      </c>
      <c r="O454">
        <v>176.97</v>
      </c>
      <c r="P454">
        <v>259.791</v>
      </c>
    </row>
    <row r="455" spans="1:16" hidden="1" x14ac:dyDescent="0.25">
      <c r="A455" s="22">
        <v>43571</v>
      </c>
      <c r="B455" t="s">
        <v>379</v>
      </c>
      <c r="C455" t="s">
        <v>17</v>
      </c>
      <c r="D455">
        <v>1238</v>
      </c>
      <c r="E455">
        <v>158.04</v>
      </c>
      <c r="F455">
        <v>195651</v>
      </c>
      <c r="G455" t="s">
        <v>1296</v>
      </c>
      <c r="H455">
        <v>201920014</v>
      </c>
      <c r="I455" t="s">
        <v>19</v>
      </c>
      <c r="J455" t="s">
        <v>20</v>
      </c>
      <c r="K455" t="s">
        <v>21</v>
      </c>
      <c r="L455">
        <v>0</v>
      </c>
      <c r="M455">
        <v>5.56</v>
      </c>
      <c r="N455">
        <v>18</v>
      </c>
      <c r="O455">
        <v>116.44</v>
      </c>
      <c r="P455">
        <v>139.9983</v>
      </c>
    </row>
    <row r="456" spans="1:16" hidden="1" x14ac:dyDescent="0.25">
      <c r="A456" s="22">
        <v>43571</v>
      </c>
      <c r="B456" t="s">
        <v>379</v>
      </c>
      <c r="C456" t="s">
        <v>17</v>
      </c>
      <c r="D456">
        <v>634</v>
      </c>
      <c r="E456">
        <v>158.80000000000001</v>
      </c>
      <c r="F456">
        <v>100681.4</v>
      </c>
      <c r="G456" t="s">
        <v>1297</v>
      </c>
      <c r="H456">
        <v>201920014</v>
      </c>
      <c r="I456" t="s">
        <v>19</v>
      </c>
      <c r="J456" t="s">
        <v>20</v>
      </c>
      <c r="K456" t="s">
        <v>21</v>
      </c>
      <c r="L456">
        <v>0</v>
      </c>
      <c r="M456">
        <v>2.88</v>
      </c>
      <c r="N456">
        <v>0</v>
      </c>
      <c r="O456">
        <v>59.92</v>
      </c>
      <c r="P456">
        <v>62.799100000000003</v>
      </c>
    </row>
    <row r="457" spans="1:16" hidden="1" x14ac:dyDescent="0.25">
      <c r="A457" s="22">
        <v>43571</v>
      </c>
      <c r="B457" t="s">
        <v>379</v>
      </c>
      <c r="C457" t="s">
        <v>17</v>
      </c>
      <c r="D457">
        <v>100</v>
      </c>
      <c r="E457">
        <v>162</v>
      </c>
      <c r="F457">
        <v>16200</v>
      </c>
      <c r="G457" t="s">
        <v>1298</v>
      </c>
      <c r="H457">
        <v>2019074</v>
      </c>
      <c r="I457" t="s">
        <v>19</v>
      </c>
      <c r="J457" t="s">
        <v>20</v>
      </c>
      <c r="K457" t="s">
        <v>25</v>
      </c>
      <c r="L457">
        <v>0</v>
      </c>
      <c r="M457">
        <v>0.57999999999999996</v>
      </c>
      <c r="N457">
        <v>3.9</v>
      </c>
      <c r="O457">
        <v>29.61</v>
      </c>
      <c r="P457">
        <v>34.093200000000003</v>
      </c>
    </row>
    <row r="458" spans="1:16" hidden="1" x14ac:dyDescent="0.25">
      <c r="A458" s="22">
        <v>43571</v>
      </c>
      <c r="B458" t="s">
        <v>379</v>
      </c>
      <c r="C458" t="s">
        <v>17</v>
      </c>
      <c r="D458">
        <v>200</v>
      </c>
      <c r="E458">
        <v>159</v>
      </c>
      <c r="F458">
        <v>31800</v>
      </c>
      <c r="G458" t="s">
        <v>1299</v>
      </c>
      <c r="H458">
        <v>2019074</v>
      </c>
      <c r="I458" t="s">
        <v>19</v>
      </c>
      <c r="J458" t="s">
        <v>20</v>
      </c>
      <c r="K458" t="s">
        <v>25</v>
      </c>
      <c r="L458">
        <v>0</v>
      </c>
      <c r="M458">
        <v>1.1399999999999999</v>
      </c>
      <c r="N458">
        <v>0</v>
      </c>
      <c r="O458">
        <v>29.71</v>
      </c>
      <c r="P458">
        <v>30.854800000000001</v>
      </c>
    </row>
    <row r="459" spans="1:16" hidden="1" x14ac:dyDescent="0.25">
      <c r="A459" s="22">
        <v>43571</v>
      </c>
      <c r="B459" t="s">
        <v>379</v>
      </c>
      <c r="C459" t="s">
        <v>17</v>
      </c>
      <c r="D459">
        <v>100</v>
      </c>
      <c r="E459">
        <v>158</v>
      </c>
      <c r="F459">
        <v>15800</v>
      </c>
      <c r="G459" t="s">
        <v>1300</v>
      </c>
      <c r="H459">
        <v>2019074</v>
      </c>
      <c r="I459" t="s">
        <v>19</v>
      </c>
      <c r="J459" t="s">
        <v>20</v>
      </c>
      <c r="K459" t="s">
        <v>25</v>
      </c>
      <c r="L459">
        <v>0</v>
      </c>
      <c r="M459">
        <v>0.56999999999999995</v>
      </c>
      <c r="N459">
        <v>0</v>
      </c>
      <c r="O459">
        <v>29.6</v>
      </c>
      <c r="P459">
        <v>30.168800000000001</v>
      </c>
    </row>
    <row r="460" spans="1:16" hidden="1" x14ac:dyDescent="0.25">
      <c r="A460" s="22">
        <v>43571</v>
      </c>
      <c r="B460" t="s">
        <v>379</v>
      </c>
      <c r="C460" t="s">
        <v>23</v>
      </c>
      <c r="D460">
        <v>400</v>
      </c>
      <c r="E460">
        <v>158.69999999999999</v>
      </c>
      <c r="F460">
        <v>63480</v>
      </c>
      <c r="G460" t="s">
        <v>1301</v>
      </c>
      <c r="H460">
        <v>2019074</v>
      </c>
      <c r="I460" t="s">
        <v>19</v>
      </c>
      <c r="J460" t="s">
        <v>20</v>
      </c>
      <c r="K460" t="s">
        <v>25</v>
      </c>
      <c r="L460">
        <v>16</v>
      </c>
      <c r="M460">
        <v>2.29</v>
      </c>
      <c r="N460">
        <v>0</v>
      </c>
      <c r="O460">
        <v>37.86</v>
      </c>
      <c r="P460">
        <v>56.145299999999999</v>
      </c>
    </row>
    <row r="461" spans="1:16" hidden="1" x14ac:dyDescent="0.25">
      <c r="A461" s="22">
        <v>43570</v>
      </c>
      <c r="B461" t="s">
        <v>379</v>
      </c>
      <c r="C461" t="s">
        <v>23</v>
      </c>
      <c r="D461">
        <v>100</v>
      </c>
      <c r="E461">
        <v>164.95</v>
      </c>
      <c r="F461">
        <v>16495</v>
      </c>
      <c r="G461" t="s">
        <v>1302</v>
      </c>
      <c r="H461">
        <v>2019073</v>
      </c>
      <c r="I461" t="s">
        <v>19</v>
      </c>
      <c r="J461" t="s">
        <v>20</v>
      </c>
      <c r="K461" t="s">
        <v>25</v>
      </c>
      <c r="L461">
        <v>4.13</v>
      </c>
      <c r="M461">
        <v>0.59</v>
      </c>
      <c r="N461">
        <v>0</v>
      </c>
      <c r="O461">
        <v>29.61</v>
      </c>
      <c r="P461">
        <v>34.333799999999997</v>
      </c>
    </row>
    <row r="462" spans="1:16" hidden="1" x14ac:dyDescent="0.25">
      <c r="A462" s="22">
        <v>43570</v>
      </c>
      <c r="B462" t="s">
        <v>379</v>
      </c>
      <c r="C462" t="s">
        <v>23</v>
      </c>
      <c r="D462">
        <v>500</v>
      </c>
      <c r="E462">
        <v>165.5</v>
      </c>
      <c r="F462">
        <v>82750</v>
      </c>
      <c r="G462" t="s">
        <v>1303</v>
      </c>
      <c r="H462">
        <v>2019073</v>
      </c>
      <c r="I462" t="s">
        <v>19</v>
      </c>
      <c r="J462" t="s">
        <v>20</v>
      </c>
      <c r="K462" t="s">
        <v>25</v>
      </c>
      <c r="L462">
        <v>20.63</v>
      </c>
      <c r="M462">
        <v>2.98</v>
      </c>
      <c r="N462">
        <v>0</v>
      </c>
      <c r="O462">
        <v>49.36</v>
      </c>
      <c r="P462">
        <v>72.969099999999997</v>
      </c>
    </row>
    <row r="463" spans="1:16" hidden="1" x14ac:dyDescent="0.25">
      <c r="A463" s="22">
        <v>43570</v>
      </c>
      <c r="B463" t="s">
        <v>379</v>
      </c>
      <c r="C463" t="s">
        <v>17</v>
      </c>
      <c r="D463">
        <v>850</v>
      </c>
      <c r="E463">
        <v>164.5</v>
      </c>
      <c r="F463">
        <v>139825</v>
      </c>
      <c r="G463" t="s">
        <v>1304</v>
      </c>
      <c r="H463">
        <v>2019073</v>
      </c>
      <c r="I463" t="s">
        <v>19</v>
      </c>
      <c r="J463" t="s">
        <v>20</v>
      </c>
      <c r="K463" t="s">
        <v>25</v>
      </c>
      <c r="L463">
        <v>0</v>
      </c>
      <c r="M463">
        <v>5.03</v>
      </c>
      <c r="N463">
        <v>8.6999999999999993</v>
      </c>
      <c r="O463">
        <v>83.4</v>
      </c>
      <c r="P463">
        <v>97.133799999999994</v>
      </c>
    </row>
    <row r="464" spans="1:16" hidden="1" x14ac:dyDescent="0.25">
      <c r="A464" s="22">
        <v>43570</v>
      </c>
      <c r="B464" t="s">
        <v>379</v>
      </c>
      <c r="C464" t="s">
        <v>23</v>
      </c>
      <c r="D464">
        <v>250</v>
      </c>
      <c r="E464">
        <v>166</v>
      </c>
      <c r="F464">
        <v>41500</v>
      </c>
      <c r="G464" t="s">
        <v>1305</v>
      </c>
      <c r="H464">
        <v>2019073</v>
      </c>
      <c r="I464" t="s">
        <v>19</v>
      </c>
      <c r="J464" t="s">
        <v>20</v>
      </c>
      <c r="K464" t="s">
        <v>25</v>
      </c>
      <c r="L464">
        <v>10.24</v>
      </c>
      <c r="M464">
        <v>1.49</v>
      </c>
      <c r="N464">
        <v>0</v>
      </c>
      <c r="O464">
        <v>29.77</v>
      </c>
      <c r="P464">
        <v>41.503999999999998</v>
      </c>
    </row>
    <row r="465" spans="1:16" hidden="1" x14ac:dyDescent="0.25">
      <c r="A465" s="22">
        <v>43567</v>
      </c>
      <c r="B465" t="s">
        <v>379</v>
      </c>
      <c r="C465" t="s">
        <v>23</v>
      </c>
      <c r="D465">
        <v>1000</v>
      </c>
      <c r="E465">
        <v>162</v>
      </c>
      <c r="F465">
        <v>162000</v>
      </c>
      <c r="G465" t="s">
        <v>1306</v>
      </c>
      <c r="H465">
        <v>2019072</v>
      </c>
      <c r="I465" t="s">
        <v>19</v>
      </c>
      <c r="J465" t="s">
        <v>20</v>
      </c>
      <c r="K465" t="s">
        <v>25</v>
      </c>
      <c r="L465">
        <v>40.68</v>
      </c>
      <c r="M465">
        <v>5.83</v>
      </c>
      <c r="N465">
        <v>0</v>
      </c>
      <c r="O465">
        <v>96.63</v>
      </c>
      <c r="P465">
        <v>143.142</v>
      </c>
    </row>
    <row r="466" spans="1:16" hidden="1" x14ac:dyDescent="0.25">
      <c r="A466" s="22">
        <v>43567</v>
      </c>
      <c r="B466" t="s">
        <v>379</v>
      </c>
      <c r="C466" t="s">
        <v>23</v>
      </c>
      <c r="D466">
        <v>100</v>
      </c>
      <c r="E466">
        <v>159.65</v>
      </c>
      <c r="F466">
        <v>15964.75</v>
      </c>
      <c r="G466" t="s">
        <v>1307</v>
      </c>
      <c r="H466">
        <v>2019072</v>
      </c>
      <c r="I466" t="s">
        <v>19</v>
      </c>
      <c r="J466" t="s">
        <v>20</v>
      </c>
      <c r="K466" t="s">
        <v>25</v>
      </c>
      <c r="L466">
        <v>4.07</v>
      </c>
      <c r="M466">
        <v>0.56999999999999995</v>
      </c>
      <c r="N466">
        <v>0</v>
      </c>
      <c r="O466">
        <v>29.6</v>
      </c>
      <c r="P466">
        <v>34.244700000000002</v>
      </c>
    </row>
    <row r="467" spans="1:16" hidden="1" x14ac:dyDescent="0.25">
      <c r="A467" s="22">
        <v>43567</v>
      </c>
      <c r="B467" t="s">
        <v>379</v>
      </c>
      <c r="C467" t="s">
        <v>17</v>
      </c>
      <c r="D467">
        <v>3250</v>
      </c>
      <c r="E467">
        <v>162.5</v>
      </c>
      <c r="F467">
        <v>528125</v>
      </c>
      <c r="G467" t="s">
        <v>1308</v>
      </c>
      <c r="H467">
        <v>2019072</v>
      </c>
      <c r="I467" t="s">
        <v>19</v>
      </c>
      <c r="J467" t="s">
        <v>20</v>
      </c>
      <c r="K467" t="s">
        <v>25</v>
      </c>
      <c r="L467">
        <v>0</v>
      </c>
      <c r="M467">
        <v>19.010000000000002</v>
      </c>
      <c r="N467">
        <v>0</v>
      </c>
      <c r="O467">
        <v>315.02999999999997</v>
      </c>
      <c r="P467">
        <v>334.04309999999998</v>
      </c>
    </row>
    <row r="468" spans="1:16" hidden="1" x14ac:dyDescent="0.25">
      <c r="A468" s="22">
        <v>43567</v>
      </c>
      <c r="B468" t="s">
        <v>379</v>
      </c>
      <c r="C468" t="s">
        <v>23</v>
      </c>
      <c r="D468">
        <v>150</v>
      </c>
      <c r="E468">
        <v>160.5</v>
      </c>
      <c r="F468">
        <v>24075</v>
      </c>
      <c r="G468" t="s">
        <v>1309</v>
      </c>
      <c r="H468">
        <v>2019072</v>
      </c>
      <c r="I468" t="s">
        <v>19</v>
      </c>
      <c r="J468" t="s">
        <v>20</v>
      </c>
      <c r="K468" t="s">
        <v>25</v>
      </c>
      <c r="L468">
        <v>6.1</v>
      </c>
      <c r="M468">
        <v>0.87</v>
      </c>
      <c r="N468">
        <v>0</v>
      </c>
      <c r="O468">
        <v>29.66</v>
      </c>
      <c r="P468">
        <v>36.6267</v>
      </c>
    </row>
    <row r="469" spans="1:16" hidden="1" x14ac:dyDescent="0.25">
      <c r="A469" s="22">
        <v>43567</v>
      </c>
      <c r="B469" t="s">
        <v>379</v>
      </c>
      <c r="C469" t="s">
        <v>23</v>
      </c>
      <c r="D469">
        <v>2000</v>
      </c>
      <c r="E469">
        <v>163.72999999999999</v>
      </c>
      <c r="F469">
        <v>327465</v>
      </c>
      <c r="G469" t="s">
        <v>1310</v>
      </c>
      <c r="H469">
        <v>2019072</v>
      </c>
      <c r="I469" t="s">
        <v>19</v>
      </c>
      <c r="J469" t="s">
        <v>20</v>
      </c>
      <c r="K469" t="s">
        <v>25</v>
      </c>
      <c r="L469">
        <v>81.36</v>
      </c>
      <c r="M469">
        <v>11.79</v>
      </c>
      <c r="N469">
        <v>0</v>
      </c>
      <c r="O469">
        <v>195.32</v>
      </c>
      <c r="P469">
        <v>288.46899999999999</v>
      </c>
    </row>
    <row r="470" spans="1:16" hidden="1" x14ac:dyDescent="0.25">
      <c r="A470" s="22">
        <v>43567</v>
      </c>
      <c r="B470" t="s">
        <v>981</v>
      </c>
      <c r="C470" t="s">
        <v>17</v>
      </c>
      <c r="D470">
        <v>10</v>
      </c>
      <c r="E470">
        <v>155.55000000000001</v>
      </c>
      <c r="F470">
        <v>1555.5</v>
      </c>
      <c r="G470" t="s">
        <v>1311</v>
      </c>
      <c r="H470">
        <v>2019072</v>
      </c>
      <c r="I470" t="s">
        <v>19</v>
      </c>
      <c r="J470" t="s">
        <v>1526</v>
      </c>
      <c r="K470" t="s">
        <v>25</v>
      </c>
      <c r="L470">
        <v>1.8</v>
      </c>
      <c r="M470">
        <v>0.06</v>
      </c>
      <c r="N470">
        <v>31.8</v>
      </c>
      <c r="O470">
        <v>41.31</v>
      </c>
      <c r="P470">
        <v>74.965999999999994</v>
      </c>
    </row>
    <row r="471" spans="1:16" hidden="1" x14ac:dyDescent="0.25">
      <c r="A471" s="22">
        <v>43566</v>
      </c>
      <c r="B471" t="s">
        <v>862</v>
      </c>
      <c r="C471" t="s">
        <v>23</v>
      </c>
      <c r="D471">
        <v>100</v>
      </c>
      <c r="E471">
        <v>283</v>
      </c>
      <c r="F471">
        <v>28300</v>
      </c>
      <c r="G471" t="s">
        <v>1312</v>
      </c>
      <c r="H471">
        <v>2019071</v>
      </c>
      <c r="I471" t="s">
        <v>19</v>
      </c>
      <c r="J471" t="s">
        <v>20</v>
      </c>
      <c r="K471" t="s">
        <v>25</v>
      </c>
      <c r="L471">
        <v>6.98</v>
      </c>
      <c r="M471">
        <v>1.02</v>
      </c>
      <c r="N471">
        <v>0</v>
      </c>
      <c r="O471">
        <v>29.69</v>
      </c>
      <c r="P471">
        <v>37.688800000000001</v>
      </c>
    </row>
    <row r="472" spans="1:16" hidden="1" x14ac:dyDescent="0.25">
      <c r="A472" s="22">
        <v>43566</v>
      </c>
      <c r="B472" t="s">
        <v>862</v>
      </c>
      <c r="C472" t="s">
        <v>17</v>
      </c>
      <c r="D472">
        <v>100</v>
      </c>
      <c r="E472">
        <v>278.5</v>
      </c>
      <c r="F472">
        <v>27850</v>
      </c>
      <c r="G472" t="s">
        <v>1313</v>
      </c>
      <c r="H472">
        <v>2019071</v>
      </c>
      <c r="I472" t="s">
        <v>19</v>
      </c>
      <c r="J472" t="s">
        <v>20</v>
      </c>
      <c r="K472" t="s">
        <v>25</v>
      </c>
      <c r="L472">
        <v>0</v>
      </c>
      <c r="M472">
        <v>1</v>
      </c>
      <c r="N472">
        <v>11.1</v>
      </c>
      <c r="O472">
        <v>29.68</v>
      </c>
      <c r="P472">
        <v>41.782600000000002</v>
      </c>
    </row>
    <row r="473" spans="1:16" hidden="1" x14ac:dyDescent="0.25">
      <c r="A473" s="22">
        <v>43566</v>
      </c>
      <c r="B473" t="s">
        <v>862</v>
      </c>
      <c r="C473" t="s">
        <v>17</v>
      </c>
      <c r="D473">
        <v>552</v>
      </c>
      <c r="E473">
        <v>278</v>
      </c>
      <c r="F473">
        <v>153454.75</v>
      </c>
      <c r="G473" t="s">
        <v>1314</v>
      </c>
      <c r="H473">
        <v>2019071</v>
      </c>
      <c r="I473" t="s">
        <v>19</v>
      </c>
      <c r="J473" t="s">
        <v>20</v>
      </c>
      <c r="K473" t="s">
        <v>25</v>
      </c>
      <c r="L473">
        <v>0</v>
      </c>
      <c r="M473">
        <v>5.52</v>
      </c>
      <c r="N473">
        <v>0</v>
      </c>
      <c r="O473">
        <v>91.53</v>
      </c>
      <c r="P473">
        <v>97.054299999999998</v>
      </c>
    </row>
    <row r="474" spans="1:16" hidden="1" x14ac:dyDescent="0.25">
      <c r="A474" s="22">
        <v>43566</v>
      </c>
      <c r="B474" t="s">
        <v>862</v>
      </c>
      <c r="C474" t="s">
        <v>23</v>
      </c>
      <c r="D474">
        <v>552</v>
      </c>
      <c r="E474">
        <v>280</v>
      </c>
      <c r="F474">
        <v>154560</v>
      </c>
      <c r="G474" t="s">
        <v>1315</v>
      </c>
      <c r="H474">
        <v>2019071</v>
      </c>
      <c r="I474" t="s">
        <v>19</v>
      </c>
      <c r="J474" t="s">
        <v>20</v>
      </c>
      <c r="K474" t="s">
        <v>25</v>
      </c>
      <c r="L474">
        <v>39.020000000000003</v>
      </c>
      <c r="M474">
        <v>5.56</v>
      </c>
      <c r="N474">
        <v>0</v>
      </c>
      <c r="O474">
        <v>92.19</v>
      </c>
      <c r="P474">
        <v>136.77420000000001</v>
      </c>
    </row>
    <row r="475" spans="1:16" hidden="1" x14ac:dyDescent="0.25">
      <c r="A475" s="22">
        <v>43560</v>
      </c>
      <c r="B475" t="s">
        <v>205</v>
      </c>
      <c r="C475" t="s">
        <v>17</v>
      </c>
      <c r="D475">
        <v>100</v>
      </c>
      <c r="E475">
        <v>19</v>
      </c>
      <c r="F475">
        <v>1900</v>
      </c>
      <c r="G475" t="s">
        <v>1014</v>
      </c>
      <c r="H475">
        <v>2019067</v>
      </c>
      <c r="I475" t="s">
        <v>19</v>
      </c>
      <c r="J475" t="s">
        <v>20</v>
      </c>
      <c r="K475" t="s">
        <v>25</v>
      </c>
      <c r="L475">
        <v>2</v>
      </c>
      <c r="M475">
        <v>7.0000000000000007E-2</v>
      </c>
      <c r="N475">
        <v>0.3</v>
      </c>
      <c r="O475">
        <v>41.31</v>
      </c>
      <c r="P475">
        <v>43.678400000000003</v>
      </c>
    </row>
    <row r="476" spans="1:16" hidden="1" x14ac:dyDescent="0.25">
      <c r="A476" s="22">
        <v>43559</v>
      </c>
      <c r="B476" t="s">
        <v>397</v>
      </c>
      <c r="C476" t="s">
        <v>17</v>
      </c>
      <c r="D476">
        <v>500</v>
      </c>
      <c r="E476">
        <v>252.59</v>
      </c>
      <c r="F476">
        <v>126296.65</v>
      </c>
      <c r="G476" t="s">
        <v>1015</v>
      </c>
      <c r="H476">
        <v>2019066</v>
      </c>
      <c r="I476" t="s">
        <v>19</v>
      </c>
      <c r="J476" t="s">
        <v>20</v>
      </c>
      <c r="K476" t="s">
        <v>25</v>
      </c>
      <c r="L476">
        <v>0</v>
      </c>
      <c r="M476">
        <v>4.55</v>
      </c>
      <c r="N476">
        <v>27.9</v>
      </c>
      <c r="O476">
        <v>75.34</v>
      </c>
      <c r="P476">
        <v>107.78660000000001</v>
      </c>
    </row>
    <row r="477" spans="1:16" hidden="1" x14ac:dyDescent="0.25">
      <c r="A477" s="22">
        <v>43559</v>
      </c>
      <c r="B477" t="s">
        <v>862</v>
      </c>
      <c r="C477" t="s">
        <v>23</v>
      </c>
      <c r="D477">
        <v>1000</v>
      </c>
      <c r="E477">
        <v>286</v>
      </c>
      <c r="F477">
        <v>286000</v>
      </c>
      <c r="G477" t="s">
        <v>1016</v>
      </c>
      <c r="H477">
        <v>2019066</v>
      </c>
      <c r="I477" t="s">
        <v>19</v>
      </c>
      <c r="J477" t="s">
        <v>20</v>
      </c>
      <c r="K477" t="s">
        <v>25</v>
      </c>
      <c r="L477">
        <v>71.33</v>
      </c>
      <c r="M477">
        <v>10.3</v>
      </c>
      <c r="N477">
        <v>0</v>
      </c>
      <c r="O477">
        <v>170.59</v>
      </c>
      <c r="P477">
        <v>252.21600000000001</v>
      </c>
    </row>
    <row r="478" spans="1:16" hidden="1" x14ac:dyDescent="0.25">
      <c r="A478" s="22">
        <v>43559</v>
      </c>
      <c r="B478" t="s">
        <v>862</v>
      </c>
      <c r="C478" t="s">
        <v>17</v>
      </c>
      <c r="D478">
        <v>1000</v>
      </c>
      <c r="E478">
        <v>285</v>
      </c>
      <c r="F478">
        <v>285000</v>
      </c>
      <c r="G478" t="s">
        <v>1017</v>
      </c>
      <c r="H478">
        <v>2019066</v>
      </c>
      <c r="I478" t="s">
        <v>19</v>
      </c>
      <c r="J478" t="s">
        <v>20</v>
      </c>
      <c r="K478" t="s">
        <v>25</v>
      </c>
      <c r="L478">
        <v>0</v>
      </c>
      <c r="M478">
        <v>10.26</v>
      </c>
      <c r="N478">
        <v>0</v>
      </c>
      <c r="O478">
        <v>170</v>
      </c>
      <c r="P478">
        <v>180.26070000000001</v>
      </c>
    </row>
    <row r="479" spans="1:16" hidden="1" x14ac:dyDescent="0.25">
      <c r="A479" s="22">
        <v>43559</v>
      </c>
      <c r="B479" t="s">
        <v>397</v>
      </c>
      <c r="C479" t="s">
        <v>17</v>
      </c>
      <c r="D479">
        <v>100</v>
      </c>
      <c r="E479">
        <v>248.59</v>
      </c>
      <c r="F479">
        <v>24858.85</v>
      </c>
      <c r="G479" t="s">
        <v>1018</v>
      </c>
      <c r="H479">
        <v>2019066</v>
      </c>
      <c r="I479" t="s">
        <v>19</v>
      </c>
      <c r="J479" t="s">
        <v>20</v>
      </c>
      <c r="K479" t="s">
        <v>25</v>
      </c>
      <c r="L479">
        <v>0</v>
      </c>
      <c r="M479">
        <v>0.9</v>
      </c>
      <c r="N479">
        <v>0</v>
      </c>
      <c r="O479">
        <v>29.67</v>
      </c>
      <c r="P479">
        <v>30.565000000000001</v>
      </c>
    </row>
    <row r="480" spans="1:16" hidden="1" x14ac:dyDescent="0.25">
      <c r="A480" s="22">
        <v>43559</v>
      </c>
      <c r="B480" t="s">
        <v>397</v>
      </c>
      <c r="C480" t="s">
        <v>17</v>
      </c>
      <c r="D480">
        <v>100</v>
      </c>
      <c r="E480">
        <v>248.39</v>
      </c>
      <c r="F480">
        <v>24839.05</v>
      </c>
      <c r="G480" t="s">
        <v>1019</v>
      </c>
      <c r="H480">
        <v>2019066</v>
      </c>
      <c r="I480" t="s">
        <v>19</v>
      </c>
      <c r="J480" t="s">
        <v>20</v>
      </c>
      <c r="K480" t="s">
        <v>25</v>
      </c>
      <c r="L480">
        <v>0</v>
      </c>
      <c r="M480">
        <v>0.89</v>
      </c>
      <c r="N480">
        <v>0</v>
      </c>
      <c r="O480">
        <v>29.67</v>
      </c>
      <c r="P480">
        <v>30.5642</v>
      </c>
    </row>
    <row r="481" spans="1:16" hidden="1" x14ac:dyDescent="0.25">
      <c r="A481" s="22">
        <v>43559</v>
      </c>
      <c r="B481" t="s">
        <v>397</v>
      </c>
      <c r="C481" t="s">
        <v>23</v>
      </c>
      <c r="D481">
        <v>700</v>
      </c>
      <c r="E481">
        <v>247.65</v>
      </c>
      <c r="F481">
        <v>173354.75</v>
      </c>
      <c r="G481" t="s">
        <v>1020</v>
      </c>
      <c r="H481">
        <v>2019066</v>
      </c>
      <c r="I481" t="s">
        <v>19</v>
      </c>
      <c r="J481" t="s">
        <v>20</v>
      </c>
      <c r="K481" t="s">
        <v>25</v>
      </c>
      <c r="L481">
        <v>43.67</v>
      </c>
      <c r="M481">
        <v>6.24</v>
      </c>
      <c r="N481">
        <v>0</v>
      </c>
      <c r="O481">
        <v>103.41</v>
      </c>
      <c r="P481">
        <v>153.32079999999999</v>
      </c>
    </row>
    <row r="482" spans="1:16" hidden="1" x14ac:dyDescent="0.25">
      <c r="A482" s="22">
        <v>43558</v>
      </c>
      <c r="B482" t="s">
        <v>849</v>
      </c>
      <c r="C482" t="s">
        <v>17</v>
      </c>
      <c r="D482">
        <v>100</v>
      </c>
      <c r="E482">
        <v>256.5</v>
      </c>
      <c r="F482">
        <v>25649.95</v>
      </c>
      <c r="G482" t="s">
        <v>964</v>
      </c>
      <c r="H482">
        <v>2019065</v>
      </c>
      <c r="I482" t="s">
        <v>19</v>
      </c>
      <c r="J482" t="s">
        <v>20</v>
      </c>
      <c r="K482" t="s">
        <v>25</v>
      </c>
      <c r="L482">
        <v>0</v>
      </c>
      <c r="M482">
        <v>0.94</v>
      </c>
      <c r="N482">
        <v>0</v>
      </c>
      <c r="O482">
        <v>29.67</v>
      </c>
      <c r="P482">
        <v>30.606300000000001</v>
      </c>
    </row>
    <row r="483" spans="1:16" hidden="1" x14ac:dyDescent="0.25">
      <c r="A483" s="22">
        <v>43558</v>
      </c>
      <c r="B483" t="s">
        <v>849</v>
      </c>
      <c r="C483" t="s">
        <v>23</v>
      </c>
      <c r="D483">
        <v>100</v>
      </c>
      <c r="E483">
        <v>261</v>
      </c>
      <c r="F483">
        <v>26100</v>
      </c>
      <c r="G483" t="s">
        <v>965</v>
      </c>
      <c r="H483">
        <v>2019065</v>
      </c>
      <c r="I483" t="s">
        <v>19</v>
      </c>
      <c r="J483" t="s">
        <v>20</v>
      </c>
      <c r="K483" t="s">
        <v>25</v>
      </c>
      <c r="L483">
        <v>5.95</v>
      </c>
      <c r="M483">
        <v>0.95</v>
      </c>
      <c r="N483">
        <v>29.1</v>
      </c>
      <c r="O483">
        <v>29.67</v>
      </c>
      <c r="P483">
        <v>65.672700000000006</v>
      </c>
    </row>
    <row r="484" spans="1:16" hidden="1" x14ac:dyDescent="0.25">
      <c r="A484" s="22">
        <v>43558</v>
      </c>
      <c r="B484" t="s">
        <v>738</v>
      </c>
      <c r="C484" t="s">
        <v>17</v>
      </c>
      <c r="D484">
        <v>500</v>
      </c>
      <c r="E484">
        <v>397</v>
      </c>
      <c r="F484">
        <v>198500</v>
      </c>
      <c r="G484" t="s">
        <v>966</v>
      </c>
      <c r="H484">
        <v>2019065</v>
      </c>
      <c r="I484" t="s">
        <v>19</v>
      </c>
      <c r="J484" t="s">
        <v>20</v>
      </c>
      <c r="K484" t="s">
        <v>25</v>
      </c>
      <c r="L484">
        <v>0</v>
      </c>
      <c r="M484">
        <v>7.25</v>
      </c>
      <c r="N484">
        <v>0</v>
      </c>
      <c r="O484">
        <v>118.42</v>
      </c>
      <c r="P484">
        <v>125.6652</v>
      </c>
    </row>
    <row r="485" spans="1:16" hidden="1" x14ac:dyDescent="0.25">
      <c r="A485" s="22">
        <v>43558</v>
      </c>
      <c r="B485" t="s">
        <v>849</v>
      </c>
      <c r="C485" t="s">
        <v>17</v>
      </c>
      <c r="D485">
        <v>250</v>
      </c>
      <c r="E485">
        <v>249</v>
      </c>
      <c r="F485">
        <v>62250</v>
      </c>
      <c r="G485" t="s">
        <v>967</v>
      </c>
      <c r="H485">
        <v>2019065</v>
      </c>
      <c r="I485" t="s">
        <v>19</v>
      </c>
      <c r="J485" t="s">
        <v>20</v>
      </c>
      <c r="K485" t="s">
        <v>25</v>
      </c>
      <c r="L485">
        <v>0</v>
      </c>
      <c r="M485">
        <v>2.27</v>
      </c>
      <c r="N485">
        <v>0</v>
      </c>
      <c r="O485">
        <v>37.14</v>
      </c>
      <c r="P485">
        <v>39.412199999999999</v>
      </c>
    </row>
    <row r="486" spans="1:16" hidden="1" x14ac:dyDescent="0.25">
      <c r="A486" s="22">
        <v>43558</v>
      </c>
      <c r="B486" t="s">
        <v>849</v>
      </c>
      <c r="C486" t="s">
        <v>23</v>
      </c>
      <c r="D486">
        <v>250</v>
      </c>
      <c r="E486">
        <v>253</v>
      </c>
      <c r="F486">
        <v>63250</v>
      </c>
      <c r="G486" t="s">
        <v>968</v>
      </c>
      <c r="H486">
        <v>2019065</v>
      </c>
      <c r="I486" t="s">
        <v>19</v>
      </c>
      <c r="J486" t="s">
        <v>20</v>
      </c>
      <c r="K486" t="s">
        <v>25</v>
      </c>
      <c r="L486">
        <v>15.83</v>
      </c>
      <c r="M486">
        <v>2.31</v>
      </c>
      <c r="N486">
        <v>0</v>
      </c>
      <c r="O486">
        <v>37.729999999999997</v>
      </c>
      <c r="P486">
        <v>55.868699999999997</v>
      </c>
    </row>
    <row r="487" spans="1:16" hidden="1" x14ac:dyDescent="0.25">
      <c r="A487" s="22">
        <v>43558</v>
      </c>
      <c r="B487" t="s">
        <v>738</v>
      </c>
      <c r="C487" t="s">
        <v>17</v>
      </c>
      <c r="D487">
        <v>500</v>
      </c>
      <c r="E487">
        <v>392</v>
      </c>
      <c r="F487">
        <v>196000</v>
      </c>
      <c r="G487" t="s">
        <v>969</v>
      </c>
      <c r="H487">
        <v>2019065</v>
      </c>
      <c r="I487" t="s">
        <v>19</v>
      </c>
      <c r="J487" t="s">
        <v>20</v>
      </c>
      <c r="K487" t="s">
        <v>25</v>
      </c>
      <c r="L487">
        <v>0</v>
      </c>
      <c r="M487">
        <v>7.15</v>
      </c>
      <c r="N487">
        <v>0</v>
      </c>
      <c r="O487">
        <v>116.93</v>
      </c>
      <c r="P487">
        <v>124.084</v>
      </c>
    </row>
    <row r="488" spans="1:16" hidden="1" x14ac:dyDescent="0.25">
      <c r="A488" s="22">
        <v>43558</v>
      </c>
      <c r="B488" t="s">
        <v>738</v>
      </c>
      <c r="C488" t="s">
        <v>23</v>
      </c>
      <c r="D488">
        <v>1000</v>
      </c>
      <c r="E488">
        <v>391.3</v>
      </c>
      <c r="F488">
        <v>391300</v>
      </c>
      <c r="G488" t="s">
        <v>970</v>
      </c>
      <c r="H488">
        <v>2019065</v>
      </c>
      <c r="I488" t="s">
        <v>19</v>
      </c>
      <c r="J488" t="s">
        <v>20</v>
      </c>
      <c r="K488" t="s">
        <v>25</v>
      </c>
      <c r="L488">
        <v>98.23</v>
      </c>
      <c r="M488">
        <v>14.28</v>
      </c>
      <c r="N488">
        <v>0</v>
      </c>
      <c r="O488">
        <v>233.44</v>
      </c>
      <c r="P488">
        <v>345.95249999999999</v>
      </c>
    </row>
    <row r="489" spans="1:16" hidden="1" x14ac:dyDescent="0.25">
      <c r="A489" s="22">
        <v>43557</v>
      </c>
      <c r="B489" t="s">
        <v>849</v>
      </c>
      <c r="C489" t="s">
        <v>23</v>
      </c>
      <c r="D489">
        <v>50</v>
      </c>
      <c r="E489">
        <v>268.3</v>
      </c>
      <c r="F489">
        <v>13415</v>
      </c>
      <c r="G489" t="s">
        <v>971</v>
      </c>
      <c r="H489">
        <v>2019064</v>
      </c>
      <c r="I489" t="s">
        <v>19</v>
      </c>
      <c r="J489" t="s">
        <v>20</v>
      </c>
      <c r="K489" t="s">
        <v>25</v>
      </c>
      <c r="L489">
        <v>3.33</v>
      </c>
      <c r="M489">
        <v>0.49</v>
      </c>
      <c r="N489">
        <v>0</v>
      </c>
      <c r="O489">
        <v>29.59</v>
      </c>
      <c r="P489">
        <v>33.409599999999998</v>
      </c>
    </row>
    <row r="490" spans="1:16" hidden="1" x14ac:dyDescent="0.25">
      <c r="A490" s="22">
        <v>43557</v>
      </c>
      <c r="B490" t="s">
        <v>849</v>
      </c>
      <c r="C490" t="s">
        <v>17</v>
      </c>
      <c r="D490">
        <v>50</v>
      </c>
      <c r="E490">
        <v>264.5</v>
      </c>
      <c r="F490">
        <v>13225</v>
      </c>
      <c r="G490" t="s">
        <v>972</v>
      </c>
      <c r="H490">
        <v>2019064</v>
      </c>
      <c r="I490" t="s">
        <v>19</v>
      </c>
      <c r="J490" t="s">
        <v>20</v>
      </c>
      <c r="K490" t="s">
        <v>25</v>
      </c>
      <c r="L490">
        <v>0</v>
      </c>
      <c r="M490">
        <v>0.48</v>
      </c>
      <c r="N490">
        <v>0</v>
      </c>
      <c r="O490">
        <v>29.59</v>
      </c>
      <c r="P490">
        <v>30.072700000000001</v>
      </c>
    </row>
    <row r="491" spans="1:16" hidden="1" x14ac:dyDescent="0.25">
      <c r="A491" s="22">
        <v>43557</v>
      </c>
      <c r="B491" t="s">
        <v>738</v>
      </c>
      <c r="C491" t="s">
        <v>17</v>
      </c>
      <c r="D491">
        <v>100</v>
      </c>
      <c r="E491">
        <v>394</v>
      </c>
      <c r="F491">
        <v>39400</v>
      </c>
      <c r="G491" t="s">
        <v>973</v>
      </c>
      <c r="H491">
        <v>2019064</v>
      </c>
      <c r="I491" t="s">
        <v>19</v>
      </c>
      <c r="J491" t="s">
        <v>20</v>
      </c>
      <c r="K491" t="s">
        <v>25</v>
      </c>
      <c r="L491">
        <v>0</v>
      </c>
      <c r="M491">
        <v>1.44</v>
      </c>
      <c r="N491">
        <v>0</v>
      </c>
      <c r="O491">
        <v>29.76</v>
      </c>
      <c r="P491">
        <v>31.1981</v>
      </c>
    </row>
    <row r="492" spans="1:16" hidden="1" x14ac:dyDescent="0.25">
      <c r="A492" s="22">
        <v>43557</v>
      </c>
      <c r="B492" t="s">
        <v>16</v>
      </c>
      <c r="C492" t="s">
        <v>17</v>
      </c>
      <c r="D492">
        <v>250</v>
      </c>
      <c r="E492">
        <v>38</v>
      </c>
      <c r="F492">
        <v>9500</v>
      </c>
      <c r="G492" t="s">
        <v>974</v>
      </c>
      <c r="H492">
        <v>2019064</v>
      </c>
      <c r="I492" t="s">
        <v>19</v>
      </c>
      <c r="J492" t="s">
        <v>1526</v>
      </c>
      <c r="K492" t="s">
        <v>25</v>
      </c>
      <c r="L492">
        <v>9.5</v>
      </c>
      <c r="M492">
        <v>0.35</v>
      </c>
      <c r="N492">
        <v>0</v>
      </c>
      <c r="O492">
        <v>61.72</v>
      </c>
      <c r="P492">
        <v>71.566800000000001</v>
      </c>
    </row>
    <row r="493" spans="1:16" hidden="1" x14ac:dyDescent="0.25">
      <c r="A493" s="22">
        <v>43557</v>
      </c>
      <c r="B493" t="s">
        <v>738</v>
      </c>
      <c r="C493" t="s">
        <v>23</v>
      </c>
      <c r="D493">
        <v>100</v>
      </c>
      <c r="E493">
        <v>397</v>
      </c>
      <c r="F493">
        <v>39700</v>
      </c>
      <c r="G493" t="s">
        <v>975</v>
      </c>
      <c r="H493">
        <v>2019064</v>
      </c>
      <c r="I493" t="s">
        <v>19</v>
      </c>
      <c r="J493" t="s">
        <v>20</v>
      </c>
      <c r="K493" t="s">
        <v>25</v>
      </c>
      <c r="L493">
        <v>10.17</v>
      </c>
      <c r="M493">
        <v>1.45</v>
      </c>
      <c r="N493">
        <v>3.6</v>
      </c>
      <c r="O493">
        <v>29.76</v>
      </c>
      <c r="P493">
        <v>44.979100000000003</v>
      </c>
    </row>
    <row r="494" spans="1:16" hidden="1" x14ac:dyDescent="0.25">
      <c r="A494" s="22">
        <v>43556</v>
      </c>
      <c r="B494" t="s">
        <v>397</v>
      </c>
      <c r="C494" t="s">
        <v>23</v>
      </c>
      <c r="D494">
        <v>100</v>
      </c>
      <c r="E494">
        <v>260</v>
      </c>
      <c r="F494">
        <v>26000</v>
      </c>
      <c r="G494" t="s">
        <v>976</v>
      </c>
      <c r="H494">
        <v>2019063</v>
      </c>
      <c r="I494" t="s">
        <v>19</v>
      </c>
      <c r="J494" t="s">
        <v>20</v>
      </c>
      <c r="K494" t="s">
        <v>25</v>
      </c>
      <c r="L494">
        <v>26</v>
      </c>
      <c r="M494">
        <v>0.95</v>
      </c>
      <c r="N494">
        <v>0</v>
      </c>
      <c r="O494">
        <v>168.91</v>
      </c>
      <c r="P494">
        <v>195.85900000000001</v>
      </c>
    </row>
    <row r="495" spans="1:16" hidden="1" x14ac:dyDescent="0.25">
      <c r="A495" s="22">
        <v>43556</v>
      </c>
      <c r="B495" t="s">
        <v>849</v>
      </c>
      <c r="C495" t="s">
        <v>23</v>
      </c>
      <c r="D495">
        <v>100</v>
      </c>
      <c r="E495">
        <v>266.8</v>
      </c>
      <c r="F495">
        <v>26680</v>
      </c>
      <c r="G495" t="s">
        <v>977</v>
      </c>
      <c r="H495">
        <v>2019063</v>
      </c>
      <c r="I495" t="s">
        <v>19</v>
      </c>
      <c r="J495" t="s">
        <v>20</v>
      </c>
      <c r="K495" t="s">
        <v>25</v>
      </c>
      <c r="L495">
        <v>6.65</v>
      </c>
      <c r="M495">
        <v>0.97</v>
      </c>
      <c r="N495">
        <v>0</v>
      </c>
      <c r="O495">
        <v>29.68</v>
      </c>
      <c r="P495">
        <v>37.303800000000003</v>
      </c>
    </row>
    <row r="496" spans="1:16" hidden="1" x14ac:dyDescent="0.25">
      <c r="A496" s="22">
        <v>43556</v>
      </c>
      <c r="B496" t="s">
        <v>849</v>
      </c>
      <c r="C496" t="s">
        <v>17</v>
      </c>
      <c r="D496">
        <v>100</v>
      </c>
      <c r="E496">
        <v>265.5</v>
      </c>
      <c r="F496">
        <v>26550</v>
      </c>
      <c r="G496" t="s">
        <v>978</v>
      </c>
      <c r="H496">
        <v>2019063</v>
      </c>
      <c r="I496" t="s">
        <v>19</v>
      </c>
      <c r="J496" t="s">
        <v>20</v>
      </c>
      <c r="K496" t="s">
        <v>25</v>
      </c>
      <c r="L496">
        <v>0</v>
      </c>
      <c r="M496">
        <v>0.97</v>
      </c>
      <c r="N496">
        <v>0</v>
      </c>
      <c r="O496">
        <v>29.67</v>
      </c>
      <c r="P496">
        <v>30.639099999999999</v>
      </c>
    </row>
    <row r="497" spans="1:16" hidden="1" x14ac:dyDescent="0.25">
      <c r="A497" s="22">
        <v>43556</v>
      </c>
      <c r="B497" t="s">
        <v>738</v>
      </c>
      <c r="C497" t="s">
        <v>17</v>
      </c>
      <c r="D497">
        <v>1000</v>
      </c>
      <c r="E497">
        <v>405.5</v>
      </c>
      <c r="F497">
        <v>405500</v>
      </c>
      <c r="G497" t="s">
        <v>979</v>
      </c>
      <c r="H497">
        <v>2019063</v>
      </c>
      <c r="I497" t="s">
        <v>19</v>
      </c>
      <c r="J497" t="s">
        <v>20</v>
      </c>
      <c r="K497" t="s">
        <v>25</v>
      </c>
      <c r="L497">
        <v>0</v>
      </c>
      <c r="M497">
        <v>14.8</v>
      </c>
      <c r="N497">
        <v>0</v>
      </c>
      <c r="O497">
        <v>241.91</v>
      </c>
      <c r="P497">
        <v>256.71080000000001</v>
      </c>
    </row>
    <row r="498" spans="1:16" hidden="1" x14ac:dyDescent="0.25">
      <c r="A498" s="22">
        <v>43556</v>
      </c>
      <c r="B498" t="s">
        <v>738</v>
      </c>
      <c r="C498" t="s">
        <v>23</v>
      </c>
      <c r="D498">
        <v>1000</v>
      </c>
      <c r="E498">
        <v>407</v>
      </c>
      <c r="F498">
        <v>407000</v>
      </c>
      <c r="G498" t="s">
        <v>980</v>
      </c>
      <c r="H498">
        <v>2019063</v>
      </c>
      <c r="I498" t="s">
        <v>19</v>
      </c>
      <c r="J498" t="s">
        <v>20</v>
      </c>
      <c r="K498" t="s">
        <v>25</v>
      </c>
      <c r="L498">
        <v>101.35</v>
      </c>
      <c r="M498">
        <v>14.86</v>
      </c>
      <c r="N498">
        <v>27</v>
      </c>
      <c r="O498">
        <v>242.8</v>
      </c>
      <c r="P498">
        <v>386.00549999999998</v>
      </c>
    </row>
    <row r="499" spans="1:16" hidden="1" x14ac:dyDescent="0.25">
      <c r="A499" s="22">
        <v>43553</v>
      </c>
      <c r="B499" t="s">
        <v>981</v>
      </c>
      <c r="C499" t="s">
        <v>23</v>
      </c>
      <c r="D499">
        <v>200</v>
      </c>
      <c r="E499">
        <v>163.35</v>
      </c>
      <c r="F499">
        <v>32670</v>
      </c>
      <c r="G499" t="s">
        <v>982</v>
      </c>
      <c r="H499">
        <v>2019062</v>
      </c>
      <c r="I499" t="s">
        <v>19</v>
      </c>
      <c r="J499" t="s">
        <v>20</v>
      </c>
      <c r="K499" t="s">
        <v>25</v>
      </c>
      <c r="L499">
        <v>8</v>
      </c>
      <c r="M499">
        <v>1.19</v>
      </c>
      <c r="N499">
        <v>2.1</v>
      </c>
      <c r="O499">
        <v>29.71</v>
      </c>
      <c r="P499">
        <v>41.002499999999998</v>
      </c>
    </row>
    <row r="500" spans="1:16" hidden="1" x14ac:dyDescent="0.25">
      <c r="A500" s="22">
        <v>43553</v>
      </c>
      <c r="B500" t="s">
        <v>981</v>
      </c>
      <c r="C500" t="s">
        <v>17</v>
      </c>
      <c r="D500">
        <v>200</v>
      </c>
      <c r="E500">
        <v>162.75</v>
      </c>
      <c r="F500">
        <v>32550</v>
      </c>
      <c r="G500" t="s">
        <v>983</v>
      </c>
      <c r="H500">
        <v>2019062</v>
      </c>
      <c r="I500" t="s">
        <v>19</v>
      </c>
      <c r="J500" t="s">
        <v>20</v>
      </c>
      <c r="K500" t="s">
        <v>25</v>
      </c>
      <c r="L500">
        <v>0</v>
      </c>
      <c r="M500">
        <v>1.19</v>
      </c>
      <c r="N500">
        <v>0</v>
      </c>
      <c r="O500">
        <v>29.71</v>
      </c>
      <c r="P500">
        <v>30.898099999999999</v>
      </c>
    </row>
    <row r="501" spans="1:16" x14ac:dyDescent="0.25">
      <c r="A501" s="22">
        <v>43139</v>
      </c>
      <c r="B501" t="s">
        <v>282</v>
      </c>
      <c r="C501" t="s">
        <v>23</v>
      </c>
      <c r="D501">
        <v>1100</v>
      </c>
      <c r="E501">
        <v>609</v>
      </c>
      <c r="F501">
        <v>669900</v>
      </c>
      <c r="G501" t="s">
        <v>306</v>
      </c>
      <c r="H501">
        <v>2018028</v>
      </c>
      <c r="I501" t="s">
        <v>19</v>
      </c>
      <c r="J501" t="s">
        <v>1526</v>
      </c>
      <c r="K501" t="s">
        <v>25</v>
      </c>
      <c r="L501">
        <v>398.02</v>
      </c>
      <c r="M501">
        <v>21.77</v>
      </c>
      <c r="N501">
        <v>45</v>
      </c>
      <c r="O501">
        <v>4351.57</v>
      </c>
      <c r="P501">
        <v>4816.3617000000004</v>
      </c>
    </row>
    <row r="502" spans="1:16" hidden="1" x14ac:dyDescent="0.25">
      <c r="A502" s="22">
        <v>43552</v>
      </c>
      <c r="B502" t="s">
        <v>981</v>
      </c>
      <c r="C502" t="s">
        <v>23</v>
      </c>
      <c r="D502">
        <v>200</v>
      </c>
      <c r="E502">
        <v>162.25</v>
      </c>
      <c r="F502">
        <v>32450</v>
      </c>
      <c r="G502" t="s">
        <v>985</v>
      </c>
      <c r="H502">
        <v>2019061</v>
      </c>
      <c r="I502" t="s">
        <v>19</v>
      </c>
      <c r="J502" t="s">
        <v>20</v>
      </c>
      <c r="K502" t="s">
        <v>25</v>
      </c>
      <c r="L502">
        <v>8.36</v>
      </c>
      <c r="M502">
        <v>1.18</v>
      </c>
      <c r="N502">
        <v>0</v>
      </c>
      <c r="O502">
        <v>29.71</v>
      </c>
      <c r="P502">
        <v>39.254399999999997</v>
      </c>
    </row>
    <row r="503" spans="1:16" hidden="1" x14ac:dyDescent="0.25">
      <c r="A503" s="22">
        <v>43552</v>
      </c>
      <c r="B503" t="s">
        <v>981</v>
      </c>
      <c r="C503" t="s">
        <v>17</v>
      </c>
      <c r="D503">
        <v>400</v>
      </c>
      <c r="E503">
        <v>162.75</v>
      </c>
      <c r="F503">
        <v>65100</v>
      </c>
      <c r="G503" t="s">
        <v>986</v>
      </c>
      <c r="H503">
        <v>2019061</v>
      </c>
      <c r="I503" t="s">
        <v>19</v>
      </c>
      <c r="J503" t="s">
        <v>20</v>
      </c>
      <c r="K503" t="s">
        <v>25</v>
      </c>
      <c r="L503">
        <v>0</v>
      </c>
      <c r="M503">
        <v>2.38</v>
      </c>
      <c r="N503">
        <v>6</v>
      </c>
      <c r="O503">
        <v>59.42</v>
      </c>
      <c r="P503">
        <v>67.796199999999999</v>
      </c>
    </row>
    <row r="504" spans="1:16" hidden="1" x14ac:dyDescent="0.25">
      <c r="A504" s="22">
        <v>43552</v>
      </c>
      <c r="B504" t="s">
        <v>981</v>
      </c>
      <c r="C504" t="s">
        <v>23</v>
      </c>
      <c r="D504">
        <v>200</v>
      </c>
      <c r="E504">
        <v>161.25</v>
      </c>
      <c r="F504">
        <v>32250</v>
      </c>
      <c r="G504" t="s">
        <v>987</v>
      </c>
      <c r="H504">
        <v>2019061</v>
      </c>
      <c r="I504" t="s">
        <v>19</v>
      </c>
      <c r="J504" t="s">
        <v>20</v>
      </c>
      <c r="K504" t="s">
        <v>25</v>
      </c>
      <c r="L504">
        <v>8.11</v>
      </c>
      <c r="M504">
        <v>1.18</v>
      </c>
      <c r="N504">
        <v>0</v>
      </c>
      <c r="O504">
        <v>29.71</v>
      </c>
      <c r="P504">
        <v>38.997199999999999</v>
      </c>
    </row>
    <row r="505" spans="1:16" hidden="1" x14ac:dyDescent="0.25">
      <c r="A505" s="22">
        <v>43552</v>
      </c>
      <c r="B505" t="s">
        <v>282</v>
      </c>
      <c r="C505" t="s">
        <v>17</v>
      </c>
      <c r="D505">
        <v>50</v>
      </c>
      <c r="E505">
        <v>600</v>
      </c>
      <c r="F505">
        <v>30000</v>
      </c>
      <c r="G505" t="s">
        <v>988</v>
      </c>
      <c r="H505">
        <v>2019061</v>
      </c>
      <c r="I505" t="s">
        <v>19</v>
      </c>
      <c r="J505" t="s">
        <v>20</v>
      </c>
      <c r="K505" t="s">
        <v>25</v>
      </c>
      <c r="L505">
        <v>0</v>
      </c>
      <c r="M505">
        <v>1.1000000000000001</v>
      </c>
      <c r="N505">
        <v>0</v>
      </c>
      <c r="O505">
        <v>29.7</v>
      </c>
      <c r="P505">
        <v>30.795000000000002</v>
      </c>
    </row>
    <row r="506" spans="1:16" hidden="1" x14ac:dyDescent="0.25">
      <c r="A506" s="22">
        <v>43551</v>
      </c>
      <c r="B506" t="s">
        <v>738</v>
      </c>
      <c r="C506" t="s">
        <v>17</v>
      </c>
      <c r="D506">
        <v>100</v>
      </c>
      <c r="E506">
        <v>393</v>
      </c>
      <c r="F506">
        <v>39300</v>
      </c>
      <c r="G506" t="s">
        <v>989</v>
      </c>
      <c r="H506">
        <v>2019060</v>
      </c>
      <c r="I506" t="s">
        <v>19</v>
      </c>
      <c r="J506" t="s">
        <v>20</v>
      </c>
      <c r="K506" t="s">
        <v>25</v>
      </c>
      <c r="L506">
        <v>0</v>
      </c>
      <c r="M506">
        <v>1.43</v>
      </c>
      <c r="N506">
        <v>0</v>
      </c>
      <c r="O506">
        <v>29.76</v>
      </c>
      <c r="P506">
        <v>31.194500000000001</v>
      </c>
    </row>
    <row r="507" spans="1:16" hidden="1" x14ac:dyDescent="0.25">
      <c r="A507" s="22">
        <v>43551</v>
      </c>
      <c r="B507" t="s">
        <v>738</v>
      </c>
      <c r="C507" t="s">
        <v>17</v>
      </c>
      <c r="D507">
        <v>100</v>
      </c>
      <c r="E507">
        <v>392</v>
      </c>
      <c r="F507">
        <v>39200</v>
      </c>
      <c r="G507" t="s">
        <v>990</v>
      </c>
      <c r="H507">
        <v>2019060</v>
      </c>
      <c r="I507" t="s">
        <v>19</v>
      </c>
      <c r="J507" t="s">
        <v>20</v>
      </c>
      <c r="K507" t="s">
        <v>25</v>
      </c>
      <c r="L507">
        <v>0</v>
      </c>
      <c r="M507">
        <v>1.43</v>
      </c>
      <c r="N507">
        <v>0</v>
      </c>
      <c r="O507">
        <v>29.76</v>
      </c>
      <c r="P507">
        <v>31.190799999999999</v>
      </c>
    </row>
    <row r="508" spans="1:16" hidden="1" x14ac:dyDescent="0.25">
      <c r="A508" s="22">
        <v>43551</v>
      </c>
      <c r="B508" t="s">
        <v>738</v>
      </c>
      <c r="C508" t="s">
        <v>23</v>
      </c>
      <c r="D508">
        <v>100</v>
      </c>
      <c r="E508">
        <v>395</v>
      </c>
      <c r="F508">
        <v>39500</v>
      </c>
      <c r="G508" t="s">
        <v>991</v>
      </c>
      <c r="H508">
        <v>2019060</v>
      </c>
      <c r="I508" t="s">
        <v>19</v>
      </c>
      <c r="J508" t="s">
        <v>20</v>
      </c>
      <c r="K508" t="s">
        <v>25</v>
      </c>
      <c r="L508">
        <v>9.84</v>
      </c>
      <c r="M508">
        <v>1.44</v>
      </c>
      <c r="N508">
        <v>0</v>
      </c>
      <c r="O508">
        <v>29.76</v>
      </c>
      <c r="P508">
        <v>41.041800000000002</v>
      </c>
    </row>
    <row r="509" spans="1:16" hidden="1" x14ac:dyDescent="0.25">
      <c r="A509" s="22">
        <v>43551</v>
      </c>
      <c r="B509" t="s">
        <v>16</v>
      </c>
      <c r="C509" t="s">
        <v>17</v>
      </c>
      <c r="D509">
        <v>500</v>
      </c>
      <c r="E509">
        <v>38.43</v>
      </c>
      <c r="F509">
        <v>19215.45</v>
      </c>
      <c r="G509" t="s">
        <v>992</v>
      </c>
      <c r="H509">
        <v>2019060</v>
      </c>
      <c r="I509" t="s">
        <v>19</v>
      </c>
      <c r="J509" t="s">
        <v>20</v>
      </c>
      <c r="K509" t="s">
        <v>25</v>
      </c>
      <c r="L509">
        <v>0</v>
      </c>
      <c r="M509">
        <v>0.7</v>
      </c>
      <c r="N509">
        <v>0</v>
      </c>
      <c r="O509">
        <v>29.63</v>
      </c>
      <c r="P509">
        <v>30.331199999999999</v>
      </c>
    </row>
    <row r="510" spans="1:16" hidden="1" x14ac:dyDescent="0.25">
      <c r="A510" s="22">
        <v>43551</v>
      </c>
      <c r="B510" t="s">
        <v>981</v>
      </c>
      <c r="C510" t="s">
        <v>23</v>
      </c>
      <c r="D510">
        <v>500</v>
      </c>
      <c r="E510">
        <v>161.25</v>
      </c>
      <c r="F510">
        <v>80625</v>
      </c>
      <c r="G510" t="s">
        <v>993</v>
      </c>
      <c r="H510">
        <v>2019060</v>
      </c>
      <c r="I510" t="s">
        <v>19</v>
      </c>
      <c r="J510" t="s">
        <v>20</v>
      </c>
      <c r="K510" t="s">
        <v>25</v>
      </c>
      <c r="L510">
        <v>20.170000000000002</v>
      </c>
      <c r="M510">
        <v>2.94</v>
      </c>
      <c r="N510">
        <v>0</v>
      </c>
      <c r="O510">
        <v>48.09</v>
      </c>
      <c r="P510">
        <v>71.2029</v>
      </c>
    </row>
    <row r="511" spans="1:16" hidden="1" x14ac:dyDescent="0.25">
      <c r="A511" s="22">
        <v>43551</v>
      </c>
      <c r="B511" t="s">
        <v>738</v>
      </c>
      <c r="C511" t="s">
        <v>23</v>
      </c>
      <c r="D511">
        <v>100</v>
      </c>
      <c r="E511">
        <v>395</v>
      </c>
      <c r="F511">
        <v>39500</v>
      </c>
      <c r="G511" t="s">
        <v>994</v>
      </c>
      <c r="H511">
        <v>2019060</v>
      </c>
      <c r="I511" t="s">
        <v>19</v>
      </c>
      <c r="J511" t="s">
        <v>20</v>
      </c>
      <c r="K511" t="s">
        <v>25</v>
      </c>
      <c r="L511">
        <v>10.1</v>
      </c>
      <c r="M511">
        <v>1.44</v>
      </c>
      <c r="N511">
        <v>0</v>
      </c>
      <c r="O511">
        <v>29.76</v>
      </c>
      <c r="P511">
        <v>41.3018</v>
      </c>
    </row>
    <row r="512" spans="1:16" hidden="1" x14ac:dyDescent="0.25">
      <c r="A512" s="22">
        <v>43551</v>
      </c>
      <c r="B512" t="s">
        <v>16</v>
      </c>
      <c r="C512" t="s">
        <v>23</v>
      </c>
      <c r="D512">
        <v>500</v>
      </c>
      <c r="E512">
        <v>39.75</v>
      </c>
      <c r="F512">
        <v>19875</v>
      </c>
      <c r="G512" t="s">
        <v>995</v>
      </c>
      <c r="H512">
        <v>2019060</v>
      </c>
      <c r="I512" t="s">
        <v>19</v>
      </c>
      <c r="J512" t="s">
        <v>20</v>
      </c>
      <c r="K512" t="s">
        <v>25</v>
      </c>
      <c r="L512">
        <v>4.8899999999999997</v>
      </c>
      <c r="M512">
        <v>0.73</v>
      </c>
      <c r="N512">
        <v>0</v>
      </c>
      <c r="O512">
        <v>29.63</v>
      </c>
      <c r="P512">
        <v>35.245399999999997</v>
      </c>
    </row>
    <row r="513" spans="1:16" hidden="1" x14ac:dyDescent="0.25">
      <c r="A513" s="22">
        <v>43551</v>
      </c>
      <c r="B513" t="s">
        <v>981</v>
      </c>
      <c r="C513" t="s">
        <v>17</v>
      </c>
      <c r="D513">
        <v>500</v>
      </c>
      <c r="E513">
        <v>161.5</v>
      </c>
      <c r="F513">
        <v>80750</v>
      </c>
      <c r="G513" t="s">
        <v>996</v>
      </c>
      <c r="H513">
        <v>2019060</v>
      </c>
      <c r="I513" t="s">
        <v>19</v>
      </c>
      <c r="J513" t="s">
        <v>20</v>
      </c>
      <c r="K513" t="s">
        <v>25</v>
      </c>
      <c r="L513">
        <v>0</v>
      </c>
      <c r="M513">
        <v>2.95</v>
      </c>
      <c r="N513">
        <v>10.8</v>
      </c>
      <c r="O513">
        <v>48.18</v>
      </c>
      <c r="P513">
        <v>61.927300000000002</v>
      </c>
    </row>
    <row r="514" spans="1:16" hidden="1" x14ac:dyDescent="0.25">
      <c r="A514" s="22">
        <v>43546</v>
      </c>
      <c r="B514" t="s">
        <v>849</v>
      </c>
      <c r="C514" t="s">
        <v>23</v>
      </c>
      <c r="D514">
        <v>50</v>
      </c>
      <c r="E514">
        <v>222.5</v>
      </c>
      <c r="F514">
        <v>11125</v>
      </c>
      <c r="G514" t="s">
        <v>997</v>
      </c>
      <c r="H514">
        <v>2019057</v>
      </c>
      <c r="I514" t="s">
        <v>19</v>
      </c>
      <c r="J514" t="s">
        <v>20</v>
      </c>
      <c r="K514" t="s">
        <v>25</v>
      </c>
      <c r="L514">
        <v>3.29</v>
      </c>
      <c r="M514">
        <v>0.41</v>
      </c>
      <c r="N514">
        <v>5.7</v>
      </c>
      <c r="O514">
        <v>29.58</v>
      </c>
      <c r="P514">
        <v>38.976100000000002</v>
      </c>
    </row>
    <row r="515" spans="1:16" hidden="1" x14ac:dyDescent="0.25">
      <c r="A515" s="22">
        <v>43546</v>
      </c>
      <c r="B515" t="s">
        <v>849</v>
      </c>
      <c r="C515" t="s">
        <v>23</v>
      </c>
      <c r="D515">
        <v>50</v>
      </c>
      <c r="E515">
        <v>224.5</v>
      </c>
      <c r="F515">
        <v>11225</v>
      </c>
      <c r="G515" t="s">
        <v>998</v>
      </c>
      <c r="H515">
        <v>2019057</v>
      </c>
      <c r="I515" t="s">
        <v>19</v>
      </c>
      <c r="J515" t="s">
        <v>20</v>
      </c>
      <c r="K515" t="s">
        <v>25</v>
      </c>
      <c r="L515">
        <v>2.82</v>
      </c>
      <c r="M515">
        <v>0.41</v>
      </c>
      <c r="N515">
        <v>0</v>
      </c>
      <c r="O515">
        <v>29.57</v>
      </c>
      <c r="P515">
        <v>32.799700000000001</v>
      </c>
    </row>
    <row r="516" spans="1:16" hidden="1" x14ac:dyDescent="0.25">
      <c r="A516" s="22">
        <v>43546</v>
      </c>
      <c r="B516" t="s">
        <v>849</v>
      </c>
      <c r="C516" t="s">
        <v>23</v>
      </c>
      <c r="D516">
        <v>200</v>
      </c>
      <c r="E516">
        <v>223.5</v>
      </c>
      <c r="F516">
        <v>44700</v>
      </c>
      <c r="G516" t="s">
        <v>999</v>
      </c>
      <c r="H516">
        <v>2019057</v>
      </c>
      <c r="I516" t="s">
        <v>19</v>
      </c>
      <c r="J516" t="s">
        <v>20</v>
      </c>
      <c r="K516" t="s">
        <v>25</v>
      </c>
      <c r="L516">
        <v>11.26</v>
      </c>
      <c r="M516">
        <v>1.63</v>
      </c>
      <c r="N516">
        <v>0</v>
      </c>
      <c r="O516">
        <v>29.79</v>
      </c>
      <c r="P516">
        <v>42.681600000000003</v>
      </c>
    </row>
    <row r="517" spans="1:16" hidden="1" x14ac:dyDescent="0.25">
      <c r="A517" s="22">
        <v>43546</v>
      </c>
      <c r="B517" t="s">
        <v>849</v>
      </c>
      <c r="C517" t="s">
        <v>23</v>
      </c>
      <c r="D517">
        <v>50</v>
      </c>
      <c r="E517">
        <v>226</v>
      </c>
      <c r="F517">
        <v>11300</v>
      </c>
      <c r="G517" t="s">
        <v>1000</v>
      </c>
      <c r="H517">
        <v>2019057</v>
      </c>
      <c r="I517" t="s">
        <v>19</v>
      </c>
      <c r="J517" t="s">
        <v>20</v>
      </c>
      <c r="K517" t="s">
        <v>25</v>
      </c>
      <c r="L517">
        <v>2.82</v>
      </c>
      <c r="M517">
        <v>0.41</v>
      </c>
      <c r="N517">
        <v>0</v>
      </c>
      <c r="O517">
        <v>29.57</v>
      </c>
      <c r="P517">
        <v>32.802500000000002</v>
      </c>
    </row>
    <row r="518" spans="1:16" hidden="1" x14ac:dyDescent="0.25">
      <c r="A518" s="22">
        <v>43546</v>
      </c>
      <c r="B518" t="s">
        <v>849</v>
      </c>
      <c r="C518" t="s">
        <v>23</v>
      </c>
      <c r="D518">
        <v>50</v>
      </c>
      <c r="E518">
        <v>228.3</v>
      </c>
      <c r="F518">
        <v>11415</v>
      </c>
      <c r="G518" t="s">
        <v>1001</v>
      </c>
      <c r="H518">
        <v>2019057</v>
      </c>
      <c r="I518" t="s">
        <v>19</v>
      </c>
      <c r="J518" t="s">
        <v>20</v>
      </c>
      <c r="K518" t="s">
        <v>25</v>
      </c>
      <c r="L518">
        <v>2.82</v>
      </c>
      <c r="M518">
        <v>0.42</v>
      </c>
      <c r="N518">
        <v>0</v>
      </c>
      <c r="O518">
        <v>29.58</v>
      </c>
      <c r="P518">
        <v>32.816600000000001</v>
      </c>
    </row>
    <row r="519" spans="1:16" hidden="1" x14ac:dyDescent="0.25">
      <c r="A519" s="22">
        <v>43546</v>
      </c>
      <c r="B519" t="s">
        <v>849</v>
      </c>
      <c r="C519" t="s">
        <v>17</v>
      </c>
      <c r="D519">
        <v>400</v>
      </c>
      <c r="E519">
        <v>226</v>
      </c>
      <c r="F519">
        <v>90400</v>
      </c>
      <c r="G519" t="s">
        <v>1002</v>
      </c>
      <c r="H519">
        <v>2019057</v>
      </c>
      <c r="I519" t="s">
        <v>19</v>
      </c>
      <c r="J519" t="s">
        <v>20</v>
      </c>
      <c r="K519" t="s">
        <v>25</v>
      </c>
      <c r="L519">
        <v>0</v>
      </c>
      <c r="M519">
        <v>3.3</v>
      </c>
      <c r="N519">
        <v>0</v>
      </c>
      <c r="O519">
        <v>53.93</v>
      </c>
      <c r="P519">
        <v>57.229599999999998</v>
      </c>
    </row>
    <row r="520" spans="1:16" hidden="1" x14ac:dyDescent="0.25">
      <c r="A520" s="22">
        <v>43542</v>
      </c>
      <c r="B520" t="s">
        <v>179</v>
      </c>
      <c r="C520" t="s">
        <v>17</v>
      </c>
      <c r="D520">
        <v>100</v>
      </c>
      <c r="E520">
        <v>40</v>
      </c>
      <c r="F520">
        <v>4000</v>
      </c>
      <c r="G520" t="s">
        <v>1003</v>
      </c>
      <c r="H520">
        <v>2019054</v>
      </c>
      <c r="I520" t="s">
        <v>19</v>
      </c>
      <c r="J520" t="s">
        <v>20</v>
      </c>
      <c r="K520" t="s">
        <v>25</v>
      </c>
      <c r="L520">
        <v>4</v>
      </c>
      <c r="M520">
        <v>0.15</v>
      </c>
      <c r="N520">
        <v>0.3</v>
      </c>
      <c r="O520">
        <v>41.33</v>
      </c>
      <c r="P520">
        <v>45.776000000000003</v>
      </c>
    </row>
    <row r="521" spans="1:16" hidden="1" x14ac:dyDescent="0.25">
      <c r="A521" s="22">
        <v>43538</v>
      </c>
      <c r="B521" t="s">
        <v>871</v>
      </c>
      <c r="C521" t="s">
        <v>23</v>
      </c>
      <c r="D521">
        <v>500</v>
      </c>
      <c r="E521">
        <v>172.5</v>
      </c>
      <c r="F521">
        <v>86250</v>
      </c>
      <c r="G521" t="s">
        <v>1004</v>
      </c>
      <c r="H521">
        <v>2019052</v>
      </c>
      <c r="I521" t="s">
        <v>19</v>
      </c>
      <c r="J521" t="s">
        <v>20</v>
      </c>
      <c r="K521" t="s">
        <v>25</v>
      </c>
      <c r="L521">
        <v>21.7</v>
      </c>
      <c r="M521">
        <v>3.15</v>
      </c>
      <c r="N521">
        <v>0</v>
      </c>
      <c r="O521">
        <v>51.45</v>
      </c>
      <c r="P521">
        <v>76.298199999999994</v>
      </c>
    </row>
    <row r="522" spans="1:16" hidden="1" x14ac:dyDescent="0.25">
      <c r="A522" s="22">
        <v>43538</v>
      </c>
      <c r="B522" t="s">
        <v>871</v>
      </c>
      <c r="C522" t="s">
        <v>17</v>
      </c>
      <c r="D522">
        <v>2500</v>
      </c>
      <c r="E522">
        <v>174</v>
      </c>
      <c r="F522">
        <v>435000</v>
      </c>
      <c r="G522" t="s">
        <v>1005</v>
      </c>
      <c r="H522">
        <v>2019052</v>
      </c>
      <c r="I522" t="s">
        <v>19</v>
      </c>
      <c r="J522" t="s">
        <v>20</v>
      </c>
      <c r="K522" t="s">
        <v>25</v>
      </c>
      <c r="L522">
        <v>0</v>
      </c>
      <c r="M522">
        <v>15.88</v>
      </c>
      <c r="N522">
        <v>0</v>
      </c>
      <c r="O522">
        <v>259.49</v>
      </c>
      <c r="P522">
        <v>275.36770000000001</v>
      </c>
    </row>
    <row r="523" spans="1:16" hidden="1" x14ac:dyDescent="0.25">
      <c r="A523" s="22">
        <v>43538</v>
      </c>
      <c r="B523" t="s">
        <v>871</v>
      </c>
      <c r="C523" t="s">
        <v>23</v>
      </c>
      <c r="D523">
        <v>500</v>
      </c>
      <c r="E523">
        <v>173.5</v>
      </c>
      <c r="F523">
        <v>86750</v>
      </c>
      <c r="G523" t="s">
        <v>1006</v>
      </c>
      <c r="H523">
        <v>2019052</v>
      </c>
      <c r="I523" t="s">
        <v>19</v>
      </c>
      <c r="J523" t="s">
        <v>20</v>
      </c>
      <c r="K523" t="s">
        <v>25</v>
      </c>
      <c r="L523">
        <v>21.7</v>
      </c>
      <c r="M523">
        <v>3.17</v>
      </c>
      <c r="N523">
        <v>0</v>
      </c>
      <c r="O523">
        <v>51.75</v>
      </c>
      <c r="P523">
        <v>76.616399999999999</v>
      </c>
    </row>
    <row r="524" spans="1:16" hidden="1" x14ac:dyDescent="0.25">
      <c r="A524" s="22">
        <v>43538</v>
      </c>
      <c r="B524" t="s">
        <v>871</v>
      </c>
      <c r="C524" t="s">
        <v>23</v>
      </c>
      <c r="D524">
        <v>5000</v>
      </c>
      <c r="E524">
        <v>173.33</v>
      </c>
      <c r="F524">
        <v>866639.65</v>
      </c>
      <c r="G524" t="s">
        <v>1007</v>
      </c>
      <c r="H524">
        <v>2019052</v>
      </c>
      <c r="I524" t="s">
        <v>19</v>
      </c>
      <c r="J524" t="s">
        <v>20</v>
      </c>
      <c r="K524" t="s">
        <v>25</v>
      </c>
      <c r="L524">
        <v>216.61</v>
      </c>
      <c r="M524">
        <v>31.63</v>
      </c>
      <c r="N524">
        <v>62.7</v>
      </c>
      <c r="O524">
        <v>516.99</v>
      </c>
      <c r="P524">
        <v>827.93259999999998</v>
      </c>
    </row>
    <row r="525" spans="1:16" hidden="1" x14ac:dyDescent="0.25">
      <c r="A525" s="22">
        <v>43538</v>
      </c>
      <c r="B525" t="s">
        <v>871</v>
      </c>
      <c r="C525" t="s">
        <v>17</v>
      </c>
      <c r="D525">
        <v>3500</v>
      </c>
      <c r="E525">
        <v>173.76</v>
      </c>
      <c r="F525">
        <v>608158.55000000005</v>
      </c>
      <c r="G525" t="s">
        <v>1008</v>
      </c>
      <c r="H525">
        <v>2019052</v>
      </c>
      <c r="I525" t="s">
        <v>19</v>
      </c>
      <c r="J525" t="s">
        <v>20</v>
      </c>
      <c r="K525" t="s">
        <v>25</v>
      </c>
      <c r="L525">
        <v>0</v>
      </c>
      <c r="M525">
        <v>22.2</v>
      </c>
      <c r="N525">
        <v>0</v>
      </c>
      <c r="O525">
        <v>362.82</v>
      </c>
      <c r="P525">
        <v>385.01769999999999</v>
      </c>
    </row>
    <row r="526" spans="1:16" hidden="1" x14ac:dyDescent="0.25">
      <c r="A526" s="22">
        <v>43537</v>
      </c>
      <c r="B526" t="s">
        <v>397</v>
      </c>
      <c r="C526" t="s">
        <v>17</v>
      </c>
      <c r="D526">
        <v>100</v>
      </c>
      <c r="E526">
        <v>250</v>
      </c>
      <c r="F526">
        <v>25000</v>
      </c>
      <c r="G526" t="s">
        <v>1009</v>
      </c>
      <c r="H526">
        <v>201819239</v>
      </c>
      <c r="I526" t="s">
        <v>19</v>
      </c>
      <c r="J526" t="s">
        <v>20</v>
      </c>
      <c r="K526" t="s">
        <v>21</v>
      </c>
      <c r="L526">
        <v>25</v>
      </c>
      <c r="M526">
        <v>0.73</v>
      </c>
      <c r="N526">
        <v>0.9</v>
      </c>
      <c r="O526">
        <v>162.38</v>
      </c>
      <c r="P526">
        <v>189.01249999999999</v>
      </c>
    </row>
    <row r="527" spans="1:16" hidden="1" x14ac:dyDescent="0.25">
      <c r="A527" s="22">
        <v>43537</v>
      </c>
      <c r="B527" t="s">
        <v>871</v>
      </c>
      <c r="C527" t="s">
        <v>23</v>
      </c>
      <c r="D527">
        <v>100</v>
      </c>
      <c r="E527">
        <v>175.1</v>
      </c>
      <c r="F527">
        <v>17510</v>
      </c>
      <c r="G527" t="s">
        <v>1010</v>
      </c>
      <c r="H527">
        <v>2019051</v>
      </c>
      <c r="I527" t="s">
        <v>19</v>
      </c>
      <c r="J527" t="s">
        <v>20</v>
      </c>
      <c r="K527" t="s">
        <v>25</v>
      </c>
      <c r="L527">
        <v>4.16</v>
      </c>
      <c r="M527">
        <v>0.64</v>
      </c>
      <c r="N527">
        <v>5.0999999999999996</v>
      </c>
      <c r="O527">
        <v>29.61</v>
      </c>
      <c r="P527">
        <v>39.509</v>
      </c>
    </row>
    <row r="528" spans="1:16" hidden="1" x14ac:dyDescent="0.25">
      <c r="A528" s="22">
        <v>43537</v>
      </c>
      <c r="B528" t="s">
        <v>871</v>
      </c>
      <c r="C528" t="s">
        <v>17</v>
      </c>
      <c r="D528">
        <v>100</v>
      </c>
      <c r="E528">
        <v>172.5</v>
      </c>
      <c r="F528">
        <v>17250</v>
      </c>
      <c r="G528" t="s">
        <v>1011</v>
      </c>
      <c r="H528">
        <v>2019051</v>
      </c>
      <c r="I528" t="s">
        <v>19</v>
      </c>
      <c r="J528" t="s">
        <v>20</v>
      </c>
      <c r="K528" t="s">
        <v>25</v>
      </c>
      <c r="L528">
        <v>0</v>
      </c>
      <c r="M528">
        <v>0.63</v>
      </c>
      <c r="N528">
        <v>0</v>
      </c>
      <c r="O528">
        <v>29.61</v>
      </c>
      <c r="P528">
        <v>30.239699999999999</v>
      </c>
    </row>
    <row r="529" spans="1:16" hidden="1" x14ac:dyDescent="0.25">
      <c r="A529" s="22">
        <v>43537</v>
      </c>
      <c r="B529" t="s">
        <v>677</v>
      </c>
      <c r="C529" t="s">
        <v>23</v>
      </c>
      <c r="D529">
        <v>250</v>
      </c>
      <c r="E529">
        <v>251.52</v>
      </c>
      <c r="F529">
        <v>62879.75</v>
      </c>
      <c r="G529" t="s">
        <v>1012</v>
      </c>
      <c r="H529">
        <v>2019051</v>
      </c>
      <c r="I529" t="s">
        <v>19</v>
      </c>
      <c r="J529" t="s">
        <v>20</v>
      </c>
      <c r="K529" t="s">
        <v>25</v>
      </c>
      <c r="L529">
        <v>15.84</v>
      </c>
      <c r="M529">
        <v>2.2999999999999998</v>
      </c>
      <c r="N529">
        <v>0</v>
      </c>
      <c r="O529">
        <v>37.51</v>
      </c>
      <c r="P529">
        <v>55.645099999999999</v>
      </c>
    </row>
    <row r="530" spans="1:16" hidden="1" x14ac:dyDescent="0.25">
      <c r="A530" s="22">
        <v>43537</v>
      </c>
      <c r="B530" t="s">
        <v>677</v>
      </c>
      <c r="C530" t="s">
        <v>17</v>
      </c>
      <c r="D530">
        <v>250</v>
      </c>
      <c r="E530">
        <v>255.25</v>
      </c>
      <c r="F530">
        <v>63812.5</v>
      </c>
      <c r="G530" t="s">
        <v>1013</v>
      </c>
      <c r="H530">
        <v>2019051</v>
      </c>
      <c r="I530" t="s">
        <v>19</v>
      </c>
      <c r="J530" t="s">
        <v>20</v>
      </c>
      <c r="K530" t="s">
        <v>25</v>
      </c>
      <c r="L530">
        <v>0</v>
      </c>
      <c r="M530">
        <v>2.33</v>
      </c>
      <c r="N530">
        <v>0</v>
      </c>
      <c r="O530">
        <v>38.07</v>
      </c>
      <c r="P530">
        <v>40.399099999999997</v>
      </c>
    </row>
    <row r="531" spans="1:16" hidden="1" x14ac:dyDescent="0.25">
      <c r="A531" s="22">
        <v>43536</v>
      </c>
      <c r="B531" t="s">
        <v>397</v>
      </c>
      <c r="C531" t="s">
        <v>17</v>
      </c>
      <c r="D531">
        <v>500</v>
      </c>
      <c r="E531">
        <v>259.76</v>
      </c>
      <c r="F531">
        <v>129878.8</v>
      </c>
      <c r="G531" t="s">
        <v>943</v>
      </c>
      <c r="H531">
        <v>2019050</v>
      </c>
      <c r="I531" t="s">
        <v>19</v>
      </c>
      <c r="J531" t="s">
        <v>20</v>
      </c>
      <c r="K531" t="s">
        <v>25</v>
      </c>
      <c r="L531">
        <v>0</v>
      </c>
      <c r="M531">
        <v>4.74</v>
      </c>
      <c r="N531">
        <v>0</v>
      </c>
      <c r="O531">
        <v>77.48</v>
      </c>
      <c r="P531">
        <v>82.220600000000005</v>
      </c>
    </row>
    <row r="532" spans="1:16" hidden="1" x14ac:dyDescent="0.25">
      <c r="A532" s="22">
        <v>43536</v>
      </c>
      <c r="B532" t="s">
        <v>944</v>
      </c>
      <c r="C532" t="s">
        <v>23</v>
      </c>
      <c r="D532">
        <v>1000</v>
      </c>
      <c r="E532">
        <v>55.15</v>
      </c>
      <c r="F532">
        <v>55150</v>
      </c>
      <c r="G532" t="s">
        <v>945</v>
      </c>
      <c r="H532">
        <v>2019050</v>
      </c>
      <c r="I532" t="s">
        <v>19</v>
      </c>
      <c r="J532" t="s">
        <v>20</v>
      </c>
      <c r="K532" t="s">
        <v>25</v>
      </c>
      <c r="L532">
        <v>13.64</v>
      </c>
      <c r="M532">
        <v>2.0099999999999998</v>
      </c>
      <c r="N532">
        <v>0</v>
      </c>
      <c r="O532">
        <v>32.9</v>
      </c>
      <c r="P532">
        <v>48.552999999999997</v>
      </c>
    </row>
    <row r="533" spans="1:16" hidden="1" x14ac:dyDescent="0.25">
      <c r="A533" s="22">
        <v>43536</v>
      </c>
      <c r="B533" t="s">
        <v>944</v>
      </c>
      <c r="C533" t="s">
        <v>17</v>
      </c>
      <c r="D533">
        <v>1000</v>
      </c>
      <c r="E533">
        <v>54</v>
      </c>
      <c r="F533">
        <v>54000</v>
      </c>
      <c r="G533" t="s">
        <v>946</v>
      </c>
      <c r="H533">
        <v>2019050</v>
      </c>
      <c r="I533" t="s">
        <v>19</v>
      </c>
      <c r="J533" t="s">
        <v>20</v>
      </c>
      <c r="K533" t="s">
        <v>25</v>
      </c>
      <c r="L533">
        <v>0</v>
      </c>
      <c r="M533">
        <v>1.97</v>
      </c>
      <c r="N533">
        <v>0</v>
      </c>
      <c r="O533">
        <v>32.21</v>
      </c>
      <c r="P533">
        <v>34.180999999999997</v>
      </c>
    </row>
    <row r="534" spans="1:16" hidden="1" x14ac:dyDescent="0.25">
      <c r="A534" s="22">
        <v>43536</v>
      </c>
      <c r="B534" t="s">
        <v>397</v>
      </c>
      <c r="C534" t="s">
        <v>17</v>
      </c>
      <c r="D534">
        <v>500</v>
      </c>
      <c r="E534">
        <v>257.48</v>
      </c>
      <c r="F534">
        <v>128742.05</v>
      </c>
      <c r="G534" t="s">
        <v>947</v>
      </c>
      <c r="H534">
        <v>2019050</v>
      </c>
      <c r="I534" t="s">
        <v>19</v>
      </c>
      <c r="J534" t="s">
        <v>20</v>
      </c>
      <c r="K534" t="s">
        <v>25</v>
      </c>
      <c r="L534">
        <v>0</v>
      </c>
      <c r="M534">
        <v>4.7</v>
      </c>
      <c r="N534">
        <v>40.200000000000003</v>
      </c>
      <c r="O534">
        <v>76.8</v>
      </c>
      <c r="P534">
        <v>121.69929999999999</v>
      </c>
    </row>
    <row r="535" spans="1:16" hidden="1" x14ac:dyDescent="0.25">
      <c r="A535" s="22">
        <v>43536</v>
      </c>
      <c r="B535" t="s">
        <v>397</v>
      </c>
      <c r="C535" t="s">
        <v>17</v>
      </c>
      <c r="D535">
        <v>250</v>
      </c>
      <c r="E535">
        <v>255.35</v>
      </c>
      <c r="F535">
        <v>63837.5</v>
      </c>
      <c r="G535" t="s">
        <v>948</v>
      </c>
      <c r="H535">
        <v>2019050</v>
      </c>
      <c r="I535" t="s">
        <v>19</v>
      </c>
      <c r="J535" t="s">
        <v>20</v>
      </c>
      <c r="K535" t="s">
        <v>25</v>
      </c>
      <c r="L535">
        <v>0</v>
      </c>
      <c r="M535">
        <v>2.33</v>
      </c>
      <c r="N535">
        <v>0</v>
      </c>
      <c r="O535">
        <v>38.08</v>
      </c>
      <c r="P535">
        <v>40.4101</v>
      </c>
    </row>
    <row r="536" spans="1:16" hidden="1" x14ac:dyDescent="0.25">
      <c r="A536" s="22">
        <v>43536</v>
      </c>
      <c r="B536" t="s">
        <v>237</v>
      </c>
      <c r="C536" t="s">
        <v>23</v>
      </c>
      <c r="D536">
        <v>500</v>
      </c>
      <c r="E536">
        <v>292.5</v>
      </c>
      <c r="F536">
        <v>146250</v>
      </c>
      <c r="G536" t="s">
        <v>949</v>
      </c>
      <c r="H536">
        <v>2019050</v>
      </c>
      <c r="I536" t="s">
        <v>19</v>
      </c>
      <c r="J536" t="s">
        <v>20</v>
      </c>
      <c r="K536" t="s">
        <v>25</v>
      </c>
      <c r="L536">
        <v>36.58</v>
      </c>
      <c r="M536">
        <v>5.34</v>
      </c>
      <c r="N536">
        <v>0</v>
      </c>
      <c r="O536">
        <v>87.25</v>
      </c>
      <c r="P536">
        <v>129.16820000000001</v>
      </c>
    </row>
    <row r="537" spans="1:16" hidden="1" x14ac:dyDescent="0.25">
      <c r="A537" s="22">
        <v>43536</v>
      </c>
      <c r="B537" t="s">
        <v>237</v>
      </c>
      <c r="C537" t="s">
        <v>17</v>
      </c>
      <c r="D537">
        <v>500</v>
      </c>
      <c r="E537">
        <v>291</v>
      </c>
      <c r="F537">
        <v>145500</v>
      </c>
      <c r="G537" t="s">
        <v>950</v>
      </c>
      <c r="H537">
        <v>2019050</v>
      </c>
      <c r="I537" t="s">
        <v>19</v>
      </c>
      <c r="J537" t="s">
        <v>20</v>
      </c>
      <c r="K537" t="s">
        <v>25</v>
      </c>
      <c r="L537">
        <v>0</v>
      </c>
      <c r="M537">
        <v>5.31</v>
      </c>
      <c r="N537">
        <v>0</v>
      </c>
      <c r="O537">
        <v>86.8</v>
      </c>
      <c r="P537">
        <v>92.110799999999998</v>
      </c>
    </row>
    <row r="538" spans="1:16" hidden="1" x14ac:dyDescent="0.25">
      <c r="A538" s="22">
        <v>43536</v>
      </c>
      <c r="B538" t="s">
        <v>237</v>
      </c>
      <c r="C538" t="s">
        <v>17</v>
      </c>
      <c r="D538">
        <v>500</v>
      </c>
      <c r="E538">
        <v>296.64999999999998</v>
      </c>
      <c r="F538">
        <v>148325</v>
      </c>
      <c r="G538" t="s">
        <v>951</v>
      </c>
      <c r="H538">
        <v>2019050</v>
      </c>
      <c r="I538" t="s">
        <v>19</v>
      </c>
      <c r="J538" t="s">
        <v>20</v>
      </c>
      <c r="K538" t="s">
        <v>25</v>
      </c>
      <c r="L538">
        <v>0</v>
      </c>
      <c r="M538">
        <v>5.41</v>
      </c>
      <c r="N538">
        <v>0</v>
      </c>
      <c r="O538">
        <v>88.49</v>
      </c>
      <c r="P538">
        <v>93.903899999999993</v>
      </c>
    </row>
    <row r="539" spans="1:16" hidden="1" x14ac:dyDescent="0.25">
      <c r="A539" s="22">
        <v>43536</v>
      </c>
      <c r="B539" t="s">
        <v>397</v>
      </c>
      <c r="C539" t="s">
        <v>23</v>
      </c>
      <c r="D539">
        <v>1250</v>
      </c>
      <c r="E539">
        <v>254.23</v>
      </c>
      <c r="F539">
        <v>317781.5</v>
      </c>
      <c r="G539" t="s">
        <v>952</v>
      </c>
      <c r="H539">
        <v>2019050</v>
      </c>
      <c r="I539" t="s">
        <v>19</v>
      </c>
      <c r="J539" t="s">
        <v>20</v>
      </c>
      <c r="K539" t="s">
        <v>25</v>
      </c>
      <c r="L539">
        <v>80.03</v>
      </c>
      <c r="M539">
        <v>11.6</v>
      </c>
      <c r="N539">
        <v>0</v>
      </c>
      <c r="O539">
        <v>189.58</v>
      </c>
      <c r="P539">
        <v>281.20949999999999</v>
      </c>
    </row>
    <row r="540" spans="1:16" hidden="1" x14ac:dyDescent="0.25">
      <c r="A540" s="22">
        <v>43536</v>
      </c>
      <c r="B540" t="s">
        <v>237</v>
      </c>
      <c r="C540" t="s">
        <v>23</v>
      </c>
      <c r="D540">
        <v>500</v>
      </c>
      <c r="E540">
        <v>290.51</v>
      </c>
      <c r="F540">
        <v>145255.04999999999</v>
      </c>
      <c r="G540" t="s">
        <v>953</v>
      </c>
      <c r="H540">
        <v>2019050</v>
      </c>
      <c r="I540" t="s">
        <v>19</v>
      </c>
      <c r="J540" t="s">
        <v>20</v>
      </c>
      <c r="K540" t="s">
        <v>25</v>
      </c>
      <c r="L540">
        <v>36.74</v>
      </c>
      <c r="M540">
        <v>5.3</v>
      </c>
      <c r="N540">
        <v>0</v>
      </c>
      <c r="O540">
        <v>86.65</v>
      </c>
      <c r="P540">
        <v>128.6919</v>
      </c>
    </row>
    <row r="541" spans="1:16" hidden="1" x14ac:dyDescent="0.25">
      <c r="A541" s="22">
        <v>43535</v>
      </c>
      <c r="B541" t="s">
        <v>397</v>
      </c>
      <c r="C541" t="s">
        <v>17</v>
      </c>
      <c r="D541">
        <v>332</v>
      </c>
      <c r="E541">
        <v>256.99</v>
      </c>
      <c r="F541">
        <v>85321.1</v>
      </c>
      <c r="G541" t="s">
        <v>954</v>
      </c>
      <c r="H541">
        <v>2019049</v>
      </c>
      <c r="I541" t="s">
        <v>19</v>
      </c>
      <c r="J541" t="s">
        <v>20</v>
      </c>
      <c r="K541" t="s">
        <v>25</v>
      </c>
      <c r="L541">
        <v>0</v>
      </c>
      <c r="M541">
        <v>3.11</v>
      </c>
      <c r="N541">
        <v>24.3</v>
      </c>
      <c r="O541">
        <v>50.9</v>
      </c>
      <c r="P541">
        <v>78.314300000000003</v>
      </c>
    </row>
    <row r="542" spans="1:16" hidden="1" x14ac:dyDescent="0.25">
      <c r="A542" s="22">
        <v>43535</v>
      </c>
      <c r="B542" t="s">
        <v>738</v>
      </c>
      <c r="C542" t="s">
        <v>17</v>
      </c>
      <c r="D542">
        <v>250</v>
      </c>
      <c r="E542">
        <v>376</v>
      </c>
      <c r="F542">
        <v>94000</v>
      </c>
      <c r="G542" t="s">
        <v>955</v>
      </c>
      <c r="H542">
        <v>2019049</v>
      </c>
      <c r="I542" t="s">
        <v>19</v>
      </c>
      <c r="J542" t="s">
        <v>20</v>
      </c>
      <c r="K542" t="s">
        <v>25</v>
      </c>
      <c r="L542">
        <v>0</v>
      </c>
      <c r="M542">
        <v>3.43</v>
      </c>
      <c r="N542">
        <v>0</v>
      </c>
      <c r="O542">
        <v>56.08</v>
      </c>
      <c r="P542">
        <v>59.511000000000003</v>
      </c>
    </row>
    <row r="543" spans="1:16" hidden="1" x14ac:dyDescent="0.25">
      <c r="A543" s="22">
        <v>43535</v>
      </c>
      <c r="B543" t="s">
        <v>738</v>
      </c>
      <c r="C543" t="s">
        <v>23</v>
      </c>
      <c r="D543">
        <v>250</v>
      </c>
      <c r="E543">
        <v>377</v>
      </c>
      <c r="F543">
        <v>94250</v>
      </c>
      <c r="G543" t="s">
        <v>956</v>
      </c>
      <c r="H543">
        <v>2019049</v>
      </c>
      <c r="I543" t="s">
        <v>19</v>
      </c>
      <c r="J543" t="s">
        <v>20</v>
      </c>
      <c r="K543" t="s">
        <v>25</v>
      </c>
      <c r="L543">
        <v>23.73</v>
      </c>
      <c r="M543">
        <v>3.44</v>
      </c>
      <c r="N543">
        <v>0</v>
      </c>
      <c r="O543">
        <v>56.22</v>
      </c>
      <c r="P543">
        <v>83.390100000000004</v>
      </c>
    </row>
    <row r="544" spans="1:16" hidden="1" x14ac:dyDescent="0.25">
      <c r="A544" s="22">
        <v>43535</v>
      </c>
      <c r="B544" t="s">
        <v>237</v>
      </c>
      <c r="C544" t="s">
        <v>23</v>
      </c>
      <c r="D544">
        <v>500</v>
      </c>
      <c r="E544">
        <v>293</v>
      </c>
      <c r="F544">
        <v>146500</v>
      </c>
      <c r="G544" t="s">
        <v>957</v>
      </c>
      <c r="H544">
        <v>2019049</v>
      </c>
      <c r="I544" t="s">
        <v>19</v>
      </c>
      <c r="J544" t="s">
        <v>20</v>
      </c>
      <c r="K544" t="s">
        <v>25</v>
      </c>
      <c r="L544">
        <v>36.56</v>
      </c>
      <c r="M544">
        <v>5.35</v>
      </c>
      <c r="N544">
        <v>0</v>
      </c>
      <c r="O544">
        <v>87.4</v>
      </c>
      <c r="P544">
        <v>129.3073</v>
      </c>
    </row>
    <row r="545" spans="1:16" hidden="1" x14ac:dyDescent="0.25">
      <c r="A545" s="22">
        <v>43535</v>
      </c>
      <c r="B545" t="s">
        <v>237</v>
      </c>
      <c r="C545" t="s">
        <v>17</v>
      </c>
      <c r="D545">
        <v>500</v>
      </c>
      <c r="E545">
        <v>292</v>
      </c>
      <c r="F545">
        <v>146000</v>
      </c>
      <c r="G545" t="s">
        <v>958</v>
      </c>
      <c r="H545">
        <v>2019049</v>
      </c>
      <c r="I545" t="s">
        <v>19</v>
      </c>
      <c r="J545" t="s">
        <v>20</v>
      </c>
      <c r="K545" t="s">
        <v>25</v>
      </c>
      <c r="L545">
        <v>0</v>
      </c>
      <c r="M545">
        <v>5.33</v>
      </c>
      <c r="N545">
        <v>0</v>
      </c>
      <c r="O545">
        <v>87.1</v>
      </c>
      <c r="P545">
        <v>92.429000000000002</v>
      </c>
    </row>
    <row r="546" spans="1:16" hidden="1" x14ac:dyDescent="0.25">
      <c r="A546" s="22">
        <v>43535</v>
      </c>
      <c r="B546" t="s">
        <v>397</v>
      </c>
      <c r="C546" t="s">
        <v>17</v>
      </c>
      <c r="D546">
        <v>300</v>
      </c>
      <c r="E546">
        <v>258.05</v>
      </c>
      <c r="F546">
        <v>77415.149999999994</v>
      </c>
      <c r="G546" t="s">
        <v>959</v>
      </c>
      <c r="H546">
        <v>2019049</v>
      </c>
      <c r="I546" t="s">
        <v>19</v>
      </c>
      <c r="J546" t="s">
        <v>20</v>
      </c>
      <c r="K546" t="s">
        <v>25</v>
      </c>
      <c r="L546">
        <v>0</v>
      </c>
      <c r="M546">
        <v>2.83</v>
      </c>
      <c r="N546">
        <v>0</v>
      </c>
      <c r="O546">
        <v>46.18</v>
      </c>
      <c r="P546">
        <v>49.005699999999997</v>
      </c>
    </row>
    <row r="547" spans="1:16" hidden="1" x14ac:dyDescent="0.25">
      <c r="A547" s="22">
        <v>43535</v>
      </c>
      <c r="B547" t="s">
        <v>397</v>
      </c>
      <c r="C547" t="s">
        <v>23</v>
      </c>
      <c r="D547">
        <v>632</v>
      </c>
      <c r="E547">
        <v>257.85000000000002</v>
      </c>
      <c r="F547">
        <v>162961.20000000001</v>
      </c>
      <c r="G547" t="s">
        <v>960</v>
      </c>
      <c r="H547">
        <v>2019049</v>
      </c>
      <c r="I547" t="s">
        <v>19</v>
      </c>
      <c r="J547" t="s">
        <v>20</v>
      </c>
      <c r="K547" t="s">
        <v>25</v>
      </c>
      <c r="L547">
        <v>40.71</v>
      </c>
      <c r="M547">
        <v>5.95</v>
      </c>
      <c r="N547">
        <v>0</v>
      </c>
      <c r="O547">
        <v>97.22</v>
      </c>
      <c r="P547">
        <v>143.87799999999999</v>
      </c>
    </row>
    <row r="548" spans="1:16" hidden="1" x14ac:dyDescent="0.25">
      <c r="A548" s="22">
        <v>43532</v>
      </c>
      <c r="B548" t="s">
        <v>677</v>
      </c>
      <c r="C548" t="s">
        <v>23</v>
      </c>
      <c r="D548">
        <v>1000</v>
      </c>
      <c r="E548">
        <v>243.49</v>
      </c>
      <c r="F548">
        <v>243485.9</v>
      </c>
      <c r="G548" t="s">
        <v>961</v>
      </c>
      <c r="H548">
        <v>2019048</v>
      </c>
      <c r="I548" t="s">
        <v>19</v>
      </c>
      <c r="J548" t="s">
        <v>20</v>
      </c>
      <c r="K548" t="s">
        <v>25</v>
      </c>
      <c r="L548">
        <v>60.75</v>
      </c>
      <c r="M548">
        <v>8.89</v>
      </c>
      <c r="N548">
        <v>0</v>
      </c>
      <c r="O548">
        <v>145.28</v>
      </c>
      <c r="P548">
        <v>214.91730000000001</v>
      </c>
    </row>
    <row r="549" spans="1:16" hidden="1" x14ac:dyDescent="0.25">
      <c r="A549" s="22">
        <v>43532</v>
      </c>
      <c r="B549" t="s">
        <v>677</v>
      </c>
      <c r="C549" t="s">
        <v>17</v>
      </c>
      <c r="D549">
        <v>1000</v>
      </c>
      <c r="E549">
        <v>242.5</v>
      </c>
      <c r="F549">
        <v>242500</v>
      </c>
      <c r="G549" t="s">
        <v>962</v>
      </c>
      <c r="H549">
        <v>2019048</v>
      </c>
      <c r="I549" t="s">
        <v>19</v>
      </c>
      <c r="J549" t="s">
        <v>20</v>
      </c>
      <c r="K549" t="s">
        <v>25</v>
      </c>
      <c r="L549">
        <v>0</v>
      </c>
      <c r="M549">
        <v>8.85</v>
      </c>
      <c r="N549">
        <v>0</v>
      </c>
      <c r="O549">
        <v>144.66999999999999</v>
      </c>
      <c r="P549">
        <v>153.52119999999999</v>
      </c>
    </row>
    <row r="550" spans="1:16" hidden="1" x14ac:dyDescent="0.25">
      <c r="A550" s="22">
        <v>43532</v>
      </c>
      <c r="B550" t="s">
        <v>16</v>
      </c>
      <c r="C550" t="s">
        <v>23</v>
      </c>
      <c r="D550">
        <v>1000</v>
      </c>
      <c r="E550">
        <v>36.6</v>
      </c>
      <c r="F550">
        <v>36595.25</v>
      </c>
      <c r="G550" t="s">
        <v>963</v>
      </c>
      <c r="H550">
        <v>2019048</v>
      </c>
      <c r="I550" t="s">
        <v>19</v>
      </c>
      <c r="J550" t="s">
        <v>1526</v>
      </c>
      <c r="K550" t="s">
        <v>25</v>
      </c>
      <c r="L550">
        <v>36.25</v>
      </c>
      <c r="M550">
        <v>1.34</v>
      </c>
      <c r="N550">
        <v>15.9</v>
      </c>
      <c r="O550">
        <v>237.74</v>
      </c>
      <c r="P550">
        <v>291.22579999999999</v>
      </c>
    </row>
    <row r="551" spans="1:16" x14ac:dyDescent="0.25">
      <c r="A551" s="22">
        <v>43146</v>
      </c>
      <c r="B551" t="s">
        <v>282</v>
      </c>
      <c r="C551" t="s">
        <v>23</v>
      </c>
      <c r="D551">
        <v>500</v>
      </c>
      <c r="E551">
        <v>607</v>
      </c>
      <c r="F551">
        <v>303500</v>
      </c>
      <c r="G551" t="s">
        <v>313</v>
      </c>
      <c r="H551">
        <v>2018032</v>
      </c>
      <c r="I551" t="s">
        <v>19</v>
      </c>
      <c r="J551" t="s">
        <v>1526</v>
      </c>
      <c r="K551" t="s">
        <v>25</v>
      </c>
      <c r="L551">
        <v>303.27</v>
      </c>
      <c r="M551">
        <v>9.11</v>
      </c>
      <c r="N551">
        <v>21.6</v>
      </c>
      <c r="O551">
        <v>1971.35</v>
      </c>
      <c r="P551">
        <v>2305.3251</v>
      </c>
    </row>
    <row r="552" spans="1:16" hidden="1" x14ac:dyDescent="0.25">
      <c r="A552" s="22">
        <v>43531</v>
      </c>
      <c r="B552" t="s">
        <v>282</v>
      </c>
      <c r="C552" t="s">
        <v>17</v>
      </c>
      <c r="D552">
        <v>1000</v>
      </c>
      <c r="E552">
        <v>614.79999999999995</v>
      </c>
      <c r="F552">
        <v>614800</v>
      </c>
      <c r="G552" t="s">
        <v>901</v>
      </c>
      <c r="H552">
        <v>201819235</v>
      </c>
      <c r="I552" t="s">
        <v>19</v>
      </c>
      <c r="J552" t="s">
        <v>20</v>
      </c>
      <c r="K552" t="s">
        <v>21</v>
      </c>
      <c r="L552">
        <v>0</v>
      </c>
      <c r="M552">
        <v>17.62</v>
      </c>
      <c r="N552">
        <v>36.9</v>
      </c>
      <c r="O552">
        <v>365.89</v>
      </c>
      <c r="P552">
        <v>420.4119</v>
      </c>
    </row>
    <row r="553" spans="1:16" x14ac:dyDescent="0.25">
      <c r="A553" s="22">
        <v>43147</v>
      </c>
      <c r="B553" t="s">
        <v>282</v>
      </c>
      <c r="C553" t="s">
        <v>23</v>
      </c>
      <c r="D553">
        <v>500</v>
      </c>
      <c r="E553">
        <v>611</v>
      </c>
      <c r="F553">
        <v>305500</v>
      </c>
      <c r="G553" t="s">
        <v>316</v>
      </c>
      <c r="H553">
        <v>2018033</v>
      </c>
      <c r="I553" t="s">
        <v>19</v>
      </c>
      <c r="J553" t="s">
        <v>20</v>
      </c>
      <c r="K553" t="s">
        <v>25</v>
      </c>
      <c r="L553">
        <v>76.709999999999994</v>
      </c>
      <c r="M553">
        <v>9.17</v>
      </c>
      <c r="N553">
        <v>64.5</v>
      </c>
      <c r="O553">
        <v>181.89</v>
      </c>
      <c r="P553">
        <v>332.26499999999999</v>
      </c>
    </row>
    <row r="554" spans="1:16" hidden="1" x14ac:dyDescent="0.25">
      <c r="A554" s="22">
        <v>43531</v>
      </c>
      <c r="B554" t="s">
        <v>738</v>
      </c>
      <c r="C554" t="s">
        <v>17</v>
      </c>
      <c r="D554">
        <v>100</v>
      </c>
      <c r="E554">
        <v>369.1</v>
      </c>
      <c r="F554">
        <v>36910</v>
      </c>
      <c r="G554" t="s">
        <v>903</v>
      </c>
      <c r="H554">
        <v>2019047</v>
      </c>
      <c r="I554" t="s">
        <v>19</v>
      </c>
      <c r="J554" t="s">
        <v>20</v>
      </c>
      <c r="K554" t="s">
        <v>25</v>
      </c>
      <c r="L554">
        <v>0</v>
      </c>
      <c r="M554">
        <v>1.35</v>
      </c>
      <c r="N554">
        <v>0</v>
      </c>
      <c r="O554">
        <v>29.74</v>
      </c>
      <c r="P554">
        <v>31.087299999999999</v>
      </c>
    </row>
    <row r="555" spans="1:16" hidden="1" x14ac:dyDescent="0.25">
      <c r="A555" s="22">
        <v>43531</v>
      </c>
      <c r="B555" t="s">
        <v>738</v>
      </c>
      <c r="C555" t="s">
        <v>23</v>
      </c>
      <c r="D555">
        <v>100</v>
      </c>
      <c r="E555">
        <v>372</v>
      </c>
      <c r="F555">
        <v>37200</v>
      </c>
      <c r="G555" t="s">
        <v>904</v>
      </c>
      <c r="H555">
        <v>2019047</v>
      </c>
      <c r="I555" t="s">
        <v>19</v>
      </c>
      <c r="J555" t="s">
        <v>20</v>
      </c>
      <c r="K555" t="s">
        <v>25</v>
      </c>
      <c r="L555">
        <v>9.27</v>
      </c>
      <c r="M555">
        <v>1.36</v>
      </c>
      <c r="N555">
        <v>0</v>
      </c>
      <c r="O555">
        <v>29.74</v>
      </c>
      <c r="P555">
        <v>40.367800000000003</v>
      </c>
    </row>
    <row r="556" spans="1:16" x14ac:dyDescent="0.25">
      <c r="A556" s="22">
        <v>43147</v>
      </c>
      <c r="B556" t="s">
        <v>282</v>
      </c>
      <c r="C556" t="s">
        <v>23</v>
      </c>
      <c r="D556">
        <v>500</v>
      </c>
      <c r="E556">
        <v>614</v>
      </c>
      <c r="F556">
        <v>307000</v>
      </c>
      <c r="G556" t="s">
        <v>318</v>
      </c>
      <c r="H556">
        <v>2018033</v>
      </c>
      <c r="I556" t="s">
        <v>19</v>
      </c>
      <c r="J556" t="s">
        <v>20</v>
      </c>
      <c r="K556" t="s">
        <v>25</v>
      </c>
      <c r="L556">
        <v>76.510000000000005</v>
      </c>
      <c r="M556">
        <v>9.2100000000000009</v>
      </c>
      <c r="N556">
        <v>0</v>
      </c>
      <c r="O556">
        <v>182.82</v>
      </c>
      <c r="P556">
        <v>268.53980000000001</v>
      </c>
    </row>
    <row r="557" spans="1:16" hidden="1" x14ac:dyDescent="0.25">
      <c r="A557" s="22">
        <v>43531</v>
      </c>
      <c r="B557" t="s">
        <v>282</v>
      </c>
      <c r="C557" t="s">
        <v>17</v>
      </c>
      <c r="D557">
        <v>300</v>
      </c>
      <c r="E557">
        <v>613</v>
      </c>
      <c r="F557">
        <v>183900</v>
      </c>
      <c r="G557" t="s">
        <v>906</v>
      </c>
      <c r="H557">
        <v>2019047</v>
      </c>
      <c r="I557" t="s">
        <v>19</v>
      </c>
      <c r="J557" t="s">
        <v>20</v>
      </c>
      <c r="K557" t="s">
        <v>25</v>
      </c>
      <c r="L557">
        <v>0</v>
      </c>
      <c r="M557">
        <v>6.71</v>
      </c>
      <c r="N557">
        <v>0</v>
      </c>
      <c r="O557">
        <v>109.71</v>
      </c>
      <c r="P557">
        <v>116.4224</v>
      </c>
    </row>
    <row r="558" spans="1:16" hidden="1" x14ac:dyDescent="0.25">
      <c r="A558" s="22">
        <v>43531</v>
      </c>
      <c r="B558" t="s">
        <v>738</v>
      </c>
      <c r="C558" t="s">
        <v>23</v>
      </c>
      <c r="D558">
        <v>250</v>
      </c>
      <c r="E558">
        <v>374</v>
      </c>
      <c r="F558">
        <v>93500</v>
      </c>
      <c r="G558" t="s">
        <v>907</v>
      </c>
      <c r="H558">
        <v>2019047</v>
      </c>
      <c r="I558" t="s">
        <v>19</v>
      </c>
      <c r="J558" t="s">
        <v>20</v>
      </c>
      <c r="K558" t="s">
        <v>25</v>
      </c>
      <c r="L558">
        <v>23.18</v>
      </c>
      <c r="M558">
        <v>3.41</v>
      </c>
      <c r="N558">
        <v>0</v>
      </c>
      <c r="O558">
        <v>55.78</v>
      </c>
      <c r="P558">
        <v>82.372799999999998</v>
      </c>
    </row>
    <row r="559" spans="1:16" hidden="1" x14ac:dyDescent="0.25">
      <c r="A559" s="22">
        <v>43531</v>
      </c>
      <c r="B559" t="s">
        <v>282</v>
      </c>
      <c r="C559" t="s">
        <v>17</v>
      </c>
      <c r="D559">
        <v>250</v>
      </c>
      <c r="E559">
        <v>615</v>
      </c>
      <c r="F559">
        <v>153750</v>
      </c>
      <c r="G559" t="s">
        <v>908</v>
      </c>
      <c r="H559">
        <v>2019047</v>
      </c>
      <c r="I559" t="s">
        <v>19</v>
      </c>
      <c r="J559" t="s">
        <v>20</v>
      </c>
      <c r="K559" t="s">
        <v>25</v>
      </c>
      <c r="L559">
        <v>0</v>
      </c>
      <c r="M559">
        <v>5.61</v>
      </c>
      <c r="N559">
        <v>0</v>
      </c>
      <c r="O559">
        <v>91.72</v>
      </c>
      <c r="P559">
        <v>97.331900000000005</v>
      </c>
    </row>
    <row r="560" spans="1:16" x14ac:dyDescent="0.25">
      <c r="A560" s="22">
        <v>43147</v>
      </c>
      <c r="B560" t="s">
        <v>282</v>
      </c>
      <c r="C560" t="s">
        <v>23</v>
      </c>
      <c r="D560">
        <v>750</v>
      </c>
      <c r="E560">
        <v>614</v>
      </c>
      <c r="F560">
        <v>460500</v>
      </c>
      <c r="G560" t="s">
        <v>320</v>
      </c>
      <c r="H560">
        <v>2018033</v>
      </c>
      <c r="I560" t="s">
        <v>19</v>
      </c>
      <c r="J560" t="s">
        <v>20</v>
      </c>
      <c r="K560" t="s">
        <v>25</v>
      </c>
      <c r="L560">
        <v>114.77</v>
      </c>
      <c r="M560">
        <v>13.82</v>
      </c>
      <c r="N560">
        <v>0</v>
      </c>
      <c r="O560">
        <v>274.18</v>
      </c>
      <c r="P560">
        <v>402.76510000000002</v>
      </c>
    </row>
    <row r="561" spans="1:16" hidden="1" x14ac:dyDescent="0.25">
      <c r="A561" s="22">
        <v>43531</v>
      </c>
      <c r="B561" t="s">
        <v>738</v>
      </c>
      <c r="C561" t="s">
        <v>17</v>
      </c>
      <c r="D561">
        <v>250</v>
      </c>
      <c r="E561">
        <v>371.75</v>
      </c>
      <c r="F561">
        <v>92937.5</v>
      </c>
      <c r="G561" t="s">
        <v>910</v>
      </c>
      <c r="H561">
        <v>2019047</v>
      </c>
      <c r="I561" t="s">
        <v>19</v>
      </c>
      <c r="J561" t="s">
        <v>20</v>
      </c>
      <c r="K561" t="s">
        <v>25</v>
      </c>
      <c r="L561">
        <v>0</v>
      </c>
      <c r="M561">
        <v>3.39</v>
      </c>
      <c r="N561">
        <v>0</v>
      </c>
      <c r="O561">
        <v>55.44</v>
      </c>
      <c r="P561">
        <v>58.8322</v>
      </c>
    </row>
    <row r="562" spans="1:16" hidden="1" x14ac:dyDescent="0.25">
      <c r="A562" s="22">
        <v>43531</v>
      </c>
      <c r="B562" t="s">
        <v>738</v>
      </c>
      <c r="C562" t="s">
        <v>17</v>
      </c>
      <c r="D562">
        <v>5000</v>
      </c>
      <c r="E562">
        <v>371</v>
      </c>
      <c r="F562">
        <v>1855000</v>
      </c>
      <c r="G562" t="s">
        <v>911</v>
      </c>
      <c r="H562">
        <v>2019047</v>
      </c>
      <c r="I562" t="s">
        <v>19</v>
      </c>
      <c r="J562" t="s">
        <v>20</v>
      </c>
      <c r="K562" t="s">
        <v>25</v>
      </c>
      <c r="L562">
        <v>0</v>
      </c>
      <c r="M562">
        <v>67.709999999999994</v>
      </c>
      <c r="N562">
        <v>0</v>
      </c>
      <c r="O562">
        <v>1106.6400000000001</v>
      </c>
      <c r="P562">
        <v>1174.3475000000001</v>
      </c>
    </row>
    <row r="563" spans="1:16" hidden="1" x14ac:dyDescent="0.25">
      <c r="A563" s="22">
        <v>43531</v>
      </c>
      <c r="B563" t="s">
        <v>738</v>
      </c>
      <c r="C563" t="s">
        <v>23</v>
      </c>
      <c r="D563">
        <v>5000</v>
      </c>
      <c r="E563">
        <v>370.64</v>
      </c>
      <c r="F563">
        <v>1853197.5</v>
      </c>
      <c r="G563" t="s">
        <v>912</v>
      </c>
      <c r="H563">
        <v>2019047</v>
      </c>
      <c r="I563" t="s">
        <v>19</v>
      </c>
      <c r="J563" t="s">
        <v>20</v>
      </c>
      <c r="K563" t="s">
        <v>25</v>
      </c>
      <c r="L563">
        <v>463.95</v>
      </c>
      <c r="M563">
        <v>67.64</v>
      </c>
      <c r="N563">
        <v>139.5</v>
      </c>
      <c r="O563">
        <v>1105.57</v>
      </c>
      <c r="P563">
        <v>1776.6614999999999</v>
      </c>
    </row>
    <row r="564" spans="1:16" hidden="1" x14ac:dyDescent="0.25">
      <c r="A564" s="22">
        <v>43530</v>
      </c>
      <c r="B564" t="s">
        <v>738</v>
      </c>
      <c r="C564" t="s">
        <v>23</v>
      </c>
      <c r="D564">
        <v>2500</v>
      </c>
      <c r="E564">
        <v>369.29</v>
      </c>
      <c r="F564">
        <v>923233.65</v>
      </c>
      <c r="G564" t="s">
        <v>913</v>
      </c>
      <c r="H564">
        <v>2019046</v>
      </c>
      <c r="I564" t="s">
        <v>19</v>
      </c>
      <c r="J564" t="s">
        <v>20</v>
      </c>
      <c r="K564" t="s">
        <v>25</v>
      </c>
      <c r="L564">
        <v>230.65</v>
      </c>
      <c r="M564">
        <v>33.700000000000003</v>
      </c>
      <c r="N564">
        <v>77.7</v>
      </c>
      <c r="O564">
        <v>550.75</v>
      </c>
      <c r="P564">
        <v>892.79809999999998</v>
      </c>
    </row>
    <row r="565" spans="1:16" hidden="1" x14ac:dyDescent="0.25">
      <c r="A565" s="22">
        <v>43530</v>
      </c>
      <c r="B565" t="s">
        <v>738</v>
      </c>
      <c r="C565" t="s">
        <v>23</v>
      </c>
      <c r="D565">
        <v>1000</v>
      </c>
      <c r="E565">
        <v>371</v>
      </c>
      <c r="F565">
        <v>371000</v>
      </c>
      <c r="G565" t="s">
        <v>914</v>
      </c>
      <c r="H565">
        <v>2019046</v>
      </c>
      <c r="I565" t="s">
        <v>19</v>
      </c>
      <c r="J565" t="s">
        <v>20</v>
      </c>
      <c r="K565" t="s">
        <v>25</v>
      </c>
      <c r="L565">
        <v>92.35</v>
      </c>
      <c r="M565">
        <v>13.54</v>
      </c>
      <c r="N565">
        <v>0</v>
      </c>
      <c r="O565">
        <v>221.32</v>
      </c>
      <c r="P565">
        <v>327.2115</v>
      </c>
    </row>
    <row r="566" spans="1:16" hidden="1" x14ac:dyDescent="0.25">
      <c r="A566" s="22">
        <v>43530</v>
      </c>
      <c r="B566" t="s">
        <v>738</v>
      </c>
      <c r="C566" t="s">
        <v>17</v>
      </c>
      <c r="D566">
        <v>3500</v>
      </c>
      <c r="E566">
        <v>369</v>
      </c>
      <c r="F566">
        <v>1291500</v>
      </c>
      <c r="G566" t="s">
        <v>915</v>
      </c>
      <c r="H566">
        <v>2019046</v>
      </c>
      <c r="I566" t="s">
        <v>19</v>
      </c>
      <c r="J566" t="s">
        <v>20</v>
      </c>
      <c r="K566" t="s">
        <v>25</v>
      </c>
      <c r="L566">
        <v>0</v>
      </c>
      <c r="M566">
        <v>47.14</v>
      </c>
      <c r="N566">
        <v>0</v>
      </c>
      <c r="O566">
        <v>770.47</v>
      </c>
      <c r="P566">
        <v>817.60979999999995</v>
      </c>
    </row>
    <row r="567" spans="1:16" hidden="1" x14ac:dyDescent="0.25">
      <c r="A567" s="22">
        <v>43529</v>
      </c>
      <c r="B567" t="s">
        <v>738</v>
      </c>
      <c r="C567" t="s">
        <v>17</v>
      </c>
      <c r="D567">
        <v>500</v>
      </c>
      <c r="E567">
        <v>355.05</v>
      </c>
      <c r="F567">
        <v>177525</v>
      </c>
      <c r="G567" t="s">
        <v>916</v>
      </c>
      <c r="H567">
        <v>2019045</v>
      </c>
      <c r="I567" t="s">
        <v>19</v>
      </c>
      <c r="J567" t="s">
        <v>20</v>
      </c>
      <c r="K567" t="s">
        <v>25</v>
      </c>
      <c r="L567">
        <v>0</v>
      </c>
      <c r="M567">
        <v>6.48</v>
      </c>
      <c r="N567">
        <v>0</v>
      </c>
      <c r="O567">
        <v>105.91</v>
      </c>
      <c r="P567">
        <v>112.3897</v>
      </c>
    </row>
    <row r="568" spans="1:16" hidden="1" x14ac:dyDescent="0.25">
      <c r="A568" s="22">
        <v>43529</v>
      </c>
      <c r="B568" t="s">
        <v>738</v>
      </c>
      <c r="C568" t="s">
        <v>23</v>
      </c>
      <c r="D568">
        <v>500</v>
      </c>
      <c r="E568">
        <v>357.25</v>
      </c>
      <c r="F568">
        <v>178625</v>
      </c>
      <c r="G568" t="s">
        <v>917</v>
      </c>
      <c r="H568">
        <v>2019045</v>
      </c>
      <c r="I568" t="s">
        <v>19</v>
      </c>
      <c r="J568" t="s">
        <v>20</v>
      </c>
      <c r="K568" t="s">
        <v>25</v>
      </c>
      <c r="L568">
        <v>45.26</v>
      </c>
      <c r="M568">
        <v>6.52</v>
      </c>
      <c r="N568">
        <v>0</v>
      </c>
      <c r="O568">
        <v>106.56</v>
      </c>
      <c r="P568">
        <v>158.3398</v>
      </c>
    </row>
    <row r="569" spans="1:16" hidden="1" x14ac:dyDescent="0.25">
      <c r="A569" s="22">
        <v>43529</v>
      </c>
      <c r="B569" t="s">
        <v>16</v>
      </c>
      <c r="C569" t="s">
        <v>17</v>
      </c>
      <c r="D569">
        <v>1000</v>
      </c>
      <c r="E569">
        <v>34.6</v>
      </c>
      <c r="F569">
        <v>34600</v>
      </c>
      <c r="G569" t="s">
        <v>918</v>
      </c>
      <c r="H569">
        <v>2019045</v>
      </c>
      <c r="I569" t="s">
        <v>19</v>
      </c>
      <c r="J569" t="s">
        <v>1526</v>
      </c>
      <c r="K569" t="s">
        <v>25</v>
      </c>
      <c r="L569">
        <v>34.6</v>
      </c>
      <c r="M569">
        <v>1.26</v>
      </c>
      <c r="N569">
        <v>0</v>
      </c>
      <c r="O569">
        <v>224.78</v>
      </c>
      <c r="P569">
        <v>260.6429</v>
      </c>
    </row>
    <row r="570" spans="1:16" hidden="1" x14ac:dyDescent="0.25">
      <c r="A570" s="22">
        <v>43529</v>
      </c>
      <c r="B570" t="s">
        <v>738</v>
      </c>
      <c r="C570" t="s">
        <v>23</v>
      </c>
      <c r="D570">
        <v>5000</v>
      </c>
      <c r="E570">
        <v>359.76</v>
      </c>
      <c r="F570">
        <v>1798806.4</v>
      </c>
      <c r="G570" t="s">
        <v>919</v>
      </c>
      <c r="H570">
        <v>2019045</v>
      </c>
      <c r="I570" t="s">
        <v>19</v>
      </c>
      <c r="J570" t="s">
        <v>20</v>
      </c>
      <c r="K570" t="s">
        <v>25</v>
      </c>
      <c r="L570">
        <v>452.59</v>
      </c>
      <c r="M570">
        <v>65.66</v>
      </c>
      <c r="N570">
        <v>0</v>
      </c>
      <c r="O570">
        <v>1072.95</v>
      </c>
      <c r="P570">
        <v>1591.1962000000001</v>
      </c>
    </row>
    <row r="571" spans="1:16" hidden="1" x14ac:dyDescent="0.25">
      <c r="A571" s="22">
        <v>43529</v>
      </c>
      <c r="B571" t="s">
        <v>738</v>
      </c>
      <c r="C571" t="s">
        <v>17</v>
      </c>
      <c r="D571">
        <v>5000</v>
      </c>
      <c r="E571">
        <v>362.47</v>
      </c>
      <c r="F571">
        <v>1812335</v>
      </c>
      <c r="G571" t="s">
        <v>920</v>
      </c>
      <c r="H571">
        <v>2019045</v>
      </c>
      <c r="I571" t="s">
        <v>19</v>
      </c>
      <c r="J571" t="s">
        <v>20</v>
      </c>
      <c r="K571" t="s">
        <v>25</v>
      </c>
      <c r="L571">
        <v>0</v>
      </c>
      <c r="M571">
        <v>66.150000000000006</v>
      </c>
      <c r="N571">
        <v>0</v>
      </c>
      <c r="O571">
        <v>1081.26</v>
      </c>
      <c r="P571">
        <v>1147.4100000000001</v>
      </c>
    </row>
    <row r="572" spans="1:16" hidden="1" x14ac:dyDescent="0.25">
      <c r="A572" s="22">
        <v>43529</v>
      </c>
      <c r="B572" t="s">
        <v>738</v>
      </c>
      <c r="C572" t="s">
        <v>17</v>
      </c>
      <c r="D572">
        <v>5000</v>
      </c>
      <c r="E572">
        <v>362.52</v>
      </c>
      <c r="F572">
        <v>1812597.9</v>
      </c>
      <c r="G572" t="s">
        <v>921</v>
      </c>
      <c r="H572">
        <v>2019045</v>
      </c>
      <c r="I572" t="s">
        <v>19</v>
      </c>
      <c r="J572" t="s">
        <v>20</v>
      </c>
      <c r="K572" t="s">
        <v>25</v>
      </c>
      <c r="L572">
        <v>0</v>
      </c>
      <c r="M572">
        <v>66.16</v>
      </c>
      <c r="N572">
        <v>0</v>
      </c>
      <c r="O572">
        <v>1081.3399999999999</v>
      </c>
      <c r="P572">
        <v>1147.5</v>
      </c>
    </row>
    <row r="573" spans="1:16" hidden="1" x14ac:dyDescent="0.25">
      <c r="A573" s="22">
        <v>43529</v>
      </c>
      <c r="B573" t="s">
        <v>738</v>
      </c>
      <c r="C573" t="s">
        <v>17</v>
      </c>
      <c r="D573">
        <v>5000</v>
      </c>
      <c r="E573">
        <v>362.42</v>
      </c>
      <c r="F573">
        <v>1812080.55</v>
      </c>
      <c r="G573" t="s">
        <v>922</v>
      </c>
      <c r="H573">
        <v>2019045</v>
      </c>
      <c r="I573" t="s">
        <v>19</v>
      </c>
      <c r="J573" t="s">
        <v>20</v>
      </c>
      <c r="K573" t="s">
        <v>25</v>
      </c>
      <c r="L573">
        <v>0</v>
      </c>
      <c r="M573">
        <v>66.14</v>
      </c>
      <c r="N573">
        <v>0</v>
      </c>
      <c r="O573">
        <v>1081.03</v>
      </c>
      <c r="P573">
        <v>1147.1711</v>
      </c>
    </row>
    <row r="574" spans="1:16" hidden="1" x14ac:dyDescent="0.25">
      <c r="A574" s="22">
        <v>43529</v>
      </c>
      <c r="B574" t="s">
        <v>738</v>
      </c>
      <c r="C574" t="s">
        <v>23</v>
      </c>
      <c r="D574">
        <v>10000</v>
      </c>
      <c r="E574">
        <v>363.24</v>
      </c>
      <c r="F574">
        <v>3632393.9</v>
      </c>
      <c r="G574" t="s">
        <v>923</v>
      </c>
      <c r="H574">
        <v>2019045</v>
      </c>
      <c r="I574" t="s">
        <v>19</v>
      </c>
      <c r="J574" t="s">
        <v>20</v>
      </c>
      <c r="K574" t="s">
        <v>25</v>
      </c>
      <c r="L574">
        <v>905.55</v>
      </c>
      <c r="M574">
        <v>132.58000000000001</v>
      </c>
      <c r="N574">
        <v>337.8</v>
      </c>
      <c r="O574">
        <v>2166.94</v>
      </c>
      <c r="P574">
        <v>3542.8717999999999</v>
      </c>
    </row>
    <row r="575" spans="1:16" hidden="1" x14ac:dyDescent="0.25">
      <c r="A575" s="22">
        <v>43525</v>
      </c>
      <c r="B575" t="s">
        <v>480</v>
      </c>
      <c r="C575" t="s">
        <v>23</v>
      </c>
      <c r="D575">
        <v>1000</v>
      </c>
      <c r="E575">
        <v>83.95</v>
      </c>
      <c r="F575">
        <v>83950</v>
      </c>
      <c r="G575" t="s">
        <v>924</v>
      </c>
      <c r="H575">
        <v>2019044</v>
      </c>
      <c r="I575" t="s">
        <v>19</v>
      </c>
      <c r="J575" t="s">
        <v>20</v>
      </c>
      <c r="K575" t="s">
        <v>25</v>
      </c>
      <c r="L575">
        <v>21.32</v>
      </c>
      <c r="M575">
        <v>3.06</v>
      </c>
      <c r="N575">
        <v>0</v>
      </c>
      <c r="O575">
        <v>50.08</v>
      </c>
      <c r="P575">
        <v>74.464200000000005</v>
      </c>
    </row>
    <row r="576" spans="1:16" hidden="1" x14ac:dyDescent="0.25">
      <c r="A576" s="22">
        <v>43525</v>
      </c>
      <c r="B576" t="s">
        <v>480</v>
      </c>
      <c r="C576" t="s">
        <v>17</v>
      </c>
      <c r="D576">
        <v>3500</v>
      </c>
      <c r="E576">
        <v>85.8</v>
      </c>
      <c r="F576">
        <v>300300</v>
      </c>
      <c r="G576" t="s">
        <v>925</v>
      </c>
      <c r="H576">
        <v>2019044</v>
      </c>
      <c r="I576" t="s">
        <v>19</v>
      </c>
      <c r="J576" t="s">
        <v>20</v>
      </c>
      <c r="K576" t="s">
        <v>25</v>
      </c>
      <c r="L576">
        <v>0</v>
      </c>
      <c r="M576">
        <v>10.96</v>
      </c>
      <c r="N576">
        <v>0</v>
      </c>
      <c r="O576">
        <v>179.15</v>
      </c>
      <c r="P576">
        <v>190.11109999999999</v>
      </c>
    </row>
    <row r="577" spans="1:16" hidden="1" x14ac:dyDescent="0.25">
      <c r="A577" s="22">
        <v>43525</v>
      </c>
      <c r="B577" t="s">
        <v>480</v>
      </c>
      <c r="C577" t="s">
        <v>23</v>
      </c>
      <c r="D577">
        <v>500</v>
      </c>
      <c r="E577">
        <v>84.76</v>
      </c>
      <c r="F577">
        <v>42381.7</v>
      </c>
      <c r="G577" t="s">
        <v>926</v>
      </c>
      <c r="H577">
        <v>2019044</v>
      </c>
      <c r="I577" t="s">
        <v>19</v>
      </c>
      <c r="J577" t="s">
        <v>20</v>
      </c>
      <c r="K577" t="s">
        <v>25</v>
      </c>
      <c r="L577">
        <v>11.03</v>
      </c>
      <c r="M577">
        <v>1.55</v>
      </c>
      <c r="N577">
        <v>18</v>
      </c>
      <c r="O577">
        <v>29.78</v>
      </c>
      <c r="P577">
        <v>60.356999999999999</v>
      </c>
    </row>
    <row r="578" spans="1:16" hidden="1" x14ac:dyDescent="0.25">
      <c r="A578" s="22">
        <v>43525</v>
      </c>
      <c r="B578" t="s">
        <v>480</v>
      </c>
      <c r="C578" t="s">
        <v>23</v>
      </c>
      <c r="D578">
        <v>2000</v>
      </c>
      <c r="E578">
        <v>85.2</v>
      </c>
      <c r="F578">
        <v>170400</v>
      </c>
      <c r="G578" t="s">
        <v>927</v>
      </c>
      <c r="H578">
        <v>2019044</v>
      </c>
      <c r="I578" t="s">
        <v>19</v>
      </c>
      <c r="J578" t="s">
        <v>20</v>
      </c>
      <c r="K578" t="s">
        <v>25</v>
      </c>
      <c r="L578">
        <v>42.65</v>
      </c>
      <c r="M578">
        <v>6.22</v>
      </c>
      <c r="N578">
        <v>0</v>
      </c>
      <c r="O578">
        <v>101.66</v>
      </c>
      <c r="P578">
        <v>150.52959999999999</v>
      </c>
    </row>
    <row r="579" spans="1:16" hidden="1" x14ac:dyDescent="0.25">
      <c r="A579" s="22">
        <v>43514</v>
      </c>
      <c r="B579" t="s">
        <v>205</v>
      </c>
      <c r="C579" t="s">
        <v>17</v>
      </c>
      <c r="D579">
        <v>100</v>
      </c>
      <c r="E579">
        <v>17.25</v>
      </c>
      <c r="F579">
        <v>1725</v>
      </c>
      <c r="G579" t="s">
        <v>928</v>
      </c>
      <c r="H579">
        <v>2019035</v>
      </c>
      <c r="I579" t="s">
        <v>19</v>
      </c>
      <c r="J579" t="s">
        <v>20</v>
      </c>
      <c r="K579" t="s">
        <v>25</v>
      </c>
      <c r="L579">
        <v>2</v>
      </c>
      <c r="M579">
        <v>0.06</v>
      </c>
      <c r="N579">
        <v>0.3</v>
      </c>
      <c r="O579">
        <v>41.31</v>
      </c>
      <c r="P579">
        <v>43.673000000000002</v>
      </c>
    </row>
    <row r="580" spans="1:16" hidden="1" x14ac:dyDescent="0.25">
      <c r="A580" s="22">
        <v>43501</v>
      </c>
      <c r="B580" t="s">
        <v>433</v>
      </c>
      <c r="C580" t="s">
        <v>17</v>
      </c>
      <c r="D580">
        <v>1000</v>
      </c>
      <c r="E580">
        <v>7.4</v>
      </c>
      <c r="F580">
        <v>7400</v>
      </c>
      <c r="G580" t="s">
        <v>929</v>
      </c>
      <c r="H580">
        <v>2019026</v>
      </c>
      <c r="I580" t="s">
        <v>19</v>
      </c>
      <c r="J580" t="s">
        <v>20</v>
      </c>
      <c r="K580" t="s">
        <v>25</v>
      </c>
      <c r="L580">
        <v>0</v>
      </c>
      <c r="M580">
        <v>0.27</v>
      </c>
      <c r="N580">
        <v>0</v>
      </c>
      <c r="O580">
        <v>29.55</v>
      </c>
      <c r="P580">
        <v>29.8201</v>
      </c>
    </row>
    <row r="581" spans="1:16" hidden="1" x14ac:dyDescent="0.25">
      <c r="A581" s="22">
        <v>43501</v>
      </c>
      <c r="B581" t="s">
        <v>433</v>
      </c>
      <c r="C581" t="s">
        <v>17</v>
      </c>
      <c r="D581">
        <v>1000</v>
      </c>
      <c r="E581">
        <v>6.75</v>
      </c>
      <c r="F581">
        <v>6750</v>
      </c>
      <c r="G581" t="s">
        <v>930</v>
      </c>
      <c r="H581">
        <v>2019026</v>
      </c>
      <c r="I581" t="s">
        <v>19</v>
      </c>
      <c r="J581" t="s">
        <v>20</v>
      </c>
      <c r="K581" t="s">
        <v>25</v>
      </c>
      <c r="L581">
        <v>0</v>
      </c>
      <c r="M581">
        <v>0.25</v>
      </c>
      <c r="N581">
        <v>0.9</v>
      </c>
      <c r="O581">
        <v>29.54</v>
      </c>
      <c r="P581">
        <v>30.686399999999999</v>
      </c>
    </row>
    <row r="582" spans="1:16" hidden="1" x14ac:dyDescent="0.25">
      <c r="A582" s="22">
        <v>43501</v>
      </c>
      <c r="B582" t="s">
        <v>433</v>
      </c>
      <c r="C582" t="s">
        <v>23</v>
      </c>
      <c r="D582">
        <v>179</v>
      </c>
      <c r="E582">
        <v>6.3</v>
      </c>
      <c r="F582">
        <v>1127.7</v>
      </c>
      <c r="G582" t="s">
        <v>931</v>
      </c>
      <c r="H582">
        <v>2019026</v>
      </c>
      <c r="I582" t="s">
        <v>19</v>
      </c>
      <c r="J582" t="s">
        <v>20</v>
      </c>
      <c r="K582" t="s">
        <v>25</v>
      </c>
      <c r="L582">
        <v>0.28000000000000003</v>
      </c>
      <c r="M582">
        <v>0.04</v>
      </c>
      <c r="N582">
        <v>0</v>
      </c>
      <c r="O582">
        <v>29.51</v>
      </c>
      <c r="P582">
        <v>29.831199999999999</v>
      </c>
    </row>
    <row r="583" spans="1:16" hidden="1" x14ac:dyDescent="0.25">
      <c r="A583" s="22">
        <v>43501</v>
      </c>
      <c r="B583" t="s">
        <v>433</v>
      </c>
      <c r="C583" t="s">
        <v>23</v>
      </c>
      <c r="D583">
        <v>164</v>
      </c>
      <c r="E583">
        <v>5.6</v>
      </c>
      <c r="F583">
        <v>918.4</v>
      </c>
      <c r="G583" t="s">
        <v>932</v>
      </c>
      <c r="H583">
        <v>2019026</v>
      </c>
      <c r="I583" t="s">
        <v>19</v>
      </c>
      <c r="J583" t="s">
        <v>20</v>
      </c>
      <c r="K583" t="s">
        <v>25</v>
      </c>
      <c r="L583">
        <v>0.26</v>
      </c>
      <c r="M583">
        <v>0.03</v>
      </c>
      <c r="N583">
        <v>0</v>
      </c>
      <c r="O583">
        <v>27.1</v>
      </c>
      <c r="P583">
        <v>27.3935</v>
      </c>
    </row>
    <row r="584" spans="1:16" hidden="1" x14ac:dyDescent="0.25">
      <c r="A584" s="22">
        <v>43501</v>
      </c>
      <c r="B584" t="s">
        <v>433</v>
      </c>
      <c r="C584" t="s">
        <v>23</v>
      </c>
      <c r="D584">
        <v>1657</v>
      </c>
      <c r="E584">
        <v>5.5</v>
      </c>
      <c r="F584">
        <v>9113.5</v>
      </c>
      <c r="G584" t="s">
        <v>933</v>
      </c>
      <c r="H584">
        <v>2019026</v>
      </c>
      <c r="I584" t="s">
        <v>19</v>
      </c>
      <c r="J584" t="s">
        <v>20</v>
      </c>
      <c r="K584" t="s">
        <v>25</v>
      </c>
      <c r="L584">
        <v>2.46</v>
      </c>
      <c r="M584">
        <v>0.33</v>
      </c>
      <c r="N584">
        <v>0</v>
      </c>
      <c r="O584">
        <v>29.56</v>
      </c>
      <c r="P584">
        <v>32.352699999999999</v>
      </c>
    </row>
    <row r="585" spans="1:16" hidden="1" x14ac:dyDescent="0.25">
      <c r="A585" s="22">
        <v>43500</v>
      </c>
      <c r="B585" t="s">
        <v>665</v>
      </c>
      <c r="C585" t="s">
        <v>23</v>
      </c>
      <c r="D585">
        <v>100</v>
      </c>
      <c r="E585">
        <v>102.05</v>
      </c>
      <c r="F585">
        <v>10205</v>
      </c>
      <c r="G585" t="s">
        <v>934</v>
      </c>
      <c r="H585">
        <v>2019025</v>
      </c>
      <c r="I585" t="s">
        <v>19</v>
      </c>
      <c r="J585" t="s">
        <v>20</v>
      </c>
      <c r="K585" t="s">
        <v>25</v>
      </c>
      <c r="L585">
        <v>3.09</v>
      </c>
      <c r="M585">
        <v>0.31</v>
      </c>
      <c r="N585">
        <v>4.8</v>
      </c>
      <c r="O585">
        <v>29.56</v>
      </c>
      <c r="P585">
        <v>37.756100000000004</v>
      </c>
    </row>
    <row r="586" spans="1:16" hidden="1" x14ac:dyDescent="0.25">
      <c r="A586" s="22">
        <v>43500</v>
      </c>
      <c r="B586" t="s">
        <v>665</v>
      </c>
      <c r="C586" t="s">
        <v>23</v>
      </c>
      <c r="D586">
        <v>250</v>
      </c>
      <c r="E586">
        <v>105.85</v>
      </c>
      <c r="F586">
        <v>26462.5</v>
      </c>
      <c r="G586" t="s">
        <v>935</v>
      </c>
      <c r="H586">
        <v>2019025</v>
      </c>
      <c r="I586" t="s">
        <v>19</v>
      </c>
      <c r="J586" t="s">
        <v>20</v>
      </c>
      <c r="K586" t="s">
        <v>25</v>
      </c>
      <c r="L586">
        <v>7.04</v>
      </c>
      <c r="M586">
        <v>0.79</v>
      </c>
      <c r="N586">
        <v>0</v>
      </c>
      <c r="O586">
        <v>29.64</v>
      </c>
      <c r="P586">
        <v>37.4739</v>
      </c>
    </row>
    <row r="587" spans="1:16" hidden="1" x14ac:dyDescent="0.25">
      <c r="A587" s="22">
        <v>43500</v>
      </c>
      <c r="B587" t="s">
        <v>665</v>
      </c>
      <c r="C587" t="s">
        <v>17</v>
      </c>
      <c r="D587">
        <v>116</v>
      </c>
      <c r="E587">
        <v>115.71</v>
      </c>
      <c r="F587">
        <v>13422.5</v>
      </c>
      <c r="G587" t="s">
        <v>936</v>
      </c>
      <c r="H587">
        <v>2019025</v>
      </c>
      <c r="I587" t="s">
        <v>19</v>
      </c>
      <c r="J587" t="s">
        <v>20</v>
      </c>
      <c r="K587" t="s">
        <v>25</v>
      </c>
      <c r="L587">
        <v>0</v>
      </c>
      <c r="M587">
        <v>0.4</v>
      </c>
      <c r="N587">
        <v>0</v>
      </c>
      <c r="O587">
        <v>29.57</v>
      </c>
      <c r="P587">
        <v>29.972799999999999</v>
      </c>
    </row>
    <row r="588" spans="1:16" hidden="1" x14ac:dyDescent="0.25">
      <c r="A588" s="22">
        <v>43500</v>
      </c>
      <c r="B588" t="s">
        <v>665</v>
      </c>
      <c r="C588" t="s">
        <v>17</v>
      </c>
      <c r="D588">
        <v>234</v>
      </c>
      <c r="E588">
        <v>115.9</v>
      </c>
      <c r="F588">
        <v>27121.7</v>
      </c>
      <c r="G588" t="s">
        <v>937</v>
      </c>
      <c r="H588">
        <v>2019025</v>
      </c>
      <c r="I588" t="s">
        <v>19</v>
      </c>
      <c r="J588" t="s">
        <v>20</v>
      </c>
      <c r="K588" t="s">
        <v>25</v>
      </c>
      <c r="L588">
        <v>0</v>
      </c>
      <c r="M588">
        <v>0.81</v>
      </c>
      <c r="N588">
        <v>0</v>
      </c>
      <c r="O588">
        <v>29.65</v>
      </c>
      <c r="P588">
        <v>30.4636</v>
      </c>
    </row>
    <row r="589" spans="1:16" hidden="1" x14ac:dyDescent="0.25">
      <c r="A589" s="22">
        <v>43500</v>
      </c>
      <c r="B589" t="s">
        <v>665</v>
      </c>
      <c r="C589" t="s">
        <v>23</v>
      </c>
      <c r="D589">
        <v>350</v>
      </c>
      <c r="E589">
        <v>114.61</v>
      </c>
      <c r="F589">
        <v>40114.699999999997</v>
      </c>
      <c r="G589" t="s">
        <v>938</v>
      </c>
      <c r="H589">
        <v>2019025</v>
      </c>
      <c r="I589" t="s">
        <v>19</v>
      </c>
      <c r="J589" t="s">
        <v>20</v>
      </c>
      <c r="K589" t="s">
        <v>25</v>
      </c>
      <c r="L589">
        <v>9.86</v>
      </c>
      <c r="M589">
        <v>1.2</v>
      </c>
      <c r="N589">
        <v>0</v>
      </c>
      <c r="O589">
        <v>29.72</v>
      </c>
      <c r="P589">
        <v>40.783499999999997</v>
      </c>
    </row>
    <row r="590" spans="1:16" hidden="1" x14ac:dyDescent="0.25">
      <c r="A590" s="22">
        <v>43500</v>
      </c>
      <c r="B590" t="s">
        <v>665</v>
      </c>
      <c r="C590" t="s">
        <v>17</v>
      </c>
      <c r="D590">
        <v>350</v>
      </c>
      <c r="E590">
        <v>115.65</v>
      </c>
      <c r="F590">
        <v>40477.5</v>
      </c>
      <c r="G590" t="s">
        <v>939</v>
      </c>
      <c r="H590">
        <v>2019025</v>
      </c>
      <c r="I590" t="s">
        <v>19</v>
      </c>
      <c r="J590" t="s">
        <v>20</v>
      </c>
      <c r="K590" t="s">
        <v>25</v>
      </c>
      <c r="L590">
        <v>0</v>
      </c>
      <c r="M590">
        <v>1.21</v>
      </c>
      <c r="N590">
        <v>0</v>
      </c>
      <c r="O590">
        <v>29.72</v>
      </c>
      <c r="P590">
        <v>30.9343</v>
      </c>
    </row>
    <row r="591" spans="1:16" hidden="1" x14ac:dyDescent="0.25">
      <c r="A591" s="22">
        <v>43497</v>
      </c>
      <c r="B591" t="s">
        <v>871</v>
      </c>
      <c r="C591" t="s">
        <v>17</v>
      </c>
      <c r="D591">
        <v>100</v>
      </c>
      <c r="E591">
        <v>163.5</v>
      </c>
      <c r="F591">
        <v>16350</v>
      </c>
      <c r="G591" t="s">
        <v>940</v>
      </c>
      <c r="H591">
        <v>2019024</v>
      </c>
      <c r="I591" t="s">
        <v>19</v>
      </c>
      <c r="J591" t="s">
        <v>20</v>
      </c>
      <c r="K591" t="s">
        <v>25</v>
      </c>
      <c r="L591">
        <v>0</v>
      </c>
      <c r="M591">
        <v>0.49</v>
      </c>
      <c r="N591">
        <v>0</v>
      </c>
      <c r="O591">
        <v>29.59</v>
      </c>
      <c r="P591">
        <v>30.080500000000001</v>
      </c>
    </row>
    <row r="592" spans="1:16" hidden="1" x14ac:dyDescent="0.25">
      <c r="A592" s="22">
        <v>43497</v>
      </c>
      <c r="B592" t="s">
        <v>871</v>
      </c>
      <c r="C592" t="s">
        <v>17</v>
      </c>
      <c r="D592">
        <v>150</v>
      </c>
      <c r="E592">
        <v>160.5</v>
      </c>
      <c r="F592">
        <v>24075</v>
      </c>
      <c r="G592" t="s">
        <v>941</v>
      </c>
      <c r="H592">
        <v>2019024</v>
      </c>
      <c r="I592" t="s">
        <v>19</v>
      </c>
      <c r="J592" t="s">
        <v>20</v>
      </c>
      <c r="K592" t="s">
        <v>25</v>
      </c>
      <c r="L592">
        <v>0</v>
      </c>
      <c r="M592">
        <v>0.72</v>
      </c>
      <c r="N592">
        <v>2.7</v>
      </c>
      <c r="O592">
        <v>29.63</v>
      </c>
      <c r="P592">
        <v>33.052199999999999</v>
      </c>
    </row>
    <row r="593" spans="1:16" hidden="1" x14ac:dyDescent="0.25">
      <c r="A593" s="22">
        <v>43497</v>
      </c>
      <c r="B593" t="s">
        <v>871</v>
      </c>
      <c r="C593" t="s">
        <v>23</v>
      </c>
      <c r="D593">
        <v>250</v>
      </c>
      <c r="E593">
        <v>165</v>
      </c>
      <c r="F593">
        <v>41250</v>
      </c>
      <c r="G593" t="s">
        <v>942</v>
      </c>
      <c r="H593">
        <v>2019024</v>
      </c>
      <c r="I593" t="s">
        <v>19</v>
      </c>
      <c r="J593" t="s">
        <v>20</v>
      </c>
      <c r="K593" t="s">
        <v>25</v>
      </c>
      <c r="L593">
        <v>10</v>
      </c>
      <c r="M593">
        <v>1.24</v>
      </c>
      <c r="N593">
        <v>0</v>
      </c>
      <c r="O593">
        <v>29.72</v>
      </c>
      <c r="P593">
        <v>40.957500000000003</v>
      </c>
    </row>
    <row r="594" spans="1:16" hidden="1" x14ac:dyDescent="0.25">
      <c r="A594" s="22">
        <v>43488</v>
      </c>
      <c r="B594" t="s">
        <v>111</v>
      </c>
      <c r="C594" t="s">
        <v>23</v>
      </c>
      <c r="D594">
        <v>50</v>
      </c>
      <c r="E594">
        <v>417.85</v>
      </c>
      <c r="F594">
        <v>20892.5</v>
      </c>
      <c r="G594" t="s">
        <v>834</v>
      </c>
      <c r="H594">
        <v>2019017</v>
      </c>
      <c r="I594" t="s">
        <v>19</v>
      </c>
      <c r="J594" t="s">
        <v>20</v>
      </c>
      <c r="K594" t="s">
        <v>25</v>
      </c>
      <c r="L594">
        <v>5.26</v>
      </c>
      <c r="M594">
        <v>0.63</v>
      </c>
      <c r="N594">
        <v>0</v>
      </c>
      <c r="O594">
        <v>29.61</v>
      </c>
      <c r="P594">
        <v>35.496699999999997</v>
      </c>
    </row>
    <row r="595" spans="1:16" hidden="1" x14ac:dyDescent="0.25">
      <c r="A595" s="22">
        <v>43488</v>
      </c>
      <c r="B595" t="s">
        <v>111</v>
      </c>
      <c r="C595" t="s">
        <v>23</v>
      </c>
      <c r="D595">
        <v>50</v>
      </c>
      <c r="E595">
        <v>416.05</v>
      </c>
      <c r="F595">
        <v>20802.5</v>
      </c>
      <c r="G595" t="s">
        <v>835</v>
      </c>
      <c r="H595">
        <v>2019017</v>
      </c>
      <c r="I595" t="s">
        <v>19</v>
      </c>
      <c r="J595" t="s">
        <v>20</v>
      </c>
      <c r="K595" t="s">
        <v>25</v>
      </c>
      <c r="L595">
        <v>5.26</v>
      </c>
      <c r="M595">
        <v>0.62</v>
      </c>
      <c r="N595">
        <v>0</v>
      </c>
      <c r="O595">
        <v>29.61</v>
      </c>
      <c r="P595">
        <v>35.494100000000003</v>
      </c>
    </row>
    <row r="596" spans="1:16" hidden="1" x14ac:dyDescent="0.25">
      <c r="A596" s="22">
        <v>43488</v>
      </c>
      <c r="B596" t="s">
        <v>111</v>
      </c>
      <c r="C596" t="s">
        <v>17</v>
      </c>
      <c r="D596">
        <v>700</v>
      </c>
      <c r="E596">
        <v>425.5</v>
      </c>
      <c r="F596">
        <v>297849</v>
      </c>
      <c r="G596" t="s">
        <v>836</v>
      </c>
      <c r="H596">
        <v>2019017</v>
      </c>
      <c r="I596" t="s">
        <v>19</v>
      </c>
      <c r="J596" t="s">
        <v>20</v>
      </c>
      <c r="K596" t="s">
        <v>25</v>
      </c>
      <c r="L596">
        <v>0</v>
      </c>
      <c r="M596">
        <v>8.94</v>
      </c>
      <c r="N596">
        <v>0</v>
      </c>
      <c r="O596">
        <v>177.34</v>
      </c>
      <c r="P596">
        <v>186.27549999999999</v>
      </c>
    </row>
    <row r="597" spans="1:16" hidden="1" x14ac:dyDescent="0.25">
      <c r="A597" s="22">
        <v>43488</v>
      </c>
      <c r="B597" t="s">
        <v>111</v>
      </c>
      <c r="C597" t="s">
        <v>23</v>
      </c>
      <c r="D597">
        <v>400</v>
      </c>
      <c r="E597">
        <v>413.3</v>
      </c>
      <c r="F597">
        <v>165318.9</v>
      </c>
      <c r="G597" t="s">
        <v>837</v>
      </c>
      <c r="H597">
        <v>2019017</v>
      </c>
      <c r="I597" t="s">
        <v>19</v>
      </c>
      <c r="J597" t="s">
        <v>20</v>
      </c>
      <c r="K597" t="s">
        <v>25</v>
      </c>
      <c r="L597">
        <v>42.46</v>
      </c>
      <c r="M597">
        <v>4.96</v>
      </c>
      <c r="N597">
        <v>17.7</v>
      </c>
      <c r="O597">
        <v>98.43</v>
      </c>
      <c r="P597">
        <v>163.54949999999999</v>
      </c>
    </row>
    <row r="598" spans="1:16" hidden="1" x14ac:dyDescent="0.25">
      <c r="A598" s="22">
        <v>43488</v>
      </c>
      <c r="B598" t="s">
        <v>111</v>
      </c>
      <c r="C598" t="s">
        <v>23</v>
      </c>
      <c r="D598">
        <v>200</v>
      </c>
      <c r="E598">
        <v>419.6</v>
      </c>
      <c r="F598">
        <v>83920.05</v>
      </c>
      <c r="G598" t="s">
        <v>838</v>
      </c>
      <c r="H598">
        <v>2019017</v>
      </c>
      <c r="I598" t="s">
        <v>19</v>
      </c>
      <c r="J598" t="s">
        <v>20</v>
      </c>
      <c r="K598" t="s">
        <v>25</v>
      </c>
      <c r="L598">
        <v>21.03</v>
      </c>
      <c r="M598">
        <v>2.52</v>
      </c>
      <c r="N598">
        <v>0</v>
      </c>
      <c r="O598">
        <v>49.97</v>
      </c>
      <c r="P598">
        <v>73.517700000000005</v>
      </c>
    </row>
    <row r="599" spans="1:16" hidden="1" x14ac:dyDescent="0.25">
      <c r="A599" s="22">
        <v>43487</v>
      </c>
      <c r="B599" t="s">
        <v>80</v>
      </c>
      <c r="C599" t="s">
        <v>23</v>
      </c>
      <c r="D599">
        <v>100</v>
      </c>
      <c r="E599">
        <v>181.75</v>
      </c>
      <c r="F599">
        <v>18175</v>
      </c>
      <c r="G599" t="s">
        <v>839</v>
      </c>
      <c r="H599">
        <v>2019016</v>
      </c>
      <c r="I599" t="s">
        <v>19</v>
      </c>
      <c r="J599" t="s">
        <v>20</v>
      </c>
      <c r="K599" t="s">
        <v>25</v>
      </c>
      <c r="L599">
        <v>4.8600000000000003</v>
      </c>
      <c r="M599">
        <v>0.55000000000000004</v>
      </c>
      <c r="N599">
        <v>2.4</v>
      </c>
      <c r="O599">
        <v>29.6</v>
      </c>
      <c r="P599">
        <v>37.405299999999997</v>
      </c>
    </row>
    <row r="600" spans="1:16" hidden="1" x14ac:dyDescent="0.25">
      <c r="A600" s="22">
        <v>43487</v>
      </c>
      <c r="B600" t="s">
        <v>80</v>
      </c>
      <c r="C600" t="s">
        <v>17</v>
      </c>
      <c r="D600">
        <v>200</v>
      </c>
      <c r="E600">
        <v>181</v>
      </c>
      <c r="F600">
        <v>36200</v>
      </c>
      <c r="G600" t="s">
        <v>840</v>
      </c>
      <c r="H600">
        <v>2019016</v>
      </c>
      <c r="I600" t="s">
        <v>19</v>
      </c>
      <c r="J600" t="s">
        <v>20</v>
      </c>
      <c r="K600" t="s">
        <v>25</v>
      </c>
      <c r="L600">
        <v>0</v>
      </c>
      <c r="M600">
        <v>1.0900000000000001</v>
      </c>
      <c r="N600">
        <v>0</v>
      </c>
      <c r="O600">
        <v>29.7</v>
      </c>
      <c r="P600">
        <v>30.786000000000001</v>
      </c>
    </row>
    <row r="601" spans="1:16" hidden="1" x14ac:dyDescent="0.25">
      <c r="A601" s="22">
        <v>43487</v>
      </c>
      <c r="B601" t="s">
        <v>80</v>
      </c>
      <c r="C601" t="s">
        <v>23</v>
      </c>
      <c r="D601">
        <v>100</v>
      </c>
      <c r="E601">
        <v>186</v>
      </c>
      <c r="F601">
        <v>18600</v>
      </c>
      <c r="G601" t="s">
        <v>841</v>
      </c>
      <c r="H601">
        <v>2019016</v>
      </c>
      <c r="I601" t="s">
        <v>19</v>
      </c>
      <c r="J601" t="s">
        <v>20</v>
      </c>
      <c r="K601" t="s">
        <v>25</v>
      </c>
      <c r="L601">
        <v>4.5599999999999996</v>
      </c>
      <c r="M601">
        <v>0.56000000000000005</v>
      </c>
      <c r="N601">
        <v>0</v>
      </c>
      <c r="O601">
        <v>29.6</v>
      </c>
      <c r="P601">
        <v>34.718000000000004</v>
      </c>
    </row>
    <row r="602" spans="1:16" hidden="1" x14ac:dyDescent="0.25">
      <c r="A602" s="22">
        <v>43487</v>
      </c>
      <c r="B602" t="s">
        <v>205</v>
      </c>
      <c r="C602" t="s">
        <v>17</v>
      </c>
      <c r="D602">
        <v>25</v>
      </c>
      <c r="E602">
        <v>23.15</v>
      </c>
      <c r="F602">
        <v>578.75</v>
      </c>
      <c r="G602" t="s">
        <v>842</v>
      </c>
      <c r="H602">
        <v>2019016</v>
      </c>
      <c r="I602" t="s">
        <v>19</v>
      </c>
      <c r="J602" t="s">
        <v>20</v>
      </c>
      <c r="K602" t="s">
        <v>25</v>
      </c>
      <c r="L602">
        <v>0.57999999999999996</v>
      </c>
      <c r="M602">
        <v>0.02</v>
      </c>
      <c r="N602">
        <v>0</v>
      </c>
      <c r="O602">
        <v>17.079999999999998</v>
      </c>
      <c r="P602">
        <v>17.677399999999999</v>
      </c>
    </row>
    <row r="603" spans="1:16" hidden="1" x14ac:dyDescent="0.25">
      <c r="A603" s="22">
        <v>43486</v>
      </c>
      <c r="B603" t="s">
        <v>800</v>
      </c>
      <c r="C603" t="s">
        <v>17</v>
      </c>
      <c r="D603">
        <v>100</v>
      </c>
      <c r="E603">
        <v>338.5</v>
      </c>
      <c r="F603">
        <v>33850</v>
      </c>
      <c r="G603" t="s">
        <v>843</v>
      </c>
      <c r="H603">
        <v>2019015</v>
      </c>
      <c r="I603" t="s">
        <v>19</v>
      </c>
      <c r="J603" t="s">
        <v>20</v>
      </c>
      <c r="K603" t="s">
        <v>25</v>
      </c>
      <c r="L603">
        <v>0</v>
      </c>
      <c r="M603">
        <v>1.02</v>
      </c>
      <c r="N603">
        <v>0</v>
      </c>
      <c r="O603">
        <v>29.68</v>
      </c>
      <c r="P603">
        <v>30.695499999999999</v>
      </c>
    </row>
    <row r="604" spans="1:16" hidden="1" x14ac:dyDescent="0.25">
      <c r="A604" s="22">
        <v>43486</v>
      </c>
      <c r="B604" t="s">
        <v>800</v>
      </c>
      <c r="C604" t="s">
        <v>23</v>
      </c>
      <c r="D604">
        <v>100</v>
      </c>
      <c r="E604">
        <v>343</v>
      </c>
      <c r="F604">
        <v>34300</v>
      </c>
      <c r="G604" t="s">
        <v>844</v>
      </c>
      <c r="H604">
        <v>2019015</v>
      </c>
      <c r="I604" t="s">
        <v>19</v>
      </c>
      <c r="J604" t="s">
        <v>20</v>
      </c>
      <c r="K604" t="s">
        <v>25</v>
      </c>
      <c r="L604">
        <v>8.99</v>
      </c>
      <c r="M604">
        <v>1.03</v>
      </c>
      <c r="N604">
        <v>4.5</v>
      </c>
      <c r="O604">
        <v>29.69</v>
      </c>
      <c r="P604">
        <v>44.209099999999999</v>
      </c>
    </row>
    <row r="605" spans="1:16" hidden="1" x14ac:dyDescent="0.25">
      <c r="A605" s="22">
        <v>43486</v>
      </c>
      <c r="B605" t="s">
        <v>111</v>
      </c>
      <c r="C605" t="s">
        <v>23</v>
      </c>
      <c r="D605">
        <v>100</v>
      </c>
      <c r="E605">
        <v>401</v>
      </c>
      <c r="F605">
        <v>40100</v>
      </c>
      <c r="G605" t="s">
        <v>845</v>
      </c>
      <c r="H605">
        <v>2019015</v>
      </c>
      <c r="I605" t="s">
        <v>19</v>
      </c>
      <c r="J605" t="s">
        <v>20</v>
      </c>
      <c r="K605" t="s">
        <v>25</v>
      </c>
      <c r="L605">
        <v>10.02</v>
      </c>
      <c r="M605">
        <v>1.2</v>
      </c>
      <c r="N605">
        <v>0</v>
      </c>
      <c r="O605">
        <v>29.72</v>
      </c>
      <c r="P605">
        <v>40.943100000000001</v>
      </c>
    </row>
    <row r="606" spans="1:16" hidden="1" x14ac:dyDescent="0.25">
      <c r="A606" s="22">
        <v>43486</v>
      </c>
      <c r="B606" t="s">
        <v>111</v>
      </c>
      <c r="C606" t="s">
        <v>17</v>
      </c>
      <c r="D606">
        <v>100</v>
      </c>
      <c r="E606">
        <v>400.2</v>
      </c>
      <c r="F606">
        <v>40020</v>
      </c>
      <c r="G606" t="s">
        <v>846</v>
      </c>
      <c r="H606">
        <v>2019015</v>
      </c>
      <c r="I606" t="s">
        <v>19</v>
      </c>
      <c r="J606" t="s">
        <v>20</v>
      </c>
      <c r="K606" t="s">
        <v>25</v>
      </c>
      <c r="L606">
        <v>0</v>
      </c>
      <c r="M606">
        <v>1.2</v>
      </c>
      <c r="N606">
        <v>0</v>
      </c>
      <c r="O606">
        <v>29.72</v>
      </c>
      <c r="P606">
        <v>30.9206</v>
      </c>
    </row>
    <row r="607" spans="1:16" hidden="1" x14ac:dyDescent="0.25">
      <c r="A607" s="22">
        <v>43483</v>
      </c>
      <c r="B607" t="s">
        <v>480</v>
      </c>
      <c r="C607" t="s">
        <v>23</v>
      </c>
      <c r="D607">
        <v>1000</v>
      </c>
      <c r="E607">
        <v>90.65</v>
      </c>
      <c r="F607">
        <v>90650</v>
      </c>
      <c r="G607" t="s">
        <v>847</v>
      </c>
      <c r="H607">
        <v>2019014</v>
      </c>
      <c r="I607" t="s">
        <v>19</v>
      </c>
      <c r="J607" t="s">
        <v>20</v>
      </c>
      <c r="K607" t="s">
        <v>25</v>
      </c>
      <c r="L607">
        <v>22.71</v>
      </c>
      <c r="M607">
        <v>2.72</v>
      </c>
      <c r="N607">
        <v>7.2</v>
      </c>
      <c r="O607">
        <v>53.98</v>
      </c>
      <c r="P607">
        <v>86.609499999999997</v>
      </c>
    </row>
    <row r="608" spans="1:16" hidden="1" x14ac:dyDescent="0.25">
      <c r="A608" s="22">
        <v>43483</v>
      </c>
      <c r="B608" t="s">
        <v>205</v>
      </c>
      <c r="C608" t="s">
        <v>17</v>
      </c>
      <c r="D608">
        <v>100</v>
      </c>
      <c r="E608">
        <v>22.9</v>
      </c>
      <c r="F608">
        <v>2290</v>
      </c>
      <c r="G608" t="s">
        <v>848</v>
      </c>
      <c r="H608">
        <v>2019014</v>
      </c>
      <c r="I608" t="s">
        <v>19</v>
      </c>
      <c r="J608" t="s">
        <v>20</v>
      </c>
      <c r="K608" t="s">
        <v>25</v>
      </c>
      <c r="L608">
        <v>2.29</v>
      </c>
      <c r="M608">
        <v>7.0000000000000007E-2</v>
      </c>
      <c r="N608">
        <v>0</v>
      </c>
      <c r="O608">
        <v>41.31</v>
      </c>
      <c r="P608">
        <v>43.668700000000001</v>
      </c>
    </row>
    <row r="609" spans="1:16" hidden="1" x14ac:dyDescent="0.25">
      <c r="A609" s="22">
        <v>43483</v>
      </c>
      <c r="B609" t="s">
        <v>849</v>
      </c>
      <c r="C609" t="s">
        <v>23</v>
      </c>
      <c r="D609">
        <v>100</v>
      </c>
      <c r="E609">
        <v>283.2</v>
      </c>
      <c r="F609">
        <v>28320</v>
      </c>
      <c r="G609" t="s">
        <v>850</v>
      </c>
      <c r="H609">
        <v>2019014</v>
      </c>
      <c r="I609" t="s">
        <v>19</v>
      </c>
      <c r="J609" t="s">
        <v>20</v>
      </c>
      <c r="K609" t="s">
        <v>25</v>
      </c>
      <c r="L609">
        <v>7</v>
      </c>
      <c r="M609">
        <v>0.85</v>
      </c>
      <c r="N609">
        <v>0</v>
      </c>
      <c r="O609">
        <v>29.65</v>
      </c>
      <c r="P609">
        <v>37.499600000000001</v>
      </c>
    </row>
    <row r="610" spans="1:16" hidden="1" x14ac:dyDescent="0.25">
      <c r="A610" s="22">
        <v>43483</v>
      </c>
      <c r="B610" t="s">
        <v>849</v>
      </c>
      <c r="C610" t="s">
        <v>17</v>
      </c>
      <c r="D610">
        <v>100</v>
      </c>
      <c r="E610">
        <v>277</v>
      </c>
      <c r="F610">
        <v>27700</v>
      </c>
      <c r="G610" t="s">
        <v>851</v>
      </c>
      <c r="H610">
        <v>2019014</v>
      </c>
      <c r="I610" t="s">
        <v>19</v>
      </c>
      <c r="J610" t="s">
        <v>20</v>
      </c>
      <c r="K610" t="s">
        <v>25</v>
      </c>
      <c r="L610">
        <v>0</v>
      </c>
      <c r="M610">
        <v>0.83</v>
      </c>
      <c r="N610">
        <v>0</v>
      </c>
      <c r="O610">
        <v>29.65</v>
      </c>
      <c r="P610">
        <v>30.481000000000002</v>
      </c>
    </row>
    <row r="611" spans="1:16" hidden="1" x14ac:dyDescent="0.25">
      <c r="A611" s="22">
        <v>43483</v>
      </c>
      <c r="B611" t="s">
        <v>480</v>
      </c>
      <c r="C611" t="s">
        <v>17</v>
      </c>
      <c r="D611">
        <v>1000</v>
      </c>
      <c r="E611">
        <v>89</v>
      </c>
      <c r="F611">
        <v>89000</v>
      </c>
      <c r="G611" t="s">
        <v>852</v>
      </c>
      <c r="H611">
        <v>2019014</v>
      </c>
      <c r="I611" t="s">
        <v>19</v>
      </c>
      <c r="J611" t="s">
        <v>20</v>
      </c>
      <c r="K611" t="s">
        <v>25</v>
      </c>
      <c r="L611">
        <v>0</v>
      </c>
      <c r="M611">
        <v>2.67</v>
      </c>
      <c r="N611">
        <v>0</v>
      </c>
      <c r="O611">
        <v>52.99</v>
      </c>
      <c r="P611">
        <v>55.66</v>
      </c>
    </row>
    <row r="612" spans="1:16" hidden="1" x14ac:dyDescent="0.25">
      <c r="A612" s="22">
        <v>43482</v>
      </c>
      <c r="B612" t="s">
        <v>56</v>
      </c>
      <c r="C612" t="s">
        <v>23</v>
      </c>
      <c r="D612">
        <v>100</v>
      </c>
      <c r="E612">
        <v>859</v>
      </c>
      <c r="F612">
        <v>85900</v>
      </c>
      <c r="G612" t="s">
        <v>853</v>
      </c>
      <c r="H612">
        <v>201819201</v>
      </c>
      <c r="I612" t="s">
        <v>19</v>
      </c>
      <c r="J612" t="s">
        <v>20</v>
      </c>
      <c r="K612" t="s">
        <v>21</v>
      </c>
      <c r="L612">
        <v>21.62</v>
      </c>
      <c r="M612">
        <v>2.4700000000000002</v>
      </c>
      <c r="N612">
        <v>0</v>
      </c>
      <c r="O612">
        <v>51.13</v>
      </c>
      <c r="P612">
        <v>75.218199999999996</v>
      </c>
    </row>
    <row r="613" spans="1:16" hidden="1" x14ac:dyDescent="0.25">
      <c r="A613" s="22">
        <v>43482</v>
      </c>
      <c r="B613" t="s">
        <v>480</v>
      </c>
      <c r="C613" t="s">
        <v>23</v>
      </c>
      <c r="D613">
        <v>1000</v>
      </c>
      <c r="E613">
        <v>92.3</v>
      </c>
      <c r="F613">
        <v>92300</v>
      </c>
      <c r="G613" t="s">
        <v>854</v>
      </c>
      <c r="H613">
        <v>201819201</v>
      </c>
      <c r="I613" t="s">
        <v>19</v>
      </c>
      <c r="J613" t="s">
        <v>20</v>
      </c>
      <c r="K613" t="s">
        <v>21</v>
      </c>
      <c r="L613">
        <v>23.38</v>
      </c>
      <c r="M613">
        <v>2.65</v>
      </c>
      <c r="N613">
        <v>0</v>
      </c>
      <c r="O613">
        <v>54.93</v>
      </c>
      <c r="P613">
        <v>80.960599999999999</v>
      </c>
    </row>
    <row r="614" spans="1:16" hidden="1" x14ac:dyDescent="0.25">
      <c r="A614" s="22">
        <v>43482</v>
      </c>
      <c r="B614" t="s">
        <v>480</v>
      </c>
      <c r="C614" t="s">
        <v>17</v>
      </c>
      <c r="D614">
        <v>1000</v>
      </c>
      <c r="E614">
        <v>91.25</v>
      </c>
      <c r="F614">
        <v>91250</v>
      </c>
      <c r="G614" t="s">
        <v>855</v>
      </c>
      <c r="H614">
        <v>201819201</v>
      </c>
      <c r="I614" t="s">
        <v>19</v>
      </c>
      <c r="J614" t="s">
        <v>20</v>
      </c>
      <c r="K614" t="s">
        <v>21</v>
      </c>
      <c r="L614">
        <v>0</v>
      </c>
      <c r="M614">
        <v>2.64</v>
      </c>
      <c r="N614">
        <v>10.8</v>
      </c>
      <c r="O614">
        <v>54.32</v>
      </c>
      <c r="P614">
        <v>67.7607</v>
      </c>
    </row>
    <row r="615" spans="1:16" hidden="1" x14ac:dyDescent="0.25">
      <c r="A615" s="22">
        <v>43482</v>
      </c>
      <c r="B615" t="s">
        <v>56</v>
      </c>
      <c r="C615" t="s">
        <v>17</v>
      </c>
      <c r="D615">
        <v>100</v>
      </c>
      <c r="E615">
        <v>870.26</v>
      </c>
      <c r="F615">
        <v>87026</v>
      </c>
      <c r="G615" t="s">
        <v>856</v>
      </c>
      <c r="H615">
        <v>201819201</v>
      </c>
      <c r="I615" t="s">
        <v>19</v>
      </c>
      <c r="J615" t="s">
        <v>20</v>
      </c>
      <c r="K615" t="s">
        <v>21</v>
      </c>
      <c r="L615">
        <v>0</v>
      </c>
      <c r="M615">
        <v>2.58</v>
      </c>
      <c r="N615">
        <v>0</v>
      </c>
      <c r="O615">
        <v>51.8</v>
      </c>
      <c r="P615">
        <v>54.380299999999998</v>
      </c>
    </row>
    <row r="616" spans="1:16" hidden="1" x14ac:dyDescent="0.25">
      <c r="A616" s="22">
        <v>43482</v>
      </c>
      <c r="B616" t="s">
        <v>56</v>
      </c>
      <c r="C616" t="s">
        <v>23</v>
      </c>
      <c r="D616">
        <v>50</v>
      </c>
      <c r="E616">
        <v>843</v>
      </c>
      <c r="F616">
        <v>42150</v>
      </c>
      <c r="G616" t="s">
        <v>857</v>
      </c>
      <c r="H616">
        <v>2019013</v>
      </c>
      <c r="I616" t="s">
        <v>19</v>
      </c>
      <c r="J616" t="s">
        <v>20</v>
      </c>
      <c r="K616" t="s">
        <v>25</v>
      </c>
      <c r="L616">
        <v>10.45</v>
      </c>
      <c r="M616">
        <v>1.26</v>
      </c>
      <c r="N616">
        <v>0</v>
      </c>
      <c r="O616">
        <v>29.73</v>
      </c>
      <c r="P616">
        <v>41.444499999999998</v>
      </c>
    </row>
    <row r="617" spans="1:16" hidden="1" x14ac:dyDescent="0.25">
      <c r="A617" s="22">
        <v>43482</v>
      </c>
      <c r="B617" t="s">
        <v>56</v>
      </c>
      <c r="C617" t="s">
        <v>17</v>
      </c>
      <c r="D617">
        <v>50</v>
      </c>
      <c r="E617">
        <v>829</v>
      </c>
      <c r="F617">
        <v>41450</v>
      </c>
      <c r="G617" t="s">
        <v>858</v>
      </c>
      <c r="H617">
        <v>2019013</v>
      </c>
      <c r="I617" t="s">
        <v>19</v>
      </c>
      <c r="J617" t="s">
        <v>20</v>
      </c>
      <c r="K617" t="s">
        <v>25</v>
      </c>
      <c r="L617">
        <v>0</v>
      </c>
      <c r="M617">
        <v>1.24</v>
      </c>
      <c r="N617">
        <v>0</v>
      </c>
      <c r="O617">
        <v>29.72</v>
      </c>
      <c r="P617">
        <v>30.9635</v>
      </c>
    </row>
    <row r="618" spans="1:16" hidden="1" x14ac:dyDescent="0.25">
      <c r="A618" s="22">
        <v>43482</v>
      </c>
      <c r="B618" t="s">
        <v>480</v>
      </c>
      <c r="C618" t="s">
        <v>17</v>
      </c>
      <c r="D618">
        <v>500</v>
      </c>
      <c r="E618">
        <v>87</v>
      </c>
      <c r="F618">
        <v>43500</v>
      </c>
      <c r="G618" t="s">
        <v>859</v>
      </c>
      <c r="H618">
        <v>2019013</v>
      </c>
      <c r="I618" t="s">
        <v>19</v>
      </c>
      <c r="J618" t="s">
        <v>20</v>
      </c>
      <c r="K618" t="s">
        <v>25</v>
      </c>
      <c r="L618">
        <v>0</v>
      </c>
      <c r="M618">
        <v>1.3</v>
      </c>
      <c r="N618">
        <v>0</v>
      </c>
      <c r="O618">
        <v>29.74</v>
      </c>
      <c r="P618">
        <v>31.044899999999998</v>
      </c>
    </row>
    <row r="619" spans="1:16" hidden="1" x14ac:dyDescent="0.25">
      <c r="A619" s="22">
        <v>43482</v>
      </c>
      <c r="B619" t="s">
        <v>480</v>
      </c>
      <c r="C619" t="s">
        <v>23</v>
      </c>
      <c r="D619">
        <v>500</v>
      </c>
      <c r="E619">
        <v>88.25</v>
      </c>
      <c r="F619">
        <v>44125</v>
      </c>
      <c r="G619" t="s">
        <v>860</v>
      </c>
      <c r="H619">
        <v>2019013</v>
      </c>
      <c r="I619" t="s">
        <v>19</v>
      </c>
      <c r="J619" t="s">
        <v>20</v>
      </c>
      <c r="K619" t="s">
        <v>25</v>
      </c>
      <c r="L619">
        <v>10.95</v>
      </c>
      <c r="M619">
        <v>1.32</v>
      </c>
      <c r="N619">
        <v>0</v>
      </c>
      <c r="O619">
        <v>29.74</v>
      </c>
      <c r="P619">
        <v>42.013800000000003</v>
      </c>
    </row>
    <row r="620" spans="1:16" hidden="1" x14ac:dyDescent="0.25">
      <c r="A620" s="22">
        <v>43482</v>
      </c>
      <c r="B620" t="s">
        <v>205</v>
      </c>
      <c r="C620" t="s">
        <v>17</v>
      </c>
      <c r="D620">
        <v>25</v>
      </c>
      <c r="E620">
        <v>23.05</v>
      </c>
      <c r="F620">
        <v>576.25</v>
      </c>
      <c r="G620" t="s">
        <v>861</v>
      </c>
      <c r="H620">
        <v>2019013</v>
      </c>
      <c r="I620" t="s">
        <v>19</v>
      </c>
      <c r="J620" t="s">
        <v>20</v>
      </c>
      <c r="K620" t="s">
        <v>25</v>
      </c>
      <c r="L620">
        <v>0.6</v>
      </c>
      <c r="M620">
        <v>0.02</v>
      </c>
      <c r="N620">
        <v>5.4</v>
      </c>
      <c r="O620">
        <v>17</v>
      </c>
      <c r="P620">
        <v>23.017299999999999</v>
      </c>
    </row>
    <row r="621" spans="1:16" hidden="1" x14ac:dyDescent="0.25">
      <c r="A621" s="22">
        <v>43474</v>
      </c>
      <c r="B621" t="s">
        <v>862</v>
      </c>
      <c r="C621" t="s">
        <v>23</v>
      </c>
      <c r="D621">
        <v>200</v>
      </c>
      <c r="E621">
        <v>233.35</v>
      </c>
      <c r="F621">
        <v>46670</v>
      </c>
      <c r="G621" t="s">
        <v>863</v>
      </c>
      <c r="H621">
        <v>201819195</v>
      </c>
      <c r="I621" t="s">
        <v>19</v>
      </c>
      <c r="J621" t="s">
        <v>20</v>
      </c>
      <c r="K621" t="s">
        <v>21</v>
      </c>
      <c r="L621">
        <v>11.88</v>
      </c>
      <c r="M621">
        <v>1.35</v>
      </c>
      <c r="N621">
        <v>0</v>
      </c>
      <c r="O621">
        <v>29.74</v>
      </c>
      <c r="P621">
        <v>42.970100000000002</v>
      </c>
    </row>
    <row r="622" spans="1:16" hidden="1" x14ac:dyDescent="0.25">
      <c r="A622" s="22">
        <v>43474</v>
      </c>
      <c r="B622" t="s">
        <v>862</v>
      </c>
      <c r="C622" t="s">
        <v>23</v>
      </c>
      <c r="D622">
        <v>100</v>
      </c>
      <c r="E622">
        <v>234</v>
      </c>
      <c r="F622">
        <v>23400</v>
      </c>
      <c r="G622" t="s">
        <v>864</v>
      </c>
      <c r="H622">
        <v>201819195</v>
      </c>
      <c r="I622" t="s">
        <v>19</v>
      </c>
      <c r="J622" t="s">
        <v>20</v>
      </c>
      <c r="K622" t="s">
        <v>21</v>
      </c>
      <c r="L622">
        <v>5.94</v>
      </c>
      <c r="M622">
        <v>0.69</v>
      </c>
      <c r="N622">
        <v>0</v>
      </c>
      <c r="O622">
        <v>29.62</v>
      </c>
      <c r="P622">
        <v>36.246899999999997</v>
      </c>
    </row>
    <row r="623" spans="1:16" hidden="1" x14ac:dyDescent="0.25">
      <c r="A623" s="22">
        <v>43474</v>
      </c>
      <c r="B623" t="s">
        <v>862</v>
      </c>
      <c r="C623" t="s">
        <v>23</v>
      </c>
      <c r="D623">
        <v>100</v>
      </c>
      <c r="E623">
        <v>237.51</v>
      </c>
      <c r="F623">
        <v>23751.1</v>
      </c>
      <c r="G623" t="s">
        <v>865</v>
      </c>
      <c r="H623">
        <v>201819195</v>
      </c>
      <c r="I623" t="s">
        <v>19</v>
      </c>
      <c r="J623" t="s">
        <v>20</v>
      </c>
      <c r="K623" t="s">
        <v>21</v>
      </c>
      <c r="L623">
        <v>6.17</v>
      </c>
      <c r="M623">
        <v>0.72</v>
      </c>
      <c r="N623">
        <v>0</v>
      </c>
      <c r="O623">
        <v>29.63</v>
      </c>
      <c r="P623">
        <v>36.5169</v>
      </c>
    </row>
    <row r="624" spans="1:16" hidden="1" x14ac:dyDescent="0.25">
      <c r="A624" s="22">
        <v>43474</v>
      </c>
      <c r="B624" t="s">
        <v>862</v>
      </c>
      <c r="C624" t="s">
        <v>17</v>
      </c>
      <c r="D624">
        <v>400</v>
      </c>
      <c r="E624">
        <v>240.8</v>
      </c>
      <c r="F624">
        <v>96320</v>
      </c>
      <c r="G624" t="s">
        <v>866</v>
      </c>
      <c r="H624">
        <v>201819195</v>
      </c>
      <c r="I624" t="s">
        <v>19</v>
      </c>
      <c r="J624" t="s">
        <v>20</v>
      </c>
      <c r="K624" t="s">
        <v>21</v>
      </c>
      <c r="L624">
        <v>0</v>
      </c>
      <c r="M624">
        <v>2.79</v>
      </c>
      <c r="N624">
        <v>6</v>
      </c>
      <c r="O624">
        <v>57.34</v>
      </c>
      <c r="P624">
        <v>66.125100000000003</v>
      </c>
    </row>
    <row r="625" spans="1:16" hidden="1" x14ac:dyDescent="0.25">
      <c r="A625" s="22">
        <v>43473</v>
      </c>
      <c r="B625" t="s">
        <v>862</v>
      </c>
      <c r="C625" t="s">
        <v>17</v>
      </c>
      <c r="D625">
        <v>100</v>
      </c>
      <c r="E625">
        <v>267.7</v>
      </c>
      <c r="F625">
        <v>26770</v>
      </c>
      <c r="G625" t="s">
        <v>867</v>
      </c>
      <c r="H625">
        <v>2019006</v>
      </c>
      <c r="I625" t="s">
        <v>19</v>
      </c>
      <c r="J625" t="s">
        <v>20</v>
      </c>
      <c r="K625" t="s">
        <v>25</v>
      </c>
      <c r="L625">
        <v>0</v>
      </c>
      <c r="M625">
        <v>0.8</v>
      </c>
      <c r="N625">
        <v>0</v>
      </c>
      <c r="O625">
        <v>29.64</v>
      </c>
      <c r="P625">
        <v>30.443100000000001</v>
      </c>
    </row>
    <row r="626" spans="1:16" hidden="1" x14ac:dyDescent="0.25">
      <c r="A626" s="22">
        <v>43473</v>
      </c>
      <c r="B626" t="s">
        <v>862</v>
      </c>
      <c r="C626" t="s">
        <v>23</v>
      </c>
      <c r="D626">
        <v>100</v>
      </c>
      <c r="E626">
        <v>253.05</v>
      </c>
      <c r="F626">
        <v>25305</v>
      </c>
      <c r="G626" t="s">
        <v>868</v>
      </c>
      <c r="H626">
        <v>2019006</v>
      </c>
      <c r="I626" t="s">
        <v>19</v>
      </c>
      <c r="J626" t="s">
        <v>20</v>
      </c>
      <c r="K626" t="s">
        <v>25</v>
      </c>
      <c r="L626">
        <v>7</v>
      </c>
      <c r="M626">
        <v>0.76</v>
      </c>
      <c r="N626">
        <v>1.8</v>
      </c>
      <c r="O626">
        <v>29.64</v>
      </c>
      <c r="P626">
        <v>39.199100000000001</v>
      </c>
    </row>
    <row r="627" spans="1:16" hidden="1" x14ac:dyDescent="0.25">
      <c r="A627" s="22">
        <v>43469</v>
      </c>
      <c r="B627" t="s">
        <v>849</v>
      </c>
      <c r="C627" t="s">
        <v>17</v>
      </c>
      <c r="D627">
        <v>200</v>
      </c>
      <c r="E627">
        <v>241.45</v>
      </c>
      <c r="F627">
        <v>48290</v>
      </c>
      <c r="G627" t="s">
        <v>869</v>
      </c>
      <c r="H627">
        <v>201819192</v>
      </c>
      <c r="I627" t="s">
        <v>19</v>
      </c>
      <c r="J627" t="s">
        <v>20</v>
      </c>
      <c r="K627" t="s">
        <v>21</v>
      </c>
      <c r="L627">
        <v>0</v>
      </c>
      <c r="M627">
        <v>1.4</v>
      </c>
      <c r="N627">
        <v>0</v>
      </c>
      <c r="O627">
        <v>29.75</v>
      </c>
      <c r="P627">
        <v>31.1462</v>
      </c>
    </row>
    <row r="628" spans="1:16" hidden="1" x14ac:dyDescent="0.25">
      <c r="A628" s="22">
        <v>43469</v>
      </c>
      <c r="B628" t="s">
        <v>849</v>
      </c>
      <c r="C628" t="s">
        <v>23</v>
      </c>
      <c r="D628">
        <v>200</v>
      </c>
      <c r="E628">
        <v>238.5</v>
      </c>
      <c r="F628">
        <v>47700</v>
      </c>
      <c r="G628" t="s">
        <v>870</v>
      </c>
      <c r="H628">
        <v>201819192</v>
      </c>
      <c r="I628" t="s">
        <v>19</v>
      </c>
      <c r="J628" t="s">
        <v>20</v>
      </c>
      <c r="K628" t="s">
        <v>21</v>
      </c>
      <c r="L628">
        <v>12.14</v>
      </c>
      <c r="M628">
        <v>1.38</v>
      </c>
      <c r="N628">
        <v>0</v>
      </c>
      <c r="O628">
        <v>29.75</v>
      </c>
      <c r="P628">
        <v>43.269500000000001</v>
      </c>
    </row>
    <row r="629" spans="1:16" hidden="1" x14ac:dyDescent="0.25">
      <c r="A629" s="22">
        <v>43469</v>
      </c>
      <c r="B629" t="s">
        <v>871</v>
      </c>
      <c r="C629" t="s">
        <v>23</v>
      </c>
      <c r="D629">
        <v>100</v>
      </c>
      <c r="E629">
        <v>187.86</v>
      </c>
      <c r="F629">
        <v>18785.5</v>
      </c>
      <c r="G629" t="s">
        <v>872</v>
      </c>
      <c r="H629">
        <v>201819192</v>
      </c>
      <c r="I629" t="s">
        <v>19</v>
      </c>
      <c r="J629" t="s">
        <v>20</v>
      </c>
      <c r="K629" t="s">
        <v>21</v>
      </c>
      <c r="L629">
        <v>4.6100000000000003</v>
      </c>
      <c r="M629">
        <v>0.6</v>
      </c>
      <c r="N629">
        <v>0</v>
      </c>
      <c r="O629">
        <v>29.6</v>
      </c>
      <c r="P629">
        <v>34.805300000000003</v>
      </c>
    </row>
    <row r="630" spans="1:16" hidden="1" x14ac:dyDescent="0.25">
      <c r="A630" s="22">
        <v>43469</v>
      </c>
      <c r="B630" t="s">
        <v>849</v>
      </c>
      <c r="C630" t="s">
        <v>23</v>
      </c>
      <c r="D630">
        <v>350</v>
      </c>
      <c r="E630">
        <v>245</v>
      </c>
      <c r="F630">
        <v>85750</v>
      </c>
      <c r="G630" t="s">
        <v>873</v>
      </c>
      <c r="H630">
        <v>201819192</v>
      </c>
      <c r="I630" t="s">
        <v>19</v>
      </c>
      <c r="J630" t="s">
        <v>20</v>
      </c>
      <c r="K630" t="s">
        <v>21</v>
      </c>
      <c r="L630">
        <v>21.25</v>
      </c>
      <c r="M630">
        <v>2.5</v>
      </c>
      <c r="N630">
        <v>0</v>
      </c>
      <c r="O630">
        <v>51.05</v>
      </c>
      <c r="P630">
        <v>74.803899999999999</v>
      </c>
    </row>
    <row r="631" spans="1:16" hidden="1" x14ac:dyDescent="0.25">
      <c r="A631" s="22">
        <v>43469</v>
      </c>
      <c r="B631" t="s">
        <v>849</v>
      </c>
      <c r="C631" t="s">
        <v>17</v>
      </c>
      <c r="D631">
        <v>350</v>
      </c>
      <c r="E631">
        <v>244</v>
      </c>
      <c r="F631">
        <v>85400</v>
      </c>
      <c r="G631" t="s">
        <v>874</v>
      </c>
      <c r="H631">
        <v>201819192</v>
      </c>
      <c r="I631" t="s">
        <v>19</v>
      </c>
      <c r="J631" t="s">
        <v>20</v>
      </c>
      <c r="K631" t="s">
        <v>21</v>
      </c>
      <c r="L631">
        <v>0</v>
      </c>
      <c r="M631">
        <v>2.4500000000000002</v>
      </c>
      <c r="N631">
        <v>0</v>
      </c>
      <c r="O631">
        <v>50.83</v>
      </c>
      <c r="P631">
        <v>53.283900000000003</v>
      </c>
    </row>
    <row r="632" spans="1:16" hidden="1" x14ac:dyDescent="0.25">
      <c r="A632" s="22">
        <v>43469</v>
      </c>
      <c r="B632" t="s">
        <v>871</v>
      </c>
      <c r="C632" t="s">
        <v>17</v>
      </c>
      <c r="D632">
        <v>100</v>
      </c>
      <c r="E632">
        <v>193.4</v>
      </c>
      <c r="F632">
        <v>19340</v>
      </c>
      <c r="G632" t="s">
        <v>875</v>
      </c>
      <c r="H632">
        <v>201819192</v>
      </c>
      <c r="I632" t="s">
        <v>19</v>
      </c>
      <c r="J632" t="s">
        <v>20</v>
      </c>
      <c r="K632" t="s">
        <v>21</v>
      </c>
      <c r="L632">
        <v>0</v>
      </c>
      <c r="M632">
        <v>0.56999999999999995</v>
      </c>
      <c r="N632">
        <v>9.3000000000000007</v>
      </c>
      <c r="O632">
        <v>29.6</v>
      </c>
      <c r="P632">
        <v>39.471200000000003</v>
      </c>
    </row>
    <row r="633" spans="1:16" hidden="1" x14ac:dyDescent="0.25">
      <c r="A633" s="22">
        <v>43468</v>
      </c>
      <c r="B633" t="s">
        <v>849</v>
      </c>
      <c r="C633" t="s">
        <v>23</v>
      </c>
      <c r="D633">
        <v>500</v>
      </c>
      <c r="E633">
        <v>247.01</v>
      </c>
      <c r="F633">
        <v>123507.2</v>
      </c>
      <c r="G633" t="s">
        <v>876</v>
      </c>
      <c r="H633">
        <v>201819191</v>
      </c>
      <c r="I633" t="s">
        <v>19</v>
      </c>
      <c r="J633" t="s">
        <v>20</v>
      </c>
      <c r="K633" t="s">
        <v>21</v>
      </c>
      <c r="L633">
        <v>31</v>
      </c>
      <c r="M633">
        <v>3.6</v>
      </c>
      <c r="N633">
        <v>0</v>
      </c>
      <c r="O633">
        <v>73.52</v>
      </c>
      <c r="P633">
        <v>108.1198</v>
      </c>
    </row>
    <row r="634" spans="1:16" hidden="1" x14ac:dyDescent="0.25">
      <c r="A634" s="22">
        <v>43468</v>
      </c>
      <c r="B634" t="s">
        <v>849</v>
      </c>
      <c r="C634" t="s">
        <v>17</v>
      </c>
      <c r="D634">
        <v>500</v>
      </c>
      <c r="E634">
        <v>246.91</v>
      </c>
      <c r="F634">
        <v>123453.45</v>
      </c>
      <c r="G634" t="s">
        <v>877</v>
      </c>
      <c r="H634">
        <v>201819191</v>
      </c>
      <c r="I634" t="s">
        <v>19</v>
      </c>
      <c r="J634" t="s">
        <v>20</v>
      </c>
      <c r="K634" t="s">
        <v>21</v>
      </c>
      <c r="L634">
        <v>0</v>
      </c>
      <c r="M634">
        <v>3.58</v>
      </c>
      <c r="N634">
        <v>7.5</v>
      </c>
      <c r="O634">
        <v>73.48</v>
      </c>
      <c r="P634">
        <v>84.558300000000003</v>
      </c>
    </row>
    <row r="635" spans="1:16" hidden="1" x14ac:dyDescent="0.25">
      <c r="A635" s="22">
        <v>43468</v>
      </c>
      <c r="B635" t="s">
        <v>849</v>
      </c>
      <c r="C635" t="s">
        <v>17</v>
      </c>
      <c r="D635">
        <v>100</v>
      </c>
      <c r="E635">
        <v>253</v>
      </c>
      <c r="F635">
        <v>25300</v>
      </c>
      <c r="G635" t="s">
        <v>878</v>
      </c>
      <c r="H635">
        <v>2019003</v>
      </c>
      <c r="I635" t="s">
        <v>19</v>
      </c>
      <c r="J635" t="s">
        <v>20</v>
      </c>
      <c r="K635" t="s">
        <v>25</v>
      </c>
      <c r="L635">
        <v>0</v>
      </c>
      <c r="M635">
        <v>0.76</v>
      </c>
      <c r="N635">
        <v>0</v>
      </c>
      <c r="O635">
        <v>29.64</v>
      </c>
      <c r="P635">
        <v>30.399100000000001</v>
      </c>
    </row>
    <row r="636" spans="1:16" hidden="1" x14ac:dyDescent="0.25">
      <c r="A636" s="22">
        <v>43468</v>
      </c>
      <c r="B636" t="s">
        <v>849</v>
      </c>
      <c r="C636" t="s">
        <v>17</v>
      </c>
      <c r="D636">
        <v>100</v>
      </c>
      <c r="E636">
        <v>250.5</v>
      </c>
      <c r="F636">
        <v>25050</v>
      </c>
      <c r="G636" t="s">
        <v>879</v>
      </c>
      <c r="H636">
        <v>2019003</v>
      </c>
      <c r="I636" t="s">
        <v>19</v>
      </c>
      <c r="J636" t="s">
        <v>20</v>
      </c>
      <c r="K636" t="s">
        <v>25</v>
      </c>
      <c r="L636">
        <v>0</v>
      </c>
      <c r="M636">
        <v>0.75</v>
      </c>
      <c r="N636">
        <v>4.5</v>
      </c>
      <c r="O636">
        <v>29.64</v>
      </c>
      <c r="P636">
        <v>34.891500000000001</v>
      </c>
    </row>
    <row r="637" spans="1:16" hidden="1" x14ac:dyDescent="0.25">
      <c r="A637" s="22">
        <v>43468</v>
      </c>
      <c r="B637" t="s">
        <v>849</v>
      </c>
      <c r="C637" t="s">
        <v>17</v>
      </c>
      <c r="D637">
        <v>100</v>
      </c>
      <c r="E637">
        <v>248.5</v>
      </c>
      <c r="F637">
        <v>24850</v>
      </c>
      <c r="G637" t="s">
        <v>880</v>
      </c>
      <c r="H637">
        <v>2019003</v>
      </c>
      <c r="I637" t="s">
        <v>19</v>
      </c>
      <c r="J637" t="s">
        <v>20</v>
      </c>
      <c r="K637" t="s">
        <v>25</v>
      </c>
      <c r="L637">
        <v>0</v>
      </c>
      <c r="M637">
        <v>0.75</v>
      </c>
      <c r="N637">
        <v>0</v>
      </c>
      <c r="O637">
        <v>29.64</v>
      </c>
      <c r="P637">
        <v>30.3855</v>
      </c>
    </row>
    <row r="638" spans="1:16" hidden="1" x14ac:dyDescent="0.25">
      <c r="A638" s="22">
        <v>43468</v>
      </c>
      <c r="B638" t="s">
        <v>849</v>
      </c>
      <c r="C638" t="s">
        <v>23</v>
      </c>
      <c r="D638">
        <v>300</v>
      </c>
      <c r="E638">
        <v>246.65</v>
      </c>
      <c r="F638">
        <v>73995</v>
      </c>
      <c r="G638" t="s">
        <v>881</v>
      </c>
      <c r="H638">
        <v>2019003</v>
      </c>
      <c r="I638" t="s">
        <v>19</v>
      </c>
      <c r="J638" t="s">
        <v>20</v>
      </c>
      <c r="K638" t="s">
        <v>25</v>
      </c>
      <c r="L638">
        <v>19</v>
      </c>
      <c r="M638">
        <v>2.2200000000000002</v>
      </c>
      <c r="N638">
        <v>0</v>
      </c>
      <c r="O638">
        <v>44.06</v>
      </c>
      <c r="P638">
        <v>65.279899999999998</v>
      </c>
    </row>
    <row r="639" spans="1:16" hidden="1" x14ac:dyDescent="0.25">
      <c r="A639" s="22">
        <v>43467</v>
      </c>
      <c r="B639" t="s">
        <v>480</v>
      </c>
      <c r="C639" t="s">
        <v>23</v>
      </c>
      <c r="D639">
        <v>1000</v>
      </c>
      <c r="E639">
        <v>95.25</v>
      </c>
      <c r="F639">
        <v>95250</v>
      </c>
      <c r="G639" t="s">
        <v>882</v>
      </c>
      <c r="H639">
        <v>2019002</v>
      </c>
      <c r="I639" t="s">
        <v>19</v>
      </c>
      <c r="J639" t="s">
        <v>20</v>
      </c>
      <c r="K639" t="s">
        <v>25</v>
      </c>
      <c r="L639">
        <v>23.66</v>
      </c>
      <c r="M639">
        <v>2.86</v>
      </c>
      <c r="N639">
        <v>0</v>
      </c>
      <c r="O639">
        <v>56.71</v>
      </c>
      <c r="P639">
        <v>83.227500000000006</v>
      </c>
    </row>
    <row r="640" spans="1:16" hidden="1" x14ac:dyDescent="0.25">
      <c r="A640" s="22">
        <v>43467</v>
      </c>
      <c r="B640" t="s">
        <v>480</v>
      </c>
      <c r="C640" t="s">
        <v>17</v>
      </c>
      <c r="D640">
        <v>5000</v>
      </c>
      <c r="E640">
        <v>94.9</v>
      </c>
      <c r="F640">
        <v>474500</v>
      </c>
      <c r="G640" t="s">
        <v>883</v>
      </c>
      <c r="H640">
        <v>2019002</v>
      </c>
      <c r="I640" t="s">
        <v>19</v>
      </c>
      <c r="J640" t="s">
        <v>20</v>
      </c>
      <c r="K640" t="s">
        <v>25</v>
      </c>
      <c r="L640">
        <v>0</v>
      </c>
      <c r="M640">
        <v>14.24</v>
      </c>
      <c r="N640">
        <v>0</v>
      </c>
      <c r="O640">
        <v>282.52</v>
      </c>
      <c r="P640">
        <v>296.755</v>
      </c>
    </row>
    <row r="641" spans="1:16" hidden="1" x14ac:dyDescent="0.25">
      <c r="A641" s="22">
        <v>43467</v>
      </c>
      <c r="B641" t="s">
        <v>480</v>
      </c>
      <c r="C641" t="s">
        <v>23</v>
      </c>
      <c r="D641">
        <v>4000</v>
      </c>
      <c r="E641">
        <v>95.05</v>
      </c>
      <c r="F641">
        <v>380200</v>
      </c>
      <c r="G641" t="s">
        <v>884</v>
      </c>
      <c r="H641">
        <v>2019002</v>
      </c>
      <c r="I641" t="s">
        <v>19</v>
      </c>
      <c r="J641" t="s">
        <v>20</v>
      </c>
      <c r="K641" t="s">
        <v>25</v>
      </c>
      <c r="L641">
        <v>94.62</v>
      </c>
      <c r="M641">
        <v>11.41</v>
      </c>
      <c r="N641">
        <v>0</v>
      </c>
      <c r="O641">
        <v>226.37</v>
      </c>
      <c r="P641">
        <v>332.39600000000002</v>
      </c>
    </row>
    <row r="642" spans="1:16" hidden="1" x14ac:dyDescent="0.25">
      <c r="A642" s="22">
        <v>43467</v>
      </c>
      <c r="B642" t="s">
        <v>480</v>
      </c>
      <c r="C642" t="s">
        <v>23</v>
      </c>
      <c r="D642">
        <v>5000</v>
      </c>
      <c r="E642">
        <v>94.5</v>
      </c>
      <c r="F642">
        <v>472500</v>
      </c>
      <c r="G642" t="s">
        <v>885</v>
      </c>
      <c r="H642">
        <v>2019002</v>
      </c>
      <c r="I642" t="s">
        <v>19</v>
      </c>
      <c r="J642" t="s">
        <v>20</v>
      </c>
      <c r="K642" t="s">
        <v>25</v>
      </c>
      <c r="L642">
        <v>118.44</v>
      </c>
      <c r="M642">
        <v>14.17</v>
      </c>
      <c r="N642">
        <v>57</v>
      </c>
      <c r="O642">
        <v>281.33</v>
      </c>
      <c r="P642">
        <v>470.94470000000001</v>
      </c>
    </row>
    <row r="643" spans="1:16" hidden="1" x14ac:dyDescent="0.25">
      <c r="A643" s="22">
        <v>43467</v>
      </c>
      <c r="B643" t="s">
        <v>480</v>
      </c>
      <c r="C643" t="s">
        <v>17</v>
      </c>
      <c r="D643">
        <v>5000</v>
      </c>
      <c r="E643">
        <v>94</v>
      </c>
      <c r="F643">
        <v>470000</v>
      </c>
      <c r="G643" t="s">
        <v>886</v>
      </c>
      <c r="H643">
        <v>2019002</v>
      </c>
      <c r="I643" t="s">
        <v>19</v>
      </c>
      <c r="J643" t="s">
        <v>20</v>
      </c>
      <c r="K643" t="s">
        <v>25</v>
      </c>
      <c r="L643">
        <v>0</v>
      </c>
      <c r="M643">
        <v>14.1</v>
      </c>
      <c r="N643">
        <v>0</v>
      </c>
      <c r="O643">
        <v>279.83999999999997</v>
      </c>
      <c r="P643">
        <v>293.94</v>
      </c>
    </row>
    <row r="644" spans="1:16" hidden="1" x14ac:dyDescent="0.25">
      <c r="A644" s="22">
        <v>43467</v>
      </c>
      <c r="B644" t="s">
        <v>205</v>
      </c>
      <c r="C644" t="s">
        <v>17</v>
      </c>
      <c r="D644">
        <v>50</v>
      </c>
      <c r="E644">
        <v>25.65</v>
      </c>
      <c r="F644">
        <v>1282.5</v>
      </c>
      <c r="G644" t="s">
        <v>887</v>
      </c>
      <c r="H644">
        <v>2019002</v>
      </c>
      <c r="I644" t="s">
        <v>19</v>
      </c>
      <c r="J644" t="s">
        <v>20</v>
      </c>
      <c r="K644" t="s">
        <v>25</v>
      </c>
      <c r="L644">
        <v>1.28</v>
      </c>
      <c r="M644">
        <v>0.04</v>
      </c>
      <c r="N644">
        <v>0</v>
      </c>
      <c r="O644">
        <v>37.840000000000003</v>
      </c>
      <c r="P644">
        <v>39.158499999999997</v>
      </c>
    </row>
    <row r="645" spans="1:16" hidden="1" x14ac:dyDescent="0.25">
      <c r="A645" s="22">
        <v>43452</v>
      </c>
      <c r="B645" t="s">
        <v>888</v>
      </c>
      <c r="C645" t="s">
        <v>23</v>
      </c>
      <c r="D645">
        <v>50</v>
      </c>
      <c r="E645">
        <v>1220.3</v>
      </c>
      <c r="F645">
        <v>61015</v>
      </c>
      <c r="G645" t="s">
        <v>889</v>
      </c>
      <c r="H645">
        <v>201819180</v>
      </c>
      <c r="I645" t="s">
        <v>19</v>
      </c>
      <c r="J645" t="s">
        <v>20</v>
      </c>
      <c r="K645" t="s">
        <v>21</v>
      </c>
      <c r="L645">
        <v>15</v>
      </c>
      <c r="M645">
        <v>1.76</v>
      </c>
      <c r="N645">
        <v>0</v>
      </c>
      <c r="O645">
        <v>36.32</v>
      </c>
      <c r="P645">
        <v>53.078899999999997</v>
      </c>
    </row>
    <row r="646" spans="1:16" hidden="1" x14ac:dyDescent="0.25">
      <c r="A646" s="22">
        <v>43452</v>
      </c>
      <c r="B646" t="s">
        <v>888</v>
      </c>
      <c r="C646" t="s">
        <v>17</v>
      </c>
      <c r="D646">
        <v>50</v>
      </c>
      <c r="E646">
        <v>1238</v>
      </c>
      <c r="F646">
        <v>61900</v>
      </c>
      <c r="G646" t="s">
        <v>890</v>
      </c>
      <c r="H646">
        <v>201819180</v>
      </c>
      <c r="I646" t="s">
        <v>19</v>
      </c>
      <c r="J646" t="s">
        <v>20</v>
      </c>
      <c r="K646" t="s">
        <v>21</v>
      </c>
      <c r="L646">
        <v>0</v>
      </c>
      <c r="M646">
        <v>1.78</v>
      </c>
      <c r="N646">
        <v>3.9</v>
      </c>
      <c r="O646">
        <v>36.840000000000003</v>
      </c>
      <c r="P646">
        <v>42.5242</v>
      </c>
    </row>
    <row r="647" spans="1:16" hidden="1" x14ac:dyDescent="0.25">
      <c r="A647" s="22">
        <v>43448</v>
      </c>
      <c r="B647" t="s">
        <v>480</v>
      </c>
      <c r="C647" t="s">
        <v>23</v>
      </c>
      <c r="D647">
        <v>500</v>
      </c>
      <c r="E647">
        <v>90.5</v>
      </c>
      <c r="F647">
        <v>45250</v>
      </c>
      <c r="G647" t="s">
        <v>891</v>
      </c>
      <c r="H647">
        <v>2018236</v>
      </c>
      <c r="I647" t="s">
        <v>19</v>
      </c>
      <c r="J647" t="s">
        <v>20</v>
      </c>
      <c r="K647" t="s">
        <v>25</v>
      </c>
      <c r="L647">
        <v>11</v>
      </c>
      <c r="M647">
        <v>1.36</v>
      </c>
      <c r="N647">
        <v>0</v>
      </c>
      <c r="O647">
        <v>29.74</v>
      </c>
      <c r="P647">
        <v>42.097499999999997</v>
      </c>
    </row>
    <row r="648" spans="1:16" hidden="1" x14ac:dyDescent="0.25">
      <c r="A648" s="22">
        <v>43448</v>
      </c>
      <c r="B648" t="s">
        <v>480</v>
      </c>
      <c r="C648" t="s">
        <v>17</v>
      </c>
      <c r="D648">
        <v>500</v>
      </c>
      <c r="E648">
        <v>91.25</v>
      </c>
      <c r="F648">
        <v>45625</v>
      </c>
      <c r="G648" t="s">
        <v>892</v>
      </c>
      <c r="H648">
        <v>2018236</v>
      </c>
      <c r="I648" t="s">
        <v>19</v>
      </c>
      <c r="J648" t="s">
        <v>20</v>
      </c>
      <c r="K648" t="s">
        <v>25</v>
      </c>
      <c r="L648">
        <v>0</v>
      </c>
      <c r="M648">
        <v>1.37</v>
      </c>
      <c r="N648">
        <v>3</v>
      </c>
      <c r="O648">
        <v>29.75</v>
      </c>
      <c r="P648">
        <v>34.118699999999997</v>
      </c>
    </row>
    <row r="649" spans="1:16" hidden="1" x14ac:dyDescent="0.25">
      <c r="A649" s="22">
        <v>43447</v>
      </c>
      <c r="B649" t="s">
        <v>480</v>
      </c>
      <c r="C649" t="s">
        <v>17</v>
      </c>
      <c r="D649">
        <v>500</v>
      </c>
      <c r="E649">
        <v>90.05</v>
      </c>
      <c r="F649">
        <v>45025</v>
      </c>
      <c r="G649" t="s">
        <v>893</v>
      </c>
      <c r="H649">
        <v>2018235</v>
      </c>
      <c r="I649" t="s">
        <v>19</v>
      </c>
      <c r="J649" t="s">
        <v>20</v>
      </c>
      <c r="K649" t="s">
        <v>25</v>
      </c>
      <c r="L649">
        <v>0</v>
      </c>
      <c r="M649">
        <v>1.35</v>
      </c>
      <c r="N649">
        <v>0</v>
      </c>
      <c r="O649">
        <v>29.74</v>
      </c>
      <c r="P649">
        <v>31.090699999999998</v>
      </c>
    </row>
    <row r="650" spans="1:16" hidden="1" x14ac:dyDescent="0.25">
      <c r="A650" s="22">
        <v>43447</v>
      </c>
      <c r="B650" t="s">
        <v>480</v>
      </c>
      <c r="C650" t="s">
        <v>23</v>
      </c>
      <c r="D650">
        <v>500</v>
      </c>
      <c r="E650">
        <v>89.35</v>
      </c>
      <c r="F650">
        <v>44675</v>
      </c>
      <c r="G650" t="s">
        <v>894</v>
      </c>
      <c r="H650">
        <v>2018235</v>
      </c>
      <c r="I650" t="s">
        <v>19</v>
      </c>
      <c r="J650" t="s">
        <v>20</v>
      </c>
      <c r="K650" t="s">
        <v>25</v>
      </c>
      <c r="L650">
        <v>11</v>
      </c>
      <c r="M650">
        <v>1.34</v>
      </c>
      <c r="N650">
        <v>2.7</v>
      </c>
      <c r="O650">
        <v>29.74</v>
      </c>
      <c r="P650">
        <v>44.780099999999997</v>
      </c>
    </row>
    <row r="651" spans="1:16" hidden="1" x14ac:dyDescent="0.25">
      <c r="A651" s="22">
        <v>43446</v>
      </c>
      <c r="B651" t="s">
        <v>205</v>
      </c>
      <c r="C651" t="s">
        <v>17</v>
      </c>
      <c r="D651">
        <v>50</v>
      </c>
      <c r="E651">
        <v>22.2</v>
      </c>
      <c r="F651">
        <v>1110</v>
      </c>
      <c r="G651" t="s">
        <v>895</v>
      </c>
      <c r="H651">
        <v>201819176</v>
      </c>
      <c r="I651" t="s">
        <v>19</v>
      </c>
      <c r="J651" t="s">
        <v>20</v>
      </c>
      <c r="K651" t="s">
        <v>21</v>
      </c>
      <c r="L651">
        <v>1</v>
      </c>
      <c r="M651">
        <v>0.05</v>
      </c>
      <c r="N651">
        <v>0.3</v>
      </c>
      <c r="O651">
        <v>32.75</v>
      </c>
      <c r="P651">
        <v>34.101700000000001</v>
      </c>
    </row>
    <row r="652" spans="1:16" hidden="1" x14ac:dyDescent="0.25">
      <c r="A652" s="22">
        <v>43433</v>
      </c>
      <c r="B652" t="s">
        <v>480</v>
      </c>
      <c r="C652" t="s">
        <v>23</v>
      </c>
      <c r="D652">
        <v>1000</v>
      </c>
      <c r="E652">
        <v>82.93</v>
      </c>
      <c r="F652">
        <v>82930.600000000006</v>
      </c>
      <c r="G652" t="s">
        <v>896</v>
      </c>
      <c r="H652">
        <v>2018225</v>
      </c>
      <c r="I652" t="s">
        <v>19</v>
      </c>
      <c r="J652" t="s">
        <v>20</v>
      </c>
      <c r="K652" t="s">
        <v>25</v>
      </c>
      <c r="L652">
        <v>20.87</v>
      </c>
      <c r="M652">
        <v>2.4900000000000002</v>
      </c>
      <c r="N652">
        <v>10.199999999999999</v>
      </c>
      <c r="O652">
        <v>49.38</v>
      </c>
      <c r="P652">
        <v>82.937799999999996</v>
      </c>
    </row>
    <row r="653" spans="1:16" hidden="1" x14ac:dyDescent="0.25">
      <c r="A653" s="22">
        <v>43433</v>
      </c>
      <c r="B653" t="s">
        <v>480</v>
      </c>
      <c r="C653" t="s">
        <v>23</v>
      </c>
      <c r="D653">
        <v>500</v>
      </c>
      <c r="E653">
        <v>83.15</v>
      </c>
      <c r="F653">
        <v>41575</v>
      </c>
      <c r="G653" t="s">
        <v>897</v>
      </c>
      <c r="H653">
        <v>2018225</v>
      </c>
      <c r="I653" t="s">
        <v>19</v>
      </c>
      <c r="J653" t="s">
        <v>20</v>
      </c>
      <c r="K653" t="s">
        <v>25</v>
      </c>
      <c r="L653">
        <v>10.57</v>
      </c>
      <c r="M653">
        <v>1.25</v>
      </c>
      <c r="N653">
        <v>0</v>
      </c>
      <c r="O653">
        <v>29.72</v>
      </c>
      <c r="P653">
        <v>41.537300000000002</v>
      </c>
    </row>
    <row r="654" spans="1:16" hidden="1" x14ac:dyDescent="0.25">
      <c r="A654" s="22">
        <v>43433</v>
      </c>
      <c r="B654" t="s">
        <v>480</v>
      </c>
      <c r="C654" t="s">
        <v>23</v>
      </c>
      <c r="D654">
        <v>500</v>
      </c>
      <c r="E654">
        <v>85</v>
      </c>
      <c r="F654">
        <v>42500</v>
      </c>
      <c r="G654" t="s">
        <v>898</v>
      </c>
      <c r="H654">
        <v>2018225</v>
      </c>
      <c r="I654" t="s">
        <v>19</v>
      </c>
      <c r="J654" t="s">
        <v>20</v>
      </c>
      <c r="K654" t="s">
        <v>25</v>
      </c>
      <c r="L654">
        <v>10.57</v>
      </c>
      <c r="M654">
        <v>1.28</v>
      </c>
      <c r="N654">
        <v>0</v>
      </c>
      <c r="O654">
        <v>29.73</v>
      </c>
      <c r="P654">
        <v>41.575099999999999</v>
      </c>
    </row>
    <row r="655" spans="1:16" hidden="1" x14ac:dyDescent="0.25">
      <c r="A655" s="22">
        <v>43433</v>
      </c>
      <c r="B655" t="s">
        <v>480</v>
      </c>
      <c r="C655" t="s">
        <v>17</v>
      </c>
      <c r="D655">
        <v>2000</v>
      </c>
      <c r="E655">
        <v>85.55</v>
      </c>
      <c r="F655">
        <v>171100</v>
      </c>
      <c r="G655" t="s">
        <v>899</v>
      </c>
      <c r="H655">
        <v>2018225</v>
      </c>
      <c r="I655" t="s">
        <v>19</v>
      </c>
      <c r="J655" t="s">
        <v>20</v>
      </c>
      <c r="K655" t="s">
        <v>25</v>
      </c>
      <c r="L655">
        <v>0</v>
      </c>
      <c r="M655">
        <v>5.13</v>
      </c>
      <c r="N655">
        <v>0</v>
      </c>
      <c r="O655">
        <v>101.87</v>
      </c>
      <c r="P655">
        <v>107.0031</v>
      </c>
    </row>
    <row r="656" spans="1:16" hidden="1" x14ac:dyDescent="0.25">
      <c r="A656" s="22">
        <v>43419</v>
      </c>
      <c r="B656" t="s">
        <v>738</v>
      </c>
      <c r="C656" t="s">
        <v>23</v>
      </c>
      <c r="D656">
        <v>5000</v>
      </c>
      <c r="E656">
        <v>370.7</v>
      </c>
      <c r="F656">
        <v>1853500</v>
      </c>
      <c r="G656" t="s">
        <v>814</v>
      </c>
      <c r="H656">
        <v>2018216</v>
      </c>
      <c r="I656" t="s">
        <v>19</v>
      </c>
      <c r="J656" t="s">
        <v>20</v>
      </c>
      <c r="K656" t="s">
        <v>25</v>
      </c>
      <c r="L656">
        <v>463.36</v>
      </c>
      <c r="M656">
        <v>55.61</v>
      </c>
      <c r="N656">
        <v>0</v>
      </c>
      <c r="O656">
        <v>1103.58</v>
      </c>
      <c r="P656">
        <v>1622.5451</v>
      </c>
    </row>
    <row r="657" spans="1:16" hidden="1" x14ac:dyDescent="0.25">
      <c r="A657" s="22">
        <v>43419</v>
      </c>
      <c r="B657" t="s">
        <v>738</v>
      </c>
      <c r="C657" t="s">
        <v>17</v>
      </c>
      <c r="D657">
        <v>5000</v>
      </c>
      <c r="E657">
        <v>372.06</v>
      </c>
      <c r="F657">
        <v>1860281.85</v>
      </c>
      <c r="G657" t="s">
        <v>815</v>
      </c>
      <c r="H657">
        <v>2018216</v>
      </c>
      <c r="I657" t="s">
        <v>19</v>
      </c>
      <c r="J657" t="s">
        <v>20</v>
      </c>
      <c r="K657" t="s">
        <v>25</v>
      </c>
      <c r="L657">
        <v>0</v>
      </c>
      <c r="M657">
        <v>55.81</v>
      </c>
      <c r="N657">
        <v>223.8</v>
      </c>
      <c r="O657">
        <v>1107.6199999999999</v>
      </c>
      <c r="P657">
        <v>1387.2285999999999</v>
      </c>
    </row>
    <row r="658" spans="1:16" hidden="1" x14ac:dyDescent="0.25">
      <c r="A658" s="22">
        <v>43419</v>
      </c>
      <c r="B658" t="s">
        <v>738</v>
      </c>
      <c r="C658" t="s">
        <v>17</v>
      </c>
      <c r="D658">
        <v>5000</v>
      </c>
      <c r="E658">
        <v>371</v>
      </c>
      <c r="F658">
        <v>1855000</v>
      </c>
      <c r="G658" t="s">
        <v>816</v>
      </c>
      <c r="H658">
        <v>2018216</v>
      </c>
      <c r="I658" t="s">
        <v>19</v>
      </c>
      <c r="J658" t="s">
        <v>20</v>
      </c>
      <c r="K658" t="s">
        <v>25</v>
      </c>
      <c r="L658">
        <v>0</v>
      </c>
      <c r="M658">
        <v>55.65</v>
      </c>
      <c r="N658">
        <v>0</v>
      </c>
      <c r="O658">
        <v>1104.52</v>
      </c>
      <c r="P658">
        <v>1160.1701</v>
      </c>
    </row>
    <row r="659" spans="1:16" hidden="1" x14ac:dyDescent="0.25">
      <c r="A659" s="22">
        <v>43419</v>
      </c>
      <c r="B659" t="s">
        <v>738</v>
      </c>
      <c r="C659" t="s">
        <v>23</v>
      </c>
      <c r="D659">
        <v>5000</v>
      </c>
      <c r="E659">
        <v>369</v>
      </c>
      <c r="F659">
        <v>1845000</v>
      </c>
      <c r="G659" t="s">
        <v>817</v>
      </c>
      <c r="H659">
        <v>2018216</v>
      </c>
      <c r="I659" t="s">
        <v>19</v>
      </c>
      <c r="J659" t="s">
        <v>20</v>
      </c>
      <c r="K659" t="s">
        <v>25</v>
      </c>
      <c r="L659">
        <v>463.36</v>
      </c>
      <c r="M659">
        <v>55.35</v>
      </c>
      <c r="N659">
        <v>0</v>
      </c>
      <c r="O659">
        <v>1098.55</v>
      </c>
      <c r="P659">
        <v>1617.2606000000001</v>
      </c>
    </row>
    <row r="660" spans="1:16" hidden="1" x14ac:dyDescent="0.25">
      <c r="A660" s="22">
        <v>43419</v>
      </c>
      <c r="B660" t="s">
        <v>190</v>
      </c>
      <c r="C660" t="s">
        <v>23</v>
      </c>
      <c r="D660">
        <v>5000</v>
      </c>
      <c r="E660">
        <v>4.18</v>
      </c>
      <c r="F660">
        <v>20900</v>
      </c>
      <c r="G660" t="s">
        <v>818</v>
      </c>
      <c r="H660">
        <v>2018216</v>
      </c>
      <c r="I660" t="s">
        <v>19</v>
      </c>
      <c r="J660" t="s">
        <v>20</v>
      </c>
      <c r="K660" t="s">
        <v>25</v>
      </c>
      <c r="L660">
        <v>21.04</v>
      </c>
      <c r="M660">
        <v>0.63</v>
      </c>
      <c r="N660">
        <v>0</v>
      </c>
      <c r="O660">
        <v>295.11</v>
      </c>
      <c r="P660">
        <v>316.77699999999999</v>
      </c>
    </row>
    <row r="661" spans="1:16" hidden="1" x14ac:dyDescent="0.25">
      <c r="A661" s="22">
        <v>43419</v>
      </c>
      <c r="B661" t="s">
        <v>16</v>
      </c>
      <c r="C661" t="s">
        <v>23</v>
      </c>
      <c r="D661">
        <v>100</v>
      </c>
      <c r="E661">
        <v>42.05</v>
      </c>
      <c r="F661">
        <v>4205</v>
      </c>
      <c r="G661" t="s">
        <v>819</v>
      </c>
      <c r="H661">
        <v>2018216</v>
      </c>
      <c r="I661" t="s">
        <v>19</v>
      </c>
      <c r="J661" t="s">
        <v>20</v>
      </c>
      <c r="K661" t="s">
        <v>25</v>
      </c>
      <c r="L661">
        <v>4.21</v>
      </c>
      <c r="M661">
        <v>0.13</v>
      </c>
      <c r="N661">
        <v>0</v>
      </c>
      <c r="O661">
        <v>41.32</v>
      </c>
      <c r="P661">
        <v>45.656100000000002</v>
      </c>
    </row>
    <row r="662" spans="1:16" hidden="1" x14ac:dyDescent="0.25">
      <c r="A662" s="22">
        <v>43419</v>
      </c>
      <c r="B662" t="s">
        <v>205</v>
      </c>
      <c r="C662" t="s">
        <v>23</v>
      </c>
      <c r="D662">
        <v>200</v>
      </c>
      <c r="E662">
        <v>24.65</v>
      </c>
      <c r="F662">
        <v>4930</v>
      </c>
      <c r="G662" t="s">
        <v>820</v>
      </c>
      <c r="H662">
        <v>2018216</v>
      </c>
      <c r="I662" t="s">
        <v>19</v>
      </c>
      <c r="J662" t="s">
        <v>20</v>
      </c>
      <c r="K662" t="s">
        <v>25</v>
      </c>
      <c r="L662">
        <v>4.93</v>
      </c>
      <c r="M662">
        <v>0.15</v>
      </c>
      <c r="N662">
        <v>0</v>
      </c>
      <c r="O662">
        <v>41.33</v>
      </c>
      <c r="P662">
        <v>46.407899999999998</v>
      </c>
    </row>
    <row r="663" spans="1:16" hidden="1" x14ac:dyDescent="0.25">
      <c r="A663" s="22">
        <v>43419</v>
      </c>
      <c r="B663" t="s">
        <v>288</v>
      </c>
      <c r="C663" t="s">
        <v>23</v>
      </c>
      <c r="D663">
        <v>600</v>
      </c>
      <c r="E663">
        <v>23.5</v>
      </c>
      <c r="F663">
        <v>14100</v>
      </c>
      <c r="G663" t="s">
        <v>821</v>
      </c>
      <c r="H663">
        <v>2018216</v>
      </c>
      <c r="I663" t="s">
        <v>19</v>
      </c>
      <c r="J663" t="s">
        <v>20</v>
      </c>
      <c r="K663" t="s">
        <v>25</v>
      </c>
      <c r="L663">
        <v>14.1</v>
      </c>
      <c r="M663">
        <v>0.42</v>
      </c>
      <c r="N663">
        <v>0</v>
      </c>
      <c r="O663">
        <v>91.59</v>
      </c>
      <c r="P663">
        <v>106.1131</v>
      </c>
    </row>
    <row r="664" spans="1:16" hidden="1" x14ac:dyDescent="0.25">
      <c r="A664" s="22">
        <v>43418</v>
      </c>
      <c r="B664" t="s">
        <v>738</v>
      </c>
      <c r="C664" t="s">
        <v>17</v>
      </c>
      <c r="D664">
        <v>1000</v>
      </c>
      <c r="E664">
        <v>362</v>
      </c>
      <c r="F664">
        <v>362000</v>
      </c>
      <c r="G664" t="s">
        <v>822</v>
      </c>
      <c r="H664">
        <v>2018215</v>
      </c>
      <c r="I664" t="s">
        <v>19</v>
      </c>
      <c r="J664" t="s">
        <v>20</v>
      </c>
      <c r="K664" t="s">
        <v>25</v>
      </c>
      <c r="L664">
        <v>0</v>
      </c>
      <c r="M664">
        <v>10.86</v>
      </c>
      <c r="N664">
        <v>0</v>
      </c>
      <c r="O664">
        <v>215.53</v>
      </c>
      <c r="P664">
        <v>226.38980000000001</v>
      </c>
    </row>
    <row r="665" spans="1:16" hidden="1" x14ac:dyDescent="0.25">
      <c r="A665" s="22">
        <v>43418</v>
      </c>
      <c r="B665" t="s">
        <v>738</v>
      </c>
      <c r="C665" t="s">
        <v>23</v>
      </c>
      <c r="D665">
        <v>1000</v>
      </c>
      <c r="E665">
        <v>366</v>
      </c>
      <c r="F665">
        <v>366000</v>
      </c>
      <c r="G665" t="s">
        <v>823</v>
      </c>
      <c r="H665">
        <v>2018215</v>
      </c>
      <c r="I665" t="s">
        <v>19</v>
      </c>
      <c r="J665" t="s">
        <v>20</v>
      </c>
      <c r="K665" t="s">
        <v>25</v>
      </c>
      <c r="L665">
        <v>91.42</v>
      </c>
      <c r="M665">
        <v>10.98</v>
      </c>
      <c r="N665">
        <v>0</v>
      </c>
      <c r="O665">
        <v>217.92</v>
      </c>
      <c r="P665">
        <v>320.32010000000002</v>
      </c>
    </row>
    <row r="666" spans="1:16" hidden="1" x14ac:dyDescent="0.25">
      <c r="A666" s="22">
        <v>43418</v>
      </c>
      <c r="B666" t="s">
        <v>738</v>
      </c>
      <c r="C666" t="s">
        <v>17</v>
      </c>
      <c r="D666">
        <v>1000</v>
      </c>
      <c r="E666">
        <v>364.25</v>
      </c>
      <c r="F666">
        <v>364250</v>
      </c>
      <c r="G666" t="s">
        <v>824</v>
      </c>
      <c r="H666">
        <v>2018215</v>
      </c>
      <c r="I666" t="s">
        <v>19</v>
      </c>
      <c r="J666" t="s">
        <v>20</v>
      </c>
      <c r="K666" t="s">
        <v>25</v>
      </c>
      <c r="L666">
        <v>0</v>
      </c>
      <c r="M666">
        <v>10.93</v>
      </c>
      <c r="N666">
        <v>0</v>
      </c>
      <c r="O666">
        <v>216.87</v>
      </c>
      <c r="P666">
        <v>227.79750000000001</v>
      </c>
    </row>
    <row r="667" spans="1:16" hidden="1" x14ac:dyDescent="0.25">
      <c r="A667" s="22">
        <v>43418</v>
      </c>
      <c r="B667" t="s">
        <v>738</v>
      </c>
      <c r="C667" t="s">
        <v>23</v>
      </c>
      <c r="D667">
        <v>10000</v>
      </c>
      <c r="E667">
        <v>364</v>
      </c>
      <c r="F667">
        <v>3640000</v>
      </c>
      <c r="G667" t="s">
        <v>825</v>
      </c>
      <c r="H667">
        <v>2018215</v>
      </c>
      <c r="I667" t="s">
        <v>19</v>
      </c>
      <c r="J667" t="s">
        <v>20</v>
      </c>
      <c r="K667" t="s">
        <v>25</v>
      </c>
      <c r="L667">
        <v>914.24</v>
      </c>
      <c r="M667">
        <v>109.2</v>
      </c>
      <c r="N667">
        <v>0</v>
      </c>
      <c r="O667">
        <v>2167.2800000000002</v>
      </c>
      <c r="P667">
        <v>3190.7204000000002</v>
      </c>
    </row>
    <row r="668" spans="1:16" hidden="1" x14ac:dyDescent="0.25">
      <c r="A668" s="22">
        <v>43418</v>
      </c>
      <c r="B668" t="s">
        <v>738</v>
      </c>
      <c r="C668" t="s">
        <v>17</v>
      </c>
      <c r="D668">
        <v>9000</v>
      </c>
      <c r="E668">
        <v>365.4</v>
      </c>
      <c r="F668">
        <v>3288587.8</v>
      </c>
      <c r="G668" t="s">
        <v>826</v>
      </c>
      <c r="H668">
        <v>2018215</v>
      </c>
      <c r="I668" t="s">
        <v>19</v>
      </c>
      <c r="J668" t="s">
        <v>20</v>
      </c>
      <c r="K668" t="s">
        <v>25</v>
      </c>
      <c r="L668">
        <v>0</v>
      </c>
      <c r="M668">
        <v>98.66</v>
      </c>
      <c r="N668">
        <v>0</v>
      </c>
      <c r="O668">
        <v>1958.07</v>
      </c>
      <c r="P668">
        <v>2056.7274000000002</v>
      </c>
    </row>
    <row r="669" spans="1:16" hidden="1" x14ac:dyDescent="0.25">
      <c r="A669" s="22">
        <v>43418</v>
      </c>
      <c r="B669" t="s">
        <v>738</v>
      </c>
      <c r="C669" t="s">
        <v>17</v>
      </c>
      <c r="D669">
        <v>8000</v>
      </c>
      <c r="E669">
        <v>365.55</v>
      </c>
      <c r="F669">
        <v>2924387.25</v>
      </c>
      <c r="G669" t="s">
        <v>827</v>
      </c>
      <c r="H669">
        <v>2018215</v>
      </c>
      <c r="I669" t="s">
        <v>19</v>
      </c>
      <c r="J669" t="s">
        <v>20</v>
      </c>
      <c r="K669" t="s">
        <v>25</v>
      </c>
      <c r="L669">
        <v>0</v>
      </c>
      <c r="M669">
        <v>87.73</v>
      </c>
      <c r="N669">
        <v>0</v>
      </c>
      <c r="O669">
        <v>1741.18</v>
      </c>
      <c r="P669">
        <v>1828.9117000000001</v>
      </c>
    </row>
    <row r="670" spans="1:16" hidden="1" x14ac:dyDescent="0.25">
      <c r="A670" s="22">
        <v>43418</v>
      </c>
      <c r="B670" t="s">
        <v>738</v>
      </c>
      <c r="C670" t="s">
        <v>23</v>
      </c>
      <c r="D670">
        <v>8000</v>
      </c>
      <c r="E670">
        <v>368.07</v>
      </c>
      <c r="F670">
        <v>2944530.8</v>
      </c>
      <c r="G670" t="s">
        <v>828</v>
      </c>
      <c r="H670">
        <v>2018215</v>
      </c>
      <c r="I670" t="s">
        <v>19</v>
      </c>
      <c r="J670" t="s">
        <v>20</v>
      </c>
      <c r="K670" t="s">
        <v>25</v>
      </c>
      <c r="L670">
        <v>731.39</v>
      </c>
      <c r="M670">
        <v>88.34</v>
      </c>
      <c r="N670">
        <v>0</v>
      </c>
      <c r="O670">
        <v>1753.17</v>
      </c>
      <c r="P670">
        <v>2572.8960000000002</v>
      </c>
    </row>
    <row r="671" spans="1:16" hidden="1" x14ac:dyDescent="0.25">
      <c r="A671" s="22">
        <v>43418</v>
      </c>
      <c r="B671" t="s">
        <v>738</v>
      </c>
      <c r="C671" t="s">
        <v>17</v>
      </c>
      <c r="D671">
        <v>2500</v>
      </c>
      <c r="E671">
        <v>366.5</v>
      </c>
      <c r="F671">
        <v>916250</v>
      </c>
      <c r="G671" t="s">
        <v>829</v>
      </c>
      <c r="H671">
        <v>2018215</v>
      </c>
      <c r="I671" t="s">
        <v>19</v>
      </c>
      <c r="J671" t="s">
        <v>20</v>
      </c>
      <c r="K671" t="s">
        <v>25</v>
      </c>
      <c r="L671">
        <v>0</v>
      </c>
      <c r="M671">
        <v>27.49</v>
      </c>
      <c r="N671">
        <v>0</v>
      </c>
      <c r="O671">
        <v>545.53</v>
      </c>
      <c r="P671">
        <v>573.01769999999999</v>
      </c>
    </row>
    <row r="672" spans="1:16" hidden="1" x14ac:dyDescent="0.25">
      <c r="A672" s="22">
        <v>43418</v>
      </c>
      <c r="B672" t="s">
        <v>738</v>
      </c>
      <c r="C672" t="s">
        <v>17</v>
      </c>
      <c r="D672">
        <v>2500</v>
      </c>
      <c r="E672">
        <v>366</v>
      </c>
      <c r="F672">
        <v>915000</v>
      </c>
      <c r="G672" t="s">
        <v>830</v>
      </c>
      <c r="H672">
        <v>2018215</v>
      </c>
      <c r="I672" t="s">
        <v>19</v>
      </c>
      <c r="J672" t="s">
        <v>20</v>
      </c>
      <c r="K672" t="s">
        <v>25</v>
      </c>
      <c r="L672">
        <v>0</v>
      </c>
      <c r="M672">
        <v>27.45</v>
      </c>
      <c r="N672">
        <v>0</v>
      </c>
      <c r="O672">
        <v>544.79999999999995</v>
      </c>
      <c r="P672">
        <v>572.25</v>
      </c>
    </row>
    <row r="673" spans="1:16" hidden="1" x14ac:dyDescent="0.25">
      <c r="A673" s="22">
        <v>43418</v>
      </c>
      <c r="B673" t="s">
        <v>738</v>
      </c>
      <c r="C673" t="s">
        <v>23</v>
      </c>
      <c r="D673">
        <v>5000</v>
      </c>
      <c r="E673">
        <v>365.19</v>
      </c>
      <c r="F673">
        <v>1825946.75</v>
      </c>
      <c r="G673" t="s">
        <v>831</v>
      </c>
      <c r="H673">
        <v>2018215</v>
      </c>
      <c r="I673" t="s">
        <v>19</v>
      </c>
      <c r="J673" t="s">
        <v>20</v>
      </c>
      <c r="K673" t="s">
        <v>25</v>
      </c>
      <c r="L673">
        <v>457.12</v>
      </c>
      <c r="M673">
        <v>54.78</v>
      </c>
      <c r="N673">
        <v>0</v>
      </c>
      <c r="O673">
        <v>1087.18</v>
      </c>
      <c r="P673">
        <v>1599.0784000000001</v>
      </c>
    </row>
    <row r="674" spans="1:16" hidden="1" x14ac:dyDescent="0.25">
      <c r="A674" s="22">
        <v>43418</v>
      </c>
      <c r="B674" t="s">
        <v>738</v>
      </c>
      <c r="C674" t="s">
        <v>23</v>
      </c>
      <c r="D674">
        <v>8000</v>
      </c>
      <c r="E674">
        <v>365.5</v>
      </c>
      <c r="F674">
        <v>2924000</v>
      </c>
      <c r="G674" t="s">
        <v>832</v>
      </c>
      <c r="H674">
        <v>2018215</v>
      </c>
      <c r="I674" t="s">
        <v>19</v>
      </c>
      <c r="J674" t="s">
        <v>20</v>
      </c>
      <c r="K674" t="s">
        <v>25</v>
      </c>
      <c r="L674">
        <v>731.82</v>
      </c>
      <c r="M674">
        <v>87.72</v>
      </c>
      <c r="N674">
        <v>702.3</v>
      </c>
      <c r="O674">
        <v>1740.95</v>
      </c>
      <c r="P674">
        <v>3262.7903999999999</v>
      </c>
    </row>
    <row r="675" spans="1:16" hidden="1" x14ac:dyDescent="0.25">
      <c r="A675" s="22">
        <v>43418</v>
      </c>
      <c r="B675" t="s">
        <v>738</v>
      </c>
      <c r="C675" t="s">
        <v>17</v>
      </c>
      <c r="D675">
        <v>8000</v>
      </c>
      <c r="E675">
        <v>366.7</v>
      </c>
      <c r="F675">
        <v>2933602.75</v>
      </c>
      <c r="G675" t="s">
        <v>833</v>
      </c>
      <c r="H675">
        <v>2018215</v>
      </c>
      <c r="I675" t="s">
        <v>19</v>
      </c>
      <c r="J675" t="s">
        <v>20</v>
      </c>
      <c r="K675" t="s">
        <v>25</v>
      </c>
      <c r="L675">
        <v>0</v>
      </c>
      <c r="M675">
        <v>88.01</v>
      </c>
      <c r="N675">
        <v>0</v>
      </c>
      <c r="O675">
        <v>1746.68</v>
      </c>
      <c r="P675">
        <v>1834.6880000000001</v>
      </c>
    </row>
    <row r="676" spans="1:16" hidden="1" x14ac:dyDescent="0.25">
      <c r="A676" s="22">
        <v>43404</v>
      </c>
      <c r="B676" t="s">
        <v>738</v>
      </c>
      <c r="C676" t="s">
        <v>23</v>
      </c>
      <c r="D676">
        <v>100</v>
      </c>
      <c r="E676">
        <v>344</v>
      </c>
      <c r="F676">
        <v>34400</v>
      </c>
      <c r="G676" t="s">
        <v>783</v>
      </c>
      <c r="H676">
        <v>2018206</v>
      </c>
      <c r="I676" t="s">
        <v>19</v>
      </c>
      <c r="J676" t="s">
        <v>20</v>
      </c>
      <c r="K676" t="s">
        <v>25</v>
      </c>
      <c r="L676">
        <v>8.4499999999999993</v>
      </c>
      <c r="M676">
        <v>1.03</v>
      </c>
      <c r="N676">
        <v>0</v>
      </c>
      <c r="O676">
        <v>29.69</v>
      </c>
      <c r="P676">
        <v>39.171999999999997</v>
      </c>
    </row>
    <row r="677" spans="1:16" hidden="1" x14ac:dyDescent="0.25">
      <c r="A677" s="22">
        <v>43404</v>
      </c>
      <c r="B677" t="s">
        <v>738</v>
      </c>
      <c r="C677" t="s">
        <v>23</v>
      </c>
      <c r="D677">
        <v>2500</v>
      </c>
      <c r="E677">
        <v>349.9</v>
      </c>
      <c r="F677">
        <v>874750</v>
      </c>
      <c r="G677" t="s">
        <v>784</v>
      </c>
      <c r="H677">
        <v>2018206</v>
      </c>
      <c r="I677" t="s">
        <v>19</v>
      </c>
      <c r="J677" t="s">
        <v>20</v>
      </c>
      <c r="K677" t="s">
        <v>25</v>
      </c>
      <c r="L677">
        <v>220.98</v>
      </c>
      <c r="M677">
        <v>26.24</v>
      </c>
      <c r="N677">
        <v>0</v>
      </c>
      <c r="O677">
        <v>520.83000000000004</v>
      </c>
      <c r="P677">
        <v>768.05250000000001</v>
      </c>
    </row>
    <row r="678" spans="1:16" hidden="1" x14ac:dyDescent="0.25">
      <c r="A678" s="22">
        <v>43404</v>
      </c>
      <c r="B678" t="s">
        <v>738</v>
      </c>
      <c r="C678" t="s">
        <v>23</v>
      </c>
      <c r="D678">
        <v>1000</v>
      </c>
      <c r="E678">
        <v>348</v>
      </c>
      <c r="F678">
        <v>348000</v>
      </c>
      <c r="G678" t="s">
        <v>785</v>
      </c>
      <c r="H678">
        <v>2018206</v>
      </c>
      <c r="I678" t="s">
        <v>19</v>
      </c>
      <c r="J678" t="s">
        <v>20</v>
      </c>
      <c r="K678" t="s">
        <v>25</v>
      </c>
      <c r="L678">
        <v>88.39</v>
      </c>
      <c r="M678">
        <v>10.44</v>
      </c>
      <c r="N678">
        <v>0</v>
      </c>
      <c r="O678">
        <v>207.2</v>
      </c>
      <c r="P678">
        <v>306.02999999999997</v>
      </c>
    </row>
    <row r="679" spans="1:16" hidden="1" x14ac:dyDescent="0.25">
      <c r="A679" s="22">
        <v>43404</v>
      </c>
      <c r="B679" t="s">
        <v>738</v>
      </c>
      <c r="C679" t="s">
        <v>23</v>
      </c>
      <c r="D679">
        <v>1000</v>
      </c>
      <c r="E679">
        <v>355</v>
      </c>
      <c r="F679">
        <v>355000</v>
      </c>
      <c r="G679" t="s">
        <v>786</v>
      </c>
      <c r="H679">
        <v>2018206</v>
      </c>
      <c r="I679" t="s">
        <v>19</v>
      </c>
      <c r="J679" t="s">
        <v>20</v>
      </c>
      <c r="K679" t="s">
        <v>25</v>
      </c>
      <c r="L679">
        <v>88.39</v>
      </c>
      <c r="M679">
        <v>10.65</v>
      </c>
      <c r="N679">
        <v>0</v>
      </c>
      <c r="O679">
        <v>211.37</v>
      </c>
      <c r="P679">
        <v>310.41000000000003</v>
      </c>
    </row>
    <row r="680" spans="1:16" hidden="1" x14ac:dyDescent="0.25">
      <c r="A680" s="22">
        <v>43404</v>
      </c>
      <c r="B680" t="s">
        <v>738</v>
      </c>
      <c r="C680" t="s">
        <v>23</v>
      </c>
      <c r="D680">
        <v>2000</v>
      </c>
      <c r="E680">
        <v>356</v>
      </c>
      <c r="F680">
        <v>712000</v>
      </c>
      <c r="G680" t="s">
        <v>787</v>
      </c>
      <c r="H680">
        <v>2018206</v>
      </c>
      <c r="I680" t="s">
        <v>19</v>
      </c>
      <c r="J680" t="s">
        <v>20</v>
      </c>
      <c r="K680" t="s">
        <v>25</v>
      </c>
      <c r="L680">
        <v>176.78</v>
      </c>
      <c r="M680">
        <v>21.36</v>
      </c>
      <c r="N680">
        <v>0</v>
      </c>
      <c r="O680">
        <v>423.92</v>
      </c>
      <c r="P680">
        <v>622.05999999999995</v>
      </c>
    </row>
    <row r="681" spans="1:16" hidden="1" x14ac:dyDescent="0.25">
      <c r="A681" s="22">
        <v>43404</v>
      </c>
      <c r="B681" t="s">
        <v>738</v>
      </c>
      <c r="C681" t="s">
        <v>17</v>
      </c>
      <c r="D681">
        <v>6600</v>
      </c>
      <c r="E681">
        <v>355</v>
      </c>
      <c r="F681">
        <v>2342968.6</v>
      </c>
      <c r="G681" t="s">
        <v>788</v>
      </c>
      <c r="H681">
        <v>2018206</v>
      </c>
      <c r="I681" t="s">
        <v>19</v>
      </c>
      <c r="J681" t="s">
        <v>20</v>
      </c>
      <c r="K681" t="s">
        <v>25</v>
      </c>
      <c r="L681">
        <v>0</v>
      </c>
      <c r="M681">
        <v>70.290000000000006</v>
      </c>
      <c r="N681">
        <v>140.1</v>
      </c>
      <c r="O681">
        <v>1395.01</v>
      </c>
      <c r="P681">
        <v>1605.4001000000001</v>
      </c>
    </row>
    <row r="682" spans="1:16" hidden="1" x14ac:dyDescent="0.25">
      <c r="A682" s="22">
        <v>43403</v>
      </c>
      <c r="B682" t="s">
        <v>738</v>
      </c>
      <c r="C682" t="s">
        <v>23</v>
      </c>
      <c r="D682">
        <v>1000</v>
      </c>
      <c r="E682">
        <v>348.5</v>
      </c>
      <c r="F682">
        <v>348500</v>
      </c>
      <c r="G682" t="s">
        <v>789</v>
      </c>
      <c r="H682">
        <v>2018205</v>
      </c>
      <c r="I682" t="s">
        <v>19</v>
      </c>
      <c r="J682" t="s">
        <v>20</v>
      </c>
      <c r="K682" t="s">
        <v>25</v>
      </c>
      <c r="L682">
        <v>86.94</v>
      </c>
      <c r="M682">
        <v>10.46</v>
      </c>
      <c r="N682">
        <v>0</v>
      </c>
      <c r="O682">
        <v>207.5</v>
      </c>
      <c r="P682">
        <v>304.89510000000001</v>
      </c>
    </row>
    <row r="683" spans="1:16" hidden="1" x14ac:dyDescent="0.25">
      <c r="A683" s="22">
        <v>43403</v>
      </c>
      <c r="B683" t="s">
        <v>480</v>
      </c>
      <c r="C683" t="s">
        <v>23</v>
      </c>
      <c r="D683">
        <v>10000</v>
      </c>
      <c r="E683">
        <v>85.16</v>
      </c>
      <c r="F683">
        <v>851577</v>
      </c>
      <c r="G683" t="s">
        <v>790</v>
      </c>
      <c r="H683">
        <v>2018205</v>
      </c>
      <c r="I683" t="s">
        <v>19</v>
      </c>
      <c r="J683" t="s">
        <v>20</v>
      </c>
      <c r="K683" t="s">
        <v>25</v>
      </c>
      <c r="L683">
        <v>211.67</v>
      </c>
      <c r="M683">
        <v>25.55</v>
      </c>
      <c r="N683">
        <v>0</v>
      </c>
      <c r="O683">
        <v>507.03</v>
      </c>
      <c r="P683">
        <v>744.24710000000005</v>
      </c>
    </row>
    <row r="684" spans="1:16" hidden="1" x14ac:dyDescent="0.25">
      <c r="A684" s="22">
        <v>43403</v>
      </c>
      <c r="B684" t="s">
        <v>480</v>
      </c>
      <c r="C684" t="s">
        <v>17</v>
      </c>
      <c r="D684">
        <v>10000</v>
      </c>
      <c r="E684">
        <v>85.45</v>
      </c>
      <c r="F684">
        <v>854500</v>
      </c>
      <c r="G684" t="s">
        <v>791</v>
      </c>
      <c r="H684">
        <v>2018205</v>
      </c>
      <c r="I684" t="s">
        <v>19</v>
      </c>
      <c r="J684" t="s">
        <v>20</v>
      </c>
      <c r="K684" t="s">
        <v>25</v>
      </c>
      <c r="L684">
        <v>0</v>
      </c>
      <c r="M684">
        <v>25.64</v>
      </c>
      <c r="N684">
        <v>0</v>
      </c>
      <c r="O684">
        <v>508.77</v>
      </c>
      <c r="P684">
        <v>534.40499999999997</v>
      </c>
    </row>
    <row r="685" spans="1:16" hidden="1" x14ac:dyDescent="0.25">
      <c r="A685" s="22">
        <v>43403</v>
      </c>
      <c r="B685" t="s">
        <v>738</v>
      </c>
      <c r="C685" t="s">
        <v>17</v>
      </c>
      <c r="D685">
        <v>1000</v>
      </c>
      <c r="E685">
        <v>347</v>
      </c>
      <c r="F685">
        <v>347000</v>
      </c>
      <c r="G685" t="s">
        <v>792</v>
      </c>
      <c r="H685">
        <v>2018205</v>
      </c>
      <c r="I685" t="s">
        <v>19</v>
      </c>
      <c r="J685" t="s">
        <v>20</v>
      </c>
      <c r="K685" t="s">
        <v>25</v>
      </c>
      <c r="L685">
        <v>0</v>
      </c>
      <c r="M685">
        <v>10.41</v>
      </c>
      <c r="N685">
        <v>0</v>
      </c>
      <c r="O685">
        <v>206.6</v>
      </c>
      <c r="P685">
        <v>217.01</v>
      </c>
    </row>
    <row r="686" spans="1:16" hidden="1" x14ac:dyDescent="0.25">
      <c r="A686" s="22">
        <v>43403</v>
      </c>
      <c r="B686" t="s">
        <v>480</v>
      </c>
      <c r="C686" t="s">
        <v>23</v>
      </c>
      <c r="D686">
        <v>5000</v>
      </c>
      <c r="E686">
        <v>83.5</v>
      </c>
      <c r="F686">
        <v>417489.6</v>
      </c>
      <c r="G686" t="s">
        <v>793</v>
      </c>
      <c r="H686">
        <v>2018205</v>
      </c>
      <c r="I686" t="s">
        <v>19</v>
      </c>
      <c r="J686" t="s">
        <v>20</v>
      </c>
      <c r="K686" t="s">
        <v>25</v>
      </c>
      <c r="L686">
        <v>105.39</v>
      </c>
      <c r="M686">
        <v>12.52</v>
      </c>
      <c r="N686">
        <v>97.2</v>
      </c>
      <c r="O686">
        <v>248.57</v>
      </c>
      <c r="P686">
        <v>463.68490000000003</v>
      </c>
    </row>
    <row r="687" spans="1:16" hidden="1" x14ac:dyDescent="0.25">
      <c r="A687" s="22">
        <v>43403</v>
      </c>
      <c r="B687" t="s">
        <v>480</v>
      </c>
      <c r="C687" t="s">
        <v>17</v>
      </c>
      <c r="D687">
        <v>5000</v>
      </c>
      <c r="E687">
        <v>83.3</v>
      </c>
      <c r="F687">
        <v>416500</v>
      </c>
      <c r="G687" t="s">
        <v>794</v>
      </c>
      <c r="H687">
        <v>2018205</v>
      </c>
      <c r="I687" t="s">
        <v>19</v>
      </c>
      <c r="J687" t="s">
        <v>20</v>
      </c>
      <c r="K687" t="s">
        <v>25</v>
      </c>
      <c r="L687">
        <v>0</v>
      </c>
      <c r="M687">
        <v>12.49</v>
      </c>
      <c r="N687">
        <v>0</v>
      </c>
      <c r="O687">
        <v>247.98</v>
      </c>
      <c r="P687">
        <v>260.47480000000002</v>
      </c>
    </row>
    <row r="688" spans="1:16" hidden="1" x14ac:dyDescent="0.25">
      <c r="A688" s="22">
        <v>43402</v>
      </c>
      <c r="B688" t="s">
        <v>738</v>
      </c>
      <c r="C688" t="s">
        <v>23</v>
      </c>
      <c r="D688">
        <v>100</v>
      </c>
      <c r="E688">
        <v>336.05</v>
      </c>
      <c r="F688">
        <v>33605</v>
      </c>
      <c r="G688" t="s">
        <v>795</v>
      </c>
      <c r="H688">
        <v>2018204</v>
      </c>
      <c r="I688" t="s">
        <v>19</v>
      </c>
      <c r="J688" t="s">
        <v>20</v>
      </c>
      <c r="K688" t="s">
        <v>25</v>
      </c>
      <c r="L688">
        <v>8.84</v>
      </c>
      <c r="M688">
        <v>1.01</v>
      </c>
      <c r="N688">
        <v>21</v>
      </c>
      <c r="O688">
        <v>29.68</v>
      </c>
      <c r="P688">
        <v>60.528100000000002</v>
      </c>
    </row>
    <row r="689" spans="1:16" hidden="1" x14ac:dyDescent="0.25">
      <c r="A689" s="22">
        <v>43402</v>
      </c>
      <c r="B689" t="s">
        <v>738</v>
      </c>
      <c r="C689" t="s">
        <v>23</v>
      </c>
      <c r="D689">
        <v>200</v>
      </c>
      <c r="E689">
        <v>340</v>
      </c>
      <c r="F689">
        <v>68000</v>
      </c>
      <c r="G689" t="s">
        <v>796</v>
      </c>
      <c r="H689">
        <v>2018204</v>
      </c>
      <c r="I689" t="s">
        <v>19</v>
      </c>
      <c r="J689" t="s">
        <v>20</v>
      </c>
      <c r="K689" t="s">
        <v>25</v>
      </c>
      <c r="L689">
        <v>17.37</v>
      </c>
      <c r="M689">
        <v>2.04</v>
      </c>
      <c r="N689">
        <v>0</v>
      </c>
      <c r="O689">
        <v>40.49</v>
      </c>
      <c r="P689">
        <v>59.9</v>
      </c>
    </row>
    <row r="690" spans="1:16" hidden="1" x14ac:dyDescent="0.25">
      <c r="A690" s="22">
        <v>43402</v>
      </c>
      <c r="B690" t="s">
        <v>738</v>
      </c>
      <c r="C690" t="s">
        <v>23</v>
      </c>
      <c r="D690">
        <v>200</v>
      </c>
      <c r="E690">
        <v>345</v>
      </c>
      <c r="F690">
        <v>69000</v>
      </c>
      <c r="G690" t="s">
        <v>797</v>
      </c>
      <c r="H690">
        <v>2018204</v>
      </c>
      <c r="I690" t="s">
        <v>19</v>
      </c>
      <c r="J690" t="s">
        <v>20</v>
      </c>
      <c r="K690" t="s">
        <v>25</v>
      </c>
      <c r="L690">
        <v>17.37</v>
      </c>
      <c r="M690">
        <v>2.0699999999999998</v>
      </c>
      <c r="N690">
        <v>0</v>
      </c>
      <c r="O690">
        <v>41.08</v>
      </c>
      <c r="P690">
        <v>60.52</v>
      </c>
    </row>
    <row r="691" spans="1:16" hidden="1" x14ac:dyDescent="0.25">
      <c r="A691" s="22">
        <v>43402</v>
      </c>
      <c r="B691" t="s">
        <v>738</v>
      </c>
      <c r="C691" t="s">
        <v>23</v>
      </c>
      <c r="D691">
        <v>500</v>
      </c>
      <c r="E691">
        <v>349.95</v>
      </c>
      <c r="F691">
        <v>174975</v>
      </c>
      <c r="G691" t="s">
        <v>798</v>
      </c>
      <c r="H691">
        <v>2018204</v>
      </c>
      <c r="I691" t="s">
        <v>19</v>
      </c>
      <c r="J691" t="s">
        <v>20</v>
      </c>
      <c r="K691" t="s">
        <v>25</v>
      </c>
      <c r="L691">
        <v>43.42</v>
      </c>
      <c r="M691">
        <v>5.25</v>
      </c>
      <c r="N691">
        <v>0</v>
      </c>
      <c r="O691">
        <v>104.18</v>
      </c>
      <c r="P691">
        <v>152.8493</v>
      </c>
    </row>
    <row r="692" spans="1:16" hidden="1" x14ac:dyDescent="0.25">
      <c r="A692" s="22">
        <v>43402</v>
      </c>
      <c r="B692" t="s">
        <v>738</v>
      </c>
      <c r="C692" t="s">
        <v>17</v>
      </c>
      <c r="D692">
        <v>1000</v>
      </c>
      <c r="E692">
        <v>349.15</v>
      </c>
      <c r="F692">
        <v>349150</v>
      </c>
      <c r="G692" t="s">
        <v>799</v>
      </c>
      <c r="H692">
        <v>2018204</v>
      </c>
      <c r="I692" t="s">
        <v>19</v>
      </c>
      <c r="J692" t="s">
        <v>20</v>
      </c>
      <c r="K692" t="s">
        <v>25</v>
      </c>
      <c r="L692">
        <v>0</v>
      </c>
      <c r="M692">
        <v>10.47</v>
      </c>
      <c r="N692">
        <v>0</v>
      </c>
      <c r="O692">
        <v>207.88</v>
      </c>
      <c r="P692">
        <v>218.3544</v>
      </c>
    </row>
    <row r="693" spans="1:16" hidden="1" x14ac:dyDescent="0.25">
      <c r="A693" s="22">
        <v>43399</v>
      </c>
      <c r="B693" t="s">
        <v>800</v>
      </c>
      <c r="C693" t="s">
        <v>23</v>
      </c>
      <c r="D693">
        <v>1000</v>
      </c>
      <c r="E693">
        <v>320</v>
      </c>
      <c r="F693">
        <v>320000</v>
      </c>
      <c r="G693" t="s">
        <v>801</v>
      </c>
      <c r="H693">
        <v>2018203</v>
      </c>
      <c r="I693" t="s">
        <v>19</v>
      </c>
      <c r="J693" t="s">
        <v>20</v>
      </c>
      <c r="K693" t="s">
        <v>25</v>
      </c>
      <c r="L693">
        <v>79.75</v>
      </c>
      <c r="M693">
        <v>9.6</v>
      </c>
      <c r="N693">
        <v>0</v>
      </c>
      <c r="O693">
        <v>190.53</v>
      </c>
      <c r="P693">
        <v>279.88</v>
      </c>
    </row>
    <row r="694" spans="1:16" hidden="1" x14ac:dyDescent="0.25">
      <c r="A694" s="22">
        <v>43399</v>
      </c>
      <c r="B694" t="s">
        <v>800</v>
      </c>
      <c r="C694" t="s">
        <v>17</v>
      </c>
      <c r="D694">
        <v>1000</v>
      </c>
      <c r="E694">
        <v>318</v>
      </c>
      <c r="F694">
        <v>318000</v>
      </c>
      <c r="G694" t="s">
        <v>802</v>
      </c>
      <c r="H694">
        <v>2018203</v>
      </c>
      <c r="I694" t="s">
        <v>19</v>
      </c>
      <c r="J694" t="s">
        <v>20</v>
      </c>
      <c r="K694" t="s">
        <v>25</v>
      </c>
      <c r="L694">
        <v>0</v>
      </c>
      <c r="M694">
        <v>9.5399999999999991</v>
      </c>
      <c r="N694">
        <v>0</v>
      </c>
      <c r="O694">
        <v>189.34</v>
      </c>
      <c r="P694">
        <v>198.88</v>
      </c>
    </row>
    <row r="695" spans="1:16" hidden="1" x14ac:dyDescent="0.25">
      <c r="A695" s="22">
        <v>43399</v>
      </c>
      <c r="B695" t="s">
        <v>738</v>
      </c>
      <c r="C695" t="s">
        <v>23</v>
      </c>
      <c r="D695">
        <v>2500</v>
      </c>
      <c r="E695">
        <v>315</v>
      </c>
      <c r="F695">
        <v>787500</v>
      </c>
      <c r="G695" t="s">
        <v>803</v>
      </c>
      <c r="H695">
        <v>2018203</v>
      </c>
      <c r="I695" t="s">
        <v>19</v>
      </c>
      <c r="J695" t="s">
        <v>20</v>
      </c>
      <c r="K695" t="s">
        <v>25</v>
      </c>
      <c r="L695">
        <v>197.44</v>
      </c>
      <c r="M695">
        <v>23.63</v>
      </c>
      <c r="N695">
        <v>0</v>
      </c>
      <c r="O695">
        <v>468.88</v>
      </c>
      <c r="P695">
        <v>689.94510000000002</v>
      </c>
    </row>
    <row r="696" spans="1:16" hidden="1" x14ac:dyDescent="0.25">
      <c r="A696" s="22">
        <v>43399</v>
      </c>
      <c r="B696" t="s">
        <v>738</v>
      </c>
      <c r="C696" t="s">
        <v>23</v>
      </c>
      <c r="D696">
        <v>1000</v>
      </c>
      <c r="E696">
        <v>317</v>
      </c>
      <c r="F696">
        <v>317000</v>
      </c>
      <c r="G696" t="s">
        <v>804</v>
      </c>
      <c r="H696">
        <v>2018203</v>
      </c>
      <c r="I696" t="s">
        <v>19</v>
      </c>
      <c r="J696" t="s">
        <v>20</v>
      </c>
      <c r="K696" t="s">
        <v>25</v>
      </c>
      <c r="L696">
        <v>78.83</v>
      </c>
      <c r="M696">
        <v>9.51</v>
      </c>
      <c r="N696">
        <v>104.7</v>
      </c>
      <c r="O696">
        <v>188.75</v>
      </c>
      <c r="P696">
        <v>381.79</v>
      </c>
    </row>
    <row r="697" spans="1:16" hidden="1" x14ac:dyDescent="0.25">
      <c r="A697" s="22">
        <v>43399</v>
      </c>
      <c r="B697" t="s">
        <v>738</v>
      </c>
      <c r="C697" t="s">
        <v>23</v>
      </c>
      <c r="D697">
        <v>1000</v>
      </c>
      <c r="E697">
        <v>318</v>
      </c>
      <c r="F697">
        <v>318000</v>
      </c>
      <c r="G697" t="s">
        <v>805</v>
      </c>
      <c r="H697">
        <v>2018203</v>
      </c>
      <c r="I697" t="s">
        <v>19</v>
      </c>
      <c r="J697" t="s">
        <v>20</v>
      </c>
      <c r="K697" t="s">
        <v>25</v>
      </c>
      <c r="L697">
        <v>78.98</v>
      </c>
      <c r="M697">
        <v>9.5399999999999991</v>
      </c>
      <c r="N697">
        <v>0</v>
      </c>
      <c r="O697">
        <v>189.34</v>
      </c>
      <c r="P697">
        <v>277.86</v>
      </c>
    </row>
    <row r="698" spans="1:16" hidden="1" x14ac:dyDescent="0.25">
      <c r="A698" s="22">
        <v>43399</v>
      </c>
      <c r="B698" t="s">
        <v>738</v>
      </c>
      <c r="C698" t="s">
        <v>17</v>
      </c>
      <c r="D698">
        <v>4500</v>
      </c>
      <c r="E698">
        <v>315.7</v>
      </c>
      <c r="F698">
        <v>1420650</v>
      </c>
      <c r="G698" t="s">
        <v>806</v>
      </c>
      <c r="H698">
        <v>2018203</v>
      </c>
      <c r="I698" t="s">
        <v>19</v>
      </c>
      <c r="J698" t="s">
        <v>20</v>
      </c>
      <c r="K698" t="s">
        <v>25</v>
      </c>
      <c r="L698">
        <v>0</v>
      </c>
      <c r="M698">
        <v>42.62</v>
      </c>
      <c r="N698">
        <v>0</v>
      </c>
      <c r="O698">
        <v>845.85</v>
      </c>
      <c r="P698">
        <v>888.46939999999995</v>
      </c>
    </row>
    <row r="699" spans="1:16" hidden="1" x14ac:dyDescent="0.25">
      <c r="A699" s="22">
        <v>43398</v>
      </c>
      <c r="B699" t="s">
        <v>480</v>
      </c>
      <c r="C699" t="s">
        <v>17</v>
      </c>
      <c r="D699">
        <v>10000</v>
      </c>
      <c r="E699">
        <v>79.900000000000006</v>
      </c>
      <c r="F699">
        <v>799000</v>
      </c>
      <c r="G699" t="s">
        <v>807</v>
      </c>
      <c r="H699">
        <v>2018202</v>
      </c>
      <c r="I699" t="s">
        <v>19</v>
      </c>
      <c r="J699" t="s">
        <v>20</v>
      </c>
      <c r="K699" t="s">
        <v>25</v>
      </c>
      <c r="L699">
        <v>0</v>
      </c>
      <c r="M699">
        <v>23.97</v>
      </c>
      <c r="N699">
        <v>124.5</v>
      </c>
      <c r="O699">
        <v>475.72</v>
      </c>
      <c r="P699">
        <v>624.19039999999995</v>
      </c>
    </row>
    <row r="700" spans="1:16" hidden="1" x14ac:dyDescent="0.25">
      <c r="A700" s="22">
        <v>43398</v>
      </c>
      <c r="B700" t="s">
        <v>800</v>
      </c>
      <c r="C700" t="s">
        <v>23</v>
      </c>
      <c r="D700">
        <v>1000</v>
      </c>
      <c r="E700">
        <v>313</v>
      </c>
      <c r="F700">
        <v>313000</v>
      </c>
      <c r="G700" t="s">
        <v>808</v>
      </c>
      <c r="H700">
        <v>2018202</v>
      </c>
      <c r="I700" t="s">
        <v>19</v>
      </c>
      <c r="J700" t="s">
        <v>20</v>
      </c>
      <c r="K700" t="s">
        <v>25</v>
      </c>
      <c r="L700">
        <v>79.290000000000006</v>
      </c>
      <c r="M700">
        <v>9.39</v>
      </c>
      <c r="N700">
        <v>0</v>
      </c>
      <c r="O700">
        <v>186.36</v>
      </c>
      <c r="P700">
        <v>275.0401</v>
      </c>
    </row>
    <row r="701" spans="1:16" hidden="1" x14ac:dyDescent="0.25">
      <c r="A701" s="22">
        <v>43398</v>
      </c>
      <c r="B701" t="s">
        <v>800</v>
      </c>
      <c r="C701" t="s">
        <v>23</v>
      </c>
      <c r="D701">
        <v>1000</v>
      </c>
      <c r="E701">
        <v>312</v>
      </c>
      <c r="F701">
        <v>312000</v>
      </c>
      <c r="G701" t="s">
        <v>809</v>
      </c>
      <c r="H701">
        <v>2018202</v>
      </c>
      <c r="I701" t="s">
        <v>19</v>
      </c>
      <c r="J701" t="s">
        <v>20</v>
      </c>
      <c r="K701" t="s">
        <v>25</v>
      </c>
      <c r="L701">
        <v>79.290000000000006</v>
      </c>
      <c r="M701">
        <v>9.36</v>
      </c>
      <c r="N701">
        <v>0</v>
      </c>
      <c r="O701">
        <v>185.76</v>
      </c>
      <c r="P701">
        <v>274.41000000000003</v>
      </c>
    </row>
    <row r="702" spans="1:16" hidden="1" x14ac:dyDescent="0.25">
      <c r="A702" s="22">
        <v>43398</v>
      </c>
      <c r="B702" t="s">
        <v>800</v>
      </c>
      <c r="C702" t="s">
        <v>23</v>
      </c>
      <c r="D702">
        <v>1000</v>
      </c>
      <c r="E702">
        <v>315</v>
      </c>
      <c r="F702">
        <v>315000</v>
      </c>
      <c r="G702" t="s">
        <v>810</v>
      </c>
      <c r="H702">
        <v>2018202</v>
      </c>
      <c r="I702" t="s">
        <v>19</v>
      </c>
      <c r="J702" t="s">
        <v>20</v>
      </c>
      <c r="K702" t="s">
        <v>25</v>
      </c>
      <c r="L702">
        <v>79.290000000000006</v>
      </c>
      <c r="M702">
        <v>9.4499999999999993</v>
      </c>
      <c r="N702">
        <v>0</v>
      </c>
      <c r="O702">
        <v>187.55</v>
      </c>
      <c r="P702">
        <v>276.29000000000002</v>
      </c>
    </row>
    <row r="703" spans="1:16" hidden="1" x14ac:dyDescent="0.25">
      <c r="A703" s="22">
        <v>43398</v>
      </c>
      <c r="B703" t="s">
        <v>800</v>
      </c>
      <c r="C703" t="s">
        <v>23</v>
      </c>
      <c r="D703">
        <v>1000</v>
      </c>
      <c r="E703">
        <v>320</v>
      </c>
      <c r="F703">
        <v>320000</v>
      </c>
      <c r="G703" t="s">
        <v>811</v>
      </c>
      <c r="H703">
        <v>2018202</v>
      </c>
      <c r="I703" t="s">
        <v>19</v>
      </c>
      <c r="J703" t="s">
        <v>20</v>
      </c>
      <c r="K703" t="s">
        <v>25</v>
      </c>
      <c r="L703">
        <v>79.290000000000006</v>
      </c>
      <c r="M703">
        <v>9.6</v>
      </c>
      <c r="N703">
        <v>0</v>
      </c>
      <c r="O703">
        <v>190.53</v>
      </c>
      <c r="P703">
        <v>279.42</v>
      </c>
    </row>
    <row r="704" spans="1:16" hidden="1" x14ac:dyDescent="0.25">
      <c r="A704" s="22">
        <v>43398</v>
      </c>
      <c r="B704" t="s">
        <v>800</v>
      </c>
      <c r="C704" t="s">
        <v>17</v>
      </c>
      <c r="D704">
        <v>4000</v>
      </c>
      <c r="E704">
        <v>319.33</v>
      </c>
      <c r="F704">
        <v>1277331.3</v>
      </c>
      <c r="G704" t="s">
        <v>812</v>
      </c>
      <c r="H704">
        <v>2018202</v>
      </c>
      <c r="I704" t="s">
        <v>19</v>
      </c>
      <c r="J704" t="s">
        <v>20</v>
      </c>
      <c r="K704" t="s">
        <v>25</v>
      </c>
      <c r="L704">
        <v>0</v>
      </c>
      <c r="M704">
        <v>38.32</v>
      </c>
      <c r="N704">
        <v>0</v>
      </c>
      <c r="O704">
        <v>760.52</v>
      </c>
      <c r="P704">
        <v>798.84</v>
      </c>
    </row>
    <row r="705" spans="1:16" hidden="1" x14ac:dyDescent="0.25">
      <c r="A705" s="22">
        <v>43398</v>
      </c>
      <c r="B705" t="s">
        <v>480</v>
      </c>
      <c r="C705" t="s">
        <v>23</v>
      </c>
      <c r="D705">
        <v>10000</v>
      </c>
      <c r="E705">
        <v>81</v>
      </c>
      <c r="F705">
        <v>810000</v>
      </c>
      <c r="G705" t="s">
        <v>813</v>
      </c>
      <c r="H705">
        <v>2018202</v>
      </c>
      <c r="I705" t="s">
        <v>19</v>
      </c>
      <c r="J705" t="s">
        <v>20</v>
      </c>
      <c r="K705" t="s">
        <v>25</v>
      </c>
      <c r="L705">
        <v>200.83</v>
      </c>
      <c r="M705">
        <v>24.3</v>
      </c>
      <c r="N705">
        <v>0</v>
      </c>
      <c r="O705">
        <v>482.27</v>
      </c>
      <c r="P705">
        <v>707.4</v>
      </c>
    </row>
    <row r="706" spans="1:16" hidden="1" x14ac:dyDescent="0.25">
      <c r="A706" s="22">
        <v>43390</v>
      </c>
      <c r="B706" t="s">
        <v>480</v>
      </c>
      <c r="C706" t="s">
        <v>23</v>
      </c>
      <c r="D706">
        <v>10000</v>
      </c>
      <c r="E706">
        <v>80.75</v>
      </c>
      <c r="F706">
        <v>807500</v>
      </c>
      <c r="G706" t="s">
        <v>774</v>
      </c>
      <c r="H706">
        <v>2018197</v>
      </c>
      <c r="I706" t="s">
        <v>19</v>
      </c>
      <c r="J706" t="s">
        <v>20</v>
      </c>
      <c r="K706" t="s">
        <v>25</v>
      </c>
      <c r="L706">
        <v>199.3</v>
      </c>
      <c r="M706">
        <v>24.23</v>
      </c>
      <c r="N706">
        <v>0</v>
      </c>
      <c r="O706">
        <v>480.77</v>
      </c>
      <c r="P706">
        <v>704.29520000000002</v>
      </c>
    </row>
    <row r="707" spans="1:16" hidden="1" x14ac:dyDescent="0.25">
      <c r="A707" s="22">
        <v>43390</v>
      </c>
      <c r="B707" t="s">
        <v>480</v>
      </c>
      <c r="C707" t="s">
        <v>17</v>
      </c>
      <c r="D707">
        <v>10000</v>
      </c>
      <c r="E707">
        <v>80.599999999999994</v>
      </c>
      <c r="F707">
        <v>806000</v>
      </c>
      <c r="G707" t="s">
        <v>775</v>
      </c>
      <c r="H707">
        <v>2018197</v>
      </c>
      <c r="I707" t="s">
        <v>19</v>
      </c>
      <c r="J707" t="s">
        <v>20</v>
      </c>
      <c r="K707" t="s">
        <v>25</v>
      </c>
      <c r="L707">
        <v>0</v>
      </c>
      <c r="M707">
        <v>24.18</v>
      </c>
      <c r="N707">
        <v>97.2</v>
      </c>
      <c r="O707">
        <v>479.9</v>
      </c>
      <c r="P707">
        <v>601.28009999999995</v>
      </c>
    </row>
    <row r="708" spans="1:16" hidden="1" x14ac:dyDescent="0.25">
      <c r="A708" s="22">
        <v>43390</v>
      </c>
      <c r="B708" t="s">
        <v>480</v>
      </c>
      <c r="C708" t="s">
        <v>23</v>
      </c>
      <c r="D708">
        <v>10000</v>
      </c>
      <c r="E708">
        <v>78.5</v>
      </c>
      <c r="F708">
        <v>785000</v>
      </c>
      <c r="G708" t="s">
        <v>776</v>
      </c>
      <c r="H708">
        <v>2018197</v>
      </c>
      <c r="I708" t="s">
        <v>19</v>
      </c>
      <c r="J708" t="s">
        <v>20</v>
      </c>
      <c r="K708" t="s">
        <v>25</v>
      </c>
      <c r="L708">
        <v>199.3</v>
      </c>
      <c r="M708">
        <v>23.55</v>
      </c>
      <c r="N708">
        <v>0</v>
      </c>
      <c r="O708">
        <v>467.38</v>
      </c>
      <c r="P708">
        <v>690.23</v>
      </c>
    </row>
    <row r="709" spans="1:16" hidden="1" x14ac:dyDescent="0.25">
      <c r="A709" s="22">
        <v>43390</v>
      </c>
      <c r="B709" t="s">
        <v>480</v>
      </c>
      <c r="C709" t="s">
        <v>17</v>
      </c>
      <c r="D709">
        <v>10000</v>
      </c>
      <c r="E709">
        <v>79.03</v>
      </c>
      <c r="F709">
        <v>790276.25</v>
      </c>
      <c r="G709" t="s">
        <v>777</v>
      </c>
      <c r="H709">
        <v>2018197</v>
      </c>
      <c r="I709" t="s">
        <v>19</v>
      </c>
      <c r="J709" t="s">
        <v>20</v>
      </c>
      <c r="K709" t="s">
        <v>25</v>
      </c>
      <c r="L709">
        <v>0</v>
      </c>
      <c r="M709">
        <v>23.71</v>
      </c>
      <c r="N709">
        <v>0</v>
      </c>
      <c r="O709">
        <v>470.52</v>
      </c>
      <c r="P709">
        <v>494.2285</v>
      </c>
    </row>
    <row r="710" spans="1:16" hidden="1" x14ac:dyDescent="0.25">
      <c r="A710" s="22">
        <v>43390</v>
      </c>
      <c r="B710" t="s">
        <v>404</v>
      </c>
      <c r="C710" t="s">
        <v>23</v>
      </c>
      <c r="D710">
        <v>10</v>
      </c>
      <c r="E710">
        <v>285.55</v>
      </c>
      <c r="F710">
        <v>2855.5</v>
      </c>
      <c r="G710" t="s">
        <v>778</v>
      </c>
      <c r="H710">
        <v>2018197</v>
      </c>
      <c r="I710" t="s">
        <v>19</v>
      </c>
      <c r="J710" t="s">
        <v>20</v>
      </c>
      <c r="K710" t="s">
        <v>25</v>
      </c>
      <c r="L710">
        <v>2.86</v>
      </c>
      <c r="M710">
        <v>0.09</v>
      </c>
      <c r="N710">
        <v>0</v>
      </c>
      <c r="O710">
        <v>41.32</v>
      </c>
      <c r="P710">
        <v>44.265700000000002</v>
      </c>
    </row>
    <row r="711" spans="1:16" hidden="1" x14ac:dyDescent="0.25">
      <c r="A711" s="22">
        <v>43390</v>
      </c>
      <c r="B711" t="s">
        <v>397</v>
      </c>
      <c r="C711" t="s">
        <v>23</v>
      </c>
      <c r="D711">
        <v>57</v>
      </c>
      <c r="E711">
        <v>252.6</v>
      </c>
      <c r="F711">
        <v>14398.25</v>
      </c>
      <c r="G711" t="s">
        <v>779</v>
      </c>
      <c r="H711">
        <v>2018197</v>
      </c>
      <c r="I711" t="s">
        <v>19</v>
      </c>
      <c r="J711" t="s">
        <v>20</v>
      </c>
      <c r="K711" t="s">
        <v>25</v>
      </c>
      <c r="L711">
        <v>14.4</v>
      </c>
      <c r="M711">
        <v>0.43</v>
      </c>
      <c r="N711">
        <v>0</v>
      </c>
      <c r="O711">
        <v>93.52</v>
      </c>
      <c r="P711">
        <v>108.3519</v>
      </c>
    </row>
    <row r="712" spans="1:16" hidden="1" x14ac:dyDescent="0.25">
      <c r="A712" s="22">
        <v>43390</v>
      </c>
      <c r="B712" t="s">
        <v>26</v>
      </c>
      <c r="C712" t="s">
        <v>23</v>
      </c>
      <c r="D712">
        <v>250</v>
      </c>
      <c r="E712">
        <v>77.06</v>
      </c>
      <c r="F712">
        <v>19264.150000000001</v>
      </c>
      <c r="G712" t="s">
        <v>780</v>
      </c>
      <c r="H712">
        <v>2018197</v>
      </c>
      <c r="I712" t="s">
        <v>19</v>
      </c>
      <c r="J712" t="s">
        <v>20</v>
      </c>
      <c r="K712" t="s">
        <v>25</v>
      </c>
      <c r="L712">
        <v>19.260000000000002</v>
      </c>
      <c r="M712">
        <v>0.57999999999999996</v>
      </c>
      <c r="N712">
        <v>0</v>
      </c>
      <c r="O712">
        <v>125.13</v>
      </c>
      <c r="P712">
        <v>144.96789999999999</v>
      </c>
    </row>
    <row r="713" spans="1:16" hidden="1" x14ac:dyDescent="0.25">
      <c r="A713" s="22">
        <v>43390</v>
      </c>
      <c r="B713" t="s">
        <v>683</v>
      </c>
      <c r="C713" t="s">
        <v>23</v>
      </c>
      <c r="D713">
        <v>10</v>
      </c>
      <c r="E713">
        <v>96.3</v>
      </c>
      <c r="F713">
        <v>963</v>
      </c>
      <c r="G713" t="s">
        <v>781</v>
      </c>
      <c r="H713">
        <v>2018197</v>
      </c>
      <c r="I713" t="s">
        <v>19</v>
      </c>
      <c r="J713" t="s">
        <v>20</v>
      </c>
      <c r="K713" t="s">
        <v>25</v>
      </c>
      <c r="L713">
        <v>0.96</v>
      </c>
      <c r="M713">
        <v>0.03</v>
      </c>
      <c r="N713">
        <v>0</v>
      </c>
      <c r="O713">
        <v>28.41</v>
      </c>
      <c r="P713">
        <v>29.399000000000001</v>
      </c>
    </row>
    <row r="714" spans="1:16" hidden="1" x14ac:dyDescent="0.25">
      <c r="A714" s="22">
        <v>43390</v>
      </c>
      <c r="B714" t="s">
        <v>321</v>
      </c>
      <c r="C714" t="s">
        <v>23</v>
      </c>
      <c r="D714">
        <v>25</v>
      </c>
      <c r="E714">
        <v>206.18</v>
      </c>
      <c r="F714">
        <v>5154.45</v>
      </c>
      <c r="G714" t="s">
        <v>782</v>
      </c>
      <c r="H714">
        <v>2018197</v>
      </c>
      <c r="I714" t="s">
        <v>19</v>
      </c>
      <c r="J714" t="s">
        <v>20</v>
      </c>
      <c r="K714" t="s">
        <v>25</v>
      </c>
      <c r="L714">
        <v>4.92</v>
      </c>
      <c r="M714">
        <v>0.15</v>
      </c>
      <c r="N714">
        <v>0</v>
      </c>
      <c r="O714">
        <v>41.33</v>
      </c>
      <c r="P714">
        <v>46.404699999999998</v>
      </c>
    </row>
    <row r="715" spans="1:16" hidden="1" x14ac:dyDescent="0.25">
      <c r="A715" s="22">
        <v>43389</v>
      </c>
      <c r="B715" t="s">
        <v>480</v>
      </c>
      <c r="C715" t="s">
        <v>23</v>
      </c>
      <c r="D715">
        <v>1000</v>
      </c>
      <c r="E715">
        <v>77.5</v>
      </c>
      <c r="F715">
        <v>77500</v>
      </c>
      <c r="G715" t="s">
        <v>696</v>
      </c>
      <c r="H715">
        <v>2018196</v>
      </c>
      <c r="I715" t="s">
        <v>19</v>
      </c>
      <c r="J715" t="s">
        <v>20</v>
      </c>
      <c r="K715" t="s">
        <v>25</v>
      </c>
      <c r="L715">
        <v>20.23</v>
      </c>
      <c r="M715">
        <v>2.33</v>
      </c>
      <c r="N715">
        <v>0</v>
      </c>
      <c r="O715">
        <v>46.14</v>
      </c>
      <c r="P715">
        <v>68.695099999999996</v>
      </c>
    </row>
    <row r="716" spans="1:16" hidden="1" x14ac:dyDescent="0.25">
      <c r="A716" s="22">
        <v>43389</v>
      </c>
      <c r="B716" t="s">
        <v>697</v>
      </c>
      <c r="C716" t="s">
        <v>23</v>
      </c>
      <c r="D716">
        <v>1000</v>
      </c>
      <c r="E716">
        <v>39.6</v>
      </c>
      <c r="F716">
        <v>39600</v>
      </c>
      <c r="G716" t="s">
        <v>698</v>
      </c>
      <c r="H716">
        <v>2018196</v>
      </c>
      <c r="I716" t="s">
        <v>19</v>
      </c>
      <c r="J716" t="s">
        <v>20</v>
      </c>
      <c r="K716" t="s">
        <v>25</v>
      </c>
      <c r="L716">
        <v>9.49</v>
      </c>
      <c r="M716">
        <v>1.19</v>
      </c>
      <c r="N716">
        <v>0</v>
      </c>
      <c r="O716">
        <v>29.71</v>
      </c>
      <c r="P716">
        <v>40.387999999999998</v>
      </c>
    </row>
    <row r="717" spans="1:16" hidden="1" x14ac:dyDescent="0.25">
      <c r="A717" s="22">
        <v>43389</v>
      </c>
      <c r="B717" t="s">
        <v>480</v>
      </c>
      <c r="C717" t="s">
        <v>23</v>
      </c>
      <c r="D717">
        <v>5000</v>
      </c>
      <c r="E717">
        <v>79.75</v>
      </c>
      <c r="F717">
        <v>398750</v>
      </c>
      <c r="G717" t="s">
        <v>699</v>
      </c>
      <c r="H717">
        <v>2018196</v>
      </c>
      <c r="I717" t="s">
        <v>19</v>
      </c>
      <c r="J717" t="s">
        <v>20</v>
      </c>
      <c r="K717" t="s">
        <v>25</v>
      </c>
      <c r="L717">
        <v>101.14</v>
      </c>
      <c r="M717">
        <v>11.96</v>
      </c>
      <c r="N717">
        <v>0</v>
      </c>
      <c r="O717">
        <v>237.41</v>
      </c>
      <c r="P717">
        <v>350.51240000000001</v>
      </c>
    </row>
    <row r="718" spans="1:16" hidden="1" x14ac:dyDescent="0.25">
      <c r="A718" s="22">
        <v>43389</v>
      </c>
      <c r="B718" t="s">
        <v>697</v>
      </c>
      <c r="C718" t="s">
        <v>17</v>
      </c>
      <c r="D718">
        <v>1000</v>
      </c>
      <c r="E718">
        <v>39.299999999999997</v>
      </c>
      <c r="F718">
        <v>39300</v>
      </c>
      <c r="G718" t="s">
        <v>700</v>
      </c>
      <c r="H718">
        <v>2018196</v>
      </c>
      <c r="I718" t="s">
        <v>19</v>
      </c>
      <c r="J718" t="s">
        <v>20</v>
      </c>
      <c r="K718" t="s">
        <v>25</v>
      </c>
      <c r="L718">
        <v>0</v>
      </c>
      <c r="M718">
        <v>1.18</v>
      </c>
      <c r="N718">
        <v>0</v>
      </c>
      <c r="O718">
        <v>29.71</v>
      </c>
      <c r="P718">
        <v>30.889099999999999</v>
      </c>
    </row>
    <row r="719" spans="1:16" hidden="1" x14ac:dyDescent="0.25">
      <c r="A719" s="22">
        <v>43389</v>
      </c>
      <c r="B719" t="s">
        <v>480</v>
      </c>
      <c r="C719" t="s">
        <v>23</v>
      </c>
      <c r="D719">
        <v>2500</v>
      </c>
      <c r="E719">
        <v>80.150000000000006</v>
      </c>
      <c r="F719">
        <v>200375</v>
      </c>
      <c r="G719" t="s">
        <v>701</v>
      </c>
      <c r="H719">
        <v>2018196</v>
      </c>
      <c r="I719" t="s">
        <v>19</v>
      </c>
      <c r="J719" t="s">
        <v>20</v>
      </c>
      <c r="K719" t="s">
        <v>25</v>
      </c>
      <c r="L719">
        <v>50.57</v>
      </c>
      <c r="M719">
        <v>6.01</v>
      </c>
      <c r="N719">
        <v>0</v>
      </c>
      <c r="O719">
        <v>119.3</v>
      </c>
      <c r="P719">
        <v>175.88140000000001</v>
      </c>
    </row>
    <row r="720" spans="1:16" hidden="1" x14ac:dyDescent="0.25">
      <c r="A720" s="22">
        <v>43389</v>
      </c>
      <c r="B720" t="s">
        <v>480</v>
      </c>
      <c r="C720" t="s">
        <v>23</v>
      </c>
      <c r="D720">
        <v>2500</v>
      </c>
      <c r="E720">
        <v>81.5</v>
      </c>
      <c r="F720">
        <v>203750</v>
      </c>
      <c r="G720" t="s">
        <v>702</v>
      </c>
      <c r="H720">
        <v>2018196</v>
      </c>
      <c r="I720" t="s">
        <v>19</v>
      </c>
      <c r="J720" t="s">
        <v>20</v>
      </c>
      <c r="K720" t="s">
        <v>25</v>
      </c>
      <c r="L720">
        <v>50.57</v>
      </c>
      <c r="M720">
        <v>6.11</v>
      </c>
      <c r="N720">
        <v>0</v>
      </c>
      <c r="O720">
        <v>121.32</v>
      </c>
      <c r="P720">
        <v>178.0025</v>
      </c>
    </row>
    <row r="721" spans="1:16" hidden="1" x14ac:dyDescent="0.25">
      <c r="A721" s="22">
        <v>43389</v>
      </c>
      <c r="B721" t="s">
        <v>480</v>
      </c>
      <c r="C721" t="s">
        <v>17</v>
      </c>
      <c r="D721">
        <v>11000</v>
      </c>
      <c r="E721">
        <v>81.790000000000006</v>
      </c>
      <c r="F721">
        <v>899667.25</v>
      </c>
      <c r="G721" t="s">
        <v>703</v>
      </c>
      <c r="H721">
        <v>2018196</v>
      </c>
      <c r="I721" t="s">
        <v>19</v>
      </c>
      <c r="J721" t="s">
        <v>20</v>
      </c>
      <c r="K721" t="s">
        <v>25</v>
      </c>
      <c r="L721">
        <v>0</v>
      </c>
      <c r="M721">
        <v>26.99</v>
      </c>
      <c r="N721">
        <v>55.8</v>
      </c>
      <c r="O721">
        <v>535.69000000000005</v>
      </c>
      <c r="P721">
        <v>618.48050000000001</v>
      </c>
    </row>
    <row r="722" spans="1:16" hidden="1" x14ac:dyDescent="0.25">
      <c r="A722" s="22">
        <v>43388</v>
      </c>
      <c r="B722" t="s">
        <v>659</v>
      </c>
      <c r="C722" t="s">
        <v>23</v>
      </c>
      <c r="D722">
        <v>2000</v>
      </c>
      <c r="E722">
        <v>246</v>
      </c>
      <c r="F722">
        <v>492000</v>
      </c>
      <c r="G722" t="s">
        <v>704</v>
      </c>
      <c r="H722">
        <v>2018195</v>
      </c>
      <c r="I722" t="s">
        <v>19</v>
      </c>
      <c r="J722" t="s">
        <v>20</v>
      </c>
      <c r="K722" t="s">
        <v>25</v>
      </c>
      <c r="L722">
        <v>123</v>
      </c>
      <c r="M722">
        <v>14.76</v>
      </c>
      <c r="N722">
        <v>0</v>
      </c>
      <c r="O722">
        <v>292.93</v>
      </c>
      <c r="P722">
        <v>430.69</v>
      </c>
    </row>
    <row r="723" spans="1:16" hidden="1" x14ac:dyDescent="0.25">
      <c r="A723" s="22">
        <v>43388</v>
      </c>
      <c r="B723" t="s">
        <v>659</v>
      </c>
      <c r="C723" t="s">
        <v>17</v>
      </c>
      <c r="D723">
        <v>2000</v>
      </c>
      <c r="E723">
        <v>246.23</v>
      </c>
      <c r="F723">
        <v>492465.65</v>
      </c>
      <c r="G723" t="s">
        <v>705</v>
      </c>
      <c r="H723">
        <v>2018195</v>
      </c>
      <c r="I723" t="s">
        <v>19</v>
      </c>
      <c r="J723" t="s">
        <v>20</v>
      </c>
      <c r="K723" t="s">
        <v>25</v>
      </c>
      <c r="L723">
        <v>0</v>
      </c>
      <c r="M723">
        <v>14.77</v>
      </c>
      <c r="N723">
        <v>29.7</v>
      </c>
      <c r="O723">
        <v>293.2</v>
      </c>
      <c r="P723">
        <v>337.67399999999998</v>
      </c>
    </row>
    <row r="724" spans="1:16" hidden="1" x14ac:dyDescent="0.25">
      <c r="A724" s="22">
        <v>43385</v>
      </c>
      <c r="B724" t="s">
        <v>706</v>
      </c>
      <c r="C724" t="s">
        <v>17</v>
      </c>
      <c r="D724">
        <v>100</v>
      </c>
      <c r="E724">
        <v>480.89</v>
      </c>
      <c r="F724">
        <v>48088.85</v>
      </c>
      <c r="G724" t="s">
        <v>707</v>
      </c>
      <c r="H724">
        <v>2018194</v>
      </c>
      <c r="I724" t="s">
        <v>19</v>
      </c>
      <c r="J724" t="s">
        <v>20</v>
      </c>
      <c r="K724" t="s">
        <v>25</v>
      </c>
      <c r="L724">
        <v>0</v>
      </c>
      <c r="M724">
        <v>1.44</v>
      </c>
      <c r="N724">
        <v>0</v>
      </c>
      <c r="O724">
        <v>29.81</v>
      </c>
      <c r="P724">
        <v>31.252199999999998</v>
      </c>
    </row>
    <row r="725" spans="1:16" hidden="1" x14ac:dyDescent="0.25">
      <c r="A725" s="22">
        <v>43385</v>
      </c>
      <c r="B725" t="s">
        <v>706</v>
      </c>
      <c r="C725" t="s">
        <v>23</v>
      </c>
      <c r="D725">
        <v>1000</v>
      </c>
      <c r="E725">
        <v>479</v>
      </c>
      <c r="F725">
        <v>479000</v>
      </c>
      <c r="G725" t="s">
        <v>708</v>
      </c>
      <c r="H725">
        <v>2018194</v>
      </c>
      <c r="I725" t="s">
        <v>19</v>
      </c>
      <c r="J725" t="s">
        <v>20</v>
      </c>
      <c r="K725" t="s">
        <v>25</v>
      </c>
      <c r="L725">
        <v>119.06</v>
      </c>
      <c r="M725">
        <v>14.37</v>
      </c>
      <c r="N725">
        <v>0</v>
      </c>
      <c r="O725">
        <v>286.44</v>
      </c>
      <c r="P725">
        <v>419.87020000000001</v>
      </c>
    </row>
    <row r="726" spans="1:16" hidden="1" x14ac:dyDescent="0.25">
      <c r="A726" s="22">
        <v>43385</v>
      </c>
      <c r="B726" t="s">
        <v>706</v>
      </c>
      <c r="C726" t="s">
        <v>17</v>
      </c>
      <c r="D726">
        <v>900</v>
      </c>
      <c r="E726">
        <v>480.99</v>
      </c>
      <c r="F726">
        <v>432892.3</v>
      </c>
      <c r="G726" t="s">
        <v>709</v>
      </c>
      <c r="H726">
        <v>2018194</v>
      </c>
      <c r="I726" t="s">
        <v>19</v>
      </c>
      <c r="J726" t="s">
        <v>20</v>
      </c>
      <c r="K726" t="s">
        <v>25</v>
      </c>
      <c r="L726">
        <v>0</v>
      </c>
      <c r="M726">
        <v>12.99</v>
      </c>
      <c r="N726">
        <v>0</v>
      </c>
      <c r="O726">
        <v>257.74</v>
      </c>
      <c r="P726">
        <v>270.72669999999999</v>
      </c>
    </row>
    <row r="727" spans="1:16" hidden="1" x14ac:dyDescent="0.25">
      <c r="A727" s="22">
        <v>43385</v>
      </c>
      <c r="B727" t="s">
        <v>706</v>
      </c>
      <c r="C727" t="s">
        <v>23</v>
      </c>
      <c r="D727">
        <v>1000</v>
      </c>
      <c r="E727">
        <v>475</v>
      </c>
      <c r="F727">
        <v>475000</v>
      </c>
      <c r="G727" t="s">
        <v>710</v>
      </c>
      <c r="H727">
        <v>2018194</v>
      </c>
      <c r="I727" t="s">
        <v>19</v>
      </c>
      <c r="J727" t="s">
        <v>20</v>
      </c>
      <c r="K727" t="s">
        <v>25</v>
      </c>
      <c r="L727">
        <v>118.94</v>
      </c>
      <c r="M727">
        <v>14.25</v>
      </c>
      <c r="N727">
        <v>57.3</v>
      </c>
      <c r="O727">
        <v>282.81</v>
      </c>
      <c r="P727">
        <v>473.30029999999999</v>
      </c>
    </row>
    <row r="728" spans="1:16" hidden="1" x14ac:dyDescent="0.25">
      <c r="A728" s="22">
        <v>43385</v>
      </c>
      <c r="B728" t="s">
        <v>706</v>
      </c>
      <c r="C728" t="s">
        <v>17</v>
      </c>
      <c r="D728">
        <v>1000</v>
      </c>
      <c r="E728">
        <v>470</v>
      </c>
      <c r="F728">
        <v>470000</v>
      </c>
      <c r="G728" t="s">
        <v>711</v>
      </c>
      <c r="H728">
        <v>2018194</v>
      </c>
      <c r="I728" t="s">
        <v>19</v>
      </c>
      <c r="J728" t="s">
        <v>20</v>
      </c>
      <c r="K728" t="s">
        <v>25</v>
      </c>
      <c r="L728">
        <v>0</v>
      </c>
      <c r="M728">
        <v>14.1</v>
      </c>
      <c r="N728">
        <v>0</v>
      </c>
      <c r="O728">
        <v>279.83999999999997</v>
      </c>
      <c r="P728">
        <v>293.94</v>
      </c>
    </row>
    <row r="729" spans="1:16" hidden="1" x14ac:dyDescent="0.25">
      <c r="A729" s="22">
        <v>43384</v>
      </c>
      <c r="B729" t="s">
        <v>226</v>
      </c>
      <c r="C729" t="s">
        <v>23</v>
      </c>
      <c r="D729">
        <v>500</v>
      </c>
      <c r="E729">
        <v>457.15</v>
      </c>
      <c r="F729">
        <v>228575.6</v>
      </c>
      <c r="G729" t="s">
        <v>712</v>
      </c>
      <c r="H729">
        <v>2018193</v>
      </c>
      <c r="I729" t="s">
        <v>19</v>
      </c>
      <c r="J729" t="s">
        <v>20</v>
      </c>
      <c r="K729" t="s">
        <v>25</v>
      </c>
      <c r="L729">
        <v>57.5</v>
      </c>
      <c r="M729">
        <v>6.86</v>
      </c>
      <c r="N729">
        <v>0</v>
      </c>
      <c r="O729">
        <v>136.09</v>
      </c>
      <c r="P729">
        <v>200.44739999999999</v>
      </c>
    </row>
    <row r="730" spans="1:16" hidden="1" x14ac:dyDescent="0.25">
      <c r="A730" s="22">
        <v>43384</v>
      </c>
      <c r="B730" t="s">
        <v>226</v>
      </c>
      <c r="C730" t="s">
        <v>23</v>
      </c>
      <c r="D730">
        <v>500</v>
      </c>
      <c r="E730">
        <v>465</v>
      </c>
      <c r="F730">
        <v>232500</v>
      </c>
      <c r="G730" t="s">
        <v>713</v>
      </c>
      <c r="H730">
        <v>2018193</v>
      </c>
      <c r="I730" t="s">
        <v>19</v>
      </c>
      <c r="J730" t="s">
        <v>20</v>
      </c>
      <c r="K730" t="s">
        <v>25</v>
      </c>
      <c r="L730">
        <v>57.5</v>
      </c>
      <c r="M730">
        <v>6.98</v>
      </c>
      <c r="N730">
        <v>0</v>
      </c>
      <c r="O730">
        <v>138.43</v>
      </c>
      <c r="P730">
        <v>202.9051</v>
      </c>
    </row>
    <row r="731" spans="1:16" hidden="1" x14ac:dyDescent="0.25">
      <c r="A731" s="22">
        <v>43384</v>
      </c>
      <c r="B731" t="s">
        <v>226</v>
      </c>
      <c r="C731" t="s">
        <v>17</v>
      </c>
      <c r="D731">
        <v>1000</v>
      </c>
      <c r="E731">
        <v>459</v>
      </c>
      <c r="F731">
        <v>459000</v>
      </c>
      <c r="G731" t="s">
        <v>714</v>
      </c>
      <c r="H731">
        <v>2018193</v>
      </c>
      <c r="I731" t="s">
        <v>19</v>
      </c>
      <c r="J731" t="s">
        <v>20</v>
      </c>
      <c r="K731" t="s">
        <v>25</v>
      </c>
      <c r="L731">
        <v>0</v>
      </c>
      <c r="M731">
        <v>13.77</v>
      </c>
      <c r="N731">
        <v>27.9</v>
      </c>
      <c r="O731">
        <v>273.29000000000002</v>
      </c>
      <c r="P731">
        <v>314.95999999999998</v>
      </c>
    </row>
    <row r="732" spans="1:16" hidden="1" x14ac:dyDescent="0.25">
      <c r="A732" s="22">
        <v>43382</v>
      </c>
      <c r="B732" t="s">
        <v>282</v>
      </c>
      <c r="C732" t="s">
        <v>17</v>
      </c>
      <c r="D732">
        <v>100</v>
      </c>
      <c r="E732">
        <v>599</v>
      </c>
      <c r="F732">
        <v>59900</v>
      </c>
      <c r="G732" t="s">
        <v>715</v>
      </c>
      <c r="H732">
        <v>2018191</v>
      </c>
      <c r="I732" t="s">
        <v>19</v>
      </c>
      <c r="J732" t="s">
        <v>20</v>
      </c>
      <c r="K732" t="s">
        <v>25</v>
      </c>
      <c r="L732">
        <v>0</v>
      </c>
      <c r="M732">
        <v>1.8</v>
      </c>
      <c r="N732">
        <v>0</v>
      </c>
      <c r="O732">
        <v>35.67</v>
      </c>
      <c r="P732">
        <v>37.466900000000003</v>
      </c>
    </row>
    <row r="733" spans="1:16" x14ac:dyDescent="0.25">
      <c r="A733" s="22">
        <v>43151</v>
      </c>
      <c r="B733" t="s">
        <v>282</v>
      </c>
      <c r="C733" t="s">
        <v>23</v>
      </c>
      <c r="D733">
        <v>500</v>
      </c>
      <c r="E733">
        <v>580</v>
      </c>
      <c r="F733">
        <v>290000</v>
      </c>
      <c r="G733" t="s">
        <v>331</v>
      </c>
      <c r="H733">
        <v>2018035</v>
      </c>
      <c r="I733" t="s">
        <v>19</v>
      </c>
      <c r="J733" t="s">
        <v>20</v>
      </c>
      <c r="K733" t="s">
        <v>25</v>
      </c>
      <c r="L733">
        <v>72.650000000000006</v>
      </c>
      <c r="M733">
        <v>8.6999999999999993</v>
      </c>
      <c r="N733">
        <v>0</v>
      </c>
      <c r="O733">
        <v>172.67</v>
      </c>
      <c r="P733">
        <v>254.02</v>
      </c>
    </row>
    <row r="734" spans="1:16" x14ac:dyDescent="0.25">
      <c r="A734" s="22">
        <v>43151</v>
      </c>
      <c r="B734" t="s">
        <v>282</v>
      </c>
      <c r="C734" t="s">
        <v>23</v>
      </c>
      <c r="D734">
        <v>500</v>
      </c>
      <c r="E734">
        <v>577.02</v>
      </c>
      <c r="F734">
        <v>288511.3</v>
      </c>
      <c r="G734" t="s">
        <v>333</v>
      </c>
      <c r="H734">
        <v>2018035</v>
      </c>
      <c r="I734" t="s">
        <v>19</v>
      </c>
      <c r="J734" t="s">
        <v>20</v>
      </c>
      <c r="K734" t="s">
        <v>25</v>
      </c>
      <c r="L734">
        <v>72.349999999999994</v>
      </c>
      <c r="M734">
        <v>8.66</v>
      </c>
      <c r="N734">
        <v>0</v>
      </c>
      <c r="O734">
        <v>171.77</v>
      </c>
      <c r="P734">
        <v>252.7757</v>
      </c>
    </row>
    <row r="735" spans="1:16" x14ac:dyDescent="0.25">
      <c r="A735" s="22">
        <v>43152</v>
      </c>
      <c r="B735" t="s">
        <v>282</v>
      </c>
      <c r="C735" t="s">
        <v>23</v>
      </c>
      <c r="D735">
        <v>500</v>
      </c>
      <c r="E735">
        <v>577.52</v>
      </c>
      <c r="F735">
        <v>288760.59999999998</v>
      </c>
      <c r="G735" t="s">
        <v>329</v>
      </c>
      <c r="H735">
        <v>2018036</v>
      </c>
      <c r="I735" t="s">
        <v>19</v>
      </c>
      <c r="J735" t="s">
        <v>20</v>
      </c>
      <c r="K735" t="s">
        <v>25</v>
      </c>
      <c r="L735">
        <v>72.489999999999995</v>
      </c>
      <c r="M735">
        <v>8.66</v>
      </c>
      <c r="N735">
        <v>0</v>
      </c>
      <c r="O735">
        <v>171.93</v>
      </c>
      <c r="P735">
        <v>253.08279999999999</v>
      </c>
    </row>
    <row r="736" spans="1:16" hidden="1" x14ac:dyDescent="0.25">
      <c r="A736" s="22">
        <v>43382</v>
      </c>
      <c r="B736" t="s">
        <v>282</v>
      </c>
      <c r="C736" t="s">
        <v>17</v>
      </c>
      <c r="D736">
        <v>100</v>
      </c>
      <c r="E736">
        <v>582.85</v>
      </c>
      <c r="F736">
        <v>58285</v>
      </c>
      <c r="G736" t="s">
        <v>719</v>
      </c>
      <c r="H736">
        <v>2018191</v>
      </c>
      <c r="I736" t="s">
        <v>19</v>
      </c>
      <c r="J736" t="s">
        <v>20</v>
      </c>
      <c r="K736" t="s">
        <v>25</v>
      </c>
      <c r="L736">
        <v>0</v>
      </c>
      <c r="M736">
        <v>1.75</v>
      </c>
      <c r="N736">
        <v>0</v>
      </c>
      <c r="O736">
        <v>34.700000000000003</v>
      </c>
      <c r="P736">
        <v>36.448500000000003</v>
      </c>
    </row>
    <row r="737" spans="1:16" hidden="1" x14ac:dyDescent="0.25">
      <c r="A737" s="22">
        <v>43382</v>
      </c>
      <c r="B737" t="s">
        <v>282</v>
      </c>
      <c r="C737" t="s">
        <v>17</v>
      </c>
      <c r="D737">
        <v>500</v>
      </c>
      <c r="E737">
        <v>583.91</v>
      </c>
      <c r="F737">
        <v>291954.84999999998</v>
      </c>
      <c r="G737" t="s">
        <v>720</v>
      </c>
      <c r="H737">
        <v>2018191</v>
      </c>
      <c r="I737" t="s">
        <v>19</v>
      </c>
      <c r="J737" t="s">
        <v>20</v>
      </c>
      <c r="K737" t="s">
        <v>25</v>
      </c>
      <c r="L737">
        <v>0</v>
      </c>
      <c r="M737">
        <v>8.76</v>
      </c>
      <c r="N737">
        <v>0</v>
      </c>
      <c r="O737">
        <v>173.83</v>
      </c>
      <c r="P737">
        <v>182.58879999999999</v>
      </c>
    </row>
    <row r="738" spans="1:16" hidden="1" x14ac:dyDescent="0.25">
      <c r="A738" s="22">
        <v>43382</v>
      </c>
      <c r="B738" t="s">
        <v>279</v>
      </c>
      <c r="C738" t="s">
        <v>23</v>
      </c>
      <c r="D738">
        <v>1000</v>
      </c>
      <c r="E738">
        <v>236.54</v>
      </c>
      <c r="F738">
        <v>236539.65</v>
      </c>
      <c r="G738" t="s">
        <v>721</v>
      </c>
      <c r="H738">
        <v>2018191</v>
      </c>
      <c r="I738" t="s">
        <v>19</v>
      </c>
      <c r="J738" t="s">
        <v>20</v>
      </c>
      <c r="K738" t="s">
        <v>25</v>
      </c>
      <c r="L738">
        <v>58.63</v>
      </c>
      <c r="M738">
        <v>7.1</v>
      </c>
      <c r="N738">
        <v>0</v>
      </c>
      <c r="O738">
        <v>140.84</v>
      </c>
      <c r="P738">
        <v>206.56630000000001</v>
      </c>
    </row>
    <row r="739" spans="1:16" hidden="1" x14ac:dyDescent="0.25">
      <c r="A739" s="22">
        <v>43382</v>
      </c>
      <c r="B739" t="s">
        <v>279</v>
      </c>
      <c r="C739" t="s">
        <v>17</v>
      </c>
      <c r="D739">
        <v>1000</v>
      </c>
      <c r="E739">
        <v>232.53</v>
      </c>
      <c r="F739">
        <v>232525.45</v>
      </c>
      <c r="G739" t="s">
        <v>722</v>
      </c>
      <c r="H739">
        <v>2018191</v>
      </c>
      <c r="I739" t="s">
        <v>19</v>
      </c>
      <c r="J739" t="s">
        <v>20</v>
      </c>
      <c r="K739" t="s">
        <v>25</v>
      </c>
      <c r="L739">
        <v>0</v>
      </c>
      <c r="M739">
        <v>6.98</v>
      </c>
      <c r="N739">
        <v>0</v>
      </c>
      <c r="O739">
        <v>138.44999999999999</v>
      </c>
      <c r="P739">
        <v>145.4256</v>
      </c>
    </row>
    <row r="740" spans="1:16" hidden="1" x14ac:dyDescent="0.25">
      <c r="A740" s="22">
        <v>43382</v>
      </c>
      <c r="B740" t="s">
        <v>282</v>
      </c>
      <c r="C740" t="s">
        <v>17</v>
      </c>
      <c r="D740">
        <v>100</v>
      </c>
      <c r="E740">
        <v>600</v>
      </c>
      <c r="F740">
        <v>60000</v>
      </c>
      <c r="G740" t="s">
        <v>723</v>
      </c>
      <c r="H740">
        <v>2018191</v>
      </c>
      <c r="I740" t="s">
        <v>19</v>
      </c>
      <c r="J740" t="s">
        <v>20</v>
      </c>
      <c r="K740" t="s">
        <v>25</v>
      </c>
      <c r="L740">
        <v>0</v>
      </c>
      <c r="M740">
        <v>1.8</v>
      </c>
      <c r="N740">
        <v>0</v>
      </c>
      <c r="O740">
        <v>35.72</v>
      </c>
      <c r="P740">
        <v>37.520000000000003</v>
      </c>
    </row>
    <row r="741" spans="1:16" hidden="1" x14ac:dyDescent="0.25">
      <c r="A741" s="22">
        <v>43381</v>
      </c>
      <c r="B741" t="s">
        <v>321</v>
      </c>
      <c r="C741" t="s">
        <v>23</v>
      </c>
      <c r="D741">
        <v>100</v>
      </c>
      <c r="E741">
        <v>171.8</v>
      </c>
      <c r="F741">
        <v>17180</v>
      </c>
      <c r="G741" t="s">
        <v>724</v>
      </c>
      <c r="H741">
        <v>2018190</v>
      </c>
      <c r="I741" t="s">
        <v>19</v>
      </c>
      <c r="J741" t="s">
        <v>20</v>
      </c>
      <c r="K741" t="s">
        <v>25</v>
      </c>
      <c r="L741">
        <v>4.45</v>
      </c>
      <c r="M741">
        <v>0.52</v>
      </c>
      <c r="N741">
        <v>0</v>
      </c>
      <c r="O741">
        <v>29.59</v>
      </c>
      <c r="P741">
        <v>34.555399999999999</v>
      </c>
    </row>
    <row r="742" spans="1:16" hidden="1" x14ac:dyDescent="0.25">
      <c r="A742" s="22">
        <v>43381</v>
      </c>
      <c r="B742" t="s">
        <v>321</v>
      </c>
      <c r="C742" t="s">
        <v>23</v>
      </c>
      <c r="D742">
        <v>500</v>
      </c>
      <c r="E742">
        <v>175</v>
      </c>
      <c r="F742">
        <v>87500</v>
      </c>
      <c r="G742" t="s">
        <v>725</v>
      </c>
      <c r="H742">
        <v>2018190</v>
      </c>
      <c r="I742" t="s">
        <v>19</v>
      </c>
      <c r="J742" t="s">
        <v>20</v>
      </c>
      <c r="K742" t="s">
        <v>25</v>
      </c>
      <c r="L742">
        <v>22.25</v>
      </c>
      <c r="M742">
        <v>2.63</v>
      </c>
      <c r="N742">
        <v>0</v>
      </c>
      <c r="O742">
        <v>52.1</v>
      </c>
      <c r="P742">
        <v>76.975099999999998</v>
      </c>
    </row>
    <row r="743" spans="1:16" hidden="1" x14ac:dyDescent="0.25">
      <c r="A743" s="22">
        <v>43381</v>
      </c>
      <c r="B743" t="s">
        <v>480</v>
      </c>
      <c r="C743" t="s">
        <v>23</v>
      </c>
      <c r="D743">
        <v>2500</v>
      </c>
      <c r="E743">
        <v>69.900000000000006</v>
      </c>
      <c r="F743">
        <v>174750</v>
      </c>
      <c r="G743" t="s">
        <v>726</v>
      </c>
      <c r="H743">
        <v>2018190</v>
      </c>
      <c r="I743" t="s">
        <v>19</v>
      </c>
      <c r="J743" t="s">
        <v>20</v>
      </c>
      <c r="K743" t="s">
        <v>25</v>
      </c>
      <c r="L743">
        <v>44.06</v>
      </c>
      <c r="M743">
        <v>5.24</v>
      </c>
      <c r="N743">
        <v>0</v>
      </c>
      <c r="O743">
        <v>104.05</v>
      </c>
      <c r="P743">
        <v>153.35249999999999</v>
      </c>
    </row>
    <row r="744" spans="1:16" hidden="1" x14ac:dyDescent="0.25">
      <c r="A744" s="22">
        <v>43381</v>
      </c>
      <c r="B744" t="s">
        <v>321</v>
      </c>
      <c r="C744" t="s">
        <v>23</v>
      </c>
      <c r="D744">
        <v>500</v>
      </c>
      <c r="E744">
        <v>180</v>
      </c>
      <c r="F744">
        <v>90000</v>
      </c>
      <c r="G744" t="s">
        <v>727</v>
      </c>
      <c r="H744">
        <v>2018190</v>
      </c>
      <c r="I744" t="s">
        <v>19</v>
      </c>
      <c r="J744" t="s">
        <v>20</v>
      </c>
      <c r="K744" t="s">
        <v>25</v>
      </c>
      <c r="L744">
        <v>22.25</v>
      </c>
      <c r="M744">
        <v>2.7</v>
      </c>
      <c r="N744">
        <v>0</v>
      </c>
      <c r="O744">
        <v>53.59</v>
      </c>
      <c r="P744">
        <v>78.540000000000006</v>
      </c>
    </row>
    <row r="745" spans="1:16" hidden="1" x14ac:dyDescent="0.25">
      <c r="A745" s="22">
        <v>43381</v>
      </c>
      <c r="B745" t="s">
        <v>321</v>
      </c>
      <c r="C745" t="s">
        <v>17</v>
      </c>
      <c r="D745">
        <v>1100</v>
      </c>
      <c r="E745">
        <v>178.95</v>
      </c>
      <c r="F745">
        <v>196845</v>
      </c>
      <c r="G745" t="s">
        <v>728</v>
      </c>
      <c r="H745">
        <v>2018190</v>
      </c>
      <c r="I745" t="s">
        <v>19</v>
      </c>
      <c r="J745" t="s">
        <v>20</v>
      </c>
      <c r="K745" t="s">
        <v>25</v>
      </c>
      <c r="L745">
        <v>0</v>
      </c>
      <c r="M745">
        <v>5.91</v>
      </c>
      <c r="N745">
        <v>0</v>
      </c>
      <c r="O745">
        <v>117.2</v>
      </c>
      <c r="P745">
        <v>123.1054</v>
      </c>
    </row>
    <row r="746" spans="1:16" hidden="1" x14ac:dyDescent="0.25">
      <c r="A746" s="22">
        <v>43381</v>
      </c>
      <c r="B746" t="s">
        <v>480</v>
      </c>
      <c r="C746" t="s">
        <v>17</v>
      </c>
      <c r="D746">
        <v>2500</v>
      </c>
      <c r="E746">
        <v>70.3</v>
      </c>
      <c r="F746">
        <v>175750</v>
      </c>
      <c r="G746" t="s">
        <v>729</v>
      </c>
      <c r="H746">
        <v>2018190</v>
      </c>
      <c r="I746" t="s">
        <v>19</v>
      </c>
      <c r="J746" t="s">
        <v>20</v>
      </c>
      <c r="K746" t="s">
        <v>25</v>
      </c>
      <c r="L746">
        <v>0</v>
      </c>
      <c r="M746">
        <v>5.27</v>
      </c>
      <c r="N746">
        <v>22.5</v>
      </c>
      <c r="O746">
        <v>104.64</v>
      </c>
      <c r="P746">
        <v>132.41249999999999</v>
      </c>
    </row>
    <row r="747" spans="1:16" hidden="1" x14ac:dyDescent="0.25">
      <c r="A747" s="22">
        <v>43378</v>
      </c>
      <c r="B747" t="s">
        <v>480</v>
      </c>
      <c r="C747" t="s">
        <v>23</v>
      </c>
      <c r="D747">
        <v>2500</v>
      </c>
      <c r="E747">
        <v>68.400000000000006</v>
      </c>
      <c r="F747">
        <v>171000</v>
      </c>
      <c r="G747" t="s">
        <v>730</v>
      </c>
      <c r="H747">
        <v>2018189</v>
      </c>
      <c r="I747" t="s">
        <v>19</v>
      </c>
      <c r="J747" t="s">
        <v>20</v>
      </c>
      <c r="K747" t="s">
        <v>25</v>
      </c>
      <c r="L747">
        <v>42.91</v>
      </c>
      <c r="M747">
        <v>5.13</v>
      </c>
      <c r="N747">
        <v>0</v>
      </c>
      <c r="O747">
        <v>101.82</v>
      </c>
      <c r="P747">
        <v>149.86000000000001</v>
      </c>
    </row>
    <row r="748" spans="1:16" x14ac:dyDescent="0.25">
      <c r="A748" s="22">
        <v>43171</v>
      </c>
      <c r="B748" t="s">
        <v>282</v>
      </c>
      <c r="C748" t="s">
        <v>23</v>
      </c>
      <c r="D748">
        <v>500</v>
      </c>
      <c r="E748">
        <v>591.5</v>
      </c>
      <c r="F748">
        <v>295750</v>
      </c>
      <c r="G748" t="s">
        <v>340</v>
      </c>
      <c r="H748">
        <v>2018048</v>
      </c>
      <c r="I748" t="s">
        <v>19</v>
      </c>
      <c r="J748" t="s">
        <v>20</v>
      </c>
      <c r="K748" t="s">
        <v>25</v>
      </c>
      <c r="L748">
        <v>74</v>
      </c>
      <c r="M748">
        <v>8.8699999999999992</v>
      </c>
      <c r="N748">
        <v>18</v>
      </c>
      <c r="O748">
        <v>176.09</v>
      </c>
      <c r="P748">
        <v>276.96249999999998</v>
      </c>
    </row>
    <row r="749" spans="1:16" hidden="1" x14ac:dyDescent="0.25">
      <c r="A749" s="22">
        <v>43378</v>
      </c>
      <c r="B749" t="s">
        <v>480</v>
      </c>
      <c r="C749" t="s">
        <v>23</v>
      </c>
      <c r="D749">
        <v>2500</v>
      </c>
      <c r="E749">
        <v>69.25</v>
      </c>
      <c r="F749">
        <v>173125</v>
      </c>
      <c r="G749" t="s">
        <v>732</v>
      </c>
      <c r="H749">
        <v>2018189</v>
      </c>
      <c r="I749" t="s">
        <v>19</v>
      </c>
      <c r="J749" t="s">
        <v>20</v>
      </c>
      <c r="K749" t="s">
        <v>25</v>
      </c>
      <c r="L749">
        <v>42.91</v>
      </c>
      <c r="M749">
        <v>5.19</v>
      </c>
      <c r="N749">
        <v>0</v>
      </c>
      <c r="O749">
        <v>103.08</v>
      </c>
      <c r="P749">
        <v>151.18369999999999</v>
      </c>
    </row>
    <row r="750" spans="1:16" hidden="1" x14ac:dyDescent="0.25">
      <c r="A750" s="22">
        <v>43378</v>
      </c>
      <c r="B750" t="s">
        <v>282</v>
      </c>
      <c r="C750" t="s">
        <v>17</v>
      </c>
      <c r="D750">
        <v>250</v>
      </c>
      <c r="E750">
        <v>619.41999999999996</v>
      </c>
      <c r="F750">
        <v>154856.20000000001</v>
      </c>
      <c r="G750" t="s">
        <v>733</v>
      </c>
      <c r="H750">
        <v>2018189</v>
      </c>
      <c r="I750" t="s">
        <v>19</v>
      </c>
      <c r="J750" t="s">
        <v>20</v>
      </c>
      <c r="K750" t="s">
        <v>25</v>
      </c>
      <c r="L750">
        <v>0</v>
      </c>
      <c r="M750">
        <v>4.6500000000000004</v>
      </c>
      <c r="N750">
        <v>0</v>
      </c>
      <c r="O750">
        <v>92.2</v>
      </c>
      <c r="P750">
        <v>96.845799999999997</v>
      </c>
    </row>
    <row r="751" spans="1:16" hidden="1" x14ac:dyDescent="0.25">
      <c r="A751" s="22">
        <v>43378</v>
      </c>
      <c r="B751" t="s">
        <v>480</v>
      </c>
      <c r="C751" t="s">
        <v>17</v>
      </c>
      <c r="D751">
        <v>5000</v>
      </c>
      <c r="E751">
        <v>68.5</v>
      </c>
      <c r="F751">
        <v>342500</v>
      </c>
      <c r="G751" t="s">
        <v>734</v>
      </c>
      <c r="H751">
        <v>2018189</v>
      </c>
      <c r="I751" t="s">
        <v>19</v>
      </c>
      <c r="J751" t="s">
        <v>20</v>
      </c>
      <c r="K751" t="s">
        <v>25</v>
      </c>
      <c r="L751">
        <v>0</v>
      </c>
      <c r="M751">
        <v>10.28</v>
      </c>
      <c r="N751">
        <v>0</v>
      </c>
      <c r="O751">
        <v>203.92</v>
      </c>
      <c r="P751">
        <v>214.1951</v>
      </c>
    </row>
    <row r="752" spans="1:16" hidden="1" x14ac:dyDescent="0.25">
      <c r="A752" s="22">
        <v>43377</v>
      </c>
      <c r="B752" t="s">
        <v>480</v>
      </c>
      <c r="C752" t="s">
        <v>23</v>
      </c>
      <c r="D752">
        <v>500</v>
      </c>
      <c r="E752">
        <v>68.2</v>
      </c>
      <c r="F752">
        <v>34100</v>
      </c>
      <c r="G752" t="s">
        <v>735</v>
      </c>
      <c r="H752">
        <v>2018188</v>
      </c>
      <c r="I752" t="s">
        <v>19</v>
      </c>
      <c r="J752" t="s">
        <v>20</v>
      </c>
      <c r="K752" t="s">
        <v>25</v>
      </c>
      <c r="L752">
        <v>8.51</v>
      </c>
      <c r="M752">
        <v>1.02</v>
      </c>
      <c r="N752">
        <v>0</v>
      </c>
      <c r="O752">
        <v>29.68</v>
      </c>
      <c r="P752">
        <v>39.213099999999997</v>
      </c>
    </row>
    <row r="753" spans="1:16" hidden="1" x14ac:dyDescent="0.25">
      <c r="A753" s="22">
        <v>43377</v>
      </c>
      <c r="B753" t="s">
        <v>270</v>
      </c>
      <c r="C753" t="s">
        <v>23</v>
      </c>
      <c r="D753">
        <v>1100</v>
      </c>
      <c r="E753">
        <v>104.5</v>
      </c>
      <c r="F753">
        <v>114950</v>
      </c>
      <c r="G753" t="s">
        <v>736</v>
      </c>
      <c r="H753">
        <v>2018188</v>
      </c>
      <c r="I753" t="s">
        <v>19</v>
      </c>
      <c r="J753" t="s">
        <v>20</v>
      </c>
      <c r="K753" t="s">
        <v>25</v>
      </c>
      <c r="L753">
        <v>28.64</v>
      </c>
      <c r="M753">
        <v>3.45</v>
      </c>
      <c r="N753">
        <v>0</v>
      </c>
      <c r="O753">
        <v>68.45</v>
      </c>
      <c r="P753">
        <v>100.5384</v>
      </c>
    </row>
    <row r="754" spans="1:16" hidden="1" x14ac:dyDescent="0.25">
      <c r="A754" s="22">
        <v>43377</v>
      </c>
      <c r="B754" t="s">
        <v>270</v>
      </c>
      <c r="C754" t="s">
        <v>17</v>
      </c>
      <c r="D754">
        <v>1100</v>
      </c>
      <c r="E754">
        <v>103.8</v>
      </c>
      <c r="F754">
        <v>114180</v>
      </c>
      <c r="G754" t="s">
        <v>737</v>
      </c>
      <c r="H754">
        <v>2018188</v>
      </c>
      <c r="I754" t="s">
        <v>19</v>
      </c>
      <c r="J754" t="s">
        <v>20</v>
      </c>
      <c r="K754" t="s">
        <v>25</v>
      </c>
      <c r="L754">
        <v>0</v>
      </c>
      <c r="M754">
        <v>3.43</v>
      </c>
      <c r="N754">
        <v>0</v>
      </c>
      <c r="O754">
        <v>67.98</v>
      </c>
      <c r="P754">
        <v>71.4054</v>
      </c>
    </row>
    <row r="755" spans="1:16" hidden="1" x14ac:dyDescent="0.25">
      <c r="A755" s="22">
        <v>43377</v>
      </c>
      <c r="B755" t="s">
        <v>738</v>
      </c>
      <c r="C755" t="s">
        <v>23</v>
      </c>
      <c r="D755">
        <v>100</v>
      </c>
      <c r="E755">
        <v>316.5</v>
      </c>
      <c r="F755">
        <v>31650</v>
      </c>
      <c r="G755" t="s">
        <v>739</v>
      </c>
      <c r="H755">
        <v>2018188</v>
      </c>
      <c r="I755" t="s">
        <v>19</v>
      </c>
      <c r="J755" t="s">
        <v>20</v>
      </c>
      <c r="K755" t="s">
        <v>25</v>
      </c>
      <c r="L755">
        <v>7.89</v>
      </c>
      <c r="M755">
        <v>0.95</v>
      </c>
      <c r="N755">
        <v>0</v>
      </c>
      <c r="O755">
        <v>29.67</v>
      </c>
      <c r="P755">
        <v>38.509500000000003</v>
      </c>
    </row>
    <row r="756" spans="1:16" hidden="1" x14ac:dyDescent="0.25">
      <c r="A756" s="22">
        <v>43377</v>
      </c>
      <c r="B756" t="s">
        <v>738</v>
      </c>
      <c r="C756" t="s">
        <v>23</v>
      </c>
      <c r="D756">
        <v>1000</v>
      </c>
      <c r="E756">
        <v>312.7</v>
      </c>
      <c r="F756">
        <v>312700</v>
      </c>
      <c r="G756" t="s">
        <v>740</v>
      </c>
      <c r="H756">
        <v>2018188</v>
      </c>
      <c r="I756" t="s">
        <v>19</v>
      </c>
      <c r="J756" t="s">
        <v>20</v>
      </c>
      <c r="K756" t="s">
        <v>25</v>
      </c>
      <c r="L756">
        <v>79.099999999999994</v>
      </c>
      <c r="M756">
        <v>9.3800000000000008</v>
      </c>
      <c r="N756">
        <v>48.9</v>
      </c>
      <c r="O756">
        <v>186.18</v>
      </c>
      <c r="P756">
        <v>323.56099999999998</v>
      </c>
    </row>
    <row r="757" spans="1:16" hidden="1" x14ac:dyDescent="0.25">
      <c r="A757" s="22">
        <v>43377</v>
      </c>
      <c r="B757" t="s">
        <v>480</v>
      </c>
      <c r="C757" t="s">
        <v>17</v>
      </c>
      <c r="D757">
        <v>500</v>
      </c>
      <c r="E757">
        <v>68</v>
      </c>
      <c r="F757">
        <v>34000</v>
      </c>
      <c r="G757" t="s">
        <v>741</v>
      </c>
      <c r="H757">
        <v>2018188</v>
      </c>
      <c r="I757" t="s">
        <v>19</v>
      </c>
      <c r="J757" t="s">
        <v>20</v>
      </c>
      <c r="K757" t="s">
        <v>25</v>
      </c>
      <c r="L757">
        <v>0</v>
      </c>
      <c r="M757">
        <v>1.02</v>
      </c>
      <c r="N757">
        <v>0</v>
      </c>
      <c r="O757">
        <v>29.68</v>
      </c>
      <c r="P757">
        <v>30.7</v>
      </c>
    </row>
    <row r="758" spans="1:16" hidden="1" x14ac:dyDescent="0.25">
      <c r="A758" s="22">
        <v>43377</v>
      </c>
      <c r="B758" t="s">
        <v>738</v>
      </c>
      <c r="C758" t="s">
        <v>23</v>
      </c>
      <c r="D758">
        <v>1000</v>
      </c>
      <c r="E758">
        <v>319.01</v>
      </c>
      <c r="F758">
        <v>319014.65000000002</v>
      </c>
      <c r="G758" t="s">
        <v>742</v>
      </c>
      <c r="H758">
        <v>2018188</v>
      </c>
      <c r="I758" t="s">
        <v>19</v>
      </c>
      <c r="J758" t="s">
        <v>20</v>
      </c>
      <c r="K758" t="s">
        <v>25</v>
      </c>
      <c r="L758">
        <v>78.86</v>
      </c>
      <c r="M758">
        <v>9.57</v>
      </c>
      <c r="N758">
        <v>0</v>
      </c>
      <c r="O758">
        <v>189.95</v>
      </c>
      <c r="P758">
        <v>278.38049999999998</v>
      </c>
    </row>
    <row r="759" spans="1:16" hidden="1" x14ac:dyDescent="0.25">
      <c r="A759" s="22">
        <v>43377</v>
      </c>
      <c r="B759" t="s">
        <v>738</v>
      </c>
      <c r="C759" t="s">
        <v>17</v>
      </c>
      <c r="D759">
        <v>2100</v>
      </c>
      <c r="E759">
        <v>315</v>
      </c>
      <c r="F759">
        <v>661500</v>
      </c>
      <c r="G759" t="s">
        <v>743</v>
      </c>
      <c r="H759">
        <v>2018188</v>
      </c>
      <c r="I759" t="s">
        <v>19</v>
      </c>
      <c r="J759" t="s">
        <v>20</v>
      </c>
      <c r="K759" t="s">
        <v>25</v>
      </c>
      <c r="L759">
        <v>0</v>
      </c>
      <c r="M759">
        <v>19.850000000000001</v>
      </c>
      <c r="N759">
        <v>0</v>
      </c>
      <c r="O759">
        <v>393.86</v>
      </c>
      <c r="P759">
        <v>413.70510000000002</v>
      </c>
    </row>
    <row r="760" spans="1:16" hidden="1" x14ac:dyDescent="0.25">
      <c r="A760" s="22">
        <v>43376</v>
      </c>
      <c r="B760" t="s">
        <v>279</v>
      </c>
      <c r="C760" t="s">
        <v>23</v>
      </c>
      <c r="D760">
        <v>500</v>
      </c>
      <c r="E760">
        <v>255</v>
      </c>
      <c r="F760">
        <v>127502.39999999999</v>
      </c>
      <c r="G760" t="s">
        <v>744</v>
      </c>
      <c r="H760">
        <v>2018187</v>
      </c>
      <c r="I760" t="s">
        <v>19</v>
      </c>
      <c r="J760" t="s">
        <v>20</v>
      </c>
      <c r="K760" t="s">
        <v>25</v>
      </c>
      <c r="L760">
        <v>32.159999999999997</v>
      </c>
      <c r="M760">
        <v>3.83</v>
      </c>
      <c r="N760">
        <v>0</v>
      </c>
      <c r="O760">
        <v>75.92</v>
      </c>
      <c r="P760">
        <v>111.9051</v>
      </c>
    </row>
    <row r="761" spans="1:16" hidden="1" x14ac:dyDescent="0.25">
      <c r="A761" s="22">
        <v>43376</v>
      </c>
      <c r="B761" t="s">
        <v>279</v>
      </c>
      <c r="C761" t="s">
        <v>23</v>
      </c>
      <c r="D761">
        <v>500</v>
      </c>
      <c r="E761">
        <v>256</v>
      </c>
      <c r="F761">
        <v>128000</v>
      </c>
      <c r="G761" t="s">
        <v>745</v>
      </c>
      <c r="H761">
        <v>2018187</v>
      </c>
      <c r="I761" t="s">
        <v>19</v>
      </c>
      <c r="J761" t="s">
        <v>20</v>
      </c>
      <c r="K761" t="s">
        <v>25</v>
      </c>
      <c r="L761">
        <v>32.159999999999997</v>
      </c>
      <c r="M761">
        <v>3.84</v>
      </c>
      <c r="N761">
        <v>0</v>
      </c>
      <c r="O761">
        <v>76.2</v>
      </c>
      <c r="P761">
        <v>112.2</v>
      </c>
    </row>
    <row r="762" spans="1:16" hidden="1" x14ac:dyDescent="0.25">
      <c r="A762" s="22">
        <v>43376</v>
      </c>
      <c r="B762" t="s">
        <v>279</v>
      </c>
      <c r="C762" t="s">
        <v>17</v>
      </c>
      <c r="D762">
        <v>547</v>
      </c>
      <c r="E762">
        <v>264</v>
      </c>
      <c r="F762">
        <v>144408</v>
      </c>
      <c r="G762" t="s">
        <v>746</v>
      </c>
      <c r="H762">
        <v>2018187</v>
      </c>
      <c r="I762" t="s">
        <v>19</v>
      </c>
      <c r="J762" t="s">
        <v>20</v>
      </c>
      <c r="K762" t="s">
        <v>25</v>
      </c>
      <c r="L762">
        <v>0</v>
      </c>
      <c r="M762">
        <v>4.33</v>
      </c>
      <c r="N762">
        <v>0</v>
      </c>
      <c r="O762">
        <v>86</v>
      </c>
      <c r="P762">
        <v>90.332099999999997</v>
      </c>
    </row>
    <row r="763" spans="1:16" hidden="1" x14ac:dyDescent="0.25">
      <c r="A763" s="22">
        <v>43376</v>
      </c>
      <c r="B763" t="s">
        <v>279</v>
      </c>
      <c r="C763" t="s">
        <v>23</v>
      </c>
      <c r="D763">
        <v>500</v>
      </c>
      <c r="E763">
        <v>261.01</v>
      </c>
      <c r="F763">
        <v>130504</v>
      </c>
      <c r="G763" t="s">
        <v>747</v>
      </c>
      <c r="H763">
        <v>2018187</v>
      </c>
      <c r="I763" t="s">
        <v>19</v>
      </c>
      <c r="J763" t="s">
        <v>20</v>
      </c>
      <c r="K763" t="s">
        <v>25</v>
      </c>
      <c r="L763">
        <v>32.159999999999997</v>
      </c>
      <c r="M763">
        <v>3.92</v>
      </c>
      <c r="N763">
        <v>0</v>
      </c>
      <c r="O763">
        <v>77.7</v>
      </c>
      <c r="P763">
        <v>113.7752</v>
      </c>
    </row>
    <row r="764" spans="1:16" hidden="1" x14ac:dyDescent="0.25">
      <c r="A764" s="22">
        <v>43376</v>
      </c>
      <c r="B764" t="s">
        <v>279</v>
      </c>
      <c r="C764" t="s">
        <v>17</v>
      </c>
      <c r="D764">
        <v>953</v>
      </c>
      <c r="E764">
        <v>257.75</v>
      </c>
      <c r="F764">
        <v>245639.2</v>
      </c>
      <c r="G764" t="s">
        <v>748</v>
      </c>
      <c r="H764">
        <v>2018187</v>
      </c>
      <c r="I764" t="s">
        <v>19</v>
      </c>
      <c r="J764" t="s">
        <v>20</v>
      </c>
      <c r="K764" t="s">
        <v>25</v>
      </c>
      <c r="L764">
        <v>0</v>
      </c>
      <c r="M764">
        <v>7.37</v>
      </c>
      <c r="N764">
        <v>46.5</v>
      </c>
      <c r="O764">
        <v>146.26</v>
      </c>
      <c r="P764">
        <v>200.1293</v>
      </c>
    </row>
    <row r="765" spans="1:16" hidden="1" x14ac:dyDescent="0.25">
      <c r="A765" s="22">
        <v>43376</v>
      </c>
      <c r="B765" t="s">
        <v>279</v>
      </c>
      <c r="C765" t="s">
        <v>23</v>
      </c>
      <c r="D765">
        <v>500</v>
      </c>
      <c r="E765">
        <v>257</v>
      </c>
      <c r="F765">
        <v>128500</v>
      </c>
      <c r="G765" t="s">
        <v>749</v>
      </c>
      <c r="H765">
        <v>2018187</v>
      </c>
      <c r="I765" t="s">
        <v>19</v>
      </c>
      <c r="J765" t="s">
        <v>20</v>
      </c>
      <c r="K765" t="s">
        <v>25</v>
      </c>
      <c r="L765">
        <v>32.159999999999997</v>
      </c>
      <c r="M765">
        <v>3.86</v>
      </c>
      <c r="N765">
        <v>0</v>
      </c>
      <c r="O765">
        <v>76.510000000000005</v>
      </c>
      <c r="P765">
        <v>112.52509999999999</v>
      </c>
    </row>
    <row r="766" spans="1:16" hidden="1" x14ac:dyDescent="0.25">
      <c r="A766" s="22">
        <v>43376</v>
      </c>
      <c r="B766" t="s">
        <v>279</v>
      </c>
      <c r="C766" t="s">
        <v>17</v>
      </c>
      <c r="D766">
        <v>500</v>
      </c>
      <c r="E766">
        <v>252</v>
      </c>
      <c r="F766">
        <v>126000</v>
      </c>
      <c r="G766" t="s">
        <v>750</v>
      </c>
      <c r="H766">
        <v>2018187</v>
      </c>
      <c r="I766" t="s">
        <v>19</v>
      </c>
      <c r="J766" t="s">
        <v>20</v>
      </c>
      <c r="K766" t="s">
        <v>25</v>
      </c>
      <c r="L766">
        <v>0</v>
      </c>
      <c r="M766">
        <v>3.78</v>
      </c>
      <c r="N766">
        <v>0</v>
      </c>
      <c r="O766">
        <v>75.02</v>
      </c>
      <c r="P766">
        <v>78.8</v>
      </c>
    </row>
    <row r="767" spans="1:16" hidden="1" x14ac:dyDescent="0.25">
      <c r="A767" s="22">
        <v>43376</v>
      </c>
      <c r="B767" t="s">
        <v>279</v>
      </c>
      <c r="C767" t="s">
        <v>23</v>
      </c>
      <c r="D767">
        <v>500</v>
      </c>
      <c r="E767">
        <v>257</v>
      </c>
      <c r="F767">
        <v>128500</v>
      </c>
      <c r="G767" t="s">
        <v>751</v>
      </c>
      <c r="H767">
        <v>2018187</v>
      </c>
      <c r="I767" t="s">
        <v>19</v>
      </c>
      <c r="J767" t="s">
        <v>20</v>
      </c>
      <c r="K767" t="s">
        <v>25</v>
      </c>
      <c r="L767">
        <v>32.21</v>
      </c>
      <c r="M767">
        <v>3.86</v>
      </c>
      <c r="N767">
        <v>0</v>
      </c>
      <c r="O767">
        <v>76.510000000000005</v>
      </c>
      <c r="P767">
        <v>112.57510000000001</v>
      </c>
    </row>
    <row r="768" spans="1:16" hidden="1" x14ac:dyDescent="0.25">
      <c r="A768" s="22">
        <v>43376</v>
      </c>
      <c r="B768" t="s">
        <v>279</v>
      </c>
      <c r="C768" t="s">
        <v>23</v>
      </c>
      <c r="D768">
        <v>500</v>
      </c>
      <c r="E768">
        <v>259</v>
      </c>
      <c r="F768">
        <v>129500</v>
      </c>
      <c r="G768" t="s">
        <v>752</v>
      </c>
      <c r="H768">
        <v>2018187</v>
      </c>
      <c r="I768" t="s">
        <v>19</v>
      </c>
      <c r="J768" t="s">
        <v>20</v>
      </c>
      <c r="K768" t="s">
        <v>25</v>
      </c>
      <c r="L768">
        <v>32.159999999999997</v>
      </c>
      <c r="M768">
        <v>3.89</v>
      </c>
      <c r="N768">
        <v>0</v>
      </c>
      <c r="O768">
        <v>77.099999999999994</v>
      </c>
      <c r="P768">
        <v>113.1451</v>
      </c>
    </row>
    <row r="769" spans="1:16" hidden="1" x14ac:dyDescent="0.25">
      <c r="A769" s="22">
        <v>43376</v>
      </c>
      <c r="B769" t="s">
        <v>279</v>
      </c>
      <c r="C769" t="s">
        <v>17</v>
      </c>
      <c r="D769">
        <v>1000</v>
      </c>
      <c r="E769">
        <v>255</v>
      </c>
      <c r="F769">
        <v>255000</v>
      </c>
      <c r="G769" t="s">
        <v>753</v>
      </c>
      <c r="H769">
        <v>2018187</v>
      </c>
      <c r="I769" t="s">
        <v>19</v>
      </c>
      <c r="J769" t="s">
        <v>20</v>
      </c>
      <c r="K769" t="s">
        <v>25</v>
      </c>
      <c r="L769">
        <v>0</v>
      </c>
      <c r="M769">
        <v>7.65</v>
      </c>
      <c r="N769">
        <v>0</v>
      </c>
      <c r="O769">
        <v>151.83000000000001</v>
      </c>
      <c r="P769">
        <v>159.47999999999999</v>
      </c>
    </row>
    <row r="770" spans="1:16" hidden="1" x14ac:dyDescent="0.25">
      <c r="A770" s="22">
        <v>43371</v>
      </c>
      <c r="B770" t="s">
        <v>279</v>
      </c>
      <c r="C770" t="s">
        <v>23</v>
      </c>
      <c r="D770">
        <v>250</v>
      </c>
      <c r="E770">
        <v>241</v>
      </c>
      <c r="F770">
        <v>60250</v>
      </c>
      <c r="G770" t="s">
        <v>754</v>
      </c>
      <c r="H770">
        <v>2018185</v>
      </c>
      <c r="I770" t="s">
        <v>19</v>
      </c>
      <c r="J770" t="s">
        <v>20</v>
      </c>
      <c r="K770" t="s">
        <v>25</v>
      </c>
      <c r="L770">
        <v>14.58</v>
      </c>
      <c r="M770">
        <v>1.81</v>
      </c>
      <c r="N770">
        <v>39.6</v>
      </c>
      <c r="O770">
        <v>35.869999999999997</v>
      </c>
      <c r="P770">
        <v>91.857500000000002</v>
      </c>
    </row>
    <row r="771" spans="1:16" hidden="1" x14ac:dyDescent="0.25">
      <c r="A771" s="22">
        <v>43371</v>
      </c>
      <c r="B771" t="s">
        <v>279</v>
      </c>
      <c r="C771" t="s">
        <v>17</v>
      </c>
      <c r="D771">
        <v>250</v>
      </c>
      <c r="E771">
        <v>241.5</v>
      </c>
      <c r="F771">
        <v>60375</v>
      </c>
      <c r="G771" t="s">
        <v>755</v>
      </c>
      <c r="H771">
        <v>2018185</v>
      </c>
      <c r="I771" t="s">
        <v>19</v>
      </c>
      <c r="J771" t="s">
        <v>20</v>
      </c>
      <c r="K771" t="s">
        <v>25</v>
      </c>
      <c r="L771">
        <v>0</v>
      </c>
      <c r="M771">
        <v>1.81</v>
      </c>
      <c r="N771">
        <v>0</v>
      </c>
      <c r="O771">
        <v>35.950000000000003</v>
      </c>
      <c r="P771">
        <v>37.761200000000002</v>
      </c>
    </row>
    <row r="772" spans="1:16" hidden="1" x14ac:dyDescent="0.25">
      <c r="A772" s="22">
        <v>43371</v>
      </c>
      <c r="B772" t="s">
        <v>279</v>
      </c>
      <c r="C772" t="s">
        <v>23</v>
      </c>
      <c r="D772">
        <v>1000</v>
      </c>
      <c r="E772">
        <v>242</v>
      </c>
      <c r="F772">
        <v>242000</v>
      </c>
      <c r="G772" t="s">
        <v>756</v>
      </c>
      <c r="H772">
        <v>2018185</v>
      </c>
      <c r="I772" t="s">
        <v>19</v>
      </c>
      <c r="J772" t="s">
        <v>20</v>
      </c>
      <c r="K772" t="s">
        <v>25</v>
      </c>
      <c r="L772">
        <v>59.77</v>
      </c>
      <c r="M772">
        <v>7.26</v>
      </c>
      <c r="N772">
        <v>0</v>
      </c>
      <c r="O772">
        <v>144.09</v>
      </c>
      <c r="P772">
        <v>211.12</v>
      </c>
    </row>
    <row r="773" spans="1:16" hidden="1" x14ac:dyDescent="0.25">
      <c r="A773" s="22">
        <v>43371</v>
      </c>
      <c r="B773" t="s">
        <v>279</v>
      </c>
      <c r="C773" t="s">
        <v>17</v>
      </c>
      <c r="D773">
        <v>1000</v>
      </c>
      <c r="E773">
        <v>241</v>
      </c>
      <c r="F773">
        <v>241000</v>
      </c>
      <c r="G773" t="s">
        <v>757</v>
      </c>
      <c r="H773">
        <v>2018185</v>
      </c>
      <c r="I773" t="s">
        <v>19</v>
      </c>
      <c r="J773" t="s">
        <v>20</v>
      </c>
      <c r="K773" t="s">
        <v>25</v>
      </c>
      <c r="L773">
        <v>0</v>
      </c>
      <c r="M773">
        <v>7.23</v>
      </c>
      <c r="N773">
        <v>0</v>
      </c>
      <c r="O773">
        <v>143.49</v>
      </c>
      <c r="P773">
        <v>150.72</v>
      </c>
    </row>
    <row r="774" spans="1:16" hidden="1" x14ac:dyDescent="0.25">
      <c r="A774" s="22">
        <v>43371</v>
      </c>
      <c r="B774" t="s">
        <v>279</v>
      </c>
      <c r="C774" t="s">
        <v>23</v>
      </c>
      <c r="D774">
        <v>1000</v>
      </c>
      <c r="E774">
        <v>237</v>
      </c>
      <c r="F774">
        <v>237000</v>
      </c>
      <c r="G774" t="s">
        <v>758</v>
      </c>
      <c r="H774">
        <v>2018185</v>
      </c>
      <c r="I774" t="s">
        <v>19</v>
      </c>
      <c r="J774" t="s">
        <v>20</v>
      </c>
      <c r="K774" t="s">
        <v>25</v>
      </c>
      <c r="L774">
        <v>59.77</v>
      </c>
      <c r="M774">
        <v>7.11</v>
      </c>
      <c r="N774">
        <v>0</v>
      </c>
      <c r="O774">
        <v>141.11000000000001</v>
      </c>
      <c r="P774">
        <v>207.99010000000001</v>
      </c>
    </row>
    <row r="775" spans="1:16" hidden="1" x14ac:dyDescent="0.25">
      <c r="A775" s="22">
        <v>43371</v>
      </c>
      <c r="B775" t="s">
        <v>279</v>
      </c>
      <c r="C775" t="s">
        <v>23</v>
      </c>
      <c r="D775">
        <v>500</v>
      </c>
      <c r="E775">
        <v>232</v>
      </c>
      <c r="F775">
        <v>116000</v>
      </c>
      <c r="G775" t="s">
        <v>759</v>
      </c>
      <c r="H775">
        <v>2018185</v>
      </c>
      <c r="I775" t="s">
        <v>19</v>
      </c>
      <c r="J775" t="s">
        <v>20</v>
      </c>
      <c r="K775" t="s">
        <v>25</v>
      </c>
      <c r="L775">
        <v>29.88</v>
      </c>
      <c r="M775">
        <v>3.48</v>
      </c>
      <c r="N775">
        <v>0</v>
      </c>
      <c r="O775">
        <v>69.06</v>
      </c>
      <c r="P775">
        <v>102.42</v>
      </c>
    </row>
    <row r="776" spans="1:16" hidden="1" x14ac:dyDescent="0.25">
      <c r="A776" s="22">
        <v>43371</v>
      </c>
      <c r="B776" t="s">
        <v>279</v>
      </c>
      <c r="C776" t="s">
        <v>17</v>
      </c>
      <c r="D776">
        <v>1500</v>
      </c>
      <c r="E776">
        <v>238.87</v>
      </c>
      <c r="F776">
        <v>358300.45</v>
      </c>
      <c r="G776" t="s">
        <v>760</v>
      </c>
      <c r="H776">
        <v>2018185</v>
      </c>
      <c r="I776" t="s">
        <v>19</v>
      </c>
      <c r="J776" t="s">
        <v>20</v>
      </c>
      <c r="K776" t="s">
        <v>25</v>
      </c>
      <c r="L776">
        <v>0</v>
      </c>
      <c r="M776">
        <v>10.75</v>
      </c>
      <c r="N776">
        <v>0</v>
      </c>
      <c r="O776">
        <v>213.33</v>
      </c>
      <c r="P776">
        <v>224.0796</v>
      </c>
    </row>
    <row r="777" spans="1:16" hidden="1" x14ac:dyDescent="0.25">
      <c r="A777" s="22">
        <v>43370</v>
      </c>
      <c r="B777" t="s">
        <v>659</v>
      </c>
      <c r="C777" t="s">
        <v>23</v>
      </c>
      <c r="D777">
        <v>1000</v>
      </c>
      <c r="E777">
        <v>212.55</v>
      </c>
      <c r="F777">
        <v>212552.55</v>
      </c>
      <c r="G777" t="s">
        <v>761</v>
      </c>
      <c r="H777">
        <v>2018184</v>
      </c>
      <c r="I777" t="s">
        <v>19</v>
      </c>
      <c r="J777" t="s">
        <v>20</v>
      </c>
      <c r="K777" t="s">
        <v>25</v>
      </c>
      <c r="L777">
        <v>52.66</v>
      </c>
      <c r="M777">
        <v>6.38</v>
      </c>
      <c r="N777">
        <v>0</v>
      </c>
      <c r="O777">
        <v>126.55</v>
      </c>
      <c r="P777">
        <v>185.5864</v>
      </c>
    </row>
    <row r="778" spans="1:16" x14ac:dyDescent="0.25">
      <c r="A778" s="22">
        <v>43172</v>
      </c>
      <c r="B778" t="s">
        <v>282</v>
      </c>
      <c r="C778" t="s">
        <v>23</v>
      </c>
      <c r="D778">
        <v>100</v>
      </c>
      <c r="E778">
        <v>603.29999999999995</v>
      </c>
      <c r="F778">
        <v>60330</v>
      </c>
      <c r="G778" t="s">
        <v>351</v>
      </c>
      <c r="H778">
        <v>2018049</v>
      </c>
      <c r="I778" t="s">
        <v>19</v>
      </c>
      <c r="J778" t="s">
        <v>20</v>
      </c>
      <c r="K778" t="s">
        <v>25</v>
      </c>
      <c r="L778">
        <v>15</v>
      </c>
      <c r="M778">
        <v>1.81</v>
      </c>
      <c r="N778">
        <v>3.9</v>
      </c>
      <c r="O778">
        <v>35.93</v>
      </c>
      <c r="P778">
        <v>56.639899999999997</v>
      </c>
    </row>
    <row r="779" spans="1:16" hidden="1" x14ac:dyDescent="0.25">
      <c r="A779" s="22">
        <v>43370</v>
      </c>
      <c r="B779" t="s">
        <v>282</v>
      </c>
      <c r="C779" t="s">
        <v>17</v>
      </c>
      <c r="D779">
        <v>100</v>
      </c>
      <c r="E779">
        <v>699</v>
      </c>
      <c r="F779">
        <v>69900</v>
      </c>
      <c r="G779" t="s">
        <v>763</v>
      </c>
      <c r="H779">
        <v>2018184</v>
      </c>
      <c r="I779" t="s">
        <v>19</v>
      </c>
      <c r="J779" t="s">
        <v>20</v>
      </c>
      <c r="K779" t="s">
        <v>25</v>
      </c>
      <c r="L779">
        <v>0</v>
      </c>
      <c r="M779">
        <v>2.1</v>
      </c>
      <c r="N779">
        <v>32.1</v>
      </c>
      <c r="O779">
        <v>41.62</v>
      </c>
      <c r="P779">
        <v>75.817099999999996</v>
      </c>
    </row>
    <row r="780" spans="1:16" hidden="1" x14ac:dyDescent="0.25">
      <c r="A780" s="22">
        <v>43370</v>
      </c>
      <c r="B780" t="s">
        <v>659</v>
      </c>
      <c r="C780" t="s">
        <v>17</v>
      </c>
      <c r="D780">
        <v>1000</v>
      </c>
      <c r="E780">
        <v>208.75</v>
      </c>
      <c r="F780">
        <v>208750</v>
      </c>
      <c r="G780" t="s">
        <v>764</v>
      </c>
      <c r="H780">
        <v>2018184</v>
      </c>
      <c r="I780" t="s">
        <v>19</v>
      </c>
      <c r="J780" t="s">
        <v>20</v>
      </c>
      <c r="K780" t="s">
        <v>25</v>
      </c>
      <c r="L780">
        <v>0</v>
      </c>
      <c r="M780">
        <v>6.26</v>
      </c>
      <c r="N780">
        <v>0</v>
      </c>
      <c r="O780">
        <v>124.29</v>
      </c>
      <c r="P780">
        <v>130.55250000000001</v>
      </c>
    </row>
    <row r="781" spans="1:16" hidden="1" x14ac:dyDescent="0.25">
      <c r="A781" s="22">
        <v>43370</v>
      </c>
      <c r="B781" t="s">
        <v>321</v>
      </c>
      <c r="C781" t="s">
        <v>23</v>
      </c>
      <c r="D781">
        <v>1000</v>
      </c>
      <c r="E781">
        <v>249.08</v>
      </c>
      <c r="F781">
        <v>249076.75</v>
      </c>
      <c r="G781" t="s">
        <v>765</v>
      </c>
      <c r="H781">
        <v>2018184</v>
      </c>
      <c r="I781" t="s">
        <v>19</v>
      </c>
      <c r="J781" t="s">
        <v>20</v>
      </c>
      <c r="K781" t="s">
        <v>25</v>
      </c>
      <c r="L781">
        <v>62.32</v>
      </c>
      <c r="M781">
        <v>7.47</v>
      </c>
      <c r="N781">
        <v>0</v>
      </c>
      <c r="O781">
        <v>148.30000000000001</v>
      </c>
      <c r="P781">
        <v>218.0924</v>
      </c>
    </row>
    <row r="782" spans="1:16" hidden="1" x14ac:dyDescent="0.25">
      <c r="A782" s="22">
        <v>43370</v>
      </c>
      <c r="B782" t="s">
        <v>321</v>
      </c>
      <c r="C782" t="s">
        <v>17</v>
      </c>
      <c r="D782">
        <v>1000</v>
      </c>
      <c r="E782">
        <v>249.5</v>
      </c>
      <c r="F782">
        <v>249500</v>
      </c>
      <c r="G782" t="s">
        <v>766</v>
      </c>
      <c r="H782">
        <v>2018184</v>
      </c>
      <c r="I782" t="s">
        <v>19</v>
      </c>
      <c r="J782" t="s">
        <v>20</v>
      </c>
      <c r="K782" t="s">
        <v>25</v>
      </c>
      <c r="L782">
        <v>0</v>
      </c>
      <c r="M782">
        <v>7.49</v>
      </c>
      <c r="N782">
        <v>0</v>
      </c>
      <c r="O782">
        <v>148.55000000000001</v>
      </c>
      <c r="P782">
        <v>156.0352</v>
      </c>
    </row>
    <row r="783" spans="1:16" hidden="1" x14ac:dyDescent="0.25">
      <c r="A783" s="22">
        <v>43369</v>
      </c>
      <c r="B783" t="s">
        <v>677</v>
      </c>
      <c r="C783" t="s">
        <v>17</v>
      </c>
      <c r="D783">
        <v>350</v>
      </c>
      <c r="E783">
        <v>204.05</v>
      </c>
      <c r="F783">
        <v>71417.5</v>
      </c>
      <c r="G783" t="s">
        <v>767</v>
      </c>
      <c r="H783">
        <v>2018183</v>
      </c>
      <c r="I783" t="s">
        <v>19</v>
      </c>
      <c r="J783" t="s">
        <v>20</v>
      </c>
      <c r="K783" t="s">
        <v>25</v>
      </c>
      <c r="L783">
        <v>0</v>
      </c>
      <c r="M783">
        <v>2.14</v>
      </c>
      <c r="N783">
        <v>0</v>
      </c>
      <c r="O783">
        <v>42.52</v>
      </c>
      <c r="P783">
        <v>44.662500000000001</v>
      </c>
    </row>
    <row r="784" spans="1:16" hidden="1" x14ac:dyDescent="0.25">
      <c r="A784" s="22">
        <v>43369</v>
      </c>
      <c r="B784" t="s">
        <v>677</v>
      </c>
      <c r="C784" t="s">
        <v>23</v>
      </c>
      <c r="D784">
        <v>21</v>
      </c>
      <c r="E784">
        <v>206</v>
      </c>
      <c r="F784">
        <v>4326</v>
      </c>
      <c r="G784" t="s">
        <v>768</v>
      </c>
      <c r="H784">
        <v>2018183</v>
      </c>
      <c r="I784" t="s">
        <v>19</v>
      </c>
      <c r="J784" t="s">
        <v>20</v>
      </c>
      <c r="K784" t="s">
        <v>25</v>
      </c>
      <c r="L784">
        <v>1.05</v>
      </c>
      <c r="M784">
        <v>0.13</v>
      </c>
      <c r="N784">
        <v>0</v>
      </c>
      <c r="O784">
        <v>29.52</v>
      </c>
      <c r="P784">
        <v>30.6998</v>
      </c>
    </row>
    <row r="785" spans="1:16" x14ac:dyDescent="0.25">
      <c r="A785" s="22">
        <v>43173</v>
      </c>
      <c r="B785" t="s">
        <v>282</v>
      </c>
      <c r="C785" t="s">
        <v>23</v>
      </c>
      <c r="D785">
        <v>500</v>
      </c>
      <c r="E785">
        <v>606</v>
      </c>
      <c r="F785">
        <v>303000</v>
      </c>
      <c r="G785" t="s">
        <v>349</v>
      </c>
      <c r="H785">
        <v>2018050</v>
      </c>
      <c r="I785" t="s">
        <v>19</v>
      </c>
      <c r="J785" t="s">
        <v>20</v>
      </c>
      <c r="K785" t="s">
        <v>25</v>
      </c>
      <c r="L785">
        <v>76</v>
      </c>
      <c r="M785">
        <v>9.09</v>
      </c>
      <c r="N785">
        <v>0</v>
      </c>
      <c r="O785">
        <v>180.41</v>
      </c>
      <c r="P785">
        <v>265.5</v>
      </c>
    </row>
    <row r="786" spans="1:16" hidden="1" x14ac:dyDescent="0.25">
      <c r="A786" s="22">
        <v>43369</v>
      </c>
      <c r="B786" t="s">
        <v>282</v>
      </c>
      <c r="C786" t="s">
        <v>17</v>
      </c>
      <c r="D786">
        <v>100</v>
      </c>
      <c r="E786">
        <v>705.5</v>
      </c>
      <c r="F786">
        <v>70550</v>
      </c>
      <c r="G786" t="s">
        <v>770</v>
      </c>
      <c r="H786">
        <v>2018183</v>
      </c>
      <c r="I786" t="s">
        <v>19</v>
      </c>
      <c r="J786" t="s">
        <v>20</v>
      </c>
      <c r="K786" t="s">
        <v>25</v>
      </c>
      <c r="L786">
        <v>0</v>
      </c>
      <c r="M786">
        <v>2.12</v>
      </c>
      <c r="N786">
        <v>0</v>
      </c>
      <c r="O786">
        <v>42</v>
      </c>
      <c r="P786">
        <v>44.116500000000002</v>
      </c>
    </row>
    <row r="787" spans="1:16" hidden="1" x14ac:dyDescent="0.25">
      <c r="A787" s="22">
        <v>43369</v>
      </c>
      <c r="B787" t="s">
        <v>433</v>
      </c>
      <c r="C787" t="s">
        <v>23</v>
      </c>
      <c r="D787">
        <v>1500</v>
      </c>
      <c r="E787">
        <v>12</v>
      </c>
      <c r="F787">
        <v>18000</v>
      </c>
      <c r="G787" t="s">
        <v>771</v>
      </c>
      <c r="H787">
        <v>2018183</v>
      </c>
      <c r="I787" t="s">
        <v>19</v>
      </c>
      <c r="J787" t="s">
        <v>20</v>
      </c>
      <c r="K787" t="s">
        <v>25</v>
      </c>
      <c r="L787">
        <v>4.4800000000000004</v>
      </c>
      <c r="M787">
        <v>0.54</v>
      </c>
      <c r="N787">
        <v>0</v>
      </c>
      <c r="O787">
        <v>29.6</v>
      </c>
      <c r="P787">
        <v>34.619999999999997</v>
      </c>
    </row>
    <row r="788" spans="1:16" hidden="1" x14ac:dyDescent="0.25">
      <c r="A788" s="22">
        <v>43369</v>
      </c>
      <c r="B788" t="s">
        <v>433</v>
      </c>
      <c r="C788" t="s">
        <v>17</v>
      </c>
      <c r="D788">
        <v>1500</v>
      </c>
      <c r="E788">
        <v>11.9</v>
      </c>
      <c r="F788">
        <v>17850</v>
      </c>
      <c r="G788" t="s">
        <v>772</v>
      </c>
      <c r="H788">
        <v>2018183</v>
      </c>
      <c r="I788" t="s">
        <v>19</v>
      </c>
      <c r="J788" t="s">
        <v>20</v>
      </c>
      <c r="K788" t="s">
        <v>25</v>
      </c>
      <c r="L788">
        <v>0</v>
      </c>
      <c r="M788">
        <v>0.54</v>
      </c>
      <c r="N788">
        <v>0</v>
      </c>
      <c r="O788">
        <v>29.6</v>
      </c>
      <c r="P788">
        <v>30.1355</v>
      </c>
    </row>
    <row r="789" spans="1:16" hidden="1" x14ac:dyDescent="0.25">
      <c r="A789" s="22">
        <v>43369</v>
      </c>
      <c r="B789" t="s">
        <v>677</v>
      </c>
      <c r="C789" t="s">
        <v>23</v>
      </c>
      <c r="D789">
        <v>329</v>
      </c>
      <c r="E789">
        <v>197.2</v>
      </c>
      <c r="F789">
        <v>64879.9</v>
      </c>
      <c r="G789" t="s">
        <v>773</v>
      </c>
      <c r="H789">
        <v>2018183</v>
      </c>
      <c r="I789" t="s">
        <v>19</v>
      </c>
      <c r="J789" t="s">
        <v>20</v>
      </c>
      <c r="K789" t="s">
        <v>25</v>
      </c>
      <c r="L789">
        <v>16.52</v>
      </c>
      <c r="M789">
        <v>1.95</v>
      </c>
      <c r="N789">
        <v>0</v>
      </c>
      <c r="O789">
        <v>38.630000000000003</v>
      </c>
      <c r="P789">
        <v>57.096400000000003</v>
      </c>
    </row>
    <row r="790" spans="1:16" hidden="1" x14ac:dyDescent="0.25">
      <c r="A790" s="22">
        <v>43368</v>
      </c>
      <c r="B790" t="s">
        <v>279</v>
      </c>
      <c r="C790" t="s">
        <v>23</v>
      </c>
      <c r="D790">
        <v>500</v>
      </c>
      <c r="E790">
        <v>249.12</v>
      </c>
      <c r="F790">
        <v>124560.6</v>
      </c>
      <c r="G790" t="s">
        <v>655</v>
      </c>
      <c r="H790">
        <v>2018182</v>
      </c>
      <c r="I790" t="s">
        <v>19</v>
      </c>
      <c r="J790" t="s">
        <v>20</v>
      </c>
      <c r="K790" t="s">
        <v>25</v>
      </c>
      <c r="L790">
        <v>31.48</v>
      </c>
      <c r="M790">
        <v>3.74</v>
      </c>
      <c r="N790">
        <v>0</v>
      </c>
      <c r="O790">
        <v>74.17</v>
      </c>
      <c r="P790">
        <v>109.38679999999999</v>
      </c>
    </row>
    <row r="791" spans="1:16" hidden="1" x14ac:dyDescent="0.25">
      <c r="A791" s="22">
        <v>43368</v>
      </c>
      <c r="B791" t="s">
        <v>279</v>
      </c>
      <c r="C791" t="s">
        <v>17</v>
      </c>
      <c r="D791">
        <v>500</v>
      </c>
      <c r="E791">
        <v>254.51</v>
      </c>
      <c r="F791">
        <v>127255.9</v>
      </c>
      <c r="G791" t="s">
        <v>656</v>
      </c>
      <c r="H791">
        <v>2018182</v>
      </c>
      <c r="I791" t="s">
        <v>19</v>
      </c>
      <c r="J791" t="s">
        <v>20</v>
      </c>
      <c r="K791" t="s">
        <v>25</v>
      </c>
      <c r="L791">
        <v>0</v>
      </c>
      <c r="M791">
        <v>3.82</v>
      </c>
      <c r="N791">
        <v>0</v>
      </c>
      <c r="O791">
        <v>75.760000000000005</v>
      </c>
      <c r="P791">
        <v>79.5779</v>
      </c>
    </row>
    <row r="792" spans="1:16" hidden="1" x14ac:dyDescent="0.25">
      <c r="A792" s="22">
        <v>43368</v>
      </c>
      <c r="B792" t="s">
        <v>321</v>
      </c>
      <c r="C792" t="s">
        <v>17</v>
      </c>
      <c r="D792">
        <v>700</v>
      </c>
      <c r="E792">
        <v>240.5</v>
      </c>
      <c r="F792">
        <v>168350</v>
      </c>
      <c r="G792" t="s">
        <v>657</v>
      </c>
      <c r="H792">
        <v>2018182</v>
      </c>
      <c r="I792" t="s">
        <v>19</v>
      </c>
      <c r="J792" t="s">
        <v>20</v>
      </c>
      <c r="K792" t="s">
        <v>25</v>
      </c>
      <c r="L792">
        <v>0</v>
      </c>
      <c r="M792">
        <v>5.05</v>
      </c>
      <c r="N792">
        <v>30.9</v>
      </c>
      <c r="O792">
        <v>100.24</v>
      </c>
      <c r="P792">
        <v>136.19049999999999</v>
      </c>
    </row>
    <row r="793" spans="1:16" hidden="1" x14ac:dyDescent="0.25">
      <c r="A793" s="22">
        <v>43368</v>
      </c>
      <c r="B793" t="s">
        <v>321</v>
      </c>
      <c r="C793" t="s">
        <v>23</v>
      </c>
      <c r="D793">
        <v>700</v>
      </c>
      <c r="E793">
        <v>241.11</v>
      </c>
      <c r="F793">
        <v>168778.25</v>
      </c>
      <c r="G793" t="s">
        <v>658</v>
      </c>
      <c r="H793">
        <v>2018182</v>
      </c>
      <c r="I793" t="s">
        <v>19</v>
      </c>
      <c r="J793" t="s">
        <v>20</v>
      </c>
      <c r="K793" t="s">
        <v>25</v>
      </c>
      <c r="L793">
        <v>42.02</v>
      </c>
      <c r="M793">
        <v>5.0599999999999996</v>
      </c>
      <c r="N793">
        <v>0</v>
      </c>
      <c r="O793">
        <v>100.5</v>
      </c>
      <c r="P793">
        <v>147.58340000000001</v>
      </c>
    </row>
    <row r="794" spans="1:16" hidden="1" x14ac:dyDescent="0.25">
      <c r="A794" s="22">
        <v>43368</v>
      </c>
      <c r="B794" t="s">
        <v>659</v>
      </c>
      <c r="C794" t="s">
        <v>23</v>
      </c>
      <c r="D794">
        <v>1000</v>
      </c>
      <c r="E794">
        <v>213.1</v>
      </c>
      <c r="F794">
        <v>213100</v>
      </c>
      <c r="G794" t="s">
        <v>660</v>
      </c>
      <c r="H794">
        <v>2018182</v>
      </c>
      <c r="I794" t="s">
        <v>19</v>
      </c>
      <c r="J794" t="s">
        <v>20</v>
      </c>
      <c r="K794" t="s">
        <v>25</v>
      </c>
      <c r="L794">
        <v>54.5</v>
      </c>
      <c r="M794">
        <v>6.39</v>
      </c>
      <c r="N794">
        <v>0</v>
      </c>
      <c r="O794">
        <v>126.88</v>
      </c>
      <c r="P794">
        <v>187.773</v>
      </c>
    </row>
    <row r="795" spans="1:16" hidden="1" x14ac:dyDescent="0.25">
      <c r="A795" s="22">
        <v>43368</v>
      </c>
      <c r="B795" t="s">
        <v>659</v>
      </c>
      <c r="C795" t="s">
        <v>17</v>
      </c>
      <c r="D795">
        <v>1000</v>
      </c>
      <c r="E795">
        <v>222.89</v>
      </c>
      <c r="F795">
        <v>222893.9</v>
      </c>
      <c r="G795" t="s">
        <v>661</v>
      </c>
      <c r="H795">
        <v>2018182</v>
      </c>
      <c r="I795" t="s">
        <v>19</v>
      </c>
      <c r="J795" t="s">
        <v>20</v>
      </c>
      <c r="K795" t="s">
        <v>25</v>
      </c>
      <c r="L795">
        <v>0</v>
      </c>
      <c r="M795">
        <v>6.69</v>
      </c>
      <c r="N795">
        <v>0</v>
      </c>
      <c r="O795">
        <v>132.69999999999999</v>
      </c>
      <c r="P795">
        <v>139.387</v>
      </c>
    </row>
    <row r="796" spans="1:16" hidden="1" x14ac:dyDescent="0.25">
      <c r="A796" s="22">
        <v>43367</v>
      </c>
      <c r="B796" t="s">
        <v>179</v>
      </c>
      <c r="C796" t="s">
        <v>23</v>
      </c>
      <c r="D796">
        <v>350</v>
      </c>
      <c r="E796">
        <v>40</v>
      </c>
      <c r="F796">
        <v>14000</v>
      </c>
      <c r="G796" t="s">
        <v>662</v>
      </c>
      <c r="H796">
        <v>2018181</v>
      </c>
      <c r="I796" t="s">
        <v>19</v>
      </c>
      <c r="J796" t="s">
        <v>20</v>
      </c>
      <c r="K796" t="s">
        <v>25</v>
      </c>
      <c r="L796">
        <v>14</v>
      </c>
      <c r="M796">
        <v>0.42</v>
      </c>
      <c r="N796">
        <v>0</v>
      </c>
      <c r="O796">
        <v>90.94</v>
      </c>
      <c r="P796">
        <v>105.36</v>
      </c>
    </row>
    <row r="797" spans="1:16" hidden="1" x14ac:dyDescent="0.25">
      <c r="A797" s="22">
        <v>43367</v>
      </c>
      <c r="B797" t="s">
        <v>321</v>
      </c>
      <c r="C797" t="s">
        <v>23</v>
      </c>
      <c r="D797">
        <v>100</v>
      </c>
      <c r="E797">
        <v>258</v>
      </c>
      <c r="F797">
        <v>25800</v>
      </c>
      <c r="G797" t="s">
        <v>663</v>
      </c>
      <c r="H797">
        <v>2018181</v>
      </c>
      <c r="I797" t="s">
        <v>19</v>
      </c>
      <c r="J797" t="s">
        <v>20</v>
      </c>
      <c r="K797" t="s">
        <v>25</v>
      </c>
      <c r="L797">
        <v>6.41</v>
      </c>
      <c r="M797">
        <v>0.77</v>
      </c>
      <c r="N797">
        <v>0</v>
      </c>
      <c r="O797">
        <v>29.64</v>
      </c>
      <c r="P797">
        <v>36.823999999999998</v>
      </c>
    </row>
    <row r="798" spans="1:16" hidden="1" x14ac:dyDescent="0.25">
      <c r="A798" s="22">
        <v>43367</v>
      </c>
      <c r="B798" t="s">
        <v>321</v>
      </c>
      <c r="C798" t="s">
        <v>23</v>
      </c>
      <c r="D798">
        <v>150</v>
      </c>
      <c r="E798">
        <v>261.05</v>
      </c>
      <c r="F798">
        <v>39157.5</v>
      </c>
      <c r="G798" t="s">
        <v>664</v>
      </c>
      <c r="H798">
        <v>2018181</v>
      </c>
      <c r="I798" t="s">
        <v>19</v>
      </c>
      <c r="J798" t="s">
        <v>20</v>
      </c>
      <c r="K798" t="s">
        <v>25</v>
      </c>
      <c r="L798">
        <v>9.6199999999999992</v>
      </c>
      <c r="M798">
        <v>1.17</v>
      </c>
      <c r="N798">
        <v>0</v>
      </c>
      <c r="O798">
        <v>29.71</v>
      </c>
      <c r="P798">
        <v>40.5047</v>
      </c>
    </row>
    <row r="799" spans="1:16" hidden="1" x14ac:dyDescent="0.25">
      <c r="A799" s="22">
        <v>43367</v>
      </c>
      <c r="B799" t="s">
        <v>665</v>
      </c>
      <c r="C799" t="s">
        <v>23</v>
      </c>
      <c r="D799">
        <v>100</v>
      </c>
      <c r="E799">
        <v>394.15</v>
      </c>
      <c r="F799">
        <v>39415</v>
      </c>
      <c r="G799" t="s">
        <v>666</v>
      </c>
      <c r="H799">
        <v>2018181</v>
      </c>
      <c r="I799" t="s">
        <v>19</v>
      </c>
      <c r="J799" t="s">
        <v>20</v>
      </c>
      <c r="K799" t="s">
        <v>25</v>
      </c>
      <c r="L799">
        <v>9.7100000000000009</v>
      </c>
      <c r="M799">
        <v>1.18</v>
      </c>
      <c r="N799">
        <v>0</v>
      </c>
      <c r="O799">
        <v>29.71</v>
      </c>
      <c r="P799">
        <v>40.602400000000003</v>
      </c>
    </row>
    <row r="800" spans="1:16" hidden="1" x14ac:dyDescent="0.25">
      <c r="A800" s="22">
        <v>43367</v>
      </c>
      <c r="B800" t="s">
        <v>665</v>
      </c>
      <c r="C800" t="s">
        <v>17</v>
      </c>
      <c r="D800">
        <v>100</v>
      </c>
      <c r="E800">
        <v>375</v>
      </c>
      <c r="F800">
        <v>37500</v>
      </c>
      <c r="G800" t="s">
        <v>667</v>
      </c>
      <c r="H800">
        <v>2018181</v>
      </c>
      <c r="I800" t="s">
        <v>19</v>
      </c>
      <c r="J800" t="s">
        <v>20</v>
      </c>
      <c r="K800" t="s">
        <v>25</v>
      </c>
      <c r="L800">
        <v>0</v>
      </c>
      <c r="M800">
        <v>1.1299999999999999</v>
      </c>
      <c r="N800">
        <v>0</v>
      </c>
      <c r="O800">
        <v>29.7</v>
      </c>
      <c r="P800">
        <v>30.825099999999999</v>
      </c>
    </row>
    <row r="801" spans="1:16" hidden="1" x14ac:dyDescent="0.25">
      <c r="A801" s="22">
        <v>43367</v>
      </c>
      <c r="B801" t="s">
        <v>321</v>
      </c>
      <c r="C801" t="s">
        <v>23</v>
      </c>
      <c r="D801">
        <v>250</v>
      </c>
      <c r="E801">
        <v>258.05</v>
      </c>
      <c r="F801">
        <v>64512.45</v>
      </c>
      <c r="G801" t="s">
        <v>668</v>
      </c>
      <c r="H801">
        <v>2018181</v>
      </c>
      <c r="I801" t="s">
        <v>19</v>
      </c>
      <c r="J801" t="s">
        <v>20</v>
      </c>
      <c r="K801" t="s">
        <v>25</v>
      </c>
      <c r="L801">
        <v>15.78</v>
      </c>
      <c r="M801">
        <v>1.94</v>
      </c>
      <c r="N801">
        <v>23.1</v>
      </c>
      <c r="O801">
        <v>38.340000000000003</v>
      </c>
      <c r="P801">
        <v>79.1571</v>
      </c>
    </row>
    <row r="802" spans="1:16" hidden="1" x14ac:dyDescent="0.25">
      <c r="A802" s="22">
        <v>43367</v>
      </c>
      <c r="B802" t="s">
        <v>321</v>
      </c>
      <c r="C802" t="s">
        <v>17</v>
      </c>
      <c r="D802">
        <v>500</v>
      </c>
      <c r="E802">
        <v>254</v>
      </c>
      <c r="F802">
        <v>127000</v>
      </c>
      <c r="G802" t="s">
        <v>669</v>
      </c>
      <c r="H802">
        <v>2018181</v>
      </c>
      <c r="I802" t="s">
        <v>19</v>
      </c>
      <c r="J802" t="s">
        <v>20</v>
      </c>
      <c r="K802" t="s">
        <v>25</v>
      </c>
      <c r="L802">
        <v>0</v>
      </c>
      <c r="M802">
        <v>3.81</v>
      </c>
      <c r="N802">
        <v>0</v>
      </c>
      <c r="O802">
        <v>75.62</v>
      </c>
      <c r="P802">
        <v>79.430000000000007</v>
      </c>
    </row>
    <row r="803" spans="1:16" hidden="1" x14ac:dyDescent="0.25">
      <c r="A803" s="22">
        <v>43367</v>
      </c>
      <c r="B803" t="s">
        <v>665</v>
      </c>
      <c r="C803" t="s">
        <v>23</v>
      </c>
      <c r="D803">
        <v>100</v>
      </c>
      <c r="E803">
        <v>391.69</v>
      </c>
      <c r="F803">
        <v>39168.5</v>
      </c>
      <c r="G803" t="s">
        <v>670</v>
      </c>
      <c r="H803">
        <v>2018181</v>
      </c>
      <c r="I803" t="s">
        <v>19</v>
      </c>
      <c r="J803" t="s">
        <v>20</v>
      </c>
      <c r="K803" t="s">
        <v>25</v>
      </c>
      <c r="L803">
        <v>9.7100000000000009</v>
      </c>
      <c r="M803">
        <v>1.18</v>
      </c>
      <c r="N803">
        <v>0</v>
      </c>
      <c r="O803">
        <v>29.71</v>
      </c>
      <c r="P803">
        <v>40.595100000000002</v>
      </c>
    </row>
    <row r="804" spans="1:16" hidden="1" x14ac:dyDescent="0.25">
      <c r="A804" s="22">
        <v>43367</v>
      </c>
      <c r="B804" t="s">
        <v>665</v>
      </c>
      <c r="C804" t="s">
        <v>17</v>
      </c>
      <c r="D804">
        <v>100</v>
      </c>
      <c r="E804">
        <v>392.22</v>
      </c>
      <c r="F804">
        <v>39222.15</v>
      </c>
      <c r="G804" t="s">
        <v>671</v>
      </c>
      <c r="H804">
        <v>2018181</v>
      </c>
      <c r="I804" t="s">
        <v>19</v>
      </c>
      <c r="J804" t="s">
        <v>20</v>
      </c>
      <c r="K804" t="s">
        <v>25</v>
      </c>
      <c r="L804">
        <v>0</v>
      </c>
      <c r="M804">
        <v>1.18</v>
      </c>
      <c r="N804">
        <v>0</v>
      </c>
      <c r="O804">
        <v>29.72</v>
      </c>
      <c r="P804">
        <v>30.896599999999999</v>
      </c>
    </row>
    <row r="805" spans="1:16" x14ac:dyDescent="0.25">
      <c r="A805" s="22">
        <v>43194</v>
      </c>
      <c r="B805" t="s">
        <v>282</v>
      </c>
      <c r="C805" t="s">
        <v>23</v>
      </c>
      <c r="D805">
        <v>500</v>
      </c>
      <c r="E805">
        <v>605</v>
      </c>
      <c r="F805">
        <v>302500</v>
      </c>
      <c r="G805" t="s">
        <v>368</v>
      </c>
      <c r="H805">
        <v>2018063</v>
      </c>
      <c r="I805" t="s">
        <v>19</v>
      </c>
      <c r="J805" t="s">
        <v>20</v>
      </c>
      <c r="K805" t="s">
        <v>25</v>
      </c>
      <c r="L805">
        <v>75.34</v>
      </c>
      <c r="M805">
        <v>9.07</v>
      </c>
      <c r="N805">
        <v>0</v>
      </c>
      <c r="O805">
        <v>180.11</v>
      </c>
      <c r="P805">
        <v>264.5249</v>
      </c>
    </row>
    <row r="806" spans="1:16" hidden="1" x14ac:dyDescent="0.25">
      <c r="A806" s="22">
        <v>43367</v>
      </c>
      <c r="B806" t="s">
        <v>282</v>
      </c>
      <c r="C806" t="s">
        <v>17</v>
      </c>
      <c r="D806">
        <v>250</v>
      </c>
      <c r="E806">
        <v>668</v>
      </c>
      <c r="F806">
        <v>167000</v>
      </c>
      <c r="G806" t="s">
        <v>673</v>
      </c>
      <c r="H806">
        <v>2018181</v>
      </c>
      <c r="I806" t="s">
        <v>19</v>
      </c>
      <c r="J806" t="s">
        <v>20</v>
      </c>
      <c r="K806" t="s">
        <v>25</v>
      </c>
      <c r="L806">
        <v>0</v>
      </c>
      <c r="M806">
        <v>5.01</v>
      </c>
      <c r="N806">
        <v>0</v>
      </c>
      <c r="O806">
        <v>99.43</v>
      </c>
      <c r="P806">
        <v>104.44</v>
      </c>
    </row>
    <row r="807" spans="1:16" hidden="1" x14ac:dyDescent="0.25">
      <c r="A807" s="22">
        <v>43364</v>
      </c>
      <c r="B807" t="s">
        <v>433</v>
      </c>
      <c r="C807" t="s">
        <v>23</v>
      </c>
      <c r="D807">
        <v>100</v>
      </c>
      <c r="E807">
        <v>14.45</v>
      </c>
      <c r="F807">
        <v>1445</v>
      </c>
      <c r="G807" t="s">
        <v>674</v>
      </c>
      <c r="H807">
        <v>2018180</v>
      </c>
      <c r="I807" t="s">
        <v>19</v>
      </c>
      <c r="J807" t="s">
        <v>20</v>
      </c>
      <c r="K807" t="s">
        <v>25</v>
      </c>
      <c r="L807">
        <v>1.49</v>
      </c>
      <c r="M807">
        <v>0.04</v>
      </c>
      <c r="N807">
        <v>0</v>
      </c>
      <c r="O807">
        <v>29.51</v>
      </c>
      <c r="P807">
        <v>31.043399999999998</v>
      </c>
    </row>
    <row r="808" spans="1:16" hidden="1" x14ac:dyDescent="0.25">
      <c r="A808" s="22">
        <v>43364</v>
      </c>
      <c r="B808" t="s">
        <v>433</v>
      </c>
      <c r="C808" t="s">
        <v>23</v>
      </c>
      <c r="D808">
        <v>100</v>
      </c>
      <c r="E808">
        <v>14.45</v>
      </c>
      <c r="F808">
        <v>1445</v>
      </c>
      <c r="G808" t="s">
        <v>675</v>
      </c>
      <c r="H808">
        <v>2018180</v>
      </c>
      <c r="I808" t="s">
        <v>19</v>
      </c>
      <c r="J808" t="s">
        <v>20</v>
      </c>
      <c r="K808" t="s">
        <v>25</v>
      </c>
      <c r="L808">
        <v>1.49</v>
      </c>
      <c r="M808">
        <v>0.04</v>
      </c>
      <c r="N808">
        <v>0</v>
      </c>
      <c r="O808">
        <v>29.51</v>
      </c>
      <c r="P808">
        <v>31.043399999999998</v>
      </c>
    </row>
    <row r="809" spans="1:16" hidden="1" x14ac:dyDescent="0.25">
      <c r="A809" s="22">
        <v>43364</v>
      </c>
      <c r="B809" t="s">
        <v>433</v>
      </c>
      <c r="C809" t="s">
        <v>17</v>
      </c>
      <c r="D809">
        <v>200</v>
      </c>
      <c r="E809">
        <v>14.15</v>
      </c>
      <c r="F809">
        <v>2830</v>
      </c>
      <c r="G809" t="s">
        <v>676</v>
      </c>
      <c r="H809">
        <v>2018180</v>
      </c>
      <c r="I809" t="s">
        <v>19</v>
      </c>
      <c r="J809" t="s">
        <v>20</v>
      </c>
      <c r="K809" t="s">
        <v>25</v>
      </c>
      <c r="L809">
        <v>0</v>
      </c>
      <c r="M809">
        <v>0.08</v>
      </c>
      <c r="N809">
        <v>0</v>
      </c>
      <c r="O809">
        <v>29.52</v>
      </c>
      <c r="P809">
        <v>29.604900000000001</v>
      </c>
    </row>
    <row r="810" spans="1:16" hidden="1" x14ac:dyDescent="0.25">
      <c r="A810" s="22">
        <v>43364</v>
      </c>
      <c r="B810" t="s">
        <v>677</v>
      </c>
      <c r="C810" t="s">
        <v>23</v>
      </c>
      <c r="D810">
        <v>250</v>
      </c>
      <c r="E810">
        <v>201.17</v>
      </c>
      <c r="F810">
        <v>50292.1</v>
      </c>
      <c r="G810" t="s">
        <v>678</v>
      </c>
      <c r="H810">
        <v>2018180</v>
      </c>
      <c r="I810" t="s">
        <v>19</v>
      </c>
      <c r="J810" t="s">
        <v>20</v>
      </c>
      <c r="K810" t="s">
        <v>25</v>
      </c>
      <c r="L810">
        <v>12.41</v>
      </c>
      <c r="M810">
        <v>1.51</v>
      </c>
      <c r="N810">
        <v>0</v>
      </c>
      <c r="O810">
        <v>29.94</v>
      </c>
      <c r="P810">
        <v>43.858699999999999</v>
      </c>
    </row>
    <row r="811" spans="1:16" hidden="1" x14ac:dyDescent="0.25">
      <c r="A811" s="22">
        <v>43364</v>
      </c>
      <c r="B811" t="s">
        <v>677</v>
      </c>
      <c r="C811" t="s">
        <v>17</v>
      </c>
      <c r="D811">
        <v>250</v>
      </c>
      <c r="E811">
        <v>196</v>
      </c>
      <c r="F811">
        <v>49000</v>
      </c>
      <c r="G811" t="s">
        <v>679</v>
      </c>
      <c r="H811">
        <v>2018180</v>
      </c>
      <c r="I811" t="s">
        <v>19</v>
      </c>
      <c r="J811" t="s">
        <v>20</v>
      </c>
      <c r="K811" t="s">
        <v>25</v>
      </c>
      <c r="L811">
        <v>0</v>
      </c>
      <c r="M811">
        <v>1.47</v>
      </c>
      <c r="N811">
        <v>0</v>
      </c>
      <c r="O811">
        <v>29.76</v>
      </c>
      <c r="P811">
        <v>31.23</v>
      </c>
    </row>
    <row r="812" spans="1:16" hidden="1" x14ac:dyDescent="0.25">
      <c r="A812" s="22">
        <v>43364</v>
      </c>
      <c r="B812" t="s">
        <v>433</v>
      </c>
      <c r="C812" t="s">
        <v>23</v>
      </c>
      <c r="D812">
        <v>1750</v>
      </c>
      <c r="E812">
        <v>15</v>
      </c>
      <c r="F812">
        <v>26250</v>
      </c>
      <c r="G812" t="s">
        <v>680</v>
      </c>
      <c r="H812">
        <v>2018180</v>
      </c>
      <c r="I812" t="s">
        <v>19</v>
      </c>
      <c r="J812" t="s">
        <v>20</v>
      </c>
      <c r="K812" t="s">
        <v>25</v>
      </c>
      <c r="L812">
        <v>23.61</v>
      </c>
      <c r="M812">
        <v>0.79</v>
      </c>
      <c r="N812">
        <v>4.2</v>
      </c>
      <c r="O812">
        <v>170.5</v>
      </c>
      <c r="P812">
        <v>199.0975</v>
      </c>
    </row>
    <row r="813" spans="1:16" hidden="1" x14ac:dyDescent="0.25">
      <c r="A813" s="22">
        <v>43362</v>
      </c>
      <c r="B813" t="s">
        <v>677</v>
      </c>
      <c r="C813" t="s">
        <v>17</v>
      </c>
      <c r="D813">
        <v>50</v>
      </c>
      <c r="E813">
        <v>196</v>
      </c>
      <c r="F813">
        <v>9800</v>
      </c>
      <c r="G813" t="s">
        <v>681</v>
      </c>
      <c r="H813">
        <v>2018179</v>
      </c>
      <c r="I813" t="s">
        <v>19</v>
      </c>
      <c r="J813" t="s">
        <v>20</v>
      </c>
      <c r="K813" t="s">
        <v>25</v>
      </c>
      <c r="L813">
        <v>0</v>
      </c>
      <c r="M813">
        <v>0.28999999999999998</v>
      </c>
      <c r="N813">
        <v>0</v>
      </c>
      <c r="O813">
        <v>29.55</v>
      </c>
      <c r="P813">
        <v>29.844000000000001</v>
      </c>
    </row>
    <row r="814" spans="1:16" hidden="1" x14ac:dyDescent="0.25">
      <c r="A814" s="22">
        <v>43362</v>
      </c>
      <c r="B814" t="s">
        <v>677</v>
      </c>
      <c r="C814" t="s">
        <v>23</v>
      </c>
      <c r="D814">
        <v>50</v>
      </c>
      <c r="E814">
        <v>194.95</v>
      </c>
      <c r="F814">
        <v>9747.5</v>
      </c>
      <c r="G814" t="s">
        <v>682</v>
      </c>
      <c r="H814">
        <v>2018179</v>
      </c>
      <c r="I814" t="s">
        <v>19</v>
      </c>
      <c r="J814" t="s">
        <v>20</v>
      </c>
      <c r="K814" t="s">
        <v>25</v>
      </c>
      <c r="L814">
        <v>2</v>
      </c>
      <c r="M814">
        <v>0.28999999999999998</v>
      </c>
      <c r="N814">
        <v>0.6</v>
      </c>
      <c r="O814">
        <v>29.55</v>
      </c>
      <c r="P814">
        <v>32.442399999999999</v>
      </c>
    </row>
    <row r="815" spans="1:16" hidden="1" x14ac:dyDescent="0.25">
      <c r="A815" s="22">
        <v>43357</v>
      </c>
      <c r="B815" t="s">
        <v>683</v>
      </c>
      <c r="C815" t="s">
        <v>17</v>
      </c>
      <c r="D815">
        <v>10</v>
      </c>
      <c r="E815">
        <v>111.45</v>
      </c>
      <c r="F815">
        <v>1114.5</v>
      </c>
      <c r="G815" t="s">
        <v>684</v>
      </c>
      <c r="H815">
        <v>2018176</v>
      </c>
      <c r="I815" t="s">
        <v>19</v>
      </c>
      <c r="J815" t="s">
        <v>20</v>
      </c>
      <c r="K815" t="s">
        <v>25</v>
      </c>
      <c r="L815">
        <v>1</v>
      </c>
      <c r="M815">
        <v>0.03</v>
      </c>
      <c r="N815">
        <v>0.3</v>
      </c>
      <c r="O815">
        <v>32.880000000000003</v>
      </c>
      <c r="P815">
        <v>34.213500000000003</v>
      </c>
    </row>
    <row r="816" spans="1:16" hidden="1" x14ac:dyDescent="0.25">
      <c r="A816" s="22">
        <v>43350</v>
      </c>
      <c r="B816" t="s">
        <v>677</v>
      </c>
      <c r="C816" t="s">
        <v>17</v>
      </c>
      <c r="D816">
        <v>100</v>
      </c>
      <c r="E816">
        <v>215.53</v>
      </c>
      <c r="F816">
        <v>21552.55</v>
      </c>
      <c r="G816" t="s">
        <v>685</v>
      </c>
      <c r="H816">
        <v>2018172</v>
      </c>
      <c r="I816" t="s">
        <v>19</v>
      </c>
      <c r="J816" t="s">
        <v>20</v>
      </c>
      <c r="K816" t="s">
        <v>25</v>
      </c>
      <c r="L816">
        <v>0</v>
      </c>
      <c r="M816">
        <v>0.65</v>
      </c>
      <c r="N816">
        <v>0</v>
      </c>
      <c r="O816">
        <v>29.61</v>
      </c>
      <c r="P816">
        <v>30.256499999999999</v>
      </c>
    </row>
    <row r="817" spans="1:16" hidden="1" x14ac:dyDescent="0.25">
      <c r="A817" s="22">
        <v>43350</v>
      </c>
      <c r="B817" t="s">
        <v>677</v>
      </c>
      <c r="C817" t="s">
        <v>17</v>
      </c>
      <c r="D817">
        <v>50</v>
      </c>
      <c r="E817">
        <v>215.6</v>
      </c>
      <c r="F817">
        <v>10780</v>
      </c>
      <c r="G817" t="s">
        <v>686</v>
      </c>
      <c r="H817">
        <v>2018172</v>
      </c>
      <c r="I817" t="s">
        <v>19</v>
      </c>
      <c r="J817" t="s">
        <v>20</v>
      </c>
      <c r="K817" t="s">
        <v>25</v>
      </c>
      <c r="L817">
        <v>0</v>
      </c>
      <c r="M817">
        <v>0.32</v>
      </c>
      <c r="N817">
        <v>0</v>
      </c>
      <c r="O817">
        <v>29.56</v>
      </c>
      <c r="P817">
        <v>29.883400000000002</v>
      </c>
    </row>
    <row r="818" spans="1:16" hidden="1" x14ac:dyDescent="0.25">
      <c r="A818" s="22">
        <v>43350</v>
      </c>
      <c r="B818" t="s">
        <v>677</v>
      </c>
      <c r="C818" t="s">
        <v>23</v>
      </c>
      <c r="D818">
        <v>11</v>
      </c>
      <c r="E818">
        <v>216.95</v>
      </c>
      <c r="F818">
        <v>2386.4499999999998</v>
      </c>
      <c r="G818" t="s">
        <v>687</v>
      </c>
      <c r="H818">
        <v>2018172</v>
      </c>
      <c r="I818" t="s">
        <v>19</v>
      </c>
      <c r="J818" t="s">
        <v>20</v>
      </c>
      <c r="K818" t="s">
        <v>25</v>
      </c>
      <c r="L818">
        <v>0.51</v>
      </c>
      <c r="M818">
        <v>7.0000000000000007E-2</v>
      </c>
      <c r="N818">
        <v>2.1</v>
      </c>
      <c r="O818">
        <v>29.51</v>
      </c>
      <c r="P818">
        <v>32.191600000000001</v>
      </c>
    </row>
    <row r="819" spans="1:16" hidden="1" x14ac:dyDescent="0.25">
      <c r="A819" s="22">
        <v>43350</v>
      </c>
      <c r="B819" t="s">
        <v>677</v>
      </c>
      <c r="C819" t="s">
        <v>23</v>
      </c>
      <c r="D819">
        <v>139</v>
      </c>
      <c r="E819">
        <v>215.15</v>
      </c>
      <c r="F819">
        <v>29905.85</v>
      </c>
      <c r="G819" t="s">
        <v>688</v>
      </c>
      <c r="H819">
        <v>2018172</v>
      </c>
      <c r="I819" t="s">
        <v>19</v>
      </c>
      <c r="J819" t="s">
        <v>20</v>
      </c>
      <c r="K819" t="s">
        <v>25</v>
      </c>
      <c r="L819">
        <v>7.49</v>
      </c>
      <c r="M819">
        <v>0.9</v>
      </c>
      <c r="N819">
        <v>0</v>
      </c>
      <c r="O819">
        <v>29.66</v>
      </c>
      <c r="P819">
        <v>38.047199999999997</v>
      </c>
    </row>
    <row r="820" spans="1:16" hidden="1" x14ac:dyDescent="0.25">
      <c r="A820" s="22">
        <v>43349</v>
      </c>
      <c r="B820" t="s">
        <v>205</v>
      </c>
      <c r="C820" t="s">
        <v>17</v>
      </c>
      <c r="D820">
        <v>1000</v>
      </c>
      <c r="E820">
        <v>36.35</v>
      </c>
      <c r="F820">
        <v>36350</v>
      </c>
      <c r="G820" t="s">
        <v>689</v>
      </c>
      <c r="H820">
        <v>2018171</v>
      </c>
      <c r="I820" t="s">
        <v>19</v>
      </c>
      <c r="J820" t="s">
        <v>20</v>
      </c>
      <c r="K820" t="s">
        <v>25</v>
      </c>
      <c r="L820">
        <v>0</v>
      </c>
      <c r="M820">
        <v>1.0900000000000001</v>
      </c>
      <c r="N820">
        <v>2.4</v>
      </c>
      <c r="O820">
        <v>29.7</v>
      </c>
      <c r="P820">
        <v>33.1905</v>
      </c>
    </row>
    <row r="821" spans="1:16" hidden="1" x14ac:dyDescent="0.25">
      <c r="A821" s="22">
        <v>43349</v>
      </c>
      <c r="B821" t="s">
        <v>205</v>
      </c>
      <c r="C821" t="s">
        <v>23</v>
      </c>
      <c r="D821">
        <v>1000</v>
      </c>
      <c r="E821">
        <v>36.4</v>
      </c>
      <c r="F821">
        <v>36400</v>
      </c>
      <c r="G821" t="s">
        <v>690</v>
      </c>
      <c r="H821">
        <v>2018171</v>
      </c>
      <c r="I821" t="s">
        <v>19</v>
      </c>
      <c r="J821" t="s">
        <v>20</v>
      </c>
      <c r="K821" t="s">
        <v>25</v>
      </c>
      <c r="L821">
        <v>9</v>
      </c>
      <c r="M821">
        <v>1.0900000000000001</v>
      </c>
      <c r="N821">
        <v>0</v>
      </c>
      <c r="O821">
        <v>29.7</v>
      </c>
      <c r="P821">
        <v>39.792000000000002</v>
      </c>
    </row>
    <row r="822" spans="1:16" hidden="1" x14ac:dyDescent="0.25">
      <c r="A822" s="22">
        <v>43349</v>
      </c>
      <c r="B822" t="s">
        <v>190</v>
      </c>
      <c r="C822" t="s">
        <v>17</v>
      </c>
      <c r="D822">
        <v>1000</v>
      </c>
      <c r="E822">
        <v>5</v>
      </c>
      <c r="F822">
        <v>5000</v>
      </c>
      <c r="G822" t="s">
        <v>691</v>
      </c>
      <c r="H822">
        <v>2018171</v>
      </c>
      <c r="I822" t="s">
        <v>140</v>
      </c>
      <c r="J822" t="s">
        <v>20</v>
      </c>
      <c r="K822" t="s">
        <v>25</v>
      </c>
      <c r="L822">
        <v>5</v>
      </c>
      <c r="M822">
        <v>0.15</v>
      </c>
      <c r="N822">
        <v>0.3</v>
      </c>
      <c r="O822">
        <v>59.03</v>
      </c>
      <c r="P822">
        <v>64.48</v>
      </c>
    </row>
    <row r="823" spans="1:16" hidden="1" x14ac:dyDescent="0.25">
      <c r="A823" s="22">
        <v>43348</v>
      </c>
      <c r="B823" t="s">
        <v>205</v>
      </c>
      <c r="C823" t="s">
        <v>17</v>
      </c>
      <c r="D823">
        <v>100</v>
      </c>
      <c r="E823">
        <v>35.450000000000003</v>
      </c>
      <c r="F823">
        <v>3545</v>
      </c>
      <c r="G823" t="s">
        <v>692</v>
      </c>
      <c r="H823">
        <v>2018170</v>
      </c>
      <c r="I823" t="s">
        <v>19</v>
      </c>
      <c r="J823" t="s">
        <v>20</v>
      </c>
      <c r="K823" t="s">
        <v>25</v>
      </c>
      <c r="L823">
        <v>4</v>
      </c>
      <c r="M823">
        <v>0.11</v>
      </c>
      <c r="N823">
        <v>0.3</v>
      </c>
      <c r="O823">
        <v>41.32</v>
      </c>
      <c r="P823">
        <v>45.726300000000002</v>
      </c>
    </row>
    <row r="824" spans="1:16" hidden="1" x14ac:dyDescent="0.25">
      <c r="A824" s="22">
        <v>43347</v>
      </c>
      <c r="B824" t="s">
        <v>433</v>
      </c>
      <c r="C824" t="s">
        <v>17</v>
      </c>
      <c r="D824">
        <v>2500</v>
      </c>
      <c r="E824">
        <v>18.2</v>
      </c>
      <c r="F824">
        <v>45500</v>
      </c>
      <c r="G824" t="s">
        <v>509</v>
      </c>
      <c r="H824">
        <v>2018169</v>
      </c>
      <c r="I824" t="s">
        <v>19</v>
      </c>
      <c r="J824" t="s">
        <v>20</v>
      </c>
      <c r="K824" t="s">
        <v>25</v>
      </c>
      <c r="L824">
        <v>0</v>
      </c>
      <c r="M824">
        <v>1.37</v>
      </c>
      <c r="N824">
        <v>0</v>
      </c>
      <c r="O824">
        <v>29.75</v>
      </c>
      <c r="P824">
        <v>31.115100000000002</v>
      </c>
    </row>
    <row r="825" spans="1:16" hidden="1" x14ac:dyDescent="0.25">
      <c r="A825" s="22">
        <v>43347</v>
      </c>
      <c r="B825" t="s">
        <v>397</v>
      </c>
      <c r="C825" t="s">
        <v>17</v>
      </c>
      <c r="D825">
        <v>100</v>
      </c>
      <c r="E825">
        <v>292.25</v>
      </c>
      <c r="F825">
        <v>29225</v>
      </c>
      <c r="G825" t="s">
        <v>510</v>
      </c>
      <c r="H825">
        <v>2018169</v>
      </c>
      <c r="I825" t="s">
        <v>19</v>
      </c>
      <c r="J825" t="s">
        <v>20</v>
      </c>
      <c r="K825" t="s">
        <v>25</v>
      </c>
      <c r="L825">
        <v>0</v>
      </c>
      <c r="M825">
        <v>0.88</v>
      </c>
      <c r="N825">
        <v>4.5</v>
      </c>
      <c r="O825">
        <v>29.66</v>
      </c>
      <c r="P825">
        <v>35.036700000000003</v>
      </c>
    </row>
    <row r="826" spans="1:16" hidden="1" x14ac:dyDescent="0.25">
      <c r="A826" s="22">
        <v>43347</v>
      </c>
      <c r="B826" t="s">
        <v>397</v>
      </c>
      <c r="C826" t="s">
        <v>23</v>
      </c>
      <c r="D826">
        <v>100</v>
      </c>
      <c r="E826">
        <v>289.5</v>
      </c>
      <c r="F826">
        <v>28950</v>
      </c>
      <c r="G826" t="s">
        <v>511</v>
      </c>
      <c r="H826">
        <v>2018169</v>
      </c>
      <c r="I826" t="s">
        <v>19</v>
      </c>
      <c r="J826" t="s">
        <v>20</v>
      </c>
      <c r="K826" t="s">
        <v>25</v>
      </c>
      <c r="L826">
        <v>6.88</v>
      </c>
      <c r="M826">
        <v>0.87</v>
      </c>
      <c r="N826">
        <v>0</v>
      </c>
      <c r="O826">
        <v>29.66</v>
      </c>
      <c r="P826">
        <v>37.408499999999997</v>
      </c>
    </row>
    <row r="827" spans="1:16" hidden="1" x14ac:dyDescent="0.25">
      <c r="A827" s="22">
        <v>43347</v>
      </c>
      <c r="B827" t="s">
        <v>433</v>
      </c>
      <c r="C827" t="s">
        <v>23</v>
      </c>
      <c r="D827">
        <v>2500</v>
      </c>
      <c r="E827">
        <v>17.399999999999999</v>
      </c>
      <c r="F827">
        <v>43500</v>
      </c>
      <c r="G827" t="s">
        <v>512</v>
      </c>
      <c r="H827">
        <v>2018169</v>
      </c>
      <c r="I827" t="s">
        <v>19</v>
      </c>
      <c r="J827" t="s">
        <v>20</v>
      </c>
      <c r="K827" t="s">
        <v>25</v>
      </c>
      <c r="L827">
        <v>11.13</v>
      </c>
      <c r="M827">
        <v>1.31</v>
      </c>
      <c r="N827">
        <v>0</v>
      </c>
      <c r="O827">
        <v>29.74</v>
      </c>
      <c r="P827">
        <v>42.1751</v>
      </c>
    </row>
    <row r="828" spans="1:16" hidden="1" x14ac:dyDescent="0.25">
      <c r="A828" s="22">
        <v>43346</v>
      </c>
      <c r="B828" t="s">
        <v>397</v>
      </c>
      <c r="C828" t="s">
        <v>17</v>
      </c>
      <c r="D828">
        <v>250</v>
      </c>
      <c r="E828">
        <v>294.39999999999998</v>
      </c>
      <c r="F828">
        <v>73599.25</v>
      </c>
      <c r="G828" t="s">
        <v>513</v>
      </c>
      <c r="H828">
        <v>2018168</v>
      </c>
      <c r="I828" t="s">
        <v>19</v>
      </c>
      <c r="J828" t="s">
        <v>1526</v>
      </c>
      <c r="K828" t="s">
        <v>25</v>
      </c>
      <c r="L828">
        <v>0</v>
      </c>
      <c r="M828">
        <v>2.21</v>
      </c>
      <c r="N828">
        <v>0</v>
      </c>
      <c r="O828">
        <v>43.82</v>
      </c>
      <c r="P828">
        <v>46.027900000000002</v>
      </c>
    </row>
    <row r="829" spans="1:16" hidden="1" x14ac:dyDescent="0.25">
      <c r="A829" s="22">
        <v>43346</v>
      </c>
      <c r="B829" t="s">
        <v>397</v>
      </c>
      <c r="C829" t="s">
        <v>23</v>
      </c>
      <c r="D829">
        <v>250</v>
      </c>
      <c r="E829">
        <v>294.42</v>
      </c>
      <c r="F829">
        <v>73606.149999999994</v>
      </c>
      <c r="G829" t="s">
        <v>514</v>
      </c>
      <c r="H829">
        <v>2018168</v>
      </c>
      <c r="I829" t="s">
        <v>19</v>
      </c>
      <c r="J829" t="s">
        <v>1526</v>
      </c>
      <c r="K829" t="s">
        <v>25</v>
      </c>
      <c r="L829">
        <v>17.989999999999998</v>
      </c>
      <c r="M829">
        <v>2.21</v>
      </c>
      <c r="N829">
        <v>5.0999999999999996</v>
      </c>
      <c r="O829">
        <v>43.83</v>
      </c>
      <c r="P829">
        <v>69.128100000000003</v>
      </c>
    </row>
    <row r="830" spans="1:16" hidden="1" x14ac:dyDescent="0.25">
      <c r="A830" s="22">
        <v>43346</v>
      </c>
      <c r="B830" t="s">
        <v>397</v>
      </c>
      <c r="C830" t="s">
        <v>17</v>
      </c>
      <c r="D830">
        <v>60</v>
      </c>
      <c r="E830">
        <v>295</v>
      </c>
      <c r="F830">
        <v>17700</v>
      </c>
      <c r="G830" t="s">
        <v>515</v>
      </c>
      <c r="H830">
        <v>2018168</v>
      </c>
      <c r="I830" t="s">
        <v>19</v>
      </c>
      <c r="J830" t="s">
        <v>1526</v>
      </c>
      <c r="K830" t="s">
        <v>25</v>
      </c>
      <c r="L830">
        <v>16.79</v>
      </c>
      <c r="M830">
        <v>0.53</v>
      </c>
      <c r="N830">
        <v>0</v>
      </c>
      <c r="O830">
        <v>135.33000000000001</v>
      </c>
      <c r="P830">
        <v>152.65090000000001</v>
      </c>
    </row>
    <row r="831" spans="1:16" hidden="1" x14ac:dyDescent="0.25">
      <c r="A831" s="22">
        <v>43346</v>
      </c>
      <c r="B831" t="s">
        <v>397</v>
      </c>
      <c r="C831" t="s">
        <v>23</v>
      </c>
      <c r="D831">
        <v>3</v>
      </c>
      <c r="E831">
        <v>299.25</v>
      </c>
      <c r="F831">
        <v>897.75</v>
      </c>
      <c r="G831" t="s">
        <v>516</v>
      </c>
      <c r="H831">
        <v>2018168</v>
      </c>
      <c r="I831" t="s">
        <v>19</v>
      </c>
      <c r="J831" t="s">
        <v>1526</v>
      </c>
      <c r="K831" t="s">
        <v>25</v>
      </c>
      <c r="L831">
        <v>0.22</v>
      </c>
      <c r="M831">
        <v>0.03</v>
      </c>
      <c r="N831">
        <v>0</v>
      </c>
      <c r="O831">
        <v>26.49</v>
      </c>
      <c r="P831">
        <v>26.736899999999999</v>
      </c>
    </row>
    <row r="832" spans="1:16" hidden="1" x14ac:dyDescent="0.25">
      <c r="A832" s="22">
        <v>43343</v>
      </c>
      <c r="B832" t="s">
        <v>397</v>
      </c>
      <c r="C832" t="s">
        <v>17</v>
      </c>
      <c r="D832">
        <v>100</v>
      </c>
      <c r="E832">
        <v>296.17</v>
      </c>
      <c r="F832">
        <v>29617</v>
      </c>
      <c r="G832" t="s">
        <v>517</v>
      </c>
      <c r="H832">
        <v>2018167</v>
      </c>
      <c r="I832" t="s">
        <v>19</v>
      </c>
      <c r="J832" t="s">
        <v>20</v>
      </c>
      <c r="K832" t="s">
        <v>25</v>
      </c>
      <c r="L832">
        <v>0</v>
      </c>
      <c r="M832">
        <v>0.89</v>
      </c>
      <c r="N832">
        <v>3.6</v>
      </c>
      <c r="O832">
        <v>29.67</v>
      </c>
      <c r="P832">
        <v>34.158299999999997</v>
      </c>
    </row>
    <row r="833" spans="1:16" hidden="1" x14ac:dyDescent="0.25">
      <c r="A833" s="22">
        <v>43343</v>
      </c>
      <c r="B833" t="s">
        <v>397</v>
      </c>
      <c r="C833" t="s">
        <v>17</v>
      </c>
      <c r="D833">
        <v>100</v>
      </c>
      <c r="E833">
        <v>292</v>
      </c>
      <c r="F833">
        <v>29200</v>
      </c>
      <c r="G833" t="s">
        <v>518</v>
      </c>
      <c r="H833">
        <v>2018167</v>
      </c>
      <c r="I833" t="s">
        <v>19</v>
      </c>
      <c r="J833" t="s">
        <v>20</v>
      </c>
      <c r="K833" t="s">
        <v>25</v>
      </c>
      <c r="L833">
        <v>0</v>
      </c>
      <c r="M833">
        <v>0.88</v>
      </c>
      <c r="N833">
        <v>0</v>
      </c>
      <c r="O833">
        <v>29.66</v>
      </c>
      <c r="P833">
        <v>30.536000000000001</v>
      </c>
    </row>
    <row r="834" spans="1:16" hidden="1" x14ac:dyDescent="0.25">
      <c r="A834" s="22">
        <v>43343</v>
      </c>
      <c r="B834" t="s">
        <v>397</v>
      </c>
      <c r="C834" t="s">
        <v>23</v>
      </c>
      <c r="D834">
        <v>200</v>
      </c>
      <c r="E834">
        <v>292.52</v>
      </c>
      <c r="F834">
        <v>58504.95</v>
      </c>
      <c r="G834" t="s">
        <v>519</v>
      </c>
      <c r="H834">
        <v>2018167</v>
      </c>
      <c r="I834" t="s">
        <v>19</v>
      </c>
      <c r="J834" t="s">
        <v>20</v>
      </c>
      <c r="K834" t="s">
        <v>25</v>
      </c>
      <c r="L834">
        <v>15</v>
      </c>
      <c r="M834">
        <v>1.76</v>
      </c>
      <c r="N834">
        <v>0</v>
      </c>
      <c r="O834">
        <v>34.83</v>
      </c>
      <c r="P834">
        <v>51.585099999999997</v>
      </c>
    </row>
    <row r="835" spans="1:16" hidden="1" x14ac:dyDescent="0.25">
      <c r="A835" s="22">
        <v>43341</v>
      </c>
      <c r="B835" t="s">
        <v>397</v>
      </c>
      <c r="C835" t="s">
        <v>17</v>
      </c>
      <c r="D835">
        <v>50</v>
      </c>
      <c r="E835">
        <v>295.91000000000003</v>
      </c>
      <c r="F835">
        <v>14795.65</v>
      </c>
      <c r="G835" t="s">
        <v>520</v>
      </c>
      <c r="H835">
        <v>2018165</v>
      </c>
      <c r="I835" t="s">
        <v>19</v>
      </c>
      <c r="J835" t="s">
        <v>20</v>
      </c>
      <c r="K835" t="s">
        <v>25</v>
      </c>
      <c r="L835">
        <v>0</v>
      </c>
      <c r="M835">
        <v>0.44</v>
      </c>
      <c r="N835">
        <v>0.9</v>
      </c>
      <c r="O835">
        <v>29.58</v>
      </c>
      <c r="P835">
        <v>30.9238</v>
      </c>
    </row>
    <row r="836" spans="1:16" hidden="1" x14ac:dyDescent="0.25">
      <c r="A836" s="22">
        <v>43341</v>
      </c>
      <c r="B836" t="s">
        <v>397</v>
      </c>
      <c r="C836" t="s">
        <v>23</v>
      </c>
      <c r="D836">
        <v>50</v>
      </c>
      <c r="E836">
        <v>296.95999999999998</v>
      </c>
      <c r="F836">
        <v>14847.85</v>
      </c>
      <c r="G836" t="s">
        <v>521</v>
      </c>
      <c r="H836">
        <v>2018165</v>
      </c>
      <c r="I836" t="s">
        <v>19</v>
      </c>
      <c r="J836" t="s">
        <v>20</v>
      </c>
      <c r="K836" t="s">
        <v>25</v>
      </c>
      <c r="L836">
        <v>4</v>
      </c>
      <c r="M836">
        <v>0.45</v>
      </c>
      <c r="N836">
        <v>0</v>
      </c>
      <c r="O836">
        <v>29.58</v>
      </c>
      <c r="P836">
        <v>34.025500000000001</v>
      </c>
    </row>
    <row r="837" spans="1:16" hidden="1" x14ac:dyDescent="0.25">
      <c r="A837" s="22">
        <v>43340</v>
      </c>
      <c r="B837" t="s">
        <v>433</v>
      </c>
      <c r="C837" t="s">
        <v>17</v>
      </c>
      <c r="D837">
        <v>1000</v>
      </c>
      <c r="E837">
        <v>18.8</v>
      </c>
      <c r="F837">
        <v>18800</v>
      </c>
      <c r="G837" t="s">
        <v>522</v>
      </c>
      <c r="H837">
        <v>2018164</v>
      </c>
      <c r="I837" t="s">
        <v>19</v>
      </c>
      <c r="J837" t="s">
        <v>1526</v>
      </c>
      <c r="K837" t="s">
        <v>25</v>
      </c>
      <c r="L837">
        <v>0</v>
      </c>
      <c r="M837">
        <v>0.56000000000000005</v>
      </c>
      <c r="N837">
        <v>0</v>
      </c>
      <c r="O837">
        <v>122.11</v>
      </c>
      <c r="P837">
        <v>122.67400000000001</v>
      </c>
    </row>
    <row r="838" spans="1:16" hidden="1" x14ac:dyDescent="0.25">
      <c r="A838" s="22">
        <v>43340</v>
      </c>
      <c r="B838" t="s">
        <v>321</v>
      </c>
      <c r="C838" t="s">
        <v>17</v>
      </c>
      <c r="D838">
        <v>15</v>
      </c>
      <c r="E838">
        <v>257.55</v>
      </c>
      <c r="F838">
        <v>3863.25</v>
      </c>
      <c r="G838" t="s">
        <v>523</v>
      </c>
      <c r="H838">
        <v>2018164</v>
      </c>
      <c r="I838" t="s">
        <v>19</v>
      </c>
      <c r="J838" t="s">
        <v>20</v>
      </c>
      <c r="K838" t="s">
        <v>25</v>
      </c>
      <c r="L838">
        <v>3.86</v>
      </c>
      <c r="M838">
        <v>0.12</v>
      </c>
      <c r="N838">
        <v>0</v>
      </c>
      <c r="O838">
        <v>41.32</v>
      </c>
      <c r="P838">
        <v>45.295900000000003</v>
      </c>
    </row>
    <row r="839" spans="1:16" hidden="1" x14ac:dyDescent="0.25">
      <c r="A839" s="22">
        <v>43340</v>
      </c>
      <c r="B839" t="s">
        <v>433</v>
      </c>
      <c r="C839" t="s">
        <v>23</v>
      </c>
      <c r="D839">
        <v>5000</v>
      </c>
      <c r="E839">
        <v>18.399999999999999</v>
      </c>
      <c r="F839">
        <v>92000</v>
      </c>
      <c r="G839" t="s">
        <v>524</v>
      </c>
      <c r="H839">
        <v>2018164</v>
      </c>
      <c r="I839" t="s">
        <v>19</v>
      </c>
      <c r="J839" t="s">
        <v>1526</v>
      </c>
      <c r="K839" t="s">
        <v>25</v>
      </c>
      <c r="L839">
        <v>78.14</v>
      </c>
      <c r="M839">
        <v>2.76</v>
      </c>
      <c r="N839">
        <v>3.6</v>
      </c>
      <c r="O839">
        <v>478.16</v>
      </c>
      <c r="P839">
        <v>562.65989999999999</v>
      </c>
    </row>
    <row r="840" spans="1:16" hidden="1" x14ac:dyDescent="0.25">
      <c r="A840" s="22">
        <v>43339</v>
      </c>
      <c r="B840" t="s">
        <v>179</v>
      </c>
      <c r="C840" t="s">
        <v>17</v>
      </c>
      <c r="D840">
        <v>100</v>
      </c>
      <c r="E840">
        <v>50</v>
      </c>
      <c r="F840">
        <v>5000</v>
      </c>
      <c r="G840" t="s">
        <v>525</v>
      </c>
      <c r="H840">
        <v>2018163</v>
      </c>
      <c r="I840" t="s">
        <v>19</v>
      </c>
      <c r="J840" t="s">
        <v>20</v>
      </c>
      <c r="K840" t="s">
        <v>25</v>
      </c>
      <c r="L840">
        <v>5</v>
      </c>
      <c r="M840">
        <v>0.15</v>
      </c>
      <c r="N840">
        <v>0</v>
      </c>
      <c r="O840">
        <v>41.33</v>
      </c>
      <c r="P840">
        <v>46.48</v>
      </c>
    </row>
    <row r="841" spans="1:16" hidden="1" x14ac:dyDescent="0.25">
      <c r="A841" s="22">
        <v>43339</v>
      </c>
      <c r="B841" t="s">
        <v>397</v>
      </c>
      <c r="C841" t="s">
        <v>17</v>
      </c>
      <c r="D841">
        <v>100</v>
      </c>
      <c r="E841">
        <v>295</v>
      </c>
      <c r="F841">
        <v>29500</v>
      </c>
      <c r="G841" t="s">
        <v>526</v>
      </c>
      <c r="H841">
        <v>2018163</v>
      </c>
      <c r="I841" t="s">
        <v>19</v>
      </c>
      <c r="J841" t="s">
        <v>20</v>
      </c>
      <c r="K841" t="s">
        <v>25</v>
      </c>
      <c r="L841">
        <v>0</v>
      </c>
      <c r="M841">
        <v>0.89</v>
      </c>
      <c r="N841">
        <v>0</v>
      </c>
      <c r="O841">
        <v>29.66</v>
      </c>
      <c r="P841">
        <v>30.545100000000001</v>
      </c>
    </row>
    <row r="842" spans="1:16" hidden="1" x14ac:dyDescent="0.25">
      <c r="A842" s="22">
        <v>43339</v>
      </c>
      <c r="B842" t="s">
        <v>397</v>
      </c>
      <c r="C842" t="s">
        <v>17</v>
      </c>
      <c r="D842">
        <v>150</v>
      </c>
      <c r="E842">
        <v>292.89999999999998</v>
      </c>
      <c r="F842">
        <v>43935</v>
      </c>
      <c r="G842" t="s">
        <v>527</v>
      </c>
      <c r="H842">
        <v>2018163</v>
      </c>
      <c r="I842" t="s">
        <v>19</v>
      </c>
      <c r="J842" t="s">
        <v>20</v>
      </c>
      <c r="K842" t="s">
        <v>25</v>
      </c>
      <c r="L842">
        <v>0</v>
      </c>
      <c r="M842">
        <v>1.32</v>
      </c>
      <c r="N842">
        <v>5.4</v>
      </c>
      <c r="O842">
        <v>29.74</v>
      </c>
      <c r="P842">
        <v>36.457999999999998</v>
      </c>
    </row>
    <row r="843" spans="1:16" hidden="1" x14ac:dyDescent="0.25">
      <c r="A843" s="22">
        <v>43339</v>
      </c>
      <c r="B843" t="s">
        <v>397</v>
      </c>
      <c r="C843" t="s">
        <v>23</v>
      </c>
      <c r="D843">
        <v>250</v>
      </c>
      <c r="E843">
        <v>292.33</v>
      </c>
      <c r="F843">
        <v>73083.600000000006</v>
      </c>
      <c r="G843" t="s">
        <v>528</v>
      </c>
      <c r="H843">
        <v>2018163</v>
      </c>
      <c r="I843" t="s">
        <v>19</v>
      </c>
      <c r="J843" t="s">
        <v>20</v>
      </c>
      <c r="K843" t="s">
        <v>25</v>
      </c>
      <c r="L843">
        <v>18.46</v>
      </c>
      <c r="M843">
        <v>2.19</v>
      </c>
      <c r="N843">
        <v>0</v>
      </c>
      <c r="O843">
        <v>43.52</v>
      </c>
      <c r="P843">
        <v>64.172399999999996</v>
      </c>
    </row>
    <row r="844" spans="1:16" hidden="1" x14ac:dyDescent="0.25">
      <c r="A844" s="22">
        <v>43339</v>
      </c>
      <c r="B844" t="s">
        <v>26</v>
      </c>
      <c r="C844" t="s">
        <v>17</v>
      </c>
      <c r="D844">
        <v>100</v>
      </c>
      <c r="E844">
        <v>101.8</v>
      </c>
      <c r="F844">
        <v>10180</v>
      </c>
      <c r="G844" t="s">
        <v>529</v>
      </c>
      <c r="H844">
        <v>2018163</v>
      </c>
      <c r="I844" t="s">
        <v>19</v>
      </c>
      <c r="J844" t="s">
        <v>20</v>
      </c>
      <c r="K844" t="s">
        <v>25</v>
      </c>
      <c r="L844">
        <v>0</v>
      </c>
      <c r="M844">
        <v>0.31</v>
      </c>
      <c r="N844">
        <v>0</v>
      </c>
      <c r="O844">
        <v>29.56</v>
      </c>
      <c r="P844">
        <v>29.865400000000001</v>
      </c>
    </row>
    <row r="845" spans="1:16" hidden="1" x14ac:dyDescent="0.25">
      <c r="A845" s="22">
        <v>43339</v>
      </c>
      <c r="B845" t="s">
        <v>26</v>
      </c>
      <c r="C845" t="s">
        <v>23</v>
      </c>
      <c r="D845">
        <v>100</v>
      </c>
      <c r="E845">
        <v>101.5</v>
      </c>
      <c r="F845">
        <v>10150</v>
      </c>
      <c r="G845" t="s">
        <v>530</v>
      </c>
      <c r="H845">
        <v>2018163</v>
      </c>
      <c r="I845" t="s">
        <v>19</v>
      </c>
      <c r="J845" t="s">
        <v>20</v>
      </c>
      <c r="K845" t="s">
        <v>25</v>
      </c>
      <c r="L845">
        <v>2.54</v>
      </c>
      <c r="M845">
        <v>0.3</v>
      </c>
      <c r="N845">
        <v>0</v>
      </c>
      <c r="O845">
        <v>29.56</v>
      </c>
      <c r="P845">
        <v>32.404499999999999</v>
      </c>
    </row>
    <row r="846" spans="1:16" hidden="1" x14ac:dyDescent="0.25">
      <c r="A846" s="22">
        <v>43333</v>
      </c>
      <c r="B846" t="s">
        <v>433</v>
      </c>
      <c r="C846" t="s">
        <v>17</v>
      </c>
      <c r="D846">
        <v>5000</v>
      </c>
      <c r="E846">
        <v>19.25</v>
      </c>
      <c r="F846">
        <v>96250</v>
      </c>
      <c r="G846" t="s">
        <v>531</v>
      </c>
      <c r="H846">
        <v>2018160</v>
      </c>
      <c r="I846" t="s">
        <v>19</v>
      </c>
      <c r="J846" t="s">
        <v>1526</v>
      </c>
      <c r="K846" t="s">
        <v>25</v>
      </c>
      <c r="L846">
        <v>96.25</v>
      </c>
      <c r="M846">
        <v>2.89</v>
      </c>
      <c r="N846">
        <v>0</v>
      </c>
      <c r="O846">
        <v>625.17999999999995</v>
      </c>
      <c r="P846">
        <v>724.3175</v>
      </c>
    </row>
    <row r="847" spans="1:16" hidden="1" x14ac:dyDescent="0.25">
      <c r="A847" s="22">
        <v>43333</v>
      </c>
      <c r="B847" t="s">
        <v>16</v>
      </c>
      <c r="C847" t="s">
        <v>17</v>
      </c>
      <c r="D847">
        <v>1000</v>
      </c>
      <c r="E847">
        <v>57</v>
      </c>
      <c r="F847">
        <v>57000</v>
      </c>
      <c r="G847" t="s">
        <v>532</v>
      </c>
      <c r="H847">
        <v>2018160</v>
      </c>
      <c r="I847" t="s">
        <v>19</v>
      </c>
      <c r="J847" t="s">
        <v>20</v>
      </c>
      <c r="K847" t="s">
        <v>25</v>
      </c>
      <c r="L847">
        <v>0</v>
      </c>
      <c r="M847">
        <v>1.71</v>
      </c>
      <c r="N847">
        <v>0</v>
      </c>
      <c r="O847">
        <v>33.950000000000003</v>
      </c>
      <c r="P847">
        <v>35.659999999999997</v>
      </c>
    </row>
    <row r="848" spans="1:16" hidden="1" x14ac:dyDescent="0.25">
      <c r="A848" s="22">
        <v>43333</v>
      </c>
      <c r="B848" t="s">
        <v>16</v>
      </c>
      <c r="C848" t="s">
        <v>23</v>
      </c>
      <c r="D848">
        <v>1000</v>
      </c>
      <c r="E848">
        <v>58.1</v>
      </c>
      <c r="F848">
        <v>58100</v>
      </c>
      <c r="G848" t="s">
        <v>533</v>
      </c>
      <c r="H848">
        <v>2018160</v>
      </c>
      <c r="I848" t="s">
        <v>19</v>
      </c>
      <c r="J848" t="s">
        <v>20</v>
      </c>
      <c r="K848" t="s">
        <v>25</v>
      </c>
      <c r="L848">
        <v>14.39</v>
      </c>
      <c r="M848">
        <v>1.74</v>
      </c>
      <c r="N848">
        <v>0</v>
      </c>
      <c r="O848">
        <v>34.590000000000003</v>
      </c>
      <c r="P848">
        <v>50.723100000000002</v>
      </c>
    </row>
    <row r="849" spans="1:16" hidden="1" x14ac:dyDescent="0.25">
      <c r="A849" s="22">
        <v>43333</v>
      </c>
      <c r="B849" t="s">
        <v>397</v>
      </c>
      <c r="C849" t="s">
        <v>17</v>
      </c>
      <c r="D849">
        <v>100</v>
      </c>
      <c r="E849">
        <v>300</v>
      </c>
      <c r="F849">
        <v>30000</v>
      </c>
      <c r="G849" t="s">
        <v>534</v>
      </c>
      <c r="H849">
        <v>2018160</v>
      </c>
      <c r="I849" t="s">
        <v>19</v>
      </c>
      <c r="J849" t="s">
        <v>20</v>
      </c>
      <c r="K849" t="s">
        <v>25</v>
      </c>
      <c r="L849">
        <v>0</v>
      </c>
      <c r="M849">
        <v>0.9</v>
      </c>
      <c r="N849">
        <v>8.4</v>
      </c>
      <c r="O849">
        <v>29.66</v>
      </c>
      <c r="P849">
        <v>38.96</v>
      </c>
    </row>
    <row r="850" spans="1:16" hidden="1" x14ac:dyDescent="0.25">
      <c r="A850" s="22">
        <v>43333</v>
      </c>
      <c r="B850" t="s">
        <v>397</v>
      </c>
      <c r="C850" t="s">
        <v>23</v>
      </c>
      <c r="D850">
        <v>100</v>
      </c>
      <c r="E850">
        <v>299</v>
      </c>
      <c r="F850">
        <v>29900</v>
      </c>
      <c r="G850" t="s">
        <v>535</v>
      </c>
      <c r="H850">
        <v>2018160</v>
      </c>
      <c r="I850" t="s">
        <v>19</v>
      </c>
      <c r="J850" t="s">
        <v>20</v>
      </c>
      <c r="K850" t="s">
        <v>25</v>
      </c>
      <c r="L850">
        <v>7.36</v>
      </c>
      <c r="M850">
        <v>0.9</v>
      </c>
      <c r="N850">
        <v>0</v>
      </c>
      <c r="O850">
        <v>29.66</v>
      </c>
      <c r="P850">
        <v>37.917099999999998</v>
      </c>
    </row>
    <row r="851" spans="1:16" hidden="1" x14ac:dyDescent="0.25">
      <c r="A851" s="22">
        <v>43332</v>
      </c>
      <c r="B851" t="s">
        <v>433</v>
      </c>
      <c r="C851" t="s">
        <v>17</v>
      </c>
      <c r="D851">
        <v>1500</v>
      </c>
      <c r="E851">
        <v>19.5</v>
      </c>
      <c r="F851">
        <v>29250</v>
      </c>
      <c r="G851" t="s">
        <v>536</v>
      </c>
      <c r="H851">
        <v>2018159</v>
      </c>
      <c r="I851" t="s">
        <v>19</v>
      </c>
      <c r="J851" t="s">
        <v>20</v>
      </c>
      <c r="K851" t="s">
        <v>25</v>
      </c>
      <c r="L851">
        <v>0</v>
      </c>
      <c r="M851">
        <v>0.88</v>
      </c>
      <c r="N851">
        <v>0</v>
      </c>
      <c r="O851">
        <v>92.94</v>
      </c>
      <c r="P851">
        <v>93.817599999999999</v>
      </c>
    </row>
    <row r="852" spans="1:16" hidden="1" x14ac:dyDescent="0.25">
      <c r="A852" s="22">
        <v>43332</v>
      </c>
      <c r="B852" t="s">
        <v>433</v>
      </c>
      <c r="C852" t="s">
        <v>23</v>
      </c>
      <c r="D852">
        <v>1500</v>
      </c>
      <c r="E852">
        <v>19.75</v>
      </c>
      <c r="F852">
        <v>29625</v>
      </c>
      <c r="G852" t="s">
        <v>537</v>
      </c>
      <c r="H852">
        <v>2018159</v>
      </c>
      <c r="I852" t="s">
        <v>19</v>
      </c>
      <c r="J852" t="s">
        <v>20</v>
      </c>
      <c r="K852" t="s">
        <v>25</v>
      </c>
      <c r="L852">
        <v>6.81</v>
      </c>
      <c r="M852">
        <v>0.89</v>
      </c>
      <c r="N852">
        <v>12.3</v>
      </c>
      <c r="O852">
        <v>29.66</v>
      </c>
      <c r="P852">
        <v>49.658700000000003</v>
      </c>
    </row>
    <row r="853" spans="1:16" hidden="1" x14ac:dyDescent="0.25">
      <c r="A853" s="22">
        <v>43332</v>
      </c>
      <c r="B853" t="s">
        <v>433</v>
      </c>
      <c r="C853" t="s">
        <v>17</v>
      </c>
      <c r="D853">
        <v>1000</v>
      </c>
      <c r="E853">
        <v>19.45</v>
      </c>
      <c r="F853">
        <v>19450</v>
      </c>
      <c r="G853" t="s">
        <v>538</v>
      </c>
      <c r="H853">
        <v>2018159</v>
      </c>
      <c r="I853" t="s">
        <v>19</v>
      </c>
      <c r="J853" t="s">
        <v>20</v>
      </c>
      <c r="K853" t="s">
        <v>25</v>
      </c>
      <c r="L853">
        <v>0</v>
      </c>
      <c r="M853">
        <v>0.57999999999999996</v>
      </c>
      <c r="N853">
        <v>0</v>
      </c>
      <c r="O853">
        <v>29.61</v>
      </c>
      <c r="P853">
        <v>30.1935</v>
      </c>
    </row>
    <row r="854" spans="1:16" hidden="1" x14ac:dyDescent="0.25">
      <c r="A854" s="22">
        <v>43332</v>
      </c>
      <c r="B854" t="s">
        <v>433</v>
      </c>
      <c r="C854" t="s">
        <v>17</v>
      </c>
      <c r="D854">
        <v>2500</v>
      </c>
      <c r="E854">
        <v>19.5</v>
      </c>
      <c r="F854">
        <v>48750</v>
      </c>
      <c r="G854" t="s">
        <v>539</v>
      </c>
      <c r="H854">
        <v>2018159</v>
      </c>
      <c r="I854" t="s">
        <v>19</v>
      </c>
      <c r="J854" t="s">
        <v>20</v>
      </c>
      <c r="K854" t="s">
        <v>25</v>
      </c>
      <c r="L854">
        <v>0</v>
      </c>
      <c r="M854">
        <v>1.46</v>
      </c>
      <c r="N854">
        <v>0</v>
      </c>
      <c r="O854">
        <v>29.77</v>
      </c>
      <c r="P854">
        <v>31.232399999999998</v>
      </c>
    </row>
    <row r="855" spans="1:16" hidden="1" x14ac:dyDescent="0.25">
      <c r="A855" s="22">
        <v>43332</v>
      </c>
      <c r="B855" t="s">
        <v>397</v>
      </c>
      <c r="C855" t="s">
        <v>23</v>
      </c>
      <c r="D855">
        <v>100</v>
      </c>
      <c r="E855">
        <v>309.39999999999998</v>
      </c>
      <c r="F855">
        <v>30940</v>
      </c>
      <c r="G855" t="s">
        <v>540</v>
      </c>
      <c r="H855">
        <v>2018159</v>
      </c>
      <c r="I855" t="s">
        <v>19</v>
      </c>
      <c r="J855" t="s">
        <v>20</v>
      </c>
      <c r="K855" t="s">
        <v>25</v>
      </c>
      <c r="L855">
        <v>30.94</v>
      </c>
      <c r="M855">
        <v>0.93</v>
      </c>
      <c r="N855">
        <v>0</v>
      </c>
      <c r="O855">
        <v>200.97</v>
      </c>
      <c r="P855">
        <v>232.8382</v>
      </c>
    </row>
    <row r="856" spans="1:16" hidden="1" x14ac:dyDescent="0.25">
      <c r="A856" s="22">
        <v>43332</v>
      </c>
      <c r="B856" t="s">
        <v>433</v>
      </c>
      <c r="C856" t="s">
        <v>17</v>
      </c>
      <c r="D856">
        <v>5000</v>
      </c>
      <c r="E856">
        <v>19.05</v>
      </c>
      <c r="F856">
        <v>95250</v>
      </c>
      <c r="G856" t="s">
        <v>541</v>
      </c>
      <c r="H856">
        <v>2018159</v>
      </c>
      <c r="I856" t="s">
        <v>19</v>
      </c>
      <c r="J856" t="s">
        <v>20</v>
      </c>
      <c r="K856" t="s">
        <v>25</v>
      </c>
      <c r="L856">
        <v>9.65</v>
      </c>
      <c r="M856">
        <v>2.86</v>
      </c>
      <c r="N856">
        <v>0</v>
      </c>
      <c r="O856">
        <v>56.71</v>
      </c>
      <c r="P856">
        <v>69.217500000000001</v>
      </c>
    </row>
    <row r="857" spans="1:16" hidden="1" x14ac:dyDescent="0.25">
      <c r="A857" s="22">
        <v>43332</v>
      </c>
      <c r="B857" t="s">
        <v>433</v>
      </c>
      <c r="C857" t="s">
        <v>23</v>
      </c>
      <c r="D857">
        <v>8000</v>
      </c>
      <c r="E857">
        <v>19.25</v>
      </c>
      <c r="F857">
        <v>154000</v>
      </c>
      <c r="G857" t="s">
        <v>542</v>
      </c>
      <c r="H857">
        <v>2018159</v>
      </c>
      <c r="I857" t="s">
        <v>19</v>
      </c>
      <c r="J857" t="s">
        <v>20</v>
      </c>
      <c r="K857" t="s">
        <v>25</v>
      </c>
      <c r="L857">
        <v>38.6</v>
      </c>
      <c r="M857">
        <v>4.62</v>
      </c>
      <c r="N857">
        <v>0</v>
      </c>
      <c r="O857">
        <v>91.69</v>
      </c>
      <c r="P857">
        <v>134.91</v>
      </c>
    </row>
    <row r="858" spans="1:16" hidden="1" x14ac:dyDescent="0.25">
      <c r="A858" s="22">
        <v>43328</v>
      </c>
      <c r="B858" t="s">
        <v>433</v>
      </c>
      <c r="C858" t="s">
        <v>23</v>
      </c>
      <c r="D858">
        <v>2250</v>
      </c>
      <c r="E858">
        <v>21</v>
      </c>
      <c r="F858">
        <v>47250</v>
      </c>
      <c r="G858" t="s">
        <v>543</v>
      </c>
      <c r="H858">
        <v>2018157</v>
      </c>
      <c r="I858" t="s">
        <v>19</v>
      </c>
      <c r="J858" t="s">
        <v>1526</v>
      </c>
      <c r="K858" t="s">
        <v>25</v>
      </c>
      <c r="L858">
        <v>47.25</v>
      </c>
      <c r="M858">
        <v>1.42</v>
      </c>
      <c r="N858">
        <v>0</v>
      </c>
      <c r="O858">
        <v>306.91000000000003</v>
      </c>
      <c r="P858">
        <v>355.57749999999999</v>
      </c>
    </row>
    <row r="859" spans="1:16" hidden="1" x14ac:dyDescent="0.25">
      <c r="A859" s="22">
        <v>43328</v>
      </c>
      <c r="B859" t="s">
        <v>16</v>
      </c>
      <c r="C859" t="s">
        <v>23</v>
      </c>
      <c r="D859">
        <v>1900</v>
      </c>
      <c r="E859">
        <v>58</v>
      </c>
      <c r="F859">
        <v>110200</v>
      </c>
      <c r="G859" t="s">
        <v>544</v>
      </c>
      <c r="H859">
        <v>2018157</v>
      </c>
      <c r="I859" t="s">
        <v>19</v>
      </c>
      <c r="J859" t="s">
        <v>1526</v>
      </c>
      <c r="K859" t="s">
        <v>25</v>
      </c>
      <c r="L859">
        <v>109.75</v>
      </c>
      <c r="M859">
        <v>3.31</v>
      </c>
      <c r="N859">
        <v>4.8</v>
      </c>
      <c r="O859">
        <v>715.79</v>
      </c>
      <c r="P859">
        <v>833.64599999999996</v>
      </c>
    </row>
    <row r="860" spans="1:16" hidden="1" x14ac:dyDescent="0.25">
      <c r="A860" s="22">
        <v>43326</v>
      </c>
      <c r="B860" t="s">
        <v>16</v>
      </c>
      <c r="C860" t="s">
        <v>17</v>
      </c>
      <c r="D860">
        <v>1500</v>
      </c>
      <c r="E860">
        <v>62.3</v>
      </c>
      <c r="F860">
        <v>93450</v>
      </c>
      <c r="G860" t="s">
        <v>545</v>
      </c>
      <c r="H860">
        <v>2018156</v>
      </c>
      <c r="I860" t="s">
        <v>19</v>
      </c>
      <c r="J860" t="s">
        <v>20</v>
      </c>
      <c r="K860" t="s">
        <v>25</v>
      </c>
      <c r="L860">
        <v>0</v>
      </c>
      <c r="M860">
        <v>2.8</v>
      </c>
      <c r="N860">
        <v>0</v>
      </c>
      <c r="O860">
        <v>55.64</v>
      </c>
      <c r="P860">
        <v>58.4435</v>
      </c>
    </row>
    <row r="861" spans="1:16" hidden="1" x14ac:dyDescent="0.25">
      <c r="A861" s="22">
        <v>43326</v>
      </c>
      <c r="B861" t="s">
        <v>16</v>
      </c>
      <c r="C861" t="s">
        <v>23</v>
      </c>
      <c r="D861">
        <v>1500</v>
      </c>
      <c r="E861">
        <v>60</v>
      </c>
      <c r="F861">
        <v>90000</v>
      </c>
      <c r="G861" t="s">
        <v>546</v>
      </c>
      <c r="H861">
        <v>2018156</v>
      </c>
      <c r="I861" t="s">
        <v>19</v>
      </c>
      <c r="J861" t="s">
        <v>20</v>
      </c>
      <c r="K861" t="s">
        <v>25</v>
      </c>
      <c r="L861">
        <v>23</v>
      </c>
      <c r="M861">
        <v>2.7</v>
      </c>
      <c r="N861">
        <v>5.7</v>
      </c>
      <c r="O861">
        <v>53.62</v>
      </c>
      <c r="P861">
        <v>85.020799999999994</v>
      </c>
    </row>
    <row r="862" spans="1:16" hidden="1" x14ac:dyDescent="0.25">
      <c r="A862" s="22">
        <v>43322</v>
      </c>
      <c r="B862" t="s">
        <v>256</v>
      </c>
      <c r="C862" t="s">
        <v>17</v>
      </c>
      <c r="D862">
        <v>500</v>
      </c>
      <c r="E862">
        <v>108.95</v>
      </c>
      <c r="F862">
        <v>54474.6</v>
      </c>
      <c r="G862" t="s">
        <v>547</v>
      </c>
      <c r="H862">
        <v>2018154</v>
      </c>
      <c r="I862" t="s">
        <v>19</v>
      </c>
      <c r="J862" t="s">
        <v>20</v>
      </c>
      <c r="K862" t="s">
        <v>25</v>
      </c>
      <c r="L862">
        <v>0</v>
      </c>
      <c r="M862">
        <v>1.63</v>
      </c>
      <c r="N862">
        <v>0</v>
      </c>
      <c r="O862">
        <v>32.43</v>
      </c>
      <c r="P862">
        <v>34.0642</v>
      </c>
    </row>
    <row r="863" spans="1:16" hidden="1" x14ac:dyDescent="0.25">
      <c r="A863" s="22">
        <v>43322</v>
      </c>
      <c r="B863" t="s">
        <v>256</v>
      </c>
      <c r="C863" t="s">
        <v>17</v>
      </c>
      <c r="D863">
        <v>1000</v>
      </c>
      <c r="E863">
        <v>107.15</v>
      </c>
      <c r="F863">
        <v>107150</v>
      </c>
      <c r="G863" t="s">
        <v>548</v>
      </c>
      <c r="H863">
        <v>2018154</v>
      </c>
      <c r="I863" t="s">
        <v>19</v>
      </c>
      <c r="J863" t="s">
        <v>20</v>
      </c>
      <c r="K863" t="s">
        <v>25</v>
      </c>
      <c r="L863">
        <v>0</v>
      </c>
      <c r="M863">
        <v>3.21</v>
      </c>
      <c r="N863">
        <v>0</v>
      </c>
      <c r="O863">
        <v>63.8</v>
      </c>
      <c r="P863">
        <v>67.014499999999998</v>
      </c>
    </row>
    <row r="864" spans="1:16" hidden="1" x14ac:dyDescent="0.25">
      <c r="A864" s="22">
        <v>43322</v>
      </c>
      <c r="B864" t="s">
        <v>256</v>
      </c>
      <c r="C864" t="s">
        <v>23</v>
      </c>
      <c r="D864">
        <v>1500</v>
      </c>
      <c r="E864">
        <v>107</v>
      </c>
      <c r="F864">
        <v>160500</v>
      </c>
      <c r="G864" t="s">
        <v>549</v>
      </c>
      <c r="H864">
        <v>2018154</v>
      </c>
      <c r="I864" t="s">
        <v>19</v>
      </c>
      <c r="J864" t="s">
        <v>20</v>
      </c>
      <c r="K864" t="s">
        <v>25</v>
      </c>
      <c r="L864">
        <v>40</v>
      </c>
      <c r="M864">
        <v>4.8099999999999996</v>
      </c>
      <c r="N864">
        <v>11.1</v>
      </c>
      <c r="O864">
        <v>95.56</v>
      </c>
      <c r="P864">
        <v>151.47489999999999</v>
      </c>
    </row>
    <row r="865" spans="1:16" hidden="1" x14ac:dyDescent="0.25">
      <c r="A865" s="22">
        <v>43322</v>
      </c>
      <c r="B865" t="s">
        <v>433</v>
      </c>
      <c r="C865" t="s">
        <v>17</v>
      </c>
      <c r="D865">
        <v>2250</v>
      </c>
      <c r="E865">
        <v>20</v>
      </c>
      <c r="F865">
        <v>45000</v>
      </c>
      <c r="G865" t="s">
        <v>550</v>
      </c>
      <c r="H865">
        <v>2018154</v>
      </c>
      <c r="I865" t="s">
        <v>19</v>
      </c>
      <c r="J865" t="s">
        <v>1526</v>
      </c>
      <c r="K865" t="s">
        <v>25</v>
      </c>
      <c r="L865">
        <v>45</v>
      </c>
      <c r="M865">
        <v>1.35</v>
      </c>
      <c r="N865">
        <v>0</v>
      </c>
      <c r="O865">
        <v>292.29000000000002</v>
      </c>
      <c r="P865">
        <v>338.64</v>
      </c>
    </row>
    <row r="866" spans="1:16" hidden="1" x14ac:dyDescent="0.25">
      <c r="A866" s="22">
        <v>43321</v>
      </c>
      <c r="B866" t="s">
        <v>16</v>
      </c>
      <c r="C866" t="s">
        <v>17</v>
      </c>
      <c r="D866">
        <v>1000</v>
      </c>
      <c r="E866">
        <v>64.75</v>
      </c>
      <c r="F866">
        <v>64750</v>
      </c>
      <c r="G866" t="s">
        <v>551</v>
      </c>
      <c r="H866">
        <v>2018153</v>
      </c>
      <c r="I866" t="s">
        <v>19</v>
      </c>
      <c r="J866" t="s">
        <v>1526</v>
      </c>
      <c r="K866" t="s">
        <v>25</v>
      </c>
      <c r="L866">
        <v>64.19</v>
      </c>
      <c r="M866">
        <v>1.94</v>
      </c>
      <c r="N866">
        <v>24.9</v>
      </c>
      <c r="O866">
        <v>420.6</v>
      </c>
      <c r="P866">
        <v>511.63260000000002</v>
      </c>
    </row>
    <row r="867" spans="1:16" hidden="1" x14ac:dyDescent="0.25">
      <c r="A867" s="22">
        <v>43321</v>
      </c>
      <c r="B867" t="s">
        <v>433</v>
      </c>
      <c r="C867" t="s">
        <v>17</v>
      </c>
      <c r="D867">
        <v>2250</v>
      </c>
      <c r="E867">
        <v>19.8</v>
      </c>
      <c r="F867">
        <v>44550</v>
      </c>
      <c r="G867" t="s">
        <v>552</v>
      </c>
      <c r="H867">
        <v>2018153</v>
      </c>
      <c r="I867" t="s">
        <v>19</v>
      </c>
      <c r="J867" t="s">
        <v>20</v>
      </c>
      <c r="K867" t="s">
        <v>25</v>
      </c>
      <c r="L867">
        <v>0</v>
      </c>
      <c r="M867">
        <v>1.34</v>
      </c>
      <c r="N867">
        <v>0</v>
      </c>
      <c r="O867">
        <v>29.74</v>
      </c>
      <c r="P867">
        <v>31.076499999999999</v>
      </c>
    </row>
    <row r="868" spans="1:16" hidden="1" x14ac:dyDescent="0.25">
      <c r="A868" s="22">
        <v>43321</v>
      </c>
      <c r="B868" t="s">
        <v>16</v>
      </c>
      <c r="C868" t="s">
        <v>17</v>
      </c>
      <c r="D868">
        <v>1000</v>
      </c>
      <c r="E868">
        <v>63.5</v>
      </c>
      <c r="F868">
        <v>63500</v>
      </c>
      <c r="G868" t="s">
        <v>553</v>
      </c>
      <c r="H868">
        <v>2018153</v>
      </c>
      <c r="I868" t="s">
        <v>19</v>
      </c>
      <c r="J868" t="s">
        <v>1526</v>
      </c>
      <c r="K868" t="s">
        <v>25</v>
      </c>
      <c r="L868">
        <v>64.13</v>
      </c>
      <c r="M868">
        <v>1.91</v>
      </c>
      <c r="N868">
        <v>0</v>
      </c>
      <c r="O868">
        <v>412.45</v>
      </c>
      <c r="P868">
        <v>478.48509999999999</v>
      </c>
    </row>
    <row r="869" spans="1:16" hidden="1" x14ac:dyDescent="0.25">
      <c r="A869" s="22">
        <v>43321</v>
      </c>
      <c r="B869" t="s">
        <v>433</v>
      </c>
      <c r="C869" t="s">
        <v>17</v>
      </c>
      <c r="D869">
        <v>5000</v>
      </c>
      <c r="E869">
        <v>19.5</v>
      </c>
      <c r="F869">
        <v>97500</v>
      </c>
      <c r="G869" t="s">
        <v>554</v>
      </c>
      <c r="H869">
        <v>2018153</v>
      </c>
      <c r="I869" t="s">
        <v>19</v>
      </c>
      <c r="J869" t="s">
        <v>20</v>
      </c>
      <c r="K869" t="s">
        <v>25</v>
      </c>
      <c r="L869">
        <v>0</v>
      </c>
      <c r="M869">
        <v>2.93</v>
      </c>
      <c r="N869">
        <v>0</v>
      </c>
      <c r="O869">
        <v>58.05</v>
      </c>
      <c r="P869">
        <v>60.975000000000001</v>
      </c>
    </row>
    <row r="870" spans="1:16" hidden="1" x14ac:dyDescent="0.25">
      <c r="A870" s="22">
        <v>43321</v>
      </c>
      <c r="B870" t="s">
        <v>433</v>
      </c>
      <c r="C870" t="s">
        <v>23</v>
      </c>
      <c r="D870">
        <v>5000</v>
      </c>
      <c r="E870">
        <v>19.75</v>
      </c>
      <c r="F870">
        <v>98750</v>
      </c>
      <c r="G870" t="s">
        <v>555</v>
      </c>
      <c r="H870">
        <v>2018153</v>
      </c>
      <c r="I870" t="s">
        <v>19</v>
      </c>
      <c r="J870" t="s">
        <v>20</v>
      </c>
      <c r="K870" t="s">
        <v>25</v>
      </c>
      <c r="L870">
        <v>24.85</v>
      </c>
      <c r="M870">
        <v>2.96</v>
      </c>
      <c r="N870">
        <v>0</v>
      </c>
      <c r="O870">
        <v>58.8</v>
      </c>
      <c r="P870">
        <v>86.612499999999997</v>
      </c>
    </row>
    <row r="871" spans="1:16" hidden="1" x14ac:dyDescent="0.25">
      <c r="A871" s="22">
        <v>43321</v>
      </c>
      <c r="B871" t="s">
        <v>26</v>
      </c>
      <c r="C871" t="s">
        <v>17</v>
      </c>
      <c r="D871">
        <v>500</v>
      </c>
      <c r="E871">
        <v>107.05</v>
      </c>
      <c r="F871">
        <v>53525</v>
      </c>
      <c r="G871" t="s">
        <v>556</v>
      </c>
      <c r="H871">
        <v>2018153</v>
      </c>
      <c r="I871" t="s">
        <v>19</v>
      </c>
      <c r="J871" t="s">
        <v>20</v>
      </c>
      <c r="K871" t="s">
        <v>25</v>
      </c>
      <c r="L871">
        <v>0</v>
      </c>
      <c r="M871">
        <v>1.61</v>
      </c>
      <c r="N871">
        <v>0</v>
      </c>
      <c r="O871">
        <v>31.87</v>
      </c>
      <c r="P871">
        <v>33.4758</v>
      </c>
    </row>
    <row r="872" spans="1:16" hidden="1" x14ac:dyDescent="0.25">
      <c r="A872" s="22">
        <v>43321</v>
      </c>
      <c r="B872" t="s">
        <v>26</v>
      </c>
      <c r="C872" t="s">
        <v>23</v>
      </c>
      <c r="D872">
        <v>500</v>
      </c>
      <c r="E872">
        <v>107</v>
      </c>
      <c r="F872">
        <v>53500</v>
      </c>
      <c r="G872" t="s">
        <v>557</v>
      </c>
      <c r="H872">
        <v>2018153</v>
      </c>
      <c r="I872" t="s">
        <v>19</v>
      </c>
      <c r="J872" t="s">
        <v>20</v>
      </c>
      <c r="K872" t="s">
        <v>25</v>
      </c>
      <c r="L872">
        <v>13.38</v>
      </c>
      <c r="M872">
        <v>1.61</v>
      </c>
      <c r="N872">
        <v>0</v>
      </c>
      <c r="O872">
        <v>31.85</v>
      </c>
      <c r="P872">
        <v>46.835000000000001</v>
      </c>
    </row>
    <row r="873" spans="1:16" hidden="1" x14ac:dyDescent="0.25">
      <c r="A873" s="22">
        <v>43321</v>
      </c>
      <c r="B873" t="s">
        <v>433</v>
      </c>
      <c r="C873" t="s">
        <v>17</v>
      </c>
      <c r="D873">
        <v>7500</v>
      </c>
      <c r="E873">
        <v>20.149999999999999</v>
      </c>
      <c r="F873">
        <v>151125</v>
      </c>
      <c r="G873" t="s">
        <v>558</v>
      </c>
      <c r="H873">
        <v>2018153</v>
      </c>
      <c r="I873" t="s">
        <v>19</v>
      </c>
      <c r="J873" t="s">
        <v>20</v>
      </c>
      <c r="K873" t="s">
        <v>25</v>
      </c>
      <c r="L873">
        <v>0</v>
      </c>
      <c r="M873">
        <v>4.53</v>
      </c>
      <c r="N873">
        <v>0</v>
      </c>
      <c r="O873">
        <v>89.98</v>
      </c>
      <c r="P873">
        <v>94.513999999999996</v>
      </c>
    </row>
    <row r="874" spans="1:16" hidden="1" x14ac:dyDescent="0.25">
      <c r="A874" s="22">
        <v>43321</v>
      </c>
      <c r="B874" t="s">
        <v>433</v>
      </c>
      <c r="C874" t="s">
        <v>23</v>
      </c>
      <c r="D874">
        <v>9750</v>
      </c>
      <c r="E874">
        <v>19.95</v>
      </c>
      <c r="F874">
        <v>194512.5</v>
      </c>
      <c r="G874" t="s">
        <v>559</v>
      </c>
      <c r="H874">
        <v>2018153</v>
      </c>
      <c r="I874" t="s">
        <v>19</v>
      </c>
      <c r="J874" t="s">
        <v>20</v>
      </c>
      <c r="K874" t="s">
        <v>25</v>
      </c>
      <c r="L874">
        <v>48.46</v>
      </c>
      <c r="M874">
        <v>5.84</v>
      </c>
      <c r="N874">
        <v>0</v>
      </c>
      <c r="O874">
        <v>115.82</v>
      </c>
      <c r="P874">
        <v>170.1155</v>
      </c>
    </row>
    <row r="875" spans="1:16" hidden="1" x14ac:dyDescent="0.25">
      <c r="A875" s="22">
        <v>43320</v>
      </c>
      <c r="B875" t="s">
        <v>26</v>
      </c>
      <c r="C875" t="s">
        <v>17</v>
      </c>
      <c r="D875">
        <v>679</v>
      </c>
      <c r="E875">
        <v>106</v>
      </c>
      <c r="F875">
        <v>71974</v>
      </c>
      <c r="G875" t="s">
        <v>560</v>
      </c>
      <c r="H875">
        <v>2018152</v>
      </c>
      <c r="I875" t="s">
        <v>19</v>
      </c>
      <c r="J875" t="s">
        <v>20</v>
      </c>
      <c r="K875" t="s">
        <v>25</v>
      </c>
      <c r="L875">
        <v>0</v>
      </c>
      <c r="M875">
        <v>2.16</v>
      </c>
      <c r="N875">
        <v>0</v>
      </c>
      <c r="O875">
        <v>42.85</v>
      </c>
      <c r="P875">
        <v>45.009300000000003</v>
      </c>
    </row>
    <row r="876" spans="1:16" hidden="1" x14ac:dyDescent="0.25">
      <c r="A876" s="22">
        <v>43320</v>
      </c>
      <c r="B876" t="s">
        <v>26</v>
      </c>
      <c r="C876" t="s">
        <v>23</v>
      </c>
      <c r="D876">
        <v>679</v>
      </c>
      <c r="E876">
        <v>106.32</v>
      </c>
      <c r="F876">
        <v>72192.149999999994</v>
      </c>
      <c r="G876" t="s">
        <v>561</v>
      </c>
      <c r="H876">
        <v>2018152</v>
      </c>
      <c r="I876" t="s">
        <v>19</v>
      </c>
      <c r="J876" t="s">
        <v>20</v>
      </c>
      <c r="K876" t="s">
        <v>25</v>
      </c>
      <c r="L876">
        <v>18.09</v>
      </c>
      <c r="M876">
        <v>2.17</v>
      </c>
      <c r="N876">
        <v>0</v>
      </c>
      <c r="O876">
        <v>43</v>
      </c>
      <c r="P876">
        <v>63.255800000000001</v>
      </c>
    </row>
    <row r="877" spans="1:16" hidden="1" x14ac:dyDescent="0.25">
      <c r="A877" s="22">
        <v>43320</v>
      </c>
      <c r="B877" t="s">
        <v>16</v>
      </c>
      <c r="C877" t="s">
        <v>17</v>
      </c>
      <c r="D877">
        <v>2500</v>
      </c>
      <c r="E877">
        <v>65</v>
      </c>
      <c r="F877">
        <v>162500</v>
      </c>
      <c r="G877" t="s">
        <v>562</v>
      </c>
      <c r="H877">
        <v>2018152</v>
      </c>
      <c r="I877" t="s">
        <v>19</v>
      </c>
      <c r="J877" t="s">
        <v>20</v>
      </c>
      <c r="K877" t="s">
        <v>25</v>
      </c>
      <c r="L877">
        <v>0</v>
      </c>
      <c r="M877">
        <v>4.88</v>
      </c>
      <c r="N877">
        <v>14.4</v>
      </c>
      <c r="O877">
        <v>96.72</v>
      </c>
      <c r="P877">
        <v>115.9961</v>
      </c>
    </row>
    <row r="878" spans="1:16" hidden="1" x14ac:dyDescent="0.25">
      <c r="A878" s="22">
        <v>43320</v>
      </c>
      <c r="B878" t="s">
        <v>16</v>
      </c>
      <c r="C878" t="s">
        <v>23</v>
      </c>
      <c r="D878">
        <v>2500</v>
      </c>
      <c r="E878">
        <v>65.900000000000006</v>
      </c>
      <c r="F878">
        <v>164750</v>
      </c>
      <c r="G878" t="s">
        <v>563</v>
      </c>
      <c r="H878">
        <v>2018152</v>
      </c>
      <c r="I878" t="s">
        <v>19</v>
      </c>
      <c r="J878" t="s">
        <v>20</v>
      </c>
      <c r="K878" t="s">
        <v>25</v>
      </c>
      <c r="L878">
        <v>40.909999999999997</v>
      </c>
      <c r="M878">
        <v>4.9400000000000004</v>
      </c>
      <c r="N878">
        <v>0</v>
      </c>
      <c r="O878">
        <v>98.09</v>
      </c>
      <c r="P878">
        <v>143.9425</v>
      </c>
    </row>
    <row r="879" spans="1:16" hidden="1" x14ac:dyDescent="0.25">
      <c r="A879" s="22">
        <v>43319</v>
      </c>
      <c r="B879" t="s">
        <v>433</v>
      </c>
      <c r="C879" t="s">
        <v>17</v>
      </c>
      <c r="D879">
        <v>2750</v>
      </c>
      <c r="E879">
        <v>16.5</v>
      </c>
      <c r="F879">
        <v>45375</v>
      </c>
      <c r="G879" t="s">
        <v>564</v>
      </c>
      <c r="H879">
        <v>2018151</v>
      </c>
      <c r="I879" t="s">
        <v>19</v>
      </c>
      <c r="J879" t="s">
        <v>20</v>
      </c>
      <c r="K879" t="s">
        <v>25</v>
      </c>
      <c r="L879">
        <v>0</v>
      </c>
      <c r="M879">
        <v>1.36</v>
      </c>
      <c r="N879">
        <v>0</v>
      </c>
      <c r="O879">
        <v>29.75</v>
      </c>
      <c r="P879">
        <v>31.1113</v>
      </c>
    </row>
    <row r="880" spans="1:16" hidden="1" x14ac:dyDescent="0.25">
      <c r="A880" s="22">
        <v>43319</v>
      </c>
      <c r="B880" t="s">
        <v>433</v>
      </c>
      <c r="C880" t="s">
        <v>17</v>
      </c>
      <c r="D880">
        <v>2500</v>
      </c>
      <c r="E880">
        <v>16.7</v>
      </c>
      <c r="F880">
        <v>41750</v>
      </c>
      <c r="G880" t="s">
        <v>565</v>
      </c>
      <c r="H880">
        <v>2018151</v>
      </c>
      <c r="I880" t="s">
        <v>19</v>
      </c>
      <c r="J880" t="s">
        <v>20</v>
      </c>
      <c r="K880" t="s">
        <v>25</v>
      </c>
      <c r="L880">
        <v>0</v>
      </c>
      <c r="M880">
        <v>1.25</v>
      </c>
      <c r="N880">
        <v>0</v>
      </c>
      <c r="O880">
        <v>29.73</v>
      </c>
      <c r="P880">
        <v>30.982500000000002</v>
      </c>
    </row>
    <row r="881" spans="1:16" hidden="1" x14ac:dyDescent="0.25">
      <c r="A881" s="22">
        <v>43319</v>
      </c>
      <c r="B881" t="s">
        <v>282</v>
      </c>
      <c r="C881" t="s">
        <v>17</v>
      </c>
      <c r="D881">
        <v>250</v>
      </c>
      <c r="E881">
        <v>575.45000000000005</v>
      </c>
      <c r="F881">
        <v>143862.5</v>
      </c>
      <c r="G881" t="s">
        <v>566</v>
      </c>
      <c r="H881">
        <v>2018151</v>
      </c>
      <c r="I881" t="s">
        <v>19</v>
      </c>
      <c r="J881" t="s">
        <v>20</v>
      </c>
      <c r="K881" t="s">
        <v>25</v>
      </c>
      <c r="L881">
        <v>0</v>
      </c>
      <c r="M881">
        <v>4.32</v>
      </c>
      <c r="N881">
        <v>0</v>
      </c>
      <c r="O881">
        <v>85.66</v>
      </c>
      <c r="P881">
        <v>89.975899999999996</v>
      </c>
    </row>
    <row r="882" spans="1:16" x14ac:dyDescent="0.25">
      <c r="A882" s="22">
        <v>43195</v>
      </c>
      <c r="B882" t="s">
        <v>282</v>
      </c>
      <c r="C882" t="s">
        <v>23</v>
      </c>
      <c r="D882">
        <v>1000</v>
      </c>
      <c r="E882">
        <v>607</v>
      </c>
      <c r="F882">
        <v>607000</v>
      </c>
      <c r="G882" t="s">
        <v>362</v>
      </c>
      <c r="H882">
        <v>2018064</v>
      </c>
      <c r="I882" t="s">
        <v>19</v>
      </c>
      <c r="J882" t="s">
        <v>20</v>
      </c>
      <c r="K882" t="s">
        <v>25</v>
      </c>
      <c r="L882">
        <v>151.96</v>
      </c>
      <c r="M882">
        <v>18.21</v>
      </c>
      <c r="N882">
        <v>37.200000000000003</v>
      </c>
      <c r="O882">
        <v>361.4</v>
      </c>
      <c r="P882">
        <v>568.76990000000001</v>
      </c>
    </row>
    <row r="883" spans="1:16" hidden="1" x14ac:dyDescent="0.25">
      <c r="A883" s="22">
        <v>43319</v>
      </c>
      <c r="B883" t="s">
        <v>433</v>
      </c>
      <c r="C883" t="s">
        <v>23</v>
      </c>
      <c r="D883">
        <v>5250</v>
      </c>
      <c r="E883">
        <v>17.05</v>
      </c>
      <c r="F883">
        <v>89512.5</v>
      </c>
      <c r="G883" t="s">
        <v>568</v>
      </c>
      <c r="H883">
        <v>2018151</v>
      </c>
      <c r="I883" t="s">
        <v>19</v>
      </c>
      <c r="J883" t="s">
        <v>20</v>
      </c>
      <c r="K883" t="s">
        <v>25</v>
      </c>
      <c r="L883">
        <v>22.07</v>
      </c>
      <c r="M883">
        <v>2.69</v>
      </c>
      <c r="N883">
        <v>0</v>
      </c>
      <c r="O883">
        <v>53.3</v>
      </c>
      <c r="P883">
        <v>78.055400000000006</v>
      </c>
    </row>
    <row r="884" spans="1:16" hidden="1" x14ac:dyDescent="0.25">
      <c r="A884" s="22">
        <v>43319</v>
      </c>
      <c r="B884" t="s">
        <v>433</v>
      </c>
      <c r="C884" t="s">
        <v>23</v>
      </c>
      <c r="D884">
        <v>2000</v>
      </c>
      <c r="E884">
        <v>16.8</v>
      </c>
      <c r="F884">
        <v>33600</v>
      </c>
      <c r="G884" t="s">
        <v>569</v>
      </c>
      <c r="H884">
        <v>2018151</v>
      </c>
      <c r="I884" t="s">
        <v>19</v>
      </c>
      <c r="J884" t="s">
        <v>1526</v>
      </c>
      <c r="K884" t="s">
        <v>25</v>
      </c>
      <c r="L884">
        <v>33.64</v>
      </c>
      <c r="M884">
        <v>1.01</v>
      </c>
      <c r="N884">
        <v>0</v>
      </c>
      <c r="O884">
        <v>218.25</v>
      </c>
      <c r="P884">
        <v>252.898</v>
      </c>
    </row>
    <row r="885" spans="1:16" hidden="1" x14ac:dyDescent="0.25">
      <c r="A885" s="22">
        <v>43318</v>
      </c>
      <c r="B885" t="s">
        <v>26</v>
      </c>
      <c r="C885" t="s">
        <v>17</v>
      </c>
      <c r="D885">
        <v>100</v>
      </c>
      <c r="E885">
        <v>109.75</v>
      </c>
      <c r="F885">
        <v>10974.55</v>
      </c>
      <c r="G885" t="s">
        <v>570</v>
      </c>
      <c r="H885">
        <v>2018150</v>
      </c>
      <c r="I885" t="s">
        <v>19</v>
      </c>
      <c r="J885" t="s">
        <v>1526</v>
      </c>
      <c r="K885" t="s">
        <v>25</v>
      </c>
      <c r="L885">
        <v>10.68</v>
      </c>
      <c r="M885">
        <v>0.33</v>
      </c>
      <c r="N885">
        <v>4.5</v>
      </c>
      <c r="O885">
        <v>71.28</v>
      </c>
      <c r="P885">
        <v>86.789199999999994</v>
      </c>
    </row>
    <row r="886" spans="1:16" hidden="1" x14ac:dyDescent="0.25">
      <c r="A886" s="22">
        <v>43318</v>
      </c>
      <c r="B886" t="s">
        <v>433</v>
      </c>
      <c r="C886" t="s">
        <v>17</v>
      </c>
      <c r="D886">
        <v>2500</v>
      </c>
      <c r="E886">
        <v>16.149999999999999</v>
      </c>
      <c r="F886">
        <v>40375</v>
      </c>
      <c r="G886" t="s">
        <v>571</v>
      </c>
      <c r="H886">
        <v>2018150</v>
      </c>
      <c r="I886" t="s">
        <v>19</v>
      </c>
      <c r="J886" t="s">
        <v>1526</v>
      </c>
      <c r="K886" t="s">
        <v>25</v>
      </c>
      <c r="L886">
        <v>0</v>
      </c>
      <c r="M886">
        <v>1.21</v>
      </c>
      <c r="N886">
        <v>0</v>
      </c>
      <c r="O886">
        <v>29.72</v>
      </c>
      <c r="P886">
        <v>30.9313</v>
      </c>
    </row>
    <row r="887" spans="1:16" hidden="1" x14ac:dyDescent="0.25">
      <c r="A887" s="22">
        <v>43318</v>
      </c>
      <c r="B887" t="s">
        <v>26</v>
      </c>
      <c r="C887" t="s">
        <v>17</v>
      </c>
      <c r="D887">
        <v>150</v>
      </c>
      <c r="E887">
        <v>109</v>
      </c>
      <c r="F887">
        <v>16350</v>
      </c>
      <c r="G887" t="s">
        <v>572</v>
      </c>
      <c r="H887">
        <v>2018150</v>
      </c>
      <c r="I887" t="s">
        <v>19</v>
      </c>
      <c r="J887" t="s">
        <v>1526</v>
      </c>
      <c r="K887" t="s">
        <v>25</v>
      </c>
      <c r="L887">
        <v>16.39</v>
      </c>
      <c r="M887">
        <v>0.49</v>
      </c>
      <c r="N887">
        <v>0</v>
      </c>
      <c r="O887">
        <v>106.2</v>
      </c>
      <c r="P887">
        <v>123.0805</v>
      </c>
    </row>
    <row r="888" spans="1:16" hidden="1" x14ac:dyDescent="0.25">
      <c r="A888" s="22">
        <v>43318</v>
      </c>
      <c r="B888" t="s">
        <v>433</v>
      </c>
      <c r="C888" t="s">
        <v>23</v>
      </c>
      <c r="D888">
        <v>2500</v>
      </c>
      <c r="E888">
        <v>16.399999999999999</v>
      </c>
      <c r="F888">
        <v>41000</v>
      </c>
      <c r="G888" t="s">
        <v>573</v>
      </c>
      <c r="H888">
        <v>2018150</v>
      </c>
      <c r="I888" t="s">
        <v>19</v>
      </c>
      <c r="J888" t="s">
        <v>1526</v>
      </c>
      <c r="K888" t="s">
        <v>25</v>
      </c>
      <c r="L888">
        <v>10.220000000000001</v>
      </c>
      <c r="M888">
        <v>1.23</v>
      </c>
      <c r="N888">
        <v>0</v>
      </c>
      <c r="O888">
        <v>29.72</v>
      </c>
      <c r="P888">
        <v>41.17</v>
      </c>
    </row>
    <row r="889" spans="1:16" hidden="1" x14ac:dyDescent="0.25">
      <c r="A889" s="22">
        <v>43318</v>
      </c>
      <c r="B889" t="s">
        <v>433</v>
      </c>
      <c r="C889" t="s">
        <v>17</v>
      </c>
      <c r="D889">
        <v>2000</v>
      </c>
      <c r="E889">
        <v>16.55</v>
      </c>
      <c r="F889">
        <v>33100</v>
      </c>
      <c r="G889" t="s">
        <v>574</v>
      </c>
      <c r="H889">
        <v>2018150</v>
      </c>
      <c r="I889" t="s">
        <v>19</v>
      </c>
      <c r="J889" t="s">
        <v>1526</v>
      </c>
      <c r="K889" t="s">
        <v>25</v>
      </c>
      <c r="L889">
        <v>32.71</v>
      </c>
      <c r="M889">
        <v>0.99</v>
      </c>
      <c r="N889">
        <v>0</v>
      </c>
      <c r="O889">
        <v>215</v>
      </c>
      <c r="P889">
        <v>248.70310000000001</v>
      </c>
    </row>
    <row r="890" spans="1:16" hidden="1" x14ac:dyDescent="0.25">
      <c r="A890" s="22">
        <v>43315</v>
      </c>
      <c r="B890" t="s">
        <v>575</v>
      </c>
      <c r="C890" t="s">
        <v>17</v>
      </c>
      <c r="D890">
        <v>1100</v>
      </c>
      <c r="E890">
        <v>62.25</v>
      </c>
      <c r="F890">
        <v>68475</v>
      </c>
      <c r="G890" t="s">
        <v>576</v>
      </c>
      <c r="H890">
        <v>2018149</v>
      </c>
      <c r="I890" t="s">
        <v>19</v>
      </c>
      <c r="J890" t="s">
        <v>20</v>
      </c>
      <c r="K890" t="s">
        <v>25</v>
      </c>
      <c r="L890">
        <v>0</v>
      </c>
      <c r="M890">
        <v>2.0499999999999998</v>
      </c>
      <c r="N890">
        <v>7.8</v>
      </c>
      <c r="O890">
        <v>40.78</v>
      </c>
      <c r="P890">
        <v>50.6342</v>
      </c>
    </row>
    <row r="891" spans="1:16" hidden="1" x14ac:dyDescent="0.25">
      <c r="A891" s="22">
        <v>43315</v>
      </c>
      <c r="B891" t="s">
        <v>575</v>
      </c>
      <c r="C891" t="s">
        <v>23</v>
      </c>
      <c r="D891">
        <v>1100</v>
      </c>
      <c r="E891">
        <v>62.4</v>
      </c>
      <c r="F891">
        <v>68640</v>
      </c>
      <c r="G891" t="s">
        <v>577</v>
      </c>
      <c r="H891">
        <v>2018149</v>
      </c>
      <c r="I891" t="s">
        <v>19</v>
      </c>
      <c r="J891" t="s">
        <v>20</v>
      </c>
      <c r="K891" t="s">
        <v>25</v>
      </c>
      <c r="L891">
        <v>17.14</v>
      </c>
      <c r="M891">
        <v>2.06</v>
      </c>
      <c r="N891">
        <v>0</v>
      </c>
      <c r="O891">
        <v>40.869999999999997</v>
      </c>
      <c r="P891">
        <v>60.069200000000002</v>
      </c>
    </row>
    <row r="892" spans="1:16" hidden="1" x14ac:dyDescent="0.25">
      <c r="A892" s="22">
        <v>43315</v>
      </c>
      <c r="B892" t="s">
        <v>433</v>
      </c>
      <c r="C892" t="s">
        <v>23</v>
      </c>
      <c r="D892">
        <v>6000</v>
      </c>
      <c r="E892">
        <v>16</v>
      </c>
      <c r="F892">
        <v>96000</v>
      </c>
      <c r="G892" t="s">
        <v>578</v>
      </c>
      <c r="H892">
        <v>2018149</v>
      </c>
      <c r="I892" t="s">
        <v>19</v>
      </c>
      <c r="J892" t="s">
        <v>20</v>
      </c>
      <c r="K892" t="s">
        <v>25</v>
      </c>
      <c r="L892">
        <v>92.95</v>
      </c>
      <c r="M892">
        <v>2.88</v>
      </c>
      <c r="N892">
        <v>0</v>
      </c>
      <c r="O892">
        <v>623.54999999999995</v>
      </c>
      <c r="P892">
        <v>719.38</v>
      </c>
    </row>
    <row r="893" spans="1:16" hidden="1" x14ac:dyDescent="0.25">
      <c r="A893" s="22">
        <v>43315</v>
      </c>
      <c r="B893" t="s">
        <v>179</v>
      </c>
      <c r="C893" t="s">
        <v>17</v>
      </c>
      <c r="D893">
        <v>150</v>
      </c>
      <c r="E893">
        <v>60.19</v>
      </c>
      <c r="F893">
        <v>9029.0499999999993</v>
      </c>
      <c r="G893" t="s">
        <v>579</v>
      </c>
      <c r="H893">
        <v>2018149</v>
      </c>
      <c r="I893" t="s">
        <v>19</v>
      </c>
      <c r="J893" t="s">
        <v>20</v>
      </c>
      <c r="K893" t="s">
        <v>25</v>
      </c>
      <c r="L893">
        <v>9.0299999999999994</v>
      </c>
      <c r="M893">
        <v>0.27</v>
      </c>
      <c r="N893">
        <v>0</v>
      </c>
      <c r="O893">
        <v>58.64</v>
      </c>
      <c r="P893">
        <v>67.940899999999999</v>
      </c>
    </row>
    <row r="894" spans="1:16" hidden="1" x14ac:dyDescent="0.25">
      <c r="A894" s="22">
        <v>43315</v>
      </c>
      <c r="B894" t="s">
        <v>190</v>
      </c>
      <c r="C894" t="s">
        <v>17</v>
      </c>
      <c r="D894">
        <v>1000</v>
      </c>
      <c r="E894">
        <v>6</v>
      </c>
      <c r="F894">
        <v>6000</v>
      </c>
      <c r="G894" t="s">
        <v>580</v>
      </c>
      <c r="H894">
        <v>2018149</v>
      </c>
      <c r="I894" t="s">
        <v>19</v>
      </c>
      <c r="J894" t="s">
        <v>20</v>
      </c>
      <c r="K894" t="s">
        <v>25</v>
      </c>
      <c r="L894">
        <v>5.88</v>
      </c>
      <c r="M894">
        <v>0.18</v>
      </c>
      <c r="N894">
        <v>0</v>
      </c>
      <c r="O894">
        <v>59.03</v>
      </c>
      <c r="P894">
        <v>65.09</v>
      </c>
    </row>
    <row r="895" spans="1:16" hidden="1" x14ac:dyDescent="0.25">
      <c r="A895" s="22">
        <v>43315</v>
      </c>
      <c r="B895" t="s">
        <v>433</v>
      </c>
      <c r="C895" t="s">
        <v>17</v>
      </c>
      <c r="D895">
        <v>250</v>
      </c>
      <c r="E895">
        <v>15.8</v>
      </c>
      <c r="F895">
        <v>3950</v>
      </c>
      <c r="G895" t="s">
        <v>581</v>
      </c>
      <c r="H895">
        <v>2018149</v>
      </c>
      <c r="I895" t="s">
        <v>19</v>
      </c>
      <c r="J895" t="s">
        <v>20</v>
      </c>
      <c r="K895" t="s">
        <v>25</v>
      </c>
      <c r="L895">
        <v>0</v>
      </c>
      <c r="M895">
        <v>0.12</v>
      </c>
      <c r="N895">
        <v>0</v>
      </c>
      <c r="O895">
        <v>0.02</v>
      </c>
      <c r="P895">
        <v>0.13850000000000001</v>
      </c>
    </row>
    <row r="896" spans="1:16" hidden="1" x14ac:dyDescent="0.25">
      <c r="A896" s="22">
        <v>43314</v>
      </c>
      <c r="B896" t="s">
        <v>433</v>
      </c>
      <c r="C896" t="s">
        <v>17</v>
      </c>
      <c r="D896">
        <v>5000</v>
      </c>
      <c r="E896">
        <v>14.7</v>
      </c>
      <c r="F896">
        <v>73500</v>
      </c>
      <c r="G896" t="s">
        <v>582</v>
      </c>
      <c r="H896">
        <v>2018148</v>
      </c>
      <c r="I896" t="s">
        <v>19</v>
      </c>
      <c r="J896" t="s">
        <v>20</v>
      </c>
      <c r="K896" t="s">
        <v>25</v>
      </c>
      <c r="L896">
        <v>0</v>
      </c>
      <c r="M896">
        <v>2.21</v>
      </c>
      <c r="N896">
        <v>0</v>
      </c>
      <c r="O896">
        <v>43.77</v>
      </c>
      <c r="P896">
        <v>45.975099999999998</v>
      </c>
    </row>
    <row r="897" spans="1:16" hidden="1" x14ac:dyDescent="0.25">
      <c r="A897" s="22">
        <v>43314</v>
      </c>
      <c r="B897" t="s">
        <v>433</v>
      </c>
      <c r="C897" t="s">
        <v>23</v>
      </c>
      <c r="D897">
        <v>5000</v>
      </c>
      <c r="E897">
        <v>14.75</v>
      </c>
      <c r="F897">
        <v>73750</v>
      </c>
      <c r="G897" t="s">
        <v>583</v>
      </c>
      <c r="H897">
        <v>2018148</v>
      </c>
      <c r="I897" t="s">
        <v>19</v>
      </c>
      <c r="J897" t="s">
        <v>20</v>
      </c>
      <c r="K897" t="s">
        <v>25</v>
      </c>
      <c r="L897">
        <v>18</v>
      </c>
      <c r="M897">
        <v>2.21</v>
      </c>
      <c r="N897">
        <v>4.5</v>
      </c>
      <c r="O897">
        <v>43.91</v>
      </c>
      <c r="P897">
        <v>68.622500000000002</v>
      </c>
    </row>
    <row r="898" spans="1:16" hidden="1" x14ac:dyDescent="0.25">
      <c r="A898" s="22">
        <v>43313</v>
      </c>
      <c r="B898" t="s">
        <v>26</v>
      </c>
      <c r="C898" t="s">
        <v>17</v>
      </c>
      <c r="D898">
        <v>1100</v>
      </c>
      <c r="E898">
        <v>117</v>
      </c>
      <c r="F898">
        <v>128700</v>
      </c>
      <c r="G898" t="s">
        <v>584</v>
      </c>
      <c r="H898">
        <v>2018147</v>
      </c>
      <c r="I898" t="s">
        <v>19</v>
      </c>
      <c r="J898" t="s">
        <v>20</v>
      </c>
      <c r="K898" t="s">
        <v>25</v>
      </c>
      <c r="L898">
        <v>0</v>
      </c>
      <c r="M898">
        <v>3.86</v>
      </c>
      <c r="N898">
        <v>15.6</v>
      </c>
      <c r="O898">
        <v>76.63</v>
      </c>
      <c r="P898">
        <v>96.090999999999994</v>
      </c>
    </row>
    <row r="899" spans="1:16" hidden="1" x14ac:dyDescent="0.25">
      <c r="A899" s="22">
        <v>43313</v>
      </c>
      <c r="B899" t="s">
        <v>26</v>
      </c>
      <c r="C899" t="s">
        <v>23</v>
      </c>
      <c r="D899">
        <v>1100</v>
      </c>
      <c r="E899">
        <v>113.39</v>
      </c>
      <c r="F899">
        <v>124734.45</v>
      </c>
      <c r="G899" t="s">
        <v>585</v>
      </c>
      <c r="H899">
        <v>2018147</v>
      </c>
      <c r="I899" t="s">
        <v>19</v>
      </c>
      <c r="J899" t="s">
        <v>20</v>
      </c>
      <c r="K899" t="s">
        <v>25</v>
      </c>
      <c r="L899">
        <v>31.9</v>
      </c>
      <c r="M899">
        <v>3.74</v>
      </c>
      <c r="N899">
        <v>0</v>
      </c>
      <c r="O899">
        <v>74.27</v>
      </c>
      <c r="P899">
        <v>109.9121</v>
      </c>
    </row>
    <row r="900" spans="1:16" hidden="1" x14ac:dyDescent="0.25">
      <c r="A900" s="22">
        <v>43313</v>
      </c>
      <c r="B900" t="s">
        <v>26</v>
      </c>
      <c r="C900" t="s">
        <v>17</v>
      </c>
      <c r="D900">
        <v>1100</v>
      </c>
      <c r="E900">
        <v>114</v>
      </c>
      <c r="F900">
        <v>125400</v>
      </c>
      <c r="G900" t="s">
        <v>586</v>
      </c>
      <c r="H900">
        <v>2018147</v>
      </c>
      <c r="I900" t="s">
        <v>19</v>
      </c>
      <c r="J900" t="s">
        <v>20</v>
      </c>
      <c r="K900" t="s">
        <v>25</v>
      </c>
      <c r="L900">
        <v>0</v>
      </c>
      <c r="M900">
        <v>3.76</v>
      </c>
      <c r="N900">
        <v>0</v>
      </c>
      <c r="O900">
        <v>74.66</v>
      </c>
      <c r="P900">
        <v>78.4221</v>
      </c>
    </row>
    <row r="901" spans="1:16" hidden="1" x14ac:dyDescent="0.25">
      <c r="A901" s="22">
        <v>43313</v>
      </c>
      <c r="B901" t="s">
        <v>26</v>
      </c>
      <c r="C901" t="s">
        <v>23</v>
      </c>
      <c r="D901">
        <v>1100</v>
      </c>
      <c r="E901">
        <v>114</v>
      </c>
      <c r="F901">
        <v>125400</v>
      </c>
      <c r="G901" t="s">
        <v>587</v>
      </c>
      <c r="H901">
        <v>2018147</v>
      </c>
      <c r="I901" t="s">
        <v>19</v>
      </c>
      <c r="J901" t="s">
        <v>20</v>
      </c>
      <c r="K901" t="s">
        <v>25</v>
      </c>
      <c r="L901">
        <v>40.950000000000003</v>
      </c>
      <c r="M901">
        <v>3.76</v>
      </c>
      <c r="N901">
        <v>0</v>
      </c>
      <c r="O901">
        <v>74.67</v>
      </c>
      <c r="P901">
        <v>119.38209999999999</v>
      </c>
    </row>
    <row r="902" spans="1:16" hidden="1" x14ac:dyDescent="0.25">
      <c r="A902" s="22">
        <v>43313</v>
      </c>
      <c r="B902" t="s">
        <v>26</v>
      </c>
      <c r="C902" t="s">
        <v>23</v>
      </c>
      <c r="D902">
        <v>110</v>
      </c>
      <c r="E902">
        <v>112</v>
      </c>
      <c r="F902">
        <v>12320</v>
      </c>
      <c r="G902" t="s">
        <v>588</v>
      </c>
      <c r="H902">
        <v>2018147</v>
      </c>
      <c r="I902" t="s">
        <v>19</v>
      </c>
      <c r="J902" t="s">
        <v>1526</v>
      </c>
      <c r="K902" t="s">
        <v>25</v>
      </c>
      <c r="L902">
        <v>3.15</v>
      </c>
      <c r="M902">
        <v>0.37</v>
      </c>
      <c r="N902">
        <v>0</v>
      </c>
      <c r="O902">
        <v>80.02</v>
      </c>
      <c r="P902">
        <v>83.539599999999993</v>
      </c>
    </row>
    <row r="903" spans="1:16" hidden="1" x14ac:dyDescent="0.25">
      <c r="A903" s="22">
        <v>43312</v>
      </c>
      <c r="B903" t="s">
        <v>433</v>
      </c>
      <c r="C903" t="s">
        <v>17</v>
      </c>
      <c r="D903">
        <v>1000</v>
      </c>
      <c r="E903">
        <v>14.1</v>
      </c>
      <c r="F903">
        <v>14100</v>
      </c>
      <c r="G903" t="s">
        <v>589</v>
      </c>
      <c r="H903">
        <v>2018146</v>
      </c>
      <c r="I903" t="s">
        <v>19</v>
      </c>
      <c r="J903" t="s">
        <v>20</v>
      </c>
      <c r="K903" t="s">
        <v>25</v>
      </c>
      <c r="L903">
        <v>0</v>
      </c>
      <c r="M903">
        <v>0.42</v>
      </c>
      <c r="N903">
        <v>0</v>
      </c>
      <c r="O903">
        <v>29.58</v>
      </c>
      <c r="P903">
        <v>30.0029</v>
      </c>
    </row>
    <row r="904" spans="1:16" hidden="1" x14ac:dyDescent="0.25">
      <c r="A904" s="22">
        <v>43312</v>
      </c>
      <c r="B904" t="s">
        <v>433</v>
      </c>
      <c r="C904" t="s">
        <v>17</v>
      </c>
      <c r="D904">
        <v>5000</v>
      </c>
      <c r="E904">
        <v>14</v>
      </c>
      <c r="F904">
        <v>70000</v>
      </c>
      <c r="G904" t="s">
        <v>590</v>
      </c>
      <c r="H904">
        <v>2018146</v>
      </c>
      <c r="I904" t="s">
        <v>19</v>
      </c>
      <c r="J904" t="s">
        <v>20</v>
      </c>
      <c r="K904" t="s">
        <v>25</v>
      </c>
      <c r="L904">
        <v>0</v>
      </c>
      <c r="M904">
        <v>2.1</v>
      </c>
      <c r="N904">
        <v>0</v>
      </c>
      <c r="O904">
        <v>41.68</v>
      </c>
      <c r="P904">
        <v>43.78</v>
      </c>
    </row>
    <row r="905" spans="1:16" hidden="1" x14ac:dyDescent="0.25">
      <c r="A905" s="22">
        <v>43312</v>
      </c>
      <c r="B905" t="s">
        <v>433</v>
      </c>
      <c r="C905" t="s">
        <v>23</v>
      </c>
      <c r="D905">
        <v>6000</v>
      </c>
      <c r="E905">
        <v>14.1</v>
      </c>
      <c r="F905">
        <v>84600</v>
      </c>
      <c r="G905" t="s">
        <v>591</v>
      </c>
      <c r="H905">
        <v>2018146</v>
      </c>
      <c r="I905" t="s">
        <v>19</v>
      </c>
      <c r="J905" t="s">
        <v>20</v>
      </c>
      <c r="K905" t="s">
        <v>25</v>
      </c>
      <c r="L905">
        <v>21</v>
      </c>
      <c r="M905">
        <v>2.54</v>
      </c>
      <c r="N905">
        <v>5.0999999999999996</v>
      </c>
      <c r="O905">
        <v>50.37</v>
      </c>
      <c r="P905">
        <v>79.007999999999996</v>
      </c>
    </row>
    <row r="906" spans="1:16" hidden="1" x14ac:dyDescent="0.25">
      <c r="A906" s="22">
        <v>43311</v>
      </c>
      <c r="B906" t="s">
        <v>26</v>
      </c>
      <c r="C906" t="s">
        <v>17</v>
      </c>
      <c r="D906">
        <v>100</v>
      </c>
      <c r="E906">
        <v>110</v>
      </c>
      <c r="F906">
        <v>11000</v>
      </c>
      <c r="G906" t="s">
        <v>592</v>
      </c>
      <c r="H906">
        <v>2018145</v>
      </c>
      <c r="I906" t="s">
        <v>19</v>
      </c>
      <c r="J906" t="s">
        <v>1526</v>
      </c>
      <c r="K906" t="s">
        <v>25</v>
      </c>
      <c r="L906">
        <v>10.98</v>
      </c>
      <c r="M906">
        <v>0.33</v>
      </c>
      <c r="N906">
        <v>0</v>
      </c>
      <c r="O906">
        <v>71.45</v>
      </c>
      <c r="P906">
        <v>82.76</v>
      </c>
    </row>
    <row r="907" spans="1:16" hidden="1" x14ac:dyDescent="0.25">
      <c r="A907" s="22">
        <v>43311</v>
      </c>
      <c r="B907" t="s">
        <v>26</v>
      </c>
      <c r="C907" t="s">
        <v>17</v>
      </c>
      <c r="D907">
        <v>10</v>
      </c>
      <c r="E907">
        <v>107.66</v>
      </c>
      <c r="F907">
        <v>1076.55</v>
      </c>
      <c r="G907" t="s">
        <v>593</v>
      </c>
      <c r="H907">
        <v>2018145</v>
      </c>
      <c r="I907" t="s">
        <v>19</v>
      </c>
      <c r="J907" t="s">
        <v>1526</v>
      </c>
      <c r="K907" t="s">
        <v>25</v>
      </c>
      <c r="L907">
        <v>1.02</v>
      </c>
      <c r="M907">
        <v>0.03</v>
      </c>
      <c r="N907">
        <v>0.6</v>
      </c>
      <c r="O907">
        <v>31.77</v>
      </c>
      <c r="P907">
        <v>33.422400000000003</v>
      </c>
    </row>
    <row r="908" spans="1:16" hidden="1" x14ac:dyDescent="0.25">
      <c r="A908" s="22">
        <v>43300</v>
      </c>
      <c r="B908" t="s">
        <v>594</v>
      </c>
      <c r="C908" t="s">
        <v>23</v>
      </c>
      <c r="D908">
        <v>10</v>
      </c>
      <c r="E908">
        <v>130.9</v>
      </c>
      <c r="F908">
        <v>1309</v>
      </c>
      <c r="G908" t="s">
        <v>595</v>
      </c>
      <c r="H908">
        <v>2018138</v>
      </c>
      <c r="I908" t="s">
        <v>19</v>
      </c>
      <c r="J908" t="s">
        <v>20</v>
      </c>
      <c r="K908" t="s">
        <v>25</v>
      </c>
      <c r="L908">
        <v>1</v>
      </c>
      <c r="M908">
        <v>0.04</v>
      </c>
      <c r="N908">
        <v>0.3</v>
      </c>
      <c r="O908">
        <v>38.619999999999997</v>
      </c>
      <c r="P908">
        <v>39.959299999999999</v>
      </c>
    </row>
    <row r="909" spans="1:16" hidden="1" x14ac:dyDescent="0.25">
      <c r="A909" s="22">
        <v>43299</v>
      </c>
      <c r="B909" t="s">
        <v>65</v>
      </c>
      <c r="C909" t="s">
        <v>17</v>
      </c>
      <c r="D909">
        <v>500</v>
      </c>
      <c r="E909">
        <v>80.099999999999994</v>
      </c>
      <c r="F909">
        <v>40050</v>
      </c>
      <c r="G909" t="s">
        <v>596</v>
      </c>
      <c r="H909">
        <v>2018137</v>
      </c>
      <c r="I909" t="s">
        <v>19</v>
      </c>
      <c r="J909" t="s">
        <v>20</v>
      </c>
      <c r="K909" t="s">
        <v>25</v>
      </c>
      <c r="L909">
        <v>0</v>
      </c>
      <c r="M909">
        <v>1.2</v>
      </c>
      <c r="N909">
        <v>0</v>
      </c>
      <c r="O909">
        <v>29.72</v>
      </c>
      <c r="P909">
        <v>30.921399999999998</v>
      </c>
    </row>
    <row r="910" spans="1:16" hidden="1" x14ac:dyDescent="0.25">
      <c r="A910" s="22">
        <v>43299</v>
      </c>
      <c r="B910" t="s">
        <v>65</v>
      </c>
      <c r="C910" t="s">
        <v>23</v>
      </c>
      <c r="D910">
        <v>106</v>
      </c>
      <c r="E910">
        <v>75.8</v>
      </c>
      <c r="F910">
        <v>8034.8</v>
      </c>
      <c r="G910" t="s">
        <v>597</v>
      </c>
      <c r="H910">
        <v>2018137</v>
      </c>
      <c r="I910" t="s">
        <v>19</v>
      </c>
      <c r="J910" t="s">
        <v>20</v>
      </c>
      <c r="K910" t="s">
        <v>25</v>
      </c>
      <c r="L910">
        <v>2.4</v>
      </c>
      <c r="M910">
        <v>0.24</v>
      </c>
      <c r="N910">
        <v>6.9</v>
      </c>
      <c r="O910">
        <v>29.54</v>
      </c>
      <c r="P910">
        <v>39.081000000000003</v>
      </c>
    </row>
    <row r="911" spans="1:16" hidden="1" x14ac:dyDescent="0.25">
      <c r="A911" s="22">
        <v>43299</v>
      </c>
      <c r="B911" t="s">
        <v>65</v>
      </c>
      <c r="C911" t="s">
        <v>17</v>
      </c>
      <c r="D911">
        <v>1000</v>
      </c>
      <c r="E911">
        <v>76.099999999999994</v>
      </c>
      <c r="F911">
        <v>76100</v>
      </c>
      <c r="G911" t="s">
        <v>598</v>
      </c>
      <c r="H911">
        <v>2018137</v>
      </c>
      <c r="I911" t="s">
        <v>19</v>
      </c>
      <c r="J911" t="s">
        <v>20</v>
      </c>
      <c r="K911" t="s">
        <v>25</v>
      </c>
      <c r="L911">
        <v>0</v>
      </c>
      <c r="M911">
        <v>2.2799999999999998</v>
      </c>
      <c r="N911">
        <v>0</v>
      </c>
      <c r="O911">
        <v>45.31</v>
      </c>
      <c r="P911">
        <v>47.5931</v>
      </c>
    </row>
    <row r="912" spans="1:16" hidden="1" x14ac:dyDescent="0.25">
      <c r="A912" s="22">
        <v>43299</v>
      </c>
      <c r="B912" t="s">
        <v>65</v>
      </c>
      <c r="C912" t="s">
        <v>23</v>
      </c>
      <c r="D912">
        <v>1394</v>
      </c>
      <c r="E912">
        <v>75.150000000000006</v>
      </c>
      <c r="F912">
        <v>104759.1</v>
      </c>
      <c r="G912" t="s">
        <v>599</v>
      </c>
      <c r="H912">
        <v>2018137</v>
      </c>
      <c r="I912" t="s">
        <v>19</v>
      </c>
      <c r="J912" t="s">
        <v>20</v>
      </c>
      <c r="K912" t="s">
        <v>25</v>
      </c>
      <c r="L912">
        <v>26.6</v>
      </c>
      <c r="M912">
        <v>3.14</v>
      </c>
      <c r="N912">
        <v>0</v>
      </c>
      <c r="O912">
        <v>62.37</v>
      </c>
      <c r="P912">
        <v>92.112700000000004</v>
      </c>
    </row>
    <row r="913" spans="1:16" hidden="1" x14ac:dyDescent="0.25">
      <c r="A913" s="22">
        <v>43287</v>
      </c>
      <c r="B913" t="s">
        <v>594</v>
      </c>
      <c r="C913" t="s">
        <v>17</v>
      </c>
      <c r="D913">
        <v>10</v>
      </c>
      <c r="E913">
        <v>81</v>
      </c>
      <c r="F913">
        <v>810</v>
      </c>
      <c r="G913" t="s">
        <v>600</v>
      </c>
      <c r="H913">
        <v>2018129</v>
      </c>
      <c r="I913" t="s">
        <v>19</v>
      </c>
      <c r="J913" t="s">
        <v>20</v>
      </c>
      <c r="K913" t="s">
        <v>25</v>
      </c>
      <c r="L913">
        <v>1</v>
      </c>
      <c r="M913">
        <v>0.02</v>
      </c>
      <c r="N913">
        <v>0.3</v>
      </c>
      <c r="O913">
        <v>23.9</v>
      </c>
      <c r="P913">
        <v>25.224299999999999</v>
      </c>
    </row>
    <row r="914" spans="1:16" hidden="1" x14ac:dyDescent="0.25">
      <c r="A914" s="22">
        <v>43277</v>
      </c>
      <c r="B914" t="s">
        <v>321</v>
      </c>
      <c r="C914" t="s">
        <v>17</v>
      </c>
      <c r="D914">
        <v>500</v>
      </c>
      <c r="E914">
        <v>303.45</v>
      </c>
      <c r="F914">
        <v>151725.9</v>
      </c>
      <c r="G914" t="s">
        <v>601</v>
      </c>
      <c r="H914">
        <v>2018121</v>
      </c>
      <c r="I914" t="s">
        <v>19</v>
      </c>
      <c r="J914" t="s">
        <v>20</v>
      </c>
      <c r="K914" t="s">
        <v>25</v>
      </c>
      <c r="L914">
        <v>0</v>
      </c>
      <c r="M914">
        <v>4.55</v>
      </c>
      <c r="N914">
        <v>0</v>
      </c>
      <c r="O914">
        <v>90.33</v>
      </c>
      <c r="P914">
        <v>94.881699999999995</v>
      </c>
    </row>
    <row r="915" spans="1:16" hidden="1" x14ac:dyDescent="0.25">
      <c r="A915" s="22">
        <v>43277</v>
      </c>
      <c r="B915" t="s">
        <v>321</v>
      </c>
      <c r="C915" t="s">
        <v>17</v>
      </c>
      <c r="D915">
        <v>1000</v>
      </c>
      <c r="E915">
        <v>300</v>
      </c>
      <c r="F915">
        <v>300000</v>
      </c>
      <c r="G915" t="s">
        <v>602</v>
      </c>
      <c r="H915">
        <v>2018121</v>
      </c>
      <c r="I915" t="s">
        <v>19</v>
      </c>
      <c r="J915" t="s">
        <v>20</v>
      </c>
      <c r="K915" t="s">
        <v>25</v>
      </c>
      <c r="L915">
        <v>0</v>
      </c>
      <c r="M915">
        <v>9</v>
      </c>
      <c r="N915">
        <v>0</v>
      </c>
      <c r="O915">
        <v>178.62</v>
      </c>
      <c r="P915">
        <v>187.62</v>
      </c>
    </row>
    <row r="916" spans="1:16" hidden="1" x14ac:dyDescent="0.25">
      <c r="A916" s="22">
        <v>43277</v>
      </c>
      <c r="B916" t="s">
        <v>321</v>
      </c>
      <c r="C916" t="s">
        <v>23</v>
      </c>
      <c r="D916">
        <v>1500</v>
      </c>
      <c r="E916">
        <v>298.91000000000003</v>
      </c>
      <c r="F916">
        <v>448366.65</v>
      </c>
      <c r="G916" t="s">
        <v>603</v>
      </c>
      <c r="H916">
        <v>2018121</v>
      </c>
      <c r="I916" t="s">
        <v>19</v>
      </c>
      <c r="J916" t="s">
        <v>20</v>
      </c>
      <c r="K916" t="s">
        <v>25</v>
      </c>
      <c r="L916">
        <v>113</v>
      </c>
      <c r="M916">
        <v>13.45</v>
      </c>
      <c r="N916">
        <v>27.3</v>
      </c>
      <c r="O916">
        <v>266.99</v>
      </c>
      <c r="P916">
        <v>420.74029999999999</v>
      </c>
    </row>
    <row r="917" spans="1:16" hidden="1" x14ac:dyDescent="0.25">
      <c r="A917" s="22">
        <v>43273</v>
      </c>
      <c r="B917" t="s">
        <v>321</v>
      </c>
      <c r="C917" t="s">
        <v>17</v>
      </c>
      <c r="D917">
        <v>100</v>
      </c>
      <c r="E917">
        <v>313.60000000000002</v>
      </c>
      <c r="F917">
        <v>31359.75</v>
      </c>
      <c r="G917" t="s">
        <v>604</v>
      </c>
      <c r="H917">
        <v>2018119</v>
      </c>
      <c r="I917" t="s">
        <v>19</v>
      </c>
      <c r="J917" t="s">
        <v>20</v>
      </c>
      <c r="K917" t="s">
        <v>25</v>
      </c>
      <c r="L917">
        <v>0</v>
      </c>
      <c r="M917">
        <v>0.94</v>
      </c>
      <c r="N917">
        <v>23.4</v>
      </c>
      <c r="O917">
        <v>29.67</v>
      </c>
      <c r="P917">
        <v>54.0107</v>
      </c>
    </row>
    <row r="918" spans="1:16" hidden="1" x14ac:dyDescent="0.25">
      <c r="A918" s="22">
        <v>43273</v>
      </c>
      <c r="B918" t="s">
        <v>321</v>
      </c>
      <c r="C918" t="s">
        <v>17</v>
      </c>
      <c r="D918">
        <v>500</v>
      </c>
      <c r="E918">
        <v>313</v>
      </c>
      <c r="F918">
        <v>156500</v>
      </c>
      <c r="G918" t="s">
        <v>605</v>
      </c>
      <c r="H918">
        <v>2018119</v>
      </c>
      <c r="I918" t="s">
        <v>19</v>
      </c>
      <c r="J918" t="s">
        <v>20</v>
      </c>
      <c r="K918" t="s">
        <v>25</v>
      </c>
      <c r="L918">
        <v>0</v>
      </c>
      <c r="M918">
        <v>4.7</v>
      </c>
      <c r="N918">
        <v>0</v>
      </c>
      <c r="O918">
        <v>93.18</v>
      </c>
      <c r="P918">
        <v>97.875100000000003</v>
      </c>
    </row>
    <row r="919" spans="1:16" hidden="1" x14ac:dyDescent="0.25">
      <c r="A919" s="22">
        <v>43273</v>
      </c>
      <c r="B919" t="s">
        <v>321</v>
      </c>
      <c r="C919" t="s">
        <v>17</v>
      </c>
      <c r="D919">
        <v>500</v>
      </c>
      <c r="E919">
        <v>309.25</v>
      </c>
      <c r="F919">
        <v>154625</v>
      </c>
      <c r="G919" t="s">
        <v>606</v>
      </c>
      <c r="H919">
        <v>2018119</v>
      </c>
      <c r="I919" t="s">
        <v>19</v>
      </c>
      <c r="J919" t="s">
        <v>20</v>
      </c>
      <c r="K919" t="s">
        <v>25</v>
      </c>
      <c r="L919">
        <v>0</v>
      </c>
      <c r="M919">
        <v>4.6399999999999997</v>
      </c>
      <c r="N919">
        <v>0</v>
      </c>
      <c r="O919">
        <v>92.06</v>
      </c>
      <c r="P919">
        <v>96.698700000000002</v>
      </c>
    </row>
    <row r="920" spans="1:16" hidden="1" x14ac:dyDescent="0.25">
      <c r="A920" s="22">
        <v>43273</v>
      </c>
      <c r="B920" t="s">
        <v>321</v>
      </c>
      <c r="C920" t="s">
        <v>17</v>
      </c>
      <c r="D920">
        <v>150</v>
      </c>
      <c r="E920">
        <v>311.25</v>
      </c>
      <c r="F920">
        <v>46687.5</v>
      </c>
      <c r="G920" t="s">
        <v>607</v>
      </c>
      <c r="H920">
        <v>2018119</v>
      </c>
      <c r="I920" t="s">
        <v>19</v>
      </c>
      <c r="J920" t="s">
        <v>20</v>
      </c>
      <c r="K920" t="s">
        <v>25</v>
      </c>
      <c r="L920">
        <v>0</v>
      </c>
      <c r="M920">
        <v>1.4</v>
      </c>
      <c r="N920">
        <v>0</v>
      </c>
      <c r="O920">
        <v>29.75</v>
      </c>
      <c r="P920">
        <v>31.150600000000001</v>
      </c>
    </row>
    <row r="921" spans="1:16" hidden="1" x14ac:dyDescent="0.25">
      <c r="A921" s="22">
        <v>43273</v>
      </c>
      <c r="B921" t="s">
        <v>321</v>
      </c>
      <c r="C921" t="s">
        <v>23</v>
      </c>
      <c r="D921">
        <v>1250</v>
      </c>
      <c r="E921">
        <v>310.25</v>
      </c>
      <c r="F921">
        <v>387812.5</v>
      </c>
      <c r="G921" t="s">
        <v>608</v>
      </c>
      <c r="H921">
        <v>2018119</v>
      </c>
      <c r="I921" t="s">
        <v>19</v>
      </c>
      <c r="J921" t="s">
        <v>20</v>
      </c>
      <c r="K921" t="s">
        <v>25</v>
      </c>
      <c r="L921">
        <v>97</v>
      </c>
      <c r="M921">
        <v>11.63</v>
      </c>
      <c r="N921">
        <v>0</v>
      </c>
      <c r="O921">
        <v>230.91</v>
      </c>
      <c r="P921">
        <v>339.54450000000003</v>
      </c>
    </row>
    <row r="922" spans="1:16" hidden="1" x14ac:dyDescent="0.25">
      <c r="A922" s="22">
        <v>43271</v>
      </c>
      <c r="B922" t="s">
        <v>321</v>
      </c>
      <c r="C922" t="s">
        <v>17</v>
      </c>
      <c r="D922">
        <v>250</v>
      </c>
      <c r="E922">
        <v>309</v>
      </c>
      <c r="F922">
        <v>77250</v>
      </c>
      <c r="G922" t="s">
        <v>609</v>
      </c>
      <c r="H922">
        <v>2018117</v>
      </c>
      <c r="I922" t="s">
        <v>19</v>
      </c>
      <c r="J922" t="s">
        <v>20</v>
      </c>
      <c r="K922" t="s">
        <v>25</v>
      </c>
      <c r="L922">
        <v>0</v>
      </c>
      <c r="M922">
        <v>2.3199999999999998</v>
      </c>
      <c r="N922">
        <v>0</v>
      </c>
      <c r="O922">
        <v>45.99</v>
      </c>
      <c r="P922">
        <v>48.307499999999997</v>
      </c>
    </row>
    <row r="923" spans="1:16" hidden="1" x14ac:dyDescent="0.25">
      <c r="A923" s="22">
        <v>43271</v>
      </c>
      <c r="B923" t="s">
        <v>321</v>
      </c>
      <c r="C923" t="s">
        <v>23</v>
      </c>
      <c r="D923">
        <v>250</v>
      </c>
      <c r="E923">
        <v>308.25</v>
      </c>
      <c r="F923">
        <v>77062.5</v>
      </c>
      <c r="G923" t="s">
        <v>610</v>
      </c>
      <c r="H923">
        <v>2018117</v>
      </c>
      <c r="I923" t="s">
        <v>19</v>
      </c>
      <c r="J923" t="s">
        <v>20</v>
      </c>
      <c r="K923" t="s">
        <v>25</v>
      </c>
      <c r="L923">
        <v>19.45</v>
      </c>
      <c r="M923">
        <v>2.31</v>
      </c>
      <c r="N923">
        <v>6.3</v>
      </c>
      <c r="O923">
        <v>45.87</v>
      </c>
      <c r="P923">
        <v>73.931899999999999</v>
      </c>
    </row>
    <row r="924" spans="1:16" hidden="1" x14ac:dyDescent="0.25">
      <c r="A924" s="22">
        <v>43271</v>
      </c>
      <c r="B924" t="s">
        <v>179</v>
      </c>
      <c r="C924" t="s">
        <v>23</v>
      </c>
      <c r="D924">
        <v>900</v>
      </c>
      <c r="E924">
        <v>59.5</v>
      </c>
      <c r="F924">
        <v>53550</v>
      </c>
      <c r="G924" t="s">
        <v>611</v>
      </c>
      <c r="H924">
        <v>2018117</v>
      </c>
      <c r="I924" t="s">
        <v>19</v>
      </c>
      <c r="J924" t="s">
        <v>20</v>
      </c>
      <c r="K924" t="s">
        <v>25</v>
      </c>
      <c r="L924">
        <v>53.55</v>
      </c>
      <c r="M924">
        <v>1.61</v>
      </c>
      <c r="N924">
        <v>0</v>
      </c>
      <c r="O924">
        <v>347.82</v>
      </c>
      <c r="P924">
        <v>402.97660000000002</v>
      </c>
    </row>
    <row r="925" spans="1:16" hidden="1" x14ac:dyDescent="0.25">
      <c r="A925" s="22">
        <v>43270</v>
      </c>
      <c r="B925" t="s">
        <v>321</v>
      </c>
      <c r="C925" t="s">
        <v>23</v>
      </c>
      <c r="D925">
        <v>1000</v>
      </c>
      <c r="E925">
        <v>315</v>
      </c>
      <c r="F925">
        <v>315000</v>
      </c>
      <c r="G925" t="s">
        <v>612</v>
      </c>
      <c r="H925">
        <v>2018116</v>
      </c>
      <c r="I925" t="s">
        <v>19</v>
      </c>
      <c r="J925" t="s">
        <v>1526</v>
      </c>
      <c r="K925" t="s">
        <v>25</v>
      </c>
      <c r="L925">
        <v>315</v>
      </c>
      <c r="M925">
        <v>9.4499999999999993</v>
      </c>
      <c r="N925">
        <v>9.6</v>
      </c>
      <c r="O925">
        <v>2046.11</v>
      </c>
      <c r="P925">
        <v>2380.1606999999999</v>
      </c>
    </row>
    <row r="926" spans="1:16" hidden="1" x14ac:dyDescent="0.25">
      <c r="A926" s="22">
        <v>43269</v>
      </c>
      <c r="B926" t="s">
        <v>321</v>
      </c>
      <c r="C926" t="s">
        <v>17</v>
      </c>
      <c r="D926">
        <v>250</v>
      </c>
      <c r="E926">
        <v>322.10000000000002</v>
      </c>
      <c r="F926">
        <v>80525</v>
      </c>
      <c r="G926" t="s">
        <v>613</v>
      </c>
      <c r="H926">
        <v>2018115</v>
      </c>
      <c r="I926" t="s">
        <v>19</v>
      </c>
      <c r="J926" t="s">
        <v>1526</v>
      </c>
      <c r="K926" t="s">
        <v>25</v>
      </c>
      <c r="L926">
        <v>0</v>
      </c>
      <c r="M926">
        <v>2.42</v>
      </c>
      <c r="N926">
        <v>0</v>
      </c>
      <c r="O926">
        <v>47.94</v>
      </c>
      <c r="P926">
        <v>50.355800000000002</v>
      </c>
    </row>
    <row r="927" spans="1:16" hidden="1" x14ac:dyDescent="0.25">
      <c r="A927" s="22">
        <v>43269</v>
      </c>
      <c r="B927" t="s">
        <v>321</v>
      </c>
      <c r="C927" t="s">
        <v>23</v>
      </c>
      <c r="D927">
        <v>250</v>
      </c>
      <c r="E927">
        <v>323.85000000000002</v>
      </c>
      <c r="F927">
        <v>80962.5</v>
      </c>
      <c r="G927" t="s">
        <v>614</v>
      </c>
      <c r="H927">
        <v>2018115</v>
      </c>
      <c r="I927" t="s">
        <v>19</v>
      </c>
      <c r="J927" t="s">
        <v>1526</v>
      </c>
      <c r="K927" t="s">
        <v>25</v>
      </c>
      <c r="L927">
        <v>19.97</v>
      </c>
      <c r="M927">
        <v>2.4300000000000002</v>
      </c>
      <c r="N927">
        <v>33.9</v>
      </c>
      <c r="O927">
        <v>48.2</v>
      </c>
      <c r="P927">
        <v>104.49930000000001</v>
      </c>
    </row>
    <row r="928" spans="1:16" hidden="1" x14ac:dyDescent="0.25">
      <c r="A928" s="22">
        <v>43269</v>
      </c>
      <c r="B928" t="s">
        <v>321</v>
      </c>
      <c r="C928" t="s">
        <v>17</v>
      </c>
      <c r="D928">
        <v>1000</v>
      </c>
      <c r="E928">
        <v>323.5</v>
      </c>
      <c r="F928">
        <v>323500</v>
      </c>
      <c r="G928" t="s">
        <v>615</v>
      </c>
      <c r="H928">
        <v>2018115</v>
      </c>
      <c r="I928" t="s">
        <v>19</v>
      </c>
      <c r="J928" t="s">
        <v>1526</v>
      </c>
      <c r="K928" t="s">
        <v>25</v>
      </c>
      <c r="L928">
        <v>0</v>
      </c>
      <c r="M928">
        <v>9.6999999999999993</v>
      </c>
      <c r="N928">
        <v>0</v>
      </c>
      <c r="O928">
        <v>192.62</v>
      </c>
      <c r="P928">
        <v>202.32490000000001</v>
      </c>
    </row>
    <row r="929" spans="1:16" hidden="1" x14ac:dyDescent="0.25">
      <c r="A929" s="22">
        <v>43269</v>
      </c>
      <c r="B929" t="s">
        <v>321</v>
      </c>
      <c r="C929" t="s">
        <v>23</v>
      </c>
      <c r="D929">
        <v>1000</v>
      </c>
      <c r="E929">
        <v>322.25</v>
      </c>
      <c r="F929">
        <v>322250</v>
      </c>
      <c r="G929" t="s">
        <v>616</v>
      </c>
      <c r="H929">
        <v>2018115</v>
      </c>
      <c r="I929" t="s">
        <v>19</v>
      </c>
      <c r="J929" t="s">
        <v>1526</v>
      </c>
      <c r="K929" t="s">
        <v>25</v>
      </c>
      <c r="L929">
        <v>80.61</v>
      </c>
      <c r="M929">
        <v>9.67</v>
      </c>
      <c r="N929">
        <v>0</v>
      </c>
      <c r="O929">
        <v>191.87</v>
      </c>
      <c r="P929">
        <v>282.14749999999998</v>
      </c>
    </row>
    <row r="930" spans="1:16" hidden="1" x14ac:dyDescent="0.25">
      <c r="A930" s="22">
        <v>43269</v>
      </c>
      <c r="B930" t="s">
        <v>321</v>
      </c>
      <c r="C930" t="s">
        <v>17</v>
      </c>
      <c r="D930">
        <v>1000</v>
      </c>
      <c r="E930">
        <v>321.25</v>
      </c>
      <c r="F930">
        <v>321250</v>
      </c>
      <c r="G930" t="s">
        <v>617</v>
      </c>
      <c r="H930">
        <v>2018115</v>
      </c>
      <c r="I930" t="s">
        <v>19</v>
      </c>
      <c r="J930" t="s">
        <v>1526</v>
      </c>
      <c r="K930" t="s">
        <v>25</v>
      </c>
      <c r="L930">
        <v>322.43</v>
      </c>
      <c r="M930">
        <v>9.64</v>
      </c>
      <c r="N930">
        <v>0</v>
      </c>
      <c r="O930">
        <v>2086.64</v>
      </c>
      <c r="P930">
        <v>2418.7078000000001</v>
      </c>
    </row>
    <row r="931" spans="1:16" hidden="1" x14ac:dyDescent="0.25">
      <c r="A931" s="22">
        <v>43266</v>
      </c>
      <c r="B931" t="s">
        <v>51</v>
      </c>
      <c r="C931" t="s">
        <v>17</v>
      </c>
      <c r="D931">
        <v>60</v>
      </c>
      <c r="E931">
        <v>280</v>
      </c>
      <c r="F931">
        <v>16800</v>
      </c>
      <c r="G931" t="s">
        <v>618</v>
      </c>
      <c r="H931">
        <v>2018114</v>
      </c>
      <c r="I931" t="s">
        <v>19</v>
      </c>
      <c r="J931" t="s">
        <v>20</v>
      </c>
      <c r="K931" t="s">
        <v>25</v>
      </c>
      <c r="L931">
        <v>0</v>
      </c>
      <c r="M931">
        <v>0.5</v>
      </c>
      <c r="N931">
        <v>34.200000000000003</v>
      </c>
      <c r="O931">
        <v>29.59</v>
      </c>
      <c r="P931">
        <v>64.293999999999997</v>
      </c>
    </row>
    <row r="932" spans="1:16" hidden="1" x14ac:dyDescent="0.25">
      <c r="A932" s="22">
        <v>43266</v>
      </c>
      <c r="B932" t="s">
        <v>51</v>
      </c>
      <c r="C932" t="s">
        <v>23</v>
      </c>
      <c r="D932">
        <v>60</v>
      </c>
      <c r="E932">
        <v>281.85000000000002</v>
      </c>
      <c r="F932">
        <v>16910.75</v>
      </c>
      <c r="G932" t="s">
        <v>619</v>
      </c>
      <c r="H932">
        <v>2018114</v>
      </c>
      <c r="I932" t="s">
        <v>19</v>
      </c>
      <c r="J932" t="s">
        <v>20</v>
      </c>
      <c r="K932" t="s">
        <v>25</v>
      </c>
      <c r="L932">
        <v>3.98</v>
      </c>
      <c r="M932">
        <v>0.51</v>
      </c>
      <c r="N932">
        <v>0</v>
      </c>
      <c r="O932">
        <v>29.59</v>
      </c>
      <c r="P932">
        <v>34.077300000000001</v>
      </c>
    </row>
    <row r="933" spans="1:16" hidden="1" x14ac:dyDescent="0.25">
      <c r="A933" s="22">
        <v>43266</v>
      </c>
      <c r="B933" t="s">
        <v>65</v>
      </c>
      <c r="C933" t="s">
        <v>17</v>
      </c>
      <c r="D933">
        <v>1000</v>
      </c>
      <c r="E933">
        <v>92.8</v>
      </c>
      <c r="F933">
        <v>92800</v>
      </c>
      <c r="G933" t="s">
        <v>620</v>
      </c>
      <c r="H933">
        <v>2018114</v>
      </c>
      <c r="I933" t="s">
        <v>19</v>
      </c>
      <c r="J933" t="s">
        <v>20</v>
      </c>
      <c r="K933" t="s">
        <v>25</v>
      </c>
      <c r="L933">
        <v>0</v>
      </c>
      <c r="M933">
        <v>2.78</v>
      </c>
      <c r="N933">
        <v>0</v>
      </c>
      <c r="O933">
        <v>55.26</v>
      </c>
      <c r="P933">
        <v>58.043900000000001</v>
      </c>
    </row>
    <row r="934" spans="1:16" hidden="1" x14ac:dyDescent="0.25">
      <c r="A934" s="22">
        <v>43266</v>
      </c>
      <c r="B934" t="s">
        <v>65</v>
      </c>
      <c r="C934" t="s">
        <v>23</v>
      </c>
      <c r="D934">
        <v>1000</v>
      </c>
      <c r="E934">
        <v>92.7</v>
      </c>
      <c r="F934">
        <v>92700</v>
      </c>
      <c r="G934" t="s">
        <v>621</v>
      </c>
      <c r="H934">
        <v>2018114</v>
      </c>
      <c r="I934" t="s">
        <v>19</v>
      </c>
      <c r="J934" t="s">
        <v>20</v>
      </c>
      <c r="K934" t="s">
        <v>25</v>
      </c>
      <c r="L934">
        <v>23.19</v>
      </c>
      <c r="M934">
        <v>2.78</v>
      </c>
      <c r="N934">
        <v>0</v>
      </c>
      <c r="O934">
        <v>55.19</v>
      </c>
      <c r="P934">
        <v>81.161100000000005</v>
      </c>
    </row>
    <row r="935" spans="1:16" hidden="1" x14ac:dyDescent="0.25">
      <c r="A935" s="22">
        <v>43266</v>
      </c>
      <c r="B935" t="s">
        <v>321</v>
      </c>
      <c r="C935" t="s">
        <v>17</v>
      </c>
      <c r="D935">
        <v>1000</v>
      </c>
      <c r="E935">
        <v>306.64999999999998</v>
      </c>
      <c r="F935">
        <v>306650</v>
      </c>
      <c r="G935" t="s">
        <v>622</v>
      </c>
      <c r="H935">
        <v>2018114</v>
      </c>
      <c r="I935" t="s">
        <v>19</v>
      </c>
      <c r="J935" t="s">
        <v>20</v>
      </c>
      <c r="K935" t="s">
        <v>25</v>
      </c>
      <c r="L935">
        <v>0</v>
      </c>
      <c r="M935">
        <v>9.1999999999999993</v>
      </c>
      <c r="N935">
        <v>0</v>
      </c>
      <c r="O935">
        <v>182.56</v>
      </c>
      <c r="P935">
        <v>191.7595</v>
      </c>
    </row>
    <row r="936" spans="1:16" hidden="1" x14ac:dyDescent="0.25">
      <c r="A936" s="22">
        <v>43266</v>
      </c>
      <c r="B936" t="s">
        <v>321</v>
      </c>
      <c r="C936" t="s">
        <v>17</v>
      </c>
      <c r="D936">
        <v>500</v>
      </c>
      <c r="E936">
        <v>304.3</v>
      </c>
      <c r="F936">
        <v>152150</v>
      </c>
      <c r="G936" t="s">
        <v>623</v>
      </c>
      <c r="H936">
        <v>2018114</v>
      </c>
      <c r="I936" t="s">
        <v>19</v>
      </c>
      <c r="J936" t="s">
        <v>20</v>
      </c>
      <c r="K936" t="s">
        <v>25</v>
      </c>
      <c r="L936">
        <v>0</v>
      </c>
      <c r="M936">
        <v>4.5599999999999996</v>
      </c>
      <c r="N936">
        <v>0</v>
      </c>
      <c r="O936">
        <v>90.59</v>
      </c>
      <c r="P936">
        <v>95.154499999999999</v>
      </c>
    </row>
    <row r="937" spans="1:16" hidden="1" x14ac:dyDescent="0.25">
      <c r="A937" s="22">
        <v>43266</v>
      </c>
      <c r="B937" t="s">
        <v>321</v>
      </c>
      <c r="C937" t="s">
        <v>23</v>
      </c>
      <c r="D937">
        <v>1500</v>
      </c>
      <c r="E937">
        <v>306.55</v>
      </c>
      <c r="F937">
        <v>459825</v>
      </c>
      <c r="G937" t="s">
        <v>624</v>
      </c>
      <c r="H937">
        <v>2018114</v>
      </c>
      <c r="I937" t="s">
        <v>19</v>
      </c>
      <c r="J937" t="s">
        <v>20</v>
      </c>
      <c r="K937" t="s">
        <v>25</v>
      </c>
      <c r="L937">
        <v>114.83</v>
      </c>
      <c r="M937">
        <v>13.79</v>
      </c>
      <c r="N937">
        <v>0</v>
      </c>
      <c r="O937">
        <v>273.77999999999997</v>
      </c>
      <c r="P937">
        <v>402.40469999999999</v>
      </c>
    </row>
    <row r="938" spans="1:16" hidden="1" x14ac:dyDescent="0.25">
      <c r="A938" s="22">
        <v>43265</v>
      </c>
      <c r="B938" t="s">
        <v>397</v>
      </c>
      <c r="C938" t="s">
        <v>17</v>
      </c>
      <c r="D938">
        <v>500</v>
      </c>
      <c r="E938">
        <v>269.42</v>
      </c>
      <c r="F938">
        <v>134711.45000000001</v>
      </c>
      <c r="G938" t="s">
        <v>625</v>
      </c>
      <c r="H938">
        <v>2018113</v>
      </c>
      <c r="I938" t="s">
        <v>19</v>
      </c>
      <c r="J938" t="s">
        <v>20</v>
      </c>
      <c r="K938" t="s">
        <v>25</v>
      </c>
      <c r="L938">
        <v>0</v>
      </c>
      <c r="M938">
        <v>4.04</v>
      </c>
      <c r="N938">
        <v>8.1</v>
      </c>
      <c r="O938">
        <v>80.209999999999994</v>
      </c>
      <c r="P938">
        <v>92.351399999999998</v>
      </c>
    </row>
    <row r="939" spans="1:16" hidden="1" x14ac:dyDescent="0.25">
      <c r="A939" s="22">
        <v>43265</v>
      </c>
      <c r="B939" t="s">
        <v>397</v>
      </c>
      <c r="C939" t="s">
        <v>23</v>
      </c>
      <c r="D939">
        <v>500</v>
      </c>
      <c r="E939">
        <v>268.61</v>
      </c>
      <c r="F939">
        <v>134304.5</v>
      </c>
      <c r="G939" t="s">
        <v>626</v>
      </c>
      <c r="H939">
        <v>2018113</v>
      </c>
      <c r="I939" t="s">
        <v>19</v>
      </c>
      <c r="J939" t="s">
        <v>20</v>
      </c>
      <c r="K939" t="s">
        <v>25</v>
      </c>
      <c r="L939">
        <v>34</v>
      </c>
      <c r="M939">
        <v>4.03</v>
      </c>
      <c r="N939">
        <v>0</v>
      </c>
      <c r="O939">
        <v>79.94</v>
      </c>
      <c r="P939">
        <v>117.96899999999999</v>
      </c>
    </row>
    <row r="940" spans="1:16" hidden="1" x14ac:dyDescent="0.25">
      <c r="A940" s="22">
        <v>43264</v>
      </c>
      <c r="B940" t="s">
        <v>65</v>
      </c>
      <c r="C940" t="s">
        <v>17</v>
      </c>
      <c r="D940">
        <v>500</v>
      </c>
      <c r="E940">
        <v>92.5</v>
      </c>
      <c r="F940">
        <v>46250</v>
      </c>
      <c r="G940" t="s">
        <v>627</v>
      </c>
      <c r="H940">
        <v>2018112</v>
      </c>
      <c r="I940" t="s">
        <v>19</v>
      </c>
      <c r="J940" t="s">
        <v>20</v>
      </c>
      <c r="K940" t="s">
        <v>25</v>
      </c>
      <c r="L940">
        <v>0</v>
      </c>
      <c r="M940">
        <v>1.39</v>
      </c>
      <c r="N940">
        <v>21.9</v>
      </c>
      <c r="O940">
        <v>29.75</v>
      </c>
      <c r="P940">
        <v>53.037500000000001</v>
      </c>
    </row>
    <row r="941" spans="1:16" hidden="1" x14ac:dyDescent="0.25">
      <c r="A941" s="22">
        <v>43264</v>
      </c>
      <c r="B941" t="s">
        <v>65</v>
      </c>
      <c r="C941" t="s">
        <v>23</v>
      </c>
      <c r="D941">
        <v>500</v>
      </c>
      <c r="E941">
        <v>92.85</v>
      </c>
      <c r="F941">
        <v>46425</v>
      </c>
      <c r="G941" t="s">
        <v>628</v>
      </c>
      <c r="H941">
        <v>2018112</v>
      </c>
      <c r="I941" t="s">
        <v>19</v>
      </c>
      <c r="J941" t="s">
        <v>20</v>
      </c>
      <c r="K941" t="s">
        <v>25</v>
      </c>
      <c r="L941">
        <v>11.43</v>
      </c>
      <c r="M941">
        <v>1.39</v>
      </c>
      <c r="N941">
        <v>0</v>
      </c>
      <c r="O941">
        <v>29.75</v>
      </c>
      <c r="P941">
        <v>42.572699999999998</v>
      </c>
    </row>
    <row r="942" spans="1:16" hidden="1" x14ac:dyDescent="0.25">
      <c r="A942" s="22">
        <v>43264</v>
      </c>
      <c r="B942" t="s">
        <v>321</v>
      </c>
      <c r="C942" t="s">
        <v>17</v>
      </c>
      <c r="D942">
        <v>1000</v>
      </c>
      <c r="E942">
        <v>313.10000000000002</v>
      </c>
      <c r="F942">
        <v>313100</v>
      </c>
      <c r="G942" t="s">
        <v>629</v>
      </c>
      <c r="H942">
        <v>2018112</v>
      </c>
      <c r="I942" t="s">
        <v>19</v>
      </c>
      <c r="J942" t="s">
        <v>20</v>
      </c>
      <c r="K942" t="s">
        <v>25</v>
      </c>
      <c r="L942">
        <v>0</v>
      </c>
      <c r="M942">
        <v>9.39</v>
      </c>
      <c r="N942">
        <v>0</v>
      </c>
      <c r="O942">
        <v>186.42</v>
      </c>
      <c r="P942">
        <v>195.81290000000001</v>
      </c>
    </row>
    <row r="943" spans="1:16" hidden="1" x14ac:dyDescent="0.25">
      <c r="A943" s="22">
        <v>43264</v>
      </c>
      <c r="B943" t="s">
        <v>321</v>
      </c>
      <c r="C943" t="s">
        <v>23</v>
      </c>
      <c r="D943">
        <v>1000</v>
      </c>
      <c r="E943">
        <v>315.5</v>
      </c>
      <c r="F943">
        <v>315500</v>
      </c>
      <c r="G943" t="s">
        <v>630</v>
      </c>
      <c r="H943">
        <v>2018112</v>
      </c>
      <c r="I943" t="s">
        <v>19</v>
      </c>
      <c r="J943" t="s">
        <v>20</v>
      </c>
      <c r="K943" t="s">
        <v>25</v>
      </c>
      <c r="L943">
        <v>78.58</v>
      </c>
      <c r="M943">
        <v>9.4700000000000006</v>
      </c>
      <c r="N943">
        <v>0</v>
      </c>
      <c r="O943">
        <v>187.85</v>
      </c>
      <c r="P943">
        <v>275.89510000000001</v>
      </c>
    </row>
    <row r="944" spans="1:16" hidden="1" x14ac:dyDescent="0.25">
      <c r="A944" s="22">
        <v>43263</v>
      </c>
      <c r="B944" t="s">
        <v>282</v>
      </c>
      <c r="C944" t="s">
        <v>17</v>
      </c>
      <c r="D944">
        <v>250</v>
      </c>
      <c r="E944">
        <v>608</v>
      </c>
      <c r="F944">
        <v>152000</v>
      </c>
      <c r="G944" t="s">
        <v>631</v>
      </c>
      <c r="H944">
        <v>2018111</v>
      </c>
      <c r="I944" t="s">
        <v>19</v>
      </c>
      <c r="J944" t="s">
        <v>20</v>
      </c>
      <c r="K944" t="s">
        <v>25</v>
      </c>
      <c r="L944">
        <v>0</v>
      </c>
      <c r="M944">
        <v>4.5599999999999996</v>
      </c>
      <c r="N944">
        <v>0</v>
      </c>
      <c r="O944">
        <v>90.5</v>
      </c>
      <c r="P944">
        <v>95.06</v>
      </c>
    </row>
    <row r="945" spans="1:16" x14ac:dyDescent="0.25">
      <c r="A945" s="22">
        <v>43202</v>
      </c>
      <c r="B945" t="s">
        <v>282</v>
      </c>
      <c r="C945" t="s">
        <v>23</v>
      </c>
      <c r="D945">
        <v>500</v>
      </c>
      <c r="E945">
        <v>632</v>
      </c>
      <c r="F945">
        <v>316000</v>
      </c>
      <c r="G945" t="s">
        <v>355</v>
      </c>
      <c r="H945">
        <v>2018069</v>
      </c>
      <c r="I945" t="s">
        <v>19</v>
      </c>
      <c r="J945" t="s">
        <v>20</v>
      </c>
      <c r="K945" t="s">
        <v>25</v>
      </c>
      <c r="L945">
        <v>78.31</v>
      </c>
      <c r="M945">
        <v>9.48</v>
      </c>
      <c r="N945">
        <v>0</v>
      </c>
      <c r="O945">
        <v>188.15</v>
      </c>
      <c r="P945">
        <v>275.94</v>
      </c>
    </row>
    <row r="946" spans="1:16" hidden="1" x14ac:dyDescent="0.25">
      <c r="A946" s="22">
        <v>43263</v>
      </c>
      <c r="B946" t="s">
        <v>321</v>
      </c>
      <c r="C946" t="s">
        <v>17</v>
      </c>
      <c r="D946">
        <v>500</v>
      </c>
      <c r="E946">
        <v>316</v>
      </c>
      <c r="F946">
        <v>158000</v>
      </c>
      <c r="G946" t="s">
        <v>633</v>
      </c>
      <c r="H946">
        <v>2018111</v>
      </c>
      <c r="I946" t="s">
        <v>19</v>
      </c>
      <c r="J946" t="s">
        <v>20</v>
      </c>
      <c r="K946" t="s">
        <v>25</v>
      </c>
      <c r="L946">
        <v>0</v>
      </c>
      <c r="M946">
        <v>4.74</v>
      </c>
      <c r="N946">
        <v>30</v>
      </c>
      <c r="O946">
        <v>94.06</v>
      </c>
      <c r="P946">
        <v>128.80000000000001</v>
      </c>
    </row>
    <row r="947" spans="1:16" hidden="1" x14ac:dyDescent="0.25">
      <c r="A947" s="22">
        <v>43263</v>
      </c>
      <c r="B947" t="s">
        <v>321</v>
      </c>
      <c r="C947" t="s">
        <v>17</v>
      </c>
      <c r="D947">
        <v>250</v>
      </c>
      <c r="E947">
        <v>316.39</v>
      </c>
      <c r="F947">
        <v>79096.649999999994</v>
      </c>
      <c r="G947" t="s">
        <v>634</v>
      </c>
      <c r="H947">
        <v>2018111</v>
      </c>
      <c r="I947" t="s">
        <v>19</v>
      </c>
      <c r="J947" t="s">
        <v>20</v>
      </c>
      <c r="K947" t="s">
        <v>25</v>
      </c>
      <c r="L947">
        <v>0</v>
      </c>
      <c r="M947">
        <v>2.37</v>
      </c>
      <c r="N947">
        <v>0</v>
      </c>
      <c r="O947">
        <v>47.13</v>
      </c>
      <c r="P947">
        <v>49.502299999999998</v>
      </c>
    </row>
    <row r="948" spans="1:16" hidden="1" x14ac:dyDescent="0.25">
      <c r="A948" s="22">
        <v>43263</v>
      </c>
      <c r="B948" t="s">
        <v>321</v>
      </c>
      <c r="C948" t="s">
        <v>17</v>
      </c>
      <c r="D948">
        <v>250</v>
      </c>
      <c r="E948">
        <v>315.25</v>
      </c>
      <c r="F948">
        <v>78812.5</v>
      </c>
      <c r="G948" t="s">
        <v>635</v>
      </c>
      <c r="H948">
        <v>2018111</v>
      </c>
      <c r="I948" t="s">
        <v>19</v>
      </c>
      <c r="J948" t="s">
        <v>20</v>
      </c>
      <c r="K948" t="s">
        <v>25</v>
      </c>
      <c r="L948">
        <v>0</v>
      </c>
      <c r="M948">
        <v>2.36</v>
      </c>
      <c r="N948">
        <v>0</v>
      </c>
      <c r="O948">
        <v>46.93</v>
      </c>
      <c r="P948">
        <v>49.294400000000003</v>
      </c>
    </row>
    <row r="949" spans="1:16" hidden="1" x14ac:dyDescent="0.25">
      <c r="A949" s="22">
        <v>43263</v>
      </c>
      <c r="B949" t="s">
        <v>321</v>
      </c>
      <c r="C949" t="s">
        <v>23</v>
      </c>
      <c r="D949">
        <v>1000</v>
      </c>
      <c r="E949">
        <v>316.7</v>
      </c>
      <c r="F949">
        <v>316700</v>
      </c>
      <c r="G949" t="s">
        <v>636</v>
      </c>
      <c r="H949">
        <v>2018111</v>
      </c>
      <c r="I949" t="s">
        <v>19</v>
      </c>
      <c r="J949" t="s">
        <v>20</v>
      </c>
      <c r="K949" t="s">
        <v>25</v>
      </c>
      <c r="L949">
        <v>78.92</v>
      </c>
      <c r="M949">
        <v>9.5</v>
      </c>
      <c r="N949">
        <v>0</v>
      </c>
      <c r="O949">
        <v>188.56</v>
      </c>
      <c r="P949">
        <v>276.98099999999999</v>
      </c>
    </row>
    <row r="950" spans="1:16" x14ac:dyDescent="0.25">
      <c r="A950" s="22">
        <v>43202</v>
      </c>
      <c r="B950" t="s">
        <v>282</v>
      </c>
      <c r="C950" t="s">
        <v>23</v>
      </c>
      <c r="D950">
        <v>500</v>
      </c>
      <c r="E950">
        <v>620</v>
      </c>
      <c r="F950">
        <v>310000</v>
      </c>
      <c r="G950" t="s">
        <v>357</v>
      </c>
      <c r="H950">
        <v>2018069</v>
      </c>
      <c r="I950" t="s">
        <v>19</v>
      </c>
      <c r="J950" t="s">
        <v>20</v>
      </c>
      <c r="K950" t="s">
        <v>25</v>
      </c>
      <c r="L950">
        <v>78.69</v>
      </c>
      <c r="M950">
        <v>9.3000000000000007</v>
      </c>
      <c r="N950">
        <v>0</v>
      </c>
      <c r="O950">
        <v>184.57</v>
      </c>
      <c r="P950">
        <v>272.56009999999998</v>
      </c>
    </row>
    <row r="951" spans="1:16" hidden="1" x14ac:dyDescent="0.25">
      <c r="A951" s="22">
        <v>43262</v>
      </c>
      <c r="B951" t="s">
        <v>321</v>
      </c>
      <c r="C951" t="s">
        <v>17</v>
      </c>
      <c r="D951">
        <v>500</v>
      </c>
      <c r="E951">
        <v>311.43</v>
      </c>
      <c r="F951">
        <v>155713.15</v>
      </c>
      <c r="G951" t="s">
        <v>638</v>
      </c>
      <c r="H951">
        <v>2018110</v>
      </c>
      <c r="I951" t="s">
        <v>19</v>
      </c>
      <c r="J951" t="s">
        <v>20</v>
      </c>
      <c r="K951" t="s">
        <v>25</v>
      </c>
      <c r="L951">
        <v>0</v>
      </c>
      <c r="M951">
        <v>4.67</v>
      </c>
      <c r="N951">
        <v>11.7</v>
      </c>
      <c r="O951">
        <v>92.74</v>
      </c>
      <c r="P951">
        <v>109.11150000000001</v>
      </c>
    </row>
    <row r="952" spans="1:16" hidden="1" x14ac:dyDescent="0.25">
      <c r="A952" s="22">
        <v>43262</v>
      </c>
      <c r="B952" t="s">
        <v>256</v>
      </c>
      <c r="C952" t="s">
        <v>17</v>
      </c>
      <c r="D952">
        <v>250</v>
      </c>
      <c r="E952">
        <v>147.25</v>
      </c>
      <c r="F952">
        <v>36812.5</v>
      </c>
      <c r="G952" t="s">
        <v>639</v>
      </c>
      <c r="H952">
        <v>2018110</v>
      </c>
      <c r="I952" t="s">
        <v>19</v>
      </c>
      <c r="J952" t="s">
        <v>20</v>
      </c>
      <c r="K952" t="s">
        <v>25</v>
      </c>
      <c r="L952">
        <v>0</v>
      </c>
      <c r="M952">
        <v>1.1000000000000001</v>
      </c>
      <c r="N952">
        <v>0</v>
      </c>
      <c r="O952">
        <v>29.7</v>
      </c>
      <c r="P952">
        <v>30.804400000000001</v>
      </c>
    </row>
    <row r="953" spans="1:16" hidden="1" x14ac:dyDescent="0.25">
      <c r="A953" s="22">
        <v>43262</v>
      </c>
      <c r="B953" t="s">
        <v>321</v>
      </c>
      <c r="C953" t="s">
        <v>23</v>
      </c>
      <c r="D953">
        <v>500</v>
      </c>
      <c r="E953">
        <v>313.25</v>
      </c>
      <c r="F953">
        <v>156625</v>
      </c>
      <c r="G953" t="s">
        <v>640</v>
      </c>
      <c r="H953">
        <v>2018110</v>
      </c>
      <c r="I953" t="s">
        <v>19</v>
      </c>
      <c r="J953" t="s">
        <v>20</v>
      </c>
      <c r="K953" t="s">
        <v>25</v>
      </c>
      <c r="L953">
        <v>38.869999999999997</v>
      </c>
      <c r="M953">
        <v>4.7</v>
      </c>
      <c r="N953">
        <v>0</v>
      </c>
      <c r="O953">
        <v>93.25</v>
      </c>
      <c r="P953">
        <v>136.81870000000001</v>
      </c>
    </row>
    <row r="954" spans="1:16" hidden="1" x14ac:dyDescent="0.25">
      <c r="A954" s="22">
        <v>43262</v>
      </c>
      <c r="B954" t="s">
        <v>256</v>
      </c>
      <c r="C954" t="s">
        <v>23</v>
      </c>
      <c r="D954">
        <v>250</v>
      </c>
      <c r="E954">
        <v>144.80000000000001</v>
      </c>
      <c r="F954">
        <v>36200</v>
      </c>
      <c r="G954" t="s">
        <v>641</v>
      </c>
      <c r="H954">
        <v>2018110</v>
      </c>
      <c r="I954" t="s">
        <v>19</v>
      </c>
      <c r="J954" t="s">
        <v>20</v>
      </c>
      <c r="K954" t="s">
        <v>25</v>
      </c>
      <c r="L954">
        <v>9.1300000000000008</v>
      </c>
      <c r="M954">
        <v>1.0900000000000001</v>
      </c>
      <c r="N954">
        <v>0</v>
      </c>
      <c r="O954">
        <v>29.69</v>
      </c>
      <c r="P954">
        <v>39.905999999999999</v>
      </c>
    </row>
    <row r="955" spans="1:16" hidden="1" x14ac:dyDescent="0.25">
      <c r="A955" s="22">
        <v>43259</v>
      </c>
      <c r="B955" t="s">
        <v>282</v>
      </c>
      <c r="C955" t="s">
        <v>17</v>
      </c>
      <c r="D955">
        <v>100</v>
      </c>
      <c r="E955">
        <v>610</v>
      </c>
      <c r="F955">
        <v>61000</v>
      </c>
      <c r="G955" t="s">
        <v>642</v>
      </c>
      <c r="H955">
        <v>2018109</v>
      </c>
      <c r="I955" t="s">
        <v>19</v>
      </c>
      <c r="J955" t="s">
        <v>20</v>
      </c>
      <c r="K955" t="s">
        <v>25</v>
      </c>
      <c r="L955">
        <v>0</v>
      </c>
      <c r="M955">
        <v>1.83</v>
      </c>
      <c r="N955">
        <v>0</v>
      </c>
      <c r="O955">
        <v>36.32</v>
      </c>
      <c r="P955">
        <v>38.15</v>
      </c>
    </row>
    <row r="956" spans="1:16" x14ac:dyDescent="0.25">
      <c r="A956" s="22">
        <v>43203</v>
      </c>
      <c r="B956" t="s">
        <v>282</v>
      </c>
      <c r="C956" t="s">
        <v>23</v>
      </c>
      <c r="D956">
        <v>500</v>
      </c>
      <c r="E956">
        <v>623.5</v>
      </c>
      <c r="F956">
        <v>311750</v>
      </c>
      <c r="G956" t="s">
        <v>353</v>
      </c>
      <c r="H956">
        <v>2018070</v>
      </c>
      <c r="I956" t="s">
        <v>19</v>
      </c>
      <c r="J956" t="s">
        <v>20</v>
      </c>
      <c r="K956" t="s">
        <v>25</v>
      </c>
      <c r="L956">
        <v>78</v>
      </c>
      <c r="M956">
        <v>9.35</v>
      </c>
      <c r="N956">
        <v>18.899999999999999</v>
      </c>
      <c r="O956">
        <v>185.61</v>
      </c>
      <c r="P956">
        <v>291.8623</v>
      </c>
    </row>
    <row r="957" spans="1:16" hidden="1" x14ac:dyDescent="0.25">
      <c r="A957" s="22">
        <v>43258</v>
      </c>
      <c r="B957" t="s">
        <v>644</v>
      </c>
      <c r="C957" t="s">
        <v>17</v>
      </c>
      <c r="D957">
        <v>1000</v>
      </c>
      <c r="E957">
        <v>57.9</v>
      </c>
      <c r="F957">
        <v>57900</v>
      </c>
      <c r="G957" t="s">
        <v>645</v>
      </c>
      <c r="H957">
        <v>2018108</v>
      </c>
      <c r="I957" t="s">
        <v>19</v>
      </c>
      <c r="J957" t="s">
        <v>20</v>
      </c>
      <c r="K957" t="s">
        <v>25</v>
      </c>
      <c r="L957">
        <v>0</v>
      </c>
      <c r="M957">
        <v>1.74</v>
      </c>
      <c r="N957">
        <v>0</v>
      </c>
      <c r="O957">
        <v>34.46</v>
      </c>
      <c r="P957">
        <v>36.197099999999999</v>
      </c>
    </row>
    <row r="958" spans="1:16" hidden="1" x14ac:dyDescent="0.25">
      <c r="A958" s="22">
        <v>43258</v>
      </c>
      <c r="B958" t="s">
        <v>644</v>
      </c>
      <c r="C958" t="s">
        <v>17</v>
      </c>
      <c r="D958">
        <v>500</v>
      </c>
      <c r="E958">
        <v>57.45</v>
      </c>
      <c r="F958">
        <v>28725</v>
      </c>
      <c r="G958" t="s">
        <v>646</v>
      </c>
      <c r="H958">
        <v>2018108</v>
      </c>
      <c r="I958" t="s">
        <v>19</v>
      </c>
      <c r="J958" t="s">
        <v>20</v>
      </c>
      <c r="K958" t="s">
        <v>25</v>
      </c>
      <c r="L958">
        <v>0</v>
      </c>
      <c r="M958">
        <v>0.86</v>
      </c>
      <c r="N958">
        <v>5.4</v>
      </c>
      <c r="O958">
        <v>29.66</v>
      </c>
      <c r="P958">
        <v>35.921799999999998</v>
      </c>
    </row>
    <row r="959" spans="1:16" hidden="1" x14ac:dyDescent="0.25">
      <c r="A959" s="22">
        <v>43258</v>
      </c>
      <c r="B959" t="s">
        <v>644</v>
      </c>
      <c r="C959" t="s">
        <v>23</v>
      </c>
      <c r="D959">
        <v>1500</v>
      </c>
      <c r="E959">
        <v>57.85</v>
      </c>
      <c r="F959">
        <v>86775</v>
      </c>
      <c r="G959" t="s">
        <v>647</v>
      </c>
      <c r="H959">
        <v>2018108</v>
      </c>
      <c r="I959" t="s">
        <v>19</v>
      </c>
      <c r="J959" t="s">
        <v>20</v>
      </c>
      <c r="K959" t="s">
        <v>25</v>
      </c>
      <c r="L959">
        <v>22</v>
      </c>
      <c r="M959">
        <v>2.6</v>
      </c>
      <c r="N959">
        <v>0</v>
      </c>
      <c r="O959">
        <v>51.67</v>
      </c>
      <c r="P959">
        <v>76.273300000000006</v>
      </c>
    </row>
    <row r="960" spans="1:16" hidden="1" x14ac:dyDescent="0.25">
      <c r="A960" s="22">
        <v>43257</v>
      </c>
      <c r="B960" t="s">
        <v>282</v>
      </c>
      <c r="C960" t="s">
        <v>17</v>
      </c>
      <c r="D960">
        <v>100</v>
      </c>
      <c r="E960">
        <v>600</v>
      </c>
      <c r="F960">
        <v>60000</v>
      </c>
      <c r="G960" t="s">
        <v>648</v>
      </c>
      <c r="H960">
        <v>2018107</v>
      </c>
      <c r="I960" t="s">
        <v>19</v>
      </c>
      <c r="J960" t="s">
        <v>20</v>
      </c>
      <c r="K960" t="s">
        <v>25</v>
      </c>
      <c r="L960">
        <v>0</v>
      </c>
      <c r="M960">
        <v>1.8</v>
      </c>
      <c r="N960">
        <v>0</v>
      </c>
      <c r="O960">
        <v>35.72</v>
      </c>
      <c r="P960">
        <v>37.520000000000003</v>
      </c>
    </row>
    <row r="961" spans="1:16" hidden="1" x14ac:dyDescent="0.25">
      <c r="A961" s="22">
        <v>43257</v>
      </c>
      <c r="B961" t="s">
        <v>282</v>
      </c>
      <c r="C961" t="s">
        <v>17</v>
      </c>
      <c r="D961">
        <v>150</v>
      </c>
      <c r="E961">
        <v>603</v>
      </c>
      <c r="F961">
        <v>90450</v>
      </c>
      <c r="G961" t="s">
        <v>649</v>
      </c>
      <c r="H961">
        <v>2018107</v>
      </c>
      <c r="I961" t="s">
        <v>19</v>
      </c>
      <c r="J961" t="s">
        <v>20</v>
      </c>
      <c r="K961" t="s">
        <v>25</v>
      </c>
      <c r="L961">
        <v>0</v>
      </c>
      <c r="M961">
        <v>2.71</v>
      </c>
      <c r="N961">
        <v>0</v>
      </c>
      <c r="O961">
        <v>53.85</v>
      </c>
      <c r="P961">
        <v>56.563499999999998</v>
      </c>
    </row>
    <row r="962" spans="1:16" x14ac:dyDescent="0.25">
      <c r="A962" s="22">
        <v>43210</v>
      </c>
      <c r="B962" t="s">
        <v>282</v>
      </c>
      <c r="C962" t="s">
        <v>23</v>
      </c>
      <c r="D962">
        <v>100</v>
      </c>
      <c r="E962">
        <v>633</v>
      </c>
      <c r="F962">
        <v>63300</v>
      </c>
      <c r="G962" t="s">
        <v>401</v>
      </c>
      <c r="H962">
        <v>2018075</v>
      </c>
      <c r="I962" t="s">
        <v>19</v>
      </c>
      <c r="J962" t="s">
        <v>20</v>
      </c>
      <c r="K962" t="s">
        <v>25</v>
      </c>
      <c r="L962">
        <v>16</v>
      </c>
      <c r="M962">
        <v>1.9</v>
      </c>
      <c r="N962">
        <v>3.9</v>
      </c>
      <c r="O962">
        <v>37.69</v>
      </c>
      <c r="P962">
        <v>59.489100000000001</v>
      </c>
    </row>
    <row r="963" spans="1:16" hidden="1" x14ac:dyDescent="0.25">
      <c r="A963" s="22">
        <v>43257</v>
      </c>
      <c r="B963" t="s">
        <v>16</v>
      </c>
      <c r="C963" t="s">
        <v>17</v>
      </c>
      <c r="D963">
        <v>1500</v>
      </c>
      <c r="E963">
        <v>68.150000000000006</v>
      </c>
      <c r="F963">
        <v>102225</v>
      </c>
      <c r="G963" t="s">
        <v>651</v>
      </c>
      <c r="H963">
        <v>2018107</v>
      </c>
      <c r="I963" t="s">
        <v>19</v>
      </c>
      <c r="J963" t="s">
        <v>20</v>
      </c>
      <c r="K963" t="s">
        <v>25</v>
      </c>
      <c r="L963">
        <v>0</v>
      </c>
      <c r="M963">
        <v>3.07</v>
      </c>
      <c r="N963">
        <v>0</v>
      </c>
      <c r="O963">
        <v>60.86</v>
      </c>
      <c r="P963">
        <v>63.926699999999997</v>
      </c>
    </row>
    <row r="964" spans="1:16" hidden="1" x14ac:dyDescent="0.25">
      <c r="A964" s="22">
        <v>43257</v>
      </c>
      <c r="B964" t="s">
        <v>16</v>
      </c>
      <c r="C964" t="s">
        <v>23</v>
      </c>
      <c r="D964">
        <v>1500</v>
      </c>
      <c r="E964">
        <v>66.67</v>
      </c>
      <c r="F964">
        <v>99997.9</v>
      </c>
      <c r="G964" t="s">
        <v>652</v>
      </c>
      <c r="H964">
        <v>2018107</v>
      </c>
      <c r="I964" t="s">
        <v>19</v>
      </c>
      <c r="J964" t="s">
        <v>20</v>
      </c>
      <c r="K964" t="s">
        <v>25</v>
      </c>
      <c r="L964">
        <v>25.1</v>
      </c>
      <c r="M964">
        <v>3</v>
      </c>
      <c r="N964">
        <v>20.100000000000001</v>
      </c>
      <c r="O964">
        <v>59.54</v>
      </c>
      <c r="P964">
        <v>107.73990000000001</v>
      </c>
    </row>
    <row r="965" spans="1:16" hidden="1" x14ac:dyDescent="0.25">
      <c r="A965" s="22">
        <v>43257</v>
      </c>
      <c r="B965" t="s">
        <v>433</v>
      </c>
      <c r="C965" t="s">
        <v>17</v>
      </c>
      <c r="D965">
        <v>5000</v>
      </c>
      <c r="E965">
        <v>15.85</v>
      </c>
      <c r="F965">
        <v>79250</v>
      </c>
      <c r="G965" t="s">
        <v>653</v>
      </c>
      <c r="H965">
        <v>2018107</v>
      </c>
      <c r="I965" t="s">
        <v>19</v>
      </c>
      <c r="J965" t="s">
        <v>20</v>
      </c>
      <c r="K965" t="s">
        <v>25</v>
      </c>
      <c r="L965">
        <v>0</v>
      </c>
      <c r="M965">
        <v>2.38</v>
      </c>
      <c r="N965">
        <v>0</v>
      </c>
      <c r="O965">
        <v>47.19</v>
      </c>
      <c r="P965">
        <v>49.567500000000003</v>
      </c>
    </row>
    <row r="966" spans="1:16" hidden="1" x14ac:dyDescent="0.25">
      <c r="A966" s="22">
        <v>43257</v>
      </c>
      <c r="B966" t="s">
        <v>433</v>
      </c>
      <c r="C966" t="s">
        <v>23</v>
      </c>
      <c r="D966">
        <v>5000</v>
      </c>
      <c r="E966">
        <v>16.100000000000001</v>
      </c>
      <c r="F966">
        <v>80500</v>
      </c>
      <c r="G966" t="s">
        <v>654</v>
      </c>
      <c r="H966">
        <v>2018107</v>
      </c>
      <c r="I966" t="s">
        <v>19</v>
      </c>
      <c r="J966" t="s">
        <v>20</v>
      </c>
      <c r="K966" t="s">
        <v>25</v>
      </c>
      <c r="L966">
        <v>19.97</v>
      </c>
      <c r="M966">
        <v>2.42</v>
      </c>
      <c r="N966">
        <v>0</v>
      </c>
      <c r="O966">
        <v>47.93</v>
      </c>
      <c r="P966">
        <v>70.315100000000001</v>
      </c>
    </row>
    <row r="967" spans="1:16" hidden="1" x14ac:dyDescent="0.25">
      <c r="A967" s="22">
        <v>43256</v>
      </c>
      <c r="B967" t="s">
        <v>256</v>
      </c>
      <c r="C967" t="s">
        <v>17</v>
      </c>
      <c r="D967">
        <v>100</v>
      </c>
      <c r="E967">
        <v>130</v>
      </c>
      <c r="F967">
        <v>13000</v>
      </c>
      <c r="G967" t="s">
        <v>490</v>
      </c>
      <c r="H967">
        <v>2018106</v>
      </c>
      <c r="I967" t="s">
        <v>19</v>
      </c>
      <c r="J967" t="s">
        <v>20</v>
      </c>
      <c r="K967" t="s">
        <v>25</v>
      </c>
      <c r="L967">
        <v>0</v>
      </c>
      <c r="M967">
        <v>0.39</v>
      </c>
      <c r="N967">
        <v>0</v>
      </c>
      <c r="O967">
        <v>29.57</v>
      </c>
      <c r="P967">
        <v>29.96</v>
      </c>
    </row>
    <row r="968" spans="1:16" hidden="1" x14ac:dyDescent="0.25">
      <c r="A968" s="22">
        <v>43256</v>
      </c>
      <c r="B968" t="s">
        <v>256</v>
      </c>
      <c r="C968" t="s">
        <v>17</v>
      </c>
      <c r="D968">
        <v>150</v>
      </c>
      <c r="E968">
        <v>130.5</v>
      </c>
      <c r="F968">
        <v>19575</v>
      </c>
      <c r="G968" t="s">
        <v>491</v>
      </c>
      <c r="H968">
        <v>2018106</v>
      </c>
      <c r="I968" t="s">
        <v>19</v>
      </c>
      <c r="J968" t="s">
        <v>20</v>
      </c>
      <c r="K968" t="s">
        <v>25</v>
      </c>
      <c r="L968">
        <v>0</v>
      </c>
      <c r="M968">
        <v>0.59</v>
      </c>
      <c r="N968">
        <v>0</v>
      </c>
      <c r="O968">
        <v>29.61</v>
      </c>
      <c r="P968">
        <v>30.197299999999998</v>
      </c>
    </row>
    <row r="969" spans="1:16" hidden="1" x14ac:dyDescent="0.25">
      <c r="A969" s="22">
        <v>43256</v>
      </c>
      <c r="B969" t="s">
        <v>256</v>
      </c>
      <c r="C969" t="s">
        <v>17</v>
      </c>
      <c r="D969">
        <v>250</v>
      </c>
      <c r="E969">
        <v>133</v>
      </c>
      <c r="F969">
        <v>33250</v>
      </c>
      <c r="G969" t="s">
        <v>492</v>
      </c>
      <c r="H969">
        <v>2018106</v>
      </c>
      <c r="I969" t="s">
        <v>19</v>
      </c>
      <c r="J969" t="s">
        <v>20</v>
      </c>
      <c r="K969" t="s">
        <v>25</v>
      </c>
      <c r="L969">
        <v>0</v>
      </c>
      <c r="M969">
        <v>1</v>
      </c>
      <c r="N969">
        <v>0</v>
      </c>
      <c r="O969">
        <v>29.68</v>
      </c>
      <c r="P969">
        <v>30.677600000000002</v>
      </c>
    </row>
    <row r="970" spans="1:16" hidden="1" x14ac:dyDescent="0.25">
      <c r="A970" s="22">
        <v>43256</v>
      </c>
      <c r="B970" t="s">
        <v>256</v>
      </c>
      <c r="C970" t="s">
        <v>23</v>
      </c>
      <c r="D970">
        <v>500</v>
      </c>
      <c r="E970">
        <v>133</v>
      </c>
      <c r="F970">
        <v>66500</v>
      </c>
      <c r="G970" t="s">
        <v>493</v>
      </c>
      <c r="H970">
        <v>2018106</v>
      </c>
      <c r="I970" t="s">
        <v>19</v>
      </c>
      <c r="J970" t="s">
        <v>20</v>
      </c>
      <c r="K970" t="s">
        <v>25</v>
      </c>
      <c r="L970">
        <v>16.5</v>
      </c>
      <c r="M970">
        <v>2</v>
      </c>
      <c r="N970">
        <v>0</v>
      </c>
      <c r="O970">
        <v>39.590000000000003</v>
      </c>
      <c r="P970">
        <v>58.085099999999997</v>
      </c>
    </row>
    <row r="971" spans="1:16" hidden="1" x14ac:dyDescent="0.25">
      <c r="A971" s="22">
        <v>43256</v>
      </c>
      <c r="B971" t="s">
        <v>256</v>
      </c>
      <c r="C971" t="s">
        <v>17</v>
      </c>
      <c r="D971">
        <v>500</v>
      </c>
      <c r="E971">
        <v>132</v>
      </c>
      <c r="F971">
        <v>66000</v>
      </c>
      <c r="G971" t="s">
        <v>494</v>
      </c>
      <c r="H971">
        <v>2018106</v>
      </c>
      <c r="I971" t="s">
        <v>19</v>
      </c>
      <c r="J971" t="s">
        <v>20</v>
      </c>
      <c r="K971" t="s">
        <v>25</v>
      </c>
      <c r="L971">
        <v>0</v>
      </c>
      <c r="M971">
        <v>1.98</v>
      </c>
      <c r="N971">
        <v>0</v>
      </c>
      <c r="O971">
        <v>39.299999999999997</v>
      </c>
      <c r="P971">
        <v>41.28</v>
      </c>
    </row>
    <row r="972" spans="1:16" hidden="1" x14ac:dyDescent="0.25">
      <c r="A972" s="22">
        <v>43256</v>
      </c>
      <c r="B972" t="s">
        <v>256</v>
      </c>
      <c r="C972" t="s">
        <v>23</v>
      </c>
      <c r="D972">
        <v>500</v>
      </c>
      <c r="E972">
        <v>131.5</v>
      </c>
      <c r="F972">
        <v>65750</v>
      </c>
      <c r="G972" t="s">
        <v>495</v>
      </c>
      <c r="H972">
        <v>2018106</v>
      </c>
      <c r="I972" t="s">
        <v>19</v>
      </c>
      <c r="J972" t="s">
        <v>20</v>
      </c>
      <c r="K972" t="s">
        <v>25</v>
      </c>
      <c r="L972">
        <v>16.5</v>
      </c>
      <c r="M972">
        <v>1.97</v>
      </c>
      <c r="N972">
        <v>0</v>
      </c>
      <c r="O972">
        <v>39.15</v>
      </c>
      <c r="P972">
        <v>57.622500000000002</v>
      </c>
    </row>
    <row r="973" spans="1:16" hidden="1" x14ac:dyDescent="0.25">
      <c r="A973" s="22">
        <v>43256</v>
      </c>
      <c r="B973" t="s">
        <v>16</v>
      </c>
      <c r="C973" t="s">
        <v>17</v>
      </c>
      <c r="D973">
        <v>1000</v>
      </c>
      <c r="E973">
        <v>67.28</v>
      </c>
      <c r="F973">
        <v>67284.899999999994</v>
      </c>
      <c r="G973" t="s">
        <v>496</v>
      </c>
      <c r="H973">
        <v>2018106</v>
      </c>
      <c r="I973" t="s">
        <v>19</v>
      </c>
      <c r="J973" t="s">
        <v>20</v>
      </c>
      <c r="K973" t="s">
        <v>25</v>
      </c>
      <c r="L973">
        <v>0</v>
      </c>
      <c r="M973">
        <v>2.02</v>
      </c>
      <c r="N973">
        <v>0</v>
      </c>
      <c r="O973">
        <v>40.06</v>
      </c>
      <c r="P973">
        <v>42.078600000000002</v>
      </c>
    </row>
    <row r="974" spans="1:16" hidden="1" x14ac:dyDescent="0.25">
      <c r="A974" s="22">
        <v>43256</v>
      </c>
      <c r="B974" t="s">
        <v>16</v>
      </c>
      <c r="C974" t="s">
        <v>17</v>
      </c>
      <c r="D974">
        <v>1000</v>
      </c>
      <c r="E974">
        <v>66.5</v>
      </c>
      <c r="F974">
        <v>66500</v>
      </c>
      <c r="G974" t="s">
        <v>497</v>
      </c>
      <c r="H974">
        <v>2018106</v>
      </c>
      <c r="I974" t="s">
        <v>19</v>
      </c>
      <c r="J974" t="s">
        <v>20</v>
      </c>
      <c r="K974" t="s">
        <v>25</v>
      </c>
      <c r="L974">
        <v>0</v>
      </c>
      <c r="M974">
        <v>2</v>
      </c>
      <c r="N974">
        <v>0</v>
      </c>
      <c r="O974">
        <v>39.590000000000003</v>
      </c>
      <c r="P974">
        <v>41.585099999999997</v>
      </c>
    </row>
    <row r="975" spans="1:16" hidden="1" x14ac:dyDescent="0.25">
      <c r="A975" s="22">
        <v>43256</v>
      </c>
      <c r="B975" t="s">
        <v>282</v>
      </c>
      <c r="C975" t="s">
        <v>17</v>
      </c>
      <c r="D975">
        <v>100</v>
      </c>
      <c r="E975">
        <v>591.64</v>
      </c>
      <c r="F975">
        <v>59164.1</v>
      </c>
      <c r="G975" t="s">
        <v>498</v>
      </c>
      <c r="H975">
        <v>2018106</v>
      </c>
      <c r="I975" t="s">
        <v>19</v>
      </c>
      <c r="J975" t="s">
        <v>1526</v>
      </c>
      <c r="K975" t="s">
        <v>25</v>
      </c>
      <c r="L975">
        <v>0</v>
      </c>
      <c r="M975">
        <v>1.78</v>
      </c>
      <c r="N975">
        <v>34.200000000000003</v>
      </c>
      <c r="O975">
        <v>35.229999999999997</v>
      </c>
      <c r="P975">
        <v>71.204999999999998</v>
      </c>
    </row>
    <row r="976" spans="1:16" x14ac:dyDescent="0.25">
      <c r="A976" s="22">
        <v>43213</v>
      </c>
      <c r="B976" t="s">
        <v>282</v>
      </c>
      <c r="C976" t="s">
        <v>23</v>
      </c>
      <c r="D976">
        <v>100</v>
      </c>
      <c r="E976">
        <v>636</v>
      </c>
      <c r="F976">
        <v>63600</v>
      </c>
      <c r="G976" t="s">
        <v>391</v>
      </c>
      <c r="H976">
        <v>201819018</v>
      </c>
      <c r="I976" t="s">
        <v>19</v>
      </c>
      <c r="J976" t="s">
        <v>20</v>
      </c>
      <c r="K976" t="s">
        <v>21</v>
      </c>
      <c r="L976">
        <v>16</v>
      </c>
      <c r="M976">
        <v>0.72</v>
      </c>
      <c r="N976">
        <v>0</v>
      </c>
      <c r="O976">
        <v>37.65</v>
      </c>
      <c r="P976">
        <v>54.365400000000001</v>
      </c>
    </row>
    <row r="977" spans="1:16" hidden="1" x14ac:dyDescent="0.25">
      <c r="A977" s="22">
        <v>43256</v>
      </c>
      <c r="B977" t="s">
        <v>16</v>
      </c>
      <c r="C977" t="s">
        <v>23</v>
      </c>
      <c r="D977">
        <v>2000</v>
      </c>
      <c r="E977">
        <v>67.099999999999994</v>
      </c>
      <c r="F977">
        <v>134200</v>
      </c>
      <c r="G977" t="s">
        <v>500</v>
      </c>
      <c r="H977">
        <v>2018106</v>
      </c>
      <c r="I977" t="s">
        <v>19</v>
      </c>
      <c r="J977" t="s">
        <v>20</v>
      </c>
      <c r="K977" t="s">
        <v>25</v>
      </c>
      <c r="L977">
        <v>33.5</v>
      </c>
      <c r="M977">
        <v>4.03</v>
      </c>
      <c r="N977">
        <v>0</v>
      </c>
      <c r="O977">
        <v>79.91</v>
      </c>
      <c r="P977">
        <v>117.4362</v>
      </c>
    </row>
    <row r="978" spans="1:16" hidden="1" x14ac:dyDescent="0.25">
      <c r="A978" s="22">
        <v>43256</v>
      </c>
      <c r="B978" t="s">
        <v>282</v>
      </c>
      <c r="C978" t="s">
        <v>17</v>
      </c>
      <c r="D978">
        <v>150</v>
      </c>
      <c r="E978">
        <v>602.95000000000005</v>
      </c>
      <c r="F978">
        <v>90442.5</v>
      </c>
      <c r="G978" t="s">
        <v>501</v>
      </c>
      <c r="H978">
        <v>2018106</v>
      </c>
      <c r="I978" t="s">
        <v>19</v>
      </c>
      <c r="J978" t="s">
        <v>1526</v>
      </c>
      <c r="K978" t="s">
        <v>25</v>
      </c>
      <c r="L978">
        <v>0</v>
      </c>
      <c r="M978">
        <v>2.71</v>
      </c>
      <c r="N978">
        <v>0</v>
      </c>
      <c r="O978">
        <v>53.85</v>
      </c>
      <c r="P978">
        <v>56.563299999999998</v>
      </c>
    </row>
    <row r="979" spans="1:16" hidden="1" x14ac:dyDescent="0.25">
      <c r="A979" s="22">
        <v>43256</v>
      </c>
      <c r="B979" t="s">
        <v>282</v>
      </c>
      <c r="C979" t="s">
        <v>17</v>
      </c>
      <c r="D979">
        <v>100</v>
      </c>
      <c r="E979">
        <v>605</v>
      </c>
      <c r="F979">
        <v>60500</v>
      </c>
      <c r="G979" t="s">
        <v>502</v>
      </c>
      <c r="H979">
        <v>2018106</v>
      </c>
      <c r="I979" t="s">
        <v>19</v>
      </c>
      <c r="J979" t="s">
        <v>1526</v>
      </c>
      <c r="K979" t="s">
        <v>25</v>
      </c>
      <c r="L979">
        <v>0</v>
      </c>
      <c r="M979">
        <v>1.82</v>
      </c>
      <c r="N979">
        <v>0</v>
      </c>
      <c r="O979">
        <v>36.020000000000003</v>
      </c>
      <c r="P979">
        <v>37.835099999999997</v>
      </c>
    </row>
    <row r="980" spans="1:16" hidden="1" x14ac:dyDescent="0.25">
      <c r="A980" s="22">
        <v>43256</v>
      </c>
      <c r="B980" t="s">
        <v>282</v>
      </c>
      <c r="C980" t="s">
        <v>17</v>
      </c>
      <c r="D980">
        <v>100</v>
      </c>
      <c r="E980">
        <v>602</v>
      </c>
      <c r="F980">
        <v>60200</v>
      </c>
      <c r="G980" t="s">
        <v>503</v>
      </c>
      <c r="H980">
        <v>2018106</v>
      </c>
      <c r="I980" t="s">
        <v>19</v>
      </c>
      <c r="J980" t="s">
        <v>1526</v>
      </c>
      <c r="K980" t="s">
        <v>25</v>
      </c>
      <c r="L980">
        <v>0</v>
      </c>
      <c r="M980">
        <v>1.81</v>
      </c>
      <c r="N980">
        <v>0</v>
      </c>
      <c r="O980">
        <v>35.840000000000003</v>
      </c>
      <c r="P980">
        <v>37.646000000000001</v>
      </c>
    </row>
    <row r="981" spans="1:16" x14ac:dyDescent="0.25">
      <c r="A981" s="22">
        <v>43213</v>
      </c>
      <c r="B981" t="s">
        <v>282</v>
      </c>
      <c r="C981" t="s">
        <v>23</v>
      </c>
      <c r="D981">
        <v>150</v>
      </c>
      <c r="E981">
        <v>633.29999999999995</v>
      </c>
      <c r="F981">
        <v>94995</v>
      </c>
      <c r="G981" t="s">
        <v>396</v>
      </c>
      <c r="H981">
        <v>2018076</v>
      </c>
      <c r="I981" t="s">
        <v>19</v>
      </c>
      <c r="J981" t="s">
        <v>20</v>
      </c>
      <c r="K981" t="s">
        <v>25</v>
      </c>
      <c r="L981">
        <v>23.7</v>
      </c>
      <c r="M981">
        <v>2.85</v>
      </c>
      <c r="N981">
        <v>0</v>
      </c>
      <c r="O981">
        <v>56.56</v>
      </c>
      <c r="P981">
        <v>83.109899999999996</v>
      </c>
    </row>
    <row r="982" spans="1:16" hidden="1" x14ac:dyDescent="0.25">
      <c r="A982" s="22">
        <v>43256</v>
      </c>
      <c r="B982" t="s">
        <v>282</v>
      </c>
      <c r="C982" t="s">
        <v>17</v>
      </c>
      <c r="D982">
        <v>100</v>
      </c>
      <c r="E982">
        <v>611</v>
      </c>
      <c r="F982">
        <v>61100</v>
      </c>
      <c r="G982" t="s">
        <v>505</v>
      </c>
      <c r="H982">
        <v>2018106</v>
      </c>
      <c r="I982" t="s">
        <v>19</v>
      </c>
      <c r="J982" t="s">
        <v>1526</v>
      </c>
      <c r="K982" t="s">
        <v>25</v>
      </c>
      <c r="L982">
        <v>60.31</v>
      </c>
      <c r="M982">
        <v>1.83</v>
      </c>
      <c r="N982">
        <v>0</v>
      </c>
      <c r="O982">
        <v>396.87</v>
      </c>
      <c r="P982">
        <v>459.01310000000001</v>
      </c>
    </row>
    <row r="983" spans="1:16" hidden="1" x14ac:dyDescent="0.25">
      <c r="A983" s="22">
        <v>43255</v>
      </c>
      <c r="B983" t="s">
        <v>29</v>
      </c>
      <c r="C983" t="s">
        <v>17</v>
      </c>
      <c r="D983">
        <v>2500</v>
      </c>
      <c r="E983">
        <v>16.75</v>
      </c>
      <c r="F983">
        <v>41875</v>
      </c>
      <c r="G983" t="s">
        <v>506</v>
      </c>
      <c r="H983">
        <v>2018105</v>
      </c>
      <c r="I983" t="s">
        <v>19</v>
      </c>
      <c r="J983" t="s">
        <v>20</v>
      </c>
      <c r="K983" t="s">
        <v>25</v>
      </c>
      <c r="L983">
        <v>0</v>
      </c>
      <c r="M983">
        <v>1.26</v>
      </c>
      <c r="N983">
        <v>5.0999999999999996</v>
      </c>
      <c r="O983">
        <v>29.73</v>
      </c>
      <c r="P983">
        <v>36.086199999999998</v>
      </c>
    </row>
    <row r="984" spans="1:16" hidden="1" x14ac:dyDescent="0.25">
      <c r="A984" s="22">
        <v>43255</v>
      </c>
      <c r="B984" t="s">
        <v>29</v>
      </c>
      <c r="C984" t="s">
        <v>17</v>
      </c>
      <c r="D984">
        <v>2500</v>
      </c>
      <c r="E984">
        <v>16.899999999999999</v>
      </c>
      <c r="F984">
        <v>42250</v>
      </c>
      <c r="G984" t="s">
        <v>507</v>
      </c>
      <c r="H984">
        <v>2018105</v>
      </c>
      <c r="I984" t="s">
        <v>19</v>
      </c>
      <c r="J984" t="s">
        <v>20</v>
      </c>
      <c r="K984" t="s">
        <v>25</v>
      </c>
      <c r="L984">
        <v>0</v>
      </c>
      <c r="M984">
        <v>1.27</v>
      </c>
      <c r="N984">
        <v>0</v>
      </c>
      <c r="O984">
        <v>29.72</v>
      </c>
      <c r="P984">
        <v>30.987500000000001</v>
      </c>
    </row>
    <row r="985" spans="1:16" hidden="1" x14ac:dyDescent="0.25">
      <c r="A985" s="22">
        <v>43255</v>
      </c>
      <c r="B985" t="s">
        <v>29</v>
      </c>
      <c r="C985" t="s">
        <v>23</v>
      </c>
      <c r="D985">
        <v>5000</v>
      </c>
      <c r="E985">
        <v>16.399999999999999</v>
      </c>
      <c r="F985">
        <v>82000</v>
      </c>
      <c r="G985" t="s">
        <v>508</v>
      </c>
      <c r="H985">
        <v>2018105</v>
      </c>
      <c r="I985" t="s">
        <v>19</v>
      </c>
      <c r="J985" t="s">
        <v>20</v>
      </c>
      <c r="K985" t="s">
        <v>25</v>
      </c>
      <c r="L985">
        <v>21</v>
      </c>
      <c r="M985">
        <v>2.46</v>
      </c>
      <c r="N985">
        <v>0</v>
      </c>
      <c r="O985">
        <v>48.83</v>
      </c>
      <c r="P985">
        <v>72.290000000000006</v>
      </c>
    </row>
    <row r="986" spans="1:16" hidden="1" x14ac:dyDescent="0.25">
      <c r="A986" s="22">
        <v>43252</v>
      </c>
      <c r="B986" t="s">
        <v>29</v>
      </c>
      <c r="C986" t="s">
        <v>17</v>
      </c>
      <c r="D986">
        <v>5000</v>
      </c>
      <c r="E986">
        <v>16</v>
      </c>
      <c r="F986">
        <v>80000</v>
      </c>
      <c r="G986" t="s">
        <v>425</v>
      </c>
      <c r="H986">
        <v>2018104</v>
      </c>
      <c r="I986" t="s">
        <v>19</v>
      </c>
      <c r="J986" t="s">
        <v>20</v>
      </c>
      <c r="K986" t="s">
        <v>25</v>
      </c>
      <c r="L986">
        <v>0</v>
      </c>
      <c r="M986">
        <v>2.4</v>
      </c>
      <c r="N986">
        <v>0</v>
      </c>
      <c r="O986">
        <v>47.63</v>
      </c>
      <c r="P986">
        <v>50.03</v>
      </c>
    </row>
    <row r="987" spans="1:16" hidden="1" x14ac:dyDescent="0.25">
      <c r="A987" s="22">
        <v>43252</v>
      </c>
      <c r="B987" t="s">
        <v>29</v>
      </c>
      <c r="C987" t="s">
        <v>23</v>
      </c>
      <c r="D987">
        <v>5000</v>
      </c>
      <c r="E987">
        <v>16.25</v>
      </c>
      <c r="F987">
        <v>81250</v>
      </c>
      <c r="G987" t="s">
        <v>426</v>
      </c>
      <c r="H987">
        <v>2018104</v>
      </c>
      <c r="I987" t="s">
        <v>19</v>
      </c>
      <c r="J987" t="s">
        <v>20</v>
      </c>
      <c r="K987" t="s">
        <v>25</v>
      </c>
      <c r="L987">
        <v>20</v>
      </c>
      <c r="M987">
        <v>2.44</v>
      </c>
      <c r="N987">
        <v>5.0999999999999996</v>
      </c>
      <c r="O987">
        <v>48.38</v>
      </c>
      <c r="P987">
        <v>75.917500000000004</v>
      </c>
    </row>
    <row r="988" spans="1:16" hidden="1" x14ac:dyDescent="0.25">
      <c r="A988" s="22">
        <v>43251</v>
      </c>
      <c r="B988" t="s">
        <v>179</v>
      </c>
      <c r="C988" t="s">
        <v>17</v>
      </c>
      <c r="D988">
        <v>1000</v>
      </c>
      <c r="E988">
        <v>64.599999999999994</v>
      </c>
      <c r="F988">
        <v>64600</v>
      </c>
      <c r="G988" t="s">
        <v>427</v>
      </c>
      <c r="H988">
        <v>2018103</v>
      </c>
      <c r="I988" t="s">
        <v>19</v>
      </c>
      <c r="J988" t="s">
        <v>20</v>
      </c>
      <c r="K988" t="s">
        <v>25</v>
      </c>
      <c r="L988">
        <v>0</v>
      </c>
      <c r="M988">
        <v>1.94</v>
      </c>
      <c r="N988">
        <v>0</v>
      </c>
      <c r="O988">
        <v>38.46</v>
      </c>
      <c r="P988">
        <v>40.398000000000003</v>
      </c>
    </row>
    <row r="989" spans="1:16" hidden="1" x14ac:dyDescent="0.25">
      <c r="A989" s="22">
        <v>43251</v>
      </c>
      <c r="B989" t="s">
        <v>179</v>
      </c>
      <c r="C989" t="s">
        <v>17</v>
      </c>
      <c r="D989">
        <v>1000</v>
      </c>
      <c r="E989">
        <v>65.25</v>
      </c>
      <c r="F989">
        <v>65250</v>
      </c>
      <c r="G989" t="s">
        <v>428</v>
      </c>
      <c r="H989">
        <v>2018103</v>
      </c>
      <c r="I989" t="s">
        <v>19</v>
      </c>
      <c r="J989" t="s">
        <v>20</v>
      </c>
      <c r="K989" t="s">
        <v>25</v>
      </c>
      <c r="L989">
        <v>0</v>
      </c>
      <c r="M989">
        <v>1.96</v>
      </c>
      <c r="N989">
        <v>0</v>
      </c>
      <c r="O989">
        <v>38.840000000000003</v>
      </c>
      <c r="P989">
        <v>40.797499999999999</v>
      </c>
    </row>
    <row r="990" spans="1:16" hidden="1" x14ac:dyDescent="0.25">
      <c r="A990" s="22">
        <v>43251</v>
      </c>
      <c r="B990" t="s">
        <v>179</v>
      </c>
      <c r="C990" t="s">
        <v>23</v>
      </c>
      <c r="D990">
        <v>2000</v>
      </c>
      <c r="E990">
        <v>65.25</v>
      </c>
      <c r="F990">
        <v>130500</v>
      </c>
      <c r="G990" t="s">
        <v>429</v>
      </c>
      <c r="H990">
        <v>2018103</v>
      </c>
      <c r="I990" t="s">
        <v>19</v>
      </c>
      <c r="J990" t="s">
        <v>20</v>
      </c>
      <c r="K990" t="s">
        <v>25</v>
      </c>
      <c r="L990">
        <v>33</v>
      </c>
      <c r="M990">
        <v>3.92</v>
      </c>
      <c r="N990">
        <v>8.4</v>
      </c>
      <c r="O990">
        <v>77.680000000000007</v>
      </c>
      <c r="P990">
        <v>122.9953</v>
      </c>
    </row>
    <row r="991" spans="1:16" hidden="1" x14ac:dyDescent="0.25">
      <c r="A991" s="22">
        <v>43251</v>
      </c>
      <c r="B991" t="s">
        <v>35</v>
      </c>
      <c r="C991" t="s">
        <v>17</v>
      </c>
      <c r="D991">
        <v>500</v>
      </c>
      <c r="E991">
        <v>15.65</v>
      </c>
      <c r="F991">
        <v>7825</v>
      </c>
      <c r="G991" t="s">
        <v>430</v>
      </c>
      <c r="H991">
        <v>2018103</v>
      </c>
      <c r="I991" t="s">
        <v>19</v>
      </c>
      <c r="J991" t="s">
        <v>20</v>
      </c>
      <c r="K991" t="s">
        <v>25</v>
      </c>
      <c r="L991">
        <v>0</v>
      </c>
      <c r="M991">
        <v>0.23</v>
      </c>
      <c r="N991">
        <v>0</v>
      </c>
      <c r="O991">
        <v>29.54</v>
      </c>
      <c r="P991">
        <v>29.774699999999999</v>
      </c>
    </row>
    <row r="992" spans="1:16" hidden="1" x14ac:dyDescent="0.25">
      <c r="A992" s="22">
        <v>43251</v>
      </c>
      <c r="B992" t="s">
        <v>35</v>
      </c>
      <c r="C992" t="s">
        <v>23</v>
      </c>
      <c r="D992">
        <v>500</v>
      </c>
      <c r="E992">
        <v>16.3</v>
      </c>
      <c r="F992">
        <v>8150</v>
      </c>
      <c r="G992" t="s">
        <v>431</v>
      </c>
      <c r="H992">
        <v>2018103</v>
      </c>
      <c r="I992" t="s">
        <v>19</v>
      </c>
      <c r="J992" t="s">
        <v>20</v>
      </c>
      <c r="K992" t="s">
        <v>25</v>
      </c>
      <c r="L992">
        <v>2</v>
      </c>
      <c r="M992">
        <v>0.24</v>
      </c>
      <c r="N992">
        <v>0</v>
      </c>
      <c r="O992">
        <v>29.54</v>
      </c>
      <c r="P992">
        <v>31.784500000000001</v>
      </c>
    </row>
    <row r="993" spans="1:16" hidden="1" x14ac:dyDescent="0.25">
      <c r="A993" s="22">
        <v>43250</v>
      </c>
      <c r="B993" t="s">
        <v>256</v>
      </c>
      <c r="C993" t="s">
        <v>17</v>
      </c>
      <c r="D993">
        <v>100</v>
      </c>
      <c r="E993">
        <v>178.9</v>
      </c>
      <c r="F993">
        <v>17890</v>
      </c>
      <c r="G993" t="s">
        <v>432</v>
      </c>
      <c r="H993">
        <v>2018102</v>
      </c>
      <c r="I993" t="s">
        <v>19</v>
      </c>
      <c r="J993" t="s">
        <v>20</v>
      </c>
      <c r="K993" t="s">
        <v>25</v>
      </c>
      <c r="L993">
        <v>0</v>
      </c>
      <c r="M993">
        <v>0.54</v>
      </c>
      <c r="N993">
        <v>0</v>
      </c>
      <c r="O993">
        <v>29.59</v>
      </c>
      <c r="P993">
        <v>30.126799999999999</v>
      </c>
    </row>
    <row r="994" spans="1:16" hidden="1" x14ac:dyDescent="0.25">
      <c r="A994" s="22">
        <v>43250</v>
      </c>
      <c r="B994" t="s">
        <v>433</v>
      </c>
      <c r="C994" t="s">
        <v>17</v>
      </c>
      <c r="D994">
        <v>1000</v>
      </c>
      <c r="E994">
        <v>17.649999999999999</v>
      </c>
      <c r="F994">
        <v>17650</v>
      </c>
      <c r="G994" t="s">
        <v>434</v>
      </c>
      <c r="H994">
        <v>2018102</v>
      </c>
      <c r="I994" t="s">
        <v>19</v>
      </c>
      <c r="J994" t="s">
        <v>1526</v>
      </c>
      <c r="K994" t="s">
        <v>25</v>
      </c>
      <c r="L994">
        <v>0</v>
      </c>
      <c r="M994">
        <v>0.53</v>
      </c>
      <c r="N994">
        <v>0</v>
      </c>
      <c r="O994">
        <v>114.64</v>
      </c>
      <c r="P994">
        <v>115.1695</v>
      </c>
    </row>
    <row r="995" spans="1:16" hidden="1" x14ac:dyDescent="0.25">
      <c r="A995" s="22">
        <v>43250</v>
      </c>
      <c r="B995" t="s">
        <v>433</v>
      </c>
      <c r="C995" t="s">
        <v>23</v>
      </c>
      <c r="D995">
        <v>2000</v>
      </c>
      <c r="E995">
        <v>17.600000000000001</v>
      </c>
      <c r="F995">
        <v>35200</v>
      </c>
      <c r="G995" t="s">
        <v>435</v>
      </c>
      <c r="H995">
        <v>2018102</v>
      </c>
      <c r="I995" t="s">
        <v>19</v>
      </c>
      <c r="J995" t="s">
        <v>1526</v>
      </c>
      <c r="K995" t="s">
        <v>25</v>
      </c>
      <c r="L995">
        <v>22.02</v>
      </c>
      <c r="M995">
        <v>1.06</v>
      </c>
      <c r="N995">
        <v>2.7</v>
      </c>
      <c r="O995">
        <v>114.41</v>
      </c>
      <c r="P995">
        <v>140.1859</v>
      </c>
    </row>
    <row r="996" spans="1:16" hidden="1" x14ac:dyDescent="0.25">
      <c r="A996" s="22">
        <v>43250</v>
      </c>
      <c r="B996" t="s">
        <v>256</v>
      </c>
      <c r="C996" t="s">
        <v>23</v>
      </c>
      <c r="D996">
        <v>100</v>
      </c>
      <c r="E996">
        <v>174.5</v>
      </c>
      <c r="F996">
        <v>17450</v>
      </c>
      <c r="G996" t="s">
        <v>436</v>
      </c>
      <c r="H996">
        <v>2018102</v>
      </c>
      <c r="I996" t="s">
        <v>19</v>
      </c>
      <c r="J996" t="s">
        <v>20</v>
      </c>
      <c r="K996" t="s">
        <v>25</v>
      </c>
      <c r="L996">
        <v>3.98</v>
      </c>
      <c r="M996">
        <v>0.52</v>
      </c>
      <c r="N996">
        <v>0</v>
      </c>
      <c r="O996">
        <v>29.59</v>
      </c>
      <c r="P996">
        <v>34.093499999999999</v>
      </c>
    </row>
    <row r="997" spans="1:16" hidden="1" x14ac:dyDescent="0.25">
      <c r="A997" s="22">
        <v>43249</v>
      </c>
      <c r="B997" t="s">
        <v>433</v>
      </c>
      <c r="C997" t="s">
        <v>17</v>
      </c>
      <c r="D997">
        <v>1000</v>
      </c>
      <c r="E997">
        <v>16</v>
      </c>
      <c r="F997">
        <v>16000</v>
      </c>
      <c r="G997" t="s">
        <v>437</v>
      </c>
      <c r="H997">
        <v>2018101</v>
      </c>
      <c r="I997" t="s">
        <v>19</v>
      </c>
      <c r="J997" t="s">
        <v>1526</v>
      </c>
      <c r="K997" t="s">
        <v>25</v>
      </c>
      <c r="L997">
        <v>0</v>
      </c>
      <c r="M997">
        <v>0.48</v>
      </c>
      <c r="N997">
        <v>0</v>
      </c>
      <c r="O997">
        <v>29.59</v>
      </c>
      <c r="P997">
        <v>30.07</v>
      </c>
    </row>
    <row r="998" spans="1:16" hidden="1" x14ac:dyDescent="0.25">
      <c r="A998" s="22">
        <v>43249</v>
      </c>
      <c r="B998" t="s">
        <v>433</v>
      </c>
      <c r="C998" t="s">
        <v>23</v>
      </c>
      <c r="D998">
        <v>1000</v>
      </c>
      <c r="E998">
        <v>16.8</v>
      </c>
      <c r="F998">
        <v>16800</v>
      </c>
      <c r="G998" t="s">
        <v>438</v>
      </c>
      <c r="H998">
        <v>2018101</v>
      </c>
      <c r="I998" t="s">
        <v>19</v>
      </c>
      <c r="J998" t="s">
        <v>1526</v>
      </c>
      <c r="K998" t="s">
        <v>25</v>
      </c>
      <c r="L998">
        <v>4.0599999999999996</v>
      </c>
      <c r="M998">
        <v>0.5</v>
      </c>
      <c r="N998">
        <v>0</v>
      </c>
      <c r="O998">
        <v>29.59</v>
      </c>
      <c r="P998">
        <v>34.154000000000003</v>
      </c>
    </row>
    <row r="999" spans="1:16" hidden="1" x14ac:dyDescent="0.25">
      <c r="A999" s="22">
        <v>43249</v>
      </c>
      <c r="B999" t="s">
        <v>433</v>
      </c>
      <c r="C999" t="s">
        <v>17</v>
      </c>
      <c r="D999">
        <v>1000</v>
      </c>
      <c r="E999">
        <v>16</v>
      </c>
      <c r="F999">
        <v>16000</v>
      </c>
      <c r="G999" t="s">
        <v>439</v>
      </c>
      <c r="H999">
        <v>2018101</v>
      </c>
      <c r="I999" t="s">
        <v>19</v>
      </c>
      <c r="J999" t="s">
        <v>1526</v>
      </c>
      <c r="K999" t="s">
        <v>25</v>
      </c>
      <c r="L999">
        <v>16.239999999999998</v>
      </c>
      <c r="M999">
        <v>0.48</v>
      </c>
      <c r="N999">
        <v>0</v>
      </c>
      <c r="O999">
        <v>103.93</v>
      </c>
      <c r="P999">
        <v>120.65</v>
      </c>
    </row>
    <row r="1000" spans="1:16" hidden="1" x14ac:dyDescent="0.25">
      <c r="A1000" s="22">
        <v>43249</v>
      </c>
      <c r="B1000" t="s">
        <v>433</v>
      </c>
      <c r="C1000" t="s">
        <v>17</v>
      </c>
      <c r="D1000">
        <v>1000</v>
      </c>
      <c r="E1000">
        <v>16.149999999999999</v>
      </c>
      <c r="F1000">
        <v>16150</v>
      </c>
      <c r="G1000" t="s">
        <v>440</v>
      </c>
      <c r="H1000">
        <v>2018101</v>
      </c>
      <c r="I1000" t="s">
        <v>19</v>
      </c>
      <c r="J1000" t="s">
        <v>1526</v>
      </c>
      <c r="K1000" t="s">
        <v>25</v>
      </c>
      <c r="L1000">
        <v>16.239999999999998</v>
      </c>
      <c r="M1000">
        <v>0.48</v>
      </c>
      <c r="N1000">
        <v>0</v>
      </c>
      <c r="O1000">
        <v>104.9</v>
      </c>
      <c r="P1000">
        <v>121.6245</v>
      </c>
    </row>
    <row r="1001" spans="1:16" hidden="1" x14ac:dyDescent="0.25">
      <c r="A1001" s="22">
        <v>43249</v>
      </c>
      <c r="B1001" t="s">
        <v>26</v>
      </c>
      <c r="C1001" t="s">
        <v>17</v>
      </c>
      <c r="D1001">
        <v>100</v>
      </c>
      <c r="E1001">
        <v>101.08</v>
      </c>
      <c r="F1001">
        <v>10107.5</v>
      </c>
      <c r="G1001" t="s">
        <v>441</v>
      </c>
      <c r="H1001">
        <v>2018101</v>
      </c>
      <c r="I1001" t="s">
        <v>19</v>
      </c>
      <c r="J1001" t="s">
        <v>20</v>
      </c>
      <c r="K1001" t="s">
        <v>25</v>
      </c>
      <c r="L1001">
        <v>0</v>
      </c>
      <c r="M1001">
        <v>0.3</v>
      </c>
      <c r="N1001">
        <v>0</v>
      </c>
      <c r="O1001">
        <v>29.55</v>
      </c>
      <c r="P1001">
        <v>29.853300000000001</v>
      </c>
    </row>
    <row r="1002" spans="1:16" hidden="1" x14ac:dyDescent="0.25">
      <c r="A1002" s="22">
        <v>43249</v>
      </c>
      <c r="B1002" t="s">
        <v>26</v>
      </c>
      <c r="C1002" t="s">
        <v>17</v>
      </c>
      <c r="D1002">
        <v>100</v>
      </c>
      <c r="E1002">
        <v>98.5</v>
      </c>
      <c r="F1002">
        <v>9850</v>
      </c>
      <c r="G1002" t="s">
        <v>442</v>
      </c>
      <c r="H1002">
        <v>2018101</v>
      </c>
      <c r="I1002" t="s">
        <v>19</v>
      </c>
      <c r="J1002" t="s">
        <v>20</v>
      </c>
      <c r="K1002" t="s">
        <v>25</v>
      </c>
      <c r="L1002">
        <v>0</v>
      </c>
      <c r="M1002">
        <v>0.3</v>
      </c>
      <c r="N1002">
        <v>0</v>
      </c>
      <c r="O1002">
        <v>29.55</v>
      </c>
      <c r="P1002">
        <v>29.845500000000001</v>
      </c>
    </row>
    <row r="1003" spans="1:16" hidden="1" x14ac:dyDescent="0.25">
      <c r="A1003" s="22">
        <v>43249</v>
      </c>
      <c r="B1003" t="s">
        <v>26</v>
      </c>
      <c r="C1003" t="s">
        <v>23</v>
      </c>
      <c r="D1003">
        <v>200</v>
      </c>
      <c r="E1003">
        <v>98.25</v>
      </c>
      <c r="F1003">
        <v>19650</v>
      </c>
      <c r="G1003" t="s">
        <v>443</v>
      </c>
      <c r="H1003">
        <v>2018101</v>
      </c>
      <c r="I1003" t="s">
        <v>19</v>
      </c>
      <c r="J1003" t="s">
        <v>20</v>
      </c>
      <c r="K1003" t="s">
        <v>25</v>
      </c>
      <c r="L1003">
        <v>4.95</v>
      </c>
      <c r="M1003">
        <v>0.59</v>
      </c>
      <c r="N1003">
        <v>0</v>
      </c>
      <c r="O1003">
        <v>29.61</v>
      </c>
      <c r="P1003">
        <v>35.149500000000003</v>
      </c>
    </row>
    <row r="1004" spans="1:16" hidden="1" x14ac:dyDescent="0.25">
      <c r="A1004" s="22">
        <v>43249</v>
      </c>
      <c r="B1004" t="s">
        <v>179</v>
      </c>
      <c r="C1004" t="s">
        <v>23</v>
      </c>
      <c r="D1004">
        <v>2000</v>
      </c>
      <c r="E1004">
        <v>76</v>
      </c>
      <c r="F1004">
        <v>152000</v>
      </c>
      <c r="G1004" t="s">
        <v>444</v>
      </c>
      <c r="H1004">
        <v>2018101</v>
      </c>
      <c r="I1004" t="s">
        <v>19</v>
      </c>
      <c r="J1004" t="s">
        <v>1526</v>
      </c>
      <c r="K1004" t="s">
        <v>25</v>
      </c>
      <c r="L1004">
        <v>151.51</v>
      </c>
      <c r="M1004">
        <v>4.5599999999999996</v>
      </c>
      <c r="N1004">
        <v>7.8</v>
      </c>
      <c r="O1004">
        <v>987.3</v>
      </c>
      <c r="P1004">
        <v>1151.17</v>
      </c>
    </row>
    <row r="1005" spans="1:16" hidden="1" x14ac:dyDescent="0.25">
      <c r="A1005" s="22">
        <v>43245</v>
      </c>
      <c r="B1005" t="s">
        <v>179</v>
      </c>
      <c r="C1005" t="s">
        <v>17</v>
      </c>
      <c r="D1005">
        <v>1000</v>
      </c>
      <c r="E1005">
        <v>72</v>
      </c>
      <c r="F1005">
        <v>72000</v>
      </c>
      <c r="G1005" t="s">
        <v>445</v>
      </c>
      <c r="H1005">
        <v>2018099</v>
      </c>
      <c r="I1005" t="s">
        <v>19</v>
      </c>
      <c r="J1005" t="s">
        <v>1526</v>
      </c>
      <c r="K1005" t="s">
        <v>25</v>
      </c>
      <c r="L1005">
        <v>72.349999999999994</v>
      </c>
      <c r="M1005">
        <v>2.16</v>
      </c>
      <c r="N1005">
        <v>0</v>
      </c>
      <c r="O1005">
        <v>467.67</v>
      </c>
      <c r="P1005">
        <v>542.17999999999995</v>
      </c>
    </row>
    <row r="1006" spans="1:16" hidden="1" x14ac:dyDescent="0.25">
      <c r="A1006" s="22">
        <v>43245</v>
      </c>
      <c r="B1006" t="s">
        <v>179</v>
      </c>
      <c r="C1006" t="s">
        <v>17</v>
      </c>
      <c r="D1006">
        <v>1000</v>
      </c>
      <c r="E1006">
        <v>72.7</v>
      </c>
      <c r="F1006">
        <v>72700</v>
      </c>
      <c r="G1006" t="s">
        <v>446</v>
      </c>
      <c r="H1006">
        <v>2018099</v>
      </c>
      <c r="I1006" t="s">
        <v>19</v>
      </c>
      <c r="J1006" t="s">
        <v>1526</v>
      </c>
      <c r="K1006" t="s">
        <v>25</v>
      </c>
      <c r="L1006">
        <v>72.349999999999994</v>
      </c>
      <c r="M1006">
        <v>2.1800000000000002</v>
      </c>
      <c r="N1006">
        <v>0</v>
      </c>
      <c r="O1006">
        <v>472.22</v>
      </c>
      <c r="P1006">
        <v>546.75109999999995</v>
      </c>
    </row>
    <row r="1007" spans="1:16" hidden="1" x14ac:dyDescent="0.25">
      <c r="A1007" s="22">
        <v>43245</v>
      </c>
      <c r="B1007" t="s">
        <v>433</v>
      </c>
      <c r="C1007" t="s">
        <v>23</v>
      </c>
      <c r="D1007">
        <v>5000</v>
      </c>
      <c r="E1007">
        <v>14.3</v>
      </c>
      <c r="F1007">
        <v>71500</v>
      </c>
      <c r="G1007" t="s">
        <v>447</v>
      </c>
      <c r="H1007">
        <v>2018099</v>
      </c>
      <c r="I1007" t="s">
        <v>19</v>
      </c>
      <c r="J1007" t="s">
        <v>1526</v>
      </c>
      <c r="K1007" t="s">
        <v>25</v>
      </c>
      <c r="L1007">
        <v>71.3</v>
      </c>
      <c r="M1007">
        <v>2.15</v>
      </c>
      <c r="N1007">
        <v>6.6</v>
      </c>
      <c r="O1007">
        <v>464.42</v>
      </c>
      <c r="P1007">
        <v>544.46500000000003</v>
      </c>
    </row>
    <row r="1008" spans="1:16" hidden="1" x14ac:dyDescent="0.25">
      <c r="A1008" s="22">
        <v>43244</v>
      </c>
      <c r="B1008" t="s">
        <v>179</v>
      </c>
      <c r="C1008" t="s">
        <v>17</v>
      </c>
      <c r="D1008">
        <v>1000</v>
      </c>
      <c r="E1008">
        <v>70.349999999999994</v>
      </c>
      <c r="F1008">
        <v>70350</v>
      </c>
      <c r="G1008" t="s">
        <v>448</v>
      </c>
      <c r="H1008">
        <v>2018098</v>
      </c>
      <c r="I1008" t="s">
        <v>19</v>
      </c>
      <c r="J1008" t="s">
        <v>20</v>
      </c>
      <c r="K1008" t="s">
        <v>25</v>
      </c>
      <c r="L1008">
        <v>0</v>
      </c>
      <c r="M1008">
        <v>2.11</v>
      </c>
      <c r="N1008">
        <v>0</v>
      </c>
      <c r="O1008">
        <v>41.89</v>
      </c>
      <c r="P1008">
        <v>44.000500000000002</v>
      </c>
    </row>
    <row r="1009" spans="1:16" hidden="1" x14ac:dyDescent="0.25">
      <c r="A1009" s="22">
        <v>43244</v>
      </c>
      <c r="B1009" t="s">
        <v>179</v>
      </c>
      <c r="C1009" t="s">
        <v>23</v>
      </c>
      <c r="D1009">
        <v>1000</v>
      </c>
      <c r="E1009">
        <v>71.349999999999994</v>
      </c>
      <c r="F1009">
        <v>71350</v>
      </c>
      <c r="G1009" t="s">
        <v>449</v>
      </c>
      <c r="H1009">
        <v>2018098</v>
      </c>
      <c r="I1009" t="s">
        <v>19</v>
      </c>
      <c r="J1009" t="s">
        <v>20</v>
      </c>
      <c r="K1009" t="s">
        <v>25</v>
      </c>
      <c r="L1009">
        <v>17.670000000000002</v>
      </c>
      <c r="M1009">
        <v>2.14</v>
      </c>
      <c r="N1009">
        <v>0</v>
      </c>
      <c r="O1009">
        <v>42.47</v>
      </c>
      <c r="P1009">
        <v>62.2804</v>
      </c>
    </row>
    <row r="1010" spans="1:16" hidden="1" x14ac:dyDescent="0.25">
      <c r="A1010" s="22">
        <v>43244</v>
      </c>
      <c r="B1010" t="s">
        <v>179</v>
      </c>
      <c r="C1010" t="s">
        <v>23</v>
      </c>
      <c r="D1010">
        <v>2000</v>
      </c>
      <c r="E1010">
        <v>70.5</v>
      </c>
      <c r="F1010">
        <v>141000</v>
      </c>
      <c r="G1010" t="s">
        <v>450</v>
      </c>
      <c r="H1010">
        <v>2018098</v>
      </c>
      <c r="I1010" t="s">
        <v>19</v>
      </c>
      <c r="J1010" t="s">
        <v>1526</v>
      </c>
      <c r="K1010" t="s">
        <v>25</v>
      </c>
      <c r="L1010">
        <v>141.33000000000001</v>
      </c>
      <c r="M1010">
        <v>4.2300000000000004</v>
      </c>
      <c r="N1010">
        <v>8.6999999999999993</v>
      </c>
      <c r="O1010">
        <v>915.85</v>
      </c>
      <c r="P1010">
        <v>1070.1099999999999</v>
      </c>
    </row>
    <row r="1011" spans="1:16" hidden="1" x14ac:dyDescent="0.25">
      <c r="A1011" s="22">
        <v>43243</v>
      </c>
      <c r="B1011" t="s">
        <v>321</v>
      </c>
      <c r="C1011" t="s">
        <v>17</v>
      </c>
      <c r="D1011">
        <v>250</v>
      </c>
      <c r="E1011">
        <v>295.14999999999998</v>
      </c>
      <c r="F1011">
        <v>73787.5</v>
      </c>
      <c r="G1011" t="s">
        <v>451</v>
      </c>
      <c r="H1011">
        <v>2018097</v>
      </c>
      <c r="I1011" t="s">
        <v>19</v>
      </c>
      <c r="J1011" t="s">
        <v>20</v>
      </c>
      <c r="K1011" t="s">
        <v>25</v>
      </c>
      <c r="L1011">
        <v>0</v>
      </c>
      <c r="M1011">
        <v>2.21</v>
      </c>
      <c r="N1011">
        <v>0</v>
      </c>
      <c r="O1011">
        <v>43.94</v>
      </c>
      <c r="P1011">
        <v>46.153599999999997</v>
      </c>
    </row>
    <row r="1012" spans="1:16" hidden="1" x14ac:dyDescent="0.25">
      <c r="A1012" s="22">
        <v>43243</v>
      </c>
      <c r="B1012" t="s">
        <v>321</v>
      </c>
      <c r="C1012" t="s">
        <v>17</v>
      </c>
      <c r="D1012">
        <v>250</v>
      </c>
      <c r="E1012">
        <v>294.64999999999998</v>
      </c>
      <c r="F1012">
        <v>73662.5</v>
      </c>
      <c r="G1012" t="s">
        <v>452</v>
      </c>
      <c r="H1012">
        <v>2018097</v>
      </c>
      <c r="I1012" t="s">
        <v>19</v>
      </c>
      <c r="J1012" t="s">
        <v>20</v>
      </c>
      <c r="K1012" t="s">
        <v>25</v>
      </c>
      <c r="L1012">
        <v>0</v>
      </c>
      <c r="M1012">
        <v>2.21</v>
      </c>
      <c r="N1012">
        <v>0</v>
      </c>
      <c r="O1012">
        <v>43.86</v>
      </c>
      <c r="P1012">
        <v>46.069899999999997</v>
      </c>
    </row>
    <row r="1013" spans="1:16" hidden="1" x14ac:dyDescent="0.25">
      <c r="A1013" s="22">
        <v>43243</v>
      </c>
      <c r="B1013" t="s">
        <v>321</v>
      </c>
      <c r="C1013" t="s">
        <v>17</v>
      </c>
      <c r="D1013">
        <v>250</v>
      </c>
      <c r="E1013">
        <v>292</v>
      </c>
      <c r="F1013">
        <v>73000</v>
      </c>
      <c r="G1013" t="s">
        <v>453</v>
      </c>
      <c r="H1013">
        <v>2018097</v>
      </c>
      <c r="I1013" t="s">
        <v>19</v>
      </c>
      <c r="J1013" t="s">
        <v>20</v>
      </c>
      <c r="K1013" t="s">
        <v>25</v>
      </c>
      <c r="L1013">
        <v>0</v>
      </c>
      <c r="M1013">
        <v>2.19</v>
      </c>
      <c r="N1013">
        <v>0</v>
      </c>
      <c r="O1013">
        <v>43.46</v>
      </c>
      <c r="P1013">
        <v>45.65</v>
      </c>
    </row>
    <row r="1014" spans="1:16" hidden="1" x14ac:dyDescent="0.25">
      <c r="A1014" s="22">
        <v>43243</v>
      </c>
      <c r="B1014" t="s">
        <v>321</v>
      </c>
      <c r="C1014" t="s">
        <v>17</v>
      </c>
      <c r="D1014">
        <v>250</v>
      </c>
      <c r="E1014">
        <v>286</v>
      </c>
      <c r="F1014">
        <v>71500</v>
      </c>
      <c r="G1014" t="s">
        <v>454</v>
      </c>
      <c r="H1014">
        <v>2018097</v>
      </c>
      <c r="I1014" t="s">
        <v>19</v>
      </c>
      <c r="J1014" t="s">
        <v>20</v>
      </c>
      <c r="K1014" t="s">
        <v>25</v>
      </c>
      <c r="L1014">
        <v>0</v>
      </c>
      <c r="M1014">
        <v>2.15</v>
      </c>
      <c r="N1014">
        <v>17.399999999999999</v>
      </c>
      <c r="O1014">
        <v>42.57</v>
      </c>
      <c r="P1014">
        <v>62.115099999999998</v>
      </c>
    </row>
    <row r="1015" spans="1:16" hidden="1" x14ac:dyDescent="0.25">
      <c r="A1015" s="22">
        <v>43243</v>
      </c>
      <c r="B1015" t="s">
        <v>321</v>
      </c>
      <c r="C1015" t="s">
        <v>23</v>
      </c>
      <c r="D1015">
        <v>1000</v>
      </c>
      <c r="E1015">
        <v>286</v>
      </c>
      <c r="F1015">
        <v>286000</v>
      </c>
      <c r="G1015" t="s">
        <v>455</v>
      </c>
      <c r="H1015">
        <v>2018097</v>
      </c>
      <c r="I1015" t="s">
        <v>19</v>
      </c>
      <c r="J1015" t="s">
        <v>20</v>
      </c>
      <c r="K1015" t="s">
        <v>25</v>
      </c>
      <c r="L1015">
        <v>72</v>
      </c>
      <c r="M1015">
        <v>8.58</v>
      </c>
      <c r="N1015">
        <v>0</v>
      </c>
      <c r="O1015">
        <v>170.28</v>
      </c>
      <c r="P1015">
        <v>250.86009999999999</v>
      </c>
    </row>
    <row r="1016" spans="1:16" hidden="1" x14ac:dyDescent="0.25">
      <c r="A1016" s="22">
        <v>43242</v>
      </c>
      <c r="B1016" t="s">
        <v>179</v>
      </c>
      <c r="C1016" t="s">
        <v>17</v>
      </c>
      <c r="D1016">
        <v>2000</v>
      </c>
      <c r="E1016">
        <v>67.5</v>
      </c>
      <c r="F1016">
        <v>135000</v>
      </c>
      <c r="G1016" t="s">
        <v>456</v>
      </c>
      <c r="H1016">
        <v>2018096</v>
      </c>
      <c r="I1016" t="s">
        <v>19</v>
      </c>
      <c r="J1016" t="s">
        <v>1526</v>
      </c>
      <c r="K1016" t="s">
        <v>25</v>
      </c>
      <c r="L1016">
        <v>135</v>
      </c>
      <c r="M1016">
        <v>4.05</v>
      </c>
      <c r="N1016">
        <v>4.2</v>
      </c>
      <c r="O1016">
        <v>876.88</v>
      </c>
      <c r="P1016">
        <v>1020.13</v>
      </c>
    </row>
    <row r="1017" spans="1:16" hidden="1" x14ac:dyDescent="0.25">
      <c r="A1017" s="22">
        <v>43241</v>
      </c>
      <c r="B1017" t="s">
        <v>433</v>
      </c>
      <c r="C1017" t="s">
        <v>17</v>
      </c>
      <c r="D1017">
        <v>2500</v>
      </c>
      <c r="E1017">
        <v>14</v>
      </c>
      <c r="F1017">
        <v>35000</v>
      </c>
      <c r="G1017" t="s">
        <v>457</v>
      </c>
      <c r="H1017">
        <v>2018095</v>
      </c>
      <c r="I1017" t="s">
        <v>19</v>
      </c>
      <c r="J1017" t="s">
        <v>1526</v>
      </c>
      <c r="K1017" t="s">
        <v>25</v>
      </c>
      <c r="L1017">
        <v>35</v>
      </c>
      <c r="M1017">
        <v>1.05</v>
      </c>
      <c r="N1017">
        <v>0</v>
      </c>
      <c r="O1017">
        <v>227.34</v>
      </c>
      <c r="P1017">
        <v>263.39</v>
      </c>
    </row>
    <row r="1018" spans="1:16" hidden="1" x14ac:dyDescent="0.25">
      <c r="A1018" s="22">
        <v>43241</v>
      </c>
      <c r="B1018" t="s">
        <v>100</v>
      </c>
      <c r="C1018" t="s">
        <v>17</v>
      </c>
      <c r="D1018">
        <v>2000</v>
      </c>
      <c r="E1018">
        <v>140.9</v>
      </c>
      <c r="F1018">
        <v>281800</v>
      </c>
      <c r="G1018" t="s">
        <v>458</v>
      </c>
      <c r="H1018">
        <v>2018095</v>
      </c>
      <c r="I1018" t="s">
        <v>19</v>
      </c>
      <c r="J1018" t="s">
        <v>20</v>
      </c>
      <c r="K1018" t="s">
        <v>25</v>
      </c>
      <c r="L1018">
        <v>0</v>
      </c>
      <c r="M1018">
        <v>8.4499999999999993</v>
      </c>
      <c r="N1018">
        <v>0</v>
      </c>
      <c r="O1018">
        <v>167.78</v>
      </c>
      <c r="P1018">
        <v>176.23400000000001</v>
      </c>
    </row>
    <row r="1019" spans="1:16" hidden="1" x14ac:dyDescent="0.25">
      <c r="A1019" s="22">
        <v>43241</v>
      </c>
      <c r="B1019" t="s">
        <v>100</v>
      </c>
      <c r="C1019" t="s">
        <v>23</v>
      </c>
      <c r="D1019">
        <v>2000</v>
      </c>
      <c r="E1019">
        <v>139</v>
      </c>
      <c r="F1019">
        <v>278000</v>
      </c>
      <c r="G1019" t="s">
        <v>459</v>
      </c>
      <c r="H1019">
        <v>2018095</v>
      </c>
      <c r="I1019" t="s">
        <v>19</v>
      </c>
      <c r="J1019" t="s">
        <v>20</v>
      </c>
      <c r="K1019" t="s">
        <v>25</v>
      </c>
      <c r="L1019">
        <v>68.260000000000005</v>
      </c>
      <c r="M1019">
        <v>8.34</v>
      </c>
      <c r="N1019">
        <v>0</v>
      </c>
      <c r="O1019">
        <v>165.52</v>
      </c>
      <c r="P1019">
        <v>242.12010000000001</v>
      </c>
    </row>
    <row r="1020" spans="1:16" hidden="1" x14ac:dyDescent="0.25">
      <c r="A1020" s="22">
        <v>43241</v>
      </c>
      <c r="B1020" t="s">
        <v>100</v>
      </c>
      <c r="C1020" t="s">
        <v>17</v>
      </c>
      <c r="D1020">
        <v>2000</v>
      </c>
      <c r="E1020">
        <v>136</v>
      </c>
      <c r="F1020">
        <v>272000</v>
      </c>
      <c r="G1020" t="s">
        <v>460</v>
      </c>
      <c r="H1020">
        <v>2018095</v>
      </c>
      <c r="I1020" t="s">
        <v>19</v>
      </c>
      <c r="J1020" t="s">
        <v>20</v>
      </c>
      <c r="K1020" t="s">
        <v>25</v>
      </c>
      <c r="L1020">
        <v>0</v>
      </c>
      <c r="M1020">
        <v>8.16</v>
      </c>
      <c r="N1020">
        <v>34.200000000000003</v>
      </c>
      <c r="O1020">
        <v>161.94999999999999</v>
      </c>
      <c r="P1020">
        <v>204.31</v>
      </c>
    </row>
    <row r="1021" spans="1:16" hidden="1" x14ac:dyDescent="0.25">
      <c r="A1021" s="22">
        <v>43241</v>
      </c>
      <c r="B1021" t="s">
        <v>100</v>
      </c>
      <c r="C1021" t="s">
        <v>23</v>
      </c>
      <c r="D1021">
        <v>2000</v>
      </c>
      <c r="E1021">
        <v>134</v>
      </c>
      <c r="F1021">
        <v>268000</v>
      </c>
      <c r="G1021" t="s">
        <v>461</v>
      </c>
      <c r="H1021">
        <v>2018095</v>
      </c>
      <c r="I1021" t="s">
        <v>19</v>
      </c>
      <c r="J1021" t="s">
        <v>20</v>
      </c>
      <c r="K1021" t="s">
        <v>25</v>
      </c>
      <c r="L1021">
        <v>68.739999999999995</v>
      </c>
      <c r="M1021">
        <v>8.0399999999999991</v>
      </c>
      <c r="N1021">
        <v>0</v>
      </c>
      <c r="O1021">
        <v>159.57</v>
      </c>
      <c r="P1021">
        <v>236.35</v>
      </c>
    </row>
    <row r="1022" spans="1:16" x14ac:dyDescent="0.25">
      <c r="A1022" s="22">
        <v>43217</v>
      </c>
      <c r="B1022" t="s">
        <v>282</v>
      </c>
      <c r="C1022" t="s">
        <v>23</v>
      </c>
      <c r="D1022">
        <v>350</v>
      </c>
      <c r="E1022">
        <v>670</v>
      </c>
      <c r="F1022">
        <v>234500</v>
      </c>
      <c r="G1022" t="s">
        <v>422</v>
      </c>
      <c r="H1022">
        <v>2018080</v>
      </c>
      <c r="I1022" t="s">
        <v>19</v>
      </c>
      <c r="J1022" t="s">
        <v>1526</v>
      </c>
      <c r="K1022" t="s">
        <v>25</v>
      </c>
      <c r="L1022">
        <v>234.1</v>
      </c>
      <c r="M1022">
        <v>7.04</v>
      </c>
      <c r="N1022">
        <v>0</v>
      </c>
      <c r="O1022">
        <v>1523.18</v>
      </c>
      <c r="P1022">
        <v>1764.3150000000001</v>
      </c>
    </row>
    <row r="1023" spans="1:16" hidden="1" x14ac:dyDescent="0.25">
      <c r="A1023" s="22">
        <v>43238</v>
      </c>
      <c r="B1023" t="s">
        <v>433</v>
      </c>
      <c r="C1023" t="s">
        <v>17</v>
      </c>
      <c r="D1023">
        <v>2500</v>
      </c>
      <c r="E1023">
        <v>19.350000000000001</v>
      </c>
      <c r="F1023">
        <v>48375</v>
      </c>
      <c r="G1023" t="s">
        <v>463</v>
      </c>
      <c r="H1023">
        <v>2018094</v>
      </c>
      <c r="I1023" t="s">
        <v>19</v>
      </c>
      <c r="J1023" t="s">
        <v>1526</v>
      </c>
      <c r="K1023" t="s">
        <v>25</v>
      </c>
      <c r="L1023">
        <v>41.63</v>
      </c>
      <c r="M1023">
        <v>1.45</v>
      </c>
      <c r="N1023">
        <v>0</v>
      </c>
      <c r="O1023">
        <v>314.20999999999998</v>
      </c>
      <c r="P1023">
        <v>357.29129999999998</v>
      </c>
    </row>
    <row r="1024" spans="1:16" hidden="1" x14ac:dyDescent="0.25">
      <c r="A1024" s="22">
        <v>43238</v>
      </c>
      <c r="B1024" t="s">
        <v>100</v>
      </c>
      <c r="C1024" t="s">
        <v>17</v>
      </c>
      <c r="D1024">
        <v>1000</v>
      </c>
      <c r="E1024">
        <v>152</v>
      </c>
      <c r="F1024">
        <v>152000</v>
      </c>
      <c r="G1024" t="s">
        <v>464</v>
      </c>
      <c r="H1024">
        <v>2018094</v>
      </c>
      <c r="I1024" t="s">
        <v>19</v>
      </c>
      <c r="J1024" t="s">
        <v>20</v>
      </c>
      <c r="K1024" t="s">
        <v>25</v>
      </c>
      <c r="L1024">
        <v>0</v>
      </c>
      <c r="M1024">
        <v>4.5599999999999996</v>
      </c>
      <c r="N1024">
        <v>13.5</v>
      </c>
      <c r="O1024">
        <v>90.5</v>
      </c>
      <c r="P1024">
        <v>108.56</v>
      </c>
    </row>
    <row r="1025" spans="1:16" hidden="1" x14ac:dyDescent="0.25">
      <c r="A1025" s="22">
        <v>43238</v>
      </c>
      <c r="B1025" t="s">
        <v>100</v>
      </c>
      <c r="C1025" t="s">
        <v>23</v>
      </c>
      <c r="D1025">
        <v>1000</v>
      </c>
      <c r="E1025">
        <v>149</v>
      </c>
      <c r="F1025">
        <v>149000</v>
      </c>
      <c r="G1025" t="s">
        <v>465</v>
      </c>
      <c r="H1025">
        <v>2018094</v>
      </c>
      <c r="I1025" t="s">
        <v>19</v>
      </c>
      <c r="J1025" t="s">
        <v>20</v>
      </c>
      <c r="K1025" t="s">
        <v>25</v>
      </c>
      <c r="L1025">
        <v>37.22</v>
      </c>
      <c r="M1025">
        <v>4.47</v>
      </c>
      <c r="N1025">
        <v>0</v>
      </c>
      <c r="O1025">
        <v>88.71</v>
      </c>
      <c r="P1025">
        <v>130.4</v>
      </c>
    </row>
    <row r="1026" spans="1:16" hidden="1" x14ac:dyDescent="0.25">
      <c r="A1026" s="22">
        <v>43238</v>
      </c>
      <c r="B1026" t="s">
        <v>433</v>
      </c>
      <c r="C1026" t="s">
        <v>17</v>
      </c>
      <c r="D1026">
        <v>2500</v>
      </c>
      <c r="E1026">
        <v>13.95</v>
      </c>
      <c r="F1026">
        <v>34875</v>
      </c>
      <c r="G1026" t="s">
        <v>466</v>
      </c>
      <c r="H1026">
        <v>2018094</v>
      </c>
      <c r="I1026" t="s">
        <v>19</v>
      </c>
      <c r="J1026" t="s">
        <v>1526</v>
      </c>
      <c r="K1026" t="s">
        <v>25</v>
      </c>
      <c r="L1026">
        <v>41.63</v>
      </c>
      <c r="M1026">
        <v>1.05</v>
      </c>
      <c r="N1026">
        <v>0</v>
      </c>
      <c r="O1026">
        <v>226.53</v>
      </c>
      <c r="P1026">
        <v>269.20620000000002</v>
      </c>
    </row>
    <row r="1027" spans="1:16" hidden="1" x14ac:dyDescent="0.25">
      <c r="A1027" s="22">
        <v>43237</v>
      </c>
      <c r="B1027" t="s">
        <v>282</v>
      </c>
      <c r="C1027" t="s">
        <v>17</v>
      </c>
      <c r="D1027">
        <v>100</v>
      </c>
      <c r="E1027">
        <v>638</v>
      </c>
      <c r="F1027">
        <v>63800</v>
      </c>
      <c r="G1027" t="s">
        <v>467</v>
      </c>
      <c r="H1027">
        <v>2018093</v>
      </c>
      <c r="I1027" t="s">
        <v>19</v>
      </c>
      <c r="J1027" t="s">
        <v>20</v>
      </c>
      <c r="K1027" t="s">
        <v>25</v>
      </c>
      <c r="L1027">
        <v>0</v>
      </c>
      <c r="M1027">
        <v>1.91</v>
      </c>
      <c r="N1027">
        <v>0</v>
      </c>
      <c r="O1027">
        <v>37.99</v>
      </c>
      <c r="P1027">
        <v>39.904000000000003</v>
      </c>
    </row>
    <row r="1028" spans="1:16" x14ac:dyDescent="0.25">
      <c r="A1028" s="22">
        <v>43220</v>
      </c>
      <c r="B1028" t="s">
        <v>282</v>
      </c>
      <c r="C1028" t="s">
        <v>23</v>
      </c>
      <c r="D1028">
        <v>500</v>
      </c>
      <c r="E1028">
        <v>670</v>
      </c>
      <c r="F1028">
        <v>335000</v>
      </c>
      <c r="G1028" t="s">
        <v>417</v>
      </c>
      <c r="H1028">
        <v>2018081</v>
      </c>
      <c r="I1028" t="s">
        <v>19</v>
      </c>
      <c r="J1028" t="s">
        <v>1526</v>
      </c>
      <c r="K1028" t="s">
        <v>25</v>
      </c>
      <c r="L1028">
        <v>83.32</v>
      </c>
      <c r="M1028">
        <v>10.050000000000001</v>
      </c>
      <c r="N1028">
        <v>0</v>
      </c>
      <c r="O1028">
        <v>199.46</v>
      </c>
      <c r="P1028">
        <v>292.83</v>
      </c>
    </row>
    <row r="1029" spans="1:16" hidden="1" x14ac:dyDescent="0.25">
      <c r="A1029" s="22">
        <v>43237</v>
      </c>
      <c r="B1029" t="s">
        <v>433</v>
      </c>
      <c r="C1029" t="s">
        <v>17</v>
      </c>
      <c r="D1029">
        <v>1000</v>
      </c>
      <c r="E1029">
        <v>14.7</v>
      </c>
      <c r="F1029">
        <v>14700</v>
      </c>
      <c r="G1029" t="s">
        <v>469</v>
      </c>
      <c r="H1029">
        <v>2018093</v>
      </c>
      <c r="I1029" t="s">
        <v>19</v>
      </c>
      <c r="J1029" t="s">
        <v>1526</v>
      </c>
      <c r="K1029" t="s">
        <v>25</v>
      </c>
      <c r="L1029">
        <v>16.260000000000002</v>
      </c>
      <c r="M1029">
        <v>0.44</v>
      </c>
      <c r="N1029">
        <v>0</v>
      </c>
      <c r="O1029">
        <v>95.48</v>
      </c>
      <c r="P1029">
        <v>112.1811</v>
      </c>
    </row>
    <row r="1030" spans="1:16" hidden="1" x14ac:dyDescent="0.25">
      <c r="A1030" s="22">
        <v>43237</v>
      </c>
      <c r="B1030" t="s">
        <v>433</v>
      </c>
      <c r="C1030" t="s">
        <v>17</v>
      </c>
      <c r="D1030">
        <v>1500</v>
      </c>
      <c r="E1030">
        <v>17.3</v>
      </c>
      <c r="F1030">
        <v>25950</v>
      </c>
      <c r="G1030" t="s">
        <v>470</v>
      </c>
      <c r="H1030">
        <v>2018093</v>
      </c>
      <c r="I1030" t="s">
        <v>19</v>
      </c>
      <c r="J1030" t="s">
        <v>1526</v>
      </c>
      <c r="K1030" t="s">
        <v>25</v>
      </c>
      <c r="L1030">
        <v>24.39</v>
      </c>
      <c r="M1030">
        <v>0.78</v>
      </c>
      <c r="N1030">
        <v>0</v>
      </c>
      <c r="O1030">
        <v>168.56</v>
      </c>
      <c r="P1030">
        <v>193.7285</v>
      </c>
    </row>
    <row r="1031" spans="1:16" hidden="1" x14ac:dyDescent="0.25">
      <c r="A1031" s="22">
        <v>43236</v>
      </c>
      <c r="B1031" t="s">
        <v>471</v>
      </c>
      <c r="C1031" t="s">
        <v>17</v>
      </c>
      <c r="D1031">
        <v>1500</v>
      </c>
      <c r="E1031">
        <v>92</v>
      </c>
      <c r="F1031">
        <v>138000</v>
      </c>
      <c r="G1031" t="s">
        <v>472</v>
      </c>
      <c r="H1031">
        <v>2018092</v>
      </c>
      <c r="I1031" t="s">
        <v>19</v>
      </c>
      <c r="J1031" t="s">
        <v>20</v>
      </c>
      <c r="K1031" t="s">
        <v>25</v>
      </c>
      <c r="L1031">
        <v>0</v>
      </c>
      <c r="M1031">
        <v>4.1399999999999997</v>
      </c>
      <c r="N1031">
        <v>0</v>
      </c>
      <c r="O1031">
        <v>82.17</v>
      </c>
      <c r="P1031">
        <v>86.31</v>
      </c>
    </row>
    <row r="1032" spans="1:16" hidden="1" x14ac:dyDescent="0.25">
      <c r="A1032" s="22">
        <v>43236</v>
      </c>
      <c r="B1032" t="s">
        <v>471</v>
      </c>
      <c r="C1032" t="s">
        <v>17</v>
      </c>
      <c r="D1032">
        <v>1000</v>
      </c>
      <c r="E1032">
        <v>91.25</v>
      </c>
      <c r="F1032">
        <v>91250</v>
      </c>
      <c r="G1032" t="s">
        <v>473</v>
      </c>
      <c r="H1032">
        <v>2018092</v>
      </c>
      <c r="I1032" t="s">
        <v>19</v>
      </c>
      <c r="J1032" t="s">
        <v>20</v>
      </c>
      <c r="K1032" t="s">
        <v>25</v>
      </c>
      <c r="L1032">
        <v>0</v>
      </c>
      <c r="M1032">
        <v>2.74</v>
      </c>
      <c r="N1032">
        <v>0</v>
      </c>
      <c r="O1032">
        <v>54.33</v>
      </c>
      <c r="P1032">
        <v>57.067500000000003</v>
      </c>
    </row>
    <row r="1033" spans="1:16" hidden="1" x14ac:dyDescent="0.25">
      <c r="A1033" s="22">
        <v>43236</v>
      </c>
      <c r="B1033" t="s">
        <v>471</v>
      </c>
      <c r="C1033" t="s">
        <v>23</v>
      </c>
      <c r="D1033">
        <v>2500</v>
      </c>
      <c r="E1033">
        <v>91.85</v>
      </c>
      <c r="F1033">
        <v>229625</v>
      </c>
      <c r="G1033" t="s">
        <v>474</v>
      </c>
      <c r="H1033">
        <v>2018092</v>
      </c>
      <c r="I1033" t="s">
        <v>19</v>
      </c>
      <c r="J1033" t="s">
        <v>20</v>
      </c>
      <c r="K1033" t="s">
        <v>25</v>
      </c>
      <c r="L1033">
        <v>57</v>
      </c>
      <c r="M1033">
        <v>6.89</v>
      </c>
      <c r="N1033">
        <v>13.8</v>
      </c>
      <c r="O1033">
        <v>136.76</v>
      </c>
      <c r="P1033">
        <v>214.44800000000001</v>
      </c>
    </row>
    <row r="1034" spans="1:16" hidden="1" x14ac:dyDescent="0.25">
      <c r="A1034" s="22">
        <v>43234</v>
      </c>
      <c r="B1034" t="s">
        <v>471</v>
      </c>
      <c r="C1034" t="s">
        <v>17</v>
      </c>
      <c r="D1034">
        <v>1000</v>
      </c>
      <c r="E1034">
        <v>95.75</v>
      </c>
      <c r="F1034">
        <v>95750</v>
      </c>
      <c r="G1034" t="s">
        <v>475</v>
      </c>
      <c r="H1034">
        <v>2018090</v>
      </c>
      <c r="I1034" t="s">
        <v>19</v>
      </c>
      <c r="J1034" t="s">
        <v>20</v>
      </c>
      <c r="K1034" t="s">
        <v>25</v>
      </c>
      <c r="L1034">
        <v>0</v>
      </c>
      <c r="M1034">
        <v>2.87</v>
      </c>
      <c r="N1034">
        <v>8.6999999999999993</v>
      </c>
      <c r="O1034">
        <v>57</v>
      </c>
      <c r="P1034">
        <v>68.572599999999994</v>
      </c>
    </row>
    <row r="1035" spans="1:16" hidden="1" x14ac:dyDescent="0.25">
      <c r="A1035" s="22">
        <v>43234</v>
      </c>
      <c r="B1035" t="s">
        <v>471</v>
      </c>
      <c r="C1035" t="s">
        <v>17</v>
      </c>
      <c r="D1035">
        <v>500</v>
      </c>
      <c r="E1035">
        <v>94.5</v>
      </c>
      <c r="F1035">
        <v>47250</v>
      </c>
      <c r="G1035" t="s">
        <v>476</v>
      </c>
      <c r="H1035">
        <v>2018090</v>
      </c>
      <c r="I1035" t="s">
        <v>19</v>
      </c>
      <c r="J1035" t="s">
        <v>20</v>
      </c>
      <c r="K1035" t="s">
        <v>25</v>
      </c>
      <c r="L1035">
        <v>0</v>
      </c>
      <c r="M1035">
        <v>1.42</v>
      </c>
      <c r="N1035">
        <v>0</v>
      </c>
      <c r="O1035">
        <v>29.76</v>
      </c>
      <c r="P1035">
        <v>31.177499999999998</v>
      </c>
    </row>
    <row r="1036" spans="1:16" hidden="1" x14ac:dyDescent="0.25">
      <c r="A1036" s="22">
        <v>43234</v>
      </c>
      <c r="B1036" t="s">
        <v>471</v>
      </c>
      <c r="C1036" t="s">
        <v>23</v>
      </c>
      <c r="D1036">
        <v>1500</v>
      </c>
      <c r="E1036">
        <v>92</v>
      </c>
      <c r="F1036">
        <v>138000</v>
      </c>
      <c r="G1036" t="s">
        <v>477</v>
      </c>
      <c r="H1036">
        <v>2018090</v>
      </c>
      <c r="I1036" t="s">
        <v>19</v>
      </c>
      <c r="J1036" t="s">
        <v>20</v>
      </c>
      <c r="K1036" t="s">
        <v>25</v>
      </c>
      <c r="L1036">
        <v>35</v>
      </c>
      <c r="M1036">
        <v>4.1399999999999997</v>
      </c>
      <c r="N1036">
        <v>0</v>
      </c>
      <c r="O1036">
        <v>82.17</v>
      </c>
      <c r="P1036">
        <v>121.31</v>
      </c>
    </row>
    <row r="1037" spans="1:16" hidden="1" x14ac:dyDescent="0.25">
      <c r="A1037" s="22">
        <v>43231</v>
      </c>
      <c r="B1037" t="s">
        <v>179</v>
      </c>
      <c r="C1037" t="s">
        <v>17</v>
      </c>
      <c r="D1037">
        <v>1100</v>
      </c>
      <c r="E1037">
        <v>79.099999999999994</v>
      </c>
      <c r="F1037">
        <v>87010</v>
      </c>
      <c r="G1037" t="s">
        <v>478</v>
      </c>
      <c r="H1037">
        <v>2018089</v>
      </c>
      <c r="I1037" t="s">
        <v>19</v>
      </c>
      <c r="J1037" t="s">
        <v>20</v>
      </c>
      <c r="K1037" t="s">
        <v>25</v>
      </c>
      <c r="L1037">
        <v>0</v>
      </c>
      <c r="M1037">
        <v>2.61</v>
      </c>
      <c r="N1037">
        <v>0</v>
      </c>
      <c r="O1037">
        <v>51.81</v>
      </c>
      <c r="P1037">
        <v>54.420299999999997</v>
      </c>
    </row>
    <row r="1038" spans="1:16" hidden="1" x14ac:dyDescent="0.25">
      <c r="A1038" s="22">
        <v>43231</v>
      </c>
      <c r="B1038" t="s">
        <v>179</v>
      </c>
      <c r="C1038" t="s">
        <v>23</v>
      </c>
      <c r="D1038">
        <v>1100</v>
      </c>
      <c r="E1038">
        <v>76.8</v>
      </c>
      <c r="F1038">
        <v>84480</v>
      </c>
      <c r="G1038" t="s">
        <v>479</v>
      </c>
      <c r="H1038">
        <v>2018089</v>
      </c>
      <c r="I1038" t="s">
        <v>19</v>
      </c>
      <c r="J1038" t="s">
        <v>20</v>
      </c>
      <c r="K1038" t="s">
        <v>25</v>
      </c>
      <c r="L1038">
        <v>21</v>
      </c>
      <c r="M1038">
        <v>2.5299999999999998</v>
      </c>
      <c r="N1038">
        <v>5.4</v>
      </c>
      <c r="O1038">
        <v>50.3</v>
      </c>
      <c r="P1038">
        <v>79.234399999999994</v>
      </c>
    </row>
    <row r="1039" spans="1:16" hidden="1" x14ac:dyDescent="0.25">
      <c r="A1039" s="22">
        <v>43230</v>
      </c>
      <c r="B1039" t="s">
        <v>480</v>
      </c>
      <c r="C1039" t="s">
        <v>17</v>
      </c>
      <c r="D1039">
        <v>1000</v>
      </c>
      <c r="E1039">
        <v>91</v>
      </c>
      <c r="F1039">
        <v>91000</v>
      </c>
      <c r="G1039" t="s">
        <v>481</v>
      </c>
      <c r="H1039">
        <v>2018088</v>
      </c>
      <c r="I1039" t="s">
        <v>19</v>
      </c>
      <c r="J1039" t="s">
        <v>20</v>
      </c>
      <c r="K1039" t="s">
        <v>25</v>
      </c>
      <c r="L1039">
        <v>0</v>
      </c>
      <c r="M1039">
        <v>2.73</v>
      </c>
      <c r="N1039">
        <v>12.3</v>
      </c>
      <c r="O1039">
        <v>54.18</v>
      </c>
      <c r="P1039">
        <v>69.209999999999994</v>
      </c>
    </row>
    <row r="1040" spans="1:16" hidden="1" x14ac:dyDescent="0.25">
      <c r="A1040" s="22">
        <v>43230</v>
      </c>
      <c r="B1040" t="s">
        <v>205</v>
      </c>
      <c r="C1040" t="s">
        <v>23</v>
      </c>
      <c r="D1040">
        <v>900</v>
      </c>
      <c r="E1040">
        <v>51.17</v>
      </c>
      <c r="F1040">
        <v>46052.05</v>
      </c>
      <c r="G1040" t="s">
        <v>482</v>
      </c>
      <c r="H1040">
        <v>2018088</v>
      </c>
      <c r="I1040" t="s">
        <v>19</v>
      </c>
      <c r="J1040" t="s">
        <v>20</v>
      </c>
      <c r="K1040" t="s">
        <v>25</v>
      </c>
      <c r="L1040">
        <v>46.14</v>
      </c>
      <c r="M1040">
        <v>1.38</v>
      </c>
      <c r="N1040">
        <v>0</v>
      </c>
      <c r="O1040">
        <v>299.12</v>
      </c>
      <c r="P1040">
        <v>346.64159999999998</v>
      </c>
    </row>
    <row r="1041" spans="1:16" hidden="1" x14ac:dyDescent="0.25">
      <c r="A1041" s="22">
        <v>43230</v>
      </c>
      <c r="B1041" t="s">
        <v>480</v>
      </c>
      <c r="C1041" t="s">
        <v>17</v>
      </c>
      <c r="D1041">
        <v>1000</v>
      </c>
      <c r="E1041">
        <v>90.75</v>
      </c>
      <c r="F1041">
        <v>90750</v>
      </c>
      <c r="G1041" t="s">
        <v>483</v>
      </c>
      <c r="H1041">
        <v>2018088</v>
      </c>
      <c r="I1041" t="s">
        <v>19</v>
      </c>
      <c r="J1041" t="s">
        <v>20</v>
      </c>
      <c r="K1041" t="s">
        <v>25</v>
      </c>
      <c r="L1041">
        <v>0</v>
      </c>
      <c r="M1041">
        <v>2.72</v>
      </c>
      <c r="N1041">
        <v>0</v>
      </c>
      <c r="O1041">
        <v>54.03</v>
      </c>
      <c r="P1041">
        <v>56.752499999999998</v>
      </c>
    </row>
    <row r="1042" spans="1:16" hidden="1" x14ac:dyDescent="0.25">
      <c r="A1042" s="22">
        <v>43230</v>
      </c>
      <c r="B1042" t="s">
        <v>480</v>
      </c>
      <c r="C1042" t="s">
        <v>23</v>
      </c>
      <c r="D1042">
        <v>2000</v>
      </c>
      <c r="E1042">
        <v>88.55</v>
      </c>
      <c r="F1042">
        <v>177100</v>
      </c>
      <c r="G1042" t="s">
        <v>484</v>
      </c>
      <c r="H1042">
        <v>2018088</v>
      </c>
      <c r="I1042" t="s">
        <v>19</v>
      </c>
      <c r="J1042" t="s">
        <v>20</v>
      </c>
      <c r="K1042" t="s">
        <v>25</v>
      </c>
      <c r="L1042">
        <v>44.86</v>
      </c>
      <c r="M1042">
        <v>5.31</v>
      </c>
      <c r="N1042">
        <v>0</v>
      </c>
      <c r="O1042">
        <v>105.45</v>
      </c>
      <c r="P1042">
        <v>155.62309999999999</v>
      </c>
    </row>
    <row r="1043" spans="1:16" hidden="1" x14ac:dyDescent="0.25">
      <c r="A1043" s="22">
        <v>43230</v>
      </c>
      <c r="B1043" t="s">
        <v>190</v>
      </c>
      <c r="C1043" t="s">
        <v>17</v>
      </c>
      <c r="D1043">
        <v>1000</v>
      </c>
      <c r="E1043">
        <v>7</v>
      </c>
      <c r="F1043">
        <v>7000</v>
      </c>
      <c r="G1043" t="s">
        <v>485</v>
      </c>
      <c r="H1043">
        <v>2018088</v>
      </c>
      <c r="I1043" t="s">
        <v>140</v>
      </c>
      <c r="J1043" t="s">
        <v>20</v>
      </c>
      <c r="K1043" t="s">
        <v>25</v>
      </c>
      <c r="L1043">
        <v>7</v>
      </c>
      <c r="M1043">
        <v>0.21</v>
      </c>
      <c r="N1043">
        <v>0.3</v>
      </c>
      <c r="O1043">
        <v>59.04</v>
      </c>
      <c r="P1043">
        <v>66.55</v>
      </c>
    </row>
    <row r="1044" spans="1:16" hidden="1" x14ac:dyDescent="0.25">
      <c r="A1044" s="22">
        <v>43229</v>
      </c>
      <c r="B1044" t="s">
        <v>480</v>
      </c>
      <c r="C1044" t="s">
        <v>17</v>
      </c>
      <c r="D1044">
        <v>1000</v>
      </c>
      <c r="E1044">
        <v>100.5</v>
      </c>
      <c r="F1044">
        <v>100500</v>
      </c>
      <c r="G1044" t="s">
        <v>486</v>
      </c>
      <c r="H1044">
        <v>2018087</v>
      </c>
      <c r="I1044" t="s">
        <v>19</v>
      </c>
      <c r="J1044" t="s">
        <v>20</v>
      </c>
      <c r="K1044" t="s">
        <v>25</v>
      </c>
      <c r="L1044">
        <v>0</v>
      </c>
      <c r="M1044">
        <v>3.02</v>
      </c>
      <c r="N1044">
        <v>6.3</v>
      </c>
      <c r="O1044">
        <v>59.83</v>
      </c>
      <c r="P1044">
        <v>69.144999999999996</v>
      </c>
    </row>
    <row r="1045" spans="1:16" hidden="1" x14ac:dyDescent="0.25">
      <c r="A1045" s="22">
        <v>43229</v>
      </c>
      <c r="B1045" t="s">
        <v>480</v>
      </c>
      <c r="C1045" t="s">
        <v>23</v>
      </c>
      <c r="D1045">
        <v>1000</v>
      </c>
      <c r="E1045">
        <v>101</v>
      </c>
      <c r="F1045">
        <v>101000</v>
      </c>
      <c r="G1045" t="s">
        <v>487</v>
      </c>
      <c r="H1045">
        <v>2018087</v>
      </c>
      <c r="I1045" t="s">
        <v>19</v>
      </c>
      <c r="J1045" t="s">
        <v>20</v>
      </c>
      <c r="K1045" t="s">
        <v>25</v>
      </c>
      <c r="L1045">
        <v>25</v>
      </c>
      <c r="M1045">
        <v>3.03</v>
      </c>
      <c r="N1045">
        <v>0</v>
      </c>
      <c r="O1045">
        <v>60.14</v>
      </c>
      <c r="P1045">
        <v>88.17</v>
      </c>
    </row>
    <row r="1046" spans="1:16" hidden="1" x14ac:dyDescent="0.25">
      <c r="A1046" s="22">
        <v>43224</v>
      </c>
      <c r="B1046" t="s">
        <v>321</v>
      </c>
      <c r="C1046" t="s">
        <v>17</v>
      </c>
      <c r="D1046">
        <v>1000</v>
      </c>
      <c r="E1046">
        <v>293</v>
      </c>
      <c r="F1046">
        <v>293000</v>
      </c>
      <c r="G1046" t="s">
        <v>488</v>
      </c>
      <c r="H1046">
        <v>2018084</v>
      </c>
      <c r="I1046" t="s">
        <v>19</v>
      </c>
      <c r="J1046" t="s">
        <v>20</v>
      </c>
      <c r="K1046" t="s">
        <v>25</v>
      </c>
      <c r="L1046">
        <v>0</v>
      </c>
      <c r="M1046">
        <v>8.7899999999999991</v>
      </c>
      <c r="N1046">
        <v>17.7</v>
      </c>
      <c r="O1046">
        <v>174.45</v>
      </c>
      <c r="P1046">
        <v>200.9401</v>
      </c>
    </row>
    <row r="1047" spans="1:16" hidden="1" x14ac:dyDescent="0.25">
      <c r="A1047" s="22">
        <v>43224</v>
      </c>
      <c r="B1047" t="s">
        <v>321</v>
      </c>
      <c r="C1047" t="s">
        <v>23</v>
      </c>
      <c r="D1047">
        <v>1000</v>
      </c>
      <c r="E1047">
        <v>291</v>
      </c>
      <c r="F1047">
        <v>291000</v>
      </c>
      <c r="G1047" t="s">
        <v>489</v>
      </c>
      <c r="H1047">
        <v>2018084</v>
      </c>
      <c r="I1047" t="s">
        <v>19</v>
      </c>
      <c r="J1047" t="s">
        <v>20</v>
      </c>
      <c r="K1047" t="s">
        <v>25</v>
      </c>
      <c r="L1047">
        <v>73</v>
      </c>
      <c r="M1047">
        <v>8.73</v>
      </c>
      <c r="N1047">
        <v>0</v>
      </c>
      <c r="O1047">
        <v>173.26</v>
      </c>
      <c r="P1047">
        <v>254.99</v>
      </c>
    </row>
    <row r="1048" spans="1:16" x14ac:dyDescent="0.25">
      <c r="A1048" s="22">
        <v>43223</v>
      </c>
      <c r="B1048" t="s">
        <v>282</v>
      </c>
      <c r="C1048" t="s">
        <v>23</v>
      </c>
      <c r="D1048">
        <v>290</v>
      </c>
      <c r="E1048">
        <v>626.88</v>
      </c>
      <c r="F1048">
        <v>181796.1</v>
      </c>
      <c r="G1048" t="s">
        <v>412</v>
      </c>
      <c r="H1048">
        <v>2018083</v>
      </c>
      <c r="I1048" t="s">
        <v>19</v>
      </c>
      <c r="J1048" t="s">
        <v>1526</v>
      </c>
      <c r="K1048" t="s">
        <v>25</v>
      </c>
      <c r="L1048">
        <v>181.82</v>
      </c>
      <c r="M1048">
        <v>5.45</v>
      </c>
      <c r="N1048">
        <v>0</v>
      </c>
      <c r="O1048">
        <v>1180.8399999999999</v>
      </c>
      <c r="P1048">
        <v>1368.114</v>
      </c>
    </row>
    <row r="1049" spans="1:16" x14ac:dyDescent="0.25">
      <c r="A1049" s="22">
        <v>43223</v>
      </c>
      <c r="B1049" t="s">
        <v>282</v>
      </c>
      <c r="C1049" t="s">
        <v>23</v>
      </c>
      <c r="D1049">
        <v>710</v>
      </c>
      <c r="E1049">
        <v>627</v>
      </c>
      <c r="F1049">
        <v>445170</v>
      </c>
      <c r="G1049" t="s">
        <v>413</v>
      </c>
      <c r="H1049">
        <v>2018083</v>
      </c>
      <c r="I1049" t="s">
        <v>19</v>
      </c>
      <c r="J1049" t="s">
        <v>1526</v>
      </c>
      <c r="K1049" t="s">
        <v>25</v>
      </c>
      <c r="L1049">
        <v>445.18</v>
      </c>
      <c r="M1049">
        <v>13.36</v>
      </c>
      <c r="N1049">
        <v>18.899999999999999</v>
      </c>
      <c r="O1049">
        <v>2891.56</v>
      </c>
      <c r="P1049">
        <v>3368.9951000000001</v>
      </c>
    </row>
    <row r="1050" spans="1:16" hidden="1" x14ac:dyDescent="0.25">
      <c r="A1050" s="22">
        <v>43220</v>
      </c>
      <c r="B1050" t="s">
        <v>282</v>
      </c>
      <c r="C1050" t="s">
        <v>17</v>
      </c>
      <c r="D1050">
        <v>100</v>
      </c>
      <c r="E1050">
        <v>662</v>
      </c>
      <c r="F1050">
        <v>66200</v>
      </c>
      <c r="G1050" t="s">
        <v>414</v>
      </c>
      <c r="H1050">
        <v>2018081</v>
      </c>
      <c r="I1050" t="s">
        <v>19</v>
      </c>
      <c r="J1050" t="s">
        <v>1526</v>
      </c>
      <c r="K1050" t="s">
        <v>25</v>
      </c>
      <c r="L1050">
        <v>0</v>
      </c>
      <c r="M1050">
        <v>1.99</v>
      </c>
      <c r="N1050">
        <v>0</v>
      </c>
      <c r="O1050">
        <v>39.409999999999997</v>
      </c>
      <c r="P1050">
        <v>41.396099999999997</v>
      </c>
    </row>
    <row r="1051" spans="1:16" hidden="1" x14ac:dyDescent="0.25">
      <c r="A1051" s="22">
        <v>43220</v>
      </c>
      <c r="B1051" t="s">
        <v>282</v>
      </c>
      <c r="C1051" t="s">
        <v>17</v>
      </c>
      <c r="D1051">
        <v>150</v>
      </c>
      <c r="E1051">
        <v>661</v>
      </c>
      <c r="F1051">
        <v>99150</v>
      </c>
      <c r="G1051" t="s">
        <v>415</v>
      </c>
      <c r="H1051">
        <v>2018081</v>
      </c>
      <c r="I1051" t="s">
        <v>19</v>
      </c>
      <c r="J1051" t="s">
        <v>1526</v>
      </c>
      <c r="K1051" t="s">
        <v>25</v>
      </c>
      <c r="L1051">
        <v>0</v>
      </c>
      <c r="M1051">
        <v>2.97</v>
      </c>
      <c r="N1051">
        <v>0</v>
      </c>
      <c r="O1051">
        <v>59.03</v>
      </c>
      <c r="P1051">
        <v>62.0045</v>
      </c>
    </row>
    <row r="1052" spans="1:16" hidden="1" x14ac:dyDescent="0.25">
      <c r="A1052" s="22">
        <v>43220</v>
      </c>
      <c r="B1052" t="s">
        <v>282</v>
      </c>
      <c r="C1052" t="s">
        <v>17</v>
      </c>
      <c r="D1052">
        <v>250</v>
      </c>
      <c r="E1052">
        <v>663</v>
      </c>
      <c r="F1052">
        <v>165750</v>
      </c>
      <c r="G1052" t="s">
        <v>416</v>
      </c>
      <c r="H1052">
        <v>2018081</v>
      </c>
      <c r="I1052" t="s">
        <v>19</v>
      </c>
      <c r="J1052" t="s">
        <v>1526</v>
      </c>
      <c r="K1052" t="s">
        <v>25</v>
      </c>
      <c r="L1052">
        <v>0</v>
      </c>
      <c r="M1052">
        <v>4.97</v>
      </c>
      <c r="N1052">
        <v>40.200000000000003</v>
      </c>
      <c r="O1052">
        <v>98.69</v>
      </c>
      <c r="P1052">
        <v>143.86259999999999</v>
      </c>
    </row>
    <row r="1053" spans="1:16" x14ac:dyDescent="0.25">
      <c r="A1053" s="22">
        <v>43237</v>
      </c>
      <c r="B1053" t="s">
        <v>282</v>
      </c>
      <c r="C1053" t="s">
        <v>23</v>
      </c>
      <c r="D1053">
        <v>100</v>
      </c>
      <c r="E1053">
        <v>641.25</v>
      </c>
      <c r="F1053">
        <v>64125</v>
      </c>
      <c r="G1053" t="s">
        <v>468</v>
      </c>
      <c r="H1053">
        <v>2018093</v>
      </c>
      <c r="I1053" t="s">
        <v>19</v>
      </c>
      <c r="J1053" t="s">
        <v>20</v>
      </c>
      <c r="K1053" t="s">
        <v>25</v>
      </c>
      <c r="L1053">
        <v>16.350000000000001</v>
      </c>
      <c r="M1053">
        <v>1.92</v>
      </c>
      <c r="N1053">
        <v>5.0999999999999996</v>
      </c>
      <c r="O1053">
        <v>38.17</v>
      </c>
      <c r="P1053">
        <v>61.543799999999997</v>
      </c>
    </row>
    <row r="1054" spans="1:16" hidden="1" x14ac:dyDescent="0.25">
      <c r="A1054" s="22">
        <v>43220</v>
      </c>
      <c r="B1054" t="s">
        <v>282</v>
      </c>
      <c r="C1054" t="s">
        <v>17</v>
      </c>
      <c r="D1054">
        <v>1000</v>
      </c>
      <c r="E1054">
        <v>667</v>
      </c>
      <c r="F1054">
        <v>667000</v>
      </c>
      <c r="G1054" t="s">
        <v>418</v>
      </c>
      <c r="H1054">
        <v>2018081</v>
      </c>
      <c r="I1054" t="s">
        <v>19</v>
      </c>
      <c r="J1054" t="s">
        <v>1526</v>
      </c>
      <c r="K1054" t="s">
        <v>25</v>
      </c>
      <c r="L1054">
        <v>666.68</v>
      </c>
      <c r="M1054">
        <v>20.010000000000002</v>
      </c>
      <c r="N1054">
        <v>0</v>
      </c>
      <c r="O1054">
        <v>4332.42</v>
      </c>
      <c r="P1054">
        <v>5019.1100999999999</v>
      </c>
    </row>
    <row r="1055" spans="1:16" hidden="1" x14ac:dyDescent="0.25">
      <c r="A1055" s="22">
        <v>43217</v>
      </c>
      <c r="B1055" t="s">
        <v>179</v>
      </c>
      <c r="C1055" t="s">
        <v>17</v>
      </c>
      <c r="D1055">
        <v>1000</v>
      </c>
      <c r="E1055">
        <v>81</v>
      </c>
      <c r="F1055">
        <v>81000</v>
      </c>
      <c r="G1055" t="s">
        <v>419</v>
      </c>
      <c r="H1055">
        <v>2018080</v>
      </c>
      <c r="I1055" t="s">
        <v>19</v>
      </c>
      <c r="J1055" t="s">
        <v>1526</v>
      </c>
      <c r="K1055" t="s">
        <v>25</v>
      </c>
      <c r="L1055">
        <v>81</v>
      </c>
      <c r="M1055">
        <v>2.4300000000000002</v>
      </c>
      <c r="N1055">
        <v>0</v>
      </c>
      <c r="O1055">
        <v>526.13</v>
      </c>
      <c r="P1055">
        <v>609.55999999999995</v>
      </c>
    </row>
    <row r="1056" spans="1:16" hidden="1" x14ac:dyDescent="0.25">
      <c r="A1056" s="22">
        <v>43217</v>
      </c>
      <c r="B1056" t="s">
        <v>379</v>
      </c>
      <c r="C1056" t="s">
        <v>17</v>
      </c>
      <c r="D1056">
        <v>100</v>
      </c>
      <c r="E1056">
        <v>239</v>
      </c>
      <c r="F1056">
        <v>23900</v>
      </c>
      <c r="G1056" t="s">
        <v>420</v>
      </c>
      <c r="H1056">
        <v>2018080</v>
      </c>
      <c r="I1056" t="s">
        <v>19</v>
      </c>
      <c r="J1056" t="s">
        <v>20</v>
      </c>
      <c r="K1056" t="s">
        <v>25</v>
      </c>
      <c r="L1056">
        <v>0</v>
      </c>
      <c r="M1056">
        <v>0.72</v>
      </c>
      <c r="N1056">
        <v>11.1</v>
      </c>
      <c r="O1056">
        <v>29.63</v>
      </c>
      <c r="P1056">
        <v>41.447099999999999</v>
      </c>
    </row>
    <row r="1057" spans="1:16" hidden="1" x14ac:dyDescent="0.25">
      <c r="A1057" s="22">
        <v>43217</v>
      </c>
      <c r="B1057" t="s">
        <v>379</v>
      </c>
      <c r="C1057" t="s">
        <v>23</v>
      </c>
      <c r="D1057">
        <v>100</v>
      </c>
      <c r="E1057">
        <v>233</v>
      </c>
      <c r="F1057">
        <v>23300</v>
      </c>
      <c r="G1057" t="s">
        <v>421</v>
      </c>
      <c r="H1057">
        <v>2018080</v>
      </c>
      <c r="I1057" t="s">
        <v>19</v>
      </c>
      <c r="J1057" t="s">
        <v>20</v>
      </c>
      <c r="K1057" t="s">
        <v>25</v>
      </c>
      <c r="L1057">
        <v>5.9</v>
      </c>
      <c r="M1057">
        <v>0.7</v>
      </c>
      <c r="N1057">
        <v>0</v>
      </c>
      <c r="O1057">
        <v>29.63</v>
      </c>
      <c r="P1057">
        <v>36.229100000000003</v>
      </c>
    </row>
    <row r="1058" spans="1:16" x14ac:dyDescent="0.25">
      <c r="A1058" s="22">
        <v>43238</v>
      </c>
      <c r="B1058" t="s">
        <v>282</v>
      </c>
      <c r="C1058" t="s">
        <v>23</v>
      </c>
      <c r="D1058">
        <v>100</v>
      </c>
      <c r="E1058">
        <v>635.35</v>
      </c>
      <c r="F1058">
        <v>63535</v>
      </c>
      <c r="G1058" t="s">
        <v>462</v>
      </c>
      <c r="H1058">
        <v>2018094</v>
      </c>
      <c r="I1058" t="s">
        <v>19</v>
      </c>
      <c r="J1058" t="s">
        <v>20</v>
      </c>
      <c r="K1058" t="s">
        <v>25</v>
      </c>
      <c r="L1058">
        <v>63.54</v>
      </c>
      <c r="M1058">
        <v>1.91</v>
      </c>
      <c r="N1058">
        <v>0</v>
      </c>
      <c r="O1058">
        <v>412.68</v>
      </c>
      <c r="P1058">
        <v>478.12610000000001</v>
      </c>
    </row>
    <row r="1059" spans="1:16" hidden="1" x14ac:dyDescent="0.25">
      <c r="A1059" s="22">
        <v>43216</v>
      </c>
      <c r="B1059" t="s">
        <v>397</v>
      </c>
      <c r="C1059" t="s">
        <v>17</v>
      </c>
      <c r="D1059">
        <v>75</v>
      </c>
      <c r="E1059">
        <v>281</v>
      </c>
      <c r="F1059">
        <v>21075</v>
      </c>
      <c r="G1059" t="s">
        <v>423</v>
      </c>
      <c r="H1059">
        <v>2018079</v>
      </c>
      <c r="I1059" t="s">
        <v>19</v>
      </c>
      <c r="J1059" t="s">
        <v>20</v>
      </c>
      <c r="K1059" t="s">
        <v>25</v>
      </c>
      <c r="L1059">
        <v>21</v>
      </c>
      <c r="M1059">
        <v>0.63</v>
      </c>
      <c r="N1059">
        <v>0.9</v>
      </c>
      <c r="O1059">
        <v>136.88999999999999</v>
      </c>
      <c r="P1059">
        <v>159.4222</v>
      </c>
    </row>
    <row r="1060" spans="1:16" hidden="1" x14ac:dyDescent="0.25">
      <c r="A1060" s="22">
        <v>43216</v>
      </c>
      <c r="B1060" t="s">
        <v>190</v>
      </c>
      <c r="C1060" t="s">
        <v>17</v>
      </c>
      <c r="D1060">
        <v>1000</v>
      </c>
      <c r="E1060">
        <v>8</v>
      </c>
      <c r="F1060">
        <v>8000</v>
      </c>
      <c r="G1060" t="s">
        <v>424</v>
      </c>
      <c r="H1060">
        <v>2018079</v>
      </c>
      <c r="I1060" t="s">
        <v>140</v>
      </c>
      <c r="J1060" t="s">
        <v>20</v>
      </c>
      <c r="K1060" t="s">
        <v>25</v>
      </c>
      <c r="L1060">
        <v>8</v>
      </c>
      <c r="M1060">
        <v>0.24</v>
      </c>
      <c r="N1060">
        <v>0.3</v>
      </c>
      <c r="O1060">
        <v>59.04</v>
      </c>
      <c r="P1060">
        <v>67.58</v>
      </c>
    </row>
    <row r="1061" spans="1:16" hidden="1" x14ac:dyDescent="0.25">
      <c r="A1061" s="22">
        <v>43215</v>
      </c>
      <c r="B1061" t="s">
        <v>379</v>
      </c>
      <c r="C1061" t="s">
        <v>17</v>
      </c>
      <c r="D1061">
        <v>150</v>
      </c>
      <c r="E1061">
        <v>250</v>
      </c>
      <c r="F1061">
        <v>37500</v>
      </c>
      <c r="G1061" t="s">
        <v>380</v>
      </c>
      <c r="H1061">
        <v>2018078</v>
      </c>
      <c r="I1061" t="s">
        <v>19</v>
      </c>
      <c r="J1061" t="s">
        <v>20</v>
      </c>
      <c r="K1061" t="s">
        <v>25</v>
      </c>
      <c r="L1061">
        <v>0</v>
      </c>
      <c r="M1061">
        <v>1.1299999999999999</v>
      </c>
      <c r="N1061">
        <v>0</v>
      </c>
      <c r="O1061">
        <v>29.7</v>
      </c>
      <c r="P1061">
        <v>30.825099999999999</v>
      </c>
    </row>
    <row r="1062" spans="1:16" hidden="1" x14ac:dyDescent="0.25">
      <c r="A1062" s="22">
        <v>43215</v>
      </c>
      <c r="B1062" t="s">
        <v>379</v>
      </c>
      <c r="C1062" t="s">
        <v>23</v>
      </c>
      <c r="D1062">
        <v>250</v>
      </c>
      <c r="E1062">
        <v>242</v>
      </c>
      <c r="F1062">
        <v>60500</v>
      </c>
      <c r="G1062" t="s">
        <v>381</v>
      </c>
      <c r="H1062">
        <v>2018078</v>
      </c>
      <c r="I1062" t="s">
        <v>19</v>
      </c>
      <c r="J1062" t="s">
        <v>20</v>
      </c>
      <c r="K1062" t="s">
        <v>25</v>
      </c>
      <c r="L1062">
        <v>15.49</v>
      </c>
      <c r="M1062">
        <v>1.82</v>
      </c>
      <c r="N1062">
        <v>0</v>
      </c>
      <c r="O1062">
        <v>36.020000000000003</v>
      </c>
      <c r="P1062">
        <v>53.325099999999999</v>
      </c>
    </row>
    <row r="1063" spans="1:16" hidden="1" x14ac:dyDescent="0.25">
      <c r="A1063" s="22">
        <v>43215</v>
      </c>
      <c r="B1063" t="s">
        <v>321</v>
      </c>
      <c r="C1063" t="s">
        <v>23</v>
      </c>
      <c r="D1063">
        <v>100</v>
      </c>
      <c r="E1063">
        <v>300</v>
      </c>
      <c r="F1063">
        <v>30000</v>
      </c>
      <c r="G1063" t="s">
        <v>382</v>
      </c>
      <c r="H1063">
        <v>2018078</v>
      </c>
      <c r="I1063" t="s">
        <v>19</v>
      </c>
      <c r="J1063" t="s">
        <v>20</v>
      </c>
      <c r="K1063" t="s">
        <v>25</v>
      </c>
      <c r="L1063">
        <v>7.51</v>
      </c>
      <c r="M1063">
        <v>0.9</v>
      </c>
      <c r="N1063">
        <v>0</v>
      </c>
      <c r="O1063">
        <v>29.66</v>
      </c>
      <c r="P1063">
        <v>38.07</v>
      </c>
    </row>
    <row r="1064" spans="1:16" hidden="1" x14ac:dyDescent="0.25">
      <c r="A1064" s="22">
        <v>43215</v>
      </c>
      <c r="B1064" t="s">
        <v>379</v>
      </c>
      <c r="C1064" t="s">
        <v>17</v>
      </c>
      <c r="D1064">
        <v>100</v>
      </c>
      <c r="E1064">
        <v>252.7</v>
      </c>
      <c r="F1064">
        <v>25270</v>
      </c>
      <c r="G1064" t="s">
        <v>383</v>
      </c>
      <c r="H1064">
        <v>2018078</v>
      </c>
      <c r="I1064" t="s">
        <v>19</v>
      </c>
      <c r="J1064" t="s">
        <v>20</v>
      </c>
      <c r="K1064" t="s">
        <v>25</v>
      </c>
      <c r="L1064">
        <v>0</v>
      </c>
      <c r="M1064">
        <v>0.76</v>
      </c>
      <c r="N1064">
        <v>5.7</v>
      </c>
      <c r="O1064">
        <v>29.64</v>
      </c>
      <c r="P1064">
        <v>36.098100000000002</v>
      </c>
    </row>
    <row r="1065" spans="1:16" hidden="1" x14ac:dyDescent="0.25">
      <c r="A1065" s="22">
        <v>43215</v>
      </c>
      <c r="B1065" t="s">
        <v>321</v>
      </c>
      <c r="C1065" t="s">
        <v>17</v>
      </c>
      <c r="D1065">
        <v>100</v>
      </c>
      <c r="E1065">
        <v>301</v>
      </c>
      <c r="F1065">
        <v>30100</v>
      </c>
      <c r="G1065" t="s">
        <v>384</v>
      </c>
      <c r="H1065">
        <v>2018078</v>
      </c>
      <c r="I1065" t="s">
        <v>19</v>
      </c>
      <c r="J1065" t="s">
        <v>20</v>
      </c>
      <c r="K1065" t="s">
        <v>25</v>
      </c>
      <c r="L1065">
        <v>0</v>
      </c>
      <c r="M1065">
        <v>0.9</v>
      </c>
      <c r="N1065">
        <v>0</v>
      </c>
      <c r="O1065">
        <v>29.67</v>
      </c>
      <c r="P1065">
        <v>30.573</v>
      </c>
    </row>
    <row r="1066" spans="1:16" hidden="1" x14ac:dyDescent="0.25">
      <c r="A1066" s="22">
        <v>43214</v>
      </c>
      <c r="B1066" t="s">
        <v>282</v>
      </c>
      <c r="C1066" t="s">
        <v>17</v>
      </c>
      <c r="D1066">
        <v>100</v>
      </c>
      <c r="E1066">
        <v>653</v>
      </c>
      <c r="F1066">
        <v>65300</v>
      </c>
      <c r="G1066" t="s">
        <v>385</v>
      </c>
      <c r="H1066">
        <v>2018077</v>
      </c>
      <c r="I1066" t="s">
        <v>19</v>
      </c>
      <c r="J1066" t="s">
        <v>1526</v>
      </c>
      <c r="K1066" t="s">
        <v>25</v>
      </c>
      <c r="L1066">
        <v>65.7</v>
      </c>
      <c r="M1066">
        <v>1.96</v>
      </c>
      <c r="N1066">
        <v>10.8</v>
      </c>
      <c r="O1066">
        <v>424.15</v>
      </c>
      <c r="P1066">
        <v>502.60899999999998</v>
      </c>
    </row>
    <row r="1067" spans="1:16" hidden="1" x14ac:dyDescent="0.25">
      <c r="A1067" s="22">
        <v>43214</v>
      </c>
      <c r="B1067" t="s">
        <v>282</v>
      </c>
      <c r="C1067" t="s">
        <v>17</v>
      </c>
      <c r="D1067">
        <v>250</v>
      </c>
      <c r="E1067">
        <v>654</v>
      </c>
      <c r="F1067">
        <v>163500</v>
      </c>
      <c r="G1067" t="s">
        <v>386</v>
      </c>
      <c r="H1067">
        <v>2018077</v>
      </c>
      <c r="I1067" t="s">
        <v>19</v>
      </c>
      <c r="J1067" t="s">
        <v>1526</v>
      </c>
      <c r="K1067" t="s">
        <v>25</v>
      </c>
      <c r="L1067">
        <v>163.43</v>
      </c>
      <c r="M1067">
        <v>4.91</v>
      </c>
      <c r="N1067">
        <v>0</v>
      </c>
      <c r="O1067">
        <v>1062</v>
      </c>
      <c r="P1067">
        <v>1230.3351</v>
      </c>
    </row>
    <row r="1068" spans="1:16" hidden="1" x14ac:dyDescent="0.25">
      <c r="A1068" s="22">
        <v>43214</v>
      </c>
      <c r="B1068" t="s">
        <v>387</v>
      </c>
      <c r="C1068" t="s">
        <v>17</v>
      </c>
      <c r="D1068">
        <v>1000</v>
      </c>
      <c r="E1068">
        <v>64.25</v>
      </c>
      <c r="F1068">
        <v>64250</v>
      </c>
      <c r="G1068" t="s">
        <v>388</v>
      </c>
      <c r="H1068">
        <v>2018077</v>
      </c>
      <c r="I1068" t="s">
        <v>19</v>
      </c>
      <c r="J1068" t="s">
        <v>20</v>
      </c>
      <c r="K1068" t="s">
        <v>25</v>
      </c>
      <c r="L1068">
        <v>0</v>
      </c>
      <c r="M1068">
        <v>1.93</v>
      </c>
      <c r="N1068">
        <v>0</v>
      </c>
      <c r="O1068">
        <v>38.26</v>
      </c>
      <c r="P1068">
        <v>40.187600000000003</v>
      </c>
    </row>
    <row r="1069" spans="1:16" hidden="1" x14ac:dyDescent="0.25">
      <c r="A1069" s="22">
        <v>43214</v>
      </c>
      <c r="B1069" t="s">
        <v>387</v>
      </c>
      <c r="C1069" t="s">
        <v>23</v>
      </c>
      <c r="D1069">
        <v>1000</v>
      </c>
      <c r="E1069">
        <v>62.71</v>
      </c>
      <c r="F1069">
        <v>62705.9</v>
      </c>
      <c r="G1069" t="s">
        <v>389</v>
      </c>
      <c r="H1069">
        <v>2018077</v>
      </c>
      <c r="I1069" t="s">
        <v>19</v>
      </c>
      <c r="J1069" t="s">
        <v>20</v>
      </c>
      <c r="K1069" t="s">
        <v>25</v>
      </c>
      <c r="L1069">
        <v>15.87</v>
      </c>
      <c r="M1069">
        <v>1.88</v>
      </c>
      <c r="N1069">
        <v>0</v>
      </c>
      <c r="O1069">
        <v>37.32</v>
      </c>
      <c r="P1069">
        <v>55.071399999999997</v>
      </c>
    </row>
    <row r="1070" spans="1:16" hidden="1" x14ac:dyDescent="0.25">
      <c r="A1070" s="22">
        <v>43213</v>
      </c>
      <c r="B1070" t="s">
        <v>282</v>
      </c>
      <c r="C1070" t="s">
        <v>17</v>
      </c>
      <c r="D1070">
        <v>100</v>
      </c>
      <c r="E1070">
        <v>629</v>
      </c>
      <c r="F1070">
        <v>62900</v>
      </c>
      <c r="G1070" t="s">
        <v>390</v>
      </c>
      <c r="H1070">
        <v>201819018</v>
      </c>
      <c r="I1070" t="s">
        <v>19</v>
      </c>
      <c r="J1070" t="s">
        <v>20</v>
      </c>
      <c r="K1070" t="s">
        <v>21</v>
      </c>
      <c r="L1070">
        <v>0</v>
      </c>
      <c r="M1070">
        <v>2.57</v>
      </c>
      <c r="N1070">
        <v>3.9</v>
      </c>
      <c r="O1070">
        <v>37.58</v>
      </c>
      <c r="P1070">
        <v>44.054299999999998</v>
      </c>
    </row>
    <row r="1071" spans="1:16" x14ac:dyDescent="0.25">
      <c r="A1071" s="22">
        <v>43256</v>
      </c>
      <c r="B1071" t="s">
        <v>282</v>
      </c>
      <c r="C1071" t="s">
        <v>23</v>
      </c>
      <c r="D1071">
        <v>100</v>
      </c>
      <c r="E1071">
        <v>605</v>
      </c>
      <c r="F1071">
        <v>60500</v>
      </c>
      <c r="G1071" t="s">
        <v>499</v>
      </c>
      <c r="H1071">
        <v>2018106</v>
      </c>
      <c r="I1071" t="s">
        <v>19</v>
      </c>
      <c r="J1071" t="s">
        <v>1526</v>
      </c>
      <c r="K1071" t="s">
        <v>25</v>
      </c>
      <c r="L1071">
        <v>15.15</v>
      </c>
      <c r="M1071">
        <v>1.82</v>
      </c>
      <c r="N1071">
        <v>0</v>
      </c>
      <c r="O1071">
        <v>36.020000000000003</v>
      </c>
      <c r="P1071">
        <v>52.985100000000003</v>
      </c>
    </row>
    <row r="1072" spans="1:16" hidden="1" x14ac:dyDescent="0.25">
      <c r="A1072" s="22">
        <v>43213</v>
      </c>
      <c r="B1072" t="s">
        <v>392</v>
      </c>
      <c r="C1072" t="s">
        <v>17</v>
      </c>
      <c r="D1072">
        <v>15</v>
      </c>
      <c r="E1072">
        <v>1840.2</v>
      </c>
      <c r="F1072">
        <v>27603</v>
      </c>
      <c r="G1072" t="s">
        <v>393</v>
      </c>
      <c r="H1072">
        <v>2018076</v>
      </c>
      <c r="I1072" t="s">
        <v>19</v>
      </c>
      <c r="J1072" t="s">
        <v>20</v>
      </c>
      <c r="K1072" t="s">
        <v>25</v>
      </c>
      <c r="L1072">
        <v>0</v>
      </c>
      <c r="M1072">
        <v>0.83</v>
      </c>
      <c r="N1072">
        <v>8.6999999999999993</v>
      </c>
      <c r="O1072">
        <v>29.65</v>
      </c>
      <c r="P1072">
        <v>39.178100000000001</v>
      </c>
    </row>
    <row r="1073" spans="1:16" hidden="1" x14ac:dyDescent="0.25">
      <c r="A1073" s="22">
        <v>43213</v>
      </c>
      <c r="B1073" t="s">
        <v>392</v>
      </c>
      <c r="C1073" t="s">
        <v>23</v>
      </c>
      <c r="D1073">
        <v>25</v>
      </c>
      <c r="E1073">
        <v>1830.7</v>
      </c>
      <c r="F1073">
        <v>45767.5</v>
      </c>
      <c r="G1073" t="s">
        <v>394</v>
      </c>
      <c r="H1073">
        <v>2018076</v>
      </c>
      <c r="I1073" t="s">
        <v>19</v>
      </c>
      <c r="J1073" t="s">
        <v>20</v>
      </c>
      <c r="K1073" t="s">
        <v>25</v>
      </c>
      <c r="L1073">
        <v>11.48</v>
      </c>
      <c r="M1073">
        <v>1.37</v>
      </c>
      <c r="N1073">
        <v>0</v>
      </c>
      <c r="O1073">
        <v>29.75</v>
      </c>
      <c r="P1073">
        <v>42.603000000000002</v>
      </c>
    </row>
    <row r="1074" spans="1:16" hidden="1" x14ac:dyDescent="0.25">
      <c r="A1074" s="22">
        <v>43213</v>
      </c>
      <c r="B1074" t="s">
        <v>282</v>
      </c>
      <c r="C1074" t="s">
        <v>17</v>
      </c>
      <c r="D1074">
        <v>150</v>
      </c>
      <c r="E1074">
        <v>630.5</v>
      </c>
      <c r="F1074">
        <v>94575</v>
      </c>
      <c r="G1074" t="s">
        <v>395</v>
      </c>
      <c r="H1074">
        <v>2018076</v>
      </c>
      <c r="I1074" t="s">
        <v>19</v>
      </c>
      <c r="J1074" t="s">
        <v>20</v>
      </c>
      <c r="K1074" t="s">
        <v>25</v>
      </c>
      <c r="L1074">
        <v>0</v>
      </c>
      <c r="M1074">
        <v>2.84</v>
      </c>
      <c r="N1074">
        <v>0</v>
      </c>
      <c r="O1074">
        <v>56.31</v>
      </c>
      <c r="P1074">
        <v>59.147300000000001</v>
      </c>
    </row>
    <row r="1075" spans="1:16" x14ac:dyDescent="0.25">
      <c r="A1075" s="22">
        <v>43256</v>
      </c>
      <c r="B1075" t="s">
        <v>282</v>
      </c>
      <c r="C1075" t="s">
        <v>23</v>
      </c>
      <c r="D1075">
        <v>350</v>
      </c>
      <c r="E1075">
        <v>612</v>
      </c>
      <c r="F1075">
        <v>214200</v>
      </c>
      <c r="G1075" t="s">
        <v>504</v>
      </c>
      <c r="H1075">
        <v>2018106</v>
      </c>
      <c r="I1075" t="s">
        <v>19</v>
      </c>
      <c r="J1075" t="s">
        <v>1526</v>
      </c>
      <c r="K1075" t="s">
        <v>25</v>
      </c>
      <c r="L1075">
        <v>53.03</v>
      </c>
      <c r="M1075">
        <v>6.43</v>
      </c>
      <c r="N1075">
        <v>0</v>
      </c>
      <c r="O1075">
        <v>127.53</v>
      </c>
      <c r="P1075">
        <v>186.98599999999999</v>
      </c>
    </row>
    <row r="1076" spans="1:16" hidden="1" x14ac:dyDescent="0.25">
      <c r="A1076" s="22">
        <v>43213</v>
      </c>
      <c r="B1076" t="s">
        <v>397</v>
      </c>
      <c r="C1076" t="s">
        <v>17</v>
      </c>
      <c r="D1076">
        <v>25</v>
      </c>
      <c r="E1076">
        <v>259</v>
      </c>
      <c r="F1076">
        <v>6475</v>
      </c>
      <c r="G1076" t="s">
        <v>398</v>
      </c>
      <c r="H1076">
        <v>2018076</v>
      </c>
      <c r="I1076" t="s">
        <v>19</v>
      </c>
      <c r="J1076" t="s">
        <v>1526</v>
      </c>
      <c r="K1076" t="s">
        <v>25</v>
      </c>
      <c r="L1076">
        <v>6.82</v>
      </c>
      <c r="M1076">
        <v>0.19</v>
      </c>
      <c r="N1076">
        <v>0</v>
      </c>
      <c r="O1076">
        <v>42.06</v>
      </c>
      <c r="P1076">
        <v>49.074199999999998</v>
      </c>
    </row>
    <row r="1077" spans="1:16" hidden="1" x14ac:dyDescent="0.25">
      <c r="A1077" s="22">
        <v>43213</v>
      </c>
      <c r="B1077" t="s">
        <v>392</v>
      </c>
      <c r="C1077" t="s">
        <v>17</v>
      </c>
      <c r="D1077">
        <v>10</v>
      </c>
      <c r="E1077">
        <v>1849</v>
      </c>
      <c r="F1077">
        <v>18490</v>
      </c>
      <c r="G1077" t="s">
        <v>399</v>
      </c>
      <c r="H1077">
        <v>2018076</v>
      </c>
      <c r="I1077" t="s">
        <v>19</v>
      </c>
      <c r="J1077" t="s">
        <v>20</v>
      </c>
      <c r="K1077" t="s">
        <v>25</v>
      </c>
      <c r="L1077">
        <v>0</v>
      </c>
      <c r="M1077">
        <v>0.55000000000000004</v>
      </c>
      <c r="N1077">
        <v>0</v>
      </c>
      <c r="O1077">
        <v>29.6</v>
      </c>
      <c r="P1077">
        <v>30.154699999999998</v>
      </c>
    </row>
    <row r="1078" spans="1:16" hidden="1" x14ac:dyDescent="0.25">
      <c r="A1078" s="22">
        <v>43210</v>
      </c>
      <c r="B1078" t="s">
        <v>282</v>
      </c>
      <c r="C1078" t="s">
        <v>17</v>
      </c>
      <c r="D1078">
        <v>100</v>
      </c>
      <c r="E1078">
        <v>631</v>
      </c>
      <c r="F1078">
        <v>63100</v>
      </c>
      <c r="G1078" t="s">
        <v>400</v>
      </c>
      <c r="H1078">
        <v>2018075</v>
      </c>
      <c r="I1078" t="s">
        <v>19</v>
      </c>
      <c r="J1078" t="s">
        <v>20</v>
      </c>
      <c r="K1078" t="s">
        <v>25</v>
      </c>
      <c r="L1078">
        <v>0</v>
      </c>
      <c r="M1078">
        <v>1.89</v>
      </c>
      <c r="N1078">
        <v>0</v>
      </c>
      <c r="O1078">
        <v>37.58</v>
      </c>
      <c r="P1078">
        <v>39.472999999999999</v>
      </c>
    </row>
    <row r="1079" spans="1:16" x14ac:dyDescent="0.25">
      <c r="A1079" s="22">
        <v>43257</v>
      </c>
      <c r="B1079" t="s">
        <v>282</v>
      </c>
      <c r="C1079" t="s">
        <v>23</v>
      </c>
      <c r="D1079">
        <v>250</v>
      </c>
      <c r="E1079">
        <v>612</v>
      </c>
      <c r="F1079">
        <v>153000</v>
      </c>
      <c r="G1079" t="s">
        <v>650</v>
      </c>
      <c r="H1079">
        <v>2018107</v>
      </c>
      <c r="I1079" t="s">
        <v>19</v>
      </c>
      <c r="J1079" t="s">
        <v>20</v>
      </c>
      <c r="K1079" t="s">
        <v>25</v>
      </c>
      <c r="L1079">
        <v>37.93</v>
      </c>
      <c r="M1079">
        <v>4.59</v>
      </c>
      <c r="N1079">
        <v>0</v>
      </c>
      <c r="O1079">
        <v>91.1</v>
      </c>
      <c r="P1079">
        <v>133.62</v>
      </c>
    </row>
    <row r="1080" spans="1:16" hidden="1" x14ac:dyDescent="0.25">
      <c r="A1080" s="22">
        <v>43209</v>
      </c>
      <c r="B1080" t="s">
        <v>324</v>
      </c>
      <c r="C1080" t="s">
        <v>17</v>
      </c>
      <c r="D1080">
        <v>50</v>
      </c>
      <c r="E1080">
        <v>799</v>
      </c>
      <c r="F1080">
        <v>39950</v>
      </c>
      <c r="G1080" t="s">
        <v>402</v>
      </c>
      <c r="H1080">
        <v>2018074</v>
      </c>
      <c r="I1080" t="s">
        <v>19</v>
      </c>
      <c r="J1080" t="s">
        <v>20</v>
      </c>
      <c r="K1080" t="s">
        <v>25</v>
      </c>
      <c r="L1080">
        <v>0</v>
      </c>
      <c r="M1080">
        <v>1.2</v>
      </c>
      <c r="N1080">
        <v>0</v>
      </c>
      <c r="O1080">
        <v>29.72</v>
      </c>
      <c r="P1080">
        <v>30.918500000000002</v>
      </c>
    </row>
    <row r="1081" spans="1:16" hidden="1" x14ac:dyDescent="0.25">
      <c r="A1081" s="22">
        <v>43209</v>
      </c>
      <c r="B1081" t="s">
        <v>321</v>
      </c>
      <c r="C1081" t="s">
        <v>17</v>
      </c>
      <c r="D1081">
        <v>10</v>
      </c>
      <c r="E1081">
        <v>300</v>
      </c>
      <c r="F1081">
        <v>3000</v>
      </c>
      <c r="G1081" t="s">
        <v>403</v>
      </c>
      <c r="H1081">
        <v>2018074</v>
      </c>
      <c r="I1081" t="s">
        <v>19</v>
      </c>
      <c r="J1081" t="s">
        <v>20</v>
      </c>
      <c r="K1081" t="s">
        <v>25</v>
      </c>
      <c r="L1081">
        <v>3</v>
      </c>
      <c r="M1081">
        <v>0.09</v>
      </c>
      <c r="N1081">
        <v>0</v>
      </c>
      <c r="O1081">
        <v>41.32</v>
      </c>
      <c r="P1081">
        <v>44.41</v>
      </c>
    </row>
    <row r="1082" spans="1:16" hidden="1" x14ac:dyDescent="0.25">
      <c r="A1082" s="22">
        <v>43209</v>
      </c>
      <c r="B1082" t="s">
        <v>404</v>
      </c>
      <c r="C1082" t="s">
        <v>17</v>
      </c>
      <c r="D1082">
        <v>10</v>
      </c>
      <c r="E1082">
        <v>380</v>
      </c>
      <c r="F1082">
        <v>3800</v>
      </c>
      <c r="G1082" t="s">
        <v>405</v>
      </c>
      <c r="H1082">
        <v>2018074</v>
      </c>
      <c r="I1082" t="s">
        <v>19</v>
      </c>
      <c r="J1082" t="s">
        <v>20</v>
      </c>
      <c r="K1082" t="s">
        <v>25</v>
      </c>
      <c r="L1082">
        <v>4.13</v>
      </c>
      <c r="M1082">
        <v>0.11</v>
      </c>
      <c r="N1082">
        <v>2.7</v>
      </c>
      <c r="O1082">
        <v>41.32</v>
      </c>
      <c r="P1082">
        <v>48.264000000000003</v>
      </c>
    </row>
    <row r="1083" spans="1:16" hidden="1" x14ac:dyDescent="0.25">
      <c r="A1083" s="22">
        <v>43209</v>
      </c>
      <c r="B1083" t="s">
        <v>324</v>
      </c>
      <c r="C1083" t="s">
        <v>23</v>
      </c>
      <c r="D1083">
        <v>50</v>
      </c>
      <c r="E1083">
        <v>781</v>
      </c>
      <c r="F1083">
        <v>39050</v>
      </c>
      <c r="G1083" t="s">
        <v>406</v>
      </c>
      <c r="H1083">
        <v>2018074</v>
      </c>
      <c r="I1083" t="s">
        <v>19</v>
      </c>
      <c r="J1083" t="s">
        <v>20</v>
      </c>
      <c r="K1083" t="s">
        <v>25</v>
      </c>
      <c r="L1083">
        <v>9.8800000000000008</v>
      </c>
      <c r="M1083">
        <v>1.17</v>
      </c>
      <c r="N1083">
        <v>0</v>
      </c>
      <c r="O1083">
        <v>29.71</v>
      </c>
      <c r="P1083">
        <v>40.761499999999998</v>
      </c>
    </row>
    <row r="1084" spans="1:16" hidden="1" x14ac:dyDescent="0.25">
      <c r="A1084" s="22">
        <v>43208</v>
      </c>
      <c r="B1084" t="s">
        <v>324</v>
      </c>
      <c r="C1084" t="s">
        <v>23</v>
      </c>
      <c r="D1084">
        <v>20</v>
      </c>
      <c r="E1084">
        <v>808.3</v>
      </c>
      <c r="F1084">
        <v>16166</v>
      </c>
      <c r="G1084" t="s">
        <v>407</v>
      </c>
      <c r="H1084">
        <v>201819015</v>
      </c>
      <c r="I1084" t="s">
        <v>19</v>
      </c>
      <c r="J1084" t="s">
        <v>20</v>
      </c>
      <c r="K1084" t="s">
        <v>21</v>
      </c>
      <c r="L1084">
        <v>16.170000000000002</v>
      </c>
      <c r="M1084">
        <v>0.64</v>
      </c>
      <c r="N1084">
        <v>0</v>
      </c>
      <c r="O1084">
        <v>105.03</v>
      </c>
      <c r="P1084">
        <v>121.8442</v>
      </c>
    </row>
    <row r="1085" spans="1:16" hidden="1" x14ac:dyDescent="0.25">
      <c r="A1085" s="22">
        <v>43208</v>
      </c>
      <c r="B1085" t="s">
        <v>288</v>
      </c>
      <c r="C1085" t="s">
        <v>17</v>
      </c>
      <c r="D1085">
        <v>100</v>
      </c>
      <c r="E1085">
        <v>125.65</v>
      </c>
      <c r="F1085">
        <v>12565</v>
      </c>
      <c r="G1085" t="s">
        <v>408</v>
      </c>
      <c r="H1085">
        <v>201819015</v>
      </c>
      <c r="I1085" t="s">
        <v>19</v>
      </c>
      <c r="J1085" t="s">
        <v>20</v>
      </c>
      <c r="K1085" t="s">
        <v>21</v>
      </c>
      <c r="L1085">
        <v>12.83</v>
      </c>
      <c r="M1085">
        <v>0.64</v>
      </c>
      <c r="N1085">
        <v>0.9</v>
      </c>
      <c r="O1085">
        <v>81.66</v>
      </c>
      <c r="P1085">
        <v>96.028800000000004</v>
      </c>
    </row>
    <row r="1086" spans="1:16" hidden="1" x14ac:dyDescent="0.25">
      <c r="A1086" s="22">
        <v>43208</v>
      </c>
      <c r="B1086" t="s">
        <v>56</v>
      </c>
      <c r="C1086" t="s">
        <v>17</v>
      </c>
      <c r="D1086">
        <v>100</v>
      </c>
      <c r="E1086">
        <v>877</v>
      </c>
      <c r="F1086">
        <v>87700</v>
      </c>
      <c r="G1086" t="s">
        <v>409</v>
      </c>
      <c r="H1086">
        <v>2018073</v>
      </c>
      <c r="I1086" t="s">
        <v>19</v>
      </c>
      <c r="J1086" t="s">
        <v>20</v>
      </c>
      <c r="K1086" t="s">
        <v>25</v>
      </c>
      <c r="L1086">
        <v>0</v>
      </c>
      <c r="M1086">
        <v>2.63</v>
      </c>
      <c r="N1086">
        <v>0</v>
      </c>
      <c r="O1086">
        <v>52.22</v>
      </c>
      <c r="P1086">
        <v>54.851100000000002</v>
      </c>
    </row>
    <row r="1087" spans="1:16" hidden="1" x14ac:dyDescent="0.25">
      <c r="A1087" s="22">
        <v>43208</v>
      </c>
      <c r="B1087" t="s">
        <v>56</v>
      </c>
      <c r="C1087" t="s">
        <v>23</v>
      </c>
      <c r="D1087">
        <v>100</v>
      </c>
      <c r="E1087">
        <v>874</v>
      </c>
      <c r="F1087">
        <v>87400</v>
      </c>
      <c r="G1087" t="s">
        <v>410</v>
      </c>
      <c r="H1087">
        <v>2018073</v>
      </c>
      <c r="I1087" t="s">
        <v>19</v>
      </c>
      <c r="J1087" t="s">
        <v>20</v>
      </c>
      <c r="K1087" t="s">
        <v>25</v>
      </c>
      <c r="L1087">
        <v>22</v>
      </c>
      <c r="M1087">
        <v>2.62</v>
      </c>
      <c r="N1087">
        <v>5.4</v>
      </c>
      <c r="O1087">
        <v>52.04</v>
      </c>
      <c r="P1087">
        <v>82.061999999999998</v>
      </c>
    </row>
    <row r="1088" spans="1:16" hidden="1" x14ac:dyDescent="0.25">
      <c r="A1088" s="22">
        <v>43206</v>
      </c>
      <c r="B1088" t="s">
        <v>205</v>
      </c>
      <c r="C1088" t="s">
        <v>23</v>
      </c>
      <c r="D1088">
        <v>1000</v>
      </c>
      <c r="E1088">
        <v>60.25</v>
      </c>
      <c r="F1088">
        <v>60253.3</v>
      </c>
      <c r="G1088" t="s">
        <v>411</v>
      </c>
      <c r="H1088">
        <v>2018071</v>
      </c>
      <c r="I1088" t="s">
        <v>19</v>
      </c>
      <c r="J1088" t="s">
        <v>1526</v>
      </c>
      <c r="K1088" t="s">
        <v>25</v>
      </c>
      <c r="L1088">
        <v>60</v>
      </c>
      <c r="M1088">
        <v>1.81</v>
      </c>
      <c r="N1088">
        <v>2.1</v>
      </c>
      <c r="O1088">
        <v>391.36</v>
      </c>
      <c r="P1088">
        <v>455.26760000000002</v>
      </c>
    </row>
    <row r="1089" spans="1:16" hidden="1" x14ac:dyDescent="0.25">
      <c r="A1089" s="22">
        <v>43203</v>
      </c>
      <c r="B1089" t="s">
        <v>282</v>
      </c>
      <c r="C1089" t="s">
        <v>17</v>
      </c>
      <c r="D1089">
        <v>500</v>
      </c>
      <c r="E1089">
        <v>621</v>
      </c>
      <c r="F1089">
        <v>310500</v>
      </c>
      <c r="G1089" t="s">
        <v>352</v>
      </c>
      <c r="H1089">
        <v>2018070</v>
      </c>
      <c r="I1089" t="s">
        <v>19</v>
      </c>
      <c r="J1089" t="s">
        <v>20</v>
      </c>
      <c r="K1089" t="s">
        <v>25</v>
      </c>
      <c r="L1089">
        <v>0</v>
      </c>
      <c r="M1089">
        <v>9.32</v>
      </c>
      <c r="N1089">
        <v>0</v>
      </c>
      <c r="O1089">
        <v>184.87</v>
      </c>
      <c r="P1089">
        <v>194.18510000000001</v>
      </c>
    </row>
    <row r="1090" spans="1:16" x14ac:dyDescent="0.25">
      <c r="A1090" s="22">
        <v>43259</v>
      </c>
      <c r="B1090" t="s">
        <v>282</v>
      </c>
      <c r="C1090" t="s">
        <v>23</v>
      </c>
      <c r="D1090">
        <v>100</v>
      </c>
      <c r="E1090">
        <v>612</v>
      </c>
      <c r="F1090">
        <v>61200</v>
      </c>
      <c r="G1090" t="s">
        <v>643</v>
      </c>
      <c r="H1090">
        <v>2018109</v>
      </c>
      <c r="I1090" t="s">
        <v>19</v>
      </c>
      <c r="J1090" t="s">
        <v>20</v>
      </c>
      <c r="K1090" t="s">
        <v>25</v>
      </c>
      <c r="L1090">
        <v>15</v>
      </c>
      <c r="M1090">
        <v>1.84</v>
      </c>
      <c r="N1090">
        <v>3.9</v>
      </c>
      <c r="O1090">
        <v>36.44</v>
      </c>
      <c r="P1090">
        <v>57.176000000000002</v>
      </c>
    </row>
    <row r="1091" spans="1:16" hidden="1" x14ac:dyDescent="0.25">
      <c r="A1091" s="22">
        <v>43202</v>
      </c>
      <c r="B1091" t="s">
        <v>282</v>
      </c>
      <c r="C1091" t="s">
        <v>17</v>
      </c>
      <c r="D1091">
        <v>500</v>
      </c>
      <c r="E1091">
        <v>627.5</v>
      </c>
      <c r="F1091">
        <v>313750</v>
      </c>
      <c r="G1091" t="s">
        <v>354</v>
      </c>
      <c r="H1091">
        <v>2018069</v>
      </c>
      <c r="I1091" t="s">
        <v>19</v>
      </c>
      <c r="J1091" t="s">
        <v>20</v>
      </c>
      <c r="K1091" t="s">
        <v>25</v>
      </c>
      <c r="L1091">
        <v>0</v>
      </c>
      <c r="M1091">
        <v>9.41</v>
      </c>
      <c r="N1091">
        <v>0</v>
      </c>
      <c r="O1091">
        <v>186.81</v>
      </c>
      <c r="P1091">
        <v>196.22239999999999</v>
      </c>
    </row>
    <row r="1092" spans="1:16" x14ac:dyDescent="0.25">
      <c r="A1092" s="22">
        <v>43263</v>
      </c>
      <c r="B1092" t="s">
        <v>282</v>
      </c>
      <c r="C1092" t="s">
        <v>23</v>
      </c>
      <c r="D1092">
        <v>250</v>
      </c>
      <c r="E1092">
        <v>611</v>
      </c>
      <c r="F1092">
        <v>152750</v>
      </c>
      <c r="G1092" t="s">
        <v>632</v>
      </c>
      <c r="H1092">
        <v>2018111</v>
      </c>
      <c r="I1092" t="s">
        <v>19</v>
      </c>
      <c r="J1092" t="s">
        <v>20</v>
      </c>
      <c r="K1092" t="s">
        <v>25</v>
      </c>
      <c r="L1092">
        <v>38.11</v>
      </c>
      <c r="M1092">
        <v>4.58</v>
      </c>
      <c r="N1092">
        <v>0</v>
      </c>
      <c r="O1092">
        <v>90.95</v>
      </c>
      <c r="P1092">
        <v>133.64250000000001</v>
      </c>
    </row>
    <row r="1093" spans="1:16" hidden="1" x14ac:dyDescent="0.25">
      <c r="A1093" s="22">
        <v>43202</v>
      </c>
      <c r="B1093" t="s">
        <v>282</v>
      </c>
      <c r="C1093" t="s">
        <v>17</v>
      </c>
      <c r="D1093">
        <v>500</v>
      </c>
      <c r="E1093">
        <v>626.5</v>
      </c>
      <c r="F1093">
        <v>313250</v>
      </c>
      <c r="G1093" t="s">
        <v>356</v>
      </c>
      <c r="H1093">
        <v>2018069</v>
      </c>
      <c r="I1093" t="s">
        <v>19</v>
      </c>
      <c r="J1093" t="s">
        <v>20</v>
      </c>
      <c r="K1093" t="s">
        <v>25</v>
      </c>
      <c r="L1093">
        <v>0</v>
      </c>
      <c r="M1093">
        <v>9.4</v>
      </c>
      <c r="N1093">
        <v>37.799999999999997</v>
      </c>
      <c r="O1093">
        <v>186.5</v>
      </c>
      <c r="P1093">
        <v>233.69749999999999</v>
      </c>
    </row>
    <row r="1094" spans="1:16" x14ac:dyDescent="0.25">
      <c r="A1094" s="22">
        <v>43263</v>
      </c>
      <c r="B1094" t="s">
        <v>282</v>
      </c>
      <c r="C1094" t="s">
        <v>23</v>
      </c>
      <c r="D1094">
        <v>100</v>
      </c>
      <c r="E1094">
        <v>611</v>
      </c>
      <c r="F1094">
        <v>61100</v>
      </c>
      <c r="G1094" t="s">
        <v>637</v>
      </c>
      <c r="H1094">
        <v>2018111</v>
      </c>
      <c r="I1094" t="s">
        <v>19</v>
      </c>
      <c r="J1094" t="s">
        <v>1526</v>
      </c>
      <c r="K1094" t="s">
        <v>25</v>
      </c>
      <c r="L1094">
        <v>60.98</v>
      </c>
      <c r="M1094">
        <v>1.83</v>
      </c>
      <c r="N1094">
        <v>0</v>
      </c>
      <c r="O1094">
        <v>396.87</v>
      </c>
      <c r="P1094">
        <v>459.68310000000002</v>
      </c>
    </row>
    <row r="1095" spans="1:16" hidden="1" x14ac:dyDescent="0.25">
      <c r="A1095" s="22">
        <v>43200</v>
      </c>
      <c r="B1095" t="s">
        <v>190</v>
      </c>
      <c r="C1095" t="s">
        <v>17</v>
      </c>
      <c r="D1095">
        <v>1000</v>
      </c>
      <c r="E1095">
        <v>9</v>
      </c>
      <c r="F1095">
        <v>9000</v>
      </c>
      <c r="G1095" t="s">
        <v>358</v>
      </c>
      <c r="H1095">
        <v>2018067</v>
      </c>
      <c r="I1095" t="s">
        <v>19</v>
      </c>
      <c r="J1095" t="s">
        <v>20</v>
      </c>
      <c r="K1095" t="s">
        <v>25</v>
      </c>
      <c r="L1095">
        <v>9</v>
      </c>
      <c r="M1095">
        <v>0.27</v>
      </c>
      <c r="N1095">
        <v>0.3</v>
      </c>
      <c r="O1095">
        <v>59.05</v>
      </c>
      <c r="P1095">
        <v>68.62</v>
      </c>
    </row>
    <row r="1096" spans="1:16" hidden="1" x14ac:dyDescent="0.25">
      <c r="A1096" s="22">
        <v>43199</v>
      </c>
      <c r="B1096" t="s">
        <v>205</v>
      </c>
      <c r="C1096" t="s">
        <v>17</v>
      </c>
      <c r="D1096">
        <v>1000</v>
      </c>
      <c r="E1096">
        <v>64.25</v>
      </c>
      <c r="F1096">
        <v>64250</v>
      </c>
      <c r="G1096" t="s">
        <v>359</v>
      </c>
      <c r="H1096">
        <v>2018066</v>
      </c>
      <c r="I1096" t="s">
        <v>19</v>
      </c>
      <c r="J1096" t="s">
        <v>1526</v>
      </c>
      <c r="K1096" t="s">
        <v>25</v>
      </c>
      <c r="L1096">
        <v>64</v>
      </c>
      <c r="M1096">
        <v>1.93</v>
      </c>
      <c r="N1096">
        <v>2.1</v>
      </c>
      <c r="O1096">
        <v>417.33</v>
      </c>
      <c r="P1096">
        <v>485.35750000000002</v>
      </c>
    </row>
    <row r="1097" spans="1:16" hidden="1" x14ac:dyDescent="0.25">
      <c r="A1097" s="22">
        <v>43196</v>
      </c>
      <c r="B1097" t="s">
        <v>288</v>
      </c>
      <c r="C1097" t="s">
        <v>17</v>
      </c>
      <c r="D1097">
        <v>250</v>
      </c>
      <c r="E1097">
        <v>171.4</v>
      </c>
      <c r="F1097">
        <v>42850</v>
      </c>
      <c r="G1097" t="s">
        <v>360</v>
      </c>
      <c r="H1097">
        <v>2018065</v>
      </c>
      <c r="I1097" t="s">
        <v>19</v>
      </c>
      <c r="J1097" t="s">
        <v>20</v>
      </c>
      <c r="K1097" t="s">
        <v>25</v>
      </c>
      <c r="L1097">
        <v>43</v>
      </c>
      <c r="M1097">
        <v>1.29</v>
      </c>
      <c r="N1097">
        <v>1.5</v>
      </c>
      <c r="O1097">
        <v>278.33</v>
      </c>
      <c r="P1097">
        <v>324.1155</v>
      </c>
    </row>
    <row r="1098" spans="1:16" hidden="1" x14ac:dyDescent="0.25">
      <c r="A1098" s="22">
        <v>43195</v>
      </c>
      <c r="B1098" t="s">
        <v>282</v>
      </c>
      <c r="C1098" t="s">
        <v>17</v>
      </c>
      <c r="D1098">
        <v>1000</v>
      </c>
      <c r="E1098">
        <v>605.88</v>
      </c>
      <c r="F1098">
        <v>605877.65</v>
      </c>
      <c r="G1098" t="s">
        <v>361</v>
      </c>
      <c r="H1098">
        <v>2018064</v>
      </c>
      <c r="I1098" t="s">
        <v>19</v>
      </c>
      <c r="J1098" t="s">
        <v>20</v>
      </c>
      <c r="K1098" t="s">
        <v>25</v>
      </c>
      <c r="L1098">
        <v>0</v>
      </c>
      <c r="M1098">
        <v>18.18</v>
      </c>
      <c r="N1098">
        <v>0</v>
      </c>
      <c r="O1098">
        <v>360.74</v>
      </c>
      <c r="P1098">
        <v>378.91680000000002</v>
      </c>
    </row>
    <row r="1099" spans="1:16" x14ac:dyDescent="0.25">
      <c r="A1099" s="22">
        <v>43319</v>
      </c>
      <c r="B1099" t="s">
        <v>282</v>
      </c>
      <c r="C1099" t="s">
        <v>23</v>
      </c>
      <c r="D1099">
        <v>250</v>
      </c>
      <c r="E1099">
        <v>573.45000000000005</v>
      </c>
      <c r="F1099">
        <v>143362.5</v>
      </c>
      <c r="G1099" t="s">
        <v>567</v>
      </c>
      <c r="H1099">
        <v>2018151</v>
      </c>
      <c r="I1099" t="s">
        <v>19</v>
      </c>
      <c r="J1099" t="s">
        <v>20</v>
      </c>
      <c r="K1099" t="s">
        <v>25</v>
      </c>
      <c r="L1099">
        <v>36.29</v>
      </c>
      <c r="M1099">
        <v>4.3</v>
      </c>
      <c r="N1099">
        <v>15</v>
      </c>
      <c r="O1099">
        <v>85.36</v>
      </c>
      <c r="P1099">
        <v>140.95079999999999</v>
      </c>
    </row>
    <row r="1100" spans="1:16" hidden="1" x14ac:dyDescent="0.25">
      <c r="A1100" s="22">
        <v>43195</v>
      </c>
      <c r="B1100" t="s">
        <v>288</v>
      </c>
      <c r="C1100" t="s">
        <v>17</v>
      </c>
      <c r="D1100">
        <v>100</v>
      </c>
      <c r="E1100">
        <v>180.4</v>
      </c>
      <c r="F1100">
        <v>18040</v>
      </c>
      <c r="G1100" t="s">
        <v>363</v>
      </c>
      <c r="H1100">
        <v>2018064</v>
      </c>
      <c r="I1100" t="s">
        <v>19</v>
      </c>
      <c r="J1100" t="s">
        <v>20</v>
      </c>
      <c r="K1100" t="s">
        <v>25</v>
      </c>
      <c r="L1100">
        <v>18.04</v>
      </c>
      <c r="M1100">
        <v>0.54</v>
      </c>
      <c r="N1100">
        <v>0</v>
      </c>
      <c r="O1100">
        <v>117.18</v>
      </c>
      <c r="P1100">
        <v>135.7612</v>
      </c>
    </row>
    <row r="1101" spans="1:16" hidden="1" x14ac:dyDescent="0.25">
      <c r="A1101" s="22">
        <v>43194</v>
      </c>
      <c r="B1101" t="s">
        <v>279</v>
      </c>
      <c r="C1101" t="s">
        <v>17</v>
      </c>
      <c r="D1101">
        <v>250</v>
      </c>
      <c r="E1101">
        <v>435.24</v>
      </c>
      <c r="F1101">
        <v>108810.5</v>
      </c>
      <c r="G1101" t="s">
        <v>364</v>
      </c>
      <c r="H1101">
        <v>2018063</v>
      </c>
      <c r="I1101" t="s">
        <v>19</v>
      </c>
      <c r="J1101" t="s">
        <v>20</v>
      </c>
      <c r="K1101" t="s">
        <v>25</v>
      </c>
      <c r="L1101">
        <v>0</v>
      </c>
      <c r="M1101">
        <v>3.26</v>
      </c>
      <c r="N1101">
        <v>0</v>
      </c>
      <c r="O1101">
        <v>64.78</v>
      </c>
      <c r="P1101">
        <v>68.044300000000007</v>
      </c>
    </row>
    <row r="1102" spans="1:16" hidden="1" x14ac:dyDescent="0.25">
      <c r="A1102" s="22">
        <v>43194</v>
      </c>
      <c r="B1102" t="s">
        <v>279</v>
      </c>
      <c r="C1102" t="s">
        <v>17</v>
      </c>
      <c r="D1102">
        <v>250</v>
      </c>
      <c r="E1102">
        <v>439.1</v>
      </c>
      <c r="F1102">
        <v>109775</v>
      </c>
      <c r="G1102" t="s">
        <v>365</v>
      </c>
      <c r="H1102">
        <v>2018063</v>
      </c>
      <c r="I1102" t="s">
        <v>19</v>
      </c>
      <c r="J1102" t="s">
        <v>20</v>
      </c>
      <c r="K1102" t="s">
        <v>25</v>
      </c>
      <c r="L1102">
        <v>0</v>
      </c>
      <c r="M1102">
        <v>3.29</v>
      </c>
      <c r="N1102">
        <v>0</v>
      </c>
      <c r="O1102">
        <v>65.36</v>
      </c>
      <c r="P1102">
        <v>68.653199999999998</v>
      </c>
    </row>
    <row r="1103" spans="1:16" hidden="1" x14ac:dyDescent="0.25">
      <c r="A1103" s="22">
        <v>43194</v>
      </c>
      <c r="B1103" t="s">
        <v>279</v>
      </c>
      <c r="C1103" t="s">
        <v>23</v>
      </c>
      <c r="D1103">
        <v>500</v>
      </c>
      <c r="E1103">
        <v>437.46</v>
      </c>
      <c r="F1103">
        <v>218730.1</v>
      </c>
      <c r="G1103" t="s">
        <v>366</v>
      </c>
      <c r="H1103">
        <v>2018063</v>
      </c>
      <c r="I1103" t="s">
        <v>19</v>
      </c>
      <c r="J1103" t="s">
        <v>20</v>
      </c>
      <c r="K1103" t="s">
        <v>25</v>
      </c>
      <c r="L1103">
        <v>54.66</v>
      </c>
      <c r="M1103">
        <v>6.56</v>
      </c>
      <c r="N1103">
        <v>0</v>
      </c>
      <c r="O1103">
        <v>130.22</v>
      </c>
      <c r="P1103">
        <v>191.44210000000001</v>
      </c>
    </row>
    <row r="1104" spans="1:16" hidden="1" x14ac:dyDescent="0.25">
      <c r="A1104" s="22">
        <v>43194</v>
      </c>
      <c r="B1104" t="s">
        <v>282</v>
      </c>
      <c r="C1104" t="s">
        <v>17</v>
      </c>
      <c r="D1104">
        <v>500</v>
      </c>
      <c r="E1104">
        <v>607.13</v>
      </c>
      <c r="F1104">
        <v>303563.65000000002</v>
      </c>
      <c r="G1104" t="s">
        <v>367</v>
      </c>
      <c r="H1104">
        <v>2018063</v>
      </c>
      <c r="I1104" t="s">
        <v>19</v>
      </c>
      <c r="J1104" t="s">
        <v>20</v>
      </c>
      <c r="K1104" t="s">
        <v>25</v>
      </c>
      <c r="L1104">
        <v>0</v>
      </c>
      <c r="M1104">
        <v>9.11</v>
      </c>
      <c r="N1104">
        <v>31.5</v>
      </c>
      <c r="O1104">
        <v>180.73</v>
      </c>
      <c r="P1104">
        <v>221.33709999999999</v>
      </c>
    </row>
    <row r="1105" spans="1:16" x14ac:dyDescent="0.25">
      <c r="A1105" s="22">
        <v>43367</v>
      </c>
      <c r="B1105" t="s">
        <v>282</v>
      </c>
      <c r="C1105" t="s">
        <v>23</v>
      </c>
      <c r="D1105">
        <v>250</v>
      </c>
      <c r="E1105">
        <v>669</v>
      </c>
      <c r="F1105">
        <v>167250</v>
      </c>
      <c r="G1105" t="s">
        <v>672</v>
      </c>
      <c r="H1105">
        <v>2018181</v>
      </c>
      <c r="I1105" t="s">
        <v>19</v>
      </c>
      <c r="J1105" t="s">
        <v>20</v>
      </c>
      <c r="K1105" t="s">
        <v>25</v>
      </c>
      <c r="L1105">
        <v>41.78</v>
      </c>
      <c r="M1105">
        <v>5.0199999999999996</v>
      </c>
      <c r="N1105">
        <v>0</v>
      </c>
      <c r="O1105">
        <v>99.58</v>
      </c>
      <c r="P1105">
        <v>146.3775</v>
      </c>
    </row>
    <row r="1106" spans="1:16" hidden="1" x14ac:dyDescent="0.25">
      <c r="A1106" s="22">
        <v>43193</v>
      </c>
      <c r="B1106" t="s">
        <v>205</v>
      </c>
      <c r="C1106" t="s">
        <v>17</v>
      </c>
      <c r="D1106">
        <v>1000</v>
      </c>
      <c r="E1106">
        <v>60.6</v>
      </c>
      <c r="F1106">
        <v>60600</v>
      </c>
      <c r="G1106" t="s">
        <v>369</v>
      </c>
      <c r="H1106">
        <v>2018062</v>
      </c>
      <c r="I1106" t="s">
        <v>19</v>
      </c>
      <c r="J1106" t="s">
        <v>20</v>
      </c>
      <c r="K1106" t="s">
        <v>25</v>
      </c>
      <c r="L1106">
        <v>0</v>
      </c>
      <c r="M1106">
        <v>1.82</v>
      </c>
      <c r="N1106">
        <v>3.9</v>
      </c>
      <c r="O1106">
        <v>36.08</v>
      </c>
      <c r="P1106">
        <v>41.798099999999998</v>
      </c>
    </row>
    <row r="1107" spans="1:16" hidden="1" x14ac:dyDescent="0.25">
      <c r="A1107" s="22">
        <v>43193</v>
      </c>
      <c r="B1107" t="s">
        <v>205</v>
      </c>
      <c r="C1107" t="s">
        <v>23</v>
      </c>
      <c r="D1107">
        <v>1000</v>
      </c>
      <c r="E1107">
        <v>62</v>
      </c>
      <c r="F1107">
        <v>62000</v>
      </c>
      <c r="G1107" t="s">
        <v>370</v>
      </c>
      <c r="H1107">
        <v>2018062</v>
      </c>
      <c r="I1107" t="s">
        <v>19</v>
      </c>
      <c r="J1107" t="s">
        <v>20</v>
      </c>
      <c r="K1107" t="s">
        <v>25</v>
      </c>
      <c r="L1107">
        <v>15</v>
      </c>
      <c r="M1107">
        <v>1.86</v>
      </c>
      <c r="N1107">
        <v>0</v>
      </c>
      <c r="O1107">
        <v>36.909999999999997</v>
      </c>
      <c r="P1107">
        <v>53.77</v>
      </c>
    </row>
    <row r="1108" spans="1:16" hidden="1" x14ac:dyDescent="0.25">
      <c r="A1108" s="22">
        <v>43192</v>
      </c>
      <c r="B1108" t="s">
        <v>205</v>
      </c>
      <c r="C1108" t="s">
        <v>17</v>
      </c>
      <c r="D1108">
        <v>2130</v>
      </c>
      <c r="E1108">
        <v>57.8</v>
      </c>
      <c r="F1108">
        <v>123114</v>
      </c>
      <c r="G1108" t="s">
        <v>371</v>
      </c>
      <c r="H1108">
        <v>2018061</v>
      </c>
      <c r="I1108" t="s">
        <v>19</v>
      </c>
      <c r="J1108" t="s">
        <v>20</v>
      </c>
      <c r="K1108" t="s">
        <v>25</v>
      </c>
      <c r="L1108">
        <v>0</v>
      </c>
      <c r="M1108">
        <v>3.69</v>
      </c>
      <c r="N1108">
        <v>0</v>
      </c>
      <c r="O1108">
        <v>73.3</v>
      </c>
      <c r="P1108">
        <v>76.993399999999994</v>
      </c>
    </row>
    <row r="1109" spans="1:16" hidden="1" x14ac:dyDescent="0.25">
      <c r="A1109" s="22">
        <v>43192</v>
      </c>
      <c r="B1109" t="s">
        <v>205</v>
      </c>
      <c r="C1109" t="s">
        <v>23</v>
      </c>
      <c r="D1109">
        <v>2130</v>
      </c>
      <c r="E1109">
        <v>58.9</v>
      </c>
      <c r="F1109">
        <v>125457</v>
      </c>
      <c r="G1109" t="s">
        <v>372</v>
      </c>
      <c r="H1109">
        <v>2018061</v>
      </c>
      <c r="I1109" t="s">
        <v>19</v>
      </c>
      <c r="J1109" t="s">
        <v>20</v>
      </c>
      <c r="K1109" t="s">
        <v>25</v>
      </c>
      <c r="L1109">
        <v>31.07</v>
      </c>
      <c r="M1109">
        <v>3.76</v>
      </c>
      <c r="N1109">
        <v>0</v>
      </c>
      <c r="O1109">
        <v>74.7</v>
      </c>
      <c r="P1109">
        <v>109.5337</v>
      </c>
    </row>
    <row r="1110" spans="1:16" hidden="1" x14ac:dyDescent="0.25">
      <c r="A1110" s="22">
        <v>43192</v>
      </c>
      <c r="B1110" t="s">
        <v>279</v>
      </c>
      <c r="C1110" t="s">
        <v>17</v>
      </c>
      <c r="D1110">
        <v>100</v>
      </c>
      <c r="E1110">
        <v>452</v>
      </c>
      <c r="F1110">
        <v>45200</v>
      </c>
      <c r="G1110" t="s">
        <v>373</v>
      </c>
      <c r="H1110">
        <v>2018061</v>
      </c>
      <c r="I1110" t="s">
        <v>19</v>
      </c>
      <c r="J1110" t="s">
        <v>20</v>
      </c>
      <c r="K1110" t="s">
        <v>25</v>
      </c>
      <c r="L1110">
        <v>0</v>
      </c>
      <c r="M1110">
        <v>1.36</v>
      </c>
      <c r="N1110">
        <v>20.7</v>
      </c>
      <c r="O1110">
        <v>29.74</v>
      </c>
      <c r="P1110">
        <v>51.795999999999999</v>
      </c>
    </row>
    <row r="1111" spans="1:16" hidden="1" x14ac:dyDescent="0.25">
      <c r="A1111" s="22">
        <v>43192</v>
      </c>
      <c r="B1111" t="s">
        <v>279</v>
      </c>
      <c r="C1111" t="s">
        <v>17</v>
      </c>
      <c r="D1111">
        <v>100</v>
      </c>
      <c r="E1111">
        <v>447.9</v>
      </c>
      <c r="F1111">
        <v>44790</v>
      </c>
      <c r="G1111" t="s">
        <v>374</v>
      </c>
      <c r="H1111">
        <v>2018061</v>
      </c>
      <c r="I1111" t="s">
        <v>19</v>
      </c>
      <c r="J1111" t="s">
        <v>20</v>
      </c>
      <c r="K1111" t="s">
        <v>25</v>
      </c>
      <c r="L1111">
        <v>0</v>
      </c>
      <c r="M1111">
        <v>1.34</v>
      </c>
      <c r="N1111">
        <v>0</v>
      </c>
      <c r="O1111">
        <v>29.74</v>
      </c>
      <c r="P1111">
        <v>31.0837</v>
      </c>
    </row>
    <row r="1112" spans="1:16" hidden="1" x14ac:dyDescent="0.25">
      <c r="A1112" s="22">
        <v>43192</v>
      </c>
      <c r="B1112" t="s">
        <v>279</v>
      </c>
      <c r="C1112" t="s">
        <v>17</v>
      </c>
      <c r="D1112">
        <v>300</v>
      </c>
      <c r="E1112">
        <v>441</v>
      </c>
      <c r="F1112">
        <v>132300</v>
      </c>
      <c r="G1112" t="s">
        <v>375</v>
      </c>
      <c r="H1112">
        <v>2018061</v>
      </c>
      <c r="I1112" t="s">
        <v>19</v>
      </c>
      <c r="J1112" t="s">
        <v>20</v>
      </c>
      <c r="K1112" t="s">
        <v>25</v>
      </c>
      <c r="L1112">
        <v>0</v>
      </c>
      <c r="M1112">
        <v>3.97</v>
      </c>
      <c r="N1112">
        <v>0</v>
      </c>
      <c r="O1112">
        <v>78.77</v>
      </c>
      <c r="P1112">
        <v>82.738900000000001</v>
      </c>
    </row>
    <row r="1113" spans="1:16" hidden="1" x14ac:dyDescent="0.25">
      <c r="A1113" s="22">
        <v>43192</v>
      </c>
      <c r="B1113" t="s">
        <v>279</v>
      </c>
      <c r="C1113" t="s">
        <v>23</v>
      </c>
      <c r="D1113">
        <v>500</v>
      </c>
      <c r="E1113">
        <v>429</v>
      </c>
      <c r="F1113">
        <v>214500</v>
      </c>
      <c r="G1113" t="s">
        <v>376</v>
      </c>
      <c r="H1113">
        <v>2018061</v>
      </c>
      <c r="I1113" t="s">
        <v>19</v>
      </c>
      <c r="J1113" t="s">
        <v>20</v>
      </c>
      <c r="K1113" t="s">
        <v>25</v>
      </c>
      <c r="L1113">
        <v>54.93</v>
      </c>
      <c r="M1113">
        <v>6.44</v>
      </c>
      <c r="N1113">
        <v>0</v>
      </c>
      <c r="O1113">
        <v>127.71</v>
      </c>
      <c r="P1113">
        <v>189.07509999999999</v>
      </c>
    </row>
    <row r="1114" spans="1:16" hidden="1" x14ac:dyDescent="0.25">
      <c r="A1114" s="22">
        <v>43185</v>
      </c>
      <c r="B1114" t="s">
        <v>205</v>
      </c>
      <c r="C1114" t="s">
        <v>17</v>
      </c>
      <c r="D1114">
        <v>2500</v>
      </c>
      <c r="E1114">
        <v>57.88</v>
      </c>
      <c r="F1114">
        <v>144709.20000000001</v>
      </c>
      <c r="G1114" t="s">
        <v>377</v>
      </c>
      <c r="H1114">
        <v>2018058</v>
      </c>
      <c r="I1114" t="s">
        <v>19</v>
      </c>
      <c r="J1114" t="s">
        <v>20</v>
      </c>
      <c r="K1114" t="s">
        <v>25</v>
      </c>
      <c r="L1114">
        <v>0</v>
      </c>
      <c r="M1114">
        <v>4.34</v>
      </c>
      <c r="N1114">
        <v>0</v>
      </c>
      <c r="O1114">
        <v>86.14</v>
      </c>
      <c r="P1114">
        <v>90.481099999999998</v>
      </c>
    </row>
    <row r="1115" spans="1:16" hidden="1" x14ac:dyDescent="0.25">
      <c r="A1115" s="22">
        <v>43185</v>
      </c>
      <c r="B1115" t="s">
        <v>205</v>
      </c>
      <c r="C1115" t="s">
        <v>23</v>
      </c>
      <c r="D1115">
        <v>2500</v>
      </c>
      <c r="E1115">
        <v>55.65</v>
      </c>
      <c r="F1115">
        <v>139125</v>
      </c>
      <c r="G1115" t="s">
        <v>378</v>
      </c>
      <c r="H1115">
        <v>2018058</v>
      </c>
      <c r="I1115" t="s">
        <v>19</v>
      </c>
      <c r="J1115" t="s">
        <v>20</v>
      </c>
      <c r="K1115" t="s">
        <v>25</v>
      </c>
      <c r="L1115">
        <v>35</v>
      </c>
      <c r="M1115">
        <v>4.17</v>
      </c>
      <c r="N1115">
        <v>8.6999999999999993</v>
      </c>
      <c r="O1115">
        <v>82.84</v>
      </c>
      <c r="P1115">
        <v>130.71379999999999</v>
      </c>
    </row>
    <row r="1116" spans="1:16" hidden="1" x14ac:dyDescent="0.25">
      <c r="A1116" s="22">
        <v>43182</v>
      </c>
      <c r="B1116" t="s">
        <v>205</v>
      </c>
      <c r="C1116" t="s">
        <v>23</v>
      </c>
      <c r="D1116">
        <v>2500</v>
      </c>
      <c r="E1116">
        <v>57.45</v>
      </c>
      <c r="F1116">
        <v>143632.9</v>
      </c>
      <c r="G1116" t="s">
        <v>341</v>
      </c>
      <c r="H1116">
        <v>2018057</v>
      </c>
      <c r="I1116" t="s">
        <v>19</v>
      </c>
      <c r="J1116" t="s">
        <v>1526</v>
      </c>
      <c r="K1116" t="s">
        <v>25</v>
      </c>
      <c r="L1116">
        <v>143.86000000000001</v>
      </c>
      <c r="M1116">
        <v>4.3099999999999996</v>
      </c>
      <c r="N1116">
        <v>5.4</v>
      </c>
      <c r="O1116">
        <v>932.95</v>
      </c>
      <c r="P1116">
        <v>1086.519</v>
      </c>
    </row>
    <row r="1117" spans="1:16" hidden="1" x14ac:dyDescent="0.25">
      <c r="A1117" s="22">
        <v>43182</v>
      </c>
      <c r="B1117" t="s">
        <v>296</v>
      </c>
      <c r="C1117" t="s">
        <v>23</v>
      </c>
      <c r="D1117">
        <v>750</v>
      </c>
      <c r="E1117">
        <v>38.85</v>
      </c>
      <c r="F1117">
        <v>29137.5</v>
      </c>
      <c r="G1117" t="s">
        <v>342</v>
      </c>
      <c r="H1117">
        <v>2018057</v>
      </c>
      <c r="I1117" t="s">
        <v>19</v>
      </c>
      <c r="J1117" t="s">
        <v>20</v>
      </c>
      <c r="K1117" t="s">
        <v>25</v>
      </c>
      <c r="L1117">
        <v>29.14</v>
      </c>
      <c r="M1117">
        <v>0.87</v>
      </c>
      <c r="N1117">
        <v>0</v>
      </c>
      <c r="O1117">
        <v>189.26</v>
      </c>
      <c r="P1117">
        <v>219.2741</v>
      </c>
    </row>
    <row r="1118" spans="1:16" hidden="1" x14ac:dyDescent="0.25">
      <c r="A1118" s="22">
        <v>43181</v>
      </c>
      <c r="B1118" t="s">
        <v>288</v>
      </c>
      <c r="C1118" t="s">
        <v>17</v>
      </c>
      <c r="D1118">
        <v>50</v>
      </c>
      <c r="E1118">
        <v>271.7</v>
      </c>
      <c r="F1118">
        <v>13585</v>
      </c>
      <c r="G1118" t="s">
        <v>343</v>
      </c>
      <c r="H1118">
        <v>2018056</v>
      </c>
      <c r="I1118" t="s">
        <v>19</v>
      </c>
      <c r="J1118" t="s">
        <v>20</v>
      </c>
      <c r="K1118" t="s">
        <v>25</v>
      </c>
      <c r="L1118">
        <v>14</v>
      </c>
      <c r="M1118">
        <v>0.41</v>
      </c>
      <c r="N1118">
        <v>0.6</v>
      </c>
      <c r="O1118">
        <v>88.24</v>
      </c>
      <c r="P1118">
        <v>103.24760000000001</v>
      </c>
    </row>
    <row r="1119" spans="1:16" hidden="1" x14ac:dyDescent="0.25">
      <c r="A1119" s="22">
        <v>43178</v>
      </c>
      <c r="B1119" t="s">
        <v>26</v>
      </c>
      <c r="C1119" t="s">
        <v>23</v>
      </c>
      <c r="D1119">
        <v>200</v>
      </c>
      <c r="E1119">
        <v>102.05</v>
      </c>
      <c r="F1119">
        <v>20410</v>
      </c>
      <c r="G1119" t="s">
        <v>344</v>
      </c>
      <c r="H1119">
        <v>2018053</v>
      </c>
      <c r="I1119" t="s">
        <v>19</v>
      </c>
      <c r="J1119" t="s">
        <v>20</v>
      </c>
      <c r="K1119" t="s">
        <v>25</v>
      </c>
      <c r="L1119">
        <v>20.25</v>
      </c>
      <c r="M1119">
        <v>0.61</v>
      </c>
      <c r="N1119">
        <v>5.4</v>
      </c>
      <c r="O1119">
        <v>132.58000000000001</v>
      </c>
      <c r="P1119">
        <v>158.8425</v>
      </c>
    </row>
    <row r="1120" spans="1:16" hidden="1" x14ac:dyDescent="0.25">
      <c r="A1120" s="22">
        <v>43178</v>
      </c>
      <c r="B1120" t="s">
        <v>205</v>
      </c>
      <c r="C1120" t="s">
        <v>17</v>
      </c>
      <c r="D1120">
        <v>2500</v>
      </c>
      <c r="E1120">
        <v>61.5</v>
      </c>
      <c r="F1120">
        <v>153750</v>
      </c>
      <c r="G1120" t="s">
        <v>345</v>
      </c>
      <c r="H1120">
        <v>2018053</v>
      </c>
      <c r="I1120" t="s">
        <v>19</v>
      </c>
      <c r="J1120" t="s">
        <v>1526</v>
      </c>
      <c r="K1120" t="s">
        <v>25</v>
      </c>
      <c r="L1120">
        <v>153.75</v>
      </c>
      <c r="M1120">
        <v>4.6100000000000003</v>
      </c>
      <c r="N1120">
        <v>0</v>
      </c>
      <c r="O1120">
        <v>998.67</v>
      </c>
      <c r="P1120">
        <v>1157.0326</v>
      </c>
    </row>
    <row r="1121" spans="1:16" hidden="1" x14ac:dyDescent="0.25">
      <c r="A1121" s="22">
        <v>43174</v>
      </c>
      <c r="B1121" t="s">
        <v>128</v>
      </c>
      <c r="C1121" t="s">
        <v>17</v>
      </c>
      <c r="D1121">
        <v>700</v>
      </c>
      <c r="E1121">
        <v>405.52</v>
      </c>
      <c r="F1121">
        <v>283866.5</v>
      </c>
      <c r="G1121" t="s">
        <v>346</v>
      </c>
      <c r="H1121">
        <v>2018051</v>
      </c>
      <c r="I1121" t="s">
        <v>19</v>
      </c>
      <c r="J1121" t="s">
        <v>20</v>
      </c>
      <c r="K1121" t="s">
        <v>25</v>
      </c>
      <c r="L1121">
        <v>0</v>
      </c>
      <c r="M1121">
        <v>8.52</v>
      </c>
      <c r="N1121">
        <v>0</v>
      </c>
      <c r="O1121">
        <v>169.02</v>
      </c>
      <c r="P1121">
        <v>177.53579999999999</v>
      </c>
    </row>
    <row r="1122" spans="1:16" hidden="1" x14ac:dyDescent="0.25">
      <c r="A1122" s="22">
        <v>43174</v>
      </c>
      <c r="B1122" t="s">
        <v>128</v>
      </c>
      <c r="C1122" t="s">
        <v>23</v>
      </c>
      <c r="D1122">
        <v>700</v>
      </c>
      <c r="E1122">
        <v>405</v>
      </c>
      <c r="F1122">
        <v>283500</v>
      </c>
      <c r="G1122" t="s">
        <v>347</v>
      </c>
      <c r="H1122">
        <v>2018051</v>
      </c>
      <c r="I1122" t="s">
        <v>19</v>
      </c>
      <c r="J1122" t="s">
        <v>20</v>
      </c>
      <c r="K1122" t="s">
        <v>25</v>
      </c>
      <c r="L1122">
        <v>71</v>
      </c>
      <c r="M1122">
        <v>8.49</v>
      </c>
      <c r="N1122">
        <v>17.100000000000001</v>
      </c>
      <c r="O1122">
        <v>168.44</v>
      </c>
      <c r="P1122">
        <v>265.03190000000001</v>
      </c>
    </row>
    <row r="1123" spans="1:16" hidden="1" x14ac:dyDescent="0.25">
      <c r="A1123" s="22">
        <v>43173</v>
      </c>
      <c r="B1123" t="s">
        <v>282</v>
      </c>
      <c r="C1123" t="s">
        <v>17</v>
      </c>
      <c r="D1123">
        <v>500</v>
      </c>
      <c r="E1123">
        <v>610</v>
      </c>
      <c r="F1123">
        <v>305000</v>
      </c>
      <c r="G1123" t="s">
        <v>348</v>
      </c>
      <c r="H1123">
        <v>2018050</v>
      </c>
      <c r="I1123" t="s">
        <v>19</v>
      </c>
      <c r="J1123" t="s">
        <v>20</v>
      </c>
      <c r="K1123" t="s">
        <v>25</v>
      </c>
      <c r="L1123">
        <v>0</v>
      </c>
      <c r="M1123">
        <v>9.15</v>
      </c>
      <c r="N1123">
        <v>18.3</v>
      </c>
      <c r="O1123">
        <v>181.6</v>
      </c>
      <c r="P1123">
        <v>209.05</v>
      </c>
    </row>
    <row r="1124" spans="1:16" x14ac:dyDescent="0.25">
      <c r="A1124" s="22">
        <v>43369</v>
      </c>
      <c r="B1124" t="s">
        <v>282</v>
      </c>
      <c r="C1124" t="s">
        <v>23</v>
      </c>
      <c r="D1124">
        <v>100</v>
      </c>
      <c r="E1124">
        <v>705</v>
      </c>
      <c r="F1124">
        <v>70500</v>
      </c>
      <c r="G1124" t="s">
        <v>769</v>
      </c>
      <c r="H1124">
        <v>2018183</v>
      </c>
      <c r="I1124" t="s">
        <v>19</v>
      </c>
      <c r="J1124" t="s">
        <v>20</v>
      </c>
      <c r="K1124" t="s">
        <v>25</v>
      </c>
      <c r="L1124">
        <v>17.940000000000001</v>
      </c>
      <c r="M1124">
        <v>2.12</v>
      </c>
      <c r="N1124">
        <v>9.6</v>
      </c>
      <c r="O1124">
        <v>41.98</v>
      </c>
      <c r="P1124">
        <v>71.635099999999994</v>
      </c>
    </row>
    <row r="1125" spans="1:16" hidden="1" x14ac:dyDescent="0.25">
      <c r="A1125" s="22">
        <v>43172</v>
      </c>
      <c r="B1125" t="s">
        <v>282</v>
      </c>
      <c r="C1125" t="s">
        <v>17</v>
      </c>
      <c r="D1125">
        <v>100</v>
      </c>
      <c r="E1125">
        <v>608</v>
      </c>
      <c r="F1125">
        <v>60799.5</v>
      </c>
      <c r="G1125" t="s">
        <v>350</v>
      </c>
      <c r="H1125">
        <v>2018049</v>
      </c>
      <c r="I1125" t="s">
        <v>19</v>
      </c>
      <c r="J1125" t="s">
        <v>20</v>
      </c>
      <c r="K1125" t="s">
        <v>25</v>
      </c>
      <c r="L1125">
        <v>0</v>
      </c>
      <c r="M1125">
        <v>1.82</v>
      </c>
      <c r="N1125">
        <v>0</v>
      </c>
      <c r="O1125">
        <v>36.200000000000003</v>
      </c>
      <c r="P1125">
        <v>38.024000000000001</v>
      </c>
    </row>
    <row r="1126" spans="1:16" x14ac:dyDescent="0.25">
      <c r="A1126" s="22">
        <v>43370</v>
      </c>
      <c r="B1126" t="s">
        <v>282</v>
      </c>
      <c r="C1126" t="s">
        <v>23</v>
      </c>
      <c r="D1126">
        <v>100</v>
      </c>
      <c r="E1126">
        <v>703.24</v>
      </c>
      <c r="F1126">
        <v>70323.8</v>
      </c>
      <c r="G1126" t="s">
        <v>762</v>
      </c>
      <c r="H1126">
        <v>2018184</v>
      </c>
      <c r="I1126" t="s">
        <v>19</v>
      </c>
      <c r="J1126" t="s">
        <v>20</v>
      </c>
      <c r="K1126" t="s">
        <v>25</v>
      </c>
      <c r="L1126">
        <v>18.02</v>
      </c>
      <c r="M1126">
        <v>2.11</v>
      </c>
      <c r="N1126">
        <v>0</v>
      </c>
      <c r="O1126">
        <v>41.87</v>
      </c>
      <c r="P1126">
        <v>61.999699999999997</v>
      </c>
    </row>
    <row r="1127" spans="1:16" hidden="1" x14ac:dyDescent="0.25">
      <c r="A1127" s="22">
        <v>43171</v>
      </c>
      <c r="B1127" t="s">
        <v>282</v>
      </c>
      <c r="C1127" t="s">
        <v>17</v>
      </c>
      <c r="D1127">
        <v>500</v>
      </c>
      <c r="E1127">
        <v>590</v>
      </c>
      <c r="F1127">
        <v>295000</v>
      </c>
      <c r="G1127" t="s">
        <v>339</v>
      </c>
      <c r="H1127">
        <v>2018048</v>
      </c>
      <c r="I1127" t="s">
        <v>19</v>
      </c>
      <c r="J1127" t="s">
        <v>20</v>
      </c>
      <c r="K1127" t="s">
        <v>25</v>
      </c>
      <c r="L1127">
        <v>0</v>
      </c>
      <c r="M1127">
        <v>8.85</v>
      </c>
      <c r="N1127">
        <v>0</v>
      </c>
      <c r="O1127">
        <v>175.65</v>
      </c>
      <c r="P1127">
        <v>184.5</v>
      </c>
    </row>
    <row r="1128" spans="1:16" x14ac:dyDescent="0.25">
      <c r="A1128" s="22">
        <v>43378</v>
      </c>
      <c r="B1128" t="s">
        <v>282</v>
      </c>
      <c r="C1128" t="s">
        <v>23</v>
      </c>
      <c r="D1128">
        <v>250</v>
      </c>
      <c r="E1128">
        <v>615</v>
      </c>
      <c r="F1128">
        <v>153750</v>
      </c>
      <c r="G1128" t="s">
        <v>731</v>
      </c>
      <c r="H1128">
        <v>2018189</v>
      </c>
      <c r="I1128" t="s">
        <v>19</v>
      </c>
      <c r="J1128" t="s">
        <v>20</v>
      </c>
      <c r="K1128" t="s">
        <v>25</v>
      </c>
      <c r="L1128">
        <v>38.17</v>
      </c>
      <c r="M1128">
        <v>4.6100000000000003</v>
      </c>
      <c r="N1128">
        <v>30</v>
      </c>
      <c r="O1128">
        <v>91.55</v>
      </c>
      <c r="P1128">
        <v>164.33260000000001</v>
      </c>
    </row>
    <row r="1129" spans="1:16" hidden="1" x14ac:dyDescent="0.25">
      <c r="A1129" s="22">
        <v>43167</v>
      </c>
      <c r="B1129" t="s">
        <v>279</v>
      </c>
      <c r="C1129" t="s">
        <v>17</v>
      </c>
      <c r="D1129">
        <v>500</v>
      </c>
      <c r="E1129">
        <v>506</v>
      </c>
      <c r="F1129">
        <v>253000</v>
      </c>
      <c r="G1129" t="s">
        <v>334</v>
      </c>
      <c r="H1129">
        <v>2018046</v>
      </c>
      <c r="I1129" t="s">
        <v>19</v>
      </c>
      <c r="J1129" t="s">
        <v>20</v>
      </c>
      <c r="K1129" t="s">
        <v>25</v>
      </c>
      <c r="L1129">
        <v>0</v>
      </c>
      <c r="M1129">
        <v>7.59</v>
      </c>
      <c r="N1129">
        <v>0</v>
      </c>
      <c r="O1129">
        <v>150.63999999999999</v>
      </c>
      <c r="P1129">
        <v>158.22999999999999</v>
      </c>
    </row>
    <row r="1130" spans="1:16" hidden="1" x14ac:dyDescent="0.25">
      <c r="A1130" s="22">
        <v>43167</v>
      </c>
      <c r="B1130" t="s">
        <v>279</v>
      </c>
      <c r="C1130" t="s">
        <v>23</v>
      </c>
      <c r="D1130">
        <v>500</v>
      </c>
      <c r="E1130">
        <v>509</v>
      </c>
      <c r="F1130">
        <v>254500</v>
      </c>
      <c r="G1130" t="s">
        <v>335</v>
      </c>
      <c r="H1130">
        <v>2018046</v>
      </c>
      <c r="I1130" t="s">
        <v>19</v>
      </c>
      <c r="J1130" t="s">
        <v>20</v>
      </c>
      <c r="K1130" t="s">
        <v>25</v>
      </c>
      <c r="L1130">
        <v>63.03</v>
      </c>
      <c r="M1130">
        <v>7.64</v>
      </c>
      <c r="N1130">
        <v>15.6</v>
      </c>
      <c r="O1130">
        <v>151.53</v>
      </c>
      <c r="P1130">
        <v>237.79509999999999</v>
      </c>
    </row>
    <row r="1131" spans="1:16" hidden="1" x14ac:dyDescent="0.25">
      <c r="A1131" s="22">
        <v>43167</v>
      </c>
      <c r="B1131" t="s">
        <v>324</v>
      </c>
      <c r="C1131" t="s">
        <v>17</v>
      </c>
      <c r="D1131">
        <v>10</v>
      </c>
      <c r="E1131">
        <v>796.7</v>
      </c>
      <c r="F1131">
        <v>7967</v>
      </c>
      <c r="G1131" t="s">
        <v>336</v>
      </c>
      <c r="H1131">
        <v>2018046</v>
      </c>
      <c r="I1131" t="s">
        <v>19</v>
      </c>
      <c r="J1131" t="s">
        <v>20</v>
      </c>
      <c r="K1131" t="s">
        <v>25</v>
      </c>
      <c r="L1131">
        <v>7.97</v>
      </c>
      <c r="M1131">
        <v>0.24</v>
      </c>
      <c r="N1131">
        <v>0</v>
      </c>
      <c r="O1131">
        <v>51.74</v>
      </c>
      <c r="P1131">
        <v>59.948999999999998</v>
      </c>
    </row>
    <row r="1132" spans="1:16" hidden="1" x14ac:dyDescent="0.25">
      <c r="A1132" s="22">
        <v>43166</v>
      </c>
      <c r="B1132" t="s">
        <v>51</v>
      </c>
      <c r="C1132" t="s">
        <v>23</v>
      </c>
      <c r="D1132">
        <v>200</v>
      </c>
      <c r="E1132">
        <v>305.08</v>
      </c>
      <c r="F1132">
        <v>61016</v>
      </c>
      <c r="G1132" t="s">
        <v>337</v>
      </c>
      <c r="H1132">
        <v>201718233</v>
      </c>
      <c r="I1132" t="s">
        <v>19</v>
      </c>
      <c r="J1132" t="s">
        <v>20</v>
      </c>
      <c r="K1132" t="s">
        <v>21</v>
      </c>
      <c r="L1132">
        <v>61</v>
      </c>
      <c r="M1132">
        <v>1.31</v>
      </c>
      <c r="N1132">
        <v>2.1</v>
      </c>
      <c r="O1132">
        <v>396.23</v>
      </c>
      <c r="P1132">
        <v>460.64159999999998</v>
      </c>
    </row>
    <row r="1133" spans="1:16" hidden="1" x14ac:dyDescent="0.25">
      <c r="A1133" s="22">
        <v>43166</v>
      </c>
      <c r="B1133" t="s">
        <v>282</v>
      </c>
      <c r="C1133" t="s">
        <v>17</v>
      </c>
      <c r="D1133">
        <v>100</v>
      </c>
      <c r="E1133">
        <v>603</v>
      </c>
      <c r="F1133">
        <v>60300</v>
      </c>
      <c r="G1133" t="s">
        <v>338</v>
      </c>
      <c r="H1133">
        <v>2018045</v>
      </c>
      <c r="I1133" t="s">
        <v>19</v>
      </c>
      <c r="J1133" t="s">
        <v>1526</v>
      </c>
      <c r="K1133" t="s">
        <v>25</v>
      </c>
      <c r="L1133">
        <v>60</v>
      </c>
      <c r="M1133">
        <v>1.81</v>
      </c>
      <c r="N1133">
        <v>2.1</v>
      </c>
      <c r="O1133">
        <v>391.67</v>
      </c>
      <c r="P1133">
        <v>455.57909999999998</v>
      </c>
    </row>
    <row r="1134" spans="1:16" hidden="1" x14ac:dyDescent="0.25">
      <c r="A1134" s="22">
        <v>43160</v>
      </c>
      <c r="B1134" t="s">
        <v>321</v>
      </c>
      <c r="C1134" t="s">
        <v>17</v>
      </c>
      <c r="D1134">
        <v>1000</v>
      </c>
      <c r="E1134">
        <v>380.25</v>
      </c>
      <c r="F1134">
        <v>380250</v>
      </c>
      <c r="G1134" t="s">
        <v>322</v>
      </c>
      <c r="H1134">
        <v>2018042</v>
      </c>
      <c r="I1134" t="s">
        <v>19</v>
      </c>
      <c r="J1134" t="s">
        <v>20</v>
      </c>
      <c r="K1134" t="s">
        <v>25</v>
      </c>
      <c r="L1134">
        <v>0</v>
      </c>
      <c r="M1134">
        <v>11.41</v>
      </c>
      <c r="N1134">
        <v>0</v>
      </c>
      <c r="O1134">
        <v>226.4</v>
      </c>
      <c r="P1134">
        <v>237.8075</v>
      </c>
    </row>
    <row r="1135" spans="1:16" hidden="1" x14ac:dyDescent="0.25">
      <c r="A1135" s="22">
        <v>43160</v>
      </c>
      <c r="B1135" t="s">
        <v>321</v>
      </c>
      <c r="C1135" t="s">
        <v>23</v>
      </c>
      <c r="D1135">
        <v>1000</v>
      </c>
      <c r="E1135">
        <v>377.5</v>
      </c>
      <c r="F1135">
        <v>377500</v>
      </c>
      <c r="G1135" t="s">
        <v>323</v>
      </c>
      <c r="H1135">
        <v>2018042</v>
      </c>
      <c r="I1135" t="s">
        <v>19</v>
      </c>
      <c r="J1135" t="s">
        <v>20</v>
      </c>
      <c r="K1135" t="s">
        <v>25</v>
      </c>
      <c r="L1135">
        <v>95</v>
      </c>
      <c r="M1135">
        <v>11.33</v>
      </c>
      <c r="N1135">
        <v>22.8</v>
      </c>
      <c r="O1135">
        <v>224.77</v>
      </c>
      <c r="P1135">
        <v>353.89499999999998</v>
      </c>
    </row>
    <row r="1136" spans="1:16" hidden="1" x14ac:dyDescent="0.25">
      <c r="A1136" s="22">
        <v>43154</v>
      </c>
      <c r="B1136" t="s">
        <v>324</v>
      </c>
      <c r="C1136" t="s">
        <v>17</v>
      </c>
      <c r="D1136">
        <v>10</v>
      </c>
      <c r="E1136">
        <v>896.8</v>
      </c>
      <c r="F1136">
        <v>8968</v>
      </c>
      <c r="G1136" t="s">
        <v>325</v>
      </c>
      <c r="H1136">
        <v>2018038</v>
      </c>
      <c r="I1136" t="s">
        <v>19</v>
      </c>
      <c r="J1136" t="s">
        <v>20</v>
      </c>
      <c r="K1136" t="s">
        <v>25</v>
      </c>
      <c r="L1136">
        <v>9</v>
      </c>
      <c r="M1136">
        <v>0.27</v>
      </c>
      <c r="N1136">
        <v>0.3</v>
      </c>
      <c r="O1136">
        <v>58.25</v>
      </c>
      <c r="P1136">
        <v>67.819100000000006</v>
      </c>
    </row>
    <row r="1137" spans="1:16" hidden="1" x14ac:dyDescent="0.25">
      <c r="A1137" s="22">
        <v>43153</v>
      </c>
      <c r="B1137" t="s">
        <v>296</v>
      </c>
      <c r="C1137" t="s">
        <v>17</v>
      </c>
      <c r="D1137">
        <v>250</v>
      </c>
      <c r="E1137">
        <v>49</v>
      </c>
      <c r="F1137">
        <v>12250</v>
      </c>
      <c r="G1137" t="s">
        <v>326</v>
      </c>
      <c r="H1137">
        <v>2018037</v>
      </c>
      <c r="I1137" t="s">
        <v>19</v>
      </c>
      <c r="J1137" t="s">
        <v>20</v>
      </c>
      <c r="K1137" t="s">
        <v>25</v>
      </c>
      <c r="L1137">
        <v>12</v>
      </c>
      <c r="M1137">
        <v>0.37</v>
      </c>
      <c r="N1137">
        <v>0.6</v>
      </c>
      <c r="O1137">
        <v>79.569999999999993</v>
      </c>
      <c r="P1137">
        <v>92.537499999999994</v>
      </c>
    </row>
    <row r="1138" spans="1:16" hidden="1" x14ac:dyDescent="0.25">
      <c r="A1138" s="22">
        <v>43152</v>
      </c>
      <c r="B1138" t="s">
        <v>288</v>
      </c>
      <c r="C1138" t="s">
        <v>17</v>
      </c>
      <c r="D1138">
        <v>50</v>
      </c>
      <c r="E1138">
        <v>210.15</v>
      </c>
      <c r="F1138">
        <v>10507.5</v>
      </c>
      <c r="G1138" t="s">
        <v>327</v>
      </c>
      <c r="H1138">
        <v>2018036</v>
      </c>
      <c r="I1138" t="s">
        <v>19</v>
      </c>
      <c r="J1138" t="s">
        <v>20</v>
      </c>
      <c r="K1138" t="s">
        <v>25</v>
      </c>
      <c r="L1138">
        <v>10.51</v>
      </c>
      <c r="M1138">
        <v>0.32</v>
      </c>
      <c r="N1138">
        <v>0</v>
      </c>
      <c r="O1138">
        <v>68.25</v>
      </c>
      <c r="P1138">
        <v>79.075299999999999</v>
      </c>
    </row>
    <row r="1139" spans="1:16" hidden="1" x14ac:dyDescent="0.25">
      <c r="A1139" s="22">
        <v>43152</v>
      </c>
      <c r="B1139" t="s">
        <v>282</v>
      </c>
      <c r="C1139" t="s">
        <v>17</v>
      </c>
      <c r="D1139">
        <v>500</v>
      </c>
      <c r="E1139">
        <v>580.4</v>
      </c>
      <c r="F1139">
        <v>290200</v>
      </c>
      <c r="G1139" t="s">
        <v>328</v>
      </c>
      <c r="H1139">
        <v>2018036</v>
      </c>
      <c r="I1139" t="s">
        <v>19</v>
      </c>
      <c r="J1139" t="s">
        <v>20</v>
      </c>
      <c r="K1139" t="s">
        <v>25</v>
      </c>
      <c r="L1139">
        <v>0</v>
      </c>
      <c r="M1139">
        <v>8.7100000000000009</v>
      </c>
      <c r="N1139">
        <v>17.7</v>
      </c>
      <c r="O1139">
        <v>172.78</v>
      </c>
      <c r="P1139">
        <v>199.18600000000001</v>
      </c>
    </row>
    <row r="1140" spans="1:16" x14ac:dyDescent="0.25">
      <c r="A1140" s="22">
        <v>43382</v>
      </c>
      <c r="B1140" t="s">
        <v>282</v>
      </c>
      <c r="C1140" t="s">
        <v>23</v>
      </c>
      <c r="D1140">
        <v>200</v>
      </c>
      <c r="E1140">
        <v>583.17999999999995</v>
      </c>
      <c r="F1140">
        <v>116635.25</v>
      </c>
      <c r="G1140" t="s">
        <v>716</v>
      </c>
      <c r="H1140">
        <v>2018191</v>
      </c>
      <c r="I1140" t="s">
        <v>19</v>
      </c>
      <c r="J1140" t="s">
        <v>20</v>
      </c>
      <c r="K1140" t="s">
        <v>25</v>
      </c>
      <c r="L1140">
        <v>29.53</v>
      </c>
      <c r="M1140">
        <v>3.5</v>
      </c>
      <c r="N1140">
        <v>42.3</v>
      </c>
      <c r="O1140">
        <v>69.459999999999994</v>
      </c>
      <c r="P1140">
        <v>144.78899999999999</v>
      </c>
    </row>
    <row r="1141" spans="1:16" hidden="1" x14ac:dyDescent="0.25">
      <c r="A1141" s="22">
        <v>43151</v>
      </c>
      <c r="B1141" t="s">
        <v>282</v>
      </c>
      <c r="C1141" t="s">
        <v>17</v>
      </c>
      <c r="D1141">
        <v>500</v>
      </c>
      <c r="E1141">
        <v>585</v>
      </c>
      <c r="F1141">
        <v>292500</v>
      </c>
      <c r="G1141" t="s">
        <v>330</v>
      </c>
      <c r="H1141">
        <v>2018035</v>
      </c>
      <c r="I1141" t="s">
        <v>19</v>
      </c>
      <c r="J1141" t="s">
        <v>20</v>
      </c>
      <c r="K1141" t="s">
        <v>25</v>
      </c>
      <c r="L1141">
        <v>0</v>
      </c>
      <c r="M1141">
        <v>8.7799999999999994</v>
      </c>
      <c r="N1141">
        <v>35.1</v>
      </c>
      <c r="O1141">
        <v>174.15</v>
      </c>
      <c r="P1141">
        <v>218.02510000000001</v>
      </c>
    </row>
    <row r="1142" spans="1:16" x14ac:dyDescent="0.25">
      <c r="A1142" s="22">
        <v>43382</v>
      </c>
      <c r="B1142" t="s">
        <v>282</v>
      </c>
      <c r="C1142" t="s">
        <v>23</v>
      </c>
      <c r="D1142">
        <v>500</v>
      </c>
      <c r="E1142">
        <v>583</v>
      </c>
      <c r="F1142">
        <v>291500</v>
      </c>
      <c r="G1142" t="s">
        <v>717</v>
      </c>
      <c r="H1142">
        <v>2018191</v>
      </c>
      <c r="I1142" t="s">
        <v>19</v>
      </c>
      <c r="J1142" t="s">
        <v>20</v>
      </c>
      <c r="K1142" t="s">
        <v>25</v>
      </c>
      <c r="L1142">
        <v>73.2</v>
      </c>
      <c r="M1142">
        <v>8.75</v>
      </c>
      <c r="N1142">
        <v>0</v>
      </c>
      <c r="O1142">
        <v>173.56</v>
      </c>
      <c r="P1142">
        <v>255.505</v>
      </c>
    </row>
    <row r="1143" spans="1:16" hidden="1" x14ac:dyDescent="0.25">
      <c r="A1143" s="22">
        <v>43151</v>
      </c>
      <c r="B1143" t="s">
        <v>282</v>
      </c>
      <c r="C1143" t="s">
        <v>17</v>
      </c>
      <c r="D1143">
        <v>500</v>
      </c>
      <c r="E1143">
        <v>582.78</v>
      </c>
      <c r="F1143">
        <v>291390.3</v>
      </c>
      <c r="G1143" t="s">
        <v>332</v>
      </c>
      <c r="H1143">
        <v>2018035</v>
      </c>
      <c r="I1143" t="s">
        <v>19</v>
      </c>
      <c r="J1143" t="s">
        <v>20</v>
      </c>
      <c r="K1143" t="s">
        <v>25</v>
      </c>
      <c r="L1143">
        <v>0</v>
      </c>
      <c r="M1143">
        <v>8.74</v>
      </c>
      <c r="N1143">
        <v>0</v>
      </c>
      <c r="O1143">
        <v>173.49</v>
      </c>
      <c r="P1143">
        <v>182.23169999999999</v>
      </c>
    </row>
    <row r="1144" spans="1:16" x14ac:dyDescent="0.25">
      <c r="A1144" s="22">
        <v>43382</v>
      </c>
      <c r="B1144" t="s">
        <v>282</v>
      </c>
      <c r="C1144" t="s">
        <v>23</v>
      </c>
      <c r="D1144">
        <v>100</v>
      </c>
      <c r="E1144">
        <v>587</v>
      </c>
      <c r="F1144">
        <v>58700</v>
      </c>
      <c r="G1144" t="s">
        <v>718</v>
      </c>
      <c r="H1144">
        <v>2018191</v>
      </c>
      <c r="I1144" t="s">
        <v>19</v>
      </c>
      <c r="J1144" t="s">
        <v>20</v>
      </c>
      <c r="K1144" t="s">
        <v>25</v>
      </c>
      <c r="L1144">
        <v>14.64</v>
      </c>
      <c r="M1144">
        <v>1.76</v>
      </c>
      <c r="N1144">
        <v>0</v>
      </c>
      <c r="O1144">
        <v>34.96</v>
      </c>
      <c r="P1144">
        <v>51.360900000000001</v>
      </c>
    </row>
    <row r="1145" spans="1:16" hidden="1" x14ac:dyDescent="0.25">
      <c r="A1145" s="22">
        <v>43147</v>
      </c>
      <c r="B1145" t="s">
        <v>282</v>
      </c>
      <c r="C1145" t="s">
        <v>17</v>
      </c>
      <c r="D1145">
        <v>500</v>
      </c>
      <c r="E1145">
        <v>607.96</v>
      </c>
      <c r="F1145">
        <v>303981.8</v>
      </c>
      <c r="G1145" t="s">
        <v>315</v>
      </c>
      <c r="H1145">
        <v>2018033</v>
      </c>
      <c r="I1145" t="s">
        <v>19</v>
      </c>
      <c r="J1145" t="s">
        <v>20</v>
      </c>
      <c r="K1145" t="s">
        <v>25</v>
      </c>
      <c r="L1145">
        <v>0</v>
      </c>
      <c r="M1145">
        <v>9.1199999999999992</v>
      </c>
      <c r="N1145">
        <v>0</v>
      </c>
      <c r="O1145">
        <v>180.98</v>
      </c>
      <c r="P1145">
        <v>190.0994</v>
      </c>
    </row>
    <row r="1146" spans="1:16" x14ac:dyDescent="0.25">
      <c r="A1146" s="22">
        <v>43531</v>
      </c>
      <c r="B1146" t="s">
        <v>282</v>
      </c>
      <c r="C1146" t="s">
        <v>23</v>
      </c>
      <c r="D1146">
        <v>1000</v>
      </c>
      <c r="E1146">
        <v>613.5</v>
      </c>
      <c r="F1146">
        <v>613500</v>
      </c>
      <c r="G1146" t="s">
        <v>900</v>
      </c>
      <c r="H1146">
        <v>201819235</v>
      </c>
      <c r="I1146" t="s">
        <v>19</v>
      </c>
      <c r="J1146" t="s">
        <v>20</v>
      </c>
      <c r="K1146" t="s">
        <v>21</v>
      </c>
      <c r="L1146">
        <v>154</v>
      </c>
      <c r="M1146">
        <v>17.5</v>
      </c>
      <c r="N1146">
        <v>0</v>
      </c>
      <c r="O1146">
        <v>365.12</v>
      </c>
      <c r="P1146">
        <v>536.62480000000005</v>
      </c>
    </row>
    <row r="1147" spans="1:16" hidden="1" x14ac:dyDescent="0.25">
      <c r="A1147" s="22">
        <v>43147</v>
      </c>
      <c r="B1147" t="s">
        <v>282</v>
      </c>
      <c r="C1147" t="s">
        <v>17</v>
      </c>
      <c r="D1147">
        <v>500</v>
      </c>
      <c r="E1147">
        <v>611.75</v>
      </c>
      <c r="F1147">
        <v>305875</v>
      </c>
      <c r="G1147" t="s">
        <v>317</v>
      </c>
      <c r="H1147">
        <v>2018033</v>
      </c>
      <c r="I1147" t="s">
        <v>19</v>
      </c>
      <c r="J1147" t="s">
        <v>20</v>
      </c>
      <c r="K1147" t="s">
        <v>25</v>
      </c>
      <c r="L1147">
        <v>0</v>
      </c>
      <c r="M1147">
        <v>9.18</v>
      </c>
      <c r="N1147">
        <v>0</v>
      </c>
      <c r="O1147">
        <v>182.12</v>
      </c>
      <c r="P1147">
        <v>191.2962</v>
      </c>
    </row>
    <row r="1148" spans="1:16" x14ac:dyDescent="0.25">
      <c r="A1148" s="22">
        <v>43531</v>
      </c>
      <c r="B1148" t="s">
        <v>282</v>
      </c>
      <c r="C1148" t="s">
        <v>23</v>
      </c>
      <c r="D1148">
        <v>100</v>
      </c>
      <c r="E1148">
        <v>613.35</v>
      </c>
      <c r="F1148">
        <v>61335</v>
      </c>
      <c r="G1148" t="s">
        <v>902</v>
      </c>
      <c r="H1148">
        <v>2019047</v>
      </c>
      <c r="I1148" t="s">
        <v>19</v>
      </c>
      <c r="J1148" t="s">
        <v>20</v>
      </c>
      <c r="K1148" t="s">
        <v>25</v>
      </c>
      <c r="L1148">
        <v>15.38</v>
      </c>
      <c r="M1148">
        <v>2.2400000000000002</v>
      </c>
      <c r="N1148">
        <v>0</v>
      </c>
      <c r="O1148">
        <v>36.590000000000003</v>
      </c>
      <c r="P1148">
        <v>54.2087</v>
      </c>
    </row>
    <row r="1149" spans="1:16" hidden="1" x14ac:dyDescent="0.25">
      <c r="A1149" s="22">
        <v>43147</v>
      </c>
      <c r="B1149" t="s">
        <v>282</v>
      </c>
      <c r="C1149" t="s">
        <v>17</v>
      </c>
      <c r="D1149">
        <v>750</v>
      </c>
      <c r="E1149">
        <v>612.75</v>
      </c>
      <c r="F1149">
        <v>459562.5</v>
      </c>
      <c r="G1149" t="s">
        <v>319</v>
      </c>
      <c r="H1149">
        <v>2018033</v>
      </c>
      <c r="I1149" t="s">
        <v>19</v>
      </c>
      <c r="J1149" t="s">
        <v>20</v>
      </c>
      <c r="K1149" t="s">
        <v>25</v>
      </c>
      <c r="L1149">
        <v>0</v>
      </c>
      <c r="M1149">
        <v>13.79</v>
      </c>
      <c r="N1149">
        <v>0</v>
      </c>
      <c r="O1149">
        <v>273.62</v>
      </c>
      <c r="P1149">
        <v>287.40690000000001</v>
      </c>
    </row>
    <row r="1150" spans="1:16" x14ac:dyDescent="0.25">
      <c r="A1150" s="22">
        <v>43531</v>
      </c>
      <c r="B1150" t="s">
        <v>282</v>
      </c>
      <c r="C1150" t="s">
        <v>23</v>
      </c>
      <c r="D1150">
        <v>200</v>
      </c>
      <c r="E1150">
        <v>619</v>
      </c>
      <c r="F1150">
        <v>123800</v>
      </c>
      <c r="G1150" t="s">
        <v>905</v>
      </c>
      <c r="H1150">
        <v>2019047</v>
      </c>
      <c r="I1150" t="s">
        <v>19</v>
      </c>
      <c r="J1150" t="s">
        <v>20</v>
      </c>
      <c r="K1150" t="s">
        <v>25</v>
      </c>
      <c r="L1150">
        <v>30.76</v>
      </c>
      <c r="M1150">
        <v>4.5199999999999996</v>
      </c>
      <c r="N1150">
        <v>0</v>
      </c>
      <c r="O1150">
        <v>73.86</v>
      </c>
      <c r="P1150">
        <v>109.1387</v>
      </c>
    </row>
    <row r="1151" spans="1:16" hidden="1" x14ac:dyDescent="0.25">
      <c r="A1151" s="22">
        <v>43146</v>
      </c>
      <c r="B1151" t="s">
        <v>128</v>
      </c>
      <c r="C1151" t="s">
        <v>17</v>
      </c>
      <c r="D1151">
        <v>500</v>
      </c>
      <c r="E1151">
        <v>415.67</v>
      </c>
      <c r="F1151">
        <v>207836.4</v>
      </c>
      <c r="G1151" t="s">
        <v>311</v>
      </c>
      <c r="H1151">
        <v>2018032</v>
      </c>
      <c r="I1151" t="s">
        <v>19</v>
      </c>
      <c r="J1151" t="s">
        <v>20</v>
      </c>
      <c r="K1151" t="s">
        <v>25</v>
      </c>
      <c r="L1151">
        <v>0</v>
      </c>
      <c r="M1151">
        <v>6.24</v>
      </c>
      <c r="N1151">
        <v>0</v>
      </c>
      <c r="O1151">
        <v>123.75</v>
      </c>
      <c r="P1151">
        <v>129.98519999999999</v>
      </c>
    </row>
    <row r="1152" spans="1:16" hidden="1" x14ac:dyDescent="0.25">
      <c r="A1152" s="22">
        <v>43146</v>
      </c>
      <c r="B1152" t="s">
        <v>128</v>
      </c>
      <c r="C1152" t="s">
        <v>23</v>
      </c>
      <c r="D1152">
        <v>500</v>
      </c>
      <c r="E1152">
        <v>412</v>
      </c>
      <c r="F1152">
        <v>206000</v>
      </c>
      <c r="G1152" t="s">
        <v>312</v>
      </c>
      <c r="H1152">
        <v>2018032</v>
      </c>
      <c r="I1152" t="s">
        <v>19</v>
      </c>
      <c r="J1152" t="s">
        <v>20</v>
      </c>
      <c r="K1152" t="s">
        <v>25</v>
      </c>
      <c r="L1152">
        <v>51.73</v>
      </c>
      <c r="M1152">
        <v>6.18</v>
      </c>
      <c r="N1152">
        <v>0</v>
      </c>
      <c r="O1152">
        <v>122.66</v>
      </c>
      <c r="P1152">
        <v>180.57</v>
      </c>
    </row>
    <row r="1153" spans="1:16" x14ac:dyDescent="0.25">
      <c r="A1153" s="22">
        <v>43531</v>
      </c>
      <c r="B1153" t="s">
        <v>282</v>
      </c>
      <c r="C1153" t="s">
        <v>23</v>
      </c>
      <c r="D1153">
        <v>250</v>
      </c>
      <c r="E1153">
        <v>616</v>
      </c>
      <c r="F1153">
        <v>154000</v>
      </c>
      <c r="G1153" t="s">
        <v>909</v>
      </c>
      <c r="H1153">
        <v>2019047</v>
      </c>
      <c r="I1153" t="s">
        <v>19</v>
      </c>
      <c r="J1153" t="s">
        <v>20</v>
      </c>
      <c r="K1153" t="s">
        <v>25</v>
      </c>
      <c r="L1153">
        <v>38.450000000000003</v>
      </c>
      <c r="M1153">
        <v>5.62</v>
      </c>
      <c r="N1153">
        <v>0</v>
      </c>
      <c r="O1153">
        <v>91.87</v>
      </c>
      <c r="P1153">
        <v>135.941</v>
      </c>
    </row>
    <row r="1154" spans="1:16" hidden="1" x14ac:dyDescent="0.25">
      <c r="A1154" s="22">
        <v>43145</v>
      </c>
      <c r="B1154" t="s">
        <v>282</v>
      </c>
      <c r="C1154" t="s">
        <v>17</v>
      </c>
      <c r="D1154">
        <v>500</v>
      </c>
      <c r="E1154">
        <v>614.25</v>
      </c>
      <c r="F1154">
        <v>307125</v>
      </c>
      <c r="G1154" t="s">
        <v>314</v>
      </c>
      <c r="H1154">
        <v>2018031</v>
      </c>
      <c r="I1154" t="s">
        <v>19</v>
      </c>
      <c r="J1154" t="s">
        <v>1526</v>
      </c>
      <c r="K1154" t="s">
        <v>25</v>
      </c>
      <c r="L1154">
        <v>307</v>
      </c>
      <c r="M1154">
        <v>9.2100000000000009</v>
      </c>
      <c r="N1154">
        <v>9.3000000000000007</v>
      </c>
      <c r="O1154">
        <v>1994.9</v>
      </c>
      <c r="P1154">
        <v>2320.4137999999998</v>
      </c>
    </row>
    <row r="1155" spans="1:16" hidden="1" x14ac:dyDescent="0.25">
      <c r="A1155" s="22">
        <v>43140</v>
      </c>
      <c r="B1155" t="s">
        <v>128</v>
      </c>
      <c r="C1155" t="s">
        <v>17</v>
      </c>
      <c r="D1155">
        <v>1000</v>
      </c>
      <c r="E1155">
        <v>429.1</v>
      </c>
      <c r="F1155">
        <v>429099.25</v>
      </c>
      <c r="G1155" t="s">
        <v>307</v>
      </c>
      <c r="H1155">
        <v>2018029</v>
      </c>
      <c r="I1155" t="s">
        <v>19</v>
      </c>
      <c r="J1155" t="s">
        <v>20</v>
      </c>
      <c r="K1155" t="s">
        <v>25</v>
      </c>
      <c r="L1155">
        <v>0</v>
      </c>
      <c r="M1155">
        <v>13.95</v>
      </c>
      <c r="N1155">
        <v>0</v>
      </c>
      <c r="O1155">
        <v>255.68</v>
      </c>
      <c r="P1155">
        <v>269.62569999999999</v>
      </c>
    </row>
    <row r="1156" spans="1:16" hidden="1" x14ac:dyDescent="0.25">
      <c r="A1156" s="22">
        <v>43140</v>
      </c>
      <c r="B1156" t="s">
        <v>128</v>
      </c>
      <c r="C1156" t="s">
        <v>23</v>
      </c>
      <c r="D1156">
        <v>1000</v>
      </c>
      <c r="E1156">
        <v>434</v>
      </c>
      <c r="F1156">
        <v>434000</v>
      </c>
      <c r="G1156" t="s">
        <v>308</v>
      </c>
      <c r="H1156">
        <v>2018029</v>
      </c>
      <c r="I1156" t="s">
        <v>19</v>
      </c>
      <c r="J1156" t="s">
        <v>20</v>
      </c>
      <c r="K1156" t="s">
        <v>25</v>
      </c>
      <c r="L1156">
        <v>107.89</v>
      </c>
      <c r="M1156">
        <v>14.11</v>
      </c>
      <c r="N1156">
        <v>0</v>
      </c>
      <c r="O1156">
        <v>258.60000000000002</v>
      </c>
      <c r="P1156">
        <v>380.5951</v>
      </c>
    </row>
    <row r="1157" spans="1:16" hidden="1" x14ac:dyDescent="0.25">
      <c r="A1157" s="22">
        <v>43140</v>
      </c>
      <c r="B1157" t="s">
        <v>51</v>
      </c>
      <c r="C1157" t="s">
        <v>17</v>
      </c>
      <c r="D1157">
        <v>1000</v>
      </c>
      <c r="E1157">
        <v>309.57</v>
      </c>
      <c r="F1157">
        <v>309565.3</v>
      </c>
      <c r="G1157" t="s">
        <v>309</v>
      </c>
      <c r="H1157">
        <v>2018029</v>
      </c>
      <c r="I1157" t="s">
        <v>19</v>
      </c>
      <c r="J1157" t="s">
        <v>20</v>
      </c>
      <c r="K1157" t="s">
        <v>25</v>
      </c>
      <c r="L1157">
        <v>0</v>
      </c>
      <c r="M1157">
        <v>10.06</v>
      </c>
      <c r="N1157">
        <v>44.4</v>
      </c>
      <c r="O1157">
        <v>184.46</v>
      </c>
      <c r="P1157">
        <v>238.92089999999999</v>
      </c>
    </row>
    <row r="1158" spans="1:16" hidden="1" x14ac:dyDescent="0.25">
      <c r="A1158" s="22">
        <v>43140</v>
      </c>
      <c r="B1158" t="s">
        <v>51</v>
      </c>
      <c r="C1158" t="s">
        <v>23</v>
      </c>
      <c r="D1158">
        <v>1000</v>
      </c>
      <c r="E1158">
        <v>303.01</v>
      </c>
      <c r="F1158">
        <v>303014.3</v>
      </c>
      <c r="G1158" t="s">
        <v>310</v>
      </c>
      <c r="H1158">
        <v>2018029</v>
      </c>
      <c r="I1158" t="s">
        <v>19</v>
      </c>
      <c r="J1158" t="s">
        <v>20</v>
      </c>
      <c r="K1158" t="s">
        <v>25</v>
      </c>
      <c r="L1158">
        <v>76.11</v>
      </c>
      <c r="M1158">
        <v>9.85</v>
      </c>
      <c r="N1158">
        <v>0</v>
      </c>
      <c r="O1158">
        <v>180.56</v>
      </c>
      <c r="P1158">
        <v>266.5179</v>
      </c>
    </row>
    <row r="1159" spans="1:16" hidden="1" x14ac:dyDescent="0.25">
      <c r="A1159" s="22">
        <v>43139</v>
      </c>
      <c r="B1159" t="s">
        <v>282</v>
      </c>
      <c r="C1159" t="s">
        <v>17</v>
      </c>
      <c r="D1159">
        <v>100</v>
      </c>
      <c r="E1159">
        <v>612</v>
      </c>
      <c r="F1159">
        <v>61200</v>
      </c>
      <c r="G1159" t="s">
        <v>300</v>
      </c>
      <c r="H1159">
        <v>2018028</v>
      </c>
      <c r="I1159" t="s">
        <v>19</v>
      </c>
      <c r="J1159" t="s">
        <v>20</v>
      </c>
      <c r="K1159" t="s">
        <v>25</v>
      </c>
      <c r="L1159">
        <v>0</v>
      </c>
      <c r="M1159">
        <v>1.99</v>
      </c>
      <c r="N1159">
        <v>0</v>
      </c>
      <c r="O1159">
        <v>36.47</v>
      </c>
      <c r="P1159">
        <v>38.459000000000003</v>
      </c>
    </row>
    <row r="1160" spans="1:16" hidden="1" x14ac:dyDescent="0.25">
      <c r="A1160" s="22">
        <v>43139</v>
      </c>
      <c r="B1160" t="s">
        <v>128</v>
      </c>
      <c r="C1160" t="s">
        <v>17</v>
      </c>
      <c r="D1160">
        <v>100</v>
      </c>
      <c r="E1160">
        <v>414</v>
      </c>
      <c r="F1160">
        <v>41400</v>
      </c>
      <c r="G1160" t="s">
        <v>301</v>
      </c>
      <c r="H1160">
        <v>2018028</v>
      </c>
      <c r="I1160" t="s">
        <v>19</v>
      </c>
      <c r="J1160" t="s">
        <v>20</v>
      </c>
      <c r="K1160" t="s">
        <v>25</v>
      </c>
      <c r="L1160">
        <v>0</v>
      </c>
      <c r="M1160">
        <v>1.35</v>
      </c>
      <c r="N1160">
        <v>0</v>
      </c>
      <c r="O1160">
        <v>29.74</v>
      </c>
      <c r="P1160">
        <v>31.0855</v>
      </c>
    </row>
    <row r="1161" spans="1:16" hidden="1" x14ac:dyDescent="0.25">
      <c r="A1161" s="22">
        <v>43139</v>
      </c>
      <c r="B1161" t="s">
        <v>128</v>
      </c>
      <c r="C1161" t="s">
        <v>23</v>
      </c>
      <c r="D1161">
        <v>100</v>
      </c>
      <c r="E1161">
        <v>417</v>
      </c>
      <c r="F1161">
        <v>41700</v>
      </c>
      <c r="G1161" t="s">
        <v>302</v>
      </c>
      <c r="H1161">
        <v>2018028</v>
      </c>
      <c r="I1161" t="s">
        <v>19</v>
      </c>
      <c r="J1161" t="s">
        <v>20</v>
      </c>
      <c r="K1161" t="s">
        <v>25</v>
      </c>
      <c r="L1161">
        <v>10.39</v>
      </c>
      <c r="M1161">
        <v>1.36</v>
      </c>
      <c r="N1161">
        <v>0</v>
      </c>
      <c r="O1161">
        <v>29.75</v>
      </c>
      <c r="P1161">
        <v>41.495199999999997</v>
      </c>
    </row>
    <row r="1162" spans="1:16" x14ac:dyDescent="0.25">
      <c r="A1162" s="22">
        <v>43552</v>
      </c>
      <c r="B1162" t="s">
        <v>282</v>
      </c>
      <c r="C1162" t="s">
        <v>23</v>
      </c>
      <c r="D1162">
        <v>50</v>
      </c>
      <c r="E1162">
        <v>605</v>
      </c>
      <c r="F1162">
        <v>30250</v>
      </c>
      <c r="G1162" t="s">
        <v>984</v>
      </c>
      <c r="H1162">
        <v>2019061</v>
      </c>
      <c r="I1162" t="s">
        <v>19</v>
      </c>
      <c r="J1162" t="s">
        <v>20</v>
      </c>
      <c r="K1162" t="s">
        <v>25</v>
      </c>
      <c r="L1162">
        <v>7.53</v>
      </c>
      <c r="M1162">
        <v>1.1000000000000001</v>
      </c>
      <c r="N1162">
        <v>0</v>
      </c>
      <c r="O1162">
        <v>29.7</v>
      </c>
      <c r="P1162">
        <v>38.334200000000003</v>
      </c>
    </row>
    <row r="1163" spans="1:16" hidden="1" x14ac:dyDescent="0.25">
      <c r="A1163" s="22">
        <v>43139</v>
      </c>
      <c r="B1163" t="s">
        <v>282</v>
      </c>
      <c r="C1163" t="s">
        <v>17</v>
      </c>
      <c r="D1163">
        <v>500</v>
      </c>
      <c r="E1163">
        <v>615</v>
      </c>
      <c r="F1163">
        <v>307500</v>
      </c>
      <c r="G1163" t="s">
        <v>304</v>
      </c>
      <c r="H1163">
        <v>2018028</v>
      </c>
      <c r="I1163" t="s">
        <v>19</v>
      </c>
      <c r="J1163" t="s">
        <v>20</v>
      </c>
      <c r="K1163" t="s">
        <v>25</v>
      </c>
      <c r="L1163">
        <v>0</v>
      </c>
      <c r="M1163">
        <v>9.99</v>
      </c>
      <c r="N1163">
        <v>0</v>
      </c>
      <c r="O1163">
        <v>183.22</v>
      </c>
      <c r="P1163">
        <v>193.21379999999999</v>
      </c>
    </row>
    <row r="1164" spans="1:16" x14ac:dyDescent="0.25">
      <c r="A1164" s="22">
        <v>43629</v>
      </c>
      <c r="B1164" t="s">
        <v>282</v>
      </c>
      <c r="C1164" t="s">
        <v>23</v>
      </c>
      <c r="D1164">
        <v>2000</v>
      </c>
      <c r="E1164">
        <v>253.5</v>
      </c>
      <c r="F1164">
        <v>507000</v>
      </c>
      <c r="G1164" t="s">
        <v>1071</v>
      </c>
      <c r="H1164">
        <v>2019111</v>
      </c>
      <c r="I1164" t="s">
        <v>19</v>
      </c>
      <c r="J1164" t="s">
        <v>20</v>
      </c>
      <c r="K1164" t="s">
        <v>25</v>
      </c>
      <c r="L1164">
        <v>126.49</v>
      </c>
      <c r="M1164">
        <v>18.25</v>
      </c>
      <c r="N1164">
        <v>49.5</v>
      </c>
      <c r="O1164">
        <v>302.39999999999998</v>
      </c>
      <c r="P1164">
        <v>496.64229999999998</v>
      </c>
    </row>
    <row r="1165" spans="1:16" x14ac:dyDescent="0.25">
      <c r="A1165" s="22">
        <v>43629</v>
      </c>
      <c r="B1165" t="s">
        <v>282</v>
      </c>
      <c r="C1165" t="s">
        <v>23</v>
      </c>
      <c r="D1165">
        <v>1000</v>
      </c>
      <c r="E1165">
        <v>252</v>
      </c>
      <c r="F1165">
        <v>252000</v>
      </c>
      <c r="G1165" t="s">
        <v>1074</v>
      </c>
      <c r="H1165">
        <v>2019111</v>
      </c>
      <c r="I1165" t="s">
        <v>19</v>
      </c>
      <c r="J1165" t="s">
        <v>20</v>
      </c>
      <c r="K1165" t="s">
        <v>25</v>
      </c>
      <c r="L1165">
        <v>63.14</v>
      </c>
      <c r="M1165">
        <v>9.07</v>
      </c>
      <c r="N1165">
        <v>0</v>
      </c>
      <c r="O1165">
        <v>150.31</v>
      </c>
      <c r="P1165">
        <v>222.52199999999999</v>
      </c>
    </row>
    <row r="1166" spans="1:16" hidden="1" x14ac:dyDescent="0.25">
      <c r="A1166" s="22">
        <v>43137</v>
      </c>
      <c r="B1166" t="s">
        <v>282</v>
      </c>
      <c r="C1166" t="s">
        <v>17</v>
      </c>
      <c r="D1166">
        <v>100</v>
      </c>
      <c r="E1166">
        <v>582</v>
      </c>
      <c r="F1166">
        <v>58200</v>
      </c>
      <c r="G1166" t="s">
        <v>283</v>
      </c>
      <c r="H1166">
        <v>2018026</v>
      </c>
      <c r="I1166" t="s">
        <v>19</v>
      </c>
      <c r="J1166" t="s">
        <v>1526</v>
      </c>
      <c r="K1166" t="s">
        <v>25</v>
      </c>
      <c r="L1166">
        <v>59.01</v>
      </c>
      <c r="M1166">
        <v>1.89</v>
      </c>
      <c r="N1166">
        <v>24.9</v>
      </c>
      <c r="O1166">
        <v>378.06</v>
      </c>
      <c r="P1166">
        <v>463.86149999999998</v>
      </c>
    </row>
    <row r="1167" spans="1:16" hidden="1" x14ac:dyDescent="0.25">
      <c r="A1167" s="22">
        <v>43137</v>
      </c>
      <c r="B1167" t="s">
        <v>128</v>
      </c>
      <c r="C1167" t="s">
        <v>17</v>
      </c>
      <c r="D1167">
        <v>100</v>
      </c>
      <c r="E1167">
        <v>386.82</v>
      </c>
      <c r="F1167">
        <v>38682</v>
      </c>
      <c r="G1167" t="s">
        <v>284</v>
      </c>
      <c r="H1167">
        <v>2018026</v>
      </c>
      <c r="I1167" t="s">
        <v>19</v>
      </c>
      <c r="J1167" t="s">
        <v>20</v>
      </c>
      <c r="K1167" t="s">
        <v>25</v>
      </c>
      <c r="L1167">
        <v>0</v>
      </c>
      <c r="M1167">
        <v>1.26</v>
      </c>
      <c r="N1167">
        <v>0</v>
      </c>
      <c r="O1167">
        <v>29.73</v>
      </c>
      <c r="P1167">
        <v>30.987200000000001</v>
      </c>
    </row>
    <row r="1168" spans="1:16" hidden="1" x14ac:dyDescent="0.25">
      <c r="A1168" s="22">
        <v>43137</v>
      </c>
      <c r="B1168" t="s">
        <v>128</v>
      </c>
      <c r="C1168" t="s">
        <v>23</v>
      </c>
      <c r="D1168">
        <v>100</v>
      </c>
      <c r="E1168">
        <v>405</v>
      </c>
      <c r="F1168">
        <v>40500</v>
      </c>
      <c r="G1168" t="s">
        <v>285</v>
      </c>
      <c r="H1168">
        <v>2018026</v>
      </c>
      <c r="I1168" t="s">
        <v>19</v>
      </c>
      <c r="J1168" t="s">
        <v>20</v>
      </c>
      <c r="K1168" t="s">
        <v>25</v>
      </c>
      <c r="L1168">
        <v>9.9</v>
      </c>
      <c r="M1168">
        <v>1.32</v>
      </c>
      <c r="N1168">
        <v>0</v>
      </c>
      <c r="O1168">
        <v>29.74</v>
      </c>
      <c r="P1168">
        <v>40.956299999999999</v>
      </c>
    </row>
    <row r="1169" spans="1:16" hidden="1" x14ac:dyDescent="0.25">
      <c r="A1169" s="22">
        <v>43137</v>
      </c>
      <c r="B1169" t="s">
        <v>282</v>
      </c>
      <c r="C1169" t="s">
        <v>17</v>
      </c>
      <c r="D1169">
        <v>1000</v>
      </c>
      <c r="E1169">
        <v>592</v>
      </c>
      <c r="F1169">
        <v>592000</v>
      </c>
      <c r="G1169" t="s">
        <v>286</v>
      </c>
      <c r="H1169">
        <v>2018026</v>
      </c>
      <c r="I1169" t="s">
        <v>19</v>
      </c>
      <c r="J1169" t="s">
        <v>1526</v>
      </c>
      <c r="K1169" t="s">
        <v>25</v>
      </c>
      <c r="L1169">
        <v>591.09</v>
      </c>
      <c r="M1169">
        <v>19.239999999999998</v>
      </c>
      <c r="N1169">
        <v>0</v>
      </c>
      <c r="O1169">
        <v>3845.55</v>
      </c>
      <c r="P1169">
        <v>4455.8797999999997</v>
      </c>
    </row>
    <row r="1170" spans="1:16" hidden="1" x14ac:dyDescent="0.25">
      <c r="A1170" s="22">
        <v>43137</v>
      </c>
      <c r="B1170" t="s">
        <v>29</v>
      </c>
      <c r="C1170" t="s">
        <v>23</v>
      </c>
      <c r="D1170">
        <v>5000</v>
      </c>
      <c r="E1170">
        <v>18.2</v>
      </c>
      <c r="F1170">
        <v>91000</v>
      </c>
      <c r="G1170" t="s">
        <v>287</v>
      </c>
      <c r="H1170">
        <v>2018026</v>
      </c>
      <c r="I1170" t="s">
        <v>19</v>
      </c>
      <c r="J1170" t="s">
        <v>20</v>
      </c>
      <c r="K1170" t="s">
        <v>25</v>
      </c>
      <c r="L1170">
        <v>91</v>
      </c>
      <c r="M1170">
        <v>2.96</v>
      </c>
      <c r="N1170">
        <v>0</v>
      </c>
      <c r="O1170">
        <v>591.12</v>
      </c>
      <c r="P1170">
        <v>685.07749999999999</v>
      </c>
    </row>
    <row r="1171" spans="1:16" hidden="1" x14ac:dyDescent="0.25">
      <c r="A1171" s="22">
        <v>43136</v>
      </c>
      <c r="B1171" t="s">
        <v>288</v>
      </c>
      <c r="C1171" t="s">
        <v>17</v>
      </c>
      <c r="D1171">
        <v>50</v>
      </c>
      <c r="E1171">
        <v>236.8</v>
      </c>
      <c r="F1171">
        <v>11840</v>
      </c>
      <c r="G1171" t="s">
        <v>289</v>
      </c>
      <c r="H1171">
        <v>201718213</v>
      </c>
      <c r="I1171" t="s">
        <v>19</v>
      </c>
      <c r="J1171" t="s">
        <v>20</v>
      </c>
      <c r="K1171" t="s">
        <v>21</v>
      </c>
      <c r="L1171">
        <v>12</v>
      </c>
      <c r="M1171">
        <v>0.63</v>
      </c>
      <c r="N1171">
        <v>0.6</v>
      </c>
      <c r="O1171">
        <v>76.95</v>
      </c>
      <c r="P1171">
        <v>90.177800000000005</v>
      </c>
    </row>
    <row r="1172" spans="1:16" hidden="1" x14ac:dyDescent="0.25">
      <c r="A1172" s="22">
        <v>43133</v>
      </c>
      <c r="B1172" t="s">
        <v>26</v>
      </c>
      <c r="C1172" t="s">
        <v>23</v>
      </c>
      <c r="D1172">
        <v>1000</v>
      </c>
      <c r="E1172">
        <v>120.99</v>
      </c>
      <c r="F1172">
        <v>120994.8</v>
      </c>
      <c r="G1172" t="s">
        <v>290</v>
      </c>
      <c r="H1172">
        <v>2018024</v>
      </c>
      <c r="I1172" t="s">
        <v>19</v>
      </c>
      <c r="J1172" t="s">
        <v>1526</v>
      </c>
      <c r="K1172" t="s">
        <v>25</v>
      </c>
      <c r="L1172">
        <v>121.25</v>
      </c>
      <c r="M1172">
        <v>3.93</v>
      </c>
      <c r="N1172">
        <v>8.4</v>
      </c>
      <c r="O1172">
        <v>785.97</v>
      </c>
      <c r="P1172">
        <v>919.55229999999995</v>
      </c>
    </row>
    <row r="1173" spans="1:16" hidden="1" x14ac:dyDescent="0.25">
      <c r="A1173" s="22">
        <v>43133</v>
      </c>
      <c r="B1173" t="s">
        <v>291</v>
      </c>
      <c r="C1173" t="s">
        <v>23</v>
      </c>
      <c r="D1173">
        <v>277</v>
      </c>
      <c r="E1173">
        <v>157.4</v>
      </c>
      <c r="F1173">
        <v>43599.8</v>
      </c>
      <c r="G1173" t="s">
        <v>292</v>
      </c>
      <c r="H1173">
        <v>2018024</v>
      </c>
      <c r="I1173" t="s">
        <v>19</v>
      </c>
      <c r="J1173" t="s">
        <v>1526</v>
      </c>
      <c r="K1173" t="s">
        <v>25</v>
      </c>
      <c r="L1173">
        <v>42.59</v>
      </c>
      <c r="M1173">
        <v>1.42</v>
      </c>
      <c r="N1173">
        <v>0</v>
      </c>
      <c r="O1173">
        <v>283.22000000000003</v>
      </c>
      <c r="P1173">
        <v>327.22699999999998</v>
      </c>
    </row>
    <row r="1174" spans="1:16" hidden="1" x14ac:dyDescent="0.25">
      <c r="A1174" s="22">
        <v>43133</v>
      </c>
      <c r="B1174" t="s">
        <v>291</v>
      </c>
      <c r="C1174" t="s">
        <v>23</v>
      </c>
      <c r="D1174">
        <v>723</v>
      </c>
      <c r="E1174">
        <v>152.35</v>
      </c>
      <c r="F1174">
        <v>110149.05</v>
      </c>
      <c r="G1174" t="s">
        <v>293</v>
      </c>
      <c r="H1174">
        <v>2018024</v>
      </c>
      <c r="I1174" t="s">
        <v>19</v>
      </c>
      <c r="J1174" t="s">
        <v>1526</v>
      </c>
      <c r="K1174" t="s">
        <v>25</v>
      </c>
      <c r="L1174">
        <v>111.16</v>
      </c>
      <c r="M1174">
        <v>3.58</v>
      </c>
      <c r="N1174">
        <v>0</v>
      </c>
      <c r="O1174">
        <v>715.5</v>
      </c>
      <c r="P1174">
        <v>830.23990000000003</v>
      </c>
    </row>
    <row r="1175" spans="1:16" hidden="1" x14ac:dyDescent="0.25">
      <c r="A1175" s="22">
        <v>43131</v>
      </c>
      <c r="B1175" t="s">
        <v>291</v>
      </c>
      <c r="C1175" t="s">
        <v>17</v>
      </c>
      <c r="D1175">
        <v>1000</v>
      </c>
      <c r="E1175">
        <v>169</v>
      </c>
      <c r="F1175">
        <v>169000</v>
      </c>
      <c r="G1175" t="s">
        <v>294</v>
      </c>
      <c r="H1175">
        <v>2018022</v>
      </c>
      <c r="I1175" t="s">
        <v>19</v>
      </c>
      <c r="J1175" t="s">
        <v>1526</v>
      </c>
      <c r="K1175" t="s">
        <v>25</v>
      </c>
      <c r="L1175">
        <v>169</v>
      </c>
      <c r="M1175">
        <v>5.49</v>
      </c>
      <c r="N1175">
        <v>0</v>
      </c>
      <c r="O1175">
        <v>1097.8</v>
      </c>
      <c r="P1175">
        <v>1272.2925</v>
      </c>
    </row>
    <row r="1176" spans="1:16" hidden="1" x14ac:dyDescent="0.25">
      <c r="A1176" s="22">
        <v>43131</v>
      </c>
      <c r="B1176" t="s">
        <v>26</v>
      </c>
      <c r="C1176" t="s">
        <v>17</v>
      </c>
      <c r="D1176">
        <v>1000</v>
      </c>
      <c r="E1176">
        <v>129</v>
      </c>
      <c r="F1176">
        <v>129000</v>
      </c>
      <c r="G1176" t="s">
        <v>295</v>
      </c>
      <c r="H1176">
        <v>2018022</v>
      </c>
      <c r="I1176" t="s">
        <v>19</v>
      </c>
      <c r="J1176" t="s">
        <v>1526</v>
      </c>
      <c r="K1176" t="s">
        <v>25</v>
      </c>
      <c r="L1176">
        <v>129</v>
      </c>
      <c r="M1176">
        <v>4.1900000000000004</v>
      </c>
      <c r="N1176">
        <v>9</v>
      </c>
      <c r="O1176">
        <v>837.96</v>
      </c>
      <c r="P1176">
        <v>980.15250000000003</v>
      </c>
    </row>
    <row r="1177" spans="1:16" hidden="1" x14ac:dyDescent="0.25">
      <c r="A1177" s="22">
        <v>43129</v>
      </c>
      <c r="B1177" t="s">
        <v>296</v>
      </c>
      <c r="C1177" t="s">
        <v>17</v>
      </c>
      <c r="D1177">
        <v>500</v>
      </c>
      <c r="E1177">
        <v>59.5</v>
      </c>
      <c r="F1177">
        <v>29750</v>
      </c>
      <c r="G1177" t="s">
        <v>297</v>
      </c>
      <c r="H1177">
        <v>201718208</v>
      </c>
      <c r="I1177" t="s">
        <v>19</v>
      </c>
      <c r="J1177" t="s">
        <v>20</v>
      </c>
      <c r="K1177" t="s">
        <v>21</v>
      </c>
      <c r="L1177">
        <v>30</v>
      </c>
      <c r="M1177">
        <v>0.65</v>
      </c>
      <c r="N1177">
        <v>0.9</v>
      </c>
      <c r="O1177">
        <v>193.2</v>
      </c>
      <c r="P1177">
        <v>224.75460000000001</v>
      </c>
    </row>
    <row r="1178" spans="1:16" hidden="1" x14ac:dyDescent="0.25">
      <c r="A1178" s="22">
        <v>43129</v>
      </c>
      <c r="B1178" t="s">
        <v>279</v>
      </c>
      <c r="C1178" t="s">
        <v>17</v>
      </c>
      <c r="D1178">
        <v>500</v>
      </c>
      <c r="E1178">
        <v>455.9</v>
      </c>
      <c r="F1178">
        <v>227950</v>
      </c>
      <c r="G1178" t="s">
        <v>298</v>
      </c>
      <c r="H1178">
        <v>2018020</v>
      </c>
      <c r="I1178" t="s">
        <v>19</v>
      </c>
      <c r="J1178" t="s">
        <v>20</v>
      </c>
      <c r="K1178" t="s">
        <v>25</v>
      </c>
      <c r="L1178">
        <v>0</v>
      </c>
      <c r="M1178">
        <v>7.41</v>
      </c>
      <c r="N1178">
        <v>13.8</v>
      </c>
      <c r="O1178">
        <v>135.82</v>
      </c>
      <c r="P1178">
        <v>157.02850000000001</v>
      </c>
    </row>
    <row r="1179" spans="1:16" hidden="1" x14ac:dyDescent="0.25">
      <c r="A1179" s="22">
        <v>43129</v>
      </c>
      <c r="B1179" t="s">
        <v>279</v>
      </c>
      <c r="C1179" t="s">
        <v>23</v>
      </c>
      <c r="D1179">
        <v>500</v>
      </c>
      <c r="E1179">
        <v>451</v>
      </c>
      <c r="F1179">
        <v>225500</v>
      </c>
      <c r="G1179" t="s">
        <v>299</v>
      </c>
      <c r="H1179">
        <v>2018020</v>
      </c>
      <c r="I1179" t="s">
        <v>19</v>
      </c>
      <c r="J1179" t="s">
        <v>20</v>
      </c>
      <c r="K1179" t="s">
        <v>25</v>
      </c>
      <c r="L1179">
        <v>57</v>
      </c>
      <c r="M1179">
        <v>7.33</v>
      </c>
      <c r="N1179">
        <v>0</v>
      </c>
      <c r="O1179">
        <v>134.36000000000001</v>
      </c>
      <c r="P1179">
        <v>198.68879999999999</v>
      </c>
    </row>
    <row r="1180" spans="1:16" hidden="1" x14ac:dyDescent="0.25">
      <c r="A1180" s="22">
        <v>43125</v>
      </c>
      <c r="B1180" t="s">
        <v>268</v>
      </c>
      <c r="C1180" t="s">
        <v>23</v>
      </c>
      <c r="D1180">
        <v>1000</v>
      </c>
      <c r="E1180">
        <v>320</v>
      </c>
      <c r="F1180">
        <v>320000</v>
      </c>
      <c r="G1180" t="s">
        <v>269</v>
      </c>
      <c r="H1180">
        <v>2018019</v>
      </c>
      <c r="I1180" t="s">
        <v>19</v>
      </c>
      <c r="J1180" t="s">
        <v>20</v>
      </c>
      <c r="K1180" t="s">
        <v>25</v>
      </c>
      <c r="L1180">
        <v>80.88</v>
      </c>
      <c r="M1180">
        <v>10.4</v>
      </c>
      <c r="N1180">
        <v>0</v>
      </c>
      <c r="O1180">
        <v>190.67</v>
      </c>
      <c r="P1180">
        <v>281.95</v>
      </c>
    </row>
    <row r="1181" spans="1:16" hidden="1" x14ac:dyDescent="0.25">
      <c r="A1181" s="22">
        <v>43125</v>
      </c>
      <c r="B1181" t="s">
        <v>270</v>
      </c>
      <c r="C1181" t="s">
        <v>23</v>
      </c>
      <c r="D1181">
        <v>1000</v>
      </c>
      <c r="E1181">
        <v>171</v>
      </c>
      <c r="F1181">
        <v>171000</v>
      </c>
      <c r="G1181" t="s">
        <v>271</v>
      </c>
      <c r="H1181">
        <v>2018019</v>
      </c>
      <c r="I1181" t="s">
        <v>19</v>
      </c>
      <c r="J1181" t="s">
        <v>20</v>
      </c>
      <c r="K1181" t="s">
        <v>25</v>
      </c>
      <c r="L1181">
        <v>43.62</v>
      </c>
      <c r="M1181">
        <v>5.56</v>
      </c>
      <c r="N1181">
        <v>33.299999999999997</v>
      </c>
      <c r="O1181">
        <v>101.89</v>
      </c>
      <c r="P1181">
        <v>184.36760000000001</v>
      </c>
    </row>
    <row r="1182" spans="1:16" hidden="1" x14ac:dyDescent="0.25">
      <c r="A1182" s="22">
        <v>43125</v>
      </c>
      <c r="B1182" t="s">
        <v>29</v>
      </c>
      <c r="C1182" t="s">
        <v>17</v>
      </c>
      <c r="D1182">
        <v>5000</v>
      </c>
      <c r="E1182">
        <v>22.9</v>
      </c>
      <c r="F1182">
        <v>114500</v>
      </c>
      <c r="G1182" t="s">
        <v>272</v>
      </c>
      <c r="H1182">
        <v>2018019</v>
      </c>
      <c r="I1182" t="s">
        <v>19</v>
      </c>
      <c r="J1182" t="s">
        <v>20</v>
      </c>
      <c r="K1182" t="s">
        <v>25</v>
      </c>
      <c r="L1182">
        <v>114.5</v>
      </c>
      <c r="M1182">
        <v>3.72</v>
      </c>
      <c r="N1182">
        <v>0</v>
      </c>
      <c r="O1182">
        <v>743.77</v>
      </c>
      <c r="P1182">
        <v>861.99130000000002</v>
      </c>
    </row>
    <row r="1183" spans="1:16" hidden="1" x14ac:dyDescent="0.25">
      <c r="A1183" s="22">
        <v>43125</v>
      </c>
      <c r="B1183" t="s">
        <v>270</v>
      </c>
      <c r="C1183" t="s">
        <v>17</v>
      </c>
      <c r="D1183">
        <v>1000</v>
      </c>
      <c r="E1183">
        <v>176</v>
      </c>
      <c r="F1183">
        <v>176000</v>
      </c>
      <c r="G1183" t="s">
        <v>273</v>
      </c>
      <c r="H1183">
        <v>2018019</v>
      </c>
      <c r="I1183" t="s">
        <v>19</v>
      </c>
      <c r="J1183" t="s">
        <v>20</v>
      </c>
      <c r="K1183" t="s">
        <v>25</v>
      </c>
      <c r="L1183">
        <v>0</v>
      </c>
      <c r="M1183">
        <v>5.72</v>
      </c>
      <c r="N1183">
        <v>0</v>
      </c>
      <c r="O1183">
        <v>104.87</v>
      </c>
      <c r="P1183">
        <v>110.59</v>
      </c>
    </row>
    <row r="1184" spans="1:16" hidden="1" x14ac:dyDescent="0.25">
      <c r="A1184" s="22">
        <v>43125</v>
      </c>
      <c r="B1184" t="s">
        <v>268</v>
      </c>
      <c r="C1184" t="s">
        <v>17</v>
      </c>
      <c r="D1184">
        <v>1000</v>
      </c>
      <c r="E1184">
        <v>327</v>
      </c>
      <c r="F1184">
        <v>327000</v>
      </c>
      <c r="G1184" t="s">
        <v>274</v>
      </c>
      <c r="H1184">
        <v>2018019</v>
      </c>
      <c r="I1184" t="s">
        <v>19</v>
      </c>
      <c r="J1184" t="s">
        <v>20</v>
      </c>
      <c r="K1184" t="s">
        <v>25</v>
      </c>
      <c r="L1184">
        <v>0</v>
      </c>
      <c r="M1184">
        <v>10.63</v>
      </c>
      <c r="N1184">
        <v>0</v>
      </c>
      <c r="O1184">
        <v>194.84</v>
      </c>
      <c r="P1184">
        <v>205.4675</v>
      </c>
    </row>
    <row r="1185" spans="1:16" hidden="1" x14ac:dyDescent="0.25">
      <c r="A1185" s="22">
        <v>43123</v>
      </c>
      <c r="B1185" t="s">
        <v>245</v>
      </c>
      <c r="C1185" t="s">
        <v>23</v>
      </c>
      <c r="D1185">
        <v>1000</v>
      </c>
      <c r="E1185">
        <v>100.98</v>
      </c>
      <c r="F1185">
        <v>100979.45</v>
      </c>
      <c r="G1185" t="s">
        <v>275</v>
      </c>
      <c r="H1185">
        <v>2018017</v>
      </c>
      <c r="I1185" t="s">
        <v>19</v>
      </c>
      <c r="J1185" t="s">
        <v>1526</v>
      </c>
      <c r="K1185" t="s">
        <v>25</v>
      </c>
      <c r="L1185">
        <v>100.89</v>
      </c>
      <c r="M1185">
        <v>3.28</v>
      </c>
      <c r="N1185">
        <v>49.5</v>
      </c>
      <c r="O1185">
        <v>655.95</v>
      </c>
      <c r="P1185">
        <v>809.62170000000003</v>
      </c>
    </row>
    <row r="1186" spans="1:16" hidden="1" x14ac:dyDescent="0.25">
      <c r="A1186" s="22">
        <v>43123</v>
      </c>
      <c r="B1186" t="s">
        <v>276</v>
      </c>
      <c r="C1186" t="s">
        <v>17</v>
      </c>
      <c r="D1186">
        <v>2500</v>
      </c>
      <c r="E1186">
        <v>120</v>
      </c>
      <c r="F1186">
        <v>300000</v>
      </c>
      <c r="G1186" t="s">
        <v>277</v>
      </c>
      <c r="H1186">
        <v>2018017</v>
      </c>
      <c r="I1186" t="s">
        <v>19</v>
      </c>
      <c r="J1186" t="s">
        <v>20</v>
      </c>
      <c r="K1186" t="s">
        <v>25</v>
      </c>
      <c r="L1186">
        <v>0</v>
      </c>
      <c r="M1186">
        <v>9.75</v>
      </c>
      <c r="N1186">
        <v>0</v>
      </c>
      <c r="O1186">
        <v>178.75</v>
      </c>
      <c r="P1186">
        <v>188.5</v>
      </c>
    </row>
    <row r="1187" spans="1:16" hidden="1" x14ac:dyDescent="0.25">
      <c r="A1187" s="22">
        <v>43123</v>
      </c>
      <c r="B1187" t="s">
        <v>276</v>
      </c>
      <c r="C1187" t="s">
        <v>23</v>
      </c>
      <c r="D1187">
        <v>2500</v>
      </c>
      <c r="E1187">
        <v>118.26</v>
      </c>
      <c r="F1187">
        <v>295649.8</v>
      </c>
      <c r="G1187" t="s">
        <v>278</v>
      </c>
      <c r="H1187">
        <v>2018017</v>
      </c>
      <c r="I1187" t="s">
        <v>19</v>
      </c>
      <c r="J1187" t="s">
        <v>20</v>
      </c>
      <c r="K1187" t="s">
        <v>25</v>
      </c>
      <c r="L1187">
        <v>74.459999999999994</v>
      </c>
      <c r="M1187">
        <v>9.61</v>
      </c>
      <c r="N1187">
        <v>0</v>
      </c>
      <c r="O1187">
        <v>176.13</v>
      </c>
      <c r="P1187">
        <v>260.19830000000002</v>
      </c>
    </row>
    <row r="1188" spans="1:16" hidden="1" x14ac:dyDescent="0.25">
      <c r="A1188" s="22">
        <v>43123</v>
      </c>
      <c r="B1188" t="s">
        <v>279</v>
      </c>
      <c r="C1188" t="s">
        <v>17</v>
      </c>
      <c r="D1188">
        <v>1000</v>
      </c>
      <c r="E1188">
        <v>481</v>
      </c>
      <c r="F1188">
        <v>481000</v>
      </c>
      <c r="G1188" t="s">
        <v>280</v>
      </c>
      <c r="H1188">
        <v>2018017</v>
      </c>
      <c r="I1188" t="s">
        <v>19</v>
      </c>
      <c r="J1188" t="s">
        <v>20</v>
      </c>
      <c r="K1188" t="s">
        <v>25</v>
      </c>
      <c r="L1188">
        <v>0</v>
      </c>
      <c r="M1188">
        <v>15.63</v>
      </c>
      <c r="N1188">
        <v>0</v>
      </c>
      <c r="O1188">
        <v>286.61</v>
      </c>
      <c r="P1188">
        <v>302.24250000000001</v>
      </c>
    </row>
    <row r="1189" spans="1:16" hidden="1" x14ac:dyDescent="0.25">
      <c r="A1189" s="22">
        <v>43123</v>
      </c>
      <c r="B1189" t="s">
        <v>279</v>
      </c>
      <c r="C1189" t="s">
        <v>23</v>
      </c>
      <c r="D1189">
        <v>1000</v>
      </c>
      <c r="E1189">
        <v>468.2</v>
      </c>
      <c r="F1189">
        <v>468195.2</v>
      </c>
      <c r="G1189" t="s">
        <v>281</v>
      </c>
      <c r="H1189">
        <v>2018017</v>
      </c>
      <c r="I1189" t="s">
        <v>19</v>
      </c>
      <c r="J1189" t="s">
        <v>20</v>
      </c>
      <c r="K1189" t="s">
        <v>25</v>
      </c>
      <c r="L1189">
        <v>118.65</v>
      </c>
      <c r="M1189">
        <v>15.22</v>
      </c>
      <c r="N1189">
        <v>0</v>
      </c>
      <c r="O1189">
        <v>278.98</v>
      </c>
      <c r="P1189">
        <v>412.84620000000001</v>
      </c>
    </row>
    <row r="1190" spans="1:16" hidden="1" x14ac:dyDescent="0.25">
      <c r="A1190" s="22">
        <v>43122</v>
      </c>
      <c r="B1190" t="s">
        <v>251</v>
      </c>
      <c r="C1190" t="s">
        <v>17</v>
      </c>
      <c r="D1190">
        <v>1000</v>
      </c>
      <c r="E1190">
        <v>250.79</v>
      </c>
      <c r="F1190">
        <v>250788.3</v>
      </c>
      <c r="G1190" t="s">
        <v>252</v>
      </c>
      <c r="H1190">
        <v>2018016</v>
      </c>
      <c r="I1190" t="s">
        <v>19</v>
      </c>
      <c r="J1190" t="s">
        <v>20</v>
      </c>
      <c r="K1190" t="s">
        <v>25</v>
      </c>
      <c r="L1190">
        <v>0</v>
      </c>
      <c r="M1190">
        <v>8.15</v>
      </c>
      <c r="N1190">
        <v>15</v>
      </c>
      <c r="O1190">
        <v>149.43</v>
      </c>
      <c r="P1190">
        <v>172.58070000000001</v>
      </c>
    </row>
    <row r="1191" spans="1:16" hidden="1" x14ac:dyDescent="0.25">
      <c r="A1191" s="22">
        <v>43122</v>
      </c>
      <c r="B1191" t="s">
        <v>251</v>
      </c>
      <c r="C1191" t="s">
        <v>23</v>
      </c>
      <c r="D1191">
        <v>1000</v>
      </c>
      <c r="E1191">
        <v>241.76</v>
      </c>
      <c r="F1191">
        <v>241762.5</v>
      </c>
      <c r="G1191" t="s">
        <v>253</v>
      </c>
      <c r="H1191">
        <v>2018016</v>
      </c>
      <c r="I1191" t="s">
        <v>19</v>
      </c>
      <c r="J1191" t="s">
        <v>20</v>
      </c>
      <c r="K1191" t="s">
        <v>25</v>
      </c>
      <c r="L1191">
        <v>62</v>
      </c>
      <c r="M1191">
        <v>7.86</v>
      </c>
      <c r="N1191">
        <v>0</v>
      </c>
      <c r="O1191">
        <v>144.06</v>
      </c>
      <c r="P1191">
        <v>213.91739999999999</v>
      </c>
    </row>
    <row r="1192" spans="1:16" hidden="1" x14ac:dyDescent="0.25">
      <c r="A1192" s="22">
        <v>43119</v>
      </c>
      <c r="B1192" t="s">
        <v>128</v>
      </c>
      <c r="C1192" t="s">
        <v>17</v>
      </c>
      <c r="D1192">
        <v>1000</v>
      </c>
      <c r="E1192">
        <v>434.14</v>
      </c>
      <c r="F1192">
        <v>434142.5</v>
      </c>
      <c r="G1192" t="s">
        <v>254</v>
      </c>
      <c r="H1192">
        <v>2018015</v>
      </c>
      <c r="I1192" t="s">
        <v>19</v>
      </c>
      <c r="J1192" t="s">
        <v>20</v>
      </c>
      <c r="K1192" t="s">
        <v>25</v>
      </c>
      <c r="L1192">
        <v>0</v>
      </c>
      <c r="M1192">
        <v>14.11</v>
      </c>
      <c r="N1192">
        <v>191.7</v>
      </c>
      <c r="O1192">
        <v>258.68</v>
      </c>
      <c r="P1192">
        <v>464.48970000000003</v>
      </c>
    </row>
    <row r="1193" spans="1:16" hidden="1" x14ac:dyDescent="0.25">
      <c r="A1193" s="22">
        <v>43119</v>
      </c>
      <c r="B1193" t="s">
        <v>128</v>
      </c>
      <c r="C1193" t="s">
        <v>23</v>
      </c>
      <c r="D1193">
        <v>1000</v>
      </c>
      <c r="E1193">
        <v>425.86</v>
      </c>
      <c r="F1193">
        <v>425860.9</v>
      </c>
      <c r="G1193" t="s">
        <v>255</v>
      </c>
      <c r="H1193">
        <v>2018015</v>
      </c>
      <c r="I1193" t="s">
        <v>19</v>
      </c>
      <c r="J1193" t="s">
        <v>20</v>
      </c>
      <c r="K1193" t="s">
        <v>25</v>
      </c>
      <c r="L1193">
        <v>107.95</v>
      </c>
      <c r="M1193">
        <v>13.84</v>
      </c>
      <c r="N1193">
        <v>0</v>
      </c>
      <c r="O1193">
        <v>253.76</v>
      </c>
      <c r="P1193">
        <v>375.5505</v>
      </c>
    </row>
    <row r="1194" spans="1:16" hidden="1" x14ac:dyDescent="0.25">
      <c r="A1194" s="22">
        <v>43119</v>
      </c>
      <c r="B1194" t="s">
        <v>256</v>
      </c>
      <c r="C1194" t="s">
        <v>17</v>
      </c>
      <c r="D1194">
        <v>1000</v>
      </c>
      <c r="E1194">
        <v>580</v>
      </c>
      <c r="F1194">
        <v>580000</v>
      </c>
      <c r="G1194" t="s">
        <v>257</v>
      </c>
      <c r="H1194">
        <v>2018015</v>
      </c>
      <c r="I1194" t="s">
        <v>19</v>
      </c>
      <c r="J1194" t="s">
        <v>20</v>
      </c>
      <c r="K1194" t="s">
        <v>25</v>
      </c>
      <c r="L1194">
        <v>0</v>
      </c>
      <c r="M1194">
        <v>18.850000000000001</v>
      </c>
      <c r="N1194">
        <v>0</v>
      </c>
      <c r="O1194">
        <v>345.6</v>
      </c>
      <c r="P1194">
        <v>364.45</v>
      </c>
    </row>
    <row r="1195" spans="1:16" hidden="1" x14ac:dyDescent="0.25">
      <c r="A1195" s="22">
        <v>43119</v>
      </c>
      <c r="B1195" t="s">
        <v>256</v>
      </c>
      <c r="C1195" t="s">
        <v>23</v>
      </c>
      <c r="D1195">
        <v>1000</v>
      </c>
      <c r="E1195">
        <v>580.65</v>
      </c>
      <c r="F1195">
        <v>580650</v>
      </c>
      <c r="G1195" t="s">
        <v>258</v>
      </c>
      <c r="H1195">
        <v>2018015</v>
      </c>
      <c r="I1195" t="s">
        <v>19</v>
      </c>
      <c r="J1195" t="s">
        <v>20</v>
      </c>
      <c r="K1195" t="s">
        <v>25</v>
      </c>
      <c r="L1195">
        <v>145.66999999999999</v>
      </c>
      <c r="M1195">
        <v>18.87</v>
      </c>
      <c r="N1195">
        <v>0</v>
      </c>
      <c r="O1195">
        <v>345.98</v>
      </c>
      <c r="P1195">
        <v>510.52109999999999</v>
      </c>
    </row>
    <row r="1196" spans="1:16" hidden="1" x14ac:dyDescent="0.25">
      <c r="A1196" s="22">
        <v>43119</v>
      </c>
      <c r="B1196" t="s">
        <v>256</v>
      </c>
      <c r="C1196" t="s">
        <v>17</v>
      </c>
      <c r="D1196">
        <v>737</v>
      </c>
      <c r="E1196">
        <v>579</v>
      </c>
      <c r="F1196">
        <v>426723</v>
      </c>
      <c r="G1196" t="s">
        <v>259</v>
      </c>
      <c r="H1196">
        <v>2018015</v>
      </c>
      <c r="I1196" t="s">
        <v>19</v>
      </c>
      <c r="J1196" t="s">
        <v>20</v>
      </c>
      <c r="K1196" t="s">
        <v>25</v>
      </c>
      <c r="L1196">
        <v>0</v>
      </c>
      <c r="M1196">
        <v>13.87</v>
      </c>
      <c r="N1196">
        <v>0</v>
      </c>
      <c r="O1196">
        <v>254.26</v>
      </c>
      <c r="P1196">
        <v>268.12860000000001</v>
      </c>
    </row>
    <row r="1197" spans="1:16" hidden="1" x14ac:dyDescent="0.25">
      <c r="A1197" s="22">
        <v>43119</v>
      </c>
      <c r="B1197" t="s">
        <v>256</v>
      </c>
      <c r="C1197" t="s">
        <v>23</v>
      </c>
      <c r="D1197">
        <v>737</v>
      </c>
      <c r="E1197">
        <v>580</v>
      </c>
      <c r="F1197">
        <v>427460</v>
      </c>
      <c r="G1197" t="s">
        <v>260</v>
      </c>
      <c r="H1197">
        <v>2018015</v>
      </c>
      <c r="I1197" t="s">
        <v>19</v>
      </c>
      <c r="J1197" t="s">
        <v>20</v>
      </c>
      <c r="K1197" t="s">
        <v>25</v>
      </c>
      <c r="L1197">
        <v>107.36</v>
      </c>
      <c r="M1197">
        <v>13.89</v>
      </c>
      <c r="N1197">
        <v>0</v>
      </c>
      <c r="O1197">
        <v>254.7</v>
      </c>
      <c r="P1197">
        <v>375.95249999999999</v>
      </c>
    </row>
    <row r="1198" spans="1:16" hidden="1" x14ac:dyDescent="0.25">
      <c r="A1198" s="22">
        <v>43119</v>
      </c>
      <c r="B1198" t="s">
        <v>256</v>
      </c>
      <c r="C1198" t="s">
        <v>17</v>
      </c>
      <c r="D1198">
        <v>1000</v>
      </c>
      <c r="E1198">
        <v>579.75</v>
      </c>
      <c r="F1198">
        <v>579750</v>
      </c>
      <c r="G1198" t="s">
        <v>261</v>
      </c>
      <c r="H1198">
        <v>2018015</v>
      </c>
      <c r="I1198" t="s">
        <v>19</v>
      </c>
      <c r="J1198" t="s">
        <v>20</v>
      </c>
      <c r="K1198" t="s">
        <v>25</v>
      </c>
      <c r="L1198">
        <v>0</v>
      </c>
      <c r="M1198">
        <v>18.84</v>
      </c>
      <c r="N1198">
        <v>0</v>
      </c>
      <c r="O1198">
        <v>345.44</v>
      </c>
      <c r="P1198">
        <v>364.28179999999998</v>
      </c>
    </row>
    <row r="1199" spans="1:16" hidden="1" x14ac:dyDescent="0.25">
      <c r="A1199" s="22">
        <v>43119</v>
      </c>
      <c r="B1199" t="s">
        <v>256</v>
      </c>
      <c r="C1199" t="s">
        <v>23</v>
      </c>
      <c r="D1199">
        <v>730</v>
      </c>
      <c r="E1199">
        <v>581</v>
      </c>
      <c r="F1199">
        <v>424130</v>
      </c>
      <c r="G1199" t="s">
        <v>262</v>
      </c>
      <c r="H1199">
        <v>2018015</v>
      </c>
      <c r="I1199" t="s">
        <v>19</v>
      </c>
      <c r="J1199" t="s">
        <v>20</v>
      </c>
      <c r="K1199" t="s">
        <v>25</v>
      </c>
      <c r="L1199">
        <v>106.34</v>
      </c>
      <c r="M1199">
        <v>13.78</v>
      </c>
      <c r="N1199">
        <v>0</v>
      </c>
      <c r="O1199">
        <v>252.72</v>
      </c>
      <c r="P1199">
        <v>372.84429999999998</v>
      </c>
    </row>
    <row r="1200" spans="1:16" hidden="1" x14ac:dyDescent="0.25">
      <c r="A1200" s="22">
        <v>43119</v>
      </c>
      <c r="B1200" t="s">
        <v>256</v>
      </c>
      <c r="C1200" t="s">
        <v>23</v>
      </c>
      <c r="D1200">
        <v>270</v>
      </c>
      <c r="E1200">
        <v>581.5</v>
      </c>
      <c r="F1200">
        <v>157005</v>
      </c>
      <c r="G1200" t="s">
        <v>263</v>
      </c>
      <c r="H1200">
        <v>2018015</v>
      </c>
      <c r="I1200" t="s">
        <v>19</v>
      </c>
      <c r="J1200" t="s">
        <v>20</v>
      </c>
      <c r="K1200" t="s">
        <v>25</v>
      </c>
      <c r="L1200">
        <v>39.33</v>
      </c>
      <c r="M1200">
        <v>5.0999999999999996</v>
      </c>
      <c r="N1200">
        <v>0</v>
      </c>
      <c r="O1200">
        <v>93.55</v>
      </c>
      <c r="P1200">
        <v>137.98269999999999</v>
      </c>
    </row>
    <row r="1201" spans="1:16" hidden="1" x14ac:dyDescent="0.25">
      <c r="A1201" s="22">
        <v>43119</v>
      </c>
      <c r="B1201" t="s">
        <v>256</v>
      </c>
      <c r="C1201" t="s">
        <v>17</v>
      </c>
      <c r="D1201">
        <v>1000</v>
      </c>
      <c r="E1201">
        <v>585.5</v>
      </c>
      <c r="F1201">
        <v>585500</v>
      </c>
      <c r="G1201" t="s">
        <v>264</v>
      </c>
      <c r="H1201">
        <v>2018015</v>
      </c>
      <c r="I1201" t="s">
        <v>19</v>
      </c>
      <c r="J1201" t="s">
        <v>20</v>
      </c>
      <c r="K1201" t="s">
        <v>25</v>
      </c>
      <c r="L1201">
        <v>0</v>
      </c>
      <c r="M1201">
        <v>19.03</v>
      </c>
      <c r="N1201">
        <v>0</v>
      </c>
      <c r="O1201">
        <v>348.87</v>
      </c>
      <c r="P1201">
        <v>367.89879999999999</v>
      </c>
    </row>
    <row r="1202" spans="1:16" hidden="1" x14ac:dyDescent="0.25">
      <c r="A1202" s="22">
        <v>43119</v>
      </c>
      <c r="B1202" t="s">
        <v>256</v>
      </c>
      <c r="C1202" t="s">
        <v>23</v>
      </c>
      <c r="D1202">
        <v>1000</v>
      </c>
      <c r="E1202">
        <v>587</v>
      </c>
      <c r="F1202">
        <v>587000</v>
      </c>
      <c r="G1202" t="s">
        <v>265</v>
      </c>
      <c r="H1202">
        <v>2018015</v>
      </c>
      <c r="I1202" t="s">
        <v>19</v>
      </c>
      <c r="J1202" t="s">
        <v>20</v>
      </c>
      <c r="K1202" t="s">
        <v>25</v>
      </c>
      <c r="L1202">
        <v>145.66999999999999</v>
      </c>
      <c r="M1202">
        <v>19.079999999999998</v>
      </c>
      <c r="N1202">
        <v>0</v>
      </c>
      <c r="O1202">
        <v>349.76</v>
      </c>
      <c r="P1202">
        <v>514.50750000000005</v>
      </c>
    </row>
    <row r="1203" spans="1:16" hidden="1" x14ac:dyDescent="0.25">
      <c r="A1203" s="22">
        <v>43119</v>
      </c>
      <c r="B1203" t="s">
        <v>256</v>
      </c>
      <c r="C1203" t="s">
        <v>17</v>
      </c>
      <c r="D1203">
        <v>1000</v>
      </c>
      <c r="E1203">
        <v>586.5</v>
      </c>
      <c r="F1203">
        <v>586500</v>
      </c>
      <c r="G1203" t="s">
        <v>266</v>
      </c>
      <c r="H1203">
        <v>2018015</v>
      </c>
      <c r="I1203" t="s">
        <v>19</v>
      </c>
      <c r="J1203" t="s">
        <v>20</v>
      </c>
      <c r="K1203" t="s">
        <v>25</v>
      </c>
      <c r="L1203">
        <v>0</v>
      </c>
      <c r="M1203">
        <v>19.059999999999999</v>
      </c>
      <c r="N1203">
        <v>0</v>
      </c>
      <c r="O1203">
        <v>349.47</v>
      </c>
      <c r="P1203">
        <v>368.53129999999999</v>
      </c>
    </row>
    <row r="1204" spans="1:16" hidden="1" x14ac:dyDescent="0.25">
      <c r="A1204" s="22">
        <v>43119</v>
      </c>
      <c r="B1204" t="s">
        <v>256</v>
      </c>
      <c r="C1204" t="s">
        <v>23</v>
      </c>
      <c r="D1204">
        <v>1000</v>
      </c>
      <c r="E1204">
        <v>585.70000000000005</v>
      </c>
      <c r="F1204">
        <v>585696.9</v>
      </c>
      <c r="G1204" t="s">
        <v>267</v>
      </c>
      <c r="H1204">
        <v>2018015</v>
      </c>
      <c r="I1204" t="s">
        <v>19</v>
      </c>
      <c r="J1204" t="s">
        <v>20</v>
      </c>
      <c r="K1204" t="s">
        <v>25</v>
      </c>
      <c r="L1204">
        <v>145.66999999999999</v>
      </c>
      <c r="M1204">
        <v>19.04</v>
      </c>
      <c r="N1204">
        <v>0</v>
      </c>
      <c r="O1204">
        <v>348.99</v>
      </c>
      <c r="P1204">
        <v>513.69510000000002</v>
      </c>
    </row>
    <row r="1205" spans="1:16" hidden="1" x14ac:dyDescent="0.25">
      <c r="A1205" s="22">
        <v>43118</v>
      </c>
      <c r="B1205" t="s">
        <v>245</v>
      </c>
      <c r="C1205" t="s">
        <v>17</v>
      </c>
      <c r="D1205">
        <v>1000</v>
      </c>
      <c r="E1205">
        <v>104.43</v>
      </c>
      <c r="F1205">
        <v>104426.8</v>
      </c>
      <c r="G1205" t="s">
        <v>246</v>
      </c>
      <c r="H1205">
        <v>2018014</v>
      </c>
      <c r="I1205" t="s">
        <v>19</v>
      </c>
      <c r="J1205" t="s">
        <v>1526</v>
      </c>
      <c r="K1205" t="s">
        <v>25</v>
      </c>
      <c r="L1205">
        <v>104.43</v>
      </c>
      <c r="M1205">
        <v>3.39</v>
      </c>
      <c r="N1205">
        <v>0</v>
      </c>
      <c r="O1205">
        <v>678.34</v>
      </c>
      <c r="P1205">
        <v>786.16390000000001</v>
      </c>
    </row>
    <row r="1206" spans="1:16" hidden="1" x14ac:dyDescent="0.25">
      <c r="A1206" s="22">
        <v>43118</v>
      </c>
      <c r="B1206" t="s">
        <v>247</v>
      </c>
      <c r="C1206" t="s">
        <v>17</v>
      </c>
      <c r="D1206">
        <v>1000</v>
      </c>
      <c r="E1206">
        <v>415.95</v>
      </c>
      <c r="F1206">
        <v>415948.75</v>
      </c>
      <c r="G1206" t="s">
        <v>248</v>
      </c>
      <c r="H1206">
        <v>2018014</v>
      </c>
      <c r="I1206" t="s">
        <v>19</v>
      </c>
      <c r="J1206" t="s">
        <v>20</v>
      </c>
      <c r="K1206" t="s">
        <v>25</v>
      </c>
      <c r="L1206">
        <v>0</v>
      </c>
      <c r="M1206">
        <v>13.52</v>
      </c>
      <c r="N1206">
        <v>0</v>
      </c>
      <c r="O1206">
        <v>247.85</v>
      </c>
      <c r="P1206">
        <v>261.36829999999998</v>
      </c>
    </row>
    <row r="1207" spans="1:16" hidden="1" x14ac:dyDescent="0.25">
      <c r="A1207" s="22">
        <v>43118</v>
      </c>
      <c r="B1207" t="s">
        <v>247</v>
      </c>
      <c r="C1207" t="s">
        <v>23</v>
      </c>
      <c r="D1207">
        <v>1000</v>
      </c>
      <c r="E1207">
        <v>410.55</v>
      </c>
      <c r="F1207">
        <v>410550.55</v>
      </c>
      <c r="G1207" t="s">
        <v>249</v>
      </c>
      <c r="H1207">
        <v>2018014</v>
      </c>
      <c r="I1207" t="s">
        <v>19</v>
      </c>
      <c r="J1207" t="s">
        <v>20</v>
      </c>
      <c r="K1207" t="s">
        <v>25</v>
      </c>
      <c r="L1207">
        <v>103.31</v>
      </c>
      <c r="M1207">
        <v>13.34</v>
      </c>
      <c r="N1207">
        <v>0</v>
      </c>
      <c r="O1207">
        <v>244.61</v>
      </c>
      <c r="P1207">
        <v>361.2629</v>
      </c>
    </row>
    <row r="1208" spans="1:16" hidden="1" x14ac:dyDescent="0.25">
      <c r="A1208" s="22">
        <v>43118</v>
      </c>
      <c r="B1208" t="s">
        <v>226</v>
      </c>
      <c r="C1208" t="s">
        <v>23</v>
      </c>
      <c r="D1208">
        <v>1000</v>
      </c>
      <c r="E1208">
        <v>597.57000000000005</v>
      </c>
      <c r="F1208">
        <v>597570.6</v>
      </c>
      <c r="G1208" t="s">
        <v>250</v>
      </c>
      <c r="H1208">
        <v>2018014</v>
      </c>
      <c r="I1208" t="s">
        <v>19</v>
      </c>
      <c r="J1208" t="s">
        <v>1526</v>
      </c>
      <c r="K1208" t="s">
        <v>25</v>
      </c>
      <c r="L1208">
        <v>597.26</v>
      </c>
      <c r="M1208">
        <v>19.420000000000002</v>
      </c>
      <c r="N1208">
        <v>45.9</v>
      </c>
      <c r="O1208">
        <v>3881.72</v>
      </c>
      <c r="P1208">
        <v>4544.3009000000002</v>
      </c>
    </row>
    <row r="1209" spans="1:16" hidden="1" x14ac:dyDescent="0.25">
      <c r="A1209" s="22">
        <v>43117</v>
      </c>
      <c r="B1209" t="s">
        <v>128</v>
      </c>
      <c r="C1209" t="s">
        <v>23</v>
      </c>
      <c r="D1209">
        <v>1000</v>
      </c>
      <c r="E1209">
        <v>430.06</v>
      </c>
      <c r="F1209">
        <v>430060.45</v>
      </c>
      <c r="G1209" t="s">
        <v>220</v>
      </c>
      <c r="H1209">
        <v>2018013</v>
      </c>
      <c r="I1209" t="s">
        <v>19</v>
      </c>
      <c r="J1209" t="s">
        <v>1526</v>
      </c>
      <c r="K1209" t="s">
        <v>25</v>
      </c>
      <c r="L1209">
        <v>430.06</v>
      </c>
      <c r="M1209">
        <v>13.98</v>
      </c>
      <c r="N1209">
        <v>0</v>
      </c>
      <c r="O1209">
        <v>2793.61</v>
      </c>
      <c r="P1209">
        <v>3237.6471000000001</v>
      </c>
    </row>
    <row r="1210" spans="1:16" hidden="1" x14ac:dyDescent="0.25">
      <c r="A1210" s="22">
        <v>43117</v>
      </c>
      <c r="B1210" t="s">
        <v>177</v>
      </c>
      <c r="C1210" t="s">
        <v>23</v>
      </c>
      <c r="D1210">
        <v>2878</v>
      </c>
      <c r="E1210">
        <v>14.65</v>
      </c>
      <c r="F1210">
        <v>42162.7</v>
      </c>
      <c r="G1210" t="s">
        <v>221</v>
      </c>
      <c r="H1210">
        <v>2018013</v>
      </c>
      <c r="I1210" t="s">
        <v>19</v>
      </c>
      <c r="J1210" t="s">
        <v>1526</v>
      </c>
      <c r="K1210" t="s">
        <v>25</v>
      </c>
      <c r="L1210">
        <v>42.16</v>
      </c>
      <c r="M1210">
        <v>1.37</v>
      </c>
      <c r="N1210">
        <v>0</v>
      </c>
      <c r="O1210">
        <v>273.88</v>
      </c>
      <c r="P1210">
        <v>317.41019999999997</v>
      </c>
    </row>
    <row r="1211" spans="1:16" hidden="1" x14ac:dyDescent="0.25">
      <c r="A1211" s="22">
        <v>43117</v>
      </c>
      <c r="B1211" t="s">
        <v>190</v>
      </c>
      <c r="C1211" t="s">
        <v>23</v>
      </c>
      <c r="D1211">
        <v>5000</v>
      </c>
      <c r="E1211">
        <v>13.4</v>
      </c>
      <c r="F1211">
        <v>67000</v>
      </c>
      <c r="G1211" t="s">
        <v>222</v>
      </c>
      <c r="H1211">
        <v>2018013</v>
      </c>
      <c r="I1211" t="s">
        <v>140</v>
      </c>
      <c r="J1211" t="s">
        <v>20</v>
      </c>
      <c r="K1211" t="s">
        <v>25</v>
      </c>
      <c r="L1211">
        <v>67</v>
      </c>
      <c r="M1211">
        <v>2.1800000000000002</v>
      </c>
      <c r="N1211">
        <v>2.1</v>
      </c>
      <c r="O1211">
        <v>435.22</v>
      </c>
      <c r="P1211">
        <v>506.4975</v>
      </c>
    </row>
    <row r="1212" spans="1:16" hidden="1" x14ac:dyDescent="0.25">
      <c r="A1212" s="22">
        <v>43117</v>
      </c>
      <c r="B1212" t="s">
        <v>26</v>
      </c>
      <c r="C1212" t="s">
        <v>17</v>
      </c>
      <c r="D1212">
        <v>1000</v>
      </c>
      <c r="E1212">
        <v>150.35</v>
      </c>
      <c r="F1212">
        <v>150345.35</v>
      </c>
      <c r="G1212" t="s">
        <v>223</v>
      </c>
      <c r="H1212">
        <v>2018013</v>
      </c>
      <c r="I1212" t="s">
        <v>19</v>
      </c>
      <c r="J1212" t="s">
        <v>20</v>
      </c>
      <c r="K1212" t="s">
        <v>25</v>
      </c>
      <c r="L1212">
        <v>0</v>
      </c>
      <c r="M1212">
        <v>4.8899999999999997</v>
      </c>
      <c r="N1212">
        <v>0</v>
      </c>
      <c r="O1212">
        <v>89.58</v>
      </c>
      <c r="P1212">
        <v>94.466200000000001</v>
      </c>
    </row>
    <row r="1213" spans="1:16" hidden="1" x14ac:dyDescent="0.25">
      <c r="A1213" s="22">
        <v>43117</v>
      </c>
      <c r="B1213" t="s">
        <v>26</v>
      </c>
      <c r="C1213" t="s">
        <v>23</v>
      </c>
      <c r="D1213">
        <v>2500</v>
      </c>
      <c r="E1213">
        <v>148.38</v>
      </c>
      <c r="F1213">
        <v>370944.5</v>
      </c>
      <c r="G1213" t="s">
        <v>224</v>
      </c>
      <c r="H1213">
        <v>2018013</v>
      </c>
      <c r="I1213" t="s">
        <v>19</v>
      </c>
      <c r="J1213" t="s">
        <v>20</v>
      </c>
      <c r="K1213" t="s">
        <v>25</v>
      </c>
      <c r="L1213">
        <v>92.78</v>
      </c>
      <c r="M1213">
        <v>12.06</v>
      </c>
      <c r="N1213">
        <v>0</v>
      </c>
      <c r="O1213">
        <v>221.02</v>
      </c>
      <c r="P1213">
        <v>325.85550000000001</v>
      </c>
    </row>
    <row r="1214" spans="1:16" hidden="1" x14ac:dyDescent="0.25">
      <c r="A1214" s="22">
        <v>43117</v>
      </c>
      <c r="B1214" t="s">
        <v>26</v>
      </c>
      <c r="C1214" t="s">
        <v>17</v>
      </c>
      <c r="D1214">
        <v>1500</v>
      </c>
      <c r="E1214">
        <v>149.5</v>
      </c>
      <c r="F1214">
        <v>224250</v>
      </c>
      <c r="G1214" t="s">
        <v>225</v>
      </c>
      <c r="H1214">
        <v>2018013</v>
      </c>
      <c r="I1214" t="s">
        <v>19</v>
      </c>
      <c r="J1214" t="s">
        <v>20</v>
      </c>
      <c r="K1214" t="s">
        <v>25</v>
      </c>
      <c r="L1214">
        <v>0</v>
      </c>
      <c r="M1214">
        <v>7.29</v>
      </c>
      <c r="N1214">
        <v>54.6</v>
      </c>
      <c r="O1214">
        <v>133.62</v>
      </c>
      <c r="P1214">
        <v>195.50819999999999</v>
      </c>
    </row>
    <row r="1215" spans="1:16" hidden="1" x14ac:dyDescent="0.25">
      <c r="A1215" s="22">
        <v>43117</v>
      </c>
      <c r="B1215" t="s">
        <v>226</v>
      </c>
      <c r="C1215" t="s">
        <v>17</v>
      </c>
      <c r="D1215">
        <v>1000</v>
      </c>
      <c r="E1215">
        <v>595</v>
      </c>
      <c r="F1215">
        <v>595000</v>
      </c>
      <c r="G1215" t="s">
        <v>227</v>
      </c>
      <c r="H1215">
        <v>2018013</v>
      </c>
      <c r="I1215" t="s">
        <v>19</v>
      </c>
      <c r="J1215" t="s">
        <v>1526</v>
      </c>
      <c r="K1215" t="s">
        <v>25</v>
      </c>
      <c r="L1215">
        <v>595</v>
      </c>
      <c r="M1215">
        <v>19.34</v>
      </c>
      <c r="N1215">
        <v>0</v>
      </c>
      <c r="O1215">
        <v>3865.03</v>
      </c>
      <c r="P1215">
        <v>4479.3674000000001</v>
      </c>
    </row>
    <row r="1216" spans="1:16" hidden="1" x14ac:dyDescent="0.25">
      <c r="A1216" s="22">
        <v>43116</v>
      </c>
      <c r="B1216" t="s">
        <v>177</v>
      </c>
      <c r="C1216" t="s">
        <v>23</v>
      </c>
      <c r="D1216">
        <v>2122</v>
      </c>
      <c r="E1216">
        <v>15.3</v>
      </c>
      <c r="F1216">
        <v>32466.6</v>
      </c>
      <c r="G1216" t="s">
        <v>228</v>
      </c>
      <c r="H1216">
        <v>2018012</v>
      </c>
      <c r="I1216" t="s">
        <v>19</v>
      </c>
      <c r="J1216" t="s">
        <v>1526</v>
      </c>
      <c r="K1216" t="s">
        <v>25</v>
      </c>
      <c r="L1216">
        <v>31.89</v>
      </c>
      <c r="M1216">
        <v>1.06</v>
      </c>
      <c r="N1216">
        <v>2.4</v>
      </c>
      <c r="O1216">
        <v>210.9</v>
      </c>
      <c r="P1216">
        <v>246.24520000000001</v>
      </c>
    </row>
    <row r="1217" spans="1:16" hidden="1" x14ac:dyDescent="0.25">
      <c r="A1217" s="22">
        <v>43116</v>
      </c>
      <c r="B1217" t="s">
        <v>177</v>
      </c>
      <c r="C1217" t="s">
        <v>23</v>
      </c>
      <c r="D1217">
        <v>2500</v>
      </c>
      <c r="E1217">
        <v>15.2</v>
      </c>
      <c r="F1217">
        <v>38000</v>
      </c>
      <c r="G1217" t="s">
        <v>229</v>
      </c>
      <c r="H1217">
        <v>2018012</v>
      </c>
      <c r="I1217" t="s">
        <v>19</v>
      </c>
      <c r="J1217" t="s">
        <v>1526</v>
      </c>
      <c r="K1217" t="s">
        <v>25</v>
      </c>
      <c r="L1217">
        <v>38.11</v>
      </c>
      <c r="M1217">
        <v>1.24</v>
      </c>
      <c r="N1217">
        <v>0</v>
      </c>
      <c r="O1217">
        <v>246.84</v>
      </c>
      <c r="P1217">
        <v>286.185</v>
      </c>
    </row>
    <row r="1218" spans="1:16" hidden="1" x14ac:dyDescent="0.25">
      <c r="A1218" s="22">
        <v>43115</v>
      </c>
      <c r="B1218" t="s">
        <v>230</v>
      </c>
      <c r="C1218" t="s">
        <v>17</v>
      </c>
      <c r="D1218">
        <v>1000</v>
      </c>
      <c r="E1218">
        <v>63.95</v>
      </c>
      <c r="F1218">
        <v>63950</v>
      </c>
      <c r="G1218" t="s">
        <v>231</v>
      </c>
      <c r="H1218">
        <v>2018011</v>
      </c>
      <c r="I1218" t="s">
        <v>19</v>
      </c>
      <c r="J1218" t="s">
        <v>20</v>
      </c>
      <c r="K1218" t="s">
        <v>25</v>
      </c>
      <c r="L1218">
        <v>0</v>
      </c>
      <c r="M1218">
        <v>2.08</v>
      </c>
      <c r="N1218">
        <v>0</v>
      </c>
      <c r="O1218">
        <v>38.1</v>
      </c>
      <c r="P1218">
        <v>40.178400000000003</v>
      </c>
    </row>
    <row r="1219" spans="1:16" hidden="1" x14ac:dyDescent="0.25">
      <c r="A1219" s="22">
        <v>43115</v>
      </c>
      <c r="B1219" t="s">
        <v>230</v>
      </c>
      <c r="C1219" t="s">
        <v>23</v>
      </c>
      <c r="D1219">
        <v>1000</v>
      </c>
      <c r="E1219">
        <v>62.88</v>
      </c>
      <c r="F1219">
        <v>62875</v>
      </c>
      <c r="G1219" t="s">
        <v>232</v>
      </c>
      <c r="H1219">
        <v>2018011</v>
      </c>
      <c r="I1219" t="s">
        <v>19</v>
      </c>
      <c r="J1219" t="s">
        <v>20</v>
      </c>
      <c r="K1219" t="s">
        <v>25</v>
      </c>
      <c r="L1219">
        <v>15.85</v>
      </c>
      <c r="M1219">
        <v>2.04</v>
      </c>
      <c r="N1219">
        <v>0</v>
      </c>
      <c r="O1219">
        <v>37.47</v>
      </c>
      <c r="P1219">
        <v>55.363599999999998</v>
      </c>
    </row>
    <row r="1220" spans="1:16" hidden="1" x14ac:dyDescent="0.25">
      <c r="A1220" s="22">
        <v>43115</v>
      </c>
      <c r="B1220" t="s">
        <v>233</v>
      </c>
      <c r="C1220" t="s">
        <v>17</v>
      </c>
      <c r="D1220">
        <v>100</v>
      </c>
      <c r="E1220">
        <v>956.3</v>
      </c>
      <c r="F1220">
        <v>95630</v>
      </c>
      <c r="G1220" t="s">
        <v>234</v>
      </c>
      <c r="H1220">
        <v>2018011</v>
      </c>
      <c r="I1220" t="s">
        <v>19</v>
      </c>
      <c r="J1220" t="s">
        <v>20</v>
      </c>
      <c r="K1220" t="s">
        <v>25</v>
      </c>
      <c r="L1220">
        <v>0</v>
      </c>
      <c r="M1220">
        <v>3.11</v>
      </c>
      <c r="N1220">
        <v>0</v>
      </c>
      <c r="O1220">
        <v>56.98</v>
      </c>
      <c r="P1220">
        <v>60.087899999999998</v>
      </c>
    </row>
    <row r="1221" spans="1:16" hidden="1" x14ac:dyDescent="0.25">
      <c r="A1221" s="22">
        <v>43115</v>
      </c>
      <c r="B1221" t="s">
        <v>233</v>
      </c>
      <c r="C1221" t="s">
        <v>23</v>
      </c>
      <c r="D1221">
        <v>100</v>
      </c>
      <c r="E1221">
        <v>954</v>
      </c>
      <c r="F1221">
        <v>95400</v>
      </c>
      <c r="G1221" t="s">
        <v>235</v>
      </c>
      <c r="H1221">
        <v>2018011</v>
      </c>
      <c r="I1221" t="s">
        <v>19</v>
      </c>
      <c r="J1221" t="s">
        <v>20</v>
      </c>
      <c r="K1221" t="s">
        <v>25</v>
      </c>
      <c r="L1221">
        <v>23.88</v>
      </c>
      <c r="M1221">
        <v>3.1</v>
      </c>
      <c r="N1221">
        <v>0</v>
      </c>
      <c r="O1221">
        <v>56.84</v>
      </c>
      <c r="P1221">
        <v>83.820499999999996</v>
      </c>
    </row>
    <row r="1222" spans="1:16" hidden="1" x14ac:dyDescent="0.25">
      <c r="A1222" s="22">
        <v>43115</v>
      </c>
      <c r="B1222" t="s">
        <v>26</v>
      </c>
      <c r="C1222" t="s">
        <v>17</v>
      </c>
      <c r="D1222">
        <v>1000</v>
      </c>
      <c r="E1222">
        <v>140.75</v>
      </c>
      <c r="F1222">
        <v>140750</v>
      </c>
      <c r="G1222" t="s">
        <v>236</v>
      </c>
      <c r="H1222">
        <v>2018011</v>
      </c>
      <c r="I1222" t="s">
        <v>19</v>
      </c>
      <c r="J1222" t="s">
        <v>20</v>
      </c>
      <c r="K1222" t="s">
        <v>25</v>
      </c>
      <c r="L1222">
        <v>0</v>
      </c>
      <c r="M1222">
        <v>4.57</v>
      </c>
      <c r="N1222">
        <v>0</v>
      </c>
      <c r="O1222">
        <v>83.85</v>
      </c>
      <c r="P1222">
        <v>88.424800000000005</v>
      </c>
    </row>
    <row r="1223" spans="1:16" hidden="1" x14ac:dyDescent="0.25">
      <c r="A1223" s="22">
        <v>43115</v>
      </c>
      <c r="B1223" t="s">
        <v>237</v>
      </c>
      <c r="C1223" t="s">
        <v>17</v>
      </c>
      <c r="D1223">
        <v>1000</v>
      </c>
      <c r="E1223">
        <v>291.75</v>
      </c>
      <c r="F1223">
        <v>291750</v>
      </c>
      <c r="G1223" t="s">
        <v>238</v>
      </c>
      <c r="H1223">
        <v>2018011</v>
      </c>
      <c r="I1223" t="s">
        <v>19</v>
      </c>
      <c r="J1223" t="s">
        <v>20</v>
      </c>
      <c r="K1223" t="s">
        <v>25</v>
      </c>
      <c r="L1223">
        <v>0</v>
      </c>
      <c r="M1223">
        <v>9.48</v>
      </c>
      <c r="N1223">
        <v>0</v>
      </c>
      <c r="O1223">
        <v>173.84</v>
      </c>
      <c r="P1223">
        <v>183.3219</v>
      </c>
    </row>
    <row r="1224" spans="1:16" hidden="1" x14ac:dyDescent="0.25">
      <c r="A1224" s="22">
        <v>43115</v>
      </c>
      <c r="B1224" t="s">
        <v>26</v>
      </c>
      <c r="C1224" t="s">
        <v>23</v>
      </c>
      <c r="D1224">
        <v>1000</v>
      </c>
      <c r="E1224">
        <v>142.25</v>
      </c>
      <c r="F1224">
        <v>142250</v>
      </c>
      <c r="G1224" t="s">
        <v>239</v>
      </c>
      <c r="H1224">
        <v>2018011</v>
      </c>
      <c r="I1224" t="s">
        <v>19</v>
      </c>
      <c r="J1224" t="s">
        <v>20</v>
      </c>
      <c r="K1224" t="s">
        <v>25</v>
      </c>
      <c r="L1224">
        <v>35.380000000000003</v>
      </c>
      <c r="M1224">
        <v>4.62</v>
      </c>
      <c r="N1224">
        <v>0</v>
      </c>
      <c r="O1224">
        <v>84.76</v>
      </c>
      <c r="P1224">
        <v>124.7632</v>
      </c>
    </row>
    <row r="1225" spans="1:16" hidden="1" x14ac:dyDescent="0.25">
      <c r="A1225" s="22">
        <v>43115</v>
      </c>
      <c r="B1225" t="s">
        <v>51</v>
      </c>
      <c r="C1225" t="s">
        <v>17</v>
      </c>
      <c r="D1225">
        <v>71</v>
      </c>
      <c r="E1225">
        <v>335.6</v>
      </c>
      <c r="F1225">
        <v>23827.599999999999</v>
      </c>
      <c r="G1225" t="s">
        <v>240</v>
      </c>
      <c r="H1225">
        <v>2018011</v>
      </c>
      <c r="I1225" t="s">
        <v>19</v>
      </c>
      <c r="J1225" t="s">
        <v>20</v>
      </c>
      <c r="K1225" t="s">
        <v>25</v>
      </c>
      <c r="L1225">
        <v>0</v>
      </c>
      <c r="M1225">
        <v>0.77</v>
      </c>
      <c r="N1225">
        <v>53.1</v>
      </c>
      <c r="O1225">
        <v>29.64</v>
      </c>
      <c r="P1225">
        <v>83.514399999999995</v>
      </c>
    </row>
    <row r="1226" spans="1:16" hidden="1" x14ac:dyDescent="0.25">
      <c r="A1226" s="22">
        <v>43115</v>
      </c>
      <c r="B1226" t="s">
        <v>51</v>
      </c>
      <c r="C1226" t="s">
        <v>23</v>
      </c>
      <c r="D1226">
        <v>71</v>
      </c>
      <c r="E1226">
        <v>337.5</v>
      </c>
      <c r="F1226">
        <v>23962.5</v>
      </c>
      <c r="G1226" t="s">
        <v>241</v>
      </c>
      <c r="H1226">
        <v>2018011</v>
      </c>
      <c r="I1226" t="s">
        <v>19</v>
      </c>
      <c r="J1226" t="s">
        <v>20</v>
      </c>
      <c r="K1226" t="s">
        <v>25</v>
      </c>
      <c r="L1226">
        <v>5.97</v>
      </c>
      <c r="M1226">
        <v>0.78</v>
      </c>
      <c r="N1226">
        <v>0</v>
      </c>
      <c r="O1226">
        <v>29.64</v>
      </c>
      <c r="P1226">
        <v>36.3887</v>
      </c>
    </row>
    <row r="1227" spans="1:16" hidden="1" x14ac:dyDescent="0.25">
      <c r="A1227" s="22">
        <v>43115</v>
      </c>
      <c r="B1227" t="s">
        <v>177</v>
      </c>
      <c r="C1227" t="s">
        <v>17</v>
      </c>
      <c r="D1227">
        <v>5000</v>
      </c>
      <c r="E1227">
        <v>16.149999999999999</v>
      </c>
      <c r="F1227">
        <v>80750</v>
      </c>
      <c r="G1227" t="s">
        <v>242</v>
      </c>
      <c r="H1227">
        <v>2018011</v>
      </c>
      <c r="I1227" t="s">
        <v>19</v>
      </c>
      <c r="J1227" t="s">
        <v>1526</v>
      </c>
      <c r="K1227" t="s">
        <v>25</v>
      </c>
      <c r="L1227">
        <v>80.75</v>
      </c>
      <c r="M1227">
        <v>2.62</v>
      </c>
      <c r="N1227">
        <v>0</v>
      </c>
      <c r="O1227">
        <v>524.54</v>
      </c>
      <c r="P1227">
        <v>607.9144</v>
      </c>
    </row>
    <row r="1228" spans="1:16" hidden="1" x14ac:dyDescent="0.25">
      <c r="A1228" s="22">
        <v>43115</v>
      </c>
      <c r="B1228" t="s">
        <v>128</v>
      </c>
      <c r="C1228" t="s">
        <v>17</v>
      </c>
      <c r="D1228">
        <v>1000</v>
      </c>
      <c r="E1228">
        <v>455</v>
      </c>
      <c r="F1228">
        <v>455000</v>
      </c>
      <c r="G1228" t="s">
        <v>243</v>
      </c>
      <c r="H1228">
        <v>2018011</v>
      </c>
      <c r="I1228" t="s">
        <v>19</v>
      </c>
      <c r="J1228" t="s">
        <v>1526</v>
      </c>
      <c r="K1228" t="s">
        <v>25</v>
      </c>
      <c r="L1228">
        <v>455.05</v>
      </c>
      <c r="M1228">
        <v>14.79</v>
      </c>
      <c r="N1228">
        <v>0</v>
      </c>
      <c r="O1228">
        <v>2955.63</v>
      </c>
      <c r="P1228">
        <v>3425.4674</v>
      </c>
    </row>
    <row r="1229" spans="1:16" hidden="1" x14ac:dyDescent="0.25">
      <c r="A1229" s="22">
        <v>43115</v>
      </c>
      <c r="B1229" t="s">
        <v>237</v>
      </c>
      <c r="C1229" t="s">
        <v>23</v>
      </c>
      <c r="D1229">
        <v>1000</v>
      </c>
      <c r="E1229">
        <v>285.20999999999998</v>
      </c>
      <c r="F1229">
        <v>285205</v>
      </c>
      <c r="G1229" t="s">
        <v>244</v>
      </c>
      <c r="H1229">
        <v>2018011</v>
      </c>
      <c r="I1229" t="s">
        <v>19</v>
      </c>
      <c r="J1229" t="s">
        <v>20</v>
      </c>
      <c r="K1229" t="s">
        <v>25</v>
      </c>
      <c r="L1229">
        <v>72.12</v>
      </c>
      <c r="M1229">
        <v>9.27</v>
      </c>
      <c r="N1229">
        <v>0</v>
      </c>
      <c r="O1229">
        <v>169.94</v>
      </c>
      <c r="P1229">
        <v>251.32929999999999</v>
      </c>
    </row>
    <row r="1230" spans="1:16" hidden="1" x14ac:dyDescent="0.25">
      <c r="A1230" s="22">
        <v>43112</v>
      </c>
      <c r="B1230" t="s">
        <v>205</v>
      </c>
      <c r="C1230" t="s">
        <v>17</v>
      </c>
      <c r="D1230">
        <v>1000</v>
      </c>
      <c r="E1230">
        <v>88.45</v>
      </c>
      <c r="F1230">
        <v>88450</v>
      </c>
      <c r="G1230" t="s">
        <v>206</v>
      </c>
      <c r="H1230">
        <v>2018010</v>
      </c>
      <c r="I1230" t="s">
        <v>19</v>
      </c>
      <c r="J1230" t="s">
        <v>20</v>
      </c>
      <c r="K1230" t="s">
        <v>25</v>
      </c>
      <c r="L1230">
        <v>0</v>
      </c>
      <c r="M1230">
        <v>2.87</v>
      </c>
      <c r="N1230">
        <v>0</v>
      </c>
      <c r="O1230">
        <v>52.7</v>
      </c>
      <c r="P1230">
        <v>55.5747</v>
      </c>
    </row>
    <row r="1231" spans="1:16" hidden="1" x14ac:dyDescent="0.25">
      <c r="A1231" s="22">
        <v>43112</v>
      </c>
      <c r="B1231" t="s">
        <v>207</v>
      </c>
      <c r="C1231" t="s">
        <v>17</v>
      </c>
      <c r="D1231">
        <v>1000</v>
      </c>
      <c r="E1231">
        <v>77.5</v>
      </c>
      <c r="F1231">
        <v>77500</v>
      </c>
      <c r="G1231" t="s">
        <v>208</v>
      </c>
      <c r="H1231">
        <v>2018010</v>
      </c>
      <c r="I1231" t="s">
        <v>19</v>
      </c>
      <c r="J1231" t="s">
        <v>20</v>
      </c>
      <c r="K1231" t="s">
        <v>25</v>
      </c>
      <c r="L1231">
        <v>0</v>
      </c>
      <c r="M1231">
        <v>2.52</v>
      </c>
      <c r="N1231">
        <v>0</v>
      </c>
      <c r="O1231">
        <v>46.18</v>
      </c>
      <c r="P1231">
        <v>48.698700000000002</v>
      </c>
    </row>
    <row r="1232" spans="1:16" hidden="1" x14ac:dyDescent="0.25">
      <c r="A1232" s="22">
        <v>43112</v>
      </c>
      <c r="B1232" t="s">
        <v>26</v>
      </c>
      <c r="C1232" t="s">
        <v>23</v>
      </c>
      <c r="D1232">
        <v>500</v>
      </c>
      <c r="E1232">
        <v>142</v>
      </c>
      <c r="F1232">
        <v>71000</v>
      </c>
      <c r="G1232" t="s">
        <v>209</v>
      </c>
      <c r="H1232">
        <v>2018010</v>
      </c>
      <c r="I1232" t="s">
        <v>19</v>
      </c>
      <c r="J1232" t="s">
        <v>20</v>
      </c>
      <c r="K1232" t="s">
        <v>25</v>
      </c>
      <c r="L1232">
        <v>17.940000000000001</v>
      </c>
      <c r="M1232">
        <v>2.31</v>
      </c>
      <c r="N1232">
        <v>0</v>
      </c>
      <c r="O1232">
        <v>461.21</v>
      </c>
      <c r="P1232">
        <v>481.45749999999998</v>
      </c>
    </row>
    <row r="1233" spans="1:16" hidden="1" x14ac:dyDescent="0.25">
      <c r="A1233" s="22">
        <v>43112</v>
      </c>
      <c r="B1233" t="s">
        <v>26</v>
      </c>
      <c r="C1233" t="s">
        <v>17</v>
      </c>
      <c r="D1233">
        <v>2000</v>
      </c>
      <c r="E1233">
        <v>143.41999999999999</v>
      </c>
      <c r="F1233">
        <v>286846</v>
      </c>
      <c r="G1233" t="s">
        <v>210</v>
      </c>
      <c r="H1233">
        <v>2018010</v>
      </c>
      <c r="I1233" t="s">
        <v>19</v>
      </c>
      <c r="J1233" t="s">
        <v>20</v>
      </c>
      <c r="K1233" t="s">
        <v>25</v>
      </c>
      <c r="L1233">
        <v>0</v>
      </c>
      <c r="M1233">
        <v>9.32</v>
      </c>
      <c r="N1233">
        <v>0</v>
      </c>
      <c r="O1233">
        <v>170.91</v>
      </c>
      <c r="P1233">
        <v>180.23269999999999</v>
      </c>
    </row>
    <row r="1234" spans="1:16" hidden="1" x14ac:dyDescent="0.25">
      <c r="A1234" s="22">
        <v>43112</v>
      </c>
      <c r="B1234" t="s">
        <v>26</v>
      </c>
      <c r="C1234" t="s">
        <v>23</v>
      </c>
      <c r="D1234">
        <v>2000</v>
      </c>
      <c r="E1234">
        <v>144</v>
      </c>
      <c r="F1234">
        <v>288000</v>
      </c>
      <c r="G1234" t="s">
        <v>211</v>
      </c>
      <c r="H1234">
        <v>2018010</v>
      </c>
      <c r="I1234" t="s">
        <v>19</v>
      </c>
      <c r="J1234" t="s">
        <v>20</v>
      </c>
      <c r="K1234" t="s">
        <v>25</v>
      </c>
      <c r="L1234">
        <v>126.01</v>
      </c>
      <c r="M1234">
        <v>9.36</v>
      </c>
      <c r="N1234">
        <v>0</v>
      </c>
      <c r="O1234">
        <v>171.6</v>
      </c>
      <c r="P1234">
        <v>306.97000000000003</v>
      </c>
    </row>
    <row r="1235" spans="1:16" hidden="1" x14ac:dyDescent="0.25">
      <c r="A1235" s="22">
        <v>43112</v>
      </c>
      <c r="B1235" t="s">
        <v>207</v>
      </c>
      <c r="C1235" t="s">
        <v>23</v>
      </c>
      <c r="D1235">
        <v>1000</v>
      </c>
      <c r="E1235">
        <v>79.25</v>
      </c>
      <c r="F1235">
        <v>79250</v>
      </c>
      <c r="G1235" t="s">
        <v>212</v>
      </c>
      <c r="H1235">
        <v>2018010</v>
      </c>
      <c r="I1235" t="s">
        <v>19</v>
      </c>
      <c r="J1235" t="s">
        <v>20</v>
      </c>
      <c r="K1235" t="s">
        <v>25</v>
      </c>
      <c r="L1235">
        <v>19.59</v>
      </c>
      <c r="M1235">
        <v>2.58</v>
      </c>
      <c r="N1235">
        <v>0</v>
      </c>
      <c r="O1235">
        <v>47.23</v>
      </c>
      <c r="P1235">
        <v>69.395600000000002</v>
      </c>
    </row>
    <row r="1236" spans="1:16" hidden="1" x14ac:dyDescent="0.25">
      <c r="A1236" s="22">
        <v>43112</v>
      </c>
      <c r="B1236" t="s">
        <v>205</v>
      </c>
      <c r="C1236" t="s">
        <v>23</v>
      </c>
      <c r="D1236">
        <v>1000</v>
      </c>
      <c r="E1236">
        <v>85</v>
      </c>
      <c r="F1236">
        <v>85000</v>
      </c>
      <c r="G1236" t="s">
        <v>213</v>
      </c>
      <c r="H1236">
        <v>2018010</v>
      </c>
      <c r="I1236" t="s">
        <v>19</v>
      </c>
      <c r="J1236" t="s">
        <v>20</v>
      </c>
      <c r="K1236" t="s">
        <v>25</v>
      </c>
      <c r="L1236">
        <v>21.68</v>
      </c>
      <c r="M1236">
        <v>2.76</v>
      </c>
      <c r="N1236">
        <v>0</v>
      </c>
      <c r="O1236">
        <v>50.65</v>
      </c>
      <c r="P1236">
        <v>75.092500000000001</v>
      </c>
    </row>
    <row r="1237" spans="1:16" hidden="1" x14ac:dyDescent="0.25">
      <c r="A1237" s="22">
        <v>43112</v>
      </c>
      <c r="B1237" t="s">
        <v>214</v>
      </c>
      <c r="C1237" t="s">
        <v>17</v>
      </c>
      <c r="D1237">
        <v>1000</v>
      </c>
      <c r="E1237">
        <v>114.62</v>
      </c>
      <c r="F1237">
        <v>114619.15</v>
      </c>
      <c r="G1237" t="s">
        <v>215</v>
      </c>
      <c r="H1237">
        <v>2018010</v>
      </c>
      <c r="I1237" t="s">
        <v>19</v>
      </c>
      <c r="J1237" t="s">
        <v>20</v>
      </c>
      <c r="K1237" t="s">
        <v>25</v>
      </c>
      <c r="L1237">
        <v>0</v>
      </c>
      <c r="M1237">
        <v>3.73</v>
      </c>
      <c r="N1237">
        <v>36.299999999999997</v>
      </c>
      <c r="O1237">
        <v>68.290000000000006</v>
      </c>
      <c r="P1237">
        <v>108.3152</v>
      </c>
    </row>
    <row r="1238" spans="1:16" hidden="1" x14ac:dyDescent="0.25">
      <c r="A1238" s="22">
        <v>43112</v>
      </c>
      <c r="B1238" t="s">
        <v>214</v>
      </c>
      <c r="C1238" t="s">
        <v>23</v>
      </c>
      <c r="D1238">
        <v>1000</v>
      </c>
      <c r="E1238">
        <v>115.58</v>
      </c>
      <c r="F1238">
        <v>115580</v>
      </c>
      <c r="G1238" t="s">
        <v>216</v>
      </c>
      <c r="H1238">
        <v>2018010</v>
      </c>
      <c r="I1238" t="s">
        <v>19</v>
      </c>
      <c r="J1238" t="s">
        <v>20</v>
      </c>
      <c r="K1238" t="s">
        <v>25</v>
      </c>
      <c r="L1238">
        <v>28.77</v>
      </c>
      <c r="M1238">
        <v>3.76</v>
      </c>
      <c r="N1238">
        <v>0</v>
      </c>
      <c r="O1238">
        <v>68.87</v>
      </c>
      <c r="P1238">
        <v>101.3963</v>
      </c>
    </row>
    <row r="1239" spans="1:16" hidden="1" x14ac:dyDescent="0.25">
      <c r="A1239" s="22">
        <v>43111</v>
      </c>
      <c r="B1239" t="s">
        <v>205</v>
      </c>
      <c r="C1239" t="s">
        <v>17</v>
      </c>
      <c r="D1239">
        <v>1000</v>
      </c>
      <c r="E1239">
        <v>91.5</v>
      </c>
      <c r="F1239">
        <v>91500</v>
      </c>
      <c r="G1239" t="s">
        <v>217</v>
      </c>
      <c r="H1239">
        <v>2018009</v>
      </c>
      <c r="I1239" t="s">
        <v>19</v>
      </c>
      <c r="J1239" t="s">
        <v>1526</v>
      </c>
      <c r="K1239" t="s">
        <v>25</v>
      </c>
      <c r="L1239">
        <v>0</v>
      </c>
      <c r="M1239">
        <v>2.97</v>
      </c>
      <c r="N1239">
        <v>8.4</v>
      </c>
      <c r="O1239">
        <v>54.51</v>
      </c>
      <c r="P1239">
        <v>65.883799999999994</v>
      </c>
    </row>
    <row r="1240" spans="1:16" hidden="1" x14ac:dyDescent="0.25">
      <c r="A1240" s="22">
        <v>43111</v>
      </c>
      <c r="B1240" t="s">
        <v>205</v>
      </c>
      <c r="C1240" t="s">
        <v>23</v>
      </c>
      <c r="D1240">
        <v>1000</v>
      </c>
      <c r="E1240">
        <v>92.6</v>
      </c>
      <c r="F1240">
        <v>92600</v>
      </c>
      <c r="G1240" t="s">
        <v>218</v>
      </c>
      <c r="H1240">
        <v>2018009</v>
      </c>
      <c r="I1240" t="s">
        <v>19</v>
      </c>
      <c r="J1240" t="s">
        <v>1526</v>
      </c>
      <c r="K1240" t="s">
        <v>25</v>
      </c>
      <c r="L1240">
        <v>23.13</v>
      </c>
      <c r="M1240">
        <v>3.01</v>
      </c>
      <c r="N1240">
        <v>0</v>
      </c>
      <c r="O1240">
        <v>55.18</v>
      </c>
      <c r="P1240">
        <v>81.319500000000005</v>
      </c>
    </row>
    <row r="1241" spans="1:16" hidden="1" x14ac:dyDescent="0.25">
      <c r="A1241" s="22">
        <v>43111</v>
      </c>
      <c r="B1241" t="s">
        <v>205</v>
      </c>
      <c r="C1241" t="s">
        <v>17</v>
      </c>
      <c r="D1241">
        <v>1000</v>
      </c>
      <c r="E1241">
        <v>93.4</v>
      </c>
      <c r="F1241">
        <v>93400</v>
      </c>
      <c r="G1241" t="s">
        <v>219</v>
      </c>
      <c r="H1241">
        <v>2018009</v>
      </c>
      <c r="I1241" t="s">
        <v>19</v>
      </c>
      <c r="J1241" t="s">
        <v>1526</v>
      </c>
      <c r="K1241" t="s">
        <v>25</v>
      </c>
      <c r="L1241">
        <v>92.88</v>
      </c>
      <c r="M1241">
        <v>3.04</v>
      </c>
      <c r="N1241">
        <v>0</v>
      </c>
      <c r="O1241">
        <v>606.72</v>
      </c>
      <c r="P1241">
        <v>702.63549999999998</v>
      </c>
    </row>
    <row r="1242" spans="1:16" hidden="1" x14ac:dyDescent="0.25">
      <c r="A1242" s="22">
        <v>43110</v>
      </c>
      <c r="B1242" t="s">
        <v>177</v>
      </c>
      <c r="C1242" t="s">
        <v>23</v>
      </c>
      <c r="D1242">
        <v>5000</v>
      </c>
      <c r="E1242">
        <v>16.8</v>
      </c>
      <c r="F1242">
        <v>84000</v>
      </c>
      <c r="G1242" t="s">
        <v>197</v>
      </c>
      <c r="H1242">
        <v>2018008</v>
      </c>
      <c r="I1242" t="s">
        <v>19</v>
      </c>
      <c r="J1242" t="s">
        <v>20</v>
      </c>
      <c r="K1242" t="s">
        <v>25</v>
      </c>
      <c r="L1242">
        <v>83.92</v>
      </c>
      <c r="M1242">
        <v>2.73</v>
      </c>
      <c r="N1242">
        <v>0</v>
      </c>
      <c r="O1242">
        <v>545.65</v>
      </c>
      <c r="P1242">
        <v>632.29999999999995</v>
      </c>
    </row>
    <row r="1243" spans="1:16" hidden="1" x14ac:dyDescent="0.25">
      <c r="A1243" s="22">
        <v>43110</v>
      </c>
      <c r="B1243" t="s">
        <v>177</v>
      </c>
      <c r="C1243" t="s">
        <v>23</v>
      </c>
      <c r="D1243">
        <v>2500</v>
      </c>
      <c r="E1243">
        <v>16.75</v>
      </c>
      <c r="F1243">
        <v>41875</v>
      </c>
      <c r="G1243" t="s">
        <v>198</v>
      </c>
      <c r="H1243">
        <v>2018008</v>
      </c>
      <c r="I1243" t="s">
        <v>19</v>
      </c>
      <c r="J1243" t="s">
        <v>1526</v>
      </c>
      <c r="K1243" t="s">
        <v>25</v>
      </c>
      <c r="L1243">
        <v>42.08</v>
      </c>
      <c r="M1243">
        <v>1.36</v>
      </c>
      <c r="N1243">
        <v>6.9</v>
      </c>
      <c r="O1243">
        <v>272.01</v>
      </c>
      <c r="P1243">
        <v>322.35090000000002</v>
      </c>
    </row>
    <row r="1244" spans="1:16" hidden="1" x14ac:dyDescent="0.25">
      <c r="A1244" s="22">
        <v>43110</v>
      </c>
      <c r="B1244" t="s">
        <v>195</v>
      </c>
      <c r="C1244" t="s">
        <v>23</v>
      </c>
      <c r="D1244">
        <v>1000</v>
      </c>
      <c r="E1244">
        <v>104</v>
      </c>
      <c r="F1244">
        <v>104000</v>
      </c>
      <c r="G1244" t="s">
        <v>199</v>
      </c>
      <c r="H1244">
        <v>2018008</v>
      </c>
      <c r="I1244" t="s">
        <v>19</v>
      </c>
      <c r="J1244" t="s">
        <v>20</v>
      </c>
      <c r="K1244" t="s">
        <v>25</v>
      </c>
      <c r="L1244">
        <v>104</v>
      </c>
      <c r="M1244">
        <v>3.38</v>
      </c>
      <c r="N1244">
        <v>0</v>
      </c>
      <c r="O1244">
        <v>675.57</v>
      </c>
      <c r="P1244">
        <v>782.95</v>
      </c>
    </row>
    <row r="1245" spans="1:16" hidden="1" x14ac:dyDescent="0.25">
      <c r="A1245" s="22">
        <v>43109</v>
      </c>
      <c r="B1245" t="s">
        <v>177</v>
      </c>
      <c r="C1245" t="s">
        <v>17</v>
      </c>
      <c r="D1245">
        <v>5000</v>
      </c>
      <c r="E1245">
        <v>16.149999999999999</v>
      </c>
      <c r="F1245">
        <v>80750</v>
      </c>
      <c r="G1245" t="s">
        <v>200</v>
      </c>
      <c r="H1245">
        <v>2018007</v>
      </c>
      <c r="I1245" t="s">
        <v>19</v>
      </c>
      <c r="J1245" t="s">
        <v>1526</v>
      </c>
      <c r="K1245" t="s">
        <v>25</v>
      </c>
      <c r="L1245">
        <v>0</v>
      </c>
      <c r="M1245">
        <v>2.62</v>
      </c>
      <c r="N1245">
        <v>0</v>
      </c>
      <c r="O1245">
        <v>48.11</v>
      </c>
      <c r="P1245">
        <v>50.734400000000001</v>
      </c>
    </row>
    <row r="1246" spans="1:16" hidden="1" x14ac:dyDescent="0.25">
      <c r="A1246" s="22">
        <v>43109</v>
      </c>
      <c r="B1246" t="s">
        <v>177</v>
      </c>
      <c r="C1246" t="s">
        <v>23</v>
      </c>
      <c r="D1246">
        <v>5000</v>
      </c>
      <c r="E1246">
        <v>16.100000000000001</v>
      </c>
      <c r="F1246">
        <v>80500</v>
      </c>
      <c r="G1246" t="s">
        <v>201</v>
      </c>
      <c r="H1246">
        <v>2018007</v>
      </c>
      <c r="I1246" t="s">
        <v>19</v>
      </c>
      <c r="J1246" t="s">
        <v>1526</v>
      </c>
      <c r="K1246" t="s">
        <v>25</v>
      </c>
      <c r="L1246">
        <v>20.75</v>
      </c>
      <c r="M1246">
        <v>2.62</v>
      </c>
      <c r="N1246">
        <v>12.3</v>
      </c>
      <c r="O1246">
        <v>47.97</v>
      </c>
      <c r="P1246">
        <v>83.636300000000006</v>
      </c>
    </row>
    <row r="1247" spans="1:16" hidden="1" x14ac:dyDescent="0.25">
      <c r="A1247" s="22">
        <v>43109</v>
      </c>
      <c r="B1247" t="s">
        <v>177</v>
      </c>
      <c r="C1247" t="s">
        <v>17</v>
      </c>
      <c r="D1247">
        <v>5000</v>
      </c>
      <c r="E1247">
        <v>16.100000000000001</v>
      </c>
      <c r="F1247">
        <v>80500</v>
      </c>
      <c r="G1247" t="s">
        <v>202</v>
      </c>
      <c r="H1247">
        <v>2018007</v>
      </c>
      <c r="I1247" t="s">
        <v>19</v>
      </c>
      <c r="J1247" t="s">
        <v>1526</v>
      </c>
      <c r="K1247" t="s">
        <v>25</v>
      </c>
      <c r="L1247">
        <v>0</v>
      </c>
      <c r="M1247">
        <v>2.62</v>
      </c>
      <c r="N1247">
        <v>0</v>
      </c>
      <c r="O1247">
        <v>47.97</v>
      </c>
      <c r="P1247">
        <v>50.586300000000001</v>
      </c>
    </row>
    <row r="1248" spans="1:16" hidden="1" x14ac:dyDescent="0.25">
      <c r="A1248" s="22">
        <v>43109</v>
      </c>
      <c r="B1248" t="s">
        <v>177</v>
      </c>
      <c r="C1248" t="s">
        <v>23</v>
      </c>
      <c r="D1248">
        <v>5000</v>
      </c>
      <c r="E1248">
        <v>16.2</v>
      </c>
      <c r="F1248">
        <v>81000</v>
      </c>
      <c r="G1248" t="s">
        <v>203</v>
      </c>
      <c r="H1248">
        <v>2018007</v>
      </c>
      <c r="I1248" t="s">
        <v>19</v>
      </c>
      <c r="J1248" t="s">
        <v>1526</v>
      </c>
      <c r="K1248" t="s">
        <v>25</v>
      </c>
      <c r="L1248">
        <v>20.25</v>
      </c>
      <c r="M1248">
        <v>2.63</v>
      </c>
      <c r="N1248">
        <v>0</v>
      </c>
      <c r="O1248">
        <v>48.26</v>
      </c>
      <c r="P1248">
        <v>71.142499999999998</v>
      </c>
    </row>
    <row r="1249" spans="1:16" hidden="1" x14ac:dyDescent="0.25">
      <c r="A1249" s="22">
        <v>43109</v>
      </c>
      <c r="B1249" t="s">
        <v>177</v>
      </c>
      <c r="C1249" t="s">
        <v>17</v>
      </c>
      <c r="D1249">
        <v>5000</v>
      </c>
      <c r="E1249">
        <v>16.45</v>
      </c>
      <c r="F1249">
        <v>82250</v>
      </c>
      <c r="G1249" t="s">
        <v>204</v>
      </c>
      <c r="H1249">
        <v>2018007</v>
      </c>
      <c r="I1249" t="s">
        <v>19</v>
      </c>
      <c r="J1249" t="s">
        <v>1526</v>
      </c>
      <c r="K1249" t="s">
        <v>25</v>
      </c>
      <c r="L1249">
        <v>81</v>
      </c>
      <c r="M1249">
        <v>2.67</v>
      </c>
      <c r="N1249">
        <v>0</v>
      </c>
      <c r="O1249">
        <v>534.28</v>
      </c>
      <c r="P1249">
        <v>617.95320000000004</v>
      </c>
    </row>
    <row r="1250" spans="1:16" hidden="1" x14ac:dyDescent="0.25">
      <c r="A1250" s="22">
        <v>43105</v>
      </c>
      <c r="B1250" t="s">
        <v>187</v>
      </c>
      <c r="C1250" t="s">
        <v>17</v>
      </c>
      <c r="D1250">
        <v>5000</v>
      </c>
      <c r="E1250">
        <v>24</v>
      </c>
      <c r="F1250">
        <v>120000</v>
      </c>
      <c r="G1250" t="s">
        <v>188</v>
      </c>
      <c r="H1250">
        <v>2018005</v>
      </c>
      <c r="I1250" t="s">
        <v>19</v>
      </c>
      <c r="J1250" t="s">
        <v>20</v>
      </c>
      <c r="K1250" t="s">
        <v>25</v>
      </c>
      <c r="L1250">
        <v>0</v>
      </c>
      <c r="M1250">
        <v>3.9</v>
      </c>
      <c r="N1250">
        <v>7.2</v>
      </c>
      <c r="O1250">
        <v>71.5</v>
      </c>
      <c r="P1250">
        <v>82.6</v>
      </c>
    </row>
    <row r="1251" spans="1:16" hidden="1" x14ac:dyDescent="0.25">
      <c r="A1251" s="22">
        <v>43105</v>
      </c>
      <c r="B1251" t="s">
        <v>187</v>
      </c>
      <c r="C1251" t="s">
        <v>23</v>
      </c>
      <c r="D1251">
        <v>5000</v>
      </c>
      <c r="E1251">
        <v>23.65</v>
      </c>
      <c r="F1251">
        <v>118250</v>
      </c>
      <c r="G1251" t="s">
        <v>189</v>
      </c>
      <c r="H1251">
        <v>2018005</v>
      </c>
      <c r="I1251" t="s">
        <v>19</v>
      </c>
      <c r="J1251" t="s">
        <v>20</v>
      </c>
      <c r="K1251" t="s">
        <v>25</v>
      </c>
      <c r="L1251">
        <v>30</v>
      </c>
      <c r="M1251">
        <v>3.84</v>
      </c>
      <c r="N1251">
        <v>0</v>
      </c>
      <c r="O1251">
        <v>70.459999999999994</v>
      </c>
      <c r="P1251">
        <v>104.3032</v>
      </c>
    </row>
    <row r="1252" spans="1:16" hidden="1" x14ac:dyDescent="0.25">
      <c r="A1252" s="22">
        <v>43104</v>
      </c>
      <c r="B1252" t="s">
        <v>190</v>
      </c>
      <c r="C1252" t="s">
        <v>17</v>
      </c>
      <c r="D1252">
        <v>5000</v>
      </c>
      <c r="E1252">
        <v>15.95</v>
      </c>
      <c r="F1252">
        <v>79750</v>
      </c>
      <c r="G1252" t="s">
        <v>191</v>
      </c>
      <c r="H1252">
        <v>2018004</v>
      </c>
      <c r="I1252" t="s">
        <v>140</v>
      </c>
      <c r="J1252" t="s">
        <v>20</v>
      </c>
      <c r="K1252" t="s">
        <v>25</v>
      </c>
      <c r="L1252">
        <v>80</v>
      </c>
      <c r="M1252">
        <v>2.59</v>
      </c>
      <c r="N1252">
        <v>2.4</v>
      </c>
      <c r="O1252">
        <v>518.04</v>
      </c>
      <c r="P1252">
        <v>603.03189999999995</v>
      </c>
    </row>
    <row r="1253" spans="1:16" hidden="1" x14ac:dyDescent="0.25">
      <c r="A1253" s="22">
        <v>43104</v>
      </c>
      <c r="B1253" t="s">
        <v>192</v>
      </c>
      <c r="C1253" t="s">
        <v>17</v>
      </c>
      <c r="D1253">
        <v>100</v>
      </c>
      <c r="E1253">
        <v>38.700000000000003</v>
      </c>
      <c r="F1253">
        <v>3870</v>
      </c>
      <c r="G1253" t="s">
        <v>193</v>
      </c>
      <c r="H1253">
        <v>2018004</v>
      </c>
      <c r="I1253" t="s">
        <v>19</v>
      </c>
      <c r="J1253" t="s">
        <v>20</v>
      </c>
      <c r="K1253" t="s">
        <v>25</v>
      </c>
      <c r="L1253">
        <v>0</v>
      </c>
      <c r="M1253">
        <v>0.13</v>
      </c>
      <c r="N1253">
        <v>0.3</v>
      </c>
      <c r="O1253">
        <v>29.52</v>
      </c>
      <c r="P1253">
        <v>29.945799999999998</v>
      </c>
    </row>
    <row r="1254" spans="1:16" hidden="1" x14ac:dyDescent="0.25">
      <c r="A1254" s="22">
        <v>43104</v>
      </c>
      <c r="B1254" t="s">
        <v>192</v>
      </c>
      <c r="C1254" t="s">
        <v>23</v>
      </c>
      <c r="D1254">
        <v>100</v>
      </c>
      <c r="E1254">
        <v>37.6</v>
      </c>
      <c r="F1254">
        <v>3760</v>
      </c>
      <c r="G1254" t="s">
        <v>194</v>
      </c>
      <c r="H1254">
        <v>2018004</v>
      </c>
      <c r="I1254" t="s">
        <v>19</v>
      </c>
      <c r="J1254" t="s">
        <v>20</v>
      </c>
      <c r="K1254" t="s">
        <v>25</v>
      </c>
      <c r="L1254">
        <v>1</v>
      </c>
      <c r="M1254">
        <v>0.12</v>
      </c>
      <c r="N1254">
        <v>0</v>
      </c>
      <c r="O1254">
        <v>29.52</v>
      </c>
      <c r="P1254">
        <v>30.642199999999999</v>
      </c>
    </row>
    <row r="1255" spans="1:16" hidden="1" x14ac:dyDescent="0.25">
      <c r="A1255" s="22">
        <v>43103</v>
      </c>
      <c r="B1255" t="s">
        <v>195</v>
      </c>
      <c r="C1255" t="s">
        <v>17</v>
      </c>
      <c r="D1255">
        <v>1000</v>
      </c>
      <c r="E1255">
        <v>98.65</v>
      </c>
      <c r="F1255">
        <v>98650</v>
      </c>
      <c r="G1255" t="s">
        <v>196</v>
      </c>
      <c r="H1255">
        <v>2018003</v>
      </c>
      <c r="I1255" t="s">
        <v>19</v>
      </c>
      <c r="J1255" t="s">
        <v>20</v>
      </c>
      <c r="K1255" t="s">
        <v>25</v>
      </c>
      <c r="L1255">
        <v>99</v>
      </c>
      <c r="M1255">
        <v>3.21</v>
      </c>
      <c r="N1255">
        <v>3</v>
      </c>
      <c r="O1255">
        <v>640.82000000000005</v>
      </c>
      <c r="P1255">
        <v>746.02620000000002</v>
      </c>
    </row>
    <row r="1256" spans="1:16" hidden="1" x14ac:dyDescent="0.25">
      <c r="A1256" s="22">
        <v>43102</v>
      </c>
      <c r="B1256" t="s">
        <v>179</v>
      </c>
      <c r="C1256" t="s">
        <v>23</v>
      </c>
      <c r="D1256">
        <v>500</v>
      </c>
      <c r="E1256">
        <v>91</v>
      </c>
      <c r="F1256">
        <v>45500</v>
      </c>
      <c r="G1256" t="s">
        <v>180</v>
      </c>
      <c r="H1256">
        <v>2018002</v>
      </c>
      <c r="I1256" t="s">
        <v>19</v>
      </c>
      <c r="J1256" t="s">
        <v>20</v>
      </c>
      <c r="K1256" t="s">
        <v>25</v>
      </c>
      <c r="L1256">
        <v>45.5</v>
      </c>
      <c r="M1256">
        <v>1.48</v>
      </c>
      <c r="N1256">
        <v>0</v>
      </c>
      <c r="O1256">
        <v>295.56</v>
      </c>
      <c r="P1256">
        <v>342.53879999999998</v>
      </c>
    </row>
    <row r="1257" spans="1:16" hidden="1" x14ac:dyDescent="0.25">
      <c r="A1257" s="22">
        <v>43102</v>
      </c>
      <c r="B1257" t="s">
        <v>35</v>
      </c>
      <c r="C1257" t="s">
        <v>23</v>
      </c>
      <c r="D1257">
        <v>1000</v>
      </c>
      <c r="E1257">
        <v>71</v>
      </c>
      <c r="F1257">
        <v>71000</v>
      </c>
      <c r="G1257" t="s">
        <v>181</v>
      </c>
      <c r="H1257">
        <v>2018002</v>
      </c>
      <c r="I1257" t="s">
        <v>19</v>
      </c>
      <c r="J1257" t="s">
        <v>20</v>
      </c>
      <c r="K1257" t="s">
        <v>25</v>
      </c>
      <c r="L1257">
        <v>71.5</v>
      </c>
      <c r="M1257">
        <v>2.31</v>
      </c>
      <c r="N1257">
        <v>3.6</v>
      </c>
      <c r="O1257">
        <v>461.2</v>
      </c>
      <c r="P1257">
        <v>538.60749999999996</v>
      </c>
    </row>
    <row r="1258" spans="1:16" hidden="1" x14ac:dyDescent="0.25">
      <c r="A1258" s="22">
        <v>43101</v>
      </c>
      <c r="B1258" t="s">
        <v>177</v>
      </c>
      <c r="C1258" t="s">
        <v>17</v>
      </c>
      <c r="D1258">
        <v>5000</v>
      </c>
      <c r="E1258">
        <v>15.75</v>
      </c>
      <c r="F1258">
        <v>78750</v>
      </c>
      <c r="G1258" t="s">
        <v>182</v>
      </c>
      <c r="H1258">
        <v>2018001</v>
      </c>
      <c r="I1258" t="s">
        <v>19</v>
      </c>
      <c r="J1258" t="s">
        <v>20</v>
      </c>
      <c r="K1258" t="s">
        <v>25</v>
      </c>
      <c r="L1258">
        <v>78.75</v>
      </c>
      <c r="M1258">
        <v>2.56</v>
      </c>
      <c r="N1258">
        <v>0</v>
      </c>
      <c r="O1258">
        <v>511.55</v>
      </c>
      <c r="P1258">
        <v>592.85940000000005</v>
      </c>
    </row>
    <row r="1259" spans="1:16" hidden="1" x14ac:dyDescent="0.25">
      <c r="A1259" s="22">
        <v>43101</v>
      </c>
      <c r="B1259" t="s">
        <v>26</v>
      </c>
      <c r="C1259" t="s">
        <v>23</v>
      </c>
      <c r="D1259">
        <v>500</v>
      </c>
      <c r="E1259">
        <v>135.81</v>
      </c>
      <c r="F1259">
        <v>67905</v>
      </c>
      <c r="G1259" t="s">
        <v>183</v>
      </c>
      <c r="H1259">
        <v>2018001</v>
      </c>
      <c r="I1259" t="s">
        <v>19</v>
      </c>
      <c r="J1259" t="s">
        <v>20</v>
      </c>
      <c r="K1259" t="s">
        <v>25</v>
      </c>
      <c r="L1259">
        <v>67.75</v>
      </c>
      <c r="M1259">
        <v>2.21</v>
      </c>
      <c r="N1259">
        <v>5.7</v>
      </c>
      <c r="O1259">
        <v>441.1</v>
      </c>
      <c r="P1259">
        <v>516.7568</v>
      </c>
    </row>
    <row r="1260" spans="1:16" hidden="1" x14ac:dyDescent="0.25">
      <c r="A1260" s="22">
        <v>43101</v>
      </c>
      <c r="B1260" t="s">
        <v>51</v>
      </c>
      <c r="C1260" t="s">
        <v>17</v>
      </c>
      <c r="D1260">
        <v>100</v>
      </c>
      <c r="E1260">
        <v>335</v>
      </c>
      <c r="F1260">
        <v>33500</v>
      </c>
      <c r="G1260" t="s">
        <v>184</v>
      </c>
      <c r="H1260">
        <v>2018001</v>
      </c>
      <c r="I1260" t="s">
        <v>19</v>
      </c>
      <c r="J1260" t="s">
        <v>20</v>
      </c>
      <c r="K1260" t="s">
        <v>25</v>
      </c>
      <c r="L1260">
        <v>33.5</v>
      </c>
      <c r="M1260">
        <v>1.0900000000000001</v>
      </c>
      <c r="N1260">
        <v>0</v>
      </c>
      <c r="O1260">
        <v>217.61</v>
      </c>
      <c r="P1260">
        <v>252.19880000000001</v>
      </c>
    </row>
    <row r="1261" spans="1:16" hidden="1" x14ac:dyDescent="0.25">
      <c r="A1261" s="22">
        <v>43098</v>
      </c>
      <c r="B1261" t="s">
        <v>179</v>
      </c>
      <c r="C1261" t="s">
        <v>17</v>
      </c>
      <c r="D1261">
        <v>500</v>
      </c>
      <c r="E1261">
        <v>69.930000000000007</v>
      </c>
      <c r="F1261">
        <v>34962.5</v>
      </c>
      <c r="G1261" t="s">
        <v>185</v>
      </c>
      <c r="H1261">
        <v>2017248</v>
      </c>
      <c r="I1261" t="s">
        <v>19</v>
      </c>
      <c r="J1261" t="s">
        <v>20</v>
      </c>
      <c r="K1261" t="s">
        <v>25</v>
      </c>
      <c r="L1261">
        <v>34.5</v>
      </c>
      <c r="M1261">
        <v>1.1399999999999999</v>
      </c>
      <c r="N1261">
        <v>2.4</v>
      </c>
      <c r="O1261">
        <v>227.11</v>
      </c>
      <c r="P1261">
        <v>265.14620000000002</v>
      </c>
    </row>
    <row r="1262" spans="1:16" hidden="1" x14ac:dyDescent="0.25">
      <c r="A1262" s="22">
        <v>43098</v>
      </c>
      <c r="B1262" t="s">
        <v>177</v>
      </c>
      <c r="C1262" t="s">
        <v>23</v>
      </c>
      <c r="D1262">
        <v>2500</v>
      </c>
      <c r="E1262">
        <v>15.4</v>
      </c>
      <c r="F1262">
        <v>38500</v>
      </c>
      <c r="G1262" t="s">
        <v>186</v>
      </c>
      <c r="H1262">
        <v>2017248</v>
      </c>
      <c r="I1262" t="s">
        <v>19</v>
      </c>
      <c r="J1262" t="s">
        <v>20</v>
      </c>
      <c r="K1262" t="s">
        <v>25</v>
      </c>
      <c r="L1262">
        <v>38.5</v>
      </c>
      <c r="M1262">
        <v>1.25</v>
      </c>
      <c r="N1262">
        <v>0</v>
      </c>
      <c r="O1262">
        <v>250.09</v>
      </c>
      <c r="P1262">
        <v>289.84129999999999</v>
      </c>
    </row>
    <row r="1263" spans="1:16" hidden="1" x14ac:dyDescent="0.25">
      <c r="A1263" s="22">
        <v>43097</v>
      </c>
      <c r="B1263" t="s">
        <v>35</v>
      </c>
      <c r="C1263" t="s">
        <v>17</v>
      </c>
      <c r="D1263">
        <v>1000</v>
      </c>
      <c r="E1263">
        <v>48.75</v>
      </c>
      <c r="F1263">
        <v>48750</v>
      </c>
      <c r="G1263" t="s">
        <v>175</v>
      </c>
      <c r="H1263">
        <v>2017247</v>
      </c>
      <c r="I1263" t="s">
        <v>19</v>
      </c>
      <c r="J1263" t="s">
        <v>20</v>
      </c>
      <c r="K1263" t="s">
        <v>25</v>
      </c>
      <c r="L1263">
        <v>48.5</v>
      </c>
      <c r="M1263">
        <v>1.58</v>
      </c>
      <c r="N1263">
        <v>3</v>
      </c>
      <c r="O1263">
        <v>316.69</v>
      </c>
      <c r="P1263">
        <v>369.77429999999998</v>
      </c>
    </row>
    <row r="1264" spans="1:16" hidden="1" x14ac:dyDescent="0.25">
      <c r="A1264" s="22">
        <v>43097</v>
      </c>
      <c r="B1264" t="s">
        <v>16</v>
      </c>
      <c r="C1264" t="s">
        <v>23</v>
      </c>
      <c r="D1264">
        <v>500</v>
      </c>
      <c r="E1264">
        <v>93</v>
      </c>
      <c r="F1264">
        <v>46500</v>
      </c>
      <c r="G1264" t="s">
        <v>176</v>
      </c>
      <c r="H1264">
        <v>2017247</v>
      </c>
      <c r="I1264" t="s">
        <v>19</v>
      </c>
      <c r="J1264" t="s">
        <v>20</v>
      </c>
      <c r="K1264" t="s">
        <v>25</v>
      </c>
      <c r="L1264">
        <v>46.5</v>
      </c>
      <c r="M1264">
        <v>1.51</v>
      </c>
      <c r="N1264">
        <v>0</v>
      </c>
      <c r="O1264">
        <v>302.06</v>
      </c>
      <c r="P1264">
        <v>350.07130000000001</v>
      </c>
    </row>
    <row r="1265" spans="1:16" hidden="1" x14ac:dyDescent="0.25">
      <c r="A1265" s="22">
        <v>43091</v>
      </c>
      <c r="B1265" t="s">
        <v>177</v>
      </c>
      <c r="C1265" t="s">
        <v>17</v>
      </c>
      <c r="D1265">
        <v>2500</v>
      </c>
      <c r="E1265">
        <v>14.55</v>
      </c>
      <c r="F1265">
        <v>36375</v>
      </c>
      <c r="G1265" t="s">
        <v>178</v>
      </c>
      <c r="H1265">
        <v>2017244</v>
      </c>
      <c r="I1265" t="s">
        <v>19</v>
      </c>
      <c r="J1265" t="s">
        <v>20</v>
      </c>
      <c r="K1265" t="s">
        <v>25</v>
      </c>
      <c r="L1265">
        <v>36</v>
      </c>
      <c r="M1265">
        <v>1.18</v>
      </c>
      <c r="N1265">
        <v>1.2</v>
      </c>
      <c r="O1265">
        <v>236.29</v>
      </c>
      <c r="P1265">
        <v>274.67219999999998</v>
      </c>
    </row>
    <row r="1266" spans="1:16" hidden="1" x14ac:dyDescent="0.25">
      <c r="A1266" s="22">
        <v>43088</v>
      </c>
      <c r="B1266" t="s">
        <v>29</v>
      </c>
      <c r="C1266" t="s">
        <v>23</v>
      </c>
      <c r="D1266">
        <v>5000</v>
      </c>
      <c r="E1266">
        <v>17.8</v>
      </c>
      <c r="F1266">
        <v>89000</v>
      </c>
      <c r="G1266" t="s">
        <v>174</v>
      </c>
      <c r="H1266">
        <v>2017241</v>
      </c>
      <c r="I1266" t="s">
        <v>19</v>
      </c>
      <c r="J1266" t="s">
        <v>20</v>
      </c>
      <c r="K1266" t="s">
        <v>25</v>
      </c>
      <c r="L1266">
        <v>89</v>
      </c>
      <c r="M1266">
        <v>2.89</v>
      </c>
      <c r="N1266">
        <v>2.7</v>
      </c>
      <c r="O1266">
        <v>578.13</v>
      </c>
      <c r="P1266">
        <v>672.72249999999997</v>
      </c>
    </row>
    <row r="1267" spans="1:16" hidden="1" x14ac:dyDescent="0.25">
      <c r="A1267" s="22">
        <v>43083</v>
      </c>
      <c r="B1267" t="s">
        <v>26</v>
      </c>
      <c r="C1267" t="s">
        <v>17</v>
      </c>
      <c r="D1267">
        <v>500</v>
      </c>
      <c r="E1267">
        <v>130.69999999999999</v>
      </c>
      <c r="F1267">
        <v>65350</v>
      </c>
      <c r="G1267" t="s">
        <v>173</v>
      </c>
      <c r="H1267">
        <v>201718178</v>
      </c>
      <c r="I1267" t="s">
        <v>19</v>
      </c>
      <c r="J1267" t="s">
        <v>20</v>
      </c>
      <c r="K1267" t="s">
        <v>21</v>
      </c>
      <c r="L1267">
        <v>65.489999999999995</v>
      </c>
      <c r="M1267">
        <v>1.93</v>
      </c>
      <c r="N1267">
        <v>3.3</v>
      </c>
      <c r="O1267">
        <v>424.47</v>
      </c>
      <c r="P1267">
        <v>495.18779999999998</v>
      </c>
    </row>
    <row r="1268" spans="1:16" hidden="1" x14ac:dyDescent="0.25">
      <c r="A1268" s="22">
        <v>43083</v>
      </c>
      <c r="B1268" t="s">
        <v>16</v>
      </c>
      <c r="C1268" t="s">
        <v>17</v>
      </c>
      <c r="D1268">
        <v>500</v>
      </c>
      <c r="E1268">
        <v>77.03</v>
      </c>
      <c r="F1268">
        <v>38513.1</v>
      </c>
      <c r="G1268" t="s">
        <v>18</v>
      </c>
      <c r="H1268">
        <v>201718178</v>
      </c>
      <c r="I1268" t="s">
        <v>19</v>
      </c>
      <c r="J1268" t="s">
        <v>20</v>
      </c>
      <c r="K1268" t="s">
        <v>21</v>
      </c>
      <c r="L1268">
        <v>38.51</v>
      </c>
      <c r="M1268">
        <v>1.1399999999999999</v>
      </c>
      <c r="N1268">
        <v>0</v>
      </c>
      <c r="O1268">
        <v>250.15</v>
      </c>
      <c r="P1268">
        <v>289.7962</v>
      </c>
    </row>
    <row r="1269" spans="1:16" hidden="1" x14ac:dyDescent="0.25">
      <c r="A1269" s="22">
        <v>43083</v>
      </c>
      <c r="B1269" t="s">
        <v>22</v>
      </c>
      <c r="C1269" t="s">
        <v>23</v>
      </c>
      <c r="D1269">
        <v>1000</v>
      </c>
      <c r="E1269">
        <v>71.349999999999994</v>
      </c>
      <c r="F1269">
        <v>71345.05</v>
      </c>
      <c r="G1269" t="s">
        <v>24</v>
      </c>
      <c r="H1269">
        <v>2017238</v>
      </c>
      <c r="I1269" t="s">
        <v>19</v>
      </c>
      <c r="J1269" t="s">
        <v>20</v>
      </c>
      <c r="K1269" t="s">
        <v>25</v>
      </c>
      <c r="L1269">
        <v>71</v>
      </c>
      <c r="M1269">
        <v>2.3199999999999998</v>
      </c>
      <c r="N1269">
        <v>2.4</v>
      </c>
      <c r="O1269">
        <v>463.45</v>
      </c>
      <c r="P1269">
        <v>539.16869999999994</v>
      </c>
    </row>
    <row r="1270" spans="1:16" hidden="1" x14ac:dyDescent="0.25">
      <c r="A1270" s="22">
        <v>43077</v>
      </c>
      <c r="B1270" t="s">
        <v>26</v>
      </c>
      <c r="C1270" t="s">
        <v>17</v>
      </c>
      <c r="D1270">
        <v>500</v>
      </c>
      <c r="E1270">
        <v>137.24</v>
      </c>
      <c r="F1270">
        <v>68618.100000000006</v>
      </c>
      <c r="G1270" t="s">
        <v>27</v>
      </c>
      <c r="H1270">
        <v>2017234</v>
      </c>
      <c r="I1270" t="s">
        <v>19</v>
      </c>
      <c r="J1270" t="s">
        <v>20</v>
      </c>
      <c r="K1270" t="s">
        <v>25</v>
      </c>
      <c r="L1270">
        <v>68.62</v>
      </c>
      <c r="M1270">
        <v>2.23</v>
      </c>
      <c r="N1270">
        <v>0</v>
      </c>
      <c r="O1270">
        <v>445.73</v>
      </c>
      <c r="P1270">
        <v>516.58010000000002</v>
      </c>
    </row>
    <row r="1271" spans="1:16" hidden="1" x14ac:dyDescent="0.25">
      <c r="A1271" s="22">
        <v>43077</v>
      </c>
      <c r="B1271" t="s">
        <v>22</v>
      </c>
      <c r="C1271" t="s">
        <v>17</v>
      </c>
      <c r="D1271">
        <v>1000</v>
      </c>
      <c r="E1271">
        <v>78.650000000000006</v>
      </c>
      <c r="F1271">
        <v>78650</v>
      </c>
      <c r="G1271" t="s">
        <v>28</v>
      </c>
      <c r="H1271">
        <v>2017234</v>
      </c>
      <c r="I1271" t="s">
        <v>19</v>
      </c>
      <c r="J1271" t="s">
        <v>20</v>
      </c>
      <c r="K1271" t="s">
        <v>25</v>
      </c>
      <c r="L1271">
        <v>78.38</v>
      </c>
      <c r="M1271">
        <v>2.56</v>
      </c>
      <c r="N1271">
        <v>4.5</v>
      </c>
      <c r="O1271">
        <v>510.9</v>
      </c>
      <c r="P1271">
        <v>596.33600000000001</v>
      </c>
    </row>
    <row r="1272" spans="1:16" hidden="1" x14ac:dyDescent="0.25">
      <c r="A1272" s="22">
        <v>43075</v>
      </c>
      <c r="B1272" t="s">
        <v>29</v>
      </c>
      <c r="C1272" t="s">
        <v>17</v>
      </c>
      <c r="D1272">
        <v>5000</v>
      </c>
      <c r="E1272">
        <v>16.7</v>
      </c>
      <c r="F1272">
        <v>83500</v>
      </c>
      <c r="G1272" t="s">
        <v>30</v>
      </c>
      <c r="H1272">
        <v>2017232</v>
      </c>
      <c r="I1272" t="s">
        <v>19</v>
      </c>
      <c r="J1272" t="s">
        <v>20</v>
      </c>
      <c r="K1272" t="s">
        <v>25</v>
      </c>
      <c r="L1272">
        <v>84</v>
      </c>
      <c r="M1272">
        <v>2.71</v>
      </c>
      <c r="N1272">
        <v>2.7</v>
      </c>
      <c r="O1272">
        <v>542.4</v>
      </c>
      <c r="P1272">
        <v>631.81380000000001</v>
      </c>
    </row>
    <row r="1273" spans="1:16" hidden="1" x14ac:dyDescent="0.25">
      <c r="A1273" s="22">
        <v>43070</v>
      </c>
      <c r="B1273" t="s">
        <v>16</v>
      </c>
      <c r="C1273" t="s">
        <v>23</v>
      </c>
      <c r="D1273">
        <v>500</v>
      </c>
      <c r="E1273">
        <v>73.599999999999994</v>
      </c>
      <c r="F1273">
        <v>36800</v>
      </c>
      <c r="G1273" t="s">
        <v>31</v>
      </c>
      <c r="H1273">
        <v>201718169</v>
      </c>
      <c r="I1273" t="s">
        <v>19</v>
      </c>
      <c r="J1273" t="s">
        <v>20</v>
      </c>
      <c r="K1273" t="s">
        <v>21</v>
      </c>
      <c r="L1273">
        <v>37</v>
      </c>
      <c r="M1273">
        <v>1.0900000000000001</v>
      </c>
      <c r="N1273">
        <v>1.2</v>
      </c>
      <c r="O1273">
        <v>239.03</v>
      </c>
      <c r="P1273">
        <v>278.31560000000002</v>
      </c>
    </row>
    <row r="1274" spans="1:16" hidden="1" x14ac:dyDescent="0.25">
      <c r="A1274" s="22">
        <v>43060</v>
      </c>
      <c r="B1274" t="s">
        <v>26</v>
      </c>
      <c r="C1274" t="s">
        <v>17</v>
      </c>
      <c r="D1274">
        <v>1000</v>
      </c>
      <c r="E1274">
        <v>142</v>
      </c>
      <c r="F1274">
        <v>142000</v>
      </c>
      <c r="G1274" t="s">
        <v>32</v>
      </c>
      <c r="H1274">
        <v>201718161</v>
      </c>
      <c r="I1274" t="s">
        <v>19</v>
      </c>
      <c r="J1274" t="s">
        <v>20</v>
      </c>
      <c r="K1274" t="s">
        <v>21</v>
      </c>
      <c r="L1274">
        <v>0</v>
      </c>
      <c r="M1274">
        <v>4.1900000000000004</v>
      </c>
      <c r="N1274">
        <v>8.4</v>
      </c>
      <c r="O1274">
        <v>922.33</v>
      </c>
      <c r="P1274">
        <v>934.91899999999998</v>
      </c>
    </row>
    <row r="1275" spans="1:16" hidden="1" x14ac:dyDescent="0.25">
      <c r="A1275" s="22">
        <v>43060</v>
      </c>
      <c r="B1275" t="s">
        <v>26</v>
      </c>
      <c r="C1275" t="s">
        <v>23</v>
      </c>
      <c r="D1275">
        <v>1000</v>
      </c>
      <c r="E1275">
        <v>132.53</v>
      </c>
      <c r="F1275">
        <v>132525.1</v>
      </c>
      <c r="G1275" t="s">
        <v>33</v>
      </c>
      <c r="H1275">
        <v>201718161</v>
      </c>
      <c r="I1275" t="s">
        <v>19</v>
      </c>
      <c r="J1275" t="s">
        <v>20</v>
      </c>
      <c r="K1275" t="s">
        <v>21</v>
      </c>
      <c r="L1275">
        <v>34</v>
      </c>
      <c r="M1275">
        <v>3.91</v>
      </c>
      <c r="N1275">
        <v>0</v>
      </c>
      <c r="O1275">
        <v>0.7</v>
      </c>
      <c r="P1275">
        <v>38.609499999999997</v>
      </c>
    </row>
    <row r="1276" spans="1:16" hidden="1" x14ac:dyDescent="0.25">
      <c r="A1276" s="22">
        <v>43055</v>
      </c>
      <c r="B1276" t="s">
        <v>16</v>
      </c>
      <c r="C1276" t="s">
        <v>17</v>
      </c>
      <c r="D1276">
        <v>500</v>
      </c>
      <c r="E1276">
        <v>69</v>
      </c>
      <c r="F1276">
        <v>34500</v>
      </c>
      <c r="G1276" t="s">
        <v>34</v>
      </c>
      <c r="H1276">
        <v>201718158</v>
      </c>
      <c r="I1276" t="s">
        <v>19</v>
      </c>
      <c r="J1276" t="s">
        <v>20</v>
      </c>
      <c r="K1276" t="s">
        <v>21</v>
      </c>
      <c r="L1276">
        <v>35</v>
      </c>
      <c r="M1276">
        <v>1.02</v>
      </c>
      <c r="N1276">
        <v>1.2</v>
      </c>
      <c r="O1276">
        <v>224.09</v>
      </c>
      <c r="P1276">
        <v>261.30770000000001</v>
      </c>
    </row>
    <row r="1277" spans="1:16" hidden="1" x14ac:dyDescent="0.25">
      <c r="A1277" s="22">
        <v>43012</v>
      </c>
      <c r="B1277" t="s">
        <v>35</v>
      </c>
      <c r="C1277" t="s">
        <v>23</v>
      </c>
      <c r="D1277">
        <v>2000</v>
      </c>
      <c r="E1277">
        <v>51.06</v>
      </c>
      <c r="F1277">
        <v>102113</v>
      </c>
      <c r="G1277" t="s">
        <v>36</v>
      </c>
      <c r="H1277">
        <v>201718128</v>
      </c>
      <c r="I1277" t="s">
        <v>19</v>
      </c>
      <c r="J1277" t="s">
        <v>20</v>
      </c>
      <c r="K1277" t="s">
        <v>21</v>
      </c>
      <c r="L1277">
        <v>102</v>
      </c>
      <c r="M1277">
        <v>3.01</v>
      </c>
      <c r="N1277">
        <v>3.3</v>
      </c>
      <c r="O1277">
        <v>663.25</v>
      </c>
      <c r="P1277">
        <v>771.56230000000005</v>
      </c>
    </row>
    <row r="1278" spans="1:16" hidden="1" x14ac:dyDescent="0.25">
      <c r="A1278" s="22">
        <v>43000</v>
      </c>
      <c r="B1278" t="s">
        <v>35</v>
      </c>
      <c r="C1278" t="s">
        <v>17</v>
      </c>
      <c r="D1278">
        <v>1000</v>
      </c>
      <c r="E1278">
        <v>54</v>
      </c>
      <c r="F1278">
        <v>54000</v>
      </c>
      <c r="G1278" t="s">
        <v>37</v>
      </c>
      <c r="H1278">
        <v>201718121</v>
      </c>
      <c r="I1278" t="s">
        <v>19</v>
      </c>
      <c r="J1278" t="s">
        <v>20</v>
      </c>
      <c r="K1278" t="s">
        <v>21</v>
      </c>
      <c r="L1278">
        <v>54</v>
      </c>
      <c r="M1278">
        <v>1.59</v>
      </c>
      <c r="N1278">
        <v>1.8</v>
      </c>
      <c r="O1278">
        <v>350.75</v>
      </c>
      <c r="P1278">
        <v>408.14299999999997</v>
      </c>
    </row>
    <row r="1279" spans="1:16" hidden="1" x14ac:dyDescent="0.25">
      <c r="A1279" s="22">
        <v>42909</v>
      </c>
      <c r="B1279" t="s">
        <v>35</v>
      </c>
      <c r="C1279" t="s">
        <v>17</v>
      </c>
      <c r="D1279">
        <v>1000</v>
      </c>
      <c r="E1279">
        <v>62.1</v>
      </c>
      <c r="F1279">
        <v>62100</v>
      </c>
      <c r="G1279" t="s">
        <v>38</v>
      </c>
      <c r="H1279">
        <v>201718059</v>
      </c>
      <c r="I1279" t="s">
        <v>19</v>
      </c>
      <c r="J1279" t="s">
        <v>20</v>
      </c>
      <c r="K1279" t="s">
        <v>21</v>
      </c>
      <c r="L1279">
        <v>0</v>
      </c>
      <c r="M1279">
        <v>2.02</v>
      </c>
      <c r="N1279">
        <v>3.9</v>
      </c>
      <c r="O1279">
        <v>392.78</v>
      </c>
      <c r="P1279">
        <v>398.69830000000002</v>
      </c>
    </row>
    <row r="1280" spans="1:16" hidden="1" x14ac:dyDescent="0.25">
      <c r="A1280" s="22">
        <v>42909</v>
      </c>
      <c r="B1280" t="s">
        <v>35</v>
      </c>
      <c r="C1280" t="s">
        <v>23</v>
      </c>
      <c r="D1280">
        <v>1000</v>
      </c>
      <c r="E1280">
        <v>61.15</v>
      </c>
      <c r="F1280">
        <v>61150</v>
      </c>
      <c r="G1280" t="s">
        <v>39</v>
      </c>
      <c r="H1280">
        <v>201718059</v>
      </c>
      <c r="I1280" t="s">
        <v>19</v>
      </c>
      <c r="J1280" t="s">
        <v>20</v>
      </c>
      <c r="K1280" t="s">
        <v>21</v>
      </c>
      <c r="L1280">
        <v>15</v>
      </c>
      <c r="M1280">
        <v>1.99</v>
      </c>
      <c r="N1280">
        <v>0</v>
      </c>
      <c r="O1280">
        <v>0</v>
      </c>
      <c r="P1280">
        <v>16.987400000000001</v>
      </c>
    </row>
    <row r="1281" spans="1:16" hidden="1" x14ac:dyDescent="0.25">
      <c r="A1281" s="22">
        <v>42907</v>
      </c>
      <c r="B1281" t="s">
        <v>26</v>
      </c>
      <c r="C1281" t="s">
        <v>17</v>
      </c>
      <c r="D1281">
        <v>200</v>
      </c>
      <c r="E1281">
        <v>134</v>
      </c>
      <c r="F1281">
        <v>26800</v>
      </c>
      <c r="G1281" t="s">
        <v>40</v>
      </c>
      <c r="H1281">
        <v>201718057</v>
      </c>
      <c r="I1281" t="s">
        <v>19</v>
      </c>
      <c r="J1281" t="s">
        <v>20</v>
      </c>
      <c r="K1281" t="s">
        <v>21</v>
      </c>
      <c r="L1281">
        <v>27</v>
      </c>
      <c r="M1281">
        <v>0.87</v>
      </c>
      <c r="N1281">
        <v>0.9</v>
      </c>
      <c r="O1281">
        <v>169.51</v>
      </c>
      <c r="P1281">
        <v>198.28100000000001</v>
      </c>
    </row>
    <row r="1282" spans="1:16" hidden="1" x14ac:dyDescent="0.25">
      <c r="A1282" s="22">
        <v>42866</v>
      </c>
      <c r="B1282" t="s">
        <v>35</v>
      </c>
      <c r="C1282" t="s">
        <v>17</v>
      </c>
      <c r="D1282">
        <v>1000</v>
      </c>
      <c r="E1282">
        <v>67.75</v>
      </c>
      <c r="F1282">
        <v>67750</v>
      </c>
      <c r="G1282" t="s">
        <v>41</v>
      </c>
      <c r="H1282">
        <v>201718028</v>
      </c>
      <c r="I1282" t="s">
        <v>19</v>
      </c>
      <c r="J1282" t="s">
        <v>20</v>
      </c>
      <c r="K1282" t="s">
        <v>21</v>
      </c>
      <c r="L1282">
        <v>68</v>
      </c>
      <c r="M1282">
        <v>2.2000000000000002</v>
      </c>
      <c r="N1282">
        <v>2.1</v>
      </c>
      <c r="O1282">
        <v>428.52</v>
      </c>
      <c r="P1282">
        <v>500.82190000000003</v>
      </c>
    </row>
    <row r="1283" spans="1:16" hidden="1" x14ac:dyDescent="0.25">
      <c r="A1283" s="22">
        <v>42857</v>
      </c>
      <c r="B1283" t="s">
        <v>35</v>
      </c>
      <c r="C1283" t="s">
        <v>23</v>
      </c>
      <c r="D1283">
        <v>2000</v>
      </c>
      <c r="E1283">
        <v>70.150000000000006</v>
      </c>
      <c r="F1283">
        <v>140300</v>
      </c>
      <c r="G1283" t="s">
        <v>42</v>
      </c>
      <c r="H1283">
        <v>201718021</v>
      </c>
      <c r="I1283" t="s">
        <v>19</v>
      </c>
      <c r="J1283" t="s">
        <v>20</v>
      </c>
      <c r="K1283" t="s">
        <v>21</v>
      </c>
      <c r="L1283">
        <v>140</v>
      </c>
      <c r="M1283">
        <v>4.5599999999999996</v>
      </c>
      <c r="N1283">
        <v>4.5</v>
      </c>
      <c r="O1283">
        <v>887.4</v>
      </c>
      <c r="P1283">
        <v>1036.4597000000001</v>
      </c>
    </row>
    <row r="1284" spans="1:16" hidden="1" x14ac:dyDescent="0.25">
      <c r="A1284" s="22">
        <v>42836</v>
      </c>
      <c r="B1284" t="s">
        <v>35</v>
      </c>
      <c r="C1284" t="s">
        <v>17</v>
      </c>
      <c r="D1284">
        <v>1000</v>
      </c>
      <c r="E1284">
        <v>67</v>
      </c>
      <c r="F1284">
        <v>67000</v>
      </c>
      <c r="G1284" t="s">
        <v>43</v>
      </c>
      <c r="H1284">
        <v>201718008</v>
      </c>
      <c r="I1284" t="s">
        <v>19</v>
      </c>
      <c r="J1284" t="s">
        <v>20</v>
      </c>
      <c r="K1284" t="s">
        <v>21</v>
      </c>
      <c r="L1284">
        <v>67</v>
      </c>
      <c r="M1284">
        <v>2.21</v>
      </c>
      <c r="N1284">
        <v>2.1</v>
      </c>
      <c r="O1284">
        <v>423.77</v>
      </c>
      <c r="P1284">
        <v>495.08100000000002</v>
      </c>
    </row>
    <row r="1285" spans="1:16" hidden="1" x14ac:dyDescent="0.25">
      <c r="A1285" s="22">
        <v>42824</v>
      </c>
      <c r="B1285" t="s">
        <v>35</v>
      </c>
      <c r="C1285" t="s">
        <v>23</v>
      </c>
      <c r="D1285">
        <v>1000</v>
      </c>
      <c r="E1285">
        <v>65.8</v>
      </c>
      <c r="F1285">
        <v>65800</v>
      </c>
      <c r="G1285" t="s">
        <v>44</v>
      </c>
      <c r="H1285">
        <v>201718001</v>
      </c>
      <c r="I1285" t="s">
        <v>19</v>
      </c>
      <c r="J1285" t="s">
        <v>20</v>
      </c>
      <c r="K1285" t="s">
        <v>21</v>
      </c>
      <c r="L1285">
        <v>66</v>
      </c>
      <c r="M1285">
        <v>2.17</v>
      </c>
      <c r="N1285">
        <v>7</v>
      </c>
      <c r="O1285">
        <v>416.19</v>
      </c>
      <c r="P1285">
        <v>491.3614</v>
      </c>
    </row>
    <row r="1286" spans="1:16" hidden="1" x14ac:dyDescent="0.25">
      <c r="A1286" s="22">
        <v>42818</v>
      </c>
      <c r="B1286" t="s">
        <v>35</v>
      </c>
      <c r="C1286" t="s">
        <v>17</v>
      </c>
      <c r="D1286">
        <v>1000</v>
      </c>
      <c r="E1286">
        <v>63.49</v>
      </c>
      <c r="F1286">
        <v>63492.5</v>
      </c>
      <c r="G1286" t="s">
        <v>45</v>
      </c>
      <c r="H1286">
        <v>201617245</v>
      </c>
      <c r="I1286" t="s">
        <v>19</v>
      </c>
      <c r="J1286" t="s">
        <v>20</v>
      </c>
      <c r="K1286" t="s">
        <v>21</v>
      </c>
      <c r="L1286">
        <v>63.49</v>
      </c>
      <c r="M1286">
        <v>2.1</v>
      </c>
      <c r="N1286">
        <v>0</v>
      </c>
      <c r="O1286">
        <v>401.59</v>
      </c>
      <c r="P1286">
        <v>467.17520000000002</v>
      </c>
    </row>
    <row r="1287" spans="1:16" hidden="1" x14ac:dyDescent="0.25">
      <c r="A1287" s="22">
        <v>42818</v>
      </c>
      <c r="B1287" t="s">
        <v>46</v>
      </c>
      <c r="C1287" t="s">
        <v>23</v>
      </c>
      <c r="D1287">
        <v>100</v>
      </c>
      <c r="E1287">
        <v>97.5</v>
      </c>
      <c r="F1287">
        <v>9750</v>
      </c>
      <c r="G1287" t="s">
        <v>47</v>
      </c>
      <c r="H1287">
        <v>201617245</v>
      </c>
      <c r="I1287" t="s">
        <v>19</v>
      </c>
      <c r="J1287" t="s">
        <v>20</v>
      </c>
      <c r="K1287" t="s">
        <v>21</v>
      </c>
      <c r="L1287">
        <v>9.51</v>
      </c>
      <c r="M1287">
        <v>0.32</v>
      </c>
      <c r="N1287">
        <v>8</v>
      </c>
      <c r="O1287">
        <v>61.67</v>
      </c>
      <c r="P1287">
        <v>79.5017</v>
      </c>
    </row>
    <row r="1288" spans="1:16" hidden="1" x14ac:dyDescent="0.25">
      <c r="A1288" s="22">
        <v>42808</v>
      </c>
      <c r="B1288" t="s">
        <v>46</v>
      </c>
      <c r="C1288" t="s">
        <v>17</v>
      </c>
      <c r="D1288">
        <v>100</v>
      </c>
      <c r="E1288">
        <v>92</v>
      </c>
      <c r="F1288">
        <v>9200</v>
      </c>
      <c r="G1288" t="s">
        <v>48</v>
      </c>
      <c r="H1288">
        <v>201617237</v>
      </c>
      <c r="I1288" t="s">
        <v>19</v>
      </c>
      <c r="J1288" t="s">
        <v>20</v>
      </c>
      <c r="K1288" t="s">
        <v>21</v>
      </c>
      <c r="L1288">
        <v>9</v>
      </c>
      <c r="M1288">
        <v>0.3</v>
      </c>
      <c r="N1288">
        <v>1</v>
      </c>
      <c r="O1288">
        <v>58.19</v>
      </c>
      <c r="P1288">
        <v>68.493600000000001</v>
      </c>
    </row>
    <row r="1289" spans="1:16" hidden="1" x14ac:dyDescent="0.25">
      <c r="A1289" s="22">
        <v>42676</v>
      </c>
      <c r="B1289" t="s">
        <v>49</v>
      </c>
      <c r="C1289" t="s">
        <v>23</v>
      </c>
      <c r="D1289">
        <v>100</v>
      </c>
      <c r="E1289">
        <v>401.05</v>
      </c>
      <c r="F1289">
        <v>40105</v>
      </c>
      <c r="G1289" t="s">
        <v>50</v>
      </c>
      <c r="H1289">
        <v>201617147</v>
      </c>
      <c r="I1289" t="s">
        <v>19</v>
      </c>
      <c r="J1289" t="s">
        <v>20</v>
      </c>
      <c r="K1289" t="s">
        <v>21</v>
      </c>
      <c r="L1289">
        <v>40.11</v>
      </c>
      <c r="M1289">
        <v>1.32</v>
      </c>
      <c r="N1289">
        <v>0</v>
      </c>
      <c r="O1289">
        <v>253.66</v>
      </c>
      <c r="P1289">
        <v>295.09350000000001</v>
      </c>
    </row>
    <row r="1290" spans="1:16" hidden="1" x14ac:dyDescent="0.25">
      <c r="A1290" s="22">
        <v>42676</v>
      </c>
      <c r="B1290" t="s">
        <v>51</v>
      </c>
      <c r="C1290" t="s">
        <v>17</v>
      </c>
      <c r="D1290">
        <v>100</v>
      </c>
      <c r="E1290">
        <v>380</v>
      </c>
      <c r="F1290">
        <v>38000</v>
      </c>
      <c r="G1290" t="s">
        <v>52</v>
      </c>
      <c r="H1290">
        <v>201617147</v>
      </c>
      <c r="I1290" t="s">
        <v>19</v>
      </c>
      <c r="J1290" t="s">
        <v>20</v>
      </c>
      <c r="K1290" t="s">
        <v>21</v>
      </c>
      <c r="L1290">
        <v>37.9</v>
      </c>
      <c r="M1290">
        <v>1.25</v>
      </c>
      <c r="N1290">
        <v>8</v>
      </c>
      <c r="O1290">
        <v>240.35</v>
      </c>
      <c r="P1290">
        <v>287.50400000000002</v>
      </c>
    </row>
    <row r="1291" spans="1:16" hidden="1" x14ac:dyDescent="0.25">
      <c r="A1291" s="22">
        <v>42670</v>
      </c>
      <c r="B1291" t="s">
        <v>49</v>
      </c>
      <c r="C1291" t="s">
        <v>17</v>
      </c>
      <c r="D1291">
        <v>100</v>
      </c>
      <c r="E1291">
        <v>403.3</v>
      </c>
      <c r="F1291">
        <v>40330</v>
      </c>
      <c r="G1291" t="s">
        <v>53</v>
      </c>
      <c r="H1291">
        <v>201617143</v>
      </c>
      <c r="I1291" t="s">
        <v>19</v>
      </c>
      <c r="J1291" t="s">
        <v>20</v>
      </c>
      <c r="K1291" t="s">
        <v>21</v>
      </c>
      <c r="L1291">
        <v>40</v>
      </c>
      <c r="M1291">
        <v>1.33</v>
      </c>
      <c r="N1291">
        <v>5</v>
      </c>
      <c r="O1291">
        <v>255.08</v>
      </c>
      <c r="P1291">
        <v>301.41079999999999</v>
      </c>
    </row>
    <row r="1292" spans="1:16" hidden="1" x14ac:dyDescent="0.25">
      <c r="A1292" s="22">
        <v>42668</v>
      </c>
      <c r="B1292" t="s">
        <v>54</v>
      </c>
      <c r="C1292" t="s">
        <v>23</v>
      </c>
      <c r="D1292">
        <v>100</v>
      </c>
      <c r="E1292">
        <v>373</v>
      </c>
      <c r="F1292">
        <v>37300</v>
      </c>
      <c r="G1292" t="s">
        <v>55</v>
      </c>
      <c r="H1292">
        <v>201617141</v>
      </c>
      <c r="I1292" t="s">
        <v>19</v>
      </c>
      <c r="J1292" t="s">
        <v>20</v>
      </c>
      <c r="K1292" t="s">
        <v>21</v>
      </c>
      <c r="L1292">
        <v>37</v>
      </c>
      <c r="M1292">
        <v>1.23</v>
      </c>
      <c r="N1292">
        <v>4</v>
      </c>
      <c r="O1292">
        <v>235.92</v>
      </c>
      <c r="P1292">
        <v>278.15089999999998</v>
      </c>
    </row>
    <row r="1293" spans="1:16" hidden="1" x14ac:dyDescent="0.25">
      <c r="A1293" s="22">
        <v>42667</v>
      </c>
      <c r="B1293" t="s">
        <v>56</v>
      </c>
      <c r="C1293" t="s">
        <v>23</v>
      </c>
      <c r="D1293">
        <v>100</v>
      </c>
      <c r="E1293">
        <v>456.25</v>
      </c>
      <c r="F1293">
        <v>45624.7</v>
      </c>
      <c r="G1293" t="s">
        <v>57</v>
      </c>
      <c r="H1293">
        <v>201617140</v>
      </c>
      <c r="I1293" t="s">
        <v>19</v>
      </c>
      <c r="J1293" t="s">
        <v>20</v>
      </c>
      <c r="K1293" t="s">
        <v>21</v>
      </c>
      <c r="L1293">
        <v>46</v>
      </c>
      <c r="M1293">
        <v>1.51</v>
      </c>
      <c r="N1293">
        <v>5</v>
      </c>
      <c r="O1293">
        <v>288.57</v>
      </c>
      <c r="P1293">
        <v>341.07549999999998</v>
      </c>
    </row>
    <row r="1294" spans="1:16" hidden="1" x14ac:dyDescent="0.25">
      <c r="A1294" s="22">
        <v>42661</v>
      </c>
      <c r="B1294" t="s">
        <v>49</v>
      </c>
      <c r="C1294" t="s">
        <v>23</v>
      </c>
      <c r="D1294">
        <v>100</v>
      </c>
      <c r="E1294">
        <v>398.16</v>
      </c>
      <c r="F1294">
        <v>39815.599999999999</v>
      </c>
      <c r="G1294" t="s">
        <v>58</v>
      </c>
      <c r="H1294">
        <v>201617136</v>
      </c>
      <c r="I1294" t="s">
        <v>19</v>
      </c>
      <c r="J1294" t="s">
        <v>20</v>
      </c>
      <c r="K1294" t="s">
        <v>21</v>
      </c>
      <c r="L1294">
        <v>39.82</v>
      </c>
      <c r="M1294">
        <v>1.31</v>
      </c>
      <c r="N1294">
        <v>0</v>
      </c>
      <c r="O1294">
        <v>251.84</v>
      </c>
      <c r="P1294">
        <v>292.97390000000001</v>
      </c>
    </row>
    <row r="1295" spans="1:16" hidden="1" x14ac:dyDescent="0.25">
      <c r="A1295" s="22">
        <v>42661</v>
      </c>
      <c r="B1295" t="s">
        <v>54</v>
      </c>
      <c r="C1295" t="s">
        <v>17</v>
      </c>
      <c r="D1295">
        <v>100</v>
      </c>
      <c r="E1295">
        <v>357</v>
      </c>
      <c r="F1295">
        <v>35700</v>
      </c>
      <c r="G1295" t="s">
        <v>59</v>
      </c>
      <c r="H1295">
        <v>201617136</v>
      </c>
      <c r="I1295" t="s">
        <v>19</v>
      </c>
      <c r="J1295" t="s">
        <v>20</v>
      </c>
      <c r="K1295" t="s">
        <v>21</v>
      </c>
      <c r="L1295">
        <v>36.18</v>
      </c>
      <c r="M1295">
        <v>1.18</v>
      </c>
      <c r="N1295">
        <v>8</v>
      </c>
      <c r="O1295">
        <v>225.8</v>
      </c>
      <c r="P1295">
        <v>271.15809999999999</v>
      </c>
    </row>
    <row r="1296" spans="1:16" hidden="1" x14ac:dyDescent="0.25">
      <c r="A1296" s="22">
        <v>42643</v>
      </c>
      <c r="B1296" t="s">
        <v>26</v>
      </c>
      <c r="C1296" t="s">
        <v>23</v>
      </c>
      <c r="D1296">
        <v>400</v>
      </c>
      <c r="E1296">
        <v>129.44999999999999</v>
      </c>
      <c r="F1296">
        <v>51779.45</v>
      </c>
      <c r="G1296" t="s">
        <v>60</v>
      </c>
      <c r="H1296">
        <v>201617126</v>
      </c>
      <c r="I1296" t="s">
        <v>19</v>
      </c>
      <c r="J1296" t="s">
        <v>20</v>
      </c>
      <c r="K1296" t="s">
        <v>21</v>
      </c>
      <c r="L1296">
        <v>51.78</v>
      </c>
      <c r="M1296">
        <v>1.71</v>
      </c>
      <c r="N1296">
        <v>0</v>
      </c>
      <c r="O1296">
        <v>327.5</v>
      </c>
      <c r="P1296">
        <v>380.98880000000003</v>
      </c>
    </row>
    <row r="1297" spans="1:16" hidden="1" x14ac:dyDescent="0.25">
      <c r="A1297" s="22">
        <v>42643</v>
      </c>
      <c r="B1297" t="s">
        <v>49</v>
      </c>
      <c r="C1297" t="s">
        <v>17</v>
      </c>
      <c r="D1297">
        <v>100</v>
      </c>
      <c r="E1297">
        <v>364.63</v>
      </c>
      <c r="F1297">
        <v>36463.35</v>
      </c>
      <c r="G1297" t="s">
        <v>61</v>
      </c>
      <c r="H1297">
        <v>201617126</v>
      </c>
      <c r="I1297" t="s">
        <v>19</v>
      </c>
      <c r="J1297" t="s">
        <v>20</v>
      </c>
      <c r="K1297" t="s">
        <v>21</v>
      </c>
      <c r="L1297">
        <v>36.22</v>
      </c>
      <c r="M1297">
        <v>1.2</v>
      </c>
      <c r="N1297">
        <v>9</v>
      </c>
      <c r="O1297">
        <v>230.63</v>
      </c>
      <c r="P1297">
        <v>277.0532</v>
      </c>
    </row>
    <row r="1298" spans="1:16" hidden="1" x14ac:dyDescent="0.25">
      <c r="A1298" s="22">
        <v>42627</v>
      </c>
      <c r="B1298" t="s">
        <v>56</v>
      </c>
      <c r="C1298" t="s">
        <v>23</v>
      </c>
      <c r="D1298">
        <v>100</v>
      </c>
      <c r="E1298">
        <v>518</v>
      </c>
      <c r="F1298">
        <v>51800</v>
      </c>
      <c r="G1298" t="s">
        <v>62</v>
      </c>
      <c r="H1298">
        <v>201617114</v>
      </c>
      <c r="I1298" t="s">
        <v>19</v>
      </c>
      <c r="J1298" t="s">
        <v>20</v>
      </c>
      <c r="K1298" t="s">
        <v>21</v>
      </c>
      <c r="L1298">
        <v>52</v>
      </c>
      <c r="M1298">
        <v>1.71</v>
      </c>
      <c r="N1298">
        <v>6</v>
      </c>
      <c r="O1298">
        <v>327.64</v>
      </c>
      <c r="P1298">
        <v>387.3494</v>
      </c>
    </row>
    <row r="1299" spans="1:16" hidden="1" x14ac:dyDescent="0.25">
      <c r="A1299" s="22">
        <v>42613</v>
      </c>
      <c r="B1299" t="s">
        <v>35</v>
      </c>
      <c r="C1299" t="s">
        <v>23</v>
      </c>
      <c r="D1299">
        <v>1000</v>
      </c>
      <c r="E1299">
        <v>66</v>
      </c>
      <c r="F1299">
        <v>66000</v>
      </c>
      <c r="G1299" t="s">
        <v>63</v>
      </c>
      <c r="H1299">
        <v>201617106</v>
      </c>
      <c r="I1299" t="s">
        <v>19</v>
      </c>
      <c r="J1299" t="s">
        <v>20</v>
      </c>
      <c r="K1299" t="s">
        <v>21</v>
      </c>
      <c r="L1299">
        <v>66</v>
      </c>
      <c r="M1299">
        <v>2.1800000000000002</v>
      </c>
      <c r="N1299">
        <v>7</v>
      </c>
      <c r="O1299">
        <v>417.46</v>
      </c>
      <c r="P1299">
        <v>492.63799999999998</v>
      </c>
    </row>
    <row r="1300" spans="1:16" hidden="1" x14ac:dyDescent="0.25">
      <c r="A1300" s="22">
        <v>42583</v>
      </c>
      <c r="B1300" t="s">
        <v>26</v>
      </c>
      <c r="C1300" t="s">
        <v>17</v>
      </c>
      <c r="D1300">
        <v>400</v>
      </c>
      <c r="E1300">
        <v>183</v>
      </c>
      <c r="F1300">
        <v>73200</v>
      </c>
      <c r="G1300" t="s">
        <v>64</v>
      </c>
      <c r="H1300">
        <v>201617085</v>
      </c>
      <c r="I1300" t="s">
        <v>19</v>
      </c>
      <c r="J1300" t="s">
        <v>20</v>
      </c>
      <c r="K1300" t="s">
        <v>21</v>
      </c>
      <c r="L1300">
        <v>73</v>
      </c>
      <c r="M1300">
        <v>2.42</v>
      </c>
      <c r="N1300">
        <v>8</v>
      </c>
      <c r="O1300">
        <v>462.99</v>
      </c>
      <c r="P1300">
        <v>546.40560000000005</v>
      </c>
    </row>
    <row r="1301" spans="1:16" hidden="1" x14ac:dyDescent="0.25">
      <c r="A1301" s="22">
        <v>42572</v>
      </c>
      <c r="B1301" t="s">
        <v>65</v>
      </c>
      <c r="C1301" t="s">
        <v>23</v>
      </c>
      <c r="D1301">
        <v>500</v>
      </c>
      <c r="E1301">
        <v>127.5</v>
      </c>
      <c r="F1301">
        <v>63750</v>
      </c>
      <c r="G1301" t="s">
        <v>66</v>
      </c>
      <c r="H1301">
        <v>201617078</v>
      </c>
      <c r="I1301" t="s">
        <v>19</v>
      </c>
      <c r="J1301" t="s">
        <v>20</v>
      </c>
      <c r="K1301" t="s">
        <v>21</v>
      </c>
      <c r="L1301">
        <v>63.32</v>
      </c>
      <c r="M1301">
        <v>2.1</v>
      </c>
      <c r="N1301">
        <v>13</v>
      </c>
      <c r="O1301">
        <v>403.22</v>
      </c>
      <c r="P1301">
        <v>481.6438</v>
      </c>
    </row>
    <row r="1302" spans="1:16" hidden="1" x14ac:dyDescent="0.25">
      <c r="A1302" s="22">
        <v>42572</v>
      </c>
      <c r="B1302" t="s">
        <v>56</v>
      </c>
      <c r="C1302" t="s">
        <v>17</v>
      </c>
      <c r="D1302">
        <v>100</v>
      </c>
      <c r="E1302">
        <v>566.79999999999995</v>
      </c>
      <c r="F1302">
        <v>56680</v>
      </c>
      <c r="G1302" t="s">
        <v>67</v>
      </c>
      <c r="H1302">
        <v>201617078</v>
      </c>
      <c r="I1302" t="s">
        <v>19</v>
      </c>
      <c r="J1302" t="s">
        <v>20</v>
      </c>
      <c r="K1302" t="s">
        <v>21</v>
      </c>
      <c r="L1302">
        <v>56.68</v>
      </c>
      <c r="M1302">
        <v>1.87</v>
      </c>
      <c r="N1302">
        <v>0</v>
      </c>
      <c r="O1302">
        <v>358.51</v>
      </c>
      <c r="P1302">
        <v>417.06040000000002</v>
      </c>
    </row>
    <row r="1303" spans="1:16" hidden="1" x14ac:dyDescent="0.25">
      <c r="A1303" s="22">
        <v>42565</v>
      </c>
      <c r="B1303" t="s">
        <v>68</v>
      </c>
      <c r="C1303" t="s">
        <v>23</v>
      </c>
      <c r="D1303">
        <v>895</v>
      </c>
      <c r="E1303">
        <v>71.45</v>
      </c>
      <c r="F1303">
        <v>63947.75</v>
      </c>
      <c r="G1303" t="s">
        <v>69</v>
      </c>
      <c r="H1303">
        <v>201617073</v>
      </c>
      <c r="I1303" t="s">
        <v>19</v>
      </c>
      <c r="J1303" t="s">
        <v>20</v>
      </c>
      <c r="K1303" t="s">
        <v>21</v>
      </c>
      <c r="L1303">
        <v>64.349999999999994</v>
      </c>
      <c r="M1303">
        <v>2.11</v>
      </c>
      <c r="N1303">
        <v>14</v>
      </c>
      <c r="O1303">
        <v>404.47</v>
      </c>
      <c r="P1303">
        <v>484.93029999999999</v>
      </c>
    </row>
    <row r="1304" spans="1:16" hidden="1" x14ac:dyDescent="0.25">
      <c r="A1304" s="22">
        <v>42565</v>
      </c>
      <c r="B1304" t="s">
        <v>65</v>
      </c>
      <c r="C1304" t="s">
        <v>17</v>
      </c>
      <c r="D1304">
        <v>500</v>
      </c>
      <c r="E1304">
        <v>133.30000000000001</v>
      </c>
      <c r="F1304">
        <v>66650</v>
      </c>
      <c r="G1304" t="s">
        <v>70</v>
      </c>
      <c r="H1304">
        <v>201617073</v>
      </c>
      <c r="I1304" t="s">
        <v>19</v>
      </c>
      <c r="J1304" t="s">
        <v>20</v>
      </c>
      <c r="K1304" t="s">
        <v>21</v>
      </c>
      <c r="L1304">
        <v>66.650000000000006</v>
      </c>
      <c r="M1304">
        <v>2.2000000000000002</v>
      </c>
      <c r="N1304">
        <v>0</v>
      </c>
      <c r="O1304">
        <v>421.56</v>
      </c>
      <c r="P1304">
        <v>490.40949999999998</v>
      </c>
    </row>
    <row r="1305" spans="1:16" hidden="1" x14ac:dyDescent="0.25">
      <c r="A1305" s="22">
        <v>42545</v>
      </c>
      <c r="B1305" t="s">
        <v>56</v>
      </c>
      <c r="C1305" t="s">
        <v>17</v>
      </c>
      <c r="D1305">
        <v>100</v>
      </c>
      <c r="E1305">
        <v>662.96</v>
      </c>
      <c r="F1305">
        <v>66296</v>
      </c>
      <c r="G1305" t="s">
        <v>71</v>
      </c>
      <c r="H1305">
        <v>201617060</v>
      </c>
      <c r="I1305" t="s">
        <v>19</v>
      </c>
      <c r="J1305" t="s">
        <v>20</v>
      </c>
      <c r="K1305" t="s">
        <v>21</v>
      </c>
      <c r="L1305">
        <v>66</v>
      </c>
      <c r="M1305">
        <v>2.19</v>
      </c>
      <c r="N1305">
        <v>7</v>
      </c>
      <c r="O1305">
        <v>419.32</v>
      </c>
      <c r="P1305">
        <v>494.50790000000001</v>
      </c>
    </row>
    <row r="1306" spans="1:16" hidden="1" x14ac:dyDescent="0.25">
      <c r="A1306" s="22">
        <v>42451</v>
      </c>
      <c r="B1306" t="s">
        <v>68</v>
      </c>
      <c r="C1306" t="s">
        <v>23</v>
      </c>
      <c r="D1306">
        <v>105</v>
      </c>
      <c r="E1306">
        <v>59.5</v>
      </c>
      <c r="F1306">
        <v>6247.5</v>
      </c>
      <c r="G1306" t="s">
        <v>72</v>
      </c>
      <c r="H1306">
        <v>201516244</v>
      </c>
      <c r="I1306" t="s">
        <v>19</v>
      </c>
      <c r="J1306" t="s">
        <v>20</v>
      </c>
      <c r="K1306" t="s">
        <v>21</v>
      </c>
      <c r="L1306">
        <v>6</v>
      </c>
      <c r="M1306">
        <v>0.21</v>
      </c>
      <c r="N1306">
        <v>1</v>
      </c>
      <c r="O1306">
        <v>40.08</v>
      </c>
      <c r="P1306">
        <v>47.286200000000001</v>
      </c>
    </row>
    <row r="1307" spans="1:16" hidden="1" x14ac:dyDescent="0.25">
      <c r="A1307" s="22">
        <v>42416</v>
      </c>
      <c r="B1307" t="s">
        <v>35</v>
      </c>
      <c r="C1307" t="s">
        <v>17</v>
      </c>
      <c r="D1307">
        <v>2000</v>
      </c>
      <c r="E1307">
        <v>64.86</v>
      </c>
      <c r="F1307">
        <v>129717.8</v>
      </c>
      <c r="G1307" t="s">
        <v>73</v>
      </c>
      <c r="H1307">
        <v>201516220</v>
      </c>
      <c r="I1307" t="s">
        <v>19</v>
      </c>
      <c r="J1307" t="s">
        <v>20</v>
      </c>
      <c r="K1307" t="s">
        <v>21</v>
      </c>
      <c r="L1307">
        <v>130</v>
      </c>
      <c r="M1307">
        <v>4.28</v>
      </c>
      <c r="N1307">
        <v>13</v>
      </c>
      <c r="O1307">
        <v>816.9</v>
      </c>
      <c r="P1307">
        <v>964.18079999999998</v>
      </c>
    </row>
    <row r="1308" spans="1:16" hidden="1" x14ac:dyDescent="0.25">
      <c r="A1308" s="22">
        <v>42398</v>
      </c>
      <c r="B1308" t="s">
        <v>74</v>
      </c>
      <c r="C1308" t="s">
        <v>23</v>
      </c>
      <c r="D1308">
        <v>100</v>
      </c>
      <c r="E1308">
        <v>1160</v>
      </c>
      <c r="F1308">
        <v>116000</v>
      </c>
      <c r="G1308" t="s">
        <v>75</v>
      </c>
      <c r="H1308">
        <v>201516208</v>
      </c>
      <c r="I1308" t="s">
        <v>19</v>
      </c>
      <c r="J1308" t="s">
        <v>20</v>
      </c>
      <c r="K1308" t="s">
        <v>21</v>
      </c>
      <c r="L1308">
        <v>116</v>
      </c>
      <c r="M1308">
        <v>3.83</v>
      </c>
      <c r="N1308">
        <v>12</v>
      </c>
      <c r="O1308">
        <v>730.51</v>
      </c>
      <c r="P1308">
        <v>862.33799999999997</v>
      </c>
    </row>
    <row r="1309" spans="1:16" hidden="1" x14ac:dyDescent="0.25">
      <c r="A1309" s="22">
        <v>42373</v>
      </c>
      <c r="B1309" t="s">
        <v>68</v>
      </c>
      <c r="C1309" t="s">
        <v>17</v>
      </c>
      <c r="D1309">
        <v>1000</v>
      </c>
      <c r="E1309">
        <v>69</v>
      </c>
      <c r="F1309">
        <v>69000</v>
      </c>
      <c r="G1309" t="s">
        <v>76</v>
      </c>
      <c r="H1309">
        <v>201516190</v>
      </c>
      <c r="I1309" t="s">
        <v>19</v>
      </c>
      <c r="J1309" t="s">
        <v>20</v>
      </c>
      <c r="K1309" t="s">
        <v>21</v>
      </c>
      <c r="L1309">
        <v>69</v>
      </c>
      <c r="M1309">
        <v>2.2799999999999998</v>
      </c>
      <c r="N1309">
        <v>7</v>
      </c>
      <c r="O1309">
        <v>434.53</v>
      </c>
      <c r="P1309">
        <v>512.80709999999999</v>
      </c>
    </row>
    <row r="1310" spans="1:16" hidden="1" x14ac:dyDescent="0.25">
      <c r="A1310" s="22">
        <v>42362</v>
      </c>
      <c r="B1310" t="s">
        <v>35</v>
      </c>
      <c r="C1310" t="s">
        <v>23</v>
      </c>
      <c r="D1310">
        <v>1000</v>
      </c>
      <c r="E1310">
        <v>100</v>
      </c>
      <c r="F1310">
        <v>100000</v>
      </c>
      <c r="G1310" t="s">
        <v>77</v>
      </c>
      <c r="H1310">
        <v>201516184</v>
      </c>
      <c r="I1310" t="s">
        <v>19</v>
      </c>
      <c r="J1310" t="s">
        <v>20</v>
      </c>
      <c r="K1310" t="s">
        <v>21</v>
      </c>
      <c r="L1310">
        <v>100</v>
      </c>
      <c r="M1310">
        <v>3.3</v>
      </c>
      <c r="N1310">
        <v>10</v>
      </c>
      <c r="O1310">
        <v>629.75</v>
      </c>
      <c r="P1310">
        <v>743.05</v>
      </c>
    </row>
    <row r="1311" spans="1:16" hidden="1" x14ac:dyDescent="0.25">
      <c r="A1311" s="22">
        <v>42355</v>
      </c>
      <c r="B1311" t="s">
        <v>35</v>
      </c>
      <c r="C1311" t="s">
        <v>17</v>
      </c>
      <c r="D1311">
        <v>1000</v>
      </c>
      <c r="E1311">
        <v>75.3</v>
      </c>
      <c r="F1311">
        <v>75300</v>
      </c>
      <c r="G1311" t="s">
        <v>78</v>
      </c>
      <c r="H1311">
        <v>201516179</v>
      </c>
      <c r="I1311" t="s">
        <v>19</v>
      </c>
      <c r="J1311" t="s">
        <v>20</v>
      </c>
      <c r="K1311" t="s">
        <v>21</v>
      </c>
      <c r="L1311">
        <v>75</v>
      </c>
      <c r="M1311">
        <v>2.48</v>
      </c>
      <c r="N1311">
        <v>8</v>
      </c>
      <c r="O1311">
        <v>474.2</v>
      </c>
      <c r="P1311">
        <v>559.68489999999997</v>
      </c>
    </row>
    <row r="1312" spans="1:16" hidden="1" x14ac:dyDescent="0.25">
      <c r="A1312" s="22">
        <v>42233</v>
      </c>
      <c r="B1312" t="s">
        <v>29</v>
      </c>
      <c r="C1312" t="s">
        <v>23</v>
      </c>
      <c r="D1312">
        <v>4000</v>
      </c>
      <c r="E1312">
        <v>12.96</v>
      </c>
      <c r="F1312">
        <v>51840</v>
      </c>
      <c r="G1312" t="s">
        <v>79</v>
      </c>
      <c r="H1312">
        <v>201516097</v>
      </c>
      <c r="I1312" t="s">
        <v>19</v>
      </c>
      <c r="J1312" t="s">
        <v>20</v>
      </c>
      <c r="K1312" t="s">
        <v>21</v>
      </c>
      <c r="L1312">
        <v>51.84</v>
      </c>
      <c r="M1312">
        <v>1.71</v>
      </c>
      <c r="N1312">
        <v>20.86</v>
      </c>
      <c r="O1312">
        <v>325.04000000000002</v>
      </c>
      <c r="P1312">
        <v>399.45190000000002</v>
      </c>
    </row>
    <row r="1313" spans="1:16" hidden="1" x14ac:dyDescent="0.25">
      <c r="A1313" s="22">
        <v>42233</v>
      </c>
      <c r="B1313" t="s">
        <v>80</v>
      </c>
      <c r="C1313" t="s">
        <v>23</v>
      </c>
      <c r="D1313">
        <v>110</v>
      </c>
      <c r="E1313">
        <v>402.55</v>
      </c>
      <c r="F1313">
        <v>44280.5</v>
      </c>
      <c r="G1313" t="s">
        <v>81</v>
      </c>
      <c r="H1313">
        <v>201516097</v>
      </c>
      <c r="I1313" t="s">
        <v>19</v>
      </c>
      <c r="J1313" t="s">
        <v>20</v>
      </c>
      <c r="K1313" t="s">
        <v>21</v>
      </c>
      <c r="L1313">
        <v>44.28</v>
      </c>
      <c r="M1313">
        <v>1.46</v>
      </c>
      <c r="N1313">
        <v>0</v>
      </c>
      <c r="O1313">
        <v>277.64</v>
      </c>
      <c r="P1313">
        <v>323.38119999999998</v>
      </c>
    </row>
    <row r="1314" spans="1:16" hidden="1" x14ac:dyDescent="0.25">
      <c r="A1314" s="22">
        <v>42233</v>
      </c>
      <c r="B1314" t="s">
        <v>74</v>
      </c>
      <c r="C1314" t="s">
        <v>17</v>
      </c>
      <c r="D1314">
        <v>100</v>
      </c>
      <c r="E1314">
        <v>1124.9100000000001</v>
      </c>
      <c r="F1314">
        <v>112491.4</v>
      </c>
      <c r="G1314" t="s">
        <v>82</v>
      </c>
      <c r="H1314">
        <v>201516097</v>
      </c>
      <c r="I1314" t="s">
        <v>19</v>
      </c>
      <c r="J1314" t="s">
        <v>20</v>
      </c>
      <c r="K1314" t="s">
        <v>21</v>
      </c>
      <c r="L1314">
        <v>112.88</v>
      </c>
      <c r="M1314">
        <v>3.71</v>
      </c>
      <c r="N1314">
        <v>0</v>
      </c>
      <c r="O1314">
        <v>705.32</v>
      </c>
      <c r="P1314">
        <v>821.91200000000003</v>
      </c>
    </row>
    <row r="1315" spans="1:16" hidden="1" x14ac:dyDescent="0.25">
      <c r="A1315" s="22">
        <v>42200</v>
      </c>
      <c r="B1315" t="s">
        <v>29</v>
      </c>
      <c r="C1315" t="s">
        <v>17</v>
      </c>
      <c r="D1315">
        <v>2000</v>
      </c>
      <c r="E1315">
        <v>14.75</v>
      </c>
      <c r="F1315">
        <v>29500</v>
      </c>
      <c r="G1315" t="s">
        <v>83</v>
      </c>
      <c r="H1315">
        <v>201516074</v>
      </c>
      <c r="I1315" t="s">
        <v>19</v>
      </c>
      <c r="J1315" t="s">
        <v>20</v>
      </c>
      <c r="K1315" t="s">
        <v>21</v>
      </c>
      <c r="L1315">
        <v>30</v>
      </c>
      <c r="M1315">
        <v>0.97</v>
      </c>
      <c r="N1315">
        <v>2.95</v>
      </c>
      <c r="O1315">
        <v>184.97</v>
      </c>
      <c r="P1315">
        <v>218.89340000000001</v>
      </c>
    </row>
    <row r="1316" spans="1:16" hidden="1" x14ac:dyDescent="0.25">
      <c r="A1316" s="22">
        <v>42195</v>
      </c>
      <c r="B1316" t="s">
        <v>80</v>
      </c>
      <c r="C1316" t="s">
        <v>23</v>
      </c>
      <c r="D1316">
        <v>100</v>
      </c>
      <c r="E1316">
        <v>430</v>
      </c>
      <c r="F1316">
        <v>43000</v>
      </c>
      <c r="G1316" t="s">
        <v>84</v>
      </c>
      <c r="H1316">
        <v>201516071</v>
      </c>
      <c r="I1316" t="s">
        <v>19</v>
      </c>
      <c r="J1316" t="s">
        <v>20</v>
      </c>
      <c r="K1316" t="s">
        <v>21</v>
      </c>
      <c r="L1316">
        <v>43</v>
      </c>
      <c r="M1316">
        <v>1.42</v>
      </c>
      <c r="N1316">
        <v>4.3</v>
      </c>
      <c r="O1316">
        <v>269.61</v>
      </c>
      <c r="P1316">
        <v>318.32889999999998</v>
      </c>
    </row>
    <row r="1317" spans="1:16" hidden="1" x14ac:dyDescent="0.25">
      <c r="A1317" s="22">
        <v>42167</v>
      </c>
      <c r="B1317" t="s">
        <v>80</v>
      </c>
      <c r="C1317" t="s">
        <v>17</v>
      </c>
      <c r="D1317">
        <v>100</v>
      </c>
      <c r="E1317">
        <v>390</v>
      </c>
      <c r="F1317">
        <v>39000</v>
      </c>
      <c r="G1317" t="s">
        <v>85</v>
      </c>
      <c r="H1317">
        <v>201516051</v>
      </c>
      <c r="I1317" t="s">
        <v>19</v>
      </c>
      <c r="J1317" t="s">
        <v>20</v>
      </c>
      <c r="K1317" t="s">
        <v>21</v>
      </c>
      <c r="L1317">
        <v>39</v>
      </c>
      <c r="M1317">
        <v>1.29</v>
      </c>
      <c r="N1317">
        <v>3.9</v>
      </c>
      <c r="O1317">
        <v>244.54</v>
      </c>
      <c r="P1317">
        <v>288.72699999999998</v>
      </c>
    </row>
    <row r="1318" spans="1:16" hidden="1" x14ac:dyDescent="0.25">
      <c r="A1318" s="22">
        <v>42111</v>
      </c>
      <c r="B1318" t="s">
        <v>29</v>
      </c>
      <c r="C1318" t="s">
        <v>17</v>
      </c>
      <c r="D1318">
        <v>1000</v>
      </c>
      <c r="E1318">
        <v>17.100000000000001</v>
      </c>
      <c r="F1318">
        <v>17100</v>
      </c>
      <c r="G1318" t="s">
        <v>86</v>
      </c>
      <c r="H1318">
        <v>201516012</v>
      </c>
      <c r="I1318" t="s">
        <v>19</v>
      </c>
      <c r="J1318" t="s">
        <v>20</v>
      </c>
      <c r="K1318" t="s">
        <v>21</v>
      </c>
      <c r="L1318">
        <v>17</v>
      </c>
      <c r="M1318">
        <v>0.56000000000000005</v>
      </c>
      <c r="N1318">
        <v>1.71</v>
      </c>
      <c r="O1318">
        <v>105.67</v>
      </c>
      <c r="P1318">
        <v>124.9443</v>
      </c>
    </row>
    <row r="1319" spans="1:16" hidden="1" x14ac:dyDescent="0.25">
      <c r="A1319" s="22">
        <v>42107</v>
      </c>
      <c r="B1319" t="s">
        <v>29</v>
      </c>
      <c r="C1319" t="s">
        <v>23</v>
      </c>
      <c r="D1319">
        <v>1000</v>
      </c>
      <c r="E1319">
        <v>19.100000000000001</v>
      </c>
      <c r="F1319">
        <v>19100</v>
      </c>
      <c r="G1319" t="s">
        <v>87</v>
      </c>
      <c r="H1319">
        <v>201516009</v>
      </c>
      <c r="I1319" t="s">
        <v>19</v>
      </c>
      <c r="J1319" t="s">
        <v>20</v>
      </c>
      <c r="K1319" t="s">
        <v>21</v>
      </c>
      <c r="L1319">
        <v>19</v>
      </c>
      <c r="M1319">
        <v>0.63</v>
      </c>
      <c r="N1319">
        <v>1.91</v>
      </c>
      <c r="O1319">
        <v>118.03</v>
      </c>
      <c r="P1319">
        <v>139.5703</v>
      </c>
    </row>
    <row r="1320" spans="1:16" hidden="1" x14ac:dyDescent="0.25">
      <c r="A1320" s="22">
        <v>42101</v>
      </c>
      <c r="B1320" t="s">
        <v>29</v>
      </c>
      <c r="C1320" t="s">
        <v>17</v>
      </c>
      <c r="D1320">
        <v>1000</v>
      </c>
      <c r="E1320">
        <v>17</v>
      </c>
      <c r="F1320">
        <v>17000</v>
      </c>
      <c r="G1320" t="s">
        <v>88</v>
      </c>
      <c r="H1320">
        <v>2015064</v>
      </c>
      <c r="I1320" t="s">
        <v>19</v>
      </c>
      <c r="J1320" t="s">
        <v>20</v>
      </c>
      <c r="K1320" t="s">
        <v>25</v>
      </c>
      <c r="L1320">
        <v>17</v>
      </c>
      <c r="M1320">
        <v>0.63</v>
      </c>
      <c r="N1320">
        <v>1.7</v>
      </c>
      <c r="O1320">
        <v>105.06</v>
      </c>
      <c r="P1320">
        <v>124.389</v>
      </c>
    </row>
    <row r="1321" spans="1:16" hidden="1" x14ac:dyDescent="0.25">
      <c r="A1321" s="22">
        <v>42087</v>
      </c>
      <c r="B1321" t="s">
        <v>89</v>
      </c>
      <c r="C1321" t="s">
        <v>23</v>
      </c>
      <c r="D1321">
        <v>2000</v>
      </c>
      <c r="E1321">
        <v>10.35</v>
      </c>
      <c r="F1321">
        <v>20700</v>
      </c>
      <c r="G1321" t="s">
        <v>90</v>
      </c>
      <c r="H1321">
        <v>2015056</v>
      </c>
      <c r="I1321" t="s">
        <v>19</v>
      </c>
      <c r="J1321" t="s">
        <v>20</v>
      </c>
      <c r="K1321" t="s">
        <v>25</v>
      </c>
      <c r="L1321">
        <v>21</v>
      </c>
      <c r="M1321">
        <v>0.77</v>
      </c>
      <c r="N1321">
        <v>2.0699999999999998</v>
      </c>
      <c r="O1321">
        <v>127.92</v>
      </c>
      <c r="P1321">
        <v>151.7559</v>
      </c>
    </row>
    <row r="1322" spans="1:16" hidden="1" x14ac:dyDescent="0.25">
      <c r="A1322" s="22">
        <v>42081</v>
      </c>
      <c r="B1322" t="s">
        <v>80</v>
      </c>
      <c r="C1322" t="s">
        <v>17</v>
      </c>
      <c r="D1322">
        <v>110</v>
      </c>
      <c r="E1322">
        <v>510</v>
      </c>
      <c r="F1322">
        <v>56100</v>
      </c>
      <c r="G1322" t="s">
        <v>91</v>
      </c>
      <c r="H1322">
        <v>201415237</v>
      </c>
      <c r="I1322" t="s">
        <v>19</v>
      </c>
      <c r="J1322" t="s">
        <v>20</v>
      </c>
      <c r="K1322" t="s">
        <v>21</v>
      </c>
      <c r="L1322">
        <v>56</v>
      </c>
      <c r="M1322">
        <v>1.85</v>
      </c>
      <c r="N1322">
        <v>5.61</v>
      </c>
      <c r="O1322">
        <v>346.69</v>
      </c>
      <c r="P1322">
        <v>410.15129999999999</v>
      </c>
    </row>
    <row r="1323" spans="1:16" hidden="1" x14ac:dyDescent="0.25">
      <c r="A1323" s="22">
        <v>42073</v>
      </c>
      <c r="B1323" t="s">
        <v>35</v>
      </c>
      <c r="C1323" t="s">
        <v>23</v>
      </c>
      <c r="D1323">
        <v>1000</v>
      </c>
      <c r="E1323">
        <v>63</v>
      </c>
      <c r="F1323">
        <v>63000</v>
      </c>
      <c r="G1323" t="s">
        <v>92</v>
      </c>
      <c r="H1323">
        <v>201415231</v>
      </c>
      <c r="I1323" t="s">
        <v>19</v>
      </c>
      <c r="J1323" t="s">
        <v>20</v>
      </c>
      <c r="K1323" t="s">
        <v>21</v>
      </c>
      <c r="L1323">
        <v>63</v>
      </c>
      <c r="M1323">
        <v>2.08</v>
      </c>
      <c r="N1323">
        <v>6.3</v>
      </c>
      <c r="O1323">
        <v>389.33</v>
      </c>
      <c r="P1323">
        <v>460.70890000000003</v>
      </c>
    </row>
    <row r="1324" spans="1:16" hidden="1" x14ac:dyDescent="0.25">
      <c r="A1324" s="22">
        <v>42063</v>
      </c>
      <c r="B1324" t="s">
        <v>29</v>
      </c>
      <c r="C1324" t="s">
        <v>17</v>
      </c>
      <c r="D1324">
        <v>1000</v>
      </c>
      <c r="E1324">
        <v>19.89</v>
      </c>
      <c r="F1324">
        <v>19891</v>
      </c>
      <c r="G1324" t="s">
        <v>93</v>
      </c>
      <c r="H1324">
        <v>201415225</v>
      </c>
      <c r="I1324" t="s">
        <v>19</v>
      </c>
      <c r="J1324" t="s">
        <v>20</v>
      </c>
      <c r="K1324" t="s">
        <v>21</v>
      </c>
      <c r="L1324">
        <v>20</v>
      </c>
      <c r="M1324">
        <v>0.66</v>
      </c>
      <c r="N1324">
        <v>1.99</v>
      </c>
      <c r="O1324">
        <v>122.92</v>
      </c>
      <c r="P1324">
        <v>145.56530000000001</v>
      </c>
    </row>
    <row r="1325" spans="1:16" hidden="1" x14ac:dyDescent="0.25">
      <c r="A1325" s="22">
        <v>42053</v>
      </c>
      <c r="B1325" t="s">
        <v>89</v>
      </c>
      <c r="C1325" t="s">
        <v>17</v>
      </c>
      <c r="D1325">
        <v>2000</v>
      </c>
      <c r="E1325">
        <v>11.5</v>
      </c>
      <c r="F1325">
        <v>23000</v>
      </c>
      <c r="G1325" t="s">
        <v>94</v>
      </c>
      <c r="H1325">
        <v>201415217</v>
      </c>
      <c r="I1325" t="s">
        <v>19</v>
      </c>
      <c r="J1325" t="s">
        <v>20</v>
      </c>
      <c r="K1325" t="s">
        <v>21</v>
      </c>
      <c r="L1325">
        <v>23</v>
      </c>
      <c r="M1325">
        <v>0.76</v>
      </c>
      <c r="N1325">
        <v>2.2999999999999998</v>
      </c>
      <c r="O1325">
        <v>142.13999999999999</v>
      </c>
      <c r="P1325">
        <v>168.19900000000001</v>
      </c>
    </row>
    <row r="1326" spans="1:16" hidden="1" x14ac:dyDescent="0.25">
      <c r="A1326" s="22">
        <v>42019</v>
      </c>
      <c r="B1326" t="s">
        <v>35</v>
      </c>
      <c r="C1326" t="s">
        <v>17</v>
      </c>
      <c r="D1326">
        <v>1000</v>
      </c>
      <c r="E1326">
        <v>54.45</v>
      </c>
      <c r="F1326">
        <v>54450</v>
      </c>
      <c r="G1326" t="s">
        <v>95</v>
      </c>
      <c r="H1326">
        <v>201415195</v>
      </c>
      <c r="I1326" t="s">
        <v>19</v>
      </c>
      <c r="J1326" t="s">
        <v>20</v>
      </c>
      <c r="K1326" t="s">
        <v>21</v>
      </c>
      <c r="L1326">
        <v>54</v>
      </c>
      <c r="M1326">
        <v>1.8</v>
      </c>
      <c r="N1326">
        <v>5.45</v>
      </c>
      <c r="O1326">
        <v>336.49</v>
      </c>
      <c r="P1326">
        <v>397.73180000000002</v>
      </c>
    </row>
    <row r="1327" spans="1:16" hidden="1" x14ac:dyDescent="0.25">
      <c r="A1327" s="22">
        <v>42013</v>
      </c>
      <c r="B1327" t="s">
        <v>35</v>
      </c>
      <c r="C1327" t="s">
        <v>23</v>
      </c>
      <c r="D1327">
        <v>1000</v>
      </c>
      <c r="E1327">
        <v>53.3</v>
      </c>
      <c r="F1327">
        <v>53300</v>
      </c>
      <c r="G1327" t="s">
        <v>96</v>
      </c>
      <c r="H1327">
        <v>201415191</v>
      </c>
      <c r="I1327" t="s">
        <v>19</v>
      </c>
      <c r="J1327" t="s">
        <v>20</v>
      </c>
      <c r="K1327" t="s">
        <v>21</v>
      </c>
      <c r="L1327">
        <v>53</v>
      </c>
      <c r="M1327">
        <v>1.76</v>
      </c>
      <c r="N1327">
        <v>5.33</v>
      </c>
      <c r="O1327">
        <v>329.38</v>
      </c>
      <c r="P1327">
        <v>389.46890000000002</v>
      </c>
    </row>
    <row r="1328" spans="1:16" hidden="1" x14ac:dyDescent="0.25">
      <c r="A1328" s="22">
        <v>41995</v>
      </c>
      <c r="B1328" t="s">
        <v>35</v>
      </c>
      <c r="C1328" t="s">
        <v>17</v>
      </c>
      <c r="D1328">
        <v>200</v>
      </c>
      <c r="E1328">
        <v>40</v>
      </c>
      <c r="F1328">
        <v>8000</v>
      </c>
      <c r="G1328" t="s">
        <v>97</v>
      </c>
      <c r="H1328">
        <v>201415178</v>
      </c>
      <c r="I1328" t="s">
        <v>19</v>
      </c>
      <c r="J1328" t="s">
        <v>20</v>
      </c>
      <c r="K1328" t="s">
        <v>21</v>
      </c>
      <c r="L1328">
        <v>8</v>
      </c>
      <c r="M1328">
        <v>0.26</v>
      </c>
      <c r="N1328">
        <v>0.8</v>
      </c>
      <c r="O1328">
        <v>49.44</v>
      </c>
      <c r="P1328">
        <v>58.503900000000002</v>
      </c>
    </row>
    <row r="1329" spans="1:16" hidden="1" x14ac:dyDescent="0.25">
      <c r="A1329" s="22">
        <v>41984</v>
      </c>
      <c r="B1329" t="s">
        <v>98</v>
      </c>
      <c r="C1329" t="s">
        <v>23</v>
      </c>
      <c r="D1329">
        <v>25</v>
      </c>
      <c r="E1329">
        <v>79.2</v>
      </c>
      <c r="F1329">
        <v>1980</v>
      </c>
      <c r="G1329" t="s">
        <v>99</v>
      </c>
      <c r="H1329">
        <v>201415171</v>
      </c>
      <c r="I1329" t="s">
        <v>19</v>
      </c>
      <c r="J1329" t="s">
        <v>20</v>
      </c>
      <c r="K1329" t="s">
        <v>21</v>
      </c>
      <c r="L1329">
        <v>1.98</v>
      </c>
      <c r="M1329">
        <v>7.0000000000000007E-2</v>
      </c>
      <c r="N1329">
        <v>0</v>
      </c>
      <c r="O1329">
        <v>39.33</v>
      </c>
      <c r="P1329">
        <v>41.375300000000003</v>
      </c>
    </row>
    <row r="1330" spans="1:16" hidden="1" x14ac:dyDescent="0.25">
      <c r="A1330" s="22">
        <v>41984</v>
      </c>
      <c r="B1330" t="s">
        <v>100</v>
      </c>
      <c r="C1330" t="s">
        <v>23</v>
      </c>
      <c r="D1330">
        <v>200</v>
      </c>
      <c r="E1330">
        <v>50.2</v>
      </c>
      <c r="F1330">
        <v>10040</v>
      </c>
      <c r="G1330" t="s">
        <v>101</v>
      </c>
      <c r="H1330">
        <v>201415171</v>
      </c>
      <c r="I1330" t="s">
        <v>19</v>
      </c>
      <c r="J1330" t="s">
        <v>20</v>
      </c>
      <c r="K1330" t="s">
        <v>21</v>
      </c>
      <c r="L1330">
        <v>10.02</v>
      </c>
      <c r="M1330">
        <v>0.33</v>
      </c>
      <c r="N1330">
        <v>1.2</v>
      </c>
      <c r="O1330">
        <v>62.04</v>
      </c>
      <c r="P1330">
        <v>73.593299999999999</v>
      </c>
    </row>
    <row r="1331" spans="1:16" hidden="1" x14ac:dyDescent="0.25">
      <c r="A1331" s="22">
        <v>41982</v>
      </c>
      <c r="B1331" t="s">
        <v>35</v>
      </c>
      <c r="C1331" t="s">
        <v>17</v>
      </c>
      <c r="D1331">
        <v>800</v>
      </c>
      <c r="E1331">
        <v>45</v>
      </c>
      <c r="F1331">
        <v>36000</v>
      </c>
      <c r="G1331" t="s">
        <v>102</v>
      </c>
      <c r="H1331">
        <v>201415169</v>
      </c>
      <c r="I1331" t="s">
        <v>19</v>
      </c>
      <c r="J1331" t="s">
        <v>20</v>
      </c>
      <c r="K1331" t="s">
        <v>21</v>
      </c>
      <c r="L1331">
        <v>36</v>
      </c>
      <c r="M1331">
        <v>1.19</v>
      </c>
      <c r="N1331">
        <v>3.6</v>
      </c>
      <c r="O1331">
        <v>222.47</v>
      </c>
      <c r="P1331">
        <v>263.25790000000001</v>
      </c>
    </row>
    <row r="1332" spans="1:16" hidden="1" x14ac:dyDescent="0.25">
      <c r="A1332" s="22">
        <v>41978</v>
      </c>
      <c r="B1332" t="s">
        <v>100</v>
      </c>
      <c r="C1332" t="s">
        <v>17</v>
      </c>
      <c r="D1332">
        <v>200</v>
      </c>
      <c r="E1332">
        <v>54</v>
      </c>
      <c r="F1332">
        <v>10800</v>
      </c>
      <c r="G1332" t="s">
        <v>103</v>
      </c>
      <c r="H1332">
        <v>201415167</v>
      </c>
      <c r="I1332" t="s">
        <v>19</v>
      </c>
      <c r="J1332" t="s">
        <v>20</v>
      </c>
      <c r="K1332" t="s">
        <v>21</v>
      </c>
      <c r="L1332">
        <v>11.01</v>
      </c>
      <c r="M1332">
        <v>0.36</v>
      </c>
      <c r="N1332">
        <v>0</v>
      </c>
      <c r="O1332">
        <v>66.739999999999995</v>
      </c>
      <c r="P1332">
        <v>78.106300000000005</v>
      </c>
    </row>
    <row r="1333" spans="1:16" hidden="1" x14ac:dyDescent="0.25">
      <c r="A1333" s="22">
        <v>41978</v>
      </c>
      <c r="B1333" t="s">
        <v>98</v>
      </c>
      <c r="C1333" t="s">
        <v>17</v>
      </c>
      <c r="D1333">
        <v>25</v>
      </c>
      <c r="E1333">
        <v>79.5</v>
      </c>
      <c r="F1333">
        <v>1987.5</v>
      </c>
      <c r="G1333" t="s">
        <v>104</v>
      </c>
      <c r="H1333">
        <v>201415167</v>
      </c>
      <c r="I1333" t="s">
        <v>19</v>
      </c>
      <c r="J1333" t="s">
        <v>20</v>
      </c>
      <c r="K1333" t="s">
        <v>21</v>
      </c>
      <c r="L1333">
        <v>1.99</v>
      </c>
      <c r="M1333">
        <v>7.0000000000000007E-2</v>
      </c>
      <c r="N1333">
        <v>1.28</v>
      </c>
      <c r="O1333">
        <v>39.33</v>
      </c>
      <c r="P1333">
        <v>42.664400000000001</v>
      </c>
    </row>
    <row r="1334" spans="1:16" hidden="1" x14ac:dyDescent="0.25">
      <c r="A1334" s="22">
        <v>41977</v>
      </c>
      <c r="B1334" t="s">
        <v>105</v>
      </c>
      <c r="C1334" t="s">
        <v>23</v>
      </c>
      <c r="D1334">
        <v>575</v>
      </c>
      <c r="E1334">
        <v>66.099999999999994</v>
      </c>
      <c r="F1334">
        <v>38007.5</v>
      </c>
      <c r="G1334" t="s">
        <v>106</v>
      </c>
      <c r="H1334">
        <v>2014225</v>
      </c>
      <c r="I1334" t="s">
        <v>19</v>
      </c>
      <c r="J1334" t="s">
        <v>20</v>
      </c>
      <c r="K1334" t="s">
        <v>25</v>
      </c>
      <c r="L1334">
        <v>38.01</v>
      </c>
      <c r="M1334">
        <v>1.41</v>
      </c>
      <c r="N1334">
        <v>0</v>
      </c>
      <c r="O1334">
        <v>234.88</v>
      </c>
      <c r="P1334">
        <v>274.29629999999997</v>
      </c>
    </row>
    <row r="1335" spans="1:16" hidden="1" x14ac:dyDescent="0.25">
      <c r="A1335" s="22">
        <v>41977</v>
      </c>
      <c r="B1335" t="s">
        <v>89</v>
      </c>
      <c r="C1335" t="s">
        <v>23</v>
      </c>
      <c r="D1335">
        <v>1000</v>
      </c>
      <c r="E1335">
        <v>13.05</v>
      </c>
      <c r="F1335">
        <v>13050</v>
      </c>
      <c r="G1335" t="s">
        <v>107</v>
      </c>
      <c r="H1335">
        <v>2014225</v>
      </c>
      <c r="I1335" t="s">
        <v>19</v>
      </c>
      <c r="J1335" t="s">
        <v>20</v>
      </c>
      <c r="K1335" t="s">
        <v>25</v>
      </c>
      <c r="L1335">
        <v>12.99</v>
      </c>
      <c r="M1335">
        <v>0.48</v>
      </c>
      <c r="N1335">
        <v>5.1100000000000003</v>
      </c>
      <c r="O1335">
        <v>80.650000000000006</v>
      </c>
      <c r="P1335">
        <v>99.228700000000003</v>
      </c>
    </row>
    <row r="1336" spans="1:16" hidden="1" x14ac:dyDescent="0.25">
      <c r="A1336" s="22">
        <v>41823</v>
      </c>
      <c r="B1336" t="s">
        <v>56</v>
      </c>
      <c r="C1336" t="s">
        <v>23</v>
      </c>
      <c r="D1336">
        <v>20</v>
      </c>
      <c r="E1336">
        <v>870</v>
      </c>
      <c r="F1336">
        <v>17400</v>
      </c>
      <c r="G1336" t="s">
        <v>108</v>
      </c>
      <c r="H1336">
        <v>2014125</v>
      </c>
      <c r="I1336" t="s">
        <v>19</v>
      </c>
      <c r="J1336" t="s">
        <v>20</v>
      </c>
      <c r="K1336" t="s">
        <v>25</v>
      </c>
      <c r="L1336">
        <v>17.899999999999999</v>
      </c>
      <c r="M1336">
        <v>0.64</v>
      </c>
      <c r="N1336">
        <v>5.95</v>
      </c>
      <c r="O1336">
        <v>107.53</v>
      </c>
      <c r="P1336">
        <v>132.02379999999999</v>
      </c>
    </row>
    <row r="1337" spans="1:16" hidden="1" x14ac:dyDescent="0.25">
      <c r="A1337" s="22">
        <v>41823</v>
      </c>
      <c r="B1337" t="s">
        <v>105</v>
      </c>
      <c r="C1337" t="s">
        <v>17</v>
      </c>
      <c r="D1337">
        <v>175</v>
      </c>
      <c r="E1337">
        <v>108</v>
      </c>
      <c r="F1337">
        <v>18900</v>
      </c>
      <c r="G1337" t="s">
        <v>109</v>
      </c>
      <c r="H1337">
        <v>2014125</v>
      </c>
      <c r="I1337" t="s">
        <v>19</v>
      </c>
      <c r="J1337" t="s">
        <v>20</v>
      </c>
      <c r="K1337" t="s">
        <v>25</v>
      </c>
      <c r="L1337">
        <v>18.899999999999999</v>
      </c>
      <c r="M1337">
        <v>0.7</v>
      </c>
      <c r="N1337">
        <v>0</v>
      </c>
      <c r="O1337">
        <v>116.8</v>
      </c>
      <c r="P1337">
        <v>136.39930000000001</v>
      </c>
    </row>
    <row r="1338" spans="1:16" hidden="1" x14ac:dyDescent="0.25">
      <c r="A1338" s="22">
        <v>41823</v>
      </c>
      <c r="B1338" t="s">
        <v>89</v>
      </c>
      <c r="C1338" t="s">
        <v>17</v>
      </c>
      <c r="D1338">
        <v>1000</v>
      </c>
      <c r="E1338">
        <v>23.2</v>
      </c>
      <c r="F1338">
        <v>23200</v>
      </c>
      <c r="G1338" t="s">
        <v>110</v>
      </c>
      <c r="H1338">
        <v>2014125</v>
      </c>
      <c r="I1338" t="s">
        <v>19</v>
      </c>
      <c r="J1338" t="s">
        <v>20</v>
      </c>
      <c r="K1338" t="s">
        <v>25</v>
      </c>
      <c r="L1338">
        <v>23.2</v>
      </c>
      <c r="M1338">
        <v>0.86</v>
      </c>
      <c r="N1338">
        <v>0</v>
      </c>
      <c r="O1338">
        <v>143.37</v>
      </c>
      <c r="P1338">
        <v>167.42840000000001</v>
      </c>
    </row>
    <row r="1339" spans="1:16" hidden="1" x14ac:dyDescent="0.25">
      <c r="A1339" s="22">
        <v>41820</v>
      </c>
      <c r="B1339" t="s">
        <v>111</v>
      </c>
      <c r="C1339" t="s">
        <v>23</v>
      </c>
      <c r="D1339">
        <v>40</v>
      </c>
      <c r="E1339">
        <v>675</v>
      </c>
      <c r="F1339">
        <v>27000</v>
      </c>
      <c r="G1339" t="s">
        <v>112</v>
      </c>
      <c r="H1339">
        <v>2014122</v>
      </c>
      <c r="I1339" t="s">
        <v>19</v>
      </c>
      <c r="J1339" t="s">
        <v>20</v>
      </c>
      <c r="K1339" t="s">
        <v>25</v>
      </c>
      <c r="L1339">
        <v>27</v>
      </c>
      <c r="M1339">
        <v>1</v>
      </c>
      <c r="N1339">
        <v>2.7</v>
      </c>
      <c r="O1339">
        <v>166.85</v>
      </c>
      <c r="P1339">
        <v>197.54900000000001</v>
      </c>
    </row>
    <row r="1340" spans="1:16" hidden="1" x14ac:dyDescent="0.25">
      <c r="A1340" s="22">
        <v>41810</v>
      </c>
      <c r="B1340" t="s">
        <v>111</v>
      </c>
      <c r="C1340" t="s">
        <v>17</v>
      </c>
      <c r="D1340">
        <v>40</v>
      </c>
      <c r="E1340">
        <v>630</v>
      </c>
      <c r="F1340">
        <v>25200</v>
      </c>
      <c r="G1340" t="s">
        <v>113</v>
      </c>
      <c r="H1340">
        <v>2014116</v>
      </c>
      <c r="I1340" t="s">
        <v>19</v>
      </c>
      <c r="J1340" t="s">
        <v>20</v>
      </c>
      <c r="K1340" t="s">
        <v>25</v>
      </c>
      <c r="L1340">
        <v>25</v>
      </c>
      <c r="M1340">
        <v>0.93</v>
      </c>
      <c r="N1340">
        <v>2.52</v>
      </c>
      <c r="O1340">
        <v>155.72999999999999</v>
      </c>
      <c r="P1340">
        <v>184.1824</v>
      </c>
    </row>
    <row r="1341" spans="1:16" hidden="1" x14ac:dyDescent="0.25">
      <c r="A1341" s="22">
        <v>41808</v>
      </c>
      <c r="B1341" t="s">
        <v>98</v>
      </c>
      <c r="C1341" t="s">
        <v>23</v>
      </c>
      <c r="D1341">
        <v>324</v>
      </c>
      <c r="E1341">
        <v>80</v>
      </c>
      <c r="F1341">
        <v>25920</v>
      </c>
      <c r="G1341" t="s">
        <v>114</v>
      </c>
      <c r="H1341">
        <v>201415055</v>
      </c>
      <c r="I1341" t="s">
        <v>19</v>
      </c>
      <c r="J1341" t="s">
        <v>20</v>
      </c>
      <c r="K1341" t="s">
        <v>21</v>
      </c>
      <c r="L1341">
        <v>26</v>
      </c>
      <c r="M1341">
        <v>0.86</v>
      </c>
      <c r="N1341">
        <v>2.59</v>
      </c>
      <c r="O1341">
        <v>160.18</v>
      </c>
      <c r="P1341">
        <v>189.62729999999999</v>
      </c>
    </row>
    <row r="1342" spans="1:16" hidden="1" x14ac:dyDescent="0.25">
      <c r="A1342" s="22">
        <v>41795</v>
      </c>
      <c r="B1342" t="s">
        <v>115</v>
      </c>
      <c r="C1342" t="s">
        <v>23</v>
      </c>
      <c r="D1342">
        <v>500</v>
      </c>
      <c r="E1342">
        <v>83.5</v>
      </c>
      <c r="F1342">
        <v>41750</v>
      </c>
      <c r="G1342" t="s">
        <v>116</v>
      </c>
      <c r="H1342">
        <v>201415046</v>
      </c>
      <c r="I1342" t="s">
        <v>19</v>
      </c>
      <c r="J1342" t="s">
        <v>20</v>
      </c>
      <c r="K1342" t="s">
        <v>21</v>
      </c>
      <c r="L1342">
        <v>42</v>
      </c>
      <c r="M1342">
        <v>1.38</v>
      </c>
      <c r="N1342">
        <v>4.18</v>
      </c>
      <c r="O1342">
        <v>258.01</v>
      </c>
      <c r="P1342">
        <v>305.56270000000001</v>
      </c>
    </row>
    <row r="1343" spans="1:16" hidden="1" x14ac:dyDescent="0.25">
      <c r="A1343" s="22">
        <v>41795</v>
      </c>
      <c r="B1343" t="s">
        <v>105</v>
      </c>
      <c r="C1343" t="s">
        <v>17</v>
      </c>
      <c r="D1343">
        <v>400</v>
      </c>
      <c r="E1343">
        <v>104</v>
      </c>
      <c r="F1343">
        <v>41600</v>
      </c>
      <c r="G1343" t="s">
        <v>117</v>
      </c>
      <c r="H1343">
        <v>2014105</v>
      </c>
      <c r="I1343" t="s">
        <v>19</v>
      </c>
      <c r="J1343" t="s">
        <v>20</v>
      </c>
      <c r="K1343" t="s">
        <v>25</v>
      </c>
      <c r="L1343">
        <v>42</v>
      </c>
      <c r="M1343">
        <v>1.54</v>
      </c>
      <c r="N1343">
        <v>4.16</v>
      </c>
      <c r="O1343">
        <v>257.08</v>
      </c>
      <c r="P1343">
        <v>304.7792</v>
      </c>
    </row>
    <row r="1344" spans="1:16" hidden="1" x14ac:dyDescent="0.25">
      <c r="A1344" s="22">
        <v>41786</v>
      </c>
      <c r="B1344" t="s">
        <v>98</v>
      </c>
      <c r="C1344" t="s">
        <v>17</v>
      </c>
      <c r="D1344">
        <v>100</v>
      </c>
      <c r="E1344">
        <v>77</v>
      </c>
      <c r="F1344">
        <v>7700</v>
      </c>
      <c r="G1344" t="s">
        <v>118</v>
      </c>
      <c r="H1344">
        <v>2014098</v>
      </c>
      <c r="I1344" t="s">
        <v>19</v>
      </c>
      <c r="J1344" t="s">
        <v>20</v>
      </c>
      <c r="K1344" t="s">
        <v>25</v>
      </c>
      <c r="L1344">
        <v>8</v>
      </c>
      <c r="M1344">
        <v>0.28000000000000003</v>
      </c>
      <c r="N1344">
        <v>0.77</v>
      </c>
      <c r="O1344">
        <v>47.58</v>
      </c>
      <c r="P1344">
        <v>56.627200000000002</v>
      </c>
    </row>
    <row r="1345" spans="1:16" hidden="1" x14ac:dyDescent="0.25">
      <c r="A1345" s="22">
        <v>41775</v>
      </c>
      <c r="B1345" t="s">
        <v>119</v>
      </c>
      <c r="C1345" t="s">
        <v>23</v>
      </c>
      <c r="D1345">
        <v>500</v>
      </c>
      <c r="E1345">
        <v>81</v>
      </c>
      <c r="F1345">
        <v>40500</v>
      </c>
      <c r="G1345" t="s">
        <v>120</v>
      </c>
      <c r="H1345">
        <v>2014091</v>
      </c>
      <c r="I1345" t="s">
        <v>19</v>
      </c>
      <c r="J1345" t="s">
        <v>20</v>
      </c>
      <c r="K1345" t="s">
        <v>25</v>
      </c>
      <c r="L1345">
        <v>40.5</v>
      </c>
      <c r="M1345">
        <v>1.46</v>
      </c>
      <c r="N1345">
        <v>7.35</v>
      </c>
      <c r="O1345">
        <v>250.28</v>
      </c>
      <c r="P1345">
        <v>299.58800000000002</v>
      </c>
    </row>
    <row r="1346" spans="1:16" hidden="1" x14ac:dyDescent="0.25">
      <c r="A1346" s="22">
        <v>41775</v>
      </c>
      <c r="B1346" t="s">
        <v>115</v>
      </c>
      <c r="C1346" t="s">
        <v>17</v>
      </c>
      <c r="D1346">
        <v>500</v>
      </c>
      <c r="E1346">
        <v>66</v>
      </c>
      <c r="F1346">
        <v>33000</v>
      </c>
      <c r="G1346" t="s">
        <v>121</v>
      </c>
      <c r="H1346">
        <v>2014091</v>
      </c>
      <c r="I1346" t="s">
        <v>19</v>
      </c>
      <c r="J1346" t="s">
        <v>20</v>
      </c>
      <c r="K1346" t="s">
        <v>25</v>
      </c>
      <c r="L1346">
        <v>33.5</v>
      </c>
      <c r="M1346">
        <v>1.19</v>
      </c>
      <c r="N1346">
        <v>0</v>
      </c>
      <c r="O1346">
        <v>203.93</v>
      </c>
      <c r="P1346">
        <v>238.61799999999999</v>
      </c>
    </row>
    <row r="1347" spans="1:16" hidden="1" x14ac:dyDescent="0.25">
      <c r="A1347" s="22">
        <v>41774</v>
      </c>
      <c r="B1347" t="s">
        <v>122</v>
      </c>
      <c r="C1347" t="s">
        <v>23</v>
      </c>
      <c r="D1347">
        <v>700</v>
      </c>
      <c r="E1347">
        <v>20.399999999999999</v>
      </c>
      <c r="F1347">
        <v>14280</v>
      </c>
      <c r="G1347" t="s">
        <v>123</v>
      </c>
      <c r="H1347">
        <v>2014090</v>
      </c>
      <c r="I1347" t="s">
        <v>19</v>
      </c>
      <c r="J1347" t="s">
        <v>20</v>
      </c>
      <c r="K1347" t="s">
        <v>25</v>
      </c>
      <c r="L1347">
        <v>14.28</v>
      </c>
      <c r="M1347">
        <v>0.51</v>
      </c>
      <c r="N1347">
        <v>0</v>
      </c>
      <c r="O1347">
        <v>88.25</v>
      </c>
      <c r="P1347">
        <v>103.0441</v>
      </c>
    </row>
    <row r="1348" spans="1:16" hidden="1" x14ac:dyDescent="0.25">
      <c r="A1348" s="22">
        <v>41774</v>
      </c>
      <c r="B1348" t="s">
        <v>98</v>
      </c>
      <c r="C1348" t="s">
        <v>17</v>
      </c>
      <c r="D1348">
        <v>200</v>
      </c>
      <c r="E1348">
        <v>62</v>
      </c>
      <c r="F1348">
        <v>12400</v>
      </c>
      <c r="G1348" t="s">
        <v>124</v>
      </c>
      <c r="H1348">
        <v>2014090</v>
      </c>
      <c r="I1348" t="s">
        <v>19</v>
      </c>
      <c r="J1348" t="s">
        <v>20</v>
      </c>
      <c r="K1348" t="s">
        <v>25</v>
      </c>
      <c r="L1348">
        <v>12.72</v>
      </c>
      <c r="M1348">
        <v>0.45</v>
      </c>
      <c r="N1348">
        <v>2.67</v>
      </c>
      <c r="O1348">
        <v>76.63</v>
      </c>
      <c r="P1348">
        <v>92.464399999999998</v>
      </c>
    </row>
    <row r="1349" spans="1:16" hidden="1" x14ac:dyDescent="0.25">
      <c r="A1349" s="22">
        <v>41752</v>
      </c>
      <c r="B1349" t="s">
        <v>122</v>
      </c>
      <c r="C1349" t="s">
        <v>17</v>
      </c>
      <c r="D1349">
        <v>700</v>
      </c>
      <c r="E1349">
        <v>20</v>
      </c>
      <c r="F1349">
        <v>14000</v>
      </c>
      <c r="G1349" t="s">
        <v>125</v>
      </c>
      <c r="H1349">
        <v>2014076</v>
      </c>
      <c r="I1349" t="s">
        <v>19</v>
      </c>
      <c r="J1349" t="s">
        <v>20</v>
      </c>
      <c r="K1349" t="s">
        <v>25</v>
      </c>
      <c r="L1349">
        <v>14</v>
      </c>
      <c r="M1349">
        <v>0.5</v>
      </c>
      <c r="N1349">
        <v>1.4</v>
      </c>
      <c r="O1349">
        <v>86.52</v>
      </c>
      <c r="P1349">
        <v>102.42400000000001</v>
      </c>
    </row>
    <row r="1350" spans="1:16" hidden="1" x14ac:dyDescent="0.25">
      <c r="A1350" s="22">
        <v>41746</v>
      </c>
      <c r="B1350" t="s">
        <v>56</v>
      </c>
      <c r="C1350" t="s">
        <v>17</v>
      </c>
      <c r="D1350">
        <v>10</v>
      </c>
      <c r="E1350">
        <v>1428</v>
      </c>
      <c r="F1350">
        <v>14280</v>
      </c>
      <c r="G1350" t="s">
        <v>126</v>
      </c>
      <c r="H1350">
        <v>2014073</v>
      </c>
      <c r="I1350" t="s">
        <v>19</v>
      </c>
      <c r="J1350" t="s">
        <v>20</v>
      </c>
      <c r="K1350" t="s">
        <v>25</v>
      </c>
      <c r="L1350">
        <v>14</v>
      </c>
      <c r="M1350">
        <v>0.51</v>
      </c>
      <c r="N1350">
        <v>1.43</v>
      </c>
      <c r="O1350">
        <v>88.25</v>
      </c>
      <c r="P1350">
        <v>104.1921</v>
      </c>
    </row>
    <row r="1351" spans="1:16" hidden="1" x14ac:dyDescent="0.25">
      <c r="A1351" s="22">
        <v>41740</v>
      </c>
      <c r="B1351" t="s">
        <v>119</v>
      </c>
      <c r="C1351" t="s">
        <v>17</v>
      </c>
      <c r="D1351">
        <v>500</v>
      </c>
      <c r="E1351">
        <v>77</v>
      </c>
      <c r="F1351">
        <v>38500</v>
      </c>
      <c r="G1351" t="s">
        <v>127</v>
      </c>
      <c r="H1351">
        <v>201415011</v>
      </c>
      <c r="I1351" t="s">
        <v>19</v>
      </c>
      <c r="J1351" t="s">
        <v>20</v>
      </c>
      <c r="K1351" t="s">
        <v>21</v>
      </c>
      <c r="L1351">
        <v>39</v>
      </c>
      <c r="M1351">
        <v>1.23</v>
      </c>
      <c r="N1351">
        <v>3.85</v>
      </c>
      <c r="O1351">
        <v>237.92</v>
      </c>
      <c r="P1351">
        <v>282.00189999999998</v>
      </c>
    </row>
    <row r="1352" spans="1:16" hidden="1" x14ac:dyDescent="0.25">
      <c r="A1352" s="22">
        <v>41733</v>
      </c>
      <c r="B1352" t="s">
        <v>128</v>
      </c>
      <c r="C1352" t="s">
        <v>23</v>
      </c>
      <c r="D1352">
        <v>368</v>
      </c>
      <c r="E1352">
        <v>166.1</v>
      </c>
      <c r="F1352">
        <v>61124.800000000003</v>
      </c>
      <c r="G1352" t="s">
        <v>129</v>
      </c>
      <c r="H1352">
        <v>2014066</v>
      </c>
      <c r="I1352" t="s">
        <v>19</v>
      </c>
      <c r="J1352" t="s">
        <v>20</v>
      </c>
      <c r="K1352" t="s">
        <v>25</v>
      </c>
      <c r="L1352">
        <v>61</v>
      </c>
      <c r="M1352">
        <v>2.2000000000000002</v>
      </c>
      <c r="N1352">
        <v>6.11</v>
      </c>
      <c r="O1352">
        <v>377.74</v>
      </c>
      <c r="P1352">
        <v>447.053</v>
      </c>
    </row>
    <row r="1353" spans="1:16" hidden="1" x14ac:dyDescent="0.25">
      <c r="A1353" s="22">
        <v>41687</v>
      </c>
      <c r="B1353" t="s">
        <v>128</v>
      </c>
      <c r="C1353" t="s">
        <v>17</v>
      </c>
      <c r="D1353">
        <v>100</v>
      </c>
      <c r="E1353">
        <v>166.7</v>
      </c>
      <c r="F1353">
        <v>16670</v>
      </c>
      <c r="G1353" t="s">
        <v>130</v>
      </c>
      <c r="H1353">
        <v>201314224</v>
      </c>
      <c r="I1353" t="s">
        <v>19</v>
      </c>
      <c r="J1353" t="s">
        <v>20</v>
      </c>
      <c r="K1353" t="s">
        <v>21</v>
      </c>
      <c r="L1353">
        <v>17</v>
      </c>
      <c r="M1353">
        <v>0.53</v>
      </c>
      <c r="N1353">
        <v>1.67</v>
      </c>
      <c r="O1353">
        <v>103.02</v>
      </c>
      <c r="P1353">
        <v>122.2204</v>
      </c>
    </row>
    <row r="1354" spans="1:16" hidden="1" x14ac:dyDescent="0.25">
      <c r="A1354" s="22">
        <v>41687</v>
      </c>
      <c r="B1354" t="s">
        <v>131</v>
      </c>
      <c r="C1354" t="s">
        <v>23</v>
      </c>
      <c r="D1354">
        <v>2000</v>
      </c>
      <c r="E1354">
        <v>6.6</v>
      </c>
      <c r="F1354">
        <v>13200</v>
      </c>
      <c r="G1354" t="s">
        <v>132</v>
      </c>
      <c r="H1354">
        <v>2014034</v>
      </c>
      <c r="I1354" t="s">
        <v>19</v>
      </c>
      <c r="J1354" t="s">
        <v>20</v>
      </c>
      <c r="K1354" t="s">
        <v>25</v>
      </c>
      <c r="L1354">
        <v>13</v>
      </c>
      <c r="M1354">
        <v>0.48</v>
      </c>
      <c r="N1354">
        <v>1.32</v>
      </c>
      <c r="O1354">
        <v>112.36</v>
      </c>
      <c r="P1354">
        <v>127.15519999999999</v>
      </c>
    </row>
    <row r="1355" spans="1:16" hidden="1" x14ac:dyDescent="0.25">
      <c r="A1355" s="22">
        <v>41635</v>
      </c>
      <c r="B1355" t="s">
        <v>131</v>
      </c>
      <c r="C1355" t="s">
        <v>17</v>
      </c>
      <c r="D1355">
        <v>2000</v>
      </c>
      <c r="E1355">
        <v>7.75</v>
      </c>
      <c r="F1355">
        <v>15500</v>
      </c>
      <c r="G1355" t="s">
        <v>133</v>
      </c>
      <c r="H1355">
        <v>2013247</v>
      </c>
      <c r="I1355" t="s">
        <v>19</v>
      </c>
      <c r="J1355" t="s">
        <v>20</v>
      </c>
      <c r="K1355" t="s">
        <v>25</v>
      </c>
      <c r="L1355">
        <v>7.83</v>
      </c>
      <c r="M1355">
        <v>0.56000000000000005</v>
      </c>
      <c r="N1355">
        <v>0</v>
      </c>
      <c r="O1355">
        <v>56.18</v>
      </c>
      <c r="P1355">
        <v>64.567999999999998</v>
      </c>
    </row>
    <row r="1356" spans="1:16" hidden="1" x14ac:dyDescent="0.25">
      <c r="A1356" s="22">
        <v>41635</v>
      </c>
      <c r="B1356" t="s">
        <v>131</v>
      </c>
      <c r="C1356" t="s">
        <v>23</v>
      </c>
      <c r="D1356">
        <v>1000</v>
      </c>
      <c r="E1356">
        <v>8</v>
      </c>
      <c r="F1356">
        <v>8000</v>
      </c>
      <c r="G1356" t="s">
        <v>134</v>
      </c>
      <c r="H1356">
        <v>2013247</v>
      </c>
      <c r="I1356" t="s">
        <v>19</v>
      </c>
      <c r="J1356" t="s">
        <v>20</v>
      </c>
      <c r="K1356" t="s">
        <v>25</v>
      </c>
      <c r="L1356">
        <v>2.17</v>
      </c>
      <c r="M1356">
        <v>0.28999999999999998</v>
      </c>
      <c r="N1356">
        <v>2.35</v>
      </c>
      <c r="O1356">
        <v>56.18</v>
      </c>
      <c r="P1356">
        <v>60.988</v>
      </c>
    </row>
    <row r="1357" spans="1:16" hidden="1" x14ac:dyDescent="0.25">
      <c r="A1357" s="22">
        <v>41617</v>
      </c>
      <c r="B1357" t="s">
        <v>131</v>
      </c>
      <c r="C1357" t="s">
        <v>17</v>
      </c>
      <c r="D1357">
        <v>1000</v>
      </c>
      <c r="E1357">
        <v>6.75</v>
      </c>
      <c r="F1357">
        <v>6750</v>
      </c>
      <c r="G1357" t="s">
        <v>135</v>
      </c>
      <c r="H1357">
        <v>2013234</v>
      </c>
      <c r="I1357" t="s">
        <v>19</v>
      </c>
      <c r="J1357" t="s">
        <v>20</v>
      </c>
      <c r="K1357" t="s">
        <v>25</v>
      </c>
      <c r="L1357">
        <v>7</v>
      </c>
      <c r="M1357">
        <v>0.24</v>
      </c>
      <c r="N1357">
        <v>0.68</v>
      </c>
      <c r="O1357">
        <v>56.18</v>
      </c>
      <c r="P1357">
        <v>64.097999999999999</v>
      </c>
    </row>
    <row r="1358" spans="1:16" hidden="1" x14ac:dyDescent="0.25">
      <c r="A1358" s="22">
        <v>41581</v>
      </c>
      <c r="B1358" t="s">
        <v>29</v>
      </c>
      <c r="C1358" t="s">
        <v>23</v>
      </c>
      <c r="D1358">
        <v>250</v>
      </c>
      <c r="E1358">
        <v>23.15</v>
      </c>
      <c r="F1358">
        <v>5787.5</v>
      </c>
      <c r="G1358" t="s">
        <v>136</v>
      </c>
      <c r="H1358">
        <v>2013210</v>
      </c>
      <c r="I1358" t="s">
        <v>19</v>
      </c>
      <c r="J1358" t="s">
        <v>20</v>
      </c>
      <c r="K1358" t="s">
        <v>25</v>
      </c>
      <c r="L1358">
        <v>6</v>
      </c>
      <c r="M1358">
        <v>0.21</v>
      </c>
      <c r="N1358">
        <v>0.57999999999999996</v>
      </c>
      <c r="O1358">
        <v>39.33</v>
      </c>
      <c r="P1358">
        <v>46.117100000000001</v>
      </c>
    </row>
    <row r="1359" spans="1:16" hidden="1" x14ac:dyDescent="0.25">
      <c r="A1359" s="22">
        <v>41554</v>
      </c>
      <c r="B1359" t="s">
        <v>29</v>
      </c>
      <c r="C1359" t="s">
        <v>17</v>
      </c>
      <c r="D1359">
        <v>250</v>
      </c>
      <c r="E1359">
        <v>22.25</v>
      </c>
      <c r="F1359">
        <v>5562.5</v>
      </c>
      <c r="G1359" t="s">
        <v>137</v>
      </c>
      <c r="H1359">
        <v>2013191</v>
      </c>
      <c r="I1359" t="s">
        <v>19</v>
      </c>
      <c r="J1359" t="s">
        <v>20</v>
      </c>
      <c r="K1359" t="s">
        <v>25</v>
      </c>
      <c r="L1359">
        <v>6</v>
      </c>
      <c r="M1359">
        <v>0.2</v>
      </c>
      <c r="N1359">
        <v>0.56000000000000005</v>
      </c>
      <c r="O1359">
        <v>39.33</v>
      </c>
      <c r="P1359">
        <v>46.086599999999997</v>
      </c>
    </row>
    <row r="1360" spans="1:16" hidden="1" x14ac:dyDescent="0.25">
      <c r="A1360" s="22">
        <v>41533</v>
      </c>
      <c r="B1360" t="s">
        <v>138</v>
      </c>
      <c r="C1360" t="s">
        <v>17</v>
      </c>
      <c r="D1360">
        <v>475</v>
      </c>
      <c r="E1360">
        <v>11.15</v>
      </c>
      <c r="F1360">
        <v>5296.25</v>
      </c>
      <c r="G1360" t="s">
        <v>139</v>
      </c>
      <c r="H1360">
        <v>201314118</v>
      </c>
      <c r="I1360" t="s">
        <v>140</v>
      </c>
      <c r="J1360" t="s">
        <v>20</v>
      </c>
      <c r="K1360" t="s">
        <v>21</v>
      </c>
      <c r="L1360">
        <v>5</v>
      </c>
      <c r="M1360">
        <v>0.17</v>
      </c>
      <c r="N1360">
        <v>0.53</v>
      </c>
      <c r="O1360">
        <v>39.32</v>
      </c>
      <c r="P1360">
        <v>45.019100000000002</v>
      </c>
    </row>
    <row r="1361" spans="1:16" hidden="1" x14ac:dyDescent="0.25">
      <c r="A1361" s="22">
        <v>41528</v>
      </c>
      <c r="B1361" t="s">
        <v>128</v>
      </c>
      <c r="C1361" t="s">
        <v>17</v>
      </c>
      <c r="D1361">
        <v>50</v>
      </c>
      <c r="E1361">
        <v>120.9</v>
      </c>
      <c r="F1361">
        <v>6045</v>
      </c>
      <c r="G1361" t="s">
        <v>141</v>
      </c>
      <c r="H1361">
        <v>201314115</v>
      </c>
      <c r="I1361" t="s">
        <v>19</v>
      </c>
      <c r="J1361" t="s">
        <v>20</v>
      </c>
      <c r="K1361" t="s">
        <v>21</v>
      </c>
      <c r="L1361">
        <v>6</v>
      </c>
      <c r="M1361">
        <v>0.19</v>
      </c>
      <c r="N1361">
        <v>0.6</v>
      </c>
      <c r="O1361">
        <v>39.35</v>
      </c>
      <c r="P1361">
        <v>46.147500000000001</v>
      </c>
    </row>
    <row r="1362" spans="1:16" hidden="1" x14ac:dyDescent="0.25">
      <c r="A1362" s="22">
        <v>41477</v>
      </c>
      <c r="B1362" t="s">
        <v>128</v>
      </c>
      <c r="C1362" t="s">
        <v>17</v>
      </c>
      <c r="D1362">
        <v>100</v>
      </c>
      <c r="E1362">
        <v>97</v>
      </c>
      <c r="F1362">
        <v>9700</v>
      </c>
      <c r="G1362" t="s">
        <v>142</v>
      </c>
      <c r="H1362">
        <v>2013140</v>
      </c>
      <c r="I1362" t="s">
        <v>19</v>
      </c>
      <c r="J1362" t="s">
        <v>20</v>
      </c>
      <c r="K1362" t="s">
        <v>25</v>
      </c>
      <c r="L1362">
        <v>10</v>
      </c>
      <c r="M1362">
        <v>0.35</v>
      </c>
      <c r="N1362">
        <v>0.97</v>
      </c>
      <c r="O1362">
        <v>59.94</v>
      </c>
      <c r="P1362">
        <v>71.259200000000007</v>
      </c>
    </row>
    <row r="1363" spans="1:16" hidden="1" x14ac:dyDescent="0.25">
      <c r="A1363" s="22">
        <v>41470</v>
      </c>
      <c r="B1363" t="s">
        <v>128</v>
      </c>
      <c r="C1363" t="s">
        <v>23</v>
      </c>
      <c r="D1363">
        <v>50</v>
      </c>
      <c r="E1363">
        <v>100.1</v>
      </c>
      <c r="F1363">
        <v>5005</v>
      </c>
      <c r="G1363" t="s">
        <v>143</v>
      </c>
      <c r="H1363">
        <v>2013135</v>
      </c>
      <c r="I1363" t="s">
        <v>19</v>
      </c>
      <c r="J1363" t="s">
        <v>20</v>
      </c>
      <c r="K1363" t="s">
        <v>25</v>
      </c>
      <c r="L1363">
        <v>5</v>
      </c>
      <c r="M1363">
        <v>0.18</v>
      </c>
      <c r="N1363">
        <v>0.5</v>
      </c>
      <c r="O1363">
        <v>39.33</v>
      </c>
      <c r="P1363">
        <v>45.0107</v>
      </c>
    </row>
    <row r="1364" spans="1:16" hidden="1" x14ac:dyDescent="0.25">
      <c r="A1364" s="22">
        <v>41463</v>
      </c>
      <c r="B1364" t="s">
        <v>128</v>
      </c>
      <c r="C1364" t="s">
        <v>17</v>
      </c>
      <c r="D1364">
        <v>50</v>
      </c>
      <c r="E1364">
        <v>95.9</v>
      </c>
      <c r="F1364">
        <v>4795</v>
      </c>
      <c r="G1364" t="s">
        <v>144</v>
      </c>
      <c r="H1364">
        <v>201314071</v>
      </c>
      <c r="I1364" t="s">
        <v>19</v>
      </c>
      <c r="J1364" t="s">
        <v>20</v>
      </c>
      <c r="K1364" t="s">
        <v>21</v>
      </c>
      <c r="L1364">
        <v>5</v>
      </c>
      <c r="M1364">
        <v>0.15</v>
      </c>
      <c r="N1364">
        <v>0.48</v>
      </c>
      <c r="O1364">
        <v>39.33</v>
      </c>
      <c r="P1364">
        <v>44.962899999999998</v>
      </c>
    </row>
    <row r="1365" spans="1:16" hidden="1" x14ac:dyDescent="0.25">
      <c r="A1365" s="22">
        <v>41414</v>
      </c>
      <c r="B1365" t="s">
        <v>128</v>
      </c>
      <c r="C1365" t="s">
        <v>17</v>
      </c>
      <c r="D1365">
        <v>100</v>
      </c>
      <c r="E1365">
        <v>157.1</v>
      </c>
      <c r="F1365">
        <v>15710</v>
      </c>
      <c r="G1365" t="s">
        <v>145</v>
      </c>
      <c r="H1365">
        <v>201314036</v>
      </c>
      <c r="I1365" t="s">
        <v>19</v>
      </c>
      <c r="J1365" t="s">
        <v>20</v>
      </c>
      <c r="K1365" t="s">
        <v>21</v>
      </c>
      <c r="L1365">
        <v>16</v>
      </c>
      <c r="M1365">
        <v>0.5</v>
      </c>
      <c r="N1365">
        <v>1.57</v>
      </c>
      <c r="O1365">
        <v>97.08</v>
      </c>
      <c r="P1365">
        <v>115.1536</v>
      </c>
    </row>
    <row r="1366" spans="1:16" hidden="1" x14ac:dyDescent="0.25">
      <c r="A1366" s="22">
        <v>41352</v>
      </c>
      <c r="B1366" t="s">
        <v>29</v>
      </c>
      <c r="C1366" t="s">
        <v>23</v>
      </c>
      <c r="D1366">
        <v>75</v>
      </c>
      <c r="E1366">
        <v>21.5</v>
      </c>
      <c r="F1366">
        <v>1612.5</v>
      </c>
      <c r="G1366" t="s">
        <v>146</v>
      </c>
      <c r="H1366">
        <v>2013056</v>
      </c>
      <c r="I1366" t="s">
        <v>19</v>
      </c>
      <c r="J1366" t="s">
        <v>20</v>
      </c>
      <c r="K1366" t="s">
        <v>25</v>
      </c>
      <c r="L1366">
        <v>2</v>
      </c>
      <c r="M1366">
        <v>0.06</v>
      </c>
      <c r="N1366">
        <v>0.16</v>
      </c>
      <c r="O1366">
        <v>39.33</v>
      </c>
      <c r="P1366">
        <v>41.549399999999999</v>
      </c>
    </row>
    <row r="1367" spans="1:16" hidden="1" x14ac:dyDescent="0.25">
      <c r="A1367" s="22">
        <v>41282</v>
      </c>
      <c r="B1367" t="s">
        <v>29</v>
      </c>
      <c r="C1367" t="s">
        <v>17</v>
      </c>
      <c r="D1367">
        <v>75</v>
      </c>
      <c r="E1367">
        <v>20.149999999999999</v>
      </c>
      <c r="F1367">
        <v>1511.25</v>
      </c>
      <c r="G1367" t="s">
        <v>147</v>
      </c>
      <c r="H1367">
        <v>2013006</v>
      </c>
      <c r="I1367" t="s">
        <v>19</v>
      </c>
      <c r="J1367" t="s">
        <v>20</v>
      </c>
      <c r="K1367" t="s">
        <v>25</v>
      </c>
      <c r="L1367">
        <v>2</v>
      </c>
      <c r="M1367">
        <v>0.05</v>
      </c>
      <c r="N1367">
        <v>0.15</v>
      </c>
      <c r="O1367">
        <v>39.33</v>
      </c>
      <c r="P1367">
        <v>41.535499999999999</v>
      </c>
    </row>
    <row r="1368" spans="1:16" hidden="1" x14ac:dyDescent="0.25">
      <c r="A1368" s="22">
        <v>41274</v>
      </c>
      <c r="B1368" t="s">
        <v>98</v>
      </c>
      <c r="C1368" t="s">
        <v>17</v>
      </c>
      <c r="D1368">
        <v>12</v>
      </c>
      <c r="E1368">
        <v>84.1</v>
      </c>
      <c r="F1368">
        <v>1009.2</v>
      </c>
      <c r="G1368" t="s">
        <v>148</v>
      </c>
      <c r="H1368">
        <v>2012247</v>
      </c>
      <c r="I1368" t="s">
        <v>19</v>
      </c>
      <c r="J1368" t="s">
        <v>20</v>
      </c>
      <c r="K1368" t="s">
        <v>25</v>
      </c>
      <c r="L1368">
        <v>0.99</v>
      </c>
      <c r="M1368">
        <v>0.04</v>
      </c>
      <c r="N1368">
        <v>0</v>
      </c>
      <c r="O1368">
        <v>28.35</v>
      </c>
      <c r="P1368">
        <v>29.376300000000001</v>
      </c>
    </row>
    <row r="1369" spans="1:16" hidden="1" x14ac:dyDescent="0.25">
      <c r="A1369" s="22">
        <v>41274</v>
      </c>
      <c r="B1369" t="s">
        <v>98</v>
      </c>
      <c r="C1369" t="s">
        <v>17</v>
      </c>
      <c r="D1369">
        <v>12</v>
      </c>
      <c r="E1369">
        <v>83.9</v>
      </c>
      <c r="F1369">
        <v>1006.8</v>
      </c>
      <c r="G1369" t="s">
        <v>149</v>
      </c>
      <c r="H1369">
        <v>2012247</v>
      </c>
      <c r="I1369" t="s">
        <v>19</v>
      </c>
      <c r="J1369" t="s">
        <v>20</v>
      </c>
      <c r="K1369" t="s">
        <v>25</v>
      </c>
      <c r="L1369">
        <v>1.01</v>
      </c>
      <c r="M1369">
        <v>0.04</v>
      </c>
      <c r="N1369">
        <v>0.2</v>
      </c>
      <c r="O1369">
        <v>28.28</v>
      </c>
      <c r="P1369">
        <v>29.527799999999999</v>
      </c>
    </row>
    <row r="1370" spans="1:16" hidden="1" x14ac:dyDescent="0.25">
      <c r="A1370" s="22">
        <v>41269</v>
      </c>
      <c r="B1370" t="s">
        <v>128</v>
      </c>
      <c r="C1370" t="s">
        <v>17</v>
      </c>
      <c r="D1370">
        <v>7</v>
      </c>
      <c r="E1370">
        <v>196.3</v>
      </c>
      <c r="F1370">
        <v>1374.1</v>
      </c>
      <c r="G1370" t="s">
        <v>150</v>
      </c>
      <c r="H1370">
        <v>2012244</v>
      </c>
      <c r="I1370" t="s">
        <v>19</v>
      </c>
      <c r="J1370" t="s">
        <v>20</v>
      </c>
      <c r="K1370" t="s">
        <v>25</v>
      </c>
      <c r="L1370">
        <v>1</v>
      </c>
      <c r="M1370">
        <v>0.05</v>
      </c>
      <c r="N1370">
        <v>0.14000000000000001</v>
      </c>
      <c r="O1370">
        <v>38.6</v>
      </c>
      <c r="P1370">
        <v>39.786900000000003</v>
      </c>
    </row>
    <row r="1371" spans="1:16" hidden="1" x14ac:dyDescent="0.25">
      <c r="A1371" s="22">
        <v>41263</v>
      </c>
      <c r="B1371" t="s">
        <v>128</v>
      </c>
      <c r="C1371" t="s">
        <v>17</v>
      </c>
      <c r="D1371">
        <v>10</v>
      </c>
      <c r="E1371">
        <v>205.2</v>
      </c>
      <c r="F1371">
        <v>2052</v>
      </c>
      <c r="G1371" t="s">
        <v>151</v>
      </c>
      <c r="H1371">
        <v>2012241</v>
      </c>
      <c r="I1371" t="s">
        <v>19</v>
      </c>
      <c r="J1371" t="s">
        <v>20</v>
      </c>
      <c r="K1371" t="s">
        <v>25</v>
      </c>
      <c r="L1371">
        <v>2</v>
      </c>
      <c r="M1371">
        <v>7.0000000000000007E-2</v>
      </c>
      <c r="N1371">
        <v>0.21</v>
      </c>
      <c r="O1371">
        <v>39.33</v>
      </c>
      <c r="P1371">
        <v>41.609099999999998</v>
      </c>
    </row>
    <row r="1372" spans="1:16" hidden="1" x14ac:dyDescent="0.25">
      <c r="A1372" s="22">
        <v>41079</v>
      </c>
      <c r="B1372" t="s">
        <v>128</v>
      </c>
      <c r="C1372" t="s">
        <v>23</v>
      </c>
      <c r="D1372">
        <v>5</v>
      </c>
      <c r="E1372">
        <v>121.45</v>
      </c>
      <c r="F1372">
        <v>607.25</v>
      </c>
      <c r="G1372" t="s">
        <v>152</v>
      </c>
      <c r="H1372">
        <v>2012116</v>
      </c>
      <c r="I1372" t="s">
        <v>19</v>
      </c>
      <c r="J1372" t="s">
        <v>20</v>
      </c>
      <c r="K1372" t="s">
        <v>25</v>
      </c>
      <c r="L1372">
        <v>1</v>
      </c>
      <c r="M1372">
        <v>0.02</v>
      </c>
      <c r="N1372">
        <v>0.06</v>
      </c>
      <c r="O1372">
        <v>17.05</v>
      </c>
      <c r="P1372">
        <v>18.1325</v>
      </c>
    </row>
    <row r="1373" spans="1:16" hidden="1" x14ac:dyDescent="0.25">
      <c r="A1373" s="22">
        <v>40995</v>
      </c>
      <c r="B1373" t="s">
        <v>128</v>
      </c>
      <c r="C1373" t="s">
        <v>17</v>
      </c>
      <c r="D1373">
        <v>6</v>
      </c>
      <c r="E1373">
        <v>139.44999999999999</v>
      </c>
      <c r="F1373">
        <v>836.7</v>
      </c>
      <c r="G1373" t="s">
        <v>153</v>
      </c>
      <c r="H1373">
        <v>2012059</v>
      </c>
      <c r="I1373" t="s">
        <v>19</v>
      </c>
      <c r="J1373" t="s">
        <v>20</v>
      </c>
      <c r="K1373" t="s">
        <v>25</v>
      </c>
      <c r="L1373">
        <v>1</v>
      </c>
      <c r="M1373">
        <v>0.03</v>
      </c>
      <c r="N1373">
        <v>0.08</v>
      </c>
      <c r="O1373">
        <v>23.07</v>
      </c>
      <c r="P1373">
        <v>24.183</v>
      </c>
    </row>
  </sheetData>
  <autoFilter ref="A1:P1373" xr:uid="{00000000-0001-0000-0000-000000000000}">
    <filterColumn colId="1">
      <filters>
        <filter val="BIOCON"/>
      </filters>
    </filterColumn>
    <filterColumn colId="2">
      <filters>
        <filter val="Sell"/>
      </filters>
    </filterColumn>
    <sortState xmlns:xlrd2="http://schemas.microsoft.com/office/spreadsheetml/2017/richdata2" ref="A250:P1165">
      <sortCondition ref="A1:A137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abSelected="1" topLeftCell="A113" workbookViewId="0">
      <selection activeCell="G119" sqref="G119:K119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0.8554687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  <col min="12" max="12" width="12.5703125" style="9" bestFit="1" customWidth="1"/>
    <col min="13" max="13" width="9.28515625" bestFit="1" customWidth="1"/>
    <col min="14" max="14" width="6" bestFit="1" customWidth="1"/>
    <col min="15" max="15" width="12.5703125" style="9" bestFit="1" customWidth="1"/>
    <col min="16" max="16" width="7.42578125" bestFit="1" customWidth="1"/>
    <col min="17" max="17" width="10.28515625" style="9" bestFit="1" customWidth="1"/>
    <col min="18" max="18" width="12.28515625" style="9" bestFit="1" customWidth="1"/>
    <col min="19" max="19" width="8.5703125" style="9" bestFit="1" customWidth="1"/>
    <col min="20" max="20" width="10.28515625" style="9" bestFit="1" customWidth="1"/>
    <col min="21" max="21" width="6.42578125" style="21" bestFit="1" customWidth="1"/>
    <col min="27" max="27" width="36.28515625" customWidth="1"/>
  </cols>
  <sheetData>
    <row r="1" spans="1:21" x14ac:dyDescent="0.25">
      <c r="L1" s="11" t="s">
        <v>161</v>
      </c>
      <c r="M1" s="10"/>
      <c r="N1" s="10"/>
      <c r="O1" s="11" t="s">
        <v>166</v>
      </c>
      <c r="P1" s="10"/>
      <c r="Q1" s="10" t="s">
        <v>168</v>
      </c>
      <c r="R1" s="11" t="s">
        <v>169</v>
      </c>
      <c r="S1" s="11" t="s">
        <v>170</v>
      </c>
      <c r="T1" s="11" t="s">
        <v>171</v>
      </c>
    </row>
    <row r="2" spans="1:21" x14ac:dyDescent="0.25">
      <c r="L2" s="15">
        <f>SUM(L10:L1000)</f>
        <v>108530833.56110001</v>
      </c>
      <c r="M2" s="14"/>
      <c r="N2" s="14"/>
      <c r="O2" s="15">
        <f>SUM(O10:O1000)</f>
        <v>107593672.76780003</v>
      </c>
      <c r="P2" s="14"/>
      <c r="Q2" s="15">
        <f>SUM(Q10:Q1000)</f>
        <v>-937160.79329999583</v>
      </c>
      <c r="R2" s="15">
        <f>SUM(R10:R1000)</f>
        <v>-685647.23099999852</v>
      </c>
      <c r="S2" s="15">
        <f>SUM(S10:S1000)</f>
        <v>90506.621800000459</v>
      </c>
      <c r="T2" s="15">
        <f>SUM(T10:T1000)</f>
        <v>-776153.85279999883</v>
      </c>
    </row>
    <row r="3" spans="1:21" x14ac:dyDescent="0.25">
      <c r="R3" s="9">
        <v>-5341.2691000000004</v>
      </c>
      <c r="S3" s="9">
        <v>0</v>
      </c>
      <c r="T3" s="9">
        <v>-5341.2691000000004</v>
      </c>
    </row>
    <row r="4" spans="1:21" x14ac:dyDescent="0.25">
      <c r="R4" s="20">
        <f>R2+R3</f>
        <v>-690988.50009999855</v>
      </c>
      <c r="S4" s="15">
        <f>S2+S3</f>
        <v>90506.621800000459</v>
      </c>
      <c r="T4" s="15">
        <f>T2+T3</f>
        <v>-781495.12189999886</v>
      </c>
    </row>
    <row r="5" spans="1:21" x14ac:dyDescent="0.25">
      <c r="A5" s="1" t="s">
        <v>2</v>
      </c>
      <c r="B5" t="s">
        <v>17</v>
      </c>
    </row>
    <row r="7" spans="1:21" x14ac:dyDescent="0.25">
      <c r="B7" s="1" t="s">
        <v>157</v>
      </c>
    </row>
    <row r="8" spans="1:21" x14ac:dyDescent="0.25">
      <c r="A8" s="1" t="s">
        <v>154</v>
      </c>
      <c r="B8" t="s">
        <v>159</v>
      </c>
      <c r="C8" t="s">
        <v>160</v>
      </c>
      <c r="D8" t="s">
        <v>156</v>
      </c>
      <c r="E8" t="s">
        <v>158</v>
      </c>
      <c r="G8" s="3"/>
      <c r="H8" s="3" t="s">
        <v>157</v>
      </c>
      <c r="I8" s="3"/>
      <c r="J8" s="3"/>
      <c r="K8" s="3"/>
      <c r="L8" s="18"/>
      <c r="M8" s="26" t="s">
        <v>162</v>
      </c>
      <c r="N8" s="26"/>
      <c r="O8" s="26"/>
      <c r="P8" s="27" t="s">
        <v>172</v>
      </c>
      <c r="Q8" s="28"/>
      <c r="R8" s="28"/>
      <c r="S8" s="28"/>
      <c r="T8" s="28"/>
      <c r="U8" s="29"/>
    </row>
    <row r="9" spans="1:21" x14ac:dyDescent="0.25">
      <c r="A9" s="2" t="s">
        <v>54</v>
      </c>
      <c r="B9">
        <v>100</v>
      </c>
      <c r="C9">
        <v>357</v>
      </c>
      <c r="D9">
        <v>35700</v>
      </c>
      <c r="E9">
        <v>271.15809999999999</v>
      </c>
      <c r="G9" s="4" t="s">
        <v>154</v>
      </c>
      <c r="H9" s="4" t="s">
        <v>159</v>
      </c>
      <c r="I9" s="4" t="s">
        <v>160</v>
      </c>
      <c r="J9" s="4" t="s">
        <v>156</v>
      </c>
      <c r="K9" s="4" t="s">
        <v>158</v>
      </c>
      <c r="L9" s="19" t="s">
        <v>161</v>
      </c>
      <c r="M9" s="10" t="s">
        <v>163</v>
      </c>
      <c r="N9" s="10" t="s">
        <v>164</v>
      </c>
      <c r="O9" s="11" t="s">
        <v>166</v>
      </c>
      <c r="P9" s="10" t="s">
        <v>167</v>
      </c>
      <c r="Q9" s="10" t="s">
        <v>168</v>
      </c>
      <c r="R9" s="11" t="s">
        <v>169</v>
      </c>
      <c r="S9" s="11" t="s">
        <v>170</v>
      </c>
      <c r="T9" s="11" t="s">
        <v>171</v>
      </c>
      <c r="U9" s="25" t="s">
        <v>693</v>
      </c>
    </row>
    <row r="10" spans="1:21" x14ac:dyDescent="0.25">
      <c r="A10" s="2" t="s">
        <v>100</v>
      </c>
      <c r="B10">
        <v>8450</v>
      </c>
      <c r="C10">
        <v>670.25</v>
      </c>
      <c r="D10">
        <v>1020912.5</v>
      </c>
      <c r="E10">
        <v>759.68550000000005</v>
      </c>
      <c r="G10" s="2" t="s">
        <v>54</v>
      </c>
      <c r="H10">
        <v>100</v>
      </c>
      <c r="I10">
        <v>357</v>
      </c>
      <c r="J10">
        <v>35700</v>
      </c>
      <c r="K10">
        <v>271.15809999999999</v>
      </c>
      <c r="L10" s="18">
        <f>J10+K10</f>
        <v>35971.158100000001</v>
      </c>
      <c r="M10" s="13" t="str">
        <f>VLOOKUP(G10,Sell!G:L,1,0)</f>
        <v>ARVLIM</v>
      </c>
      <c r="N10" s="13">
        <f>IFERROR(VLOOKUP(G10,Sell!G:L,2,0),0)</f>
        <v>100</v>
      </c>
      <c r="O10" s="12">
        <f>IFERROR(VLOOKUP(G10,Sell!G:L,6,0),0)</f>
        <v>37021.849099999999</v>
      </c>
      <c r="P10" s="13">
        <f t="shared" ref="P10:P73" si="0">H10-N10</f>
        <v>0</v>
      </c>
      <c r="Q10" s="12">
        <f>O10-L10</f>
        <v>1050.6909999999989</v>
      </c>
      <c r="R10" s="12">
        <f>IF(P10=0,Q10,0)</f>
        <v>1050.6909999999989</v>
      </c>
      <c r="S10" s="12">
        <f>IF(R10&gt;0,R10,0)</f>
        <v>1050.6909999999989</v>
      </c>
      <c r="T10" s="12">
        <f>IF(R10&gt;0,0,R10)</f>
        <v>0</v>
      </c>
      <c r="U10" s="14" t="str">
        <f>IF(AND(LEN(G10)&gt;0,R10=0),"Open","")</f>
        <v/>
      </c>
    </row>
    <row r="11" spans="1:21" x14ac:dyDescent="0.25">
      <c r="A11" s="2" t="s">
        <v>98</v>
      </c>
      <c r="B11">
        <v>349</v>
      </c>
      <c r="C11">
        <v>386.5</v>
      </c>
      <c r="D11">
        <v>24103.5</v>
      </c>
      <c r="E11">
        <v>250.6601</v>
      </c>
      <c r="G11" s="2" t="s">
        <v>100</v>
      </c>
      <c r="H11">
        <v>8450</v>
      </c>
      <c r="I11">
        <v>670.25</v>
      </c>
      <c r="J11">
        <v>1020912.5</v>
      </c>
      <c r="K11">
        <v>759.68550000000005</v>
      </c>
      <c r="L11" s="18">
        <f t="shared" ref="L11:L74" si="1">J11+K11</f>
        <v>1021672.1855</v>
      </c>
      <c r="M11" s="13" t="str">
        <f>VLOOKUP(G11,Sell!G:L,1,0)</f>
        <v>ASHLEY</v>
      </c>
      <c r="N11" s="13">
        <f>IFERROR(VLOOKUP(G11,Sell!G:L,2,0),0)</f>
        <v>8450</v>
      </c>
      <c r="O11" s="12">
        <f>IFERROR(VLOOKUP(G11,Sell!G:L,6,0),0)</f>
        <v>1006804.6943000001</v>
      </c>
      <c r="P11" s="13">
        <f t="shared" si="0"/>
        <v>0</v>
      </c>
      <c r="Q11" s="12">
        <f t="shared" ref="Q11:Q74" si="2">O11-L11</f>
        <v>-14867.491199999931</v>
      </c>
      <c r="R11" s="12">
        <f t="shared" ref="R11:R74" si="3">IF(P11=0,Q11,0)</f>
        <v>-14867.491199999931</v>
      </c>
      <c r="S11" s="12">
        <f t="shared" ref="S11:S74" si="4">IF(R11&gt;0,R11,0)</f>
        <v>0</v>
      </c>
      <c r="T11" s="12">
        <f t="shared" ref="T11:T74" si="5">IF(R11&gt;0,0,R11)</f>
        <v>-14867.491199999931</v>
      </c>
      <c r="U11" s="14" t="str">
        <f t="shared" ref="U11:U74" si="6">IF(AND(LEN(G11)&gt;0,R11=0),"Open","")</f>
        <v/>
      </c>
    </row>
    <row r="12" spans="1:21" x14ac:dyDescent="0.25">
      <c r="A12" s="2" t="s">
        <v>26</v>
      </c>
      <c r="B12">
        <v>13139</v>
      </c>
      <c r="C12">
        <v>2621.8</v>
      </c>
      <c r="D12">
        <v>1756297.05</v>
      </c>
      <c r="E12">
        <v>4898.7724000000007</v>
      </c>
      <c r="G12" s="2" t="s">
        <v>98</v>
      </c>
      <c r="H12">
        <v>349</v>
      </c>
      <c r="I12">
        <v>386.5</v>
      </c>
      <c r="J12">
        <v>24103.5</v>
      </c>
      <c r="K12">
        <v>250.6601</v>
      </c>
      <c r="L12" s="18">
        <f t="shared" si="1"/>
        <v>24354.160100000001</v>
      </c>
      <c r="M12" s="13" t="str">
        <f>VLOOKUP(G12,Sell!G:L,1,0)</f>
        <v>CENBAN</v>
      </c>
      <c r="N12" s="13">
        <f>IFERROR(VLOOKUP(G12,Sell!G:L,2,0),0)</f>
        <v>349</v>
      </c>
      <c r="O12" s="12">
        <f>IFERROR(VLOOKUP(G12,Sell!G:L,6,0),0)</f>
        <v>27668.9974</v>
      </c>
      <c r="P12" s="13">
        <f t="shared" si="0"/>
        <v>0</v>
      </c>
      <c r="Q12" s="12">
        <f t="shared" si="2"/>
        <v>3314.8372999999992</v>
      </c>
      <c r="R12" s="12">
        <f t="shared" si="3"/>
        <v>3314.8372999999992</v>
      </c>
      <c r="S12" s="12">
        <f t="shared" si="4"/>
        <v>3314.8372999999992</v>
      </c>
      <c r="T12" s="12">
        <f t="shared" si="5"/>
        <v>0</v>
      </c>
      <c r="U12" s="14" t="str">
        <f t="shared" si="6"/>
        <v/>
      </c>
    </row>
    <row r="13" spans="1:21" x14ac:dyDescent="0.25">
      <c r="A13" s="2" t="s">
        <v>29</v>
      </c>
      <c r="B13">
        <v>25325</v>
      </c>
      <c r="C13">
        <v>200.39</v>
      </c>
      <c r="D13">
        <v>452689.75</v>
      </c>
      <c r="E13">
        <v>2312.3229000000006</v>
      </c>
      <c r="G13" s="2" t="s">
        <v>26</v>
      </c>
      <c r="H13">
        <v>13139</v>
      </c>
      <c r="I13">
        <v>2621.8</v>
      </c>
      <c r="J13">
        <v>1756297.05</v>
      </c>
      <c r="K13">
        <v>4898.7724000000007</v>
      </c>
      <c r="L13" s="18">
        <f t="shared" si="1"/>
        <v>1761195.8223999999</v>
      </c>
      <c r="M13" s="13" t="str">
        <f>VLOOKUP(G13,Sell!G:L,1,0)</f>
        <v>GATLIM</v>
      </c>
      <c r="N13" s="13">
        <f>IFERROR(VLOOKUP(G13,Sell!G:L,2,0),0)</f>
        <v>13139</v>
      </c>
      <c r="O13" s="12">
        <f>IFERROR(VLOOKUP(G13,Sell!G:L,6,0),0)</f>
        <v>1699130.3573999999</v>
      </c>
      <c r="P13" s="13">
        <f t="shared" si="0"/>
        <v>0</v>
      </c>
      <c r="Q13" s="12">
        <f t="shared" si="2"/>
        <v>-62065.465000000084</v>
      </c>
      <c r="R13" s="12">
        <f t="shared" si="3"/>
        <v>-62065.465000000084</v>
      </c>
      <c r="S13" s="12">
        <f t="shared" si="4"/>
        <v>0</v>
      </c>
      <c r="T13" s="12">
        <f t="shared" si="5"/>
        <v>-62065.465000000084</v>
      </c>
      <c r="U13" s="14" t="str">
        <f t="shared" si="6"/>
        <v/>
      </c>
    </row>
    <row r="14" spans="1:21" x14ac:dyDescent="0.25">
      <c r="A14" s="2" t="s">
        <v>119</v>
      </c>
      <c r="B14">
        <v>500</v>
      </c>
      <c r="C14">
        <v>77</v>
      </c>
      <c r="D14">
        <v>38500</v>
      </c>
      <c r="E14">
        <v>282.00189999999998</v>
      </c>
      <c r="G14" s="2" t="s">
        <v>29</v>
      </c>
      <c r="H14">
        <v>25325</v>
      </c>
      <c r="I14">
        <v>200.39</v>
      </c>
      <c r="J14">
        <v>452689.75</v>
      </c>
      <c r="K14">
        <v>2312.3229000000006</v>
      </c>
      <c r="L14" s="18">
        <f t="shared" si="1"/>
        <v>455002.07290000003</v>
      </c>
      <c r="M14" s="13" t="str">
        <f>VLOOKUP(G14,Sell!G:L,1,0)</f>
        <v>GMRINF</v>
      </c>
      <c r="N14" s="13">
        <f>IFERROR(VLOOKUP(G14,Sell!G:L,2,0),0)</f>
        <v>25325</v>
      </c>
      <c r="O14" s="12">
        <f>IFERROR(VLOOKUP(G14,Sell!G:L,6,0),0)</f>
        <v>419457.30379999999</v>
      </c>
      <c r="P14" s="13">
        <f t="shared" si="0"/>
        <v>0</v>
      </c>
      <c r="Q14" s="12">
        <f t="shared" si="2"/>
        <v>-35544.769100000034</v>
      </c>
      <c r="R14" s="12">
        <f t="shared" si="3"/>
        <v>-35544.769100000034</v>
      </c>
      <c r="S14" s="12">
        <f t="shared" si="4"/>
        <v>0</v>
      </c>
      <c r="T14" s="12">
        <f t="shared" si="5"/>
        <v>-35544.769100000034</v>
      </c>
      <c r="U14" s="14" t="str">
        <f t="shared" si="6"/>
        <v/>
      </c>
    </row>
    <row r="15" spans="1:21" x14ac:dyDescent="0.25">
      <c r="A15" s="2" t="s">
        <v>74</v>
      </c>
      <c r="B15">
        <v>300</v>
      </c>
      <c r="C15">
        <v>2680.61</v>
      </c>
      <c r="D15">
        <v>268061.40000000002</v>
      </c>
      <c r="E15">
        <v>925.11260000000004</v>
      </c>
      <c r="G15" s="2" t="s">
        <v>119</v>
      </c>
      <c r="H15">
        <v>500</v>
      </c>
      <c r="I15">
        <v>77</v>
      </c>
      <c r="J15">
        <v>38500</v>
      </c>
      <c r="K15">
        <v>282.00189999999998</v>
      </c>
      <c r="L15" s="18">
        <f t="shared" si="1"/>
        <v>38782.001900000003</v>
      </c>
      <c r="M15" s="13" t="str">
        <f>VLOOKUP(G15,Sell!G:L,1,0)</f>
        <v>HINCOP</v>
      </c>
      <c r="N15" s="13">
        <f>IFERROR(VLOOKUP(G15,Sell!G:L,2,0),0)</f>
        <v>500</v>
      </c>
      <c r="O15" s="12">
        <f>IFERROR(VLOOKUP(G15,Sell!G:L,6,0),0)</f>
        <v>40200.411999999997</v>
      </c>
      <c r="P15" s="13">
        <f t="shared" si="0"/>
        <v>0</v>
      </c>
      <c r="Q15" s="12">
        <f t="shared" si="2"/>
        <v>1418.4100999999937</v>
      </c>
      <c r="R15" s="12">
        <f t="shared" si="3"/>
        <v>1418.4100999999937</v>
      </c>
      <c r="S15" s="12">
        <f t="shared" si="4"/>
        <v>1418.4100999999937</v>
      </c>
      <c r="T15" s="12">
        <f t="shared" si="5"/>
        <v>0</v>
      </c>
      <c r="U15" s="14" t="str">
        <f t="shared" si="6"/>
        <v/>
      </c>
    </row>
    <row r="16" spans="1:21" x14ac:dyDescent="0.25">
      <c r="A16" s="2" t="s">
        <v>115</v>
      </c>
      <c r="B16">
        <v>500</v>
      </c>
      <c r="C16">
        <v>66</v>
      </c>
      <c r="D16">
        <v>33000</v>
      </c>
      <c r="E16">
        <v>238.61799999999999</v>
      </c>
      <c r="G16" s="2" t="s">
        <v>74</v>
      </c>
      <c r="H16">
        <v>300</v>
      </c>
      <c r="I16">
        <v>2680.61</v>
      </c>
      <c r="J16">
        <v>268061.40000000002</v>
      </c>
      <c r="K16">
        <v>925.11260000000004</v>
      </c>
      <c r="L16" s="18">
        <f t="shared" si="1"/>
        <v>268986.51260000002</v>
      </c>
      <c r="M16" s="13" t="str">
        <f>VLOOKUP(G16,Sell!G:L,1,0)</f>
        <v>INFTEC</v>
      </c>
      <c r="N16" s="13">
        <f>IFERROR(VLOOKUP(G16,Sell!G:L,2,0),0)</f>
        <v>300</v>
      </c>
      <c r="O16" s="12">
        <f>IFERROR(VLOOKUP(G16,Sell!G:L,6,0),0)</f>
        <v>269196.34080000001</v>
      </c>
      <c r="P16" s="13">
        <f t="shared" si="0"/>
        <v>0</v>
      </c>
      <c r="Q16" s="12">
        <f t="shared" si="2"/>
        <v>209.82819999998901</v>
      </c>
      <c r="R16" s="12">
        <f t="shared" si="3"/>
        <v>209.82819999998901</v>
      </c>
      <c r="S16" s="12">
        <f t="shared" si="4"/>
        <v>209.82819999998901</v>
      </c>
      <c r="T16" s="12">
        <f t="shared" si="5"/>
        <v>0</v>
      </c>
      <c r="U16" s="14" t="str">
        <f t="shared" si="6"/>
        <v/>
      </c>
    </row>
    <row r="17" spans="1:21" x14ac:dyDescent="0.25">
      <c r="A17" s="2" t="s">
        <v>89</v>
      </c>
      <c r="B17">
        <v>3000</v>
      </c>
      <c r="C17">
        <v>34.700000000000003</v>
      </c>
      <c r="D17">
        <v>46200</v>
      </c>
      <c r="E17">
        <v>335.62740000000002</v>
      </c>
      <c r="G17" s="2" t="s">
        <v>115</v>
      </c>
      <c r="H17">
        <v>500</v>
      </c>
      <c r="I17">
        <v>66</v>
      </c>
      <c r="J17">
        <v>33000</v>
      </c>
      <c r="K17">
        <v>238.61799999999999</v>
      </c>
      <c r="L17" s="18">
        <f t="shared" si="1"/>
        <v>33238.618000000002</v>
      </c>
      <c r="M17" s="13" t="str">
        <f>VLOOKUP(G17,Sell!G:L,1,0)</f>
        <v>JAIASS</v>
      </c>
      <c r="N17" s="13">
        <f>IFERROR(VLOOKUP(G17,Sell!G:L,2,0),0)</f>
        <v>500</v>
      </c>
      <c r="O17" s="12">
        <f>IFERROR(VLOOKUP(G17,Sell!G:L,6,0),0)</f>
        <v>41444.437299999998</v>
      </c>
      <c r="P17" s="13">
        <f t="shared" si="0"/>
        <v>0</v>
      </c>
      <c r="Q17" s="12">
        <f t="shared" si="2"/>
        <v>8205.8192999999956</v>
      </c>
      <c r="R17" s="12">
        <f t="shared" si="3"/>
        <v>8205.8192999999956</v>
      </c>
      <c r="S17" s="12">
        <f t="shared" si="4"/>
        <v>8205.8192999999956</v>
      </c>
      <c r="T17" s="12">
        <f t="shared" si="5"/>
        <v>0</v>
      </c>
      <c r="U17" s="14" t="str">
        <f t="shared" si="6"/>
        <v/>
      </c>
    </row>
    <row r="18" spans="1:21" x14ac:dyDescent="0.25">
      <c r="A18" s="2" t="s">
        <v>51</v>
      </c>
      <c r="B18">
        <v>1381</v>
      </c>
      <c r="C18">
        <v>2024.1699999999998</v>
      </c>
      <c r="D18">
        <v>440892.9</v>
      </c>
      <c r="E18">
        <v>956.74329999999998</v>
      </c>
      <c r="G18" s="2" t="s">
        <v>89</v>
      </c>
      <c r="H18">
        <v>3000</v>
      </c>
      <c r="I18">
        <v>34.700000000000003</v>
      </c>
      <c r="J18">
        <v>46200</v>
      </c>
      <c r="K18">
        <v>335.62740000000002</v>
      </c>
      <c r="L18" s="18">
        <f t="shared" si="1"/>
        <v>46535.627399999998</v>
      </c>
      <c r="M18" s="13" t="str">
        <f>VLOOKUP(G18,Sell!G:L,1,0)</f>
        <v>JAIPOW</v>
      </c>
      <c r="N18" s="13">
        <f>IFERROR(VLOOKUP(G18,Sell!G:L,2,0),0)</f>
        <v>3000</v>
      </c>
      <c r="O18" s="12">
        <f>IFERROR(VLOOKUP(G18,Sell!G:L,6,0),0)</f>
        <v>33499.015399999997</v>
      </c>
      <c r="P18" s="13">
        <f t="shared" si="0"/>
        <v>0</v>
      </c>
      <c r="Q18" s="12">
        <f t="shared" si="2"/>
        <v>-13036.612000000001</v>
      </c>
      <c r="R18" s="12">
        <f t="shared" si="3"/>
        <v>-13036.612000000001</v>
      </c>
      <c r="S18" s="12">
        <f t="shared" si="4"/>
        <v>0</v>
      </c>
      <c r="T18" s="12">
        <f t="shared" si="5"/>
        <v>-13036.612000000001</v>
      </c>
      <c r="U18" s="14" t="str">
        <f t="shared" si="6"/>
        <v/>
      </c>
    </row>
    <row r="19" spans="1:21" x14ac:dyDescent="0.25">
      <c r="A19" s="2" t="s">
        <v>22</v>
      </c>
      <c r="B19">
        <v>1000</v>
      </c>
      <c r="C19">
        <v>78.650000000000006</v>
      </c>
      <c r="D19">
        <v>78650</v>
      </c>
      <c r="E19">
        <v>596.33600000000001</v>
      </c>
      <c r="G19" s="2" t="s">
        <v>51</v>
      </c>
      <c r="H19">
        <v>1381</v>
      </c>
      <c r="I19">
        <v>2024.1699999999998</v>
      </c>
      <c r="J19">
        <v>440892.9</v>
      </c>
      <c r="K19">
        <v>956.74329999999998</v>
      </c>
      <c r="L19" s="18">
        <f t="shared" si="1"/>
        <v>441849.6433</v>
      </c>
      <c r="M19" s="13" t="str">
        <f>VLOOKUP(G19,Sell!G:L,1,0)</f>
        <v>JBCHEM</v>
      </c>
      <c r="N19" s="13">
        <f>IFERROR(VLOOKUP(G19,Sell!G:L,2,0),0)</f>
        <v>1381</v>
      </c>
      <c r="O19" s="12">
        <f>IFERROR(VLOOKUP(G19,Sell!G:L,6,0),0)</f>
        <v>423470.76610000001</v>
      </c>
      <c r="P19" s="13">
        <f t="shared" si="0"/>
        <v>0</v>
      </c>
      <c r="Q19" s="12">
        <f t="shared" si="2"/>
        <v>-18378.877199999988</v>
      </c>
      <c r="R19" s="12">
        <f t="shared" si="3"/>
        <v>-18378.877199999988</v>
      </c>
      <c r="S19" s="12">
        <f t="shared" si="4"/>
        <v>0</v>
      </c>
      <c r="T19" s="12">
        <f t="shared" si="5"/>
        <v>-18378.877199999988</v>
      </c>
      <c r="U19" s="14" t="str">
        <f t="shared" si="6"/>
        <v/>
      </c>
    </row>
    <row r="20" spans="1:21" x14ac:dyDescent="0.25">
      <c r="A20" s="2" t="s">
        <v>131</v>
      </c>
      <c r="B20">
        <v>3000</v>
      </c>
      <c r="C20">
        <v>14.5</v>
      </c>
      <c r="D20">
        <v>22250</v>
      </c>
      <c r="E20">
        <v>128.666</v>
      </c>
      <c r="G20" s="2" t="s">
        <v>22</v>
      </c>
      <c r="H20">
        <v>1000</v>
      </c>
      <c r="I20">
        <v>78.650000000000006</v>
      </c>
      <c r="J20">
        <v>78650</v>
      </c>
      <c r="K20">
        <v>596.33600000000001</v>
      </c>
      <c r="L20" s="18">
        <f t="shared" si="1"/>
        <v>79246.335999999996</v>
      </c>
      <c r="M20" s="13" t="str">
        <f>VLOOKUP(G20,Sell!G:L,1,0)</f>
        <v>KOHFOO</v>
      </c>
      <c r="N20" s="13">
        <f>IFERROR(VLOOKUP(G20,Sell!G:L,2,0),0)</f>
        <v>1000</v>
      </c>
      <c r="O20" s="12">
        <f>IFERROR(VLOOKUP(G20,Sell!G:L,6,0),0)</f>
        <v>70805.881300000008</v>
      </c>
      <c r="P20" s="13">
        <f t="shared" si="0"/>
        <v>0</v>
      </c>
      <c r="Q20" s="12">
        <f t="shared" si="2"/>
        <v>-8440.4546999999875</v>
      </c>
      <c r="R20" s="12">
        <f t="shared" si="3"/>
        <v>-8440.4546999999875</v>
      </c>
      <c r="S20" s="12">
        <f t="shared" si="4"/>
        <v>0</v>
      </c>
      <c r="T20" s="12">
        <f t="shared" si="5"/>
        <v>-8440.4546999999875</v>
      </c>
      <c r="U20" s="14" t="str">
        <f t="shared" si="6"/>
        <v/>
      </c>
    </row>
    <row r="21" spans="1:21" x14ac:dyDescent="0.25">
      <c r="A21" s="2" t="s">
        <v>16</v>
      </c>
      <c r="B21">
        <v>24150</v>
      </c>
      <c r="C21">
        <v>1159.49</v>
      </c>
      <c r="D21">
        <v>1085738.45</v>
      </c>
      <c r="E21">
        <v>2897.3126999999999</v>
      </c>
      <c r="G21" s="2" t="s">
        <v>131</v>
      </c>
      <c r="H21">
        <v>3000</v>
      </c>
      <c r="I21">
        <v>14.5</v>
      </c>
      <c r="J21">
        <v>22250</v>
      </c>
      <c r="K21">
        <v>128.666</v>
      </c>
      <c r="L21" s="18">
        <f t="shared" si="1"/>
        <v>22378.666000000001</v>
      </c>
      <c r="M21" s="13" t="str">
        <f>VLOOKUP(G21,Sell!G:L,1,0)</f>
        <v>LANINF</v>
      </c>
      <c r="N21" s="13">
        <f>IFERROR(VLOOKUP(G21,Sell!G:L,2,0),0)</f>
        <v>3000</v>
      </c>
      <c r="O21" s="12">
        <f>IFERROR(VLOOKUP(G21,Sell!G:L,6,0),0)</f>
        <v>21011.856800000001</v>
      </c>
      <c r="P21" s="13">
        <f t="shared" si="0"/>
        <v>0</v>
      </c>
      <c r="Q21" s="12">
        <f t="shared" si="2"/>
        <v>-1366.8091999999997</v>
      </c>
      <c r="R21" s="12">
        <f t="shared" si="3"/>
        <v>-1366.8091999999997</v>
      </c>
      <c r="S21" s="12">
        <f t="shared" si="4"/>
        <v>0</v>
      </c>
      <c r="T21" s="23">
        <f t="shared" si="5"/>
        <v>-1366.8091999999997</v>
      </c>
      <c r="U21" s="14" t="str">
        <f t="shared" si="6"/>
        <v/>
      </c>
    </row>
    <row r="22" spans="1:21" x14ac:dyDescent="0.25">
      <c r="A22" s="2" t="s">
        <v>46</v>
      </c>
      <c r="B22">
        <v>100</v>
      </c>
      <c r="C22">
        <v>92</v>
      </c>
      <c r="D22">
        <v>9200</v>
      </c>
      <c r="E22">
        <v>68.493600000000001</v>
      </c>
      <c r="G22" s="2" t="s">
        <v>16</v>
      </c>
      <c r="H22">
        <v>24150</v>
      </c>
      <c r="I22">
        <v>1159.49</v>
      </c>
      <c r="J22">
        <v>1085738.45</v>
      </c>
      <c r="K22">
        <v>2897.3126999999999</v>
      </c>
      <c r="L22" s="18">
        <f t="shared" si="1"/>
        <v>1088635.7626999998</v>
      </c>
      <c r="M22" s="13" t="str">
        <f>VLOOKUP(G22,Sell!G:L,1,0)</f>
        <v>LTOVER</v>
      </c>
      <c r="N22" s="13">
        <f>IFERROR(VLOOKUP(G22,Sell!G:L,2,0),0)</f>
        <v>23250</v>
      </c>
      <c r="O22" s="12">
        <f>IFERROR(VLOOKUP(G22,Sell!G:L,6,0),0)</f>
        <v>1056146.6939000001</v>
      </c>
      <c r="P22" s="13">
        <f t="shared" si="0"/>
        <v>900</v>
      </c>
      <c r="Q22" s="12">
        <f t="shared" si="2"/>
        <v>-32489.068799999775</v>
      </c>
      <c r="R22" s="12">
        <f t="shared" si="3"/>
        <v>0</v>
      </c>
      <c r="S22" s="12">
        <f t="shared" si="4"/>
        <v>0</v>
      </c>
      <c r="T22" s="12">
        <f t="shared" si="5"/>
        <v>0</v>
      </c>
      <c r="U22" s="14" t="str">
        <f t="shared" si="6"/>
        <v>Open</v>
      </c>
    </row>
    <row r="23" spans="1:21" x14ac:dyDescent="0.25">
      <c r="A23" s="2" t="s">
        <v>56</v>
      </c>
      <c r="B23">
        <v>1910</v>
      </c>
      <c r="C23">
        <v>11089.36</v>
      </c>
      <c r="D23">
        <v>1766671.3</v>
      </c>
      <c r="E23">
        <v>2051.7022000000006</v>
      </c>
      <c r="G23" s="2" t="s">
        <v>46</v>
      </c>
      <c r="H23">
        <v>100</v>
      </c>
      <c r="I23">
        <v>92</v>
      </c>
      <c r="J23">
        <v>9200</v>
      </c>
      <c r="K23">
        <v>68.493600000000001</v>
      </c>
      <c r="L23" s="18">
        <f t="shared" si="1"/>
        <v>9268.4935999999998</v>
      </c>
      <c r="M23" s="13" t="str">
        <f>VLOOKUP(G23,Sell!G:L,1,0)</f>
        <v>MANAFI</v>
      </c>
      <c r="N23" s="13">
        <f>IFERROR(VLOOKUP(G23,Sell!G:L,2,0),0)</f>
        <v>100</v>
      </c>
      <c r="O23" s="12">
        <f>IFERROR(VLOOKUP(G23,Sell!G:L,6,0),0)</f>
        <v>9670.4982999999993</v>
      </c>
      <c r="P23" s="13">
        <f t="shared" si="0"/>
        <v>0</v>
      </c>
      <c r="Q23" s="12">
        <f t="shared" si="2"/>
        <v>402.0046999999995</v>
      </c>
      <c r="R23" s="12">
        <f t="shared" si="3"/>
        <v>402.0046999999995</v>
      </c>
      <c r="S23" s="12">
        <f t="shared" si="4"/>
        <v>402.0046999999995</v>
      </c>
      <c r="T23" s="12">
        <f t="shared" si="5"/>
        <v>0</v>
      </c>
      <c r="U23" s="14" t="str">
        <f t="shared" si="6"/>
        <v/>
      </c>
    </row>
    <row r="24" spans="1:21" x14ac:dyDescent="0.25">
      <c r="A24" s="2" t="s">
        <v>128</v>
      </c>
      <c r="B24">
        <v>4823</v>
      </c>
      <c r="C24">
        <v>4118.8</v>
      </c>
      <c r="D24">
        <v>1947209.45</v>
      </c>
      <c r="E24">
        <v>5034.4990999999991</v>
      </c>
      <c r="G24" s="2" t="s">
        <v>56</v>
      </c>
      <c r="H24">
        <v>1910</v>
      </c>
      <c r="I24">
        <v>11089.36</v>
      </c>
      <c r="J24">
        <v>1766671.3</v>
      </c>
      <c r="K24">
        <v>2051.7022000000006</v>
      </c>
      <c r="L24" s="18">
        <f t="shared" si="1"/>
        <v>1768723.0022</v>
      </c>
      <c r="M24" s="13" t="str">
        <f>VLOOKUP(G24,Sell!G:L,1,0)</f>
        <v>MINLIM</v>
      </c>
      <c r="N24" s="13">
        <f>IFERROR(VLOOKUP(G24,Sell!G:L,2,0),0)</f>
        <v>1920</v>
      </c>
      <c r="O24" s="12">
        <f>IFERROR(VLOOKUP(G24,Sell!G:L,6,0),0)</f>
        <v>1725729.4744999998</v>
      </c>
      <c r="P24" s="13">
        <v>0</v>
      </c>
      <c r="Q24" s="12">
        <f t="shared" si="2"/>
        <v>-42993.52770000021</v>
      </c>
      <c r="R24" s="12">
        <f t="shared" si="3"/>
        <v>-42993.52770000021</v>
      </c>
      <c r="S24" s="12">
        <f t="shared" si="4"/>
        <v>0</v>
      </c>
      <c r="T24" s="12">
        <f t="shared" si="5"/>
        <v>-42993.52770000021</v>
      </c>
      <c r="U24" s="14" t="str">
        <f t="shared" si="6"/>
        <v/>
      </c>
    </row>
    <row r="25" spans="1:21" x14ac:dyDescent="0.25">
      <c r="A25" s="2" t="s">
        <v>122</v>
      </c>
      <c r="B25">
        <v>700</v>
      </c>
      <c r="C25">
        <v>20</v>
      </c>
      <c r="D25">
        <v>14000</v>
      </c>
      <c r="E25">
        <v>102.42400000000001</v>
      </c>
      <c r="G25" s="2" t="s">
        <v>128</v>
      </c>
      <c r="H25">
        <v>4823</v>
      </c>
      <c r="I25">
        <v>4118.8</v>
      </c>
      <c r="J25">
        <v>1947209.45</v>
      </c>
      <c r="K25">
        <v>5034.4990999999991</v>
      </c>
      <c r="L25" s="18">
        <f t="shared" si="1"/>
        <v>1952243.9490999999</v>
      </c>
      <c r="M25" s="13" t="str">
        <f>VLOOKUP(G25,Sell!G:L,1,0)</f>
        <v>MUTFIN</v>
      </c>
      <c r="N25" s="13">
        <f>IFERROR(VLOOKUP(G25,Sell!G:L,2,0),0)</f>
        <v>4823</v>
      </c>
      <c r="O25" s="12">
        <f>IFERROR(VLOOKUP(G25,Sell!G:L,6,0),0)</f>
        <v>1923326.3576999998</v>
      </c>
      <c r="P25" s="13">
        <f t="shared" si="0"/>
        <v>0</v>
      </c>
      <c r="Q25" s="12">
        <f t="shared" si="2"/>
        <v>-28917.591400000034</v>
      </c>
      <c r="R25" s="12">
        <f t="shared" si="3"/>
        <v>-28917.591400000034</v>
      </c>
      <c r="S25" s="12">
        <f t="shared" si="4"/>
        <v>0</v>
      </c>
      <c r="T25" s="12">
        <f t="shared" si="5"/>
        <v>-28917.591400000034</v>
      </c>
      <c r="U25" s="14" t="str">
        <f t="shared" si="6"/>
        <v/>
      </c>
    </row>
    <row r="26" spans="1:21" x14ac:dyDescent="0.25">
      <c r="A26" s="2" t="s">
        <v>65</v>
      </c>
      <c r="B26">
        <v>5500</v>
      </c>
      <c r="C26">
        <v>635.75</v>
      </c>
      <c r="D26">
        <v>482800</v>
      </c>
      <c r="E26">
        <v>781.79970000000003</v>
      </c>
      <c r="G26" s="2" t="s">
        <v>122</v>
      </c>
      <c r="H26">
        <v>700</v>
      </c>
      <c r="I26">
        <v>20</v>
      </c>
      <c r="J26">
        <v>14000</v>
      </c>
      <c r="K26">
        <v>102.42400000000001</v>
      </c>
      <c r="L26" s="18">
        <f t="shared" si="1"/>
        <v>14102.424000000001</v>
      </c>
      <c r="M26" s="13" t="str">
        <f>VLOOKUP(G26,Sell!G:L,1,0)</f>
        <v>NHPC</v>
      </c>
      <c r="N26" s="13">
        <f>IFERROR(VLOOKUP(G26,Sell!G:L,2,0),0)</f>
        <v>700</v>
      </c>
      <c r="O26" s="12">
        <f>IFERROR(VLOOKUP(G26,Sell!G:L,6,0),0)</f>
        <v>14176.955900000001</v>
      </c>
      <c r="P26" s="13">
        <f t="shared" si="0"/>
        <v>0</v>
      </c>
      <c r="Q26" s="12">
        <f t="shared" si="2"/>
        <v>74.531899999999951</v>
      </c>
      <c r="R26" s="12">
        <f t="shared" si="3"/>
        <v>74.531899999999951</v>
      </c>
      <c r="S26" s="12">
        <f t="shared" si="4"/>
        <v>74.531899999999951</v>
      </c>
      <c r="T26" s="12">
        <f t="shared" si="5"/>
        <v>0</v>
      </c>
      <c r="U26" s="14" t="str">
        <f t="shared" si="6"/>
        <v/>
      </c>
    </row>
    <row r="27" spans="1:21" x14ac:dyDescent="0.25">
      <c r="A27" s="2" t="s">
        <v>35</v>
      </c>
      <c r="B27">
        <v>11500</v>
      </c>
      <c r="C27">
        <v>658.35</v>
      </c>
      <c r="D27">
        <v>674385.3</v>
      </c>
      <c r="E27">
        <v>4912.8277000000007</v>
      </c>
      <c r="G27" s="2" t="s">
        <v>65</v>
      </c>
      <c r="H27">
        <v>5500</v>
      </c>
      <c r="I27">
        <v>635.75</v>
      </c>
      <c r="J27">
        <v>482800</v>
      </c>
      <c r="K27">
        <v>781.79970000000003</v>
      </c>
      <c r="L27" s="18">
        <f t="shared" si="1"/>
        <v>483581.79969999997</v>
      </c>
      <c r="M27" s="13" t="str">
        <f>VLOOKUP(G27,Sell!G:L,1,0)</f>
        <v>PUNBAN</v>
      </c>
      <c r="N27" s="13">
        <f>IFERROR(VLOOKUP(G27,Sell!G:L,2,0),0)</f>
        <v>5500</v>
      </c>
      <c r="O27" s="12">
        <f>IFERROR(VLOOKUP(G27,Sell!G:L,6,0),0)</f>
        <v>474990.86149999994</v>
      </c>
      <c r="P27" s="13">
        <f t="shared" si="0"/>
        <v>0</v>
      </c>
      <c r="Q27" s="12">
        <f t="shared" si="2"/>
        <v>-8590.9382000000332</v>
      </c>
      <c r="R27" s="12">
        <f t="shared" si="3"/>
        <v>-8590.9382000000332</v>
      </c>
      <c r="S27" s="12">
        <f t="shared" si="4"/>
        <v>0</v>
      </c>
      <c r="T27" s="12">
        <f t="shared" si="5"/>
        <v>-8590.9382000000332</v>
      </c>
      <c r="U27" s="14" t="str">
        <f t="shared" si="6"/>
        <v/>
      </c>
    </row>
    <row r="28" spans="1:21" x14ac:dyDescent="0.25">
      <c r="A28" s="2" t="s">
        <v>105</v>
      </c>
      <c r="B28">
        <v>575</v>
      </c>
      <c r="C28">
        <v>212</v>
      </c>
      <c r="D28">
        <v>60500</v>
      </c>
      <c r="E28">
        <v>441.17849999999999</v>
      </c>
      <c r="G28" s="2" t="s">
        <v>35</v>
      </c>
      <c r="H28">
        <v>11500</v>
      </c>
      <c r="I28">
        <v>658.35</v>
      </c>
      <c r="J28">
        <v>674385.3</v>
      </c>
      <c r="K28">
        <v>4912.8277000000007</v>
      </c>
      <c r="L28" s="18">
        <f t="shared" si="1"/>
        <v>679298.12770000007</v>
      </c>
      <c r="M28" s="13" t="str">
        <f>VLOOKUP(G28,Sell!G:L,1,0)</f>
        <v>RELDEF</v>
      </c>
      <c r="N28" s="13">
        <f>IFERROR(VLOOKUP(G28,Sell!G:L,2,0),0)</f>
        <v>11500</v>
      </c>
      <c r="O28" s="12">
        <f>IFERROR(VLOOKUP(G28,Sell!G:L,6,0),0)</f>
        <v>725840.37139999995</v>
      </c>
      <c r="P28" s="13">
        <f t="shared" si="0"/>
        <v>0</v>
      </c>
      <c r="Q28" s="12">
        <f t="shared" si="2"/>
        <v>46542.243699999875</v>
      </c>
      <c r="R28" s="12">
        <f t="shared" si="3"/>
        <v>46542.243699999875</v>
      </c>
      <c r="S28" s="12">
        <f t="shared" si="4"/>
        <v>46542.243699999875</v>
      </c>
      <c r="T28" s="12">
        <f t="shared" si="5"/>
        <v>0</v>
      </c>
      <c r="U28" s="14" t="str">
        <f t="shared" si="6"/>
        <v/>
      </c>
    </row>
    <row r="29" spans="1:21" x14ac:dyDescent="0.25">
      <c r="A29" s="2" t="s">
        <v>80</v>
      </c>
      <c r="B29">
        <v>410</v>
      </c>
      <c r="C29">
        <v>1081</v>
      </c>
      <c r="D29">
        <v>131300</v>
      </c>
      <c r="E29">
        <v>729.66429999999991</v>
      </c>
      <c r="G29" s="2" t="s">
        <v>105</v>
      </c>
      <c r="H29">
        <v>575</v>
      </c>
      <c r="I29">
        <v>212</v>
      </c>
      <c r="J29">
        <v>60500</v>
      </c>
      <c r="K29">
        <v>441.17849999999999</v>
      </c>
      <c r="L29" s="18">
        <f t="shared" si="1"/>
        <v>60941.178500000002</v>
      </c>
      <c r="M29" s="13" t="str">
        <f>VLOOKUP(G29,Sell!G:L,1,0)</f>
        <v>RELPOW</v>
      </c>
      <c r="N29" s="13">
        <f>IFERROR(VLOOKUP(G29,Sell!G:L,2,0),0)</f>
        <v>575</v>
      </c>
      <c r="O29" s="12">
        <f>IFERROR(VLOOKUP(G29,Sell!G:L,6,0),0)</f>
        <v>37733.203699999998</v>
      </c>
      <c r="P29" s="13">
        <f t="shared" si="0"/>
        <v>0</v>
      </c>
      <c r="Q29" s="12">
        <f t="shared" si="2"/>
        <v>-23207.974800000004</v>
      </c>
      <c r="R29" s="12">
        <f t="shared" si="3"/>
        <v>-23207.974800000004</v>
      </c>
      <c r="S29" s="12">
        <f t="shared" si="4"/>
        <v>0</v>
      </c>
      <c r="T29" s="12">
        <f t="shared" si="5"/>
        <v>-23207.974800000004</v>
      </c>
      <c r="U29" s="14" t="str">
        <f t="shared" si="6"/>
        <v/>
      </c>
    </row>
    <row r="30" spans="1:21" x14ac:dyDescent="0.25">
      <c r="A30" s="2" t="s">
        <v>111</v>
      </c>
      <c r="B30">
        <v>1640</v>
      </c>
      <c r="C30">
        <v>2708.2</v>
      </c>
      <c r="D30">
        <v>692344</v>
      </c>
      <c r="E30">
        <v>621.73250000000007</v>
      </c>
      <c r="G30" s="2" t="s">
        <v>80</v>
      </c>
      <c r="H30">
        <v>410</v>
      </c>
      <c r="I30">
        <v>1081</v>
      </c>
      <c r="J30">
        <v>131300</v>
      </c>
      <c r="K30">
        <v>729.66429999999991</v>
      </c>
      <c r="L30" s="18">
        <f t="shared" si="1"/>
        <v>132029.6643</v>
      </c>
      <c r="M30" s="13" t="str">
        <f>VLOOKUP(G30,Sell!G:L,1,0)</f>
        <v>SUNADV</v>
      </c>
      <c r="N30" s="13">
        <f>IFERROR(VLOOKUP(G30,Sell!G:L,2,0),0)</f>
        <v>410</v>
      </c>
      <c r="O30" s="12">
        <f>IFERROR(VLOOKUP(G30,Sell!G:L,6,0),0)</f>
        <v>123341.6666</v>
      </c>
      <c r="P30" s="13">
        <f t="shared" si="0"/>
        <v>0</v>
      </c>
      <c r="Q30" s="12">
        <f t="shared" si="2"/>
        <v>-8687.9977000000072</v>
      </c>
      <c r="R30" s="12">
        <f t="shared" si="3"/>
        <v>-8687.9977000000072</v>
      </c>
      <c r="S30" s="12">
        <f t="shared" si="4"/>
        <v>0</v>
      </c>
      <c r="T30" s="12">
        <f t="shared" si="5"/>
        <v>-8687.9977000000072</v>
      </c>
      <c r="U30" s="14" t="str">
        <f t="shared" si="6"/>
        <v/>
      </c>
    </row>
    <row r="31" spans="1:21" x14ac:dyDescent="0.25">
      <c r="A31" s="2" t="s">
        <v>68</v>
      </c>
      <c r="B31">
        <v>1000</v>
      </c>
      <c r="C31">
        <v>69</v>
      </c>
      <c r="D31">
        <v>69000</v>
      </c>
      <c r="E31">
        <v>512.80709999999999</v>
      </c>
      <c r="G31" s="2" t="s">
        <v>111</v>
      </c>
      <c r="H31">
        <v>1640</v>
      </c>
      <c r="I31">
        <v>2708.2</v>
      </c>
      <c r="J31">
        <v>692344</v>
      </c>
      <c r="K31">
        <v>621.73250000000007</v>
      </c>
      <c r="L31" s="18">
        <f t="shared" si="1"/>
        <v>692965.73250000004</v>
      </c>
      <c r="M31" s="13" t="str">
        <f>VLOOKUP(G31,Sell!G:L,1,0)</f>
        <v>SUNPHA</v>
      </c>
      <c r="N31" s="13">
        <f>IFERROR(VLOOKUP(G31,Sell!G:L,2,0),0)</f>
        <v>1640</v>
      </c>
      <c r="O31" s="12">
        <f>IFERROR(VLOOKUP(G31,Sell!G:L,6,0),0)</f>
        <v>689597.96260000009</v>
      </c>
      <c r="P31" s="13">
        <f t="shared" si="0"/>
        <v>0</v>
      </c>
      <c r="Q31" s="12">
        <f t="shared" si="2"/>
        <v>-3367.7698999999557</v>
      </c>
      <c r="R31" s="12">
        <f t="shared" si="3"/>
        <v>-3367.7698999999557</v>
      </c>
      <c r="S31" s="12">
        <f t="shared" si="4"/>
        <v>0</v>
      </c>
      <c r="T31" s="12">
        <f t="shared" si="5"/>
        <v>-3367.7698999999557</v>
      </c>
      <c r="U31" s="14" t="str">
        <f t="shared" si="6"/>
        <v/>
      </c>
    </row>
    <row r="32" spans="1:21" x14ac:dyDescent="0.25">
      <c r="A32" s="2" t="s">
        <v>49</v>
      </c>
      <c r="B32">
        <v>200</v>
      </c>
      <c r="C32">
        <v>767.93000000000006</v>
      </c>
      <c r="D32">
        <v>76793.350000000006</v>
      </c>
      <c r="E32">
        <v>578.46399999999994</v>
      </c>
      <c r="G32" s="2" t="s">
        <v>68</v>
      </c>
      <c r="H32">
        <v>1000</v>
      </c>
      <c r="I32">
        <v>69</v>
      </c>
      <c r="J32">
        <v>69000</v>
      </c>
      <c r="K32">
        <v>512.80709999999999</v>
      </c>
      <c r="L32" s="18">
        <f t="shared" si="1"/>
        <v>69512.807100000005</v>
      </c>
      <c r="M32" s="13" t="str">
        <f>VLOOKUP(G32,Sell!G:L,1,0)</f>
        <v>TATPOW</v>
      </c>
      <c r="N32" s="13">
        <f>IFERROR(VLOOKUP(G32,Sell!G:L,2,0),0)</f>
        <v>1000</v>
      </c>
      <c r="O32" s="12">
        <f>IFERROR(VLOOKUP(G32,Sell!G:L,6,0),0)</f>
        <v>69663.033500000005</v>
      </c>
      <c r="P32" s="13">
        <f t="shared" si="0"/>
        <v>0</v>
      </c>
      <c r="Q32" s="12">
        <f t="shared" si="2"/>
        <v>150.22639999999956</v>
      </c>
      <c r="R32" s="12">
        <f t="shared" si="3"/>
        <v>150.22639999999956</v>
      </c>
      <c r="S32" s="12">
        <f t="shared" si="4"/>
        <v>150.22639999999956</v>
      </c>
      <c r="T32" s="12">
        <f t="shared" si="5"/>
        <v>0</v>
      </c>
      <c r="U32" s="14" t="str">
        <f t="shared" si="6"/>
        <v/>
      </c>
    </row>
    <row r="33" spans="1:21" x14ac:dyDescent="0.25">
      <c r="A33" s="2" t="s">
        <v>138</v>
      </c>
      <c r="B33">
        <v>475</v>
      </c>
      <c r="C33">
        <v>11.15</v>
      </c>
      <c r="D33">
        <v>5296.25</v>
      </c>
      <c r="E33">
        <v>45.019100000000002</v>
      </c>
      <c r="G33" s="2" t="s">
        <v>49</v>
      </c>
      <c r="H33">
        <v>200</v>
      </c>
      <c r="I33">
        <v>767.93000000000006</v>
      </c>
      <c r="J33">
        <v>76793.350000000006</v>
      </c>
      <c r="K33">
        <v>578.46399999999994</v>
      </c>
      <c r="L33" s="18">
        <f t="shared" si="1"/>
        <v>77371.814000000013</v>
      </c>
      <c r="M33" s="13" t="str">
        <f>VLOOKUP(G33,Sell!G:L,1,0)</f>
        <v>TVSMOT</v>
      </c>
      <c r="N33" s="13">
        <f>IFERROR(VLOOKUP(G33,Sell!G:L,2,0),0)</f>
        <v>200</v>
      </c>
      <c r="O33" s="12">
        <f>IFERROR(VLOOKUP(G33,Sell!G:L,6,0),0)</f>
        <v>79332.532600000006</v>
      </c>
      <c r="P33" s="13">
        <f t="shared" si="0"/>
        <v>0</v>
      </c>
      <c r="Q33" s="12">
        <f t="shared" si="2"/>
        <v>1960.7185999999929</v>
      </c>
      <c r="R33" s="12">
        <f t="shared" si="3"/>
        <v>1960.7185999999929</v>
      </c>
      <c r="S33" s="12">
        <f t="shared" si="4"/>
        <v>1960.7185999999929</v>
      </c>
      <c r="T33" s="12">
        <f t="shared" si="5"/>
        <v>0</v>
      </c>
      <c r="U33" s="14" t="str">
        <f t="shared" si="6"/>
        <v/>
      </c>
    </row>
    <row r="34" spans="1:21" x14ac:dyDescent="0.25">
      <c r="A34" s="2" t="s">
        <v>177</v>
      </c>
      <c r="B34">
        <v>27500</v>
      </c>
      <c r="C34">
        <v>95.15</v>
      </c>
      <c r="D34">
        <v>439375</v>
      </c>
      <c r="E34">
        <v>2194.7199000000001</v>
      </c>
      <c r="G34" s="2" t="s">
        <v>138</v>
      </c>
      <c r="H34">
        <v>475</v>
      </c>
      <c r="I34">
        <v>11.15</v>
      </c>
      <c r="J34">
        <v>5296.25</v>
      </c>
      <c r="K34">
        <v>45.019100000000002</v>
      </c>
      <c r="L34" s="18">
        <f t="shared" si="1"/>
        <v>5341.2691000000004</v>
      </c>
      <c r="M34" s="16" t="e">
        <f>VLOOKUP(G34,Sell!G:L,1,0)</f>
        <v>#N/A</v>
      </c>
      <c r="N34" s="16">
        <f>IFERROR(VLOOKUP(G34,Sell!G:L,2,0),0)</f>
        <v>0</v>
      </c>
      <c r="O34" s="17">
        <f>IFERROR(VLOOKUP(G34,Sell!G:L,6,0),0)</f>
        <v>0</v>
      </c>
      <c r="P34" s="16">
        <f t="shared" si="0"/>
        <v>475</v>
      </c>
      <c r="Q34" s="17">
        <f t="shared" si="2"/>
        <v>-5341.2691000000004</v>
      </c>
      <c r="R34" s="17">
        <f t="shared" si="3"/>
        <v>0</v>
      </c>
      <c r="S34" s="17">
        <f t="shared" si="4"/>
        <v>0</v>
      </c>
      <c r="T34" s="17">
        <f t="shared" si="5"/>
        <v>0</v>
      </c>
      <c r="U34" s="24" t="str">
        <f t="shared" si="6"/>
        <v>Open</v>
      </c>
    </row>
    <row r="35" spans="1:21" x14ac:dyDescent="0.25">
      <c r="A35" s="2" t="s">
        <v>179</v>
      </c>
      <c r="B35">
        <v>10250</v>
      </c>
      <c r="C35">
        <v>908.37000000000012</v>
      </c>
      <c r="D35">
        <v>709439.05</v>
      </c>
      <c r="E35">
        <v>3494.3405000000002</v>
      </c>
      <c r="G35" s="2" t="s">
        <v>177</v>
      </c>
      <c r="H35">
        <v>27500</v>
      </c>
      <c r="I35">
        <v>95.15</v>
      </c>
      <c r="J35">
        <v>439375</v>
      </c>
      <c r="K35">
        <v>2194.7199000000001</v>
      </c>
      <c r="L35" s="18">
        <f t="shared" si="1"/>
        <v>441569.71990000003</v>
      </c>
      <c r="M35" s="13" t="str">
        <f>VLOOKUP(G35,Sell!G:L,1,0)</f>
        <v>SUZENE</v>
      </c>
      <c r="N35" s="13">
        <f>IFERROR(VLOOKUP(G35,Sell!G:L,2,0),0)</f>
        <v>27500</v>
      </c>
      <c r="O35" s="12">
        <f>IFERROR(VLOOKUP(G35,Sell!G:L,6,0),0)</f>
        <v>436255.18859999999</v>
      </c>
      <c r="P35" s="13">
        <f t="shared" si="0"/>
        <v>0</v>
      </c>
      <c r="Q35" s="12">
        <f t="shared" si="2"/>
        <v>-5314.5313000000315</v>
      </c>
      <c r="R35" s="12">
        <f t="shared" si="3"/>
        <v>-5314.5313000000315</v>
      </c>
      <c r="S35" s="12">
        <f t="shared" si="4"/>
        <v>0</v>
      </c>
      <c r="T35" s="12">
        <f t="shared" si="5"/>
        <v>-5314.5313000000315</v>
      </c>
      <c r="U35" s="14" t="str">
        <f t="shared" si="6"/>
        <v/>
      </c>
    </row>
    <row r="36" spans="1:21" x14ac:dyDescent="0.25">
      <c r="A36" s="2" t="s">
        <v>187</v>
      </c>
      <c r="B36">
        <v>5000</v>
      </c>
      <c r="C36">
        <v>24</v>
      </c>
      <c r="D36">
        <v>120000</v>
      </c>
      <c r="E36">
        <v>82.6</v>
      </c>
      <c r="G36" s="2" t="s">
        <v>179</v>
      </c>
      <c r="H36">
        <v>10250</v>
      </c>
      <c r="I36">
        <v>908.37000000000012</v>
      </c>
      <c r="J36">
        <v>709439.05</v>
      </c>
      <c r="K36">
        <v>3494.3405000000002</v>
      </c>
      <c r="L36" s="18">
        <f t="shared" si="1"/>
        <v>712933.3905000001</v>
      </c>
      <c r="M36" s="13" t="str">
        <f>VLOOKUP(G36,Sell!G:L,1,0)</f>
        <v>FINCHE</v>
      </c>
      <c r="N36" s="13">
        <f>IFERROR(VLOOKUP(G36,Sell!G:L,2,0),0)</f>
        <v>9850</v>
      </c>
      <c r="O36" s="12">
        <f>IFERROR(VLOOKUP(G36,Sell!G:L,6,0),0)</f>
        <v>689043.3345</v>
      </c>
      <c r="P36" s="13">
        <f t="shared" si="0"/>
        <v>400</v>
      </c>
      <c r="Q36" s="12">
        <f t="shared" si="2"/>
        <v>-23890.056000000099</v>
      </c>
      <c r="R36" s="12">
        <f t="shared" si="3"/>
        <v>0</v>
      </c>
      <c r="S36" s="12">
        <f t="shared" si="4"/>
        <v>0</v>
      </c>
      <c r="T36" s="12">
        <f t="shared" si="5"/>
        <v>0</v>
      </c>
      <c r="U36" s="14" t="str">
        <f t="shared" si="6"/>
        <v>Open</v>
      </c>
    </row>
    <row r="37" spans="1:21" x14ac:dyDescent="0.25">
      <c r="A37" s="2" t="s">
        <v>190</v>
      </c>
      <c r="B37">
        <v>10000</v>
      </c>
      <c r="C37">
        <v>50.95</v>
      </c>
      <c r="D37">
        <v>114750</v>
      </c>
      <c r="E37">
        <v>935.3519</v>
      </c>
      <c r="G37" s="2" t="s">
        <v>187</v>
      </c>
      <c r="H37">
        <v>5000</v>
      </c>
      <c r="I37">
        <v>24</v>
      </c>
      <c r="J37">
        <v>120000</v>
      </c>
      <c r="K37">
        <v>82.6</v>
      </c>
      <c r="L37" s="18">
        <f t="shared" si="1"/>
        <v>120082.6</v>
      </c>
      <c r="M37" s="13" t="str">
        <f>VLOOKUP(G37,Sell!G:L,1,0)</f>
        <v>BANMAH</v>
      </c>
      <c r="N37" s="13">
        <f>IFERROR(VLOOKUP(G37,Sell!G:L,2,0),0)</f>
        <v>5000</v>
      </c>
      <c r="O37" s="12">
        <f>IFERROR(VLOOKUP(G37,Sell!G:L,6,0),0)</f>
        <v>118145.69680000001</v>
      </c>
      <c r="P37" s="13">
        <f t="shared" si="0"/>
        <v>0</v>
      </c>
      <c r="Q37" s="12">
        <f t="shared" si="2"/>
        <v>-1936.9032000000007</v>
      </c>
      <c r="R37" s="12">
        <f t="shared" si="3"/>
        <v>-1936.9032000000007</v>
      </c>
      <c r="S37" s="12">
        <f t="shared" si="4"/>
        <v>0</v>
      </c>
      <c r="T37" s="12">
        <f t="shared" si="5"/>
        <v>-1936.9032000000007</v>
      </c>
      <c r="U37" s="14" t="str">
        <f t="shared" si="6"/>
        <v/>
      </c>
    </row>
    <row r="38" spans="1:21" x14ac:dyDescent="0.25">
      <c r="A38" s="2" t="s">
        <v>192</v>
      </c>
      <c r="B38">
        <v>100</v>
      </c>
      <c r="C38">
        <v>38.700000000000003</v>
      </c>
      <c r="D38">
        <v>3870</v>
      </c>
      <c r="E38">
        <v>29.945799999999998</v>
      </c>
      <c r="G38" s="2" t="s">
        <v>190</v>
      </c>
      <c r="H38">
        <v>10000</v>
      </c>
      <c r="I38">
        <v>50.95</v>
      </c>
      <c r="J38">
        <v>114750</v>
      </c>
      <c r="K38">
        <v>935.3519</v>
      </c>
      <c r="L38" s="18">
        <f t="shared" si="1"/>
        <v>115685.35189999999</v>
      </c>
      <c r="M38" s="13" t="str">
        <f>VLOOKUP(G38,Sell!G:L,1,0)</f>
        <v>BURCEM</v>
      </c>
      <c r="N38" s="13">
        <f>IFERROR(VLOOKUP(G38,Sell!G:L,2,0),0)</f>
        <v>10000</v>
      </c>
      <c r="O38" s="12">
        <f>IFERROR(VLOOKUP(G38,Sell!G:L,6,0),0)</f>
        <v>87076.7255</v>
      </c>
      <c r="P38" s="13">
        <f t="shared" si="0"/>
        <v>0</v>
      </c>
      <c r="Q38" s="12">
        <f t="shared" si="2"/>
        <v>-28608.626399999994</v>
      </c>
      <c r="R38" s="12">
        <f t="shared" si="3"/>
        <v>-28608.626399999994</v>
      </c>
      <c r="S38" s="12">
        <f t="shared" si="4"/>
        <v>0</v>
      </c>
      <c r="T38" s="12">
        <f t="shared" si="5"/>
        <v>-28608.626399999994</v>
      </c>
      <c r="U38" s="14" t="str">
        <f t="shared" si="6"/>
        <v/>
      </c>
    </row>
    <row r="39" spans="1:21" x14ac:dyDescent="0.25">
      <c r="A39" s="2" t="s">
        <v>195</v>
      </c>
      <c r="B39">
        <v>1000</v>
      </c>
      <c r="C39">
        <v>98.65</v>
      </c>
      <c r="D39">
        <v>98650</v>
      </c>
      <c r="E39">
        <v>746.02620000000002</v>
      </c>
      <c r="G39" s="2" t="s">
        <v>192</v>
      </c>
      <c r="H39">
        <v>100</v>
      </c>
      <c r="I39">
        <v>38.700000000000003</v>
      </c>
      <c r="J39">
        <v>3870</v>
      </c>
      <c r="K39">
        <v>29.945799999999998</v>
      </c>
      <c r="L39" s="18">
        <f t="shared" si="1"/>
        <v>3899.9458</v>
      </c>
      <c r="M39" s="13" t="str">
        <f>VLOOKUP(G39,Sell!G:L,1,0)</f>
        <v>SJVLIM</v>
      </c>
      <c r="N39" s="13">
        <f>IFERROR(VLOOKUP(G39,Sell!G:L,2,0),0)</f>
        <v>100</v>
      </c>
      <c r="O39" s="12">
        <f>IFERROR(VLOOKUP(G39,Sell!G:L,6,0),0)</f>
        <v>3729.3578000000002</v>
      </c>
      <c r="P39" s="13">
        <f t="shared" si="0"/>
        <v>0</v>
      </c>
      <c r="Q39" s="12">
        <f t="shared" si="2"/>
        <v>-170.58799999999974</v>
      </c>
      <c r="R39" s="12">
        <f t="shared" si="3"/>
        <v>-170.58799999999974</v>
      </c>
      <c r="S39" s="12">
        <f t="shared" si="4"/>
        <v>0</v>
      </c>
      <c r="T39" s="12">
        <f t="shared" si="5"/>
        <v>-170.58799999999974</v>
      </c>
      <c r="U39" s="14" t="str">
        <f t="shared" si="6"/>
        <v/>
      </c>
    </row>
    <row r="40" spans="1:21" x14ac:dyDescent="0.25">
      <c r="A40" s="2" t="s">
        <v>205</v>
      </c>
      <c r="B40">
        <v>13780</v>
      </c>
      <c r="C40">
        <v>818.63000000000011</v>
      </c>
      <c r="D40">
        <v>870955.7</v>
      </c>
      <c r="E40">
        <v>3043.3241999999996</v>
      </c>
      <c r="G40" s="2" t="s">
        <v>195</v>
      </c>
      <c r="H40">
        <v>1000</v>
      </c>
      <c r="I40">
        <v>98.65</v>
      </c>
      <c r="J40">
        <v>98650</v>
      </c>
      <c r="K40">
        <v>746.02620000000002</v>
      </c>
      <c r="L40" s="18">
        <f t="shared" si="1"/>
        <v>99396.026199999993</v>
      </c>
      <c r="M40" s="13" t="str">
        <f>VLOOKUP(G40,Sell!G:L,1,0)</f>
        <v>BHEL</v>
      </c>
      <c r="N40" s="13">
        <f>IFERROR(VLOOKUP(G40,Sell!G:L,2,0),0)</f>
        <v>1000</v>
      </c>
      <c r="O40" s="12">
        <f>IFERROR(VLOOKUP(G40,Sell!G:L,6,0),0)</f>
        <v>103217.05</v>
      </c>
      <c r="P40" s="13">
        <f t="shared" si="0"/>
        <v>0</v>
      </c>
      <c r="Q40" s="12">
        <f t="shared" si="2"/>
        <v>3821.0238000000099</v>
      </c>
      <c r="R40" s="12">
        <f t="shared" si="3"/>
        <v>3821.0238000000099</v>
      </c>
      <c r="S40" s="12">
        <f t="shared" si="4"/>
        <v>3821.0238000000099</v>
      </c>
      <c r="T40" s="12">
        <f t="shared" si="5"/>
        <v>0</v>
      </c>
      <c r="U40" s="14" t="str">
        <f t="shared" si="6"/>
        <v/>
      </c>
    </row>
    <row r="41" spans="1:21" x14ac:dyDescent="0.25">
      <c r="A41" s="2" t="s">
        <v>207</v>
      </c>
      <c r="B41">
        <v>1000</v>
      </c>
      <c r="C41">
        <v>77.5</v>
      </c>
      <c r="D41">
        <v>77500</v>
      </c>
      <c r="E41">
        <v>48.698700000000002</v>
      </c>
      <c r="G41" s="2" t="s">
        <v>205</v>
      </c>
      <c r="H41">
        <v>13780</v>
      </c>
      <c r="I41">
        <v>818.63000000000011</v>
      </c>
      <c r="J41">
        <v>870955.7</v>
      </c>
      <c r="K41">
        <v>3043.3241999999996</v>
      </c>
      <c r="L41" s="18">
        <f t="shared" si="1"/>
        <v>873999.02419999999</v>
      </c>
      <c r="M41" s="13" t="str">
        <f>VLOOKUP(G41,Sell!G:L,1,0)</f>
        <v>SINPLA</v>
      </c>
      <c r="N41" s="13">
        <f>IFERROR(VLOOKUP(G41,Sell!G:L,2,0),0)</f>
        <v>13780</v>
      </c>
      <c r="O41" s="12">
        <f>IFERROR(VLOOKUP(G41,Sell!G:L,6,0),0)</f>
        <v>796225.47560000012</v>
      </c>
      <c r="P41" s="13">
        <f t="shared" si="0"/>
        <v>0</v>
      </c>
      <c r="Q41" s="12">
        <f t="shared" si="2"/>
        <v>-77773.548599999864</v>
      </c>
      <c r="R41" s="12">
        <f t="shared" si="3"/>
        <v>-77773.548599999864</v>
      </c>
      <c r="S41" s="12">
        <f t="shared" si="4"/>
        <v>0</v>
      </c>
      <c r="T41" s="12">
        <f t="shared" si="5"/>
        <v>-77773.548599999864</v>
      </c>
      <c r="U41" s="14" t="str">
        <f t="shared" si="6"/>
        <v/>
      </c>
    </row>
    <row r="42" spans="1:21" x14ac:dyDescent="0.25">
      <c r="A42" s="2" t="s">
        <v>214</v>
      </c>
      <c r="B42">
        <v>1000</v>
      </c>
      <c r="C42">
        <v>114.62</v>
      </c>
      <c r="D42">
        <v>114619.15</v>
      </c>
      <c r="E42">
        <v>108.3152</v>
      </c>
      <c r="G42" s="2" t="s">
        <v>207</v>
      </c>
      <c r="H42">
        <v>1000</v>
      </c>
      <c r="I42">
        <v>77.5</v>
      </c>
      <c r="J42">
        <v>77500</v>
      </c>
      <c r="K42">
        <v>48.698700000000002</v>
      </c>
      <c r="L42" s="18">
        <f t="shared" si="1"/>
        <v>77548.698699999994</v>
      </c>
      <c r="M42" s="13" t="str">
        <f>VLOOKUP(G42,Sell!G:L,1,0)</f>
        <v>DISHTV</v>
      </c>
      <c r="N42" s="13">
        <f>IFERROR(VLOOKUP(G42,Sell!G:L,2,0),0)</f>
        <v>1000</v>
      </c>
      <c r="O42" s="12">
        <f>IFERROR(VLOOKUP(G42,Sell!G:L,6,0),0)</f>
        <v>79180.604399999997</v>
      </c>
      <c r="P42" s="13">
        <f t="shared" si="0"/>
        <v>0</v>
      </c>
      <c r="Q42" s="12">
        <f t="shared" si="2"/>
        <v>1631.905700000003</v>
      </c>
      <c r="R42" s="12">
        <f t="shared" si="3"/>
        <v>1631.905700000003</v>
      </c>
      <c r="S42" s="12">
        <f t="shared" si="4"/>
        <v>1631.905700000003</v>
      </c>
      <c r="T42" s="12">
        <f t="shared" si="5"/>
        <v>0</v>
      </c>
      <c r="U42" s="14" t="str">
        <f t="shared" si="6"/>
        <v/>
      </c>
    </row>
    <row r="43" spans="1:21" x14ac:dyDescent="0.25">
      <c r="A43" s="2" t="s">
        <v>226</v>
      </c>
      <c r="B43">
        <v>2600</v>
      </c>
      <c r="C43">
        <v>1573.3</v>
      </c>
      <c r="D43">
        <v>1204050</v>
      </c>
      <c r="E43">
        <v>4824.5402000000004</v>
      </c>
      <c r="G43" s="2" t="s">
        <v>214</v>
      </c>
      <c r="H43">
        <v>1000</v>
      </c>
      <c r="I43">
        <v>114.62</v>
      </c>
      <c r="J43">
        <v>114619.15</v>
      </c>
      <c r="K43">
        <v>108.3152</v>
      </c>
      <c r="L43" s="18">
        <f t="shared" si="1"/>
        <v>114727.46519999999</v>
      </c>
      <c r="M43" s="13" t="str">
        <f>VLOOKUP(G43,Sell!G:L,1,0)</f>
        <v>HTMED</v>
      </c>
      <c r="N43" s="13">
        <f>IFERROR(VLOOKUP(G43,Sell!G:L,2,0),0)</f>
        <v>1000</v>
      </c>
      <c r="O43" s="12">
        <f>IFERROR(VLOOKUP(G43,Sell!G:L,6,0),0)</f>
        <v>115478.60370000001</v>
      </c>
      <c r="P43" s="13">
        <f t="shared" si="0"/>
        <v>0</v>
      </c>
      <c r="Q43" s="12">
        <f t="shared" si="2"/>
        <v>751.13850000001548</v>
      </c>
      <c r="R43" s="12">
        <f t="shared" si="3"/>
        <v>751.13850000001548</v>
      </c>
      <c r="S43" s="12">
        <f t="shared" si="4"/>
        <v>751.13850000001548</v>
      </c>
      <c r="T43" s="12">
        <f t="shared" si="5"/>
        <v>0</v>
      </c>
      <c r="U43" s="14" t="str">
        <f t="shared" si="6"/>
        <v/>
      </c>
    </row>
    <row r="44" spans="1:21" x14ac:dyDescent="0.25">
      <c r="A44" s="2" t="s">
        <v>230</v>
      </c>
      <c r="B44">
        <v>1000</v>
      </c>
      <c r="C44">
        <v>63.95</v>
      </c>
      <c r="D44">
        <v>63950</v>
      </c>
      <c r="E44">
        <v>40.178400000000003</v>
      </c>
      <c r="G44" s="2" t="s">
        <v>226</v>
      </c>
      <c r="H44">
        <v>2600</v>
      </c>
      <c r="I44">
        <v>1573.3</v>
      </c>
      <c r="J44">
        <v>1204050</v>
      </c>
      <c r="K44">
        <v>4824.5402000000004</v>
      </c>
      <c r="L44" s="18">
        <f t="shared" si="1"/>
        <v>1208874.5401999999</v>
      </c>
      <c r="M44" s="13" t="str">
        <f>VLOOKUP(G44,Sell!G:L,1,0)</f>
        <v>ZEEENT</v>
      </c>
      <c r="N44" s="13">
        <f>IFERROR(VLOOKUP(G44,Sell!G:L,2,0),0)</f>
        <v>2600</v>
      </c>
      <c r="O44" s="12">
        <f>IFERROR(VLOOKUP(G44,Sell!G:L,6,0),0)</f>
        <v>1204065.4188000001</v>
      </c>
      <c r="P44" s="13">
        <f t="shared" si="0"/>
        <v>0</v>
      </c>
      <c r="Q44" s="12">
        <f t="shared" si="2"/>
        <v>-4809.121399999829</v>
      </c>
      <c r="R44" s="12">
        <f t="shared" si="3"/>
        <v>-4809.121399999829</v>
      </c>
      <c r="S44" s="12">
        <f t="shared" si="4"/>
        <v>0</v>
      </c>
      <c r="T44" s="12">
        <f t="shared" si="5"/>
        <v>-4809.121399999829</v>
      </c>
      <c r="U44" s="14" t="str">
        <f t="shared" si="6"/>
        <v/>
      </c>
    </row>
    <row r="45" spans="1:21" x14ac:dyDescent="0.25">
      <c r="A45" s="2" t="s">
        <v>233</v>
      </c>
      <c r="B45">
        <v>110</v>
      </c>
      <c r="C45">
        <v>2273.3000000000002</v>
      </c>
      <c r="D45">
        <v>108800</v>
      </c>
      <c r="E45">
        <v>90.15209999999999</v>
      </c>
      <c r="G45" s="2" t="s">
        <v>230</v>
      </c>
      <c r="H45">
        <v>1000</v>
      </c>
      <c r="I45">
        <v>63.95</v>
      </c>
      <c r="J45">
        <v>63950</v>
      </c>
      <c r="K45">
        <v>40.178400000000003</v>
      </c>
      <c r="L45" s="18">
        <f t="shared" si="1"/>
        <v>63990.178399999997</v>
      </c>
      <c r="M45" s="13" t="str">
        <f>VLOOKUP(G45,Sell!G:L,1,0)</f>
        <v>NETW18</v>
      </c>
      <c r="N45" s="13">
        <f>IFERROR(VLOOKUP(G45,Sell!G:L,2,0),0)</f>
        <v>1000</v>
      </c>
      <c r="O45" s="12">
        <f>IFERROR(VLOOKUP(G45,Sell!G:L,6,0),0)</f>
        <v>62819.636400000003</v>
      </c>
      <c r="P45" s="13">
        <f t="shared" si="0"/>
        <v>0</v>
      </c>
      <c r="Q45" s="12">
        <f t="shared" si="2"/>
        <v>-1170.541999999994</v>
      </c>
      <c r="R45" s="12">
        <f t="shared" si="3"/>
        <v>-1170.541999999994</v>
      </c>
      <c r="S45" s="12">
        <f t="shared" si="4"/>
        <v>0</v>
      </c>
      <c r="T45" s="12">
        <f t="shared" si="5"/>
        <v>-1170.541999999994</v>
      </c>
      <c r="U45" s="14" t="str">
        <f t="shared" si="6"/>
        <v/>
      </c>
    </row>
    <row r="46" spans="1:21" x14ac:dyDescent="0.25">
      <c r="A46" s="2" t="s">
        <v>237</v>
      </c>
      <c r="B46">
        <v>4500</v>
      </c>
      <c r="C46">
        <v>2225.65</v>
      </c>
      <c r="D46">
        <v>1258700</v>
      </c>
      <c r="E46">
        <v>808.09490000000005</v>
      </c>
      <c r="G46" s="2" t="s">
        <v>233</v>
      </c>
      <c r="H46">
        <v>110</v>
      </c>
      <c r="I46">
        <v>2273.3000000000002</v>
      </c>
      <c r="J46">
        <v>108800</v>
      </c>
      <c r="K46">
        <v>90.15209999999999</v>
      </c>
      <c r="L46" s="18">
        <f t="shared" si="1"/>
        <v>108890.15210000001</v>
      </c>
      <c r="M46" s="13" t="str">
        <f>VLOOKUP(G46,Sell!G:L,1,0)</f>
        <v>RELIND</v>
      </c>
      <c r="N46" s="13">
        <f>IFERROR(VLOOKUP(G46,Sell!G:L,2,0),0)</f>
        <v>110</v>
      </c>
      <c r="O46" s="12">
        <f>IFERROR(VLOOKUP(G46,Sell!G:L,6,0),0)</f>
        <v>108512.8132</v>
      </c>
      <c r="P46" s="13">
        <f t="shared" si="0"/>
        <v>0</v>
      </c>
      <c r="Q46" s="12">
        <f t="shared" si="2"/>
        <v>-377.33890000000247</v>
      </c>
      <c r="R46" s="12">
        <f t="shared" si="3"/>
        <v>-377.33890000000247</v>
      </c>
      <c r="S46" s="12">
        <f t="shared" si="4"/>
        <v>0</v>
      </c>
      <c r="T46" s="12">
        <f t="shared" si="5"/>
        <v>-377.33890000000247</v>
      </c>
      <c r="U46" s="14" t="str">
        <f t="shared" si="6"/>
        <v/>
      </c>
    </row>
    <row r="47" spans="1:21" x14ac:dyDescent="0.25">
      <c r="A47" s="2" t="s">
        <v>245</v>
      </c>
      <c r="B47">
        <v>1000</v>
      </c>
      <c r="C47">
        <v>104.43</v>
      </c>
      <c r="D47">
        <v>104426.8</v>
      </c>
      <c r="E47">
        <v>786.16390000000001</v>
      </c>
      <c r="G47" s="2" t="s">
        <v>237</v>
      </c>
      <c r="H47">
        <v>4500</v>
      </c>
      <c r="I47">
        <v>2225.65</v>
      </c>
      <c r="J47">
        <v>1258700</v>
      </c>
      <c r="K47">
        <v>808.09490000000005</v>
      </c>
      <c r="L47" s="18">
        <f t="shared" si="1"/>
        <v>1259508.0948999999</v>
      </c>
      <c r="M47" s="13" t="str">
        <f>VLOOKUP(G47,Sell!G:L,1,0)</f>
        <v>JSWSTE</v>
      </c>
      <c r="N47" s="13">
        <f>IFERROR(VLOOKUP(G47,Sell!G:L,2,0),0)</f>
        <v>4500</v>
      </c>
      <c r="O47" s="12">
        <f>IFERROR(VLOOKUP(G47,Sell!G:L,6,0),0)</f>
        <v>1252430.7058999999</v>
      </c>
      <c r="P47" s="13">
        <f t="shared" si="0"/>
        <v>0</v>
      </c>
      <c r="Q47" s="12">
        <f t="shared" si="2"/>
        <v>-7077.3889999999665</v>
      </c>
      <c r="R47" s="12">
        <f t="shared" si="3"/>
        <v>-7077.3889999999665</v>
      </c>
      <c r="S47" s="12">
        <f t="shared" si="4"/>
        <v>0</v>
      </c>
      <c r="T47" s="12">
        <f t="shared" si="5"/>
        <v>-7077.3889999999665</v>
      </c>
      <c r="U47" s="14" t="str">
        <f t="shared" si="6"/>
        <v/>
      </c>
    </row>
    <row r="48" spans="1:21" x14ac:dyDescent="0.25">
      <c r="A48" s="2" t="s">
        <v>247</v>
      </c>
      <c r="B48">
        <v>1100</v>
      </c>
      <c r="C48">
        <v>889.95</v>
      </c>
      <c r="D48">
        <v>463348.75</v>
      </c>
      <c r="E48">
        <v>292.88469999999995</v>
      </c>
      <c r="G48" s="2" t="s">
        <v>245</v>
      </c>
      <c r="H48">
        <v>1000</v>
      </c>
      <c r="I48">
        <v>104.43</v>
      </c>
      <c r="J48">
        <v>104426.8</v>
      </c>
      <c r="K48">
        <v>786.16390000000001</v>
      </c>
      <c r="L48" s="18">
        <f t="shared" si="1"/>
        <v>105212.9639</v>
      </c>
      <c r="M48" s="13" t="str">
        <f>VLOOKUP(G48,Sell!G:L,1,0)</f>
        <v>SREINF</v>
      </c>
      <c r="N48" s="13">
        <f>IFERROR(VLOOKUP(G48,Sell!G:L,2,0),0)</f>
        <v>1000</v>
      </c>
      <c r="O48" s="12">
        <f>IFERROR(VLOOKUP(G48,Sell!G:L,6,0),0)</f>
        <v>100169.82829999999</v>
      </c>
      <c r="P48" s="13">
        <f t="shared" si="0"/>
        <v>0</v>
      </c>
      <c r="Q48" s="12">
        <f t="shared" si="2"/>
        <v>-5043.1356000000087</v>
      </c>
      <c r="R48" s="12">
        <f t="shared" si="3"/>
        <v>-5043.1356000000087</v>
      </c>
      <c r="S48" s="12">
        <f t="shared" si="4"/>
        <v>0</v>
      </c>
      <c r="T48" s="12">
        <f t="shared" si="5"/>
        <v>-5043.1356000000087</v>
      </c>
      <c r="U48" s="14" t="str">
        <f t="shared" si="6"/>
        <v/>
      </c>
    </row>
    <row r="49" spans="1:21" x14ac:dyDescent="0.25">
      <c r="A49" s="2" t="s">
        <v>251</v>
      </c>
      <c r="B49">
        <v>1000</v>
      </c>
      <c r="C49">
        <v>250.79</v>
      </c>
      <c r="D49">
        <v>250788.3</v>
      </c>
      <c r="E49">
        <v>172.58070000000001</v>
      </c>
      <c r="G49" s="2" t="s">
        <v>247</v>
      </c>
      <c r="H49">
        <v>1100</v>
      </c>
      <c r="I49">
        <v>889.95</v>
      </c>
      <c r="J49">
        <v>463348.75</v>
      </c>
      <c r="K49">
        <v>292.88469999999995</v>
      </c>
      <c r="L49" s="18">
        <f t="shared" si="1"/>
        <v>463641.6347</v>
      </c>
      <c r="M49" s="13" t="str">
        <f>VLOOKUP(G49,Sell!G:L,1,0)</f>
        <v>MASTEK</v>
      </c>
      <c r="N49" s="13">
        <f>IFERROR(VLOOKUP(G49,Sell!G:L,2,0),0)</f>
        <v>1100</v>
      </c>
      <c r="O49" s="12">
        <f>IFERROR(VLOOKUP(G49,Sell!G:L,6,0),0)</f>
        <v>458131.74910000002</v>
      </c>
      <c r="P49" s="13">
        <f t="shared" si="0"/>
        <v>0</v>
      </c>
      <c r="Q49" s="12">
        <f t="shared" si="2"/>
        <v>-5509.8855999999796</v>
      </c>
      <c r="R49" s="12">
        <f t="shared" si="3"/>
        <v>-5509.8855999999796</v>
      </c>
      <c r="S49" s="12">
        <f t="shared" si="4"/>
        <v>0</v>
      </c>
      <c r="T49" s="12">
        <f t="shared" si="5"/>
        <v>-5509.8855999999796</v>
      </c>
      <c r="U49" s="14" t="str">
        <f t="shared" si="6"/>
        <v/>
      </c>
    </row>
    <row r="50" spans="1:21" x14ac:dyDescent="0.25">
      <c r="A50" s="2" t="s">
        <v>256</v>
      </c>
      <c r="B50">
        <v>7587</v>
      </c>
      <c r="C50">
        <v>3978.5</v>
      </c>
      <c r="D50">
        <v>3106625.1</v>
      </c>
      <c r="E50">
        <v>2027.4153000000001</v>
      </c>
      <c r="G50" s="2" t="s">
        <v>251</v>
      </c>
      <c r="H50">
        <v>1000</v>
      </c>
      <c r="I50">
        <v>250.79</v>
      </c>
      <c r="J50">
        <v>250788.3</v>
      </c>
      <c r="K50">
        <v>172.58070000000001</v>
      </c>
      <c r="L50" s="18">
        <f t="shared" si="1"/>
        <v>250960.88069999998</v>
      </c>
      <c r="M50" s="13" t="str">
        <f>VLOOKUP(G50,Sell!G:L,1,0)</f>
        <v>PRAIND</v>
      </c>
      <c r="N50" s="13">
        <f>IFERROR(VLOOKUP(G50,Sell!G:L,2,0),0)</f>
        <v>1000</v>
      </c>
      <c r="O50" s="12">
        <f>IFERROR(VLOOKUP(G50,Sell!G:L,6,0),0)</f>
        <v>241548.58259999999</v>
      </c>
      <c r="P50" s="13">
        <f t="shared" si="0"/>
        <v>0</v>
      </c>
      <c r="Q50" s="12">
        <f t="shared" si="2"/>
        <v>-9412.2980999999854</v>
      </c>
      <c r="R50" s="12">
        <f t="shared" si="3"/>
        <v>-9412.2980999999854</v>
      </c>
      <c r="S50" s="12">
        <f t="shared" si="4"/>
        <v>0</v>
      </c>
      <c r="T50" s="12">
        <f t="shared" si="5"/>
        <v>-9412.2980999999854</v>
      </c>
      <c r="U50" s="14" t="str">
        <f t="shared" si="6"/>
        <v/>
      </c>
    </row>
    <row r="51" spans="1:21" x14ac:dyDescent="0.25">
      <c r="A51" s="2" t="s">
        <v>268</v>
      </c>
      <c r="B51">
        <v>6000</v>
      </c>
      <c r="C51">
        <v>2339.44</v>
      </c>
      <c r="D51">
        <v>1584061.15</v>
      </c>
      <c r="E51">
        <v>1018.1728000000001</v>
      </c>
      <c r="G51" s="2" t="s">
        <v>256</v>
      </c>
      <c r="H51">
        <v>7587</v>
      </c>
      <c r="I51">
        <v>3978.5</v>
      </c>
      <c r="J51">
        <v>3106625.1</v>
      </c>
      <c r="K51">
        <v>2027.4153000000001</v>
      </c>
      <c r="L51" s="18">
        <f t="shared" si="1"/>
        <v>3108652.5153000001</v>
      </c>
      <c r="M51" s="13" t="str">
        <f>VLOOKUP(G51,Sell!G:L,1,0)</f>
        <v>PCJEW</v>
      </c>
      <c r="N51" s="13">
        <f>IFERROR(VLOOKUP(G51,Sell!G:L,2,0),0)</f>
        <v>7587</v>
      </c>
      <c r="O51" s="12">
        <f>IFERROR(VLOOKUP(G51,Sell!G:L,6,0),0)</f>
        <v>3105575.2147999997</v>
      </c>
      <c r="P51" s="13">
        <f t="shared" si="0"/>
        <v>0</v>
      </c>
      <c r="Q51" s="12">
        <f t="shared" si="2"/>
        <v>-3077.3005000003614</v>
      </c>
      <c r="R51" s="12">
        <f t="shared" si="3"/>
        <v>-3077.3005000003614</v>
      </c>
      <c r="S51" s="12">
        <f t="shared" si="4"/>
        <v>0</v>
      </c>
      <c r="T51" s="12">
        <f t="shared" si="5"/>
        <v>-3077.3005000003614</v>
      </c>
      <c r="U51" s="14" t="str">
        <f t="shared" si="6"/>
        <v/>
      </c>
    </row>
    <row r="52" spans="1:21" x14ac:dyDescent="0.25">
      <c r="A52" s="2" t="s">
        <v>270</v>
      </c>
      <c r="B52">
        <v>6850</v>
      </c>
      <c r="C52">
        <v>1036.5999999999999</v>
      </c>
      <c r="D52">
        <v>885905</v>
      </c>
      <c r="E52">
        <v>601.6617</v>
      </c>
      <c r="G52" s="2" t="s">
        <v>268</v>
      </c>
      <c r="H52">
        <v>6000</v>
      </c>
      <c r="I52">
        <v>2339.44</v>
      </c>
      <c r="J52">
        <v>1584061.15</v>
      </c>
      <c r="K52">
        <v>1018.1728000000001</v>
      </c>
      <c r="L52" s="18">
        <f t="shared" si="1"/>
        <v>1585079.3228</v>
      </c>
      <c r="M52" s="13" t="str">
        <f>VLOOKUP(G52,Sell!G:L,1,0)</f>
        <v>STABAN</v>
      </c>
      <c r="N52" s="13">
        <f>IFERROR(VLOOKUP(G52,Sell!G:L,2,0),0)</f>
        <v>6000</v>
      </c>
      <c r="O52" s="12">
        <f>IFERROR(VLOOKUP(G52,Sell!G:L,6,0),0)</f>
        <v>1587654.4902999999</v>
      </c>
      <c r="P52" s="13">
        <f t="shared" si="0"/>
        <v>0</v>
      </c>
      <c r="Q52" s="12">
        <f t="shared" si="2"/>
        <v>2575.1674999999814</v>
      </c>
      <c r="R52" s="12">
        <f t="shared" si="3"/>
        <v>2575.1674999999814</v>
      </c>
      <c r="S52" s="12">
        <f t="shared" si="4"/>
        <v>2575.1674999999814</v>
      </c>
      <c r="T52" s="12">
        <f t="shared" si="5"/>
        <v>0</v>
      </c>
      <c r="U52" s="14" t="str">
        <f t="shared" si="6"/>
        <v/>
      </c>
    </row>
    <row r="53" spans="1:21" x14ac:dyDescent="0.25">
      <c r="A53" s="2" t="s">
        <v>276</v>
      </c>
      <c r="B53">
        <v>2500</v>
      </c>
      <c r="C53">
        <v>120</v>
      </c>
      <c r="D53">
        <v>300000</v>
      </c>
      <c r="E53">
        <v>188.5</v>
      </c>
      <c r="G53" s="2" t="s">
        <v>270</v>
      </c>
      <c r="H53">
        <v>6850</v>
      </c>
      <c r="I53">
        <v>1036.5999999999999</v>
      </c>
      <c r="J53">
        <v>885905</v>
      </c>
      <c r="K53">
        <v>601.6617</v>
      </c>
      <c r="L53" s="18">
        <f t="shared" si="1"/>
        <v>886506.66170000006</v>
      </c>
      <c r="M53" s="13" t="str">
        <f>VLOOKUP(G53,Sell!G:L,1,0)</f>
        <v>BANBAR</v>
      </c>
      <c r="N53" s="13">
        <f>IFERROR(VLOOKUP(G53,Sell!G:L,2,0),0)</f>
        <v>6850</v>
      </c>
      <c r="O53" s="12">
        <f>IFERROR(VLOOKUP(G53,Sell!G:L,6,0),0)</f>
        <v>882916.44110000005</v>
      </c>
      <c r="P53" s="13">
        <f t="shared" si="0"/>
        <v>0</v>
      </c>
      <c r="Q53" s="12">
        <f t="shared" si="2"/>
        <v>-3590.2206000000006</v>
      </c>
      <c r="R53" s="12">
        <f t="shared" si="3"/>
        <v>-3590.2206000000006</v>
      </c>
      <c r="S53" s="12">
        <f t="shared" si="4"/>
        <v>0</v>
      </c>
      <c r="T53" s="12">
        <f t="shared" si="5"/>
        <v>-3590.2206000000006</v>
      </c>
      <c r="U53" s="14" t="str">
        <f t="shared" si="6"/>
        <v/>
      </c>
    </row>
    <row r="54" spans="1:21" x14ac:dyDescent="0.25">
      <c r="A54" s="2" t="s">
        <v>279</v>
      </c>
      <c r="B54">
        <v>10550</v>
      </c>
      <c r="C54">
        <v>6664.3</v>
      </c>
      <c r="D54">
        <v>3308729.5</v>
      </c>
      <c r="E54">
        <v>2186.4274</v>
      </c>
      <c r="G54" s="2" t="s">
        <v>276</v>
      </c>
      <c r="H54">
        <v>2500</v>
      </c>
      <c r="I54">
        <v>120</v>
      </c>
      <c r="J54">
        <v>300000</v>
      </c>
      <c r="K54">
        <v>188.5</v>
      </c>
      <c r="L54" s="18">
        <f t="shared" si="1"/>
        <v>300188.5</v>
      </c>
      <c r="M54" s="13" t="str">
        <f>VLOOKUP(G54,Sell!G:L,1,0)</f>
        <v>MENBEA</v>
      </c>
      <c r="N54" s="13">
        <f>IFERROR(VLOOKUP(G54,Sell!G:L,2,0),0)</f>
        <v>2500</v>
      </c>
      <c r="O54" s="12">
        <f>IFERROR(VLOOKUP(G54,Sell!G:L,6,0),0)</f>
        <v>295389.6017</v>
      </c>
      <c r="P54" s="13">
        <f t="shared" si="0"/>
        <v>0</v>
      </c>
      <c r="Q54" s="12">
        <f t="shared" si="2"/>
        <v>-4798.8983000000007</v>
      </c>
      <c r="R54" s="12">
        <f t="shared" si="3"/>
        <v>-4798.8983000000007</v>
      </c>
      <c r="S54" s="12">
        <f t="shared" si="4"/>
        <v>0</v>
      </c>
      <c r="T54" s="12">
        <f t="shared" si="5"/>
        <v>-4798.8983000000007</v>
      </c>
      <c r="U54" s="14" t="str">
        <f t="shared" si="6"/>
        <v/>
      </c>
    </row>
    <row r="55" spans="1:21" x14ac:dyDescent="0.25">
      <c r="A55" s="2" t="s">
        <v>282</v>
      </c>
      <c r="B55">
        <v>19510</v>
      </c>
      <c r="C55">
        <v>33823.67</v>
      </c>
      <c r="D55">
        <v>10875585.549999999</v>
      </c>
      <c r="E55">
        <v>20958.969200000007</v>
      </c>
      <c r="G55" s="2" t="s">
        <v>279</v>
      </c>
      <c r="H55">
        <v>10550</v>
      </c>
      <c r="I55">
        <v>6664.3</v>
      </c>
      <c r="J55">
        <v>3308729.5</v>
      </c>
      <c r="K55">
        <v>2186.4274</v>
      </c>
      <c r="L55" s="18">
        <f t="shared" si="1"/>
        <v>3310915.9273999999</v>
      </c>
      <c r="M55" s="13" t="str">
        <f>VLOOKUP(G55,Sell!G:L,1,0)</f>
        <v>CANHOM</v>
      </c>
      <c r="N55" s="13">
        <f>IFERROR(VLOOKUP(G55,Sell!G:L,2,0),0)</f>
        <v>10550</v>
      </c>
      <c r="O55" s="12">
        <f>IFERROR(VLOOKUP(G55,Sell!G:L,6,0),0)</f>
        <v>3281710.1589000002</v>
      </c>
      <c r="P55" s="13">
        <f t="shared" si="0"/>
        <v>0</v>
      </c>
      <c r="Q55" s="12">
        <f t="shared" si="2"/>
        <v>-29205.768499999773</v>
      </c>
      <c r="R55" s="12">
        <f t="shared" si="3"/>
        <v>-29205.768499999773</v>
      </c>
      <c r="S55" s="12">
        <f t="shared" si="4"/>
        <v>0</v>
      </c>
      <c r="T55" s="12">
        <f t="shared" si="5"/>
        <v>-29205.768499999773</v>
      </c>
      <c r="U55" s="14" t="str">
        <f t="shared" si="6"/>
        <v/>
      </c>
    </row>
    <row r="56" spans="1:21" x14ac:dyDescent="0.25">
      <c r="A56" s="2" t="s">
        <v>288</v>
      </c>
      <c r="B56">
        <v>1050</v>
      </c>
      <c r="C56">
        <v>1520.6000000000004</v>
      </c>
      <c r="D56">
        <v>124400</v>
      </c>
      <c r="E56">
        <v>1230.5426000000002</v>
      </c>
      <c r="G56" s="2" t="s">
        <v>282</v>
      </c>
      <c r="H56">
        <v>19510</v>
      </c>
      <c r="I56">
        <v>33823.67</v>
      </c>
      <c r="J56">
        <v>10875585.549999999</v>
      </c>
      <c r="K56">
        <v>20958.969200000007</v>
      </c>
      <c r="L56" s="18">
        <f t="shared" si="1"/>
        <v>10896544.519199999</v>
      </c>
      <c r="M56" s="13" t="str">
        <f>VLOOKUP(G56,Sell!G:L,1,0)</f>
        <v>BIOCON</v>
      </c>
      <c r="N56" s="13">
        <f>IFERROR(VLOOKUP(G56,Sell!G:L,2,0),0)</f>
        <v>19450</v>
      </c>
      <c r="O56" s="12">
        <f>IFERROR(VLOOKUP(G56,Sell!G:L,6,0),0)</f>
        <v>10830235.910500001</v>
      </c>
      <c r="P56" s="13">
        <f t="shared" si="0"/>
        <v>60</v>
      </c>
      <c r="Q56" s="12">
        <f t="shared" si="2"/>
        <v>-66308.608699997887</v>
      </c>
      <c r="R56" s="12">
        <f t="shared" si="3"/>
        <v>0</v>
      </c>
      <c r="S56" s="12">
        <f t="shared" si="4"/>
        <v>0</v>
      </c>
      <c r="T56" s="12">
        <f t="shared" si="5"/>
        <v>0</v>
      </c>
      <c r="U56" s="14" t="str">
        <f t="shared" si="6"/>
        <v>Open</v>
      </c>
    </row>
    <row r="57" spans="1:21" x14ac:dyDescent="0.25">
      <c r="A57" s="2" t="s">
        <v>291</v>
      </c>
      <c r="B57">
        <v>3500</v>
      </c>
      <c r="C57">
        <v>372.4</v>
      </c>
      <c r="D57">
        <v>434575</v>
      </c>
      <c r="E57">
        <v>1441.2139999999999</v>
      </c>
      <c r="G57" s="2" t="s">
        <v>288</v>
      </c>
      <c r="H57">
        <v>1050</v>
      </c>
      <c r="I57">
        <v>1520.6000000000004</v>
      </c>
      <c r="J57">
        <v>124400</v>
      </c>
      <c r="K57">
        <v>1230.5426000000002</v>
      </c>
      <c r="L57" s="18">
        <f t="shared" si="1"/>
        <v>125630.5426</v>
      </c>
      <c r="M57" s="13" t="str">
        <f>VLOOKUP(G57,Sell!G:L,1,0)</f>
        <v>VAKRAN</v>
      </c>
      <c r="N57" s="13">
        <f>IFERROR(VLOOKUP(G57,Sell!G:L,2,0),0)</f>
        <v>600</v>
      </c>
      <c r="O57" s="12">
        <f>IFERROR(VLOOKUP(G57,Sell!G:L,6,0),0)</f>
        <v>13993.8869</v>
      </c>
      <c r="P57" s="13">
        <f t="shared" si="0"/>
        <v>450</v>
      </c>
      <c r="Q57" s="12">
        <f t="shared" si="2"/>
        <v>-111636.6557</v>
      </c>
      <c r="R57" s="12">
        <f t="shared" si="3"/>
        <v>0</v>
      </c>
      <c r="S57" s="12">
        <f t="shared" si="4"/>
        <v>0</v>
      </c>
      <c r="T57" s="12">
        <f t="shared" si="5"/>
        <v>0</v>
      </c>
      <c r="U57" s="14" t="str">
        <f t="shared" si="6"/>
        <v>Open</v>
      </c>
    </row>
    <row r="58" spans="1:21" x14ac:dyDescent="0.25">
      <c r="A58" s="2" t="s">
        <v>296</v>
      </c>
      <c r="B58">
        <v>750</v>
      </c>
      <c r="C58">
        <v>108.5</v>
      </c>
      <c r="D58">
        <v>42000</v>
      </c>
      <c r="E58">
        <v>317.2921</v>
      </c>
      <c r="G58" s="2" t="s">
        <v>291</v>
      </c>
      <c r="H58">
        <v>3500</v>
      </c>
      <c r="I58">
        <v>372.4</v>
      </c>
      <c r="J58">
        <v>434575</v>
      </c>
      <c r="K58">
        <v>1441.2139999999999</v>
      </c>
      <c r="L58" s="18">
        <f t="shared" si="1"/>
        <v>436016.21399999998</v>
      </c>
      <c r="M58" s="13" t="str">
        <f>VLOOKUP(G58,Sell!G:L,1,0)</f>
        <v>BHAELE</v>
      </c>
      <c r="N58" s="13">
        <f>IFERROR(VLOOKUP(G58,Sell!G:L,2,0),0)</f>
        <v>3500</v>
      </c>
      <c r="O58" s="12">
        <f>IFERROR(VLOOKUP(G58,Sell!G:L,6,0),0)</f>
        <v>419584.5135</v>
      </c>
      <c r="P58" s="13">
        <f t="shared" si="0"/>
        <v>0</v>
      </c>
      <c r="Q58" s="12">
        <f t="shared" si="2"/>
        <v>-16431.700499999977</v>
      </c>
      <c r="R58" s="12">
        <f t="shared" si="3"/>
        <v>-16431.700499999977</v>
      </c>
      <c r="S58" s="12">
        <f t="shared" si="4"/>
        <v>0</v>
      </c>
      <c r="T58" s="12">
        <f t="shared" si="5"/>
        <v>-16431.700499999977</v>
      </c>
      <c r="U58" s="14" t="str">
        <f t="shared" si="6"/>
        <v/>
      </c>
    </row>
    <row r="59" spans="1:21" x14ac:dyDescent="0.25">
      <c r="A59" s="2" t="s">
        <v>321</v>
      </c>
      <c r="B59">
        <v>17775</v>
      </c>
      <c r="C59">
        <v>10017.770000000002</v>
      </c>
      <c r="D59">
        <v>5201611.2</v>
      </c>
      <c r="E59">
        <v>5749.1832000000004</v>
      </c>
      <c r="G59" s="2" t="s">
        <v>296</v>
      </c>
      <c r="H59">
        <v>750</v>
      </c>
      <c r="I59">
        <v>108.5</v>
      </c>
      <c r="J59">
        <v>42000</v>
      </c>
      <c r="K59">
        <v>317.2921</v>
      </c>
      <c r="L59" s="18">
        <f t="shared" si="1"/>
        <v>42317.292099999999</v>
      </c>
      <c r="M59" s="13" t="str">
        <f>VLOOKUP(G59,Sell!G:L,1,0)</f>
        <v>BHUST</v>
      </c>
      <c r="N59" s="13">
        <f>IFERROR(VLOOKUP(G59,Sell!G:L,2,0),0)</f>
        <v>750</v>
      </c>
      <c r="O59" s="12">
        <f>IFERROR(VLOOKUP(G59,Sell!G:L,6,0),0)</f>
        <v>28918.225900000001</v>
      </c>
      <c r="P59" s="13">
        <f t="shared" si="0"/>
        <v>0</v>
      </c>
      <c r="Q59" s="12">
        <f t="shared" si="2"/>
        <v>-13399.066199999997</v>
      </c>
      <c r="R59" s="12">
        <f t="shared" si="3"/>
        <v>-13399.066199999997</v>
      </c>
      <c r="S59" s="12">
        <f t="shared" si="4"/>
        <v>0</v>
      </c>
      <c r="T59" s="12">
        <f t="shared" si="5"/>
        <v>-13399.066199999997</v>
      </c>
      <c r="U59" s="14" t="str">
        <f t="shared" si="6"/>
        <v/>
      </c>
    </row>
    <row r="60" spans="1:21" x14ac:dyDescent="0.25">
      <c r="A60" s="2" t="s">
        <v>324</v>
      </c>
      <c r="B60">
        <v>70</v>
      </c>
      <c r="C60">
        <v>2492.5</v>
      </c>
      <c r="D60">
        <v>56885</v>
      </c>
      <c r="E60">
        <v>158.6866</v>
      </c>
      <c r="G60" s="2" t="s">
        <v>321</v>
      </c>
      <c r="H60">
        <v>17775</v>
      </c>
      <c r="I60">
        <v>10017.770000000002</v>
      </c>
      <c r="J60">
        <v>5201611.2</v>
      </c>
      <c r="K60">
        <v>5749.1832000000004</v>
      </c>
      <c r="L60" s="18">
        <f t="shared" si="1"/>
        <v>5207360.3832</v>
      </c>
      <c r="M60" s="13" t="str">
        <f>VLOOKUP(G60,Sell!G:L,1,0)</f>
        <v>HINPET</v>
      </c>
      <c r="N60" s="13">
        <f>IFERROR(VLOOKUP(G60,Sell!G:L,2,0),0)</f>
        <v>17775</v>
      </c>
      <c r="O60" s="12">
        <f>IFERROR(VLOOKUP(G60,Sell!G:L,6,0),0)</f>
        <v>5174265.4342000009</v>
      </c>
      <c r="P60" s="13">
        <f t="shared" si="0"/>
        <v>0</v>
      </c>
      <c r="Q60" s="12">
        <f t="shared" si="2"/>
        <v>-33094.948999999091</v>
      </c>
      <c r="R60" s="12">
        <f t="shared" si="3"/>
        <v>-33094.948999999091</v>
      </c>
      <c r="S60" s="12">
        <f t="shared" si="4"/>
        <v>0</v>
      </c>
      <c r="T60" s="12">
        <f t="shared" si="5"/>
        <v>-33094.948999999091</v>
      </c>
      <c r="U60" s="14" t="str">
        <f t="shared" si="6"/>
        <v/>
      </c>
    </row>
    <row r="61" spans="1:21" x14ac:dyDescent="0.25">
      <c r="A61" s="2" t="s">
        <v>379</v>
      </c>
      <c r="B61">
        <v>7722</v>
      </c>
      <c r="C61">
        <v>2462.33</v>
      </c>
      <c r="D61">
        <v>1264169.25</v>
      </c>
      <c r="E61">
        <v>967.42050000000006</v>
      </c>
      <c r="G61" s="2" t="s">
        <v>324</v>
      </c>
      <c r="H61">
        <v>70</v>
      </c>
      <c r="I61">
        <v>2492.5</v>
      </c>
      <c r="J61">
        <v>56885</v>
      </c>
      <c r="K61">
        <v>158.6866</v>
      </c>
      <c r="L61" s="18">
        <f t="shared" si="1"/>
        <v>57043.686600000001</v>
      </c>
      <c r="M61" s="13" t="str">
        <f>VLOOKUP(G61,Sell!G:L,1,0)</f>
        <v>JUBLIF</v>
      </c>
      <c r="N61" s="13">
        <f>IFERROR(VLOOKUP(G61,Sell!G:L,2,0),0)</f>
        <v>70</v>
      </c>
      <c r="O61" s="12">
        <f>IFERROR(VLOOKUP(G61,Sell!G:L,6,0),0)</f>
        <v>55053.3943</v>
      </c>
      <c r="P61" s="13">
        <f t="shared" si="0"/>
        <v>0</v>
      </c>
      <c r="Q61" s="12">
        <f t="shared" si="2"/>
        <v>-1990.292300000001</v>
      </c>
      <c r="R61" s="12">
        <f t="shared" si="3"/>
        <v>-1990.292300000001</v>
      </c>
      <c r="S61" s="12">
        <f t="shared" si="4"/>
        <v>0</v>
      </c>
      <c r="T61" s="12">
        <f t="shared" si="5"/>
        <v>-1990.292300000001</v>
      </c>
      <c r="U61" s="14" t="str">
        <f t="shared" si="6"/>
        <v/>
      </c>
    </row>
    <row r="62" spans="1:21" x14ac:dyDescent="0.25">
      <c r="A62" s="2" t="s">
        <v>387</v>
      </c>
      <c r="B62">
        <v>1000</v>
      </c>
      <c r="C62">
        <v>64.25</v>
      </c>
      <c r="D62">
        <v>64250</v>
      </c>
      <c r="E62">
        <v>40.187600000000003</v>
      </c>
      <c r="G62" s="2" t="s">
        <v>379</v>
      </c>
      <c r="H62">
        <v>7722</v>
      </c>
      <c r="I62">
        <v>2462.33</v>
      </c>
      <c r="J62">
        <v>1264169.25</v>
      </c>
      <c r="K62">
        <v>967.42050000000006</v>
      </c>
      <c r="L62" s="18">
        <f t="shared" si="1"/>
        <v>1265136.6705</v>
      </c>
      <c r="M62" s="13" t="str">
        <f>VLOOKUP(G62,Sell!G:L,1,0)</f>
        <v>TINCO</v>
      </c>
      <c r="N62" s="13">
        <f>IFERROR(VLOOKUP(G62,Sell!G:L,2,0),0)</f>
        <v>7722</v>
      </c>
      <c r="O62" s="12">
        <f>IFERROR(VLOOKUP(G62,Sell!G:L,6,0),0)</f>
        <v>1262421.5098999999</v>
      </c>
      <c r="P62" s="13">
        <f t="shared" si="0"/>
        <v>0</v>
      </c>
      <c r="Q62" s="12">
        <f t="shared" si="2"/>
        <v>-2715.1606000000611</v>
      </c>
      <c r="R62" s="12">
        <f t="shared" si="3"/>
        <v>-2715.1606000000611</v>
      </c>
      <c r="S62" s="12">
        <f t="shared" si="4"/>
        <v>0</v>
      </c>
      <c r="T62" s="12">
        <f t="shared" si="5"/>
        <v>-2715.1606000000611</v>
      </c>
      <c r="U62" s="14" t="str">
        <f t="shared" si="6"/>
        <v/>
      </c>
    </row>
    <row r="63" spans="1:21" x14ac:dyDescent="0.25">
      <c r="A63" s="2" t="s">
        <v>392</v>
      </c>
      <c r="B63">
        <v>25</v>
      </c>
      <c r="C63">
        <v>3689.2</v>
      </c>
      <c r="D63">
        <v>46093</v>
      </c>
      <c r="E63">
        <v>69.332799999999992</v>
      </c>
      <c r="G63" s="2" t="s">
        <v>387</v>
      </c>
      <c r="H63">
        <v>1000</v>
      </c>
      <c r="I63">
        <v>64.25</v>
      </c>
      <c r="J63">
        <v>64250</v>
      </c>
      <c r="K63">
        <v>40.187600000000003</v>
      </c>
      <c r="L63" s="18">
        <f t="shared" si="1"/>
        <v>64290.187599999997</v>
      </c>
      <c r="M63" s="13" t="str">
        <f>VLOOKUP(G63,Sell!G:L,1,0)</f>
        <v>RELHOM</v>
      </c>
      <c r="N63" s="13">
        <f>IFERROR(VLOOKUP(G63,Sell!G:L,2,0),0)</f>
        <v>1000</v>
      </c>
      <c r="O63" s="12">
        <f>IFERROR(VLOOKUP(G63,Sell!G:L,6,0),0)</f>
        <v>62650.828600000001</v>
      </c>
      <c r="P63" s="13">
        <f t="shared" si="0"/>
        <v>0</v>
      </c>
      <c r="Q63" s="12">
        <f t="shared" si="2"/>
        <v>-1639.3589999999967</v>
      </c>
      <c r="R63" s="12">
        <f t="shared" si="3"/>
        <v>-1639.3589999999967</v>
      </c>
      <c r="S63" s="12">
        <f t="shared" si="4"/>
        <v>0</v>
      </c>
      <c r="T63" s="12">
        <f t="shared" si="5"/>
        <v>-1639.3589999999967</v>
      </c>
      <c r="U63" s="14" t="str">
        <f t="shared" si="6"/>
        <v/>
      </c>
    </row>
    <row r="64" spans="1:21" x14ac:dyDescent="0.25">
      <c r="A64" s="2" t="s">
        <v>397</v>
      </c>
      <c r="B64">
        <v>4292</v>
      </c>
      <c r="C64">
        <v>5750.25</v>
      </c>
      <c r="D64">
        <v>1146022.5</v>
      </c>
      <c r="E64">
        <v>1465.7228000000005</v>
      </c>
      <c r="G64" s="2" t="s">
        <v>392</v>
      </c>
      <c r="H64">
        <v>25</v>
      </c>
      <c r="I64">
        <v>3689.2</v>
      </c>
      <c r="J64">
        <v>46093</v>
      </c>
      <c r="K64">
        <v>69.332799999999992</v>
      </c>
      <c r="L64" s="18">
        <f t="shared" si="1"/>
        <v>46162.332799999996</v>
      </c>
      <c r="M64" s="13" t="str">
        <f>VLOOKUP(G64,Sell!G:L,1,0)</f>
        <v>HDFC</v>
      </c>
      <c r="N64" s="13">
        <f>IFERROR(VLOOKUP(G64,Sell!G:L,2,0),0)</f>
        <v>25</v>
      </c>
      <c r="O64" s="12">
        <f>IFERROR(VLOOKUP(G64,Sell!G:L,6,0),0)</f>
        <v>45724.896999999997</v>
      </c>
      <c r="P64" s="13">
        <f t="shared" si="0"/>
        <v>0</v>
      </c>
      <c r="Q64" s="12">
        <f t="shared" si="2"/>
        <v>-437.43579999999929</v>
      </c>
      <c r="R64" s="12">
        <f t="shared" si="3"/>
        <v>-437.43579999999929</v>
      </c>
      <c r="S64" s="12">
        <f t="shared" si="4"/>
        <v>0</v>
      </c>
      <c r="T64" s="12">
        <f t="shared" si="5"/>
        <v>-437.43579999999929</v>
      </c>
      <c r="U64" s="14" t="str">
        <f t="shared" si="6"/>
        <v/>
      </c>
    </row>
    <row r="65" spans="1:21" x14ac:dyDescent="0.25">
      <c r="A65" s="2" t="s">
        <v>404</v>
      </c>
      <c r="B65">
        <v>10</v>
      </c>
      <c r="C65">
        <v>380</v>
      </c>
      <c r="D65">
        <v>3800</v>
      </c>
      <c r="E65">
        <v>48.264000000000003</v>
      </c>
      <c r="G65" s="2" t="s">
        <v>397</v>
      </c>
      <c r="H65">
        <v>4292</v>
      </c>
      <c r="I65">
        <v>5750.25</v>
      </c>
      <c r="J65">
        <v>1146022.5</v>
      </c>
      <c r="K65">
        <v>1465.7228000000005</v>
      </c>
      <c r="L65" s="18">
        <f t="shared" si="1"/>
        <v>1147488.2228000001</v>
      </c>
      <c r="M65" s="13" t="str">
        <f>VLOOKUP(G65,Sell!G:L,1,0)</f>
        <v>ELGEQU</v>
      </c>
      <c r="N65" s="13">
        <f>IFERROR(VLOOKUP(G65,Sell!G:L,2,0),0)</f>
        <v>4292</v>
      </c>
      <c r="O65" s="12">
        <f>IFERROR(VLOOKUP(G65,Sell!G:L,6,0),0)</f>
        <v>1137976.1000000001</v>
      </c>
      <c r="P65" s="13">
        <f t="shared" si="0"/>
        <v>0</v>
      </c>
      <c r="Q65" s="12">
        <f t="shared" si="2"/>
        <v>-9512.1228000000119</v>
      </c>
      <c r="R65" s="12">
        <f t="shared" si="3"/>
        <v>-9512.1228000000119</v>
      </c>
      <c r="S65" s="12">
        <f t="shared" si="4"/>
        <v>0</v>
      </c>
      <c r="T65" s="12">
        <f t="shared" si="5"/>
        <v>-9512.1228000000119</v>
      </c>
      <c r="U65" s="14" t="str">
        <f t="shared" si="6"/>
        <v/>
      </c>
    </row>
    <row r="66" spans="1:21" x14ac:dyDescent="0.25">
      <c r="A66" s="2" t="s">
        <v>433</v>
      </c>
      <c r="B66">
        <v>79200</v>
      </c>
      <c r="C66">
        <v>538.85</v>
      </c>
      <c r="D66">
        <v>1352355</v>
      </c>
      <c r="E66">
        <v>3842.5232999999994</v>
      </c>
      <c r="G66" s="2" t="s">
        <v>404</v>
      </c>
      <c r="H66">
        <v>10</v>
      </c>
      <c r="I66">
        <v>380</v>
      </c>
      <c r="J66">
        <v>3800</v>
      </c>
      <c r="K66">
        <v>48.264000000000003</v>
      </c>
      <c r="L66" s="18">
        <f t="shared" si="1"/>
        <v>3848.2640000000001</v>
      </c>
      <c r="M66" s="13" t="str">
        <f>VLOOKUP(G66,Sell!G:L,1,0)</f>
        <v>BHAPET</v>
      </c>
      <c r="N66" s="13">
        <f>IFERROR(VLOOKUP(G66,Sell!G:L,2,0),0)</f>
        <v>10</v>
      </c>
      <c r="O66" s="12">
        <f>IFERROR(VLOOKUP(G66,Sell!G:L,6,0),0)</f>
        <v>2811.2343000000001</v>
      </c>
      <c r="P66" s="13">
        <f t="shared" si="0"/>
        <v>0</v>
      </c>
      <c r="Q66" s="12">
        <f t="shared" si="2"/>
        <v>-1037.0297</v>
      </c>
      <c r="R66" s="12">
        <f t="shared" si="3"/>
        <v>-1037.0297</v>
      </c>
      <c r="S66" s="12">
        <f t="shared" si="4"/>
        <v>0</v>
      </c>
      <c r="T66" s="12">
        <f t="shared" si="5"/>
        <v>-1037.0297</v>
      </c>
      <c r="U66" s="14" t="str">
        <f t="shared" si="6"/>
        <v/>
      </c>
    </row>
    <row r="67" spans="1:21" x14ac:dyDescent="0.25">
      <c r="A67" s="2" t="s">
        <v>471</v>
      </c>
      <c r="B67">
        <v>4000</v>
      </c>
      <c r="C67">
        <v>373.5</v>
      </c>
      <c r="D67">
        <v>372250</v>
      </c>
      <c r="E67">
        <v>243.1276</v>
      </c>
      <c r="G67" s="2" t="s">
        <v>433</v>
      </c>
      <c r="H67">
        <v>79200</v>
      </c>
      <c r="I67">
        <v>538.85</v>
      </c>
      <c r="J67">
        <v>1352355</v>
      </c>
      <c r="K67">
        <v>3842.5232999999994</v>
      </c>
      <c r="L67" s="18">
        <f t="shared" si="1"/>
        <v>1356197.5233</v>
      </c>
      <c r="M67" s="13" t="str">
        <f>VLOOKUP(G67,Sell!G:L,1,0)</f>
        <v>RELCOM</v>
      </c>
      <c r="N67" s="13">
        <f>IFERROR(VLOOKUP(G67,Sell!G:L,2,0),0)</f>
        <v>79200</v>
      </c>
      <c r="O67" s="12">
        <f>IFERROR(VLOOKUP(G67,Sell!G:L,6,0),0)</f>
        <v>1336584.2551999998</v>
      </c>
      <c r="P67" s="13">
        <f t="shared" si="0"/>
        <v>0</v>
      </c>
      <c r="Q67" s="12">
        <f t="shared" si="2"/>
        <v>-19613.268100000219</v>
      </c>
      <c r="R67" s="12">
        <f t="shared" si="3"/>
        <v>-19613.268100000219</v>
      </c>
      <c r="S67" s="12">
        <f t="shared" si="4"/>
        <v>0</v>
      </c>
      <c r="T67" s="12">
        <f t="shared" si="5"/>
        <v>-19613.268100000219</v>
      </c>
      <c r="U67" s="14" t="str">
        <f t="shared" si="6"/>
        <v/>
      </c>
    </row>
    <row r="68" spans="1:21" x14ac:dyDescent="0.25">
      <c r="A68" s="2" t="s">
        <v>480</v>
      </c>
      <c r="B68">
        <v>87500</v>
      </c>
      <c r="C68">
        <v>1891.4199999999998</v>
      </c>
      <c r="D68">
        <v>7285993.5</v>
      </c>
      <c r="E68">
        <v>4911.1476999999986</v>
      </c>
      <c r="G68" s="2" t="s">
        <v>471</v>
      </c>
      <c r="H68">
        <v>4000</v>
      </c>
      <c r="I68">
        <v>373.5</v>
      </c>
      <c r="J68">
        <v>372250</v>
      </c>
      <c r="K68">
        <v>243.1276</v>
      </c>
      <c r="L68" s="18">
        <f t="shared" si="1"/>
        <v>372493.12760000001</v>
      </c>
      <c r="M68" s="13" t="str">
        <f>VLOOKUP(G68,Sell!G:L,1,0)</f>
        <v>POWTRA</v>
      </c>
      <c r="N68" s="13">
        <f>IFERROR(VLOOKUP(G68,Sell!G:L,2,0),0)</f>
        <v>4000</v>
      </c>
      <c r="O68" s="12">
        <f>IFERROR(VLOOKUP(G68,Sell!G:L,6,0),0)</f>
        <v>367289.24200000003</v>
      </c>
      <c r="P68" s="13">
        <f t="shared" si="0"/>
        <v>0</v>
      </c>
      <c r="Q68" s="12">
        <f t="shared" si="2"/>
        <v>-5203.8855999999796</v>
      </c>
      <c r="R68" s="12">
        <f t="shared" si="3"/>
        <v>-5203.8855999999796</v>
      </c>
      <c r="S68" s="12">
        <f t="shared" si="4"/>
        <v>0</v>
      </c>
      <c r="T68" s="12">
        <f t="shared" si="5"/>
        <v>-5203.8855999999796</v>
      </c>
      <c r="U68" s="14" t="str">
        <f t="shared" si="6"/>
        <v/>
      </c>
    </row>
    <row r="69" spans="1:21" x14ac:dyDescent="0.25">
      <c r="A69" s="2" t="s">
        <v>575</v>
      </c>
      <c r="B69">
        <v>1100</v>
      </c>
      <c r="C69">
        <v>62.25</v>
      </c>
      <c r="D69">
        <v>68475</v>
      </c>
      <c r="E69">
        <v>50.6342</v>
      </c>
      <c r="G69" s="2" t="s">
        <v>480</v>
      </c>
      <c r="H69">
        <v>87500</v>
      </c>
      <c r="I69">
        <v>1891.4199999999998</v>
      </c>
      <c r="J69">
        <v>7285993.5</v>
      </c>
      <c r="K69">
        <v>4911.1476999999986</v>
      </c>
      <c r="L69" s="18">
        <f t="shared" si="1"/>
        <v>7290904.6476999996</v>
      </c>
      <c r="M69" s="13" t="str">
        <f>VLOOKUP(G69,Sell!G:L,1,0)</f>
        <v>FEDBAN</v>
      </c>
      <c r="N69" s="13">
        <f>IFERROR(VLOOKUP(G69,Sell!G:L,2,0),0)</f>
        <v>87500</v>
      </c>
      <c r="O69" s="12">
        <f>IFERROR(VLOOKUP(G69,Sell!G:L,6,0),0)</f>
        <v>7262666.4245999996</v>
      </c>
      <c r="P69" s="13">
        <f t="shared" si="0"/>
        <v>0</v>
      </c>
      <c r="Q69" s="12">
        <f t="shared" si="2"/>
        <v>-28238.223100000061</v>
      </c>
      <c r="R69" s="12">
        <f t="shared" si="3"/>
        <v>-28238.223100000061</v>
      </c>
      <c r="S69" s="12">
        <f t="shared" si="4"/>
        <v>0</v>
      </c>
      <c r="T69" s="12">
        <f t="shared" si="5"/>
        <v>-28238.223100000061</v>
      </c>
      <c r="U69" s="14" t="str">
        <f t="shared" si="6"/>
        <v/>
      </c>
    </row>
    <row r="70" spans="1:21" x14ac:dyDescent="0.25">
      <c r="A70" s="2" t="s">
        <v>594</v>
      </c>
      <c r="B70">
        <v>10</v>
      </c>
      <c r="C70">
        <v>81</v>
      </c>
      <c r="D70">
        <v>810</v>
      </c>
      <c r="E70">
        <v>25.224299999999999</v>
      </c>
      <c r="G70" s="2" t="s">
        <v>575</v>
      </c>
      <c r="H70">
        <v>1100</v>
      </c>
      <c r="I70">
        <v>62.25</v>
      </c>
      <c r="J70">
        <v>68475</v>
      </c>
      <c r="K70">
        <v>50.6342</v>
      </c>
      <c r="L70" s="18">
        <f t="shared" si="1"/>
        <v>68525.6342</v>
      </c>
      <c r="M70" s="13" t="str">
        <f>VLOOKUP(G70,Sell!G:L,1,0)</f>
        <v>IDBI</v>
      </c>
      <c r="N70" s="13">
        <f>IFERROR(VLOOKUP(G70,Sell!G:L,2,0),0)</f>
        <v>1100</v>
      </c>
      <c r="O70" s="12">
        <f>IFERROR(VLOOKUP(G70,Sell!G:L,6,0),0)</f>
        <v>68579.930800000002</v>
      </c>
      <c r="P70" s="13">
        <f t="shared" si="0"/>
        <v>0</v>
      </c>
      <c r="Q70" s="12">
        <f t="shared" si="2"/>
        <v>54.29660000000149</v>
      </c>
      <c r="R70" s="12">
        <f t="shared" si="3"/>
        <v>54.29660000000149</v>
      </c>
      <c r="S70" s="12">
        <f t="shared" si="4"/>
        <v>54.29660000000149</v>
      </c>
      <c r="T70" s="12">
        <f t="shared" si="5"/>
        <v>0</v>
      </c>
      <c r="U70" s="14" t="str">
        <f t="shared" si="6"/>
        <v/>
      </c>
    </row>
    <row r="71" spans="1:21" x14ac:dyDescent="0.25">
      <c r="A71" s="2" t="s">
        <v>644</v>
      </c>
      <c r="B71">
        <v>1500</v>
      </c>
      <c r="C71">
        <v>115.35</v>
      </c>
      <c r="D71">
        <v>86625</v>
      </c>
      <c r="E71">
        <v>72.118899999999996</v>
      </c>
      <c r="G71" s="2" t="s">
        <v>594</v>
      </c>
      <c r="H71">
        <v>10</v>
      </c>
      <c r="I71">
        <v>81</v>
      </c>
      <c r="J71">
        <v>810</v>
      </c>
      <c r="K71">
        <v>25.224299999999999</v>
      </c>
      <c r="L71" s="18">
        <f t="shared" si="1"/>
        <v>835.22429999999997</v>
      </c>
      <c r="M71" s="13" t="str">
        <f>VLOOKUP(G71,Sell!G:L,1,0)</f>
        <v>ARRGRE</v>
      </c>
      <c r="N71" s="13">
        <f>IFERROR(VLOOKUP(G71,Sell!G:L,2,0),0)</f>
        <v>10</v>
      </c>
      <c r="O71" s="12">
        <f>IFERROR(VLOOKUP(G71,Sell!G:L,6,0),0)</f>
        <v>1269.0407</v>
      </c>
      <c r="P71" s="13">
        <f t="shared" si="0"/>
        <v>0</v>
      </c>
      <c r="Q71" s="12">
        <f t="shared" si="2"/>
        <v>433.81640000000004</v>
      </c>
      <c r="R71" s="12">
        <f t="shared" si="3"/>
        <v>433.81640000000004</v>
      </c>
      <c r="S71" s="12">
        <f t="shared" si="4"/>
        <v>433.81640000000004</v>
      </c>
      <c r="T71" s="12">
        <f t="shared" si="5"/>
        <v>0</v>
      </c>
      <c r="U71" s="14" t="str">
        <f t="shared" si="6"/>
        <v/>
      </c>
    </row>
    <row r="72" spans="1:21" x14ac:dyDescent="0.25">
      <c r="A72" s="2" t="s">
        <v>659</v>
      </c>
      <c r="B72">
        <v>12525</v>
      </c>
      <c r="C72">
        <v>1794.42</v>
      </c>
      <c r="D72">
        <v>1804647.0499999998</v>
      </c>
      <c r="E72">
        <v>1375.5247999999999</v>
      </c>
      <c r="G72" s="2" t="s">
        <v>644</v>
      </c>
      <c r="H72">
        <v>1500</v>
      </c>
      <c r="I72">
        <v>115.35</v>
      </c>
      <c r="J72">
        <v>86625</v>
      </c>
      <c r="K72">
        <v>72.118899999999996</v>
      </c>
      <c r="L72" s="18">
        <f t="shared" si="1"/>
        <v>86697.118900000001</v>
      </c>
      <c r="M72" s="13" t="str">
        <f>VLOOKUP(G72,Sell!G:L,1,0)</f>
        <v>CROGRE</v>
      </c>
      <c r="N72" s="13">
        <f>IFERROR(VLOOKUP(G72,Sell!G:L,2,0),0)</f>
        <v>1500</v>
      </c>
      <c r="O72" s="12">
        <f>IFERROR(VLOOKUP(G72,Sell!G:L,6,0),0)</f>
        <v>86698.726699999999</v>
      </c>
      <c r="P72" s="13">
        <f t="shared" si="0"/>
        <v>0</v>
      </c>
      <c r="Q72" s="12">
        <f t="shared" si="2"/>
        <v>1.6077999999979511</v>
      </c>
      <c r="R72" s="12">
        <f t="shared" si="3"/>
        <v>1.6077999999979511</v>
      </c>
      <c r="S72" s="12">
        <f t="shared" si="4"/>
        <v>1.6077999999979511</v>
      </c>
      <c r="T72" s="12">
        <f t="shared" si="5"/>
        <v>0</v>
      </c>
      <c r="U72" s="14" t="str">
        <f t="shared" si="6"/>
        <v/>
      </c>
    </row>
    <row r="73" spans="1:21" x14ac:dyDescent="0.25">
      <c r="A73" s="2" t="s">
        <v>665</v>
      </c>
      <c r="B73">
        <v>2900</v>
      </c>
      <c r="C73">
        <v>1160.73</v>
      </c>
      <c r="D73">
        <v>250243.85</v>
      </c>
      <c r="E73">
        <v>210.06739999999999</v>
      </c>
      <c r="G73" s="2" t="s">
        <v>659</v>
      </c>
      <c r="H73">
        <v>12525</v>
      </c>
      <c r="I73">
        <v>1794.42</v>
      </c>
      <c r="J73">
        <v>1804647.0499999998</v>
      </c>
      <c r="K73">
        <v>1375.5247999999999</v>
      </c>
      <c r="L73" s="18">
        <f t="shared" si="1"/>
        <v>1806022.5747999998</v>
      </c>
      <c r="M73" s="13" t="str">
        <f>VLOOKUP(G73,Sell!G:L,1,0)</f>
        <v>YESBAN</v>
      </c>
      <c r="N73" s="13">
        <f>IFERROR(VLOOKUP(G73,Sell!G:L,2,0),0)</f>
        <v>12350</v>
      </c>
      <c r="O73" s="12">
        <f>IFERROR(VLOOKUP(G73,Sell!G:L,6,0),0)</f>
        <v>1801114.6894</v>
      </c>
      <c r="P73" s="13">
        <f t="shared" si="0"/>
        <v>175</v>
      </c>
      <c r="Q73" s="12">
        <f t="shared" si="2"/>
        <v>-4907.8853999997955</v>
      </c>
      <c r="R73" s="12">
        <f t="shared" si="3"/>
        <v>0</v>
      </c>
      <c r="S73" s="12">
        <f t="shared" si="4"/>
        <v>0</v>
      </c>
      <c r="T73" s="12">
        <f t="shared" si="5"/>
        <v>0</v>
      </c>
      <c r="U73" s="14" t="str">
        <f t="shared" si="6"/>
        <v>Open</v>
      </c>
    </row>
    <row r="74" spans="1:21" x14ac:dyDescent="0.25">
      <c r="A74" s="2" t="s">
        <v>677</v>
      </c>
      <c r="B74">
        <v>2050</v>
      </c>
      <c r="C74">
        <v>1524.93</v>
      </c>
      <c r="D74">
        <v>468862.55</v>
      </c>
      <c r="E74">
        <v>359.79670000000004</v>
      </c>
      <c r="G74" s="2" t="s">
        <v>665</v>
      </c>
      <c r="H74">
        <v>2900</v>
      </c>
      <c r="I74">
        <v>1160.73</v>
      </c>
      <c r="J74">
        <v>250243.85</v>
      </c>
      <c r="K74">
        <v>210.06739999999999</v>
      </c>
      <c r="L74" s="18">
        <f t="shared" si="1"/>
        <v>250453.91740000001</v>
      </c>
      <c r="M74" s="13" t="str">
        <f>VLOOKUP(G74,Sell!G:L,1,0)</f>
        <v>DEWHOU</v>
      </c>
      <c r="N74" s="13">
        <f>IFERROR(VLOOKUP(G74,Sell!G:L,2,0),0)</f>
        <v>2900</v>
      </c>
      <c r="O74" s="12">
        <f>IFERROR(VLOOKUP(G74,Sell!G:L,6,0),0)</f>
        <v>249087.56030000001</v>
      </c>
      <c r="P74" s="13">
        <f t="shared" ref="P74:P137" si="7">H74-N74</f>
        <v>0</v>
      </c>
      <c r="Q74" s="12">
        <f t="shared" si="2"/>
        <v>-1366.3570999999938</v>
      </c>
      <c r="R74" s="12">
        <f t="shared" si="3"/>
        <v>-1366.3570999999938</v>
      </c>
      <c r="S74" s="12">
        <f t="shared" si="4"/>
        <v>0</v>
      </c>
      <c r="T74" s="12">
        <f t="shared" si="5"/>
        <v>-1366.3570999999938</v>
      </c>
      <c r="U74" s="14" t="str">
        <f t="shared" si="6"/>
        <v/>
      </c>
    </row>
    <row r="75" spans="1:21" x14ac:dyDescent="0.25">
      <c r="A75" s="2" t="s">
        <v>683</v>
      </c>
      <c r="B75">
        <v>10</v>
      </c>
      <c r="C75">
        <v>111.45</v>
      </c>
      <c r="D75">
        <v>1114.5</v>
      </c>
      <c r="E75">
        <v>34.213500000000003</v>
      </c>
      <c r="G75" s="2" t="s">
        <v>677</v>
      </c>
      <c r="H75">
        <v>2050</v>
      </c>
      <c r="I75">
        <v>1524.93</v>
      </c>
      <c r="J75">
        <v>468862.55</v>
      </c>
      <c r="K75">
        <v>359.79670000000004</v>
      </c>
      <c r="L75" s="18">
        <f t="shared" ref="L75:L138" si="8">J75+K75</f>
        <v>469222.34669999999</v>
      </c>
      <c r="M75" s="13" t="str">
        <f>VLOOKUP(G75,Sell!G:L,1,0)</f>
        <v>KNRCON</v>
      </c>
      <c r="N75" s="13">
        <f>IFERROR(VLOOKUP(G75,Sell!G:L,2,0),0)</f>
        <v>2050</v>
      </c>
      <c r="O75" s="12">
        <f>IFERROR(VLOOKUP(G75,Sell!G:L,6,0),0)</f>
        <v>467398.55149999994</v>
      </c>
      <c r="P75" s="13">
        <f t="shared" si="7"/>
        <v>0</v>
      </c>
      <c r="Q75" s="12">
        <f t="shared" ref="Q75:Q138" si="9">O75-L75</f>
        <v>-1823.7952000000514</v>
      </c>
      <c r="R75" s="12">
        <f t="shared" ref="R75:R138" si="10">IF(P75=0,Q75,0)</f>
        <v>-1823.7952000000514</v>
      </c>
      <c r="S75" s="12">
        <f t="shared" ref="S75:S138" si="11">IF(R75&gt;0,R75,0)</f>
        <v>0</v>
      </c>
      <c r="T75" s="12">
        <f t="shared" ref="T75:T138" si="12">IF(R75&gt;0,0,R75)</f>
        <v>-1823.7952000000514</v>
      </c>
      <c r="U75" s="14" t="str">
        <f t="shared" ref="U75:U138" si="13">IF(AND(LEN(G75)&gt;0,R75=0),"Open","")</f>
        <v/>
      </c>
    </row>
    <row r="76" spans="1:21" x14ac:dyDescent="0.25">
      <c r="A76" s="2" t="s">
        <v>697</v>
      </c>
      <c r="B76">
        <v>1000</v>
      </c>
      <c r="C76">
        <v>39.299999999999997</v>
      </c>
      <c r="D76">
        <v>39300</v>
      </c>
      <c r="E76">
        <v>30.889099999999999</v>
      </c>
      <c r="G76" s="2" t="s">
        <v>683</v>
      </c>
      <c r="H76">
        <v>10</v>
      </c>
      <c r="I76">
        <v>111.45</v>
      </c>
      <c r="J76">
        <v>1114.5</v>
      </c>
      <c r="K76">
        <v>34.213500000000003</v>
      </c>
      <c r="L76" s="18">
        <f t="shared" si="8"/>
        <v>1148.7135000000001</v>
      </c>
      <c r="M76" s="13" t="str">
        <f>VLOOKUP(G76,Sell!G:L,1,0)</f>
        <v>GUJMI</v>
      </c>
      <c r="N76" s="13">
        <f>IFERROR(VLOOKUP(G76,Sell!G:L,2,0),0)</f>
        <v>10</v>
      </c>
      <c r="O76" s="12">
        <f>IFERROR(VLOOKUP(G76,Sell!G:L,6,0),0)</f>
        <v>933.601</v>
      </c>
      <c r="P76" s="13">
        <f t="shared" si="7"/>
        <v>0</v>
      </c>
      <c r="Q76" s="12">
        <f t="shared" si="9"/>
        <v>-215.11250000000007</v>
      </c>
      <c r="R76" s="12">
        <f t="shared" si="10"/>
        <v>-215.11250000000007</v>
      </c>
      <c r="S76" s="12">
        <f t="shared" si="11"/>
        <v>0</v>
      </c>
      <c r="T76" s="12">
        <f t="shared" si="12"/>
        <v>-215.11250000000007</v>
      </c>
      <c r="U76" s="14" t="str">
        <f t="shared" si="13"/>
        <v/>
      </c>
    </row>
    <row r="77" spans="1:21" x14ac:dyDescent="0.25">
      <c r="A77" s="2" t="s">
        <v>706</v>
      </c>
      <c r="B77">
        <v>2000</v>
      </c>
      <c r="C77">
        <v>1431.88</v>
      </c>
      <c r="D77">
        <v>950981.15</v>
      </c>
      <c r="E77">
        <v>595.91890000000001</v>
      </c>
      <c r="G77" s="2" t="s">
        <v>697</v>
      </c>
      <c r="H77">
        <v>1000</v>
      </c>
      <c r="I77">
        <v>39.299999999999997</v>
      </c>
      <c r="J77">
        <v>39300</v>
      </c>
      <c r="K77">
        <v>30.889099999999999</v>
      </c>
      <c r="L77" s="18">
        <f t="shared" si="8"/>
        <v>39330.8891</v>
      </c>
      <c r="M77" s="13" t="str">
        <f>VLOOKUP(G77,Sell!G:L,1,0)</f>
        <v>TV18BR</v>
      </c>
      <c r="N77" s="13">
        <f>IFERROR(VLOOKUP(G77,Sell!G:L,2,0),0)</f>
        <v>1000</v>
      </c>
      <c r="O77" s="12">
        <f>IFERROR(VLOOKUP(G77,Sell!G:L,6,0),0)</f>
        <v>39559.612000000001</v>
      </c>
      <c r="P77" s="13">
        <f t="shared" si="7"/>
        <v>0</v>
      </c>
      <c r="Q77" s="12">
        <f t="shared" si="9"/>
        <v>228.72290000000066</v>
      </c>
      <c r="R77" s="12">
        <f t="shared" si="10"/>
        <v>228.72290000000066</v>
      </c>
      <c r="S77" s="12">
        <f t="shared" si="11"/>
        <v>228.72290000000066</v>
      </c>
      <c r="T77" s="12">
        <f t="shared" si="12"/>
        <v>0</v>
      </c>
      <c r="U77" s="14" t="str">
        <f t="shared" si="13"/>
        <v/>
      </c>
    </row>
    <row r="78" spans="1:21" x14ac:dyDescent="0.25">
      <c r="A78" s="2" t="s">
        <v>738</v>
      </c>
      <c r="B78">
        <v>84100</v>
      </c>
      <c r="C78">
        <v>10654.120000000003</v>
      </c>
      <c r="D78">
        <v>30443414.200000003</v>
      </c>
      <c r="E78">
        <v>19506.021800000002</v>
      </c>
      <c r="G78" s="2" t="s">
        <v>706</v>
      </c>
      <c r="H78">
        <v>2000</v>
      </c>
      <c r="I78">
        <v>1431.88</v>
      </c>
      <c r="J78">
        <v>950981.15</v>
      </c>
      <c r="K78">
        <v>595.91890000000001</v>
      </c>
      <c r="L78" s="18">
        <f t="shared" si="8"/>
        <v>951577.06890000007</v>
      </c>
      <c r="M78" s="13" t="str">
        <f>VLOOKUP(G78,Sell!G:L,1,0)</f>
        <v>BANBAN</v>
      </c>
      <c r="N78" s="13">
        <f>IFERROR(VLOOKUP(G78,Sell!G:L,2,0),0)</f>
        <v>2000</v>
      </c>
      <c r="O78" s="12">
        <f>IFERROR(VLOOKUP(G78,Sell!G:L,6,0),0)</f>
        <v>953106.82949999999</v>
      </c>
      <c r="P78" s="13">
        <f t="shared" si="7"/>
        <v>0</v>
      </c>
      <c r="Q78" s="12">
        <f t="shared" si="9"/>
        <v>1529.7605999999214</v>
      </c>
      <c r="R78" s="12">
        <f t="shared" si="10"/>
        <v>1529.7605999999214</v>
      </c>
      <c r="S78" s="12">
        <f t="shared" si="11"/>
        <v>1529.7605999999214</v>
      </c>
      <c r="T78" s="12">
        <f t="shared" si="12"/>
        <v>0</v>
      </c>
      <c r="U78" s="14" t="str">
        <f t="shared" si="13"/>
        <v/>
      </c>
    </row>
    <row r="79" spans="1:21" x14ac:dyDescent="0.25">
      <c r="A79" s="2" t="s">
        <v>800</v>
      </c>
      <c r="B79">
        <v>5100</v>
      </c>
      <c r="C79">
        <v>975.82999999999993</v>
      </c>
      <c r="D79">
        <v>1629181.3</v>
      </c>
      <c r="E79">
        <v>1028.4155000000001</v>
      </c>
      <c r="G79" s="2" t="s">
        <v>738</v>
      </c>
      <c r="H79">
        <v>84100</v>
      </c>
      <c r="I79">
        <v>10654.120000000003</v>
      </c>
      <c r="J79">
        <v>30443414.200000003</v>
      </c>
      <c r="K79">
        <v>19506.021800000002</v>
      </c>
      <c r="L79" s="18">
        <f t="shared" si="8"/>
        <v>30462920.221800003</v>
      </c>
      <c r="M79" s="13" t="str">
        <f>VLOOKUP(G79,Sell!G:L,1,0)</f>
        <v>ICIBAN</v>
      </c>
      <c r="N79" s="13">
        <f>IFERROR(VLOOKUP(G79,Sell!G:L,2,0),0)</f>
        <v>84100</v>
      </c>
      <c r="O79" s="12">
        <f>IFERROR(VLOOKUP(G79,Sell!G:L,6,0),0)</f>
        <v>30374064.085600004</v>
      </c>
      <c r="P79" s="13">
        <f t="shared" si="7"/>
        <v>0</v>
      </c>
      <c r="Q79" s="12">
        <f t="shared" si="9"/>
        <v>-88856.136199999601</v>
      </c>
      <c r="R79" s="12">
        <f t="shared" si="10"/>
        <v>-88856.136199999601</v>
      </c>
      <c r="S79" s="12">
        <f t="shared" si="11"/>
        <v>0</v>
      </c>
      <c r="T79" s="12">
        <f t="shared" si="12"/>
        <v>-88856.136199999601</v>
      </c>
      <c r="U79" s="14" t="str">
        <f t="shared" si="13"/>
        <v/>
      </c>
    </row>
    <row r="80" spans="1:21" x14ac:dyDescent="0.25">
      <c r="A80" s="2" t="s">
        <v>849</v>
      </c>
      <c r="B80">
        <v>4220</v>
      </c>
      <c r="C80">
        <v>3673.91</v>
      </c>
      <c r="D80">
        <v>854900.39999999991</v>
      </c>
      <c r="E80">
        <v>766.19979999999987</v>
      </c>
      <c r="G80" s="2" t="s">
        <v>800</v>
      </c>
      <c r="H80">
        <v>5100</v>
      </c>
      <c r="I80">
        <v>975.82999999999993</v>
      </c>
      <c r="J80">
        <v>1629181.3</v>
      </c>
      <c r="K80">
        <v>1028.4155000000001</v>
      </c>
      <c r="L80" s="18">
        <f t="shared" si="8"/>
        <v>1630209.7154999999</v>
      </c>
      <c r="M80" s="13" t="str">
        <f>VLOOKUP(G80,Sell!G:L,1,0)</f>
        <v>WIPRO</v>
      </c>
      <c r="N80" s="13">
        <f>IFERROR(VLOOKUP(G80,Sell!G:L,2,0),0)</f>
        <v>5100</v>
      </c>
      <c r="O80" s="12">
        <f>IFERROR(VLOOKUP(G80,Sell!G:L,6,0),0)</f>
        <v>1612870.7508</v>
      </c>
      <c r="P80" s="13">
        <f t="shared" si="7"/>
        <v>0</v>
      </c>
      <c r="Q80" s="12">
        <f t="shared" si="9"/>
        <v>-17338.964699999895</v>
      </c>
      <c r="R80" s="12">
        <f t="shared" si="10"/>
        <v>-17338.964699999895</v>
      </c>
      <c r="S80" s="12">
        <f t="shared" si="11"/>
        <v>0</v>
      </c>
      <c r="T80" s="12">
        <f t="shared" si="12"/>
        <v>-17338.964699999895</v>
      </c>
      <c r="U80" s="14" t="str">
        <f t="shared" si="13"/>
        <v/>
      </c>
    </row>
    <row r="81" spans="1:21" x14ac:dyDescent="0.25">
      <c r="A81" s="2" t="s">
        <v>862</v>
      </c>
      <c r="B81">
        <v>2952</v>
      </c>
      <c r="C81">
        <v>1932</v>
      </c>
      <c r="D81">
        <v>826394.75</v>
      </c>
      <c r="E81">
        <v>593.30779999999993</v>
      </c>
      <c r="G81" s="2" t="s">
        <v>849</v>
      </c>
      <c r="H81">
        <v>4220</v>
      </c>
      <c r="I81">
        <v>3673.91</v>
      </c>
      <c r="J81">
        <v>854900.39999999991</v>
      </c>
      <c r="K81">
        <v>766.19979999999987</v>
      </c>
      <c r="L81" s="18">
        <f t="shared" si="8"/>
        <v>855666.59979999985</v>
      </c>
      <c r="M81" s="13" t="str">
        <f>VLOOKUP(G81,Sell!G:L,1,0)</f>
        <v>JETAIR</v>
      </c>
      <c r="N81" s="13">
        <f>IFERROR(VLOOKUP(G81,Sell!G:L,2,0),0)</f>
        <v>4220</v>
      </c>
      <c r="O81" s="12">
        <f>IFERROR(VLOOKUP(G81,Sell!G:L,6,0),0)</f>
        <v>857170.03609999991</v>
      </c>
      <c r="P81" s="13">
        <f t="shared" si="7"/>
        <v>0</v>
      </c>
      <c r="Q81" s="12">
        <f t="shared" si="9"/>
        <v>1503.4363000000594</v>
      </c>
      <c r="R81" s="12">
        <f t="shared" si="10"/>
        <v>1503.4363000000594</v>
      </c>
      <c r="S81" s="12">
        <f t="shared" si="11"/>
        <v>1503.4363000000594</v>
      </c>
      <c r="T81" s="12">
        <f t="shared" si="12"/>
        <v>0</v>
      </c>
      <c r="U81" s="14" t="str">
        <f t="shared" si="13"/>
        <v/>
      </c>
    </row>
    <row r="82" spans="1:21" x14ac:dyDescent="0.25">
      <c r="A82" s="2" t="s">
        <v>871</v>
      </c>
      <c r="B82">
        <v>6450</v>
      </c>
      <c r="C82">
        <v>1037.6600000000001</v>
      </c>
      <c r="D82">
        <v>1120173.55</v>
      </c>
      <c r="E82">
        <v>793.22899999999993</v>
      </c>
      <c r="G82" s="2" t="s">
        <v>862</v>
      </c>
      <c r="H82">
        <v>2952</v>
      </c>
      <c r="I82">
        <v>1932</v>
      </c>
      <c r="J82">
        <v>826394.75</v>
      </c>
      <c r="K82">
        <v>593.30779999999993</v>
      </c>
      <c r="L82" s="18">
        <f t="shared" si="8"/>
        <v>826988.05779999995</v>
      </c>
      <c r="M82" s="13" t="str">
        <f>VLOOKUP(G82,Sell!G:L,1,0)</f>
        <v>GRUFIN</v>
      </c>
      <c r="N82" s="13">
        <f>IFERROR(VLOOKUP(G82,Sell!G:L,2,0),0)</f>
        <v>2952</v>
      </c>
      <c r="O82" s="12">
        <f>IFERROR(VLOOKUP(G82,Sell!G:L,6,0),0)</f>
        <v>820254.63529999997</v>
      </c>
      <c r="P82" s="13">
        <f t="shared" si="7"/>
        <v>0</v>
      </c>
      <c r="Q82" s="12">
        <f t="shared" si="9"/>
        <v>-6733.422499999986</v>
      </c>
      <c r="R82" s="12">
        <f t="shared" si="10"/>
        <v>-6733.422499999986</v>
      </c>
      <c r="S82" s="12">
        <f t="shared" si="11"/>
        <v>0</v>
      </c>
      <c r="T82" s="12">
        <f t="shared" si="12"/>
        <v>-6733.422499999986</v>
      </c>
      <c r="U82" s="14" t="str">
        <f t="shared" si="13"/>
        <v/>
      </c>
    </row>
    <row r="83" spans="1:21" x14ac:dyDescent="0.25">
      <c r="A83" s="2" t="s">
        <v>888</v>
      </c>
      <c r="B83">
        <v>50</v>
      </c>
      <c r="C83">
        <v>1238</v>
      </c>
      <c r="D83">
        <v>61900</v>
      </c>
      <c r="E83">
        <v>42.5242</v>
      </c>
      <c r="G83" s="2" t="s">
        <v>871</v>
      </c>
      <c r="H83">
        <v>6450</v>
      </c>
      <c r="I83">
        <v>1037.6600000000001</v>
      </c>
      <c r="J83">
        <v>1120173.55</v>
      </c>
      <c r="K83">
        <v>793.22899999999993</v>
      </c>
      <c r="L83" s="18">
        <f t="shared" si="8"/>
        <v>1120966.7790000001</v>
      </c>
      <c r="M83" s="13" t="str">
        <f>VLOOKUP(G83,Sell!G:L,1,0)</f>
        <v>VEDLIM</v>
      </c>
      <c r="N83" s="13">
        <f>IFERROR(VLOOKUP(G83,Sell!G:L,2,0),0)</f>
        <v>6450</v>
      </c>
      <c r="O83" s="12">
        <f>IFERROR(VLOOKUP(G83,Sell!G:L,6,0),0)</f>
        <v>1116089.031</v>
      </c>
      <c r="P83" s="13">
        <f t="shared" si="7"/>
        <v>0</v>
      </c>
      <c r="Q83" s="12">
        <f t="shared" si="9"/>
        <v>-4877.7480000001378</v>
      </c>
      <c r="R83" s="12">
        <f t="shared" si="10"/>
        <v>-4877.7480000001378</v>
      </c>
      <c r="S83" s="12">
        <f t="shared" si="11"/>
        <v>0</v>
      </c>
      <c r="T83" s="12">
        <f t="shared" si="12"/>
        <v>-4877.7480000001378</v>
      </c>
      <c r="U83" s="14" t="str">
        <f t="shared" si="13"/>
        <v/>
      </c>
    </row>
    <row r="84" spans="1:21" x14ac:dyDescent="0.25">
      <c r="A84" s="2" t="s">
        <v>944</v>
      </c>
      <c r="B84">
        <v>1000</v>
      </c>
      <c r="C84">
        <v>54</v>
      </c>
      <c r="D84">
        <v>54000</v>
      </c>
      <c r="E84">
        <v>34.180999999999997</v>
      </c>
      <c r="G84" s="2" t="s">
        <v>888</v>
      </c>
      <c r="H84">
        <v>50</v>
      </c>
      <c r="I84">
        <v>1238</v>
      </c>
      <c r="J84">
        <v>61900</v>
      </c>
      <c r="K84">
        <v>42.5242</v>
      </c>
      <c r="L84" s="18">
        <f t="shared" si="8"/>
        <v>61942.5242</v>
      </c>
      <c r="M84" s="13" t="str">
        <f>VLOOKUP(G84,Sell!G:L,1,0)</f>
        <v>KOTMAH</v>
      </c>
      <c r="N84" s="13">
        <f>IFERROR(VLOOKUP(G84,Sell!G:L,2,0),0)</f>
        <v>50</v>
      </c>
      <c r="O84" s="12">
        <f>IFERROR(VLOOKUP(G84,Sell!G:L,6,0),0)</f>
        <v>60961.9211</v>
      </c>
      <c r="P84" s="13">
        <f t="shared" si="7"/>
        <v>0</v>
      </c>
      <c r="Q84" s="12">
        <f t="shared" si="9"/>
        <v>-980.60310000000027</v>
      </c>
      <c r="R84" s="12">
        <f t="shared" si="10"/>
        <v>-980.60310000000027</v>
      </c>
      <c r="S84" s="12">
        <f t="shared" si="11"/>
        <v>0</v>
      </c>
      <c r="T84" s="12">
        <f t="shared" si="12"/>
        <v>-980.60310000000027</v>
      </c>
      <c r="U84" s="14" t="str">
        <f t="shared" si="13"/>
        <v/>
      </c>
    </row>
    <row r="85" spans="1:21" x14ac:dyDescent="0.25">
      <c r="A85" s="2" t="s">
        <v>981</v>
      </c>
      <c r="B85">
        <v>13034</v>
      </c>
      <c r="C85">
        <v>4702.45</v>
      </c>
      <c r="D85">
        <v>2024280.45</v>
      </c>
      <c r="E85">
        <v>1813.3362000000002</v>
      </c>
      <c r="G85" s="2" t="s">
        <v>944</v>
      </c>
      <c r="H85">
        <v>1000</v>
      </c>
      <c r="I85">
        <v>54</v>
      </c>
      <c r="J85">
        <v>54000</v>
      </c>
      <c r="K85">
        <v>34.180999999999997</v>
      </c>
      <c r="L85" s="18">
        <f t="shared" si="8"/>
        <v>54034.180999999997</v>
      </c>
      <c r="M85" s="13" t="str">
        <f>VLOOKUP(G85,Sell!G:L,1,0)</f>
        <v>NATALU</v>
      </c>
      <c r="N85" s="13">
        <f>IFERROR(VLOOKUP(G85,Sell!G:L,2,0),0)</f>
        <v>1000</v>
      </c>
      <c r="O85" s="12">
        <f>IFERROR(VLOOKUP(G85,Sell!G:L,6,0),0)</f>
        <v>55101.447</v>
      </c>
      <c r="P85" s="13">
        <f t="shared" si="7"/>
        <v>0</v>
      </c>
      <c r="Q85" s="12">
        <f t="shared" si="9"/>
        <v>1067.2660000000033</v>
      </c>
      <c r="R85" s="12">
        <f t="shared" si="10"/>
        <v>1067.2660000000033</v>
      </c>
      <c r="S85" s="12">
        <f t="shared" si="11"/>
        <v>1067.2660000000033</v>
      </c>
      <c r="T85" s="12">
        <f t="shared" si="12"/>
        <v>0</v>
      </c>
      <c r="U85" s="14" t="str">
        <f t="shared" si="13"/>
        <v/>
      </c>
    </row>
    <row r="86" spans="1:21" x14ac:dyDescent="0.25">
      <c r="A86" s="2" t="s">
        <v>1023</v>
      </c>
      <c r="B86">
        <v>30500</v>
      </c>
      <c r="C86">
        <v>169.70000000000002</v>
      </c>
      <c r="D86">
        <v>864450</v>
      </c>
      <c r="E86">
        <v>572.8211</v>
      </c>
      <c r="G86" s="2" t="s">
        <v>981</v>
      </c>
      <c r="H86">
        <v>13034</v>
      </c>
      <c r="I86">
        <v>4702.45</v>
      </c>
      <c r="J86">
        <v>2024280.45</v>
      </c>
      <c r="K86">
        <v>1813.3362000000002</v>
      </c>
      <c r="L86" s="18">
        <f t="shared" si="8"/>
        <v>2026093.7862</v>
      </c>
      <c r="M86" s="13" t="str">
        <f>VLOOKUP(G86,Sell!G:L,1,0)</f>
        <v>INDOIL</v>
      </c>
      <c r="N86" s="13">
        <f>IFERROR(VLOOKUP(G86,Sell!G:L,2,0),0)</f>
        <v>12964</v>
      </c>
      <c r="O86" s="12">
        <f>IFERROR(VLOOKUP(G86,Sell!G:L,6,0),0)</f>
        <v>2019153.7676000001</v>
      </c>
      <c r="P86" s="13">
        <f t="shared" si="7"/>
        <v>70</v>
      </c>
      <c r="Q86" s="12">
        <f t="shared" si="9"/>
        <v>-6940.0185999998357</v>
      </c>
      <c r="R86" s="12">
        <f t="shared" si="10"/>
        <v>0</v>
      </c>
      <c r="S86" s="12">
        <f t="shared" si="11"/>
        <v>0</v>
      </c>
      <c r="T86" s="12">
        <f t="shared" si="12"/>
        <v>0</v>
      </c>
      <c r="U86" s="14" t="str">
        <f t="shared" si="13"/>
        <v>Open</v>
      </c>
    </row>
    <row r="87" spans="1:21" x14ac:dyDescent="0.25">
      <c r="A87" s="2" t="s">
        <v>1034</v>
      </c>
      <c r="B87">
        <v>5100</v>
      </c>
      <c r="C87">
        <v>1042.05</v>
      </c>
      <c r="D87">
        <v>1393150</v>
      </c>
      <c r="E87">
        <v>897.47339999999997</v>
      </c>
      <c r="G87" s="2" t="s">
        <v>1023</v>
      </c>
      <c r="H87">
        <v>30500</v>
      </c>
      <c r="I87">
        <v>169.70000000000002</v>
      </c>
      <c r="J87">
        <v>864450</v>
      </c>
      <c r="K87">
        <v>572.8211</v>
      </c>
      <c r="L87" s="18">
        <f t="shared" si="8"/>
        <v>865022.82109999994</v>
      </c>
      <c r="M87" s="13" t="str">
        <f>VLOOKUP(G87,Sell!G:L,1,0)</f>
        <v>JAIIRR</v>
      </c>
      <c r="N87" s="13">
        <f>IFERROR(VLOOKUP(G87,Sell!G:L,2,0),0)</f>
        <v>30500</v>
      </c>
      <c r="O87" s="12">
        <f>IFERROR(VLOOKUP(G87,Sell!G:L,6,0),0)</f>
        <v>851717.92790000001</v>
      </c>
      <c r="P87" s="13">
        <f t="shared" si="7"/>
        <v>0</v>
      </c>
      <c r="Q87" s="12">
        <f t="shared" si="9"/>
        <v>-13304.893199999933</v>
      </c>
      <c r="R87" s="12">
        <f t="shared" si="10"/>
        <v>-13304.893199999933</v>
      </c>
      <c r="S87" s="12">
        <f t="shared" si="11"/>
        <v>0</v>
      </c>
      <c r="T87" s="12">
        <f t="shared" si="12"/>
        <v>-13304.893199999933</v>
      </c>
      <c r="U87" s="14" t="str">
        <f t="shared" si="13"/>
        <v/>
      </c>
    </row>
    <row r="88" spans="1:21" x14ac:dyDescent="0.25">
      <c r="A88" s="2" t="s">
        <v>1037</v>
      </c>
      <c r="B88">
        <v>800</v>
      </c>
      <c r="C88">
        <v>3694.7</v>
      </c>
      <c r="D88">
        <v>492070</v>
      </c>
      <c r="E88">
        <v>311.20460000000003</v>
      </c>
      <c r="G88" s="2" t="s">
        <v>1034</v>
      </c>
      <c r="H88">
        <v>5100</v>
      </c>
      <c r="I88">
        <v>1042.05</v>
      </c>
      <c r="J88">
        <v>1393150</v>
      </c>
      <c r="K88">
        <v>897.47339999999997</v>
      </c>
      <c r="L88" s="18">
        <f t="shared" si="8"/>
        <v>1394047.4734</v>
      </c>
      <c r="M88" s="13" t="str">
        <f>VLOOKUP(G88,Sell!G:L,1,0)</f>
        <v>CANBAN</v>
      </c>
      <c r="N88" s="13">
        <f>IFERROR(VLOOKUP(G88,Sell!G:L,2,0),0)</f>
        <v>5100</v>
      </c>
      <c r="O88" s="12">
        <f>IFERROR(VLOOKUP(G88,Sell!G:L,6,0),0)</f>
        <v>1386978.0104</v>
      </c>
      <c r="P88" s="13">
        <f t="shared" si="7"/>
        <v>0</v>
      </c>
      <c r="Q88" s="12">
        <f t="shared" si="9"/>
        <v>-7069.4629999999888</v>
      </c>
      <c r="R88" s="12">
        <f t="shared" si="10"/>
        <v>-7069.4629999999888</v>
      </c>
      <c r="S88" s="12">
        <f t="shared" si="11"/>
        <v>0</v>
      </c>
      <c r="T88" s="12">
        <f t="shared" si="12"/>
        <v>-7069.4629999999888</v>
      </c>
      <c r="U88" s="14" t="str">
        <f t="shared" si="13"/>
        <v/>
      </c>
    </row>
    <row r="89" spans="1:21" x14ac:dyDescent="0.25">
      <c r="A89" s="2" t="s">
        <v>1050</v>
      </c>
      <c r="B89">
        <v>300</v>
      </c>
      <c r="C89">
        <v>177.65</v>
      </c>
      <c r="D89">
        <v>53295</v>
      </c>
      <c r="E89">
        <v>65.208600000000004</v>
      </c>
      <c r="G89" s="2" t="s">
        <v>1037</v>
      </c>
      <c r="H89">
        <v>800</v>
      </c>
      <c r="I89">
        <v>3694.7</v>
      </c>
      <c r="J89">
        <v>492070</v>
      </c>
      <c r="K89">
        <v>311.20460000000003</v>
      </c>
      <c r="L89" s="18">
        <f t="shared" si="8"/>
        <v>492381.2046</v>
      </c>
      <c r="M89" s="13" t="str">
        <f>VLOOKUP(G89,Sell!G:L,1,0)</f>
        <v>AURPHA</v>
      </c>
      <c r="N89" s="13">
        <f>IFERROR(VLOOKUP(G89,Sell!G:L,2,0),0)</f>
        <v>800</v>
      </c>
      <c r="O89" s="12">
        <f>IFERROR(VLOOKUP(G89,Sell!G:L,6,0),0)</f>
        <v>488615.87400000001</v>
      </c>
      <c r="P89" s="13">
        <f t="shared" si="7"/>
        <v>0</v>
      </c>
      <c r="Q89" s="12">
        <f t="shared" si="9"/>
        <v>-3765.3305999999866</v>
      </c>
      <c r="R89" s="12">
        <f t="shared" si="10"/>
        <v>-3765.3305999999866</v>
      </c>
      <c r="S89" s="12">
        <f t="shared" si="11"/>
        <v>0</v>
      </c>
      <c r="T89" s="12">
        <f t="shared" si="12"/>
        <v>-3765.3305999999866</v>
      </c>
      <c r="U89" s="14" t="str">
        <f t="shared" si="13"/>
        <v/>
      </c>
    </row>
    <row r="90" spans="1:21" x14ac:dyDescent="0.25">
      <c r="A90" s="2" t="s">
        <v>1054</v>
      </c>
      <c r="B90">
        <v>3200</v>
      </c>
      <c r="C90">
        <v>3374.75</v>
      </c>
      <c r="D90">
        <v>1533174.95</v>
      </c>
      <c r="E90">
        <v>971.48430000000008</v>
      </c>
      <c r="G90" s="2" t="s">
        <v>1050</v>
      </c>
      <c r="H90">
        <v>300</v>
      </c>
      <c r="I90">
        <v>177.65</v>
      </c>
      <c r="J90">
        <v>53295</v>
      </c>
      <c r="K90">
        <v>65.208600000000004</v>
      </c>
      <c r="L90" s="18">
        <f t="shared" si="8"/>
        <v>53360.208599999998</v>
      </c>
      <c r="M90" s="13" t="str">
        <f>VLOOKUP(G90,Sell!G:L,1,0)</f>
        <v>CHAFER</v>
      </c>
      <c r="N90" s="13">
        <f>IFERROR(VLOOKUP(G90,Sell!G:L,2,0),0)</f>
        <v>300</v>
      </c>
      <c r="O90" s="12">
        <f>IFERROR(VLOOKUP(G90,Sell!G:L,6,0),0)</f>
        <v>53525.360399999998</v>
      </c>
      <c r="P90" s="13">
        <f t="shared" si="7"/>
        <v>0</v>
      </c>
      <c r="Q90" s="12">
        <f t="shared" si="9"/>
        <v>165.15179999999964</v>
      </c>
      <c r="R90" s="12">
        <f t="shared" si="10"/>
        <v>165.15179999999964</v>
      </c>
      <c r="S90" s="12">
        <f t="shared" si="11"/>
        <v>165.15179999999964</v>
      </c>
      <c r="T90" s="12">
        <f t="shared" si="12"/>
        <v>0</v>
      </c>
      <c r="U90" s="14" t="str">
        <f t="shared" si="13"/>
        <v/>
      </c>
    </row>
    <row r="91" spans="1:21" x14ac:dyDescent="0.25">
      <c r="A91" s="2" t="s">
        <v>1066</v>
      </c>
      <c r="B91">
        <v>500</v>
      </c>
      <c r="C91">
        <v>58.4</v>
      </c>
      <c r="D91">
        <v>29200</v>
      </c>
      <c r="E91">
        <v>30.741199999999999</v>
      </c>
      <c r="G91" s="2" t="s">
        <v>1054</v>
      </c>
      <c r="H91">
        <v>3200</v>
      </c>
      <c r="I91">
        <v>3374.75</v>
      </c>
      <c r="J91">
        <v>1533174.95</v>
      </c>
      <c r="K91">
        <v>971.48430000000008</v>
      </c>
      <c r="L91" s="18">
        <f t="shared" si="8"/>
        <v>1534146.4342999998</v>
      </c>
      <c r="M91" s="13" t="str">
        <f>VLOOKUP(G91,Sell!G:L,1,0)</f>
        <v>TATSTE</v>
      </c>
      <c r="N91" s="13">
        <f>IFERROR(VLOOKUP(G91,Sell!G:L,2,0),0)</f>
        <v>3200</v>
      </c>
      <c r="O91" s="12">
        <f>IFERROR(VLOOKUP(G91,Sell!G:L,6,0),0)</f>
        <v>1535827.8685000001</v>
      </c>
      <c r="P91" s="13">
        <f t="shared" si="7"/>
        <v>0</v>
      </c>
      <c r="Q91" s="12">
        <f t="shared" si="9"/>
        <v>1681.4342000002507</v>
      </c>
      <c r="R91" s="12">
        <f t="shared" si="10"/>
        <v>1681.4342000002507</v>
      </c>
      <c r="S91" s="12">
        <f t="shared" si="11"/>
        <v>1681.4342000002507</v>
      </c>
      <c r="T91" s="12">
        <f t="shared" si="12"/>
        <v>0</v>
      </c>
      <c r="U91" s="14" t="str">
        <f t="shared" si="13"/>
        <v/>
      </c>
    </row>
    <row r="92" spans="1:21" x14ac:dyDescent="0.25">
      <c r="A92" s="2" t="s">
        <v>1077</v>
      </c>
      <c r="B92">
        <v>500</v>
      </c>
      <c r="C92">
        <v>105.3</v>
      </c>
      <c r="D92">
        <v>52650</v>
      </c>
      <c r="E92">
        <v>33.295499999999997</v>
      </c>
      <c r="G92" s="2" t="s">
        <v>1066</v>
      </c>
      <c r="H92">
        <v>500</v>
      </c>
      <c r="I92">
        <v>58.4</v>
      </c>
      <c r="J92">
        <v>29200</v>
      </c>
      <c r="K92">
        <v>30.741199999999999</v>
      </c>
      <c r="L92" s="18">
        <f t="shared" si="8"/>
        <v>29230.7412</v>
      </c>
      <c r="M92" s="13" t="str">
        <f>VLOOKUP(G92,Sell!G:L,1,0)</f>
        <v>RELINF</v>
      </c>
      <c r="N92" s="13">
        <f>IFERROR(VLOOKUP(G92,Sell!G:L,2,0),0)</f>
        <v>500</v>
      </c>
      <c r="O92" s="12">
        <f>IFERROR(VLOOKUP(G92,Sell!G:L,6,0),0)</f>
        <v>29511.9061</v>
      </c>
      <c r="P92" s="13">
        <f t="shared" si="7"/>
        <v>0</v>
      </c>
      <c r="Q92" s="12">
        <f t="shared" si="9"/>
        <v>281.16489999999976</v>
      </c>
      <c r="R92" s="12">
        <f t="shared" si="10"/>
        <v>281.16489999999976</v>
      </c>
      <c r="S92" s="12">
        <f t="shared" si="11"/>
        <v>281.16489999999976</v>
      </c>
      <c r="T92" s="12">
        <f t="shared" si="12"/>
        <v>0</v>
      </c>
      <c r="U92" s="14" t="str">
        <f t="shared" si="13"/>
        <v/>
      </c>
    </row>
    <row r="93" spans="1:21" x14ac:dyDescent="0.25">
      <c r="A93" s="2" t="s">
        <v>1081</v>
      </c>
      <c r="B93">
        <v>8000</v>
      </c>
      <c r="C93">
        <v>265.2</v>
      </c>
      <c r="D93">
        <v>703700</v>
      </c>
      <c r="E93">
        <v>476.59349999999995</v>
      </c>
      <c r="G93" s="2" t="s">
        <v>1077</v>
      </c>
      <c r="H93">
        <v>500</v>
      </c>
      <c r="I93">
        <v>105.3</v>
      </c>
      <c r="J93">
        <v>52650</v>
      </c>
      <c r="K93">
        <v>33.295499999999997</v>
      </c>
      <c r="L93" s="18">
        <f t="shared" si="8"/>
        <v>52683.2955</v>
      </c>
      <c r="M93" s="13" t="str">
        <f>VLOOKUP(G93,Sell!G:L,1,0)</f>
        <v>NATMIN</v>
      </c>
      <c r="N93" s="13">
        <f>IFERROR(VLOOKUP(G93,Sell!G:L,2,0),0)</f>
        <v>500</v>
      </c>
      <c r="O93" s="12">
        <f>IFERROR(VLOOKUP(G93,Sell!G:L,6,0),0)</f>
        <v>52203.838900000002</v>
      </c>
      <c r="P93" s="13">
        <f t="shared" si="7"/>
        <v>0</v>
      </c>
      <c r="Q93" s="12">
        <f t="shared" si="9"/>
        <v>-479.45659999999771</v>
      </c>
      <c r="R93" s="12">
        <f t="shared" si="10"/>
        <v>-479.45659999999771</v>
      </c>
      <c r="S93" s="12">
        <f t="shared" si="11"/>
        <v>0</v>
      </c>
      <c r="T93" s="12">
        <f t="shared" si="12"/>
        <v>-479.45659999999771</v>
      </c>
      <c r="U93" s="14" t="str">
        <f t="shared" si="13"/>
        <v/>
      </c>
    </row>
    <row r="94" spans="1:21" x14ac:dyDescent="0.25">
      <c r="A94" s="2" t="s">
        <v>1086</v>
      </c>
      <c r="B94">
        <v>25500</v>
      </c>
      <c r="C94">
        <v>967.40000000000009</v>
      </c>
      <c r="D94">
        <v>1646539.55</v>
      </c>
      <c r="E94">
        <v>1187.1091000000001</v>
      </c>
      <c r="G94" s="2" t="s">
        <v>1081</v>
      </c>
      <c r="H94">
        <v>8000</v>
      </c>
      <c r="I94">
        <v>265.2</v>
      </c>
      <c r="J94">
        <v>703700</v>
      </c>
      <c r="K94">
        <v>476.59349999999995</v>
      </c>
      <c r="L94" s="18">
        <f t="shared" si="8"/>
        <v>704176.59349999996</v>
      </c>
      <c r="M94" s="13" t="str">
        <f>VLOOKUP(G94,Sell!G:L,1,0)</f>
        <v>BANIND</v>
      </c>
      <c r="N94" s="13">
        <f>IFERROR(VLOOKUP(G94,Sell!G:L,2,0),0)</f>
        <v>8000</v>
      </c>
      <c r="O94" s="12">
        <f>IFERROR(VLOOKUP(G94,Sell!G:L,6,0),0)</f>
        <v>705545.1568</v>
      </c>
      <c r="P94" s="13">
        <f t="shared" si="7"/>
        <v>0</v>
      </c>
      <c r="Q94" s="12">
        <f t="shared" si="9"/>
        <v>1368.563300000038</v>
      </c>
      <c r="R94" s="12">
        <f t="shared" si="10"/>
        <v>1368.563300000038</v>
      </c>
      <c r="S94" s="12">
        <f t="shared" si="11"/>
        <v>1368.563300000038</v>
      </c>
      <c r="T94" s="12">
        <f t="shared" si="12"/>
        <v>0</v>
      </c>
      <c r="U94" s="14" t="str">
        <f t="shared" si="13"/>
        <v/>
      </c>
    </row>
    <row r="95" spans="1:21" x14ac:dyDescent="0.25">
      <c r="A95" s="2" t="s">
        <v>1091</v>
      </c>
      <c r="B95">
        <v>100</v>
      </c>
      <c r="C95">
        <v>329</v>
      </c>
      <c r="D95">
        <v>32900</v>
      </c>
      <c r="E95">
        <v>30.894400000000001</v>
      </c>
      <c r="G95" s="2" t="s">
        <v>1086</v>
      </c>
      <c r="H95">
        <v>25500</v>
      </c>
      <c r="I95">
        <v>967.40000000000009</v>
      </c>
      <c r="J95">
        <v>1646539.55</v>
      </c>
      <c r="K95">
        <v>1187.1091000000001</v>
      </c>
      <c r="L95" s="18">
        <f t="shared" si="8"/>
        <v>1647726.6591</v>
      </c>
      <c r="M95" s="13" t="str">
        <f>VLOOKUP(G95,Sell!G:L,1,0)</f>
        <v>NAGCON</v>
      </c>
      <c r="N95" s="13">
        <f>IFERROR(VLOOKUP(G95,Sell!G:L,2,0),0)</f>
        <v>25500</v>
      </c>
      <c r="O95" s="12">
        <f>IFERROR(VLOOKUP(G95,Sell!G:L,6,0),0)</f>
        <v>1624896.3768</v>
      </c>
      <c r="P95" s="13">
        <f t="shared" si="7"/>
        <v>0</v>
      </c>
      <c r="Q95" s="12">
        <f t="shared" si="9"/>
        <v>-22830.282300000079</v>
      </c>
      <c r="R95" s="12">
        <f t="shared" si="10"/>
        <v>-22830.282300000079</v>
      </c>
      <c r="S95" s="12">
        <f t="shared" si="11"/>
        <v>0</v>
      </c>
      <c r="T95" s="12">
        <f t="shared" si="12"/>
        <v>-22830.282300000079</v>
      </c>
      <c r="U95" s="14" t="str">
        <f t="shared" si="13"/>
        <v/>
      </c>
    </row>
    <row r="96" spans="1:21" x14ac:dyDescent="0.25">
      <c r="A96" s="2" t="s">
        <v>1096</v>
      </c>
      <c r="B96">
        <v>10</v>
      </c>
      <c r="C96">
        <v>3536</v>
      </c>
      <c r="D96">
        <v>35360</v>
      </c>
      <c r="E96">
        <v>31.003</v>
      </c>
      <c r="G96" s="2" t="s">
        <v>1091</v>
      </c>
      <c r="H96">
        <v>100</v>
      </c>
      <c r="I96">
        <v>329</v>
      </c>
      <c r="J96">
        <v>32900</v>
      </c>
      <c r="K96">
        <v>30.894400000000001</v>
      </c>
      <c r="L96" s="18">
        <f t="shared" si="8"/>
        <v>32930.894399999997</v>
      </c>
      <c r="M96" s="13" t="str">
        <f>VLOOKUP(G96,Sell!G:L,1,0)</f>
        <v>BERPAI</v>
      </c>
      <c r="N96" s="13">
        <f>IFERROR(VLOOKUP(G96,Sell!G:L,2,0),0)</f>
        <v>100</v>
      </c>
      <c r="O96" s="12">
        <f>IFERROR(VLOOKUP(G96,Sell!G:L,6,0),0)</f>
        <v>32684.202000000001</v>
      </c>
      <c r="P96" s="13">
        <f t="shared" si="7"/>
        <v>0</v>
      </c>
      <c r="Q96" s="12">
        <f t="shared" si="9"/>
        <v>-246.69239999999627</v>
      </c>
      <c r="R96" s="12">
        <f t="shared" si="10"/>
        <v>-246.69239999999627</v>
      </c>
      <c r="S96" s="12">
        <f t="shared" si="11"/>
        <v>0</v>
      </c>
      <c r="T96" s="12">
        <f t="shared" si="12"/>
        <v>-246.69239999999627</v>
      </c>
      <c r="U96" s="14" t="str">
        <f t="shared" si="13"/>
        <v/>
      </c>
    </row>
    <row r="97" spans="1:21" x14ac:dyDescent="0.25">
      <c r="A97" s="2" t="s">
        <v>1098</v>
      </c>
      <c r="B97">
        <v>100</v>
      </c>
      <c r="C97">
        <v>1340</v>
      </c>
      <c r="D97">
        <v>134000</v>
      </c>
      <c r="E97">
        <v>84.754000000000005</v>
      </c>
      <c r="G97" s="2" t="s">
        <v>1096</v>
      </c>
      <c r="H97">
        <v>10</v>
      </c>
      <c r="I97">
        <v>3536</v>
      </c>
      <c r="J97">
        <v>35360</v>
      </c>
      <c r="K97">
        <v>31.003</v>
      </c>
      <c r="L97" s="18">
        <f t="shared" si="8"/>
        <v>35391.002999999997</v>
      </c>
      <c r="M97" s="13" t="str">
        <f>VLOOKUP(G97,Sell!G:L,1,0)</f>
        <v>BAJFI</v>
      </c>
      <c r="N97" s="13">
        <f>IFERROR(VLOOKUP(G97,Sell!G:L,2,0),0)</f>
        <v>10</v>
      </c>
      <c r="O97" s="12">
        <f>IFERROR(VLOOKUP(G97,Sell!G:L,6,0),0)</f>
        <v>35070.196000000004</v>
      </c>
      <c r="P97" s="13">
        <f t="shared" si="7"/>
        <v>0</v>
      </c>
      <c r="Q97" s="12">
        <f t="shared" si="9"/>
        <v>-320.80699999999342</v>
      </c>
      <c r="R97" s="12">
        <f t="shared" si="10"/>
        <v>-320.80699999999342</v>
      </c>
      <c r="S97" s="12">
        <f t="shared" si="11"/>
        <v>0</v>
      </c>
      <c r="T97" s="12">
        <f t="shared" si="12"/>
        <v>-320.80699999999342</v>
      </c>
      <c r="U97" s="14" t="str">
        <f t="shared" si="13"/>
        <v/>
      </c>
    </row>
    <row r="98" spans="1:21" x14ac:dyDescent="0.25">
      <c r="A98" s="2" t="s">
        <v>1101</v>
      </c>
      <c r="B98">
        <v>100</v>
      </c>
      <c r="C98">
        <v>410</v>
      </c>
      <c r="D98">
        <v>41000</v>
      </c>
      <c r="E98">
        <v>31.245999999999999</v>
      </c>
      <c r="G98" s="2" t="s">
        <v>1098</v>
      </c>
      <c r="H98">
        <v>100</v>
      </c>
      <c r="I98">
        <v>1340</v>
      </c>
      <c r="J98">
        <v>134000</v>
      </c>
      <c r="K98">
        <v>84.754000000000005</v>
      </c>
      <c r="L98" s="18">
        <f t="shared" si="8"/>
        <v>134084.75399999999</v>
      </c>
      <c r="M98" s="13" t="str">
        <f>VLOOKUP(G98,Sell!G:L,1,0)</f>
        <v>NIITEC</v>
      </c>
      <c r="N98" s="13">
        <f>IFERROR(VLOOKUP(G98,Sell!G:L,2,0),0)</f>
        <v>100</v>
      </c>
      <c r="O98" s="12">
        <f>IFERROR(VLOOKUP(G98,Sell!G:L,6,0),0)</f>
        <v>134231.4933</v>
      </c>
      <c r="P98" s="13">
        <f t="shared" si="7"/>
        <v>0</v>
      </c>
      <c r="Q98" s="12">
        <f t="shared" si="9"/>
        <v>146.73930000001565</v>
      </c>
      <c r="R98" s="12">
        <f t="shared" si="10"/>
        <v>146.73930000001565</v>
      </c>
      <c r="S98" s="12">
        <f t="shared" si="11"/>
        <v>146.73930000001565</v>
      </c>
      <c r="T98" s="12">
        <f t="shared" si="12"/>
        <v>0</v>
      </c>
      <c r="U98" s="14" t="str">
        <f t="shared" si="13"/>
        <v/>
      </c>
    </row>
    <row r="99" spans="1:21" x14ac:dyDescent="0.25">
      <c r="A99" s="2" t="s">
        <v>1105</v>
      </c>
      <c r="B99">
        <v>350</v>
      </c>
      <c r="C99">
        <v>3584</v>
      </c>
      <c r="D99">
        <v>312035</v>
      </c>
      <c r="E99">
        <v>205.80330000000001</v>
      </c>
      <c r="G99" s="2" t="s">
        <v>1101</v>
      </c>
      <c r="H99">
        <v>100</v>
      </c>
      <c r="I99">
        <v>410</v>
      </c>
      <c r="J99">
        <v>41000</v>
      </c>
      <c r="K99">
        <v>31.245999999999999</v>
      </c>
      <c r="L99" s="18">
        <f t="shared" si="8"/>
        <v>41031.245999999999</v>
      </c>
      <c r="M99" s="13" t="str">
        <f>VLOOKUP(G99,Sell!G:L,1,0)</f>
        <v>DABIND</v>
      </c>
      <c r="N99" s="13">
        <f>IFERROR(VLOOKUP(G99,Sell!G:L,2,0),0)</f>
        <v>100</v>
      </c>
      <c r="O99" s="12">
        <f>IFERROR(VLOOKUP(G99,Sell!G:L,6,0),0)</f>
        <v>41158.466800000002</v>
      </c>
      <c r="P99" s="13">
        <f t="shared" si="7"/>
        <v>0</v>
      </c>
      <c r="Q99" s="12">
        <f t="shared" si="9"/>
        <v>127.22080000000278</v>
      </c>
      <c r="R99" s="12">
        <f t="shared" si="10"/>
        <v>127.22080000000278</v>
      </c>
      <c r="S99" s="12">
        <f t="shared" si="11"/>
        <v>127.22080000000278</v>
      </c>
      <c r="T99" s="12">
        <f t="shared" si="12"/>
        <v>0</v>
      </c>
      <c r="U99" s="14" t="str">
        <f t="shared" si="13"/>
        <v/>
      </c>
    </row>
    <row r="100" spans="1:21" x14ac:dyDescent="0.25">
      <c r="A100" s="2" t="s">
        <v>1107</v>
      </c>
      <c r="B100">
        <v>590</v>
      </c>
      <c r="C100">
        <v>189</v>
      </c>
      <c r="D100">
        <v>111510</v>
      </c>
      <c r="E100">
        <v>97.5244</v>
      </c>
      <c r="G100" s="2" t="s">
        <v>1105</v>
      </c>
      <c r="H100">
        <v>350</v>
      </c>
      <c r="I100">
        <v>3584</v>
      </c>
      <c r="J100">
        <v>312035</v>
      </c>
      <c r="K100">
        <v>205.80330000000001</v>
      </c>
      <c r="L100" s="18">
        <f t="shared" si="8"/>
        <v>312240.80330000003</v>
      </c>
      <c r="M100" s="13" t="str">
        <f>VLOOKUP(G100,Sell!G:L,1,0)</f>
        <v>CEAT</v>
      </c>
      <c r="N100" s="13">
        <f>IFERROR(VLOOKUP(G100,Sell!G:L,2,0),0)</f>
        <v>350</v>
      </c>
      <c r="O100" s="12">
        <f>IFERROR(VLOOKUP(G100,Sell!G:L,6,0),0)</f>
        <v>312142.53249999997</v>
      </c>
      <c r="P100" s="13">
        <f t="shared" si="7"/>
        <v>0</v>
      </c>
      <c r="Q100" s="12">
        <f t="shared" si="9"/>
        <v>-98.270800000056624</v>
      </c>
      <c r="R100" s="12">
        <f t="shared" si="10"/>
        <v>-98.270800000056624</v>
      </c>
      <c r="S100" s="12">
        <f t="shared" si="11"/>
        <v>0</v>
      </c>
      <c r="T100" s="12">
        <f t="shared" si="12"/>
        <v>-98.270800000056624</v>
      </c>
      <c r="U100" s="14" t="str">
        <f t="shared" si="13"/>
        <v/>
      </c>
    </row>
    <row r="101" spans="1:21" x14ac:dyDescent="0.25">
      <c r="A101" s="2" t="s">
        <v>1109</v>
      </c>
      <c r="B101">
        <v>400</v>
      </c>
      <c r="C101">
        <v>315.27999999999997</v>
      </c>
      <c r="D101">
        <v>63055.6</v>
      </c>
      <c r="E101">
        <v>61.690200000000004</v>
      </c>
      <c r="G101" s="2" t="s">
        <v>1107</v>
      </c>
      <c r="H101">
        <v>590</v>
      </c>
      <c r="I101">
        <v>189</v>
      </c>
      <c r="J101">
        <v>111510</v>
      </c>
      <c r="K101">
        <v>97.5244</v>
      </c>
      <c r="L101" s="18">
        <f t="shared" si="8"/>
        <v>111607.52439999999</v>
      </c>
      <c r="M101" s="13" t="str">
        <f>VLOOKUP(G101,Sell!G:L,1,0)</f>
        <v>DLFLIM</v>
      </c>
      <c r="N101" s="13">
        <f>IFERROR(VLOOKUP(G101,Sell!G:L,2,0),0)</f>
        <v>590</v>
      </c>
      <c r="O101" s="12">
        <f>IFERROR(VLOOKUP(G101,Sell!G:L,6,0),0)</f>
        <v>109937.86870000001</v>
      </c>
      <c r="P101" s="13">
        <f t="shared" si="7"/>
        <v>0</v>
      </c>
      <c r="Q101" s="12">
        <f t="shared" si="9"/>
        <v>-1669.6556999999884</v>
      </c>
      <c r="R101" s="12">
        <f t="shared" si="10"/>
        <v>-1669.6556999999884</v>
      </c>
      <c r="S101" s="12">
        <f t="shared" si="11"/>
        <v>0</v>
      </c>
      <c r="T101" s="12">
        <f t="shared" si="12"/>
        <v>-1669.6556999999884</v>
      </c>
      <c r="U101" s="14" t="str">
        <f t="shared" si="13"/>
        <v/>
      </c>
    </row>
    <row r="102" spans="1:21" x14ac:dyDescent="0.25">
      <c r="A102" s="2" t="s">
        <v>1115</v>
      </c>
      <c r="B102">
        <v>574</v>
      </c>
      <c r="C102">
        <v>301.25</v>
      </c>
      <c r="D102">
        <v>86618.5</v>
      </c>
      <c r="E102">
        <v>77.718199999999996</v>
      </c>
      <c r="G102" s="2" t="s">
        <v>1109</v>
      </c>
      <c r="H102">
        <v>400</v>
      </c>
      <c r="I102">
        <v>315.27999999999997</v>
      </c>
      <c r="J102">
        <v>63055.6</v>
      </c>
      <c r="K102">
        <v>61.690200000000004</v>
      </c>
      <c r="L102" s="18">
        <f t="shared" si="8"/>
        <v>63117.290199999996</v>
      </c>
      <c r="M102" s="13" t="str">
        <f>VLOOKUP(G102,Sell!G:L,1,0)</f>
        <v>JINSP</v>
      </c>
      <c r="N102" s="13">
        <f>IFERROR(VLOOKUP(G102,Sell!G:L,2,0),0)</f>
        <v>400</v>
      </c>
      <c r="O102" s="12">
        <f>IFERROR(VLOOKUP(G102,Sell!G:L,6,0),0)</f>
        <v>62822.585599999999</v>
      </c>
      <c r="P102" s="13">
        <f t="shared" si="7"/>
        <v>0</v>
      </c>
      <c r="Q102" s="12">
        <f t="shared" si="9"/>
        <v>-294.7045999999973</v>
      </c>
      <c r="R102" s="12">
        <f t="shared" si="10"/>
        <v>-294.7045999999973</v>
      </c>
      <c r="S102" s="12">
        <f t="shared" si="11"/>
        <v>0</v>
      </c>
      <c r="T102" s="12">
        <f t="shared" si="12"/>
        <v>-294.7045999999973</v>
      </c>
      <c r="U102" s="14" t="str">
        <f t="shared" si="13"/>
        <v/>
      </c>
    </row>
    <row r="103" spans="1:21" x14ac:dyDescent="0.25">
      <c r="A103" s="2" t="s">
        <v>1121</v>
      </c>
      <c r="B103">
        <v>325</v>
      </c>
      <c r="C103">
        <v>4880.5</v>
      </c>
      <c r="D103">
        <v>530362.5</v>
      </c>
      <c r="E103">
        <v>340.52930000000003</v>
      </c>
      <c r="G103" s="2" t="s">
        <v>1115</v>
      </c>
      <c r="H103">
        <v>574</v>
      </c>
      <c r="I103">
        <v>301.25</v>
      </c>
      <c r="J103">
        <v>86618.5</v>
      </c>
      <c r="K103">
        <v>77.718199999999996</v>
      </c>
      <c r="L103" s="18">
        <f t="shared" si="8"/>
        <v>86696.218200000003</v>
      </c>
      <c r="M103" s="13" t="str">
        <f>VLOOKUP(G103,Sell!G:L,1,0)</f>
        <v>RURELE</v>
      </c>
      <c r="N103" s="13">
        <f>IFERROR(VLOOKUP(G103,Sell!G:L,2,0),0)</f>
        <v>574</v>
      </c>
      <c r="O103" s="12">
        <f>IFERROR(VLOOKUP(G103,Sell!G:L,6,0),0)</f>
        <v>87202.837</v>
      </c>
      <c r="P103" s="13">
        <f t="shared" si="7"/>
        <v>0</v>
      </c>
      <c r="Q103" s="12">
        <f t="shared" si="9"/>
        <v>506.61879999999655</v>
      </c>
      <c r="R103" s="12">
        <f t="shared" si="10"/>
        <v>506.61879999999655</v>
      </c>
      <c r="S103" s="12">
        <f t="shared" si="11"/>
        <v>506.61879999999655</v>
      </c>
      <c r="T103" s="12">
        <f t="shared" si="12"/>
        <v>0</v>
      </c>
      <c r="U103" s="14" t="str">
        <f t="shared" si="13"/>
        <v/>
      </c>
    </row>
    <row r="104" spans="1:21" x14ac:dyDescent="0.25">
      <c r="A104" s="2" t="s">
        <v>1128</v>
      </c>
      <c r="B104">
        <v>1500</v>
      </c>
      <c r="C104">
        <v>244.65</v>
      </c>
      <c r="D104">
        <v>177900</v>
      </c>
      <c r="E104">
        <v>112.50449999999999</v>
      </c>
      <c r="G104" s="2" t="s">
        <v>1121</v>
      </c>
      <c r="H104">
        <v>325</v>
      </c>
      <c r="I104">
        <v>4880.5</v>
      </c>
      <c r="J104">
        <v>530362.5</v>
      </c>
      <c r="K104">
        <v>340.52930000000003</v>
      </c>
      <c r="L104" s="18">
        <f t="shared" si="8"/>
        <v>530703.02930000005</v>
      </c>
      <c r="M104" s="13" t="str">
        <f>VLOOKUP(G104,Sell!G:L,1,0)</f>
        <v>ACC</v>
      </c>
      <c r="N104" s="13">
        <f>IFERROR(VLOOKUP(G104,Sell!G:L,2,0),0)</f>
        <v>325</v>
      </c>
      <c r="O104" s="12">
        <f>IFERROR(VLOOKUP(G104,Sell!G:L,6,0),0)</f>
        <v>530264.63470000005</v>
      </c>
      <c r="P104" s="13">
        <f t="shared" si="7"/>
        <v>0</v>
      </c>
      <c r="Q104" s="12">
        <f t="shared" si="9"/>
        <v>-438.39459999999963</v>
      </c>
      <c r="R104" s="12">
        <f t="shared" si="10"/>
        <v>-438.39459999999963</v>
      </c>
      <c r="S104" s="12">
        <f t="shared" si="11"/>
        <v>0</v>
      </c>
      <c r="T104" s="12">
        <f t="shared" si="12"/>
        <v>-438.39459999999963</v>
      </c>
      <c r="U104" s="14" t="str">
        <f t="shared" si="13"/>
        <v/>
      </c>
    </row>
    <row r="105" spans="1:21" x14ac:dyDescent="0.25">
      <c r="A105" s="2" t="s">
        <v>1131</v>
      </c>
      <c r="B105">
        <v>1500</v>
      </c>
      <c r="C105">
        <v>1883.27</v>
      </c>
      <c r="D105">
        <v>561614.1</v>
      </c>
      <c r="E105">
        <v>369.46820000000002</v>
      </c>
      <c r="G105" s="2" t="s">
        <v>1128</v>
      </c>
      <c r="H105">
        <v>1500</v>
      </c>
      <c r="I105">
        <v>244.65</v>
      </c>
      <c r="J105">
        <v>177900</v>
      </c>
      <c r="K105">
        <v>112.50449999999999</v>
      </c>
      <c r="L105" s="18">
        <f t="shared" si="8"/>
        <v>178012.50450000001</v>
      </c>
      <c r="M105" s="13" t="str">
        <f>VLOOKUP(G105,Sell!G:L,1,0)</f>
        <v>POWFIN</v>
      </c>
      <c r="N105" s="13">
        <f>IFERROR(VLOOKUP(G105,Sell!G:L,2,0),0)</f>
        <v>1500</v>
      </c>
      <c r="O105" s="12">
        <f>IFERROR(VLOOKUP(G105,Sell!G:L,6,0),0)</f>
        <v>179791.6219</v>
      </c>
      <c r="P105" s="13">
        <f t="shared" si="7"/>
        <v>0</v>
      </c>
      <c r="Q105" s="12">
        <f t="shared" si="9"/>
        <v>1779.1173999999883</v>
      </c>
      <c r="R105" s="12">
        <f t="shared" si="10"/>
        <v>1779.1173999999883</v>
      </c>
      <c r="S105" s="12">
        <f t="shared" si="11"/>
        <v>1779.1173999999883</v>
      </c>
      <c r="T105" s="12">
        <f t="shared" si="12"/>
        <v>0</v>
      </c>
      <c r="U105" s="14" t="str">
        <f t="shared" si="13"/>
        <v/>
      </c>
    </row>
    <row r="106" spans="1:21" x14ac:dyDescent="0.25">
      <c r="A106" s="2" t="s">
        <v>1136</v>
      </c>
      <c r="B106">
        <v>300</v>
      </c>
      <c r="C106">
        <v>238.6</v>
      </c>
      <c r="D106">
        <v>71580</v>
      </c>
      <c r="E106">
        <v>127.167</v>
      </c>
      <c r="G106" s="2" t="s">
        <v>1131</v>
      </c>
      <c r="H106">
        <v>1500</v>
      </c>
      <c r="I106">
        <v>1883.27</v>
      </c>
      <c r="J106">
        <v>561614.1</v>
      </c>
      <c r="K106">
        <v>369.46820000000002</v>
      </c>
      <c r="L106" s="18">
        <f t="shared" si="8"/>
        <v>561983.56819999998</v>
      </c>
      <c r="M106" s="13" t="str">
        <f>VLOOKUP(G106,Sell!G:L,1,0)</f>
        <v>MARLIM</v>
      </c>
      <c r="N106" s="13">
        <f>IFERROR(VLOOKUP(G106,Sell!G:L,2,0),0)</f>
        <v>1500</v>
      </c>
      <c r="O106" s="12">
        <f>IFERROR(VLOOKUP(G106,Sell!G:L,6,0),0)</f>
        <v>563127.87919999997</v>
      </c>
      <c r="P106" s="13">
        <f t="shared" si="7"/>
        <v>0</v>
      </c>
      <c r="Q106" s="12">
        <f t="shared" si="9"/>
        <v>1144.310999999987</v>
      </c>
      <c r="R106" s="12">
        <f t="shared" si="10"/>
        <v>1144.310999999987</v>
      </c>
      <c r="S106" s="12">
        <f t="shared" si="11"/>
        <v>1144.310999999987</v>
      </c>
      <c r="T106" s="12">
        <f t="shared" si="12"/>
        <v>0</v>
      </c>
      <c r="U106" s="14" t="str">
        <f t="shared" si="13"/>
        <v/>
      </c>
    </row>
    <row r="107" spans="1:21" x14ac:dyDescent="0.25">
      <c r="A107" s="2" t="s">
        <v>1147</v>
      </c>
      <c r="B107">
        <v>1850</v>
      </c>
      <c r="C107">
        <v>830.9</v>
      </c>
      <c r="D107">
        <v>358950</v>
      </c>
      <c r="E107">
        <v>1873.4175</v>
      </c>
      <c r="G107" s="2" t="s">
        <v>1136</v>
      </c>
      <c r="H107">
        <v>300</v>
      </c>
      <c r="I107">
        <v>238.6</v>
      </c>
      <c r="J107">
        <v>71580</v>
      </c>
      <c r="K107">
        <v>127.167</v>
      </c>
      <c r="L107" s="18">
        <f t="shared" si="8"/>
        <v>71707.167000000001</v>
      </c>
      <c r="M107" s="13" t="str">
        <f>VLOOKUP(G107,Sell!G:L,1,0)</f>
        <v>DCB</v>
      </c>
      <c r="N107" s="13">
        <f>IFERROR(VLOOKUP(G107,Sell!G:L,2,0),0)</f>
        <v>300</v>
      </c>
      <c r="O107" s="12">
        <f>IFERROR(VLOOKUP(G107,Sell!G:L,6,0),0)</f>
        <v>71630.0383</v>
      </c>
      <c r="P107" s="13">
        <f t="shared" si="7"/>
        <v>0</v>
      </c>
      <c r="Q107" s="12">
        <f t="shared" si="9"/>
        <v>-77.128700000001118</v>
      </c>
      <c r="R107" s="12">
        <f t="shared" si="10"/>
        <v>-77.128700000001118</v>
      </c>
      <c r="S107" s="12">
        <f t="shared" si="11"/>
        <v>0</v>
      </c>
      <c r="T107" s="12">
        <f t="shared" si="12"/>
        <v>-77.128700000001118</v>
      </c>
      <c r="U107" s="14" t="str">
        <f t="shared" si="13"/>
        <v/>
      </c>
    </row>
    <row r="108" spans="1:21" x14ac:dyDescent="0.25">
      <c r="A108" s="2" t="s">
        <v>1153</v>
      </c>
      <c r="B108">
        <v>100</v>
      </c>
      <c r="C108">
        <v>1095.9000000000001</v>
      </c>
      <c r="D108">
        <v>109590.35</v>
      </c>
      <c r="E108">
        <v>69.295299999999997</v>
      </c>
      <c r="G108" s="2" t="s">
        <v>1147</v>
      </c>
      <c r="H108">
        <v>1850</v>
      </c>
      <c r="I108">
        <v>830.9</v>
      </c>
      <c r="J108">
        <v>358950</v>
      </c>
      <c r="K108">
        <v>1873.4175</v>
      </c>
      <c r="L108" s="18">
        <f t="shared" si="8"/>
        <v>360823.41749999998</v>
      </c>
      <c r="M108" s="13" t="str">
        <f>VLOOKUP(G108,Sell!G:L,1,0)</f>
        <v>COALIN</v>
      </c>
      <c r="N108" s="13">
        <f>IFERROR(VLOOKUP(G108,Sell!G:L,2,0),0)</f>
        <v>1850</v>
      </c>
      <c r="O108" s="12">
        <f>IFERROR(VLOOKUP(G108,Sell!G:L,6,0),0)</f>
        <v>352163.20890000003</v>
      </c>
      <c r="P108" s="13">
        <f t="shared" si="7"/>
        <v>0</v>
      </c>
      <c r="Q108" s="12">
        <f t="shared" si="9"/>
        <v>-8660.2085999999545</v>
      </c>
      <c r="R108" s="12">
        <f t="shared" si="10"/>
        <v>-8660.2085999999545</v>
      </c>
      <c r="S108" s="12">
        <f t="shared" si="11"/>
        <v>0</v>
      </c>
      <c r="T108" s="12">
        <f t="shared" si="12"/>
        <v>-8660.2085999999545</v>
      </c>
      <c r="U108" s="14" t="str">
        <f t="shared" si="13"/>
        <v/>
      </c>
    </row>
    <row r="109" spans="1:21" x14ac:dyDescent="0.25">
      <c r="A109" s="2" t="s">
        <v>1156</v>
      </c>
      <c r="B109">
        <v>43775</v>
      </c>
      <c r="C109">
        <v>1032.1300000000001</v>
      </c>
      <c r="D109">
        <v>2790684</v>
      </c>
      <c r="E109">
        <v>1781.5633999999998</v>
      </c>
      <c r="G109" s="2" t="s">
        <v>1153</v>
      </c>
      <c r="H109">
        <v>100</v>
      </c>
      <c r="I109">
        <v>1095.9000000000001</v>
      </c>
      <c r="J109">
        <v>109590.35</v>
      </c>
      <c r="K109">
        <v>69.295299999999997</v>
      </c>
      <c r="L109" s="18">
        <f t="shared" si="8"/>
        <v>109659.6453</v>
      </c>
      <c r="M109" s="13" t="str">
        <f>VLOOKUP(G109,Sell!G:L,1,0)</f>
        <v>HCLTEC</v>
      </c>
      <c r="N109" s="13">
        <f>IFERROR(VLOOKUP(G109,Sell!G:L,2,0),0)</f>
        <v>100</v>
      </c>
      <c r="O109" s="12">
        <f>IFERROR(VLOOKUP(G109,Sell!G:L,6,0),0)</f>
        <v>108875.1455</v>
      </c>
      <c r="P109" s="13">
        <f t="shared" si="7"/>
        <v>0</v>
      </c>
      <c r="Q109" s="12">
        <f t="shared" si="9"/>
        <v>-784.49980000000505</v>
      </c>
      <c r="R109" s="12">
        <f t="shared" si="10"/>
        <v>-784.49980000000505</v>
      </c>
      <c r="S109" s="12">
        <f t="shared" si="11"/>
        <v>0</v>
      </c>
      <c r="T109" s="12">
        <f t="shared" si="12"/>
        <v>-784.49980000000505</v>
      </c>
      <c r="U109" s="14" t="str">
        <f t="shared" si="13"/>
        <v/>
      </c>
    </row>
    <row r="110" spans="1:21" x14ac:dyDescent="0.25">
      <c r="A110" s="2" t="s">
        <v>1165</v>
      </c>
      <c r="B110">
        <v>300</v>
      </c>
      <c r="C110">
        <v>541.20000000000005</v>
      </c>
      <c r="D110">
        <v>162360</v>
      </c>
      <c r="E110">
        <v>102.685</v>
      </c>
      <c r="G110" s="2" t="s">
        <v>1156</v>
      </c>
      <c r="H110">
        <v>43775</v>
      </c>
      <c r="I110">
        <v>1032.1300000000001</v>
      </c>
      <c r="J110">
        <v>2790684</v>
      </c>
      <c r="K110">
        <v>1781.5633999999998</v>
      </c>
      <c r="L110" s="18">
        <f t="shared" si="8"/>
        <v>2792465.5633999999</v>
      </c>
      <c r="M110" s="13" t="str">
        <f>VLOOKUP(G110,Sell!G:L,1,0)</f>
        <v>UNIBAN</v>
      </c>
      <c r="N110" s="13">
        <f>IFERROR(VLOOKUP(G110,Sell!G:L,2,0),0)</f>
        <v>43775</v>
      </c>
      <c r="O110" s="12">
        <f>IFERROR(VLOOKUP(G110,Sell!G:L,6,0),0)</f>
        <v>2792943.0484000002</v>
      </c>
      <c r="P110" s="13">
        <f t="shared" si="7"/>
        <v>0</v>
      </c>
      <c r="Q110" s="12">
        <f t="shared" si="9"/>
        <v>477.48500000033528</v>
      </c>
      <c r="R110" s="12">
        <f t="shared" si="10"/>
        <v>477.48500000033528</v>
      </c>
      <c r="S110" s="12">
        <f t="shared" si="11"/>
        <v>477.48500000033528</v>
      </c>
      <c r="T110" s="12">
        <f t="shared" si="12"/>
        <v>0</v>
      </c>
      <c r="U110" s="14" t="str">
        <f t="shared" si="13"/>
        <v/>
      </c>
    </row>
    <row r="111" spans="1:21" x14ac:dyDescent="0.25">
      <c r="A111" s="2" t="s">
        <v>1174</v>
      </c>
      <c r="B111">
        <v>2000</v>
      </c>
      <c r="C111">
        <v>271.25</v>
      </c>
      <c r="D111">
        <v>168126.6</v>
      </c>
      <c r="E111">
        <v>116.5826</v>
      </c>
      <c r="G111" s="2" t="s">
        <v>1165</v>
      </c>
      <c r="H111">
        <v>300</v>
      </c>
      <c r="I111">
        <v>541.20000000000005</v>
      </c>
      <c r="J111">
        <v>162360</v>
      </c>
      <c r="K111">
        <v>102.685</v>
      </c>
      <c r="L111" s="18">
        <f t="shared" si="8"/>
        <v>162462.685</v>
      </c>
      <c r="M111" s="13" t="str">
        <f>VLOOKUP(G111,Sell!G:L,1,0)</f>
        <v>SUNTV</v>
      </c>
      <c r="N111" s="13">
        <f>IFERROR(VLOOKUP(G111,Sell!G:L,2,0),0)</f>
        <v>300</v>
      </c>
      <c r="O111" s="12">
        <f>IFERROR(VLOOKUP(G111,Sell!G:L,6,0),0)</f>
        <v>160957.6704</v>
      </c>
      <c r="P111" s="13">
        <f t="shared" si="7"/>
        <v>0</v>
      </c>
      <c r="Q111" s="12">
        <f t="shared" si="9"/>
        <v>-1505.014599999995</v>
      </c>
      <c r="R111" s="12">
        <f t="shared" si="10"/>
        <v>-1505.014599999995</v>
      </c>
      <c r="S111" s="12">
        <f t="shared" si="11"/>
        <v>0</v>
      </c>
      <c r="T111" s="12">
        <f t="shared" si="12"/>
        <v>-1505.014599999995</v>
      </c>
      <c r="U111" s="14" t="str">
        <f t="shared" si="13"/>
        <v/>
      </c>
    </row>
    <row r="112" spans="1:21" x14ac:dyDescent="0.25">
      <c r="A112" s="2" t="s">
        <v>1329</v>
      </c>
      <c r="B112">
        <v>500</v>
      </c>
      <c r="C112">
        <v>380.5</v>
      </c>
      <c r="D112">
        <v>94800</v>
      </c>
      <c r="E112">
        <v>65.055599999999998</v>
      </c>
      <c r="G112" s="2" t="s">
        <v>1174</v>
      </c>
      <c r="H112">
        <v>2000</v>
      </c>
      <c r="I112">
        <v>271.25</v>
      </c>
      <c r="J112">
        <v>168126.6</v>
      </c>
      <c r="K112">
        <v>116.5826</v>
      </c>
      <c r="L112" s="18">
        <f t="shared" si="8"/>
        <v>168243.1826</v>
      </c>
      <c r="M112" s="13" t="str">
        <f>VLOOKUP(G112,Sell!G:L,1,0)</f>
        <v>RELCAP</v>
      </c>
      <c r="N112" s="13">
        <f>IFERROR(VLOOKUP(G112,Sell!G:L,2,0),0)</f>
        <v>2000</v>
      </c>
      <c r="O112" s="12">
        <f>IFERROR(VLOOKUP(G112,Sell!G:L,6,0),0)</f>
        <v>169965.1655</v>
      </c>
      <c r="P112" s="13">
        <f t="shared" si="7"/>
        <v>0</v>
      </c>
      <c r="Q112" s="12">
        <f t="shared" si="9"/>
        <v>1721.9829000000027</v>
      </c>
      <c r="R112" s="12">
        <f t="shared" si="10"/>
        <v>1721.9829000000027</v>
      </c>
      <c r="S112" s="12">
        <f t="shared" si="11"/>
        <v>1721.9829000000027</v>
      </c>
      <c r="T112" s="12">
        <f t="shared" si="12"/>
        <v>0</v>
      </c>
      <c r="U112" s="14" t="str">
        <f t="shared" si="13"/>
        <v/>
      </c>
    </row>
    <row r="113" spans="1:21" x14ac:dyDescent="0.25">
      <c r="A113" s="2" t="s">
        <v>1366</v>
      </c>
      <c r="B113">
        <v>100</v>
      </c>
      <c r="C113">
        <v>2317.8000000000002</v>
      </c>
      <c r="D113">
        <v>76995</v>
      </c>
      <c r="E113">
        <v>103.1819</v>
      </c>
      <c r="G113" s="2" t="s">
        <v>1329</v>
      </c>
      <c r="H113">
        <v>500</v>
      </c>
      <c r="I113">
        <v>380.5</v>
      </c>
      <c r="J113">
        <v>94800</v>
      </c>
      <c r="K113">
        <v>65.055599999999998</v>
      </c>
      <c r="L113" s="18">
        <f t="shared" si="8"/>
        <v>94865.055600000007</v>
      </c>
      <c r="M113" s="13" t="str">
        <f>VLOOKUP(G113,Sell!G:L,1,0)</f>
        <v>CAPINF</v>
      </c>
      <c r="N113" s="13">
        <f>IFERROR(VLOOKUP(G113,Sell!G:L,2,0),0)</f>
        <v>500</v>
      </c>
      <c r="O113" s="12">
        <f>IFERROR(VLOOKUP(G113,Sell!G:L,6,0),0)</f>
        <v>93714.085800000001</v>
      </c>
      <c r="P113" s="13">
        <f t="shared" si="7"/>
        <v>0</v>
      </c>
      <c r="Q113" s="12">
        <f t="shared" si="9"/>
        <v>-1150.9698000000062</v>
      </c>
      <c r="R113" s="12">
        <f t="shared" si="10"/>
        <v>-1150.9698000000062</v>
      </c>
      <c r="S113" s="12">
        <f t="shared" si="11"/>
        <v>0</v>
      </c>
      <c r="T113" s="12">
        <f t="shared" si="12"/>
        <v>-1150.9698000000062</v>
      </c>
      <c r="U113" s="14" t="str">
        <f t="shared" si="13"/>
        <v/>
      </c>
    </row>
    <row r="114" spans="1:21" x14ac:dyDescent="0.25">
      <c r="A114" s="2" t="s">
        <v>1394</v>
      </c>
      <c r="B114">
        <v>250</v>
      </c>
      <c r="C114">
        <v>125.5</v>
      </c>
      <c r="D114">
        <v>31375</v>
      </c>
      <c r="E114">
        <v>30.829499999999999</v>
      </c>
      <c r="G114" s="2" t="s">
        <v>1366</v>
      </c>
      <c r="H114">
        <v>100</v>
      </c>
      <c r="I114">
        <v>2317.8000000000002</v>
      </c>
      <c r="J114">
        <v>76995</v>
      </c>
      <c r="K114">
        <v>103.1819</v>
      </c>
      <c r="L114" s="18">
        <f t="shared" si="8"/>
        <v>77098.181899999996</v>
      </c>
      <c r="M114" s="13" t="str">
        <f>VLOOKUP(G114,Sell!G:L,1,0)</f>
        <v>BALIND</v>
      </c>
      <c r="N114" s="13">
        <f>IFERROR(VLOOKUP(G114,Sell!G:L,2,0),0)</f>
        <v>100</v>
      </c>
      <c r="O114" s="12">
        <f>IFERROR(VLOOKUP(G114,Sell!G:L,6,0),0)</f>
        <v>77131.900800000003</v>
      </c>
      <c r="P114" s="13">
        <f t="shared" si="7"/>
        <v>0</v>
      </c>
      <c r="Q114" s="12">
        <f t="shared" si="9"/>
        <v>33.718900000007125</v>
      </c>
      <c r="R114" s="12">
        <f t="shared" si="10"/>
        <v>33.718900000007125</v>
      </c>
      <c r="S114" s="12">
        <f t="shared" si="11"/>
        <v>33.718900000007125</v>
      </c>
      <c r="T114" s="12">
        <f t="shared" si="12"/>
        <v>0</v>
      </c>
      <c r="U114" s="14" t="str">
        <f t="shared" si="13"/>
        <v/>
      </c>
    </row>
    <row r="115" spans="1:21" x14ac:dyDescent="0.25">
      <c r="A115" s="2" t="s">
        <v>1407</v>
      </c>
      <c r="B115">
        <v>100</v>
      </c>
      <c r="C115">
        <v>628</v>
      </c>
      <c r="D115">
        <v>62800</v>
      </c>
      <c r="E115">
        <v>39.720799999999997</v>
      </c>
      <c r="G115" s="2" t="s">
        <v>1394</v>
      </c>
      <c r="H115">
        <v>250</v>
      </c>
      <c r="I115">
        <v>125.5</v>
      </c>
      <c r="J115">
        <v>31375</v>
      </c>
      <c r="K115">
        <v>30.829499999999999</v>
      </c>
      <c r="L115" s="18">
        <f t="shared" si="8"/>
        <v>31405.8295</v>
      </c>
      <c r="M115" s="13" t="str">
        <f>VLOOKUP(G115,Sell!G:L,1,0)</f>
        <v>PRAIN</v>
      </c>
      <c r="N115" s="13">
        <f>IFERROR(VLOOKUP(G115,Sell!G:L,2,0),0)</f>
        <v>250</v>
      </c>
      <c r="O115" s="12">
        <f>IFERROR(VLOOKUP(G115,Sell!G:L,6,0),0)</f>
        <v>30959.083999999999</v>
      </c>
      <c r="P115" s="13">
        <f t="shared" si="7"/>
        <v>0</v>
      </c>
      <c r="Q115" s="12">
        <f t="shared" si="9"/>
        <v>-446.7455000000009</v>
      </c>
      <c r="R115" s="12">
        <f t="shared" si="10"/>
        <v>-446.7455000000009</v>
      </c>
      <c r="S115" s="12">
        <f t="shared" si="11"/>
        <v>0</v>
      </c>
      <c r="T115" s="12">
        <f t="shared" si="12"/>
        <v>-446.7455000000009</v>
      </c>
      <c r="U115" s="14" t="str">
        <f t="shared" si="13"/>
        <v/>
      </c>
    </row>
    <row r="116" spans="1:21" x14ac:dyDescent="0.25">
      <c r="A116" s="2" t="s">
        <v>1411</v>
      </c>
      <c r="B116">
        <v>250</v>
      </c>
      <c r="C116">
        <v>146.15</v>
      </c>
      <c r="D116">
        <v>36537.5</v>
      </c>
      <c r="E116">
        <v>31.055399999999999</v>
      </c>
      <c r="G116" s="2" t="s">
        <v>1407</v>
      </c>
      <c r="H116">
        <v>100</v>
      </c>
      <c r="I116">
        <v>628</v>
      </c>
      <c r="J116">
        <v>62800</v>
      </c>
      <c r="K116">
        <v>39.720799999999997</v>
      </c>
      <c r="L116" s="18">
        <f t="shared" si="8"/>
        <v>62839.720800000003</v>
      </c>
      <c r="M116" s="13" t="str">
        <f>VLOOKUP(G116,Sell!G:L,1,0)</f>
        <v>RBLBAN</v>
      </c>
      <c r="N116" s="13">
        <f>IFERROR(VLOOKUP(G116,Sell!G:L,2,0),0)</f>
        <v>100</v>
      </c>
      <c r="O116" s="12">
        <f>IFERROR(VLOOKUP(G116,Sell!G:L,6,0),0)</f>
        <v>62675.391900000002</v>
      </c>
      <c r="P116" s="13">
        <f t="shared" si="7"/>
        <v>0</v>
      </c>
      <c r="Q116" s="12">
        <f t="shared" si="9"/>
        <v>-164.32890000000043</v>
      </c>
      <c r="R116" s="12">
        <f t="shared" si="10"/>
        <v>-164.32890000000043</v>
      </c>
      <c r="S116" s="12">
        <f t="shared" si="11"/>
        <v>0</v>
      </c>
      <c r="T116" s="12">
        <f t="shared" si="12"/>
        <v>-164.32890000000043</v>
      </c>
      <c r="U116" s="14" t="str">
        <f t="shared" si="13"/>
        <v/>
      </c>
    </row>
    <row r="117" spans="1:21" x14ac:dyDescent="0.25">
      <c r="A117" s="2" t="s">
        <v>1476</v>
      </c>
      <c r="B117">
        <v>1000</v>
      </c>
      <c r="C117">
        <v>608.85</v>
      </c>
      <c r="D117">
        <v>202558.9</v>
      </c>
      <c r="E117">
        <v>0</v>
      </c>
      <c r="G117" s="2" t="s">
        <v>1411</v>
      </c>
      <c r="H117">
        <v>250</v>
      </c>
      <c r="I117">
        <v>146.15</v>
      </c>
      <c r="J117">
        <v>36537.5</v>
      </c>
      <c r="K117">
        <v>31.055399999999999</v>
      </c>
      <c r="L117" s="18">
        <f t="shared" si="8"/>
        <v>36568.555399999997</v>
      </c>
      <c r="M117" s="13" t="str">
        <f>VLOOKUP(G117,Sell!G:L,1,0)</f>
        <v>WELCOR</v>
      </c>
      <c r="N117" s="13">
        <f>IFERROR(VLOOKUP(G117,Sell!G:L,2,0),0)</f>
        <v>250</v>
      </c>
      <c r="O117" s="12">
        <f>IFERROR(VLOOKUP(G117,Sell!G:L,6,0),0)</f>
        <v>36747.265599999999</v>
      </c>
      <c r="P117" s="13">
        <f t="shared" si="7"/>
        <v>0</v>
      </c>
      <c r="Q117" s="12">
        <f t="shared" si="9"/>
        <v>178.71020000000135</v>
      </c>
      <c r="R117" s="12">
        <f t="shared" si="10"/>
        <v>178.71020000000135</v>
      </c>
      <c r="S117" s="12">
        <f t="shared" si="11"/>
        <v>178.71020000000135</v>
      </c>
      <c r="T117" s="12">
        <f t="shared" si="12"/>
        <v>0</v>
      </c>
      <c r="U117" s="14" t="str">
        <f t="shared" si="13"/>
        <v/>
      </c>
    </row>
    <row r="118" spans="1:21" x14ac:dyDescent="0.25">
      <c r="A118" s="2" t="s">
        <v>155</v>
      </c>
      <c r="B118">
        <v>721333</v>
      </c>
      <c r="C118">
        <v>184740.78</v>
      </c>
      <c r="D118">
        <v>108397274.99999999</v>
      </c>
      <c r="E118">
        <v>133558.56110000002</v>
      </c>
      <c r="G118" s="2" t="s">
        <v>1476</v>
      </c>
      <c r="H118">
        <v>1000</v>
      </c>
      <c r="I118">
        <v>608.85</v>
      </c>
      <c r="J118">
        <v>202558.9</v>
      </c>
      <c r="K118">
        <v>0</v>
      </c>
      <c r="L118" s="18">
        <f t="shared" si="8"/>
        <v>202558.9</v>
      </c>
      <c r="M118" s="13" t="str">
        <f>VLOOKUP(G118,Sell!G:L,1,0)</f>
        <v>INDHO</v>
      </c>
      <c r="N118" s="13">
        <f>IFERROR(VLOOKUP(G118,Sell!G:L,2,0),0)</f>
        <v>1000</v>
      </c>
      <c r="O118" s="12">
        <f>IFERROR(VLOOKUP(G118,Sell!G:L,6,0),0)</f>
        <v>206525.85</v>
      </c>
      <c r="P118" s="13">
        <f t="shared" si="7"/>
        <v>0</v>
      </c>
      <c r="Q118" s="12">
        <f t="shared" si="9"/>
        <v>3966.9500000000116</v>
      </c>
      <c r="R118" s="12">
        <f t="shared" si="10"/>
        <v>3966.9500000000116</v>
      </c>
      <c r="S118" s="12">
        <f t="shared" si="11"/>
        <v>3966.9500000000116</v>
      </c>
      <c r="T118" s="12">
        <f t="shared" si="12"/>
        <v>0</v>
      </c>
      <c r="U118" s="14" t="str">
        <f t="shared" si="13"/>
        <v/>
      </c>
    </row>
    <row r="119" spans="1:21" x14ac:dyDescent="0.25">
      <c r="G119" s="5"/>
      <c r="H119" s="6"/>
      <c r="I119" s="6"/>
      <c r="J119" s="6"/>
      <c r="K119" s="6"/>
      <c r="L119" s="18">
        <f t="shared" si="8"/>
        <v>0</v>
      </c>
      <c r="M119" s="13" t="e">
        <f>VLOOKUP(G119,Sell!G:L,1,0)</f>
        <v>#N/A</v>
      </c>
      <c r="N119" s="13">
        <f>IFERROR(VLOOKUP(G119,Sell!G:L,2,0),0)</f>
        <v>0</v>
      </c>
      <c r="O119" s="12">
        <f>IFERROR(VLOOKUP(G119,Sell!G:L,6,0),0)</f>
        <v>0</v>
      </c>
      <c r="P119" s="13">
        <f t="shared" si="7"/>
        <v>0</v>
      </c>
      <c r="Q119" s="12">
        <f t="shared" si="9"/>
        <v>0</v>
      </c>
      <c r="R119" s="12">
        <f t="shared" si="10"/>
        <v>0</v>
      </c>
      <c r="S119" s="12">
        <f t="shared" si="11"/>
        <v>0</v>
      </c>
      <c r="T119" s="12">
        <f t="shared" si="12"/>
        <v>0</v>
      </c>
      <c r="U119" s="14" t="str">
        <f t="shared" si="13"/>
        <v/>
      </c>
    </row>
    <row r="120" spans="1:21" x14ac:dyDescent="0.25">
      <c r="L120" s="18">
        <f t="shared" si="8"/>
        <v>0</v>
      </c>
      <c r="M120" s="13" t="e">
        <f>VLOOKUP(G120,Sell!G:L,1,0)</f>
        <v>#N/A</v>
      </c>
      <c r="N120" s="13">
        <f>IFERROR(VLOOKUP(G120,Sell!G:L,2,0),0)</f>
        <v>0</v>
      </c>
      <c r="O120" s="12">
        <f>IFERROR(VLOOKUP(G120,Sell!G:L,6,0),0)</f>
        <v>0</v>
      </c>
      <c r="P120" s="13">
        <f t="shared" si="7"/>
        <v>0</v>
      </c>
      <c r="Q120" s="12">
        <f t="shared" si="9"/>
        <v>0</v>
      </c>
      <c r="R120" s="12">
        <f t="shared" si="10"/>
        <v>0</v>
      </c>
      <c r="S120" s="12">
        <f t="shared" si="11"/>
        <v>0</v>
      </c>
      <c r="T120" s="12">
        <f t="shared" si="12"/>
        <v>0</v>
      </c>
      <c r="U120" s="14" t="str">
        <f t="shared" si="13"/>
        <v/>
      </c>
    </row>
    <row r="121" spans="1:21" x14ac:dyDescent="0.25">
      <c r="L121" s="18">
        <f t="shared" si="8"/>
        <v>0</v>
      </c>
      <c r="M121" s="13" t="e">
        <f>VLOOKUP(G121,Sell!G:L,1,0)</f>
        <v>#N/A</v>
      </c>
      <c r="N121" s="13">
        <f>IFERROR(VLOOKUP(G121,Sell!G:L,2,0),0)</f>
        <v>0</v>
      </c>
      <c r="O121" s="12">
        <f>IFERROR(VLOOKUP(G121,Sell!G:L,6,0),0)</f>
        <v>0</v>
      </c>
      <c r="P121" s="13">
        <f t="shared" si="7"/>
        <v>0</v>
      </c>
      <c r="Q121" s="12">
        <f t="shared" si="9"/>
        <v>0</v>
      </c>
      <c r="R121" s="12">
        <f t="shared" si="10"/>
        <v>0</v>
      </c>
      <c r="S121" s="12">
        <f t="shared" si="11"/>
        <v>0</v>
      </c>
      <c r="T121" s="12">
        <f t="shared" si="12"/>
        <v>0</v>
      </c>
      <c r="U121" s="14" t="str">
        <f t="shared" si="13"/>
        <v/>
      </c>
    </row>
    <row r="122" spans="1:21" x14ac:dyDescent="0.25">
      <c r="L122" s="18">
        <f t="shared" si="8"/>
        <v>0</v>
      </c>
      <c r="M122" s="13" t="e">
        <f>VLOOKUP(G122,Sell!G:L,1,0)</f>
        <v>#N/A</v>
      </c>
      <c r="N122" s="13">
        <f>IFERROR(VLOOKUP(G122,Sell!G:L,2,0),0)</f>
        <v>0</v>
      </c>
      <c r="O122" s="12">
        <f>IFERROR(VLOOKUP(G122,Sell!G:L,6,0),0)</f>
        <v>0</v>
      </c>
      <c r="P122" s="13">
        <f t="shared" si="7"/>
        <v>0</v>
      </c>
      <c r="Q122" s="12">
        <f t="shared" si="9"/>
        <v>0</v>
      </c>
      <c r="R122" s="12">
        <f t="shared" si="10"/>
        <v>0</v>
      </c>
      <c r="S122" s="12">
        <f t="shared" si="11"/>
        <v>0</v>
      </c>
      <c r="T122" s="12">
        <f t="shared" si="12"/>
        <v>0</v>
      </c>
      <c r="U122" s="14" t="str">
        <f t="shared" si="13"/>
        <v/>
      </c>
    </row>
    <row r="123" spans="1:21" x14ac:dyDescent="0.25">
      <c r="L123" s="18">
        <f t="shared" si="8"/>
        <v>0</v>
      </c>
      <c r="M123" s="13" t="e">
        <f>VLOOKUP(G123,Sell!G:L,1,0)</f>
        <v>#N/A</v>
      </c>
      <c r="N123" s="13">
        <f>IFERROR(VLOOKUP(G123,Sell!G:L,2,0),0)</f>
        <v>0</v>
      </c>
      <c r="O123" s="12">
        <f>IFERROR(VLOOKUP(G123,Sell!G:L,6,0),0)</f>
        <v>0</v>
      </c>
      <c r="P123" s="13">
        <f t="shared" si="7"/>
        <v>0</v>
      </c>
      <c r="Q123" s="12">
        <f t="shared" si="9"/>
        <v>0</v>
      </c>
      <c r="R123" s="12">
        <f t="shared" si="10"/>
        <v>0</v>
      </c>
      <c r="S123" s="12">
        <f t="shared" si="11"/>
        <v>0</v>
      </c>
      <c r="T123" s="12">
        <f t="shared" si="12"/>
        <v>0</v>
      </c>
      <c r="U123" s="14" t="str">
        <f t="shared" si="13"/>
        <v/>
      </c>
    </row>
    <row r="124" spans="1:21" x14ac:dyDescent="0.25">
      <c r="L124" s="18">
        <f t="shared" si="8"/>
        <v>0</v>
      </c>
      <c r="M124" s="13" t="e">
        <f>VLOOKUP(G124,Sell!G:L,1,0)</f>
        <v>#N/A</v>
      </c>
      <c r="N124" s="13">
        <f>IFERROR(VLOOKUP(G124,Sell!G:L,2,0),0)</f>
        <v>0</v>
      </c>
      <c r="O124" s="12">
        <f>IFERROR(VLOOKUP(G124,Sell!G:L,6,0),0)</f>
        <v>0</v>
      </c>
      <c r="P124" s="13">
        <f t="shared" si="7"/>
        <v>0</v>
      </c>
      <c r="Q124" s="12">
        <f t="shared" si="9"/>
        <v>0</v>
      </c>
      <c r="R124" s="12">
        <f t="shared" si="10"/>
        <v>0</v>
      </c>
      <c r="S124" s="12">
        <f t="shared" si="11"/>
        <v>0</v>
      </c>
      <c r="T124" s="12">
        <f t="shared" si="12"/>
        <v>0</v>
      </c>
      <c r="U124" s="14" t="str">
        <f t="shared" si="13"/>
        <v/>
      </c>
    </row>
    <row r="125" spans="1:21" x14ac:dyDescent="0.25">
      <c r="L125" s="18">
        <f t="shared" si="8"/>
        <v>0</v>
      </c>
      <c r="M125" s="13" t="e">
        <f>VLOOKUP(G125,Sell!G:L,1,0)</f>
        <v>#N/A</v>
      </c>
      <c r="N125" s="13">
        <f>IFERROR(VLOOKUP(G125,Sell!G:L,2,0),0)</f>
        <v>0</v>
      </c>
      <c r="O125" s="12">
        <f>IFERROR(VLOOKUP(G125,Sell!G:L,6,0),0)</f>
        <v>0</v>
      </c>
      <c r="P125" s="13">
        <f t="shared" si="7"/>
        <v>0</v>
      </c>
      <c r="Q125" s="12">
        <f t="shared" si="9"/>
        <v>0</v>
      </c>
      <c r="R125" s="12">
        <f t="shared" si="10"/>
        <v>0</v>
      </c>
      <c r="S125" s="12">
        <f t="shared" si="11"/>
        <v>0</v>
      </c>
      <c r="T125" s="12">
        <f t="shared" si="12"/>
        <v>0</v>
      </c>
      <c r="U125" s="14" t="str">
        <f t="shared" si="13"/>
        <v/>
      </c>
    </row>
    <row r="126" spans="1:21" x14ac:dyDescent="0.25">
      <c r="L126" s="18">
        <f t="shared" si="8"/>
        <v>0</v>
      </c>
      <c r="M126" s="13" t="e">
        <f>VLOOKUP(G126,Sell!G:L,1,0)</f>
        <v>#N/A</v>
      </c>
      <c r="N126" s="13">
        <f>IFERROR(VLOOKUP(G126,Sell!G:L,2,0),0)</f>
        <v>0</v>
      </c>
      <c r="O126" s="12">
        <f>IFERROR(VLOOKUP(G126,Sell!G:L,6,0),0)</f>
        <v>0</v>
      </c>
      <c r="P126" s="13">
        <f t="shared" si="7"/>
        <v>0</v>
      </c>
      <c r="Q126" s="12">
        <f t="shared" si="9"/>
        <v>0</v>
      </c>
      <c r="R126" s="12">
        <f t="shared" si="10"/>
        <v>0</v>
      </c>
      <c r="S126" s="12">
        <f t="shared" si="11"/>
        <v>0</v>
      </c>
      <c r="T126" s="12">
        <f t="shared" si="12"/>
        <v>0</v>
      </c>
      <c r="U126" s="14" t="str">
        <f t="shared" si="13"/>
        <v/>
      </c>
    </row>
    <row r="127" spans="1:21" x14ac:dyDescent="0.25">
      <c r="L127" s="18">
        <f t="shared" si="8"/>
        <v>0</v>
      </c>
      <c r="M127" s="13" t="e">
        <f>VLOOKUP(G127,Sell!G:L,1,0)</f>
        <v>#N/A</v>
      </c>
      <c r="N127" s="13">
        <f>IFERROR(VLOOKUP(G127,Sell!G:L,2,0),0)</f>
        <v>0</v>
      </c>
      <c r="O127" s="12">
        <f>IFERROR(VLOOKUP(G127,Sell!G:L,6,0),0)</f>
        <v>0</v>
      </c>
      <c r="P127" s="13">
        <f t="shared" si="7"/>
        <v>0</v>
      </c>
      <c r="Q127" s="12">
        <f t="shared" si="9"/>
        <v>0</v>
      </c>
      <c r="R127" s="12">
        <f t="shared" si="10"/>
        <v>0</v>
      </c>
      <c r="S127" s="12">
        <f t="shared" si="11"/>
        <v>0</v>
      </c>
      <c r="T127" s="12">
        <f t="shared" si="12"/>
        <v>0</v>
      </c>
      <c r="U127" s="14" t="str">
        <f t="shared" si="13"/>
        <v/>
      </c>
    </row>
    <row r="128" spans="1:21" x14ac:dyDescent="0.25">
      <c r="L128" s="18">
        <f t="shared" si="8"/>
        <v>0</v>
      </c>
      <c r="M128" s="13" t="e">
        <f>VLOOKUP(G128,Sell!G:L,1,0)</f>
        <v>#N/A</v>
      </c>
      <c r="N128" s="13">
        <f>IFERROR(VLOOKUP(G128,Sell!G:L,2,0),0)</f>
        <v>0</v>
      </c>
      <c r="O128" s="12">
        <f>IFERROR(VLOOKUP(G128,Sell!G:L,6,0),0)</f>
        <v>0</v>
      </c>
      <c r="P128" s="13">
        <f t="shared" si="7"/>
        <v>0</v>
      </c>
      <c r="Q128" s="12">
        <f t="shared" si="9"/>
        <v>0</v>
      </c>
      <c r="R128" s="12">
        <f t="shared" si="10"/>
        <v>0</v>
      </c>
      <c r="S128" s="12">
        <f t="shared" si="11"/>
        <v>0</v>
      </c>
      <c r="T128" s="12">
        <f t="shared" si="12"/>
        <v>0</v>
      </c>
      <c r="U128" s="14" t="str">
        <f t="shared" si="13"/>
        <v/>
      </c>
    </row>
    <row r="129" spans="12:21" x14ac:dyDescent="0.25">
      <c r="L129" s="18">
        <f t="shared" si="8"/>
        <v>0</v>
      </c>
      <c r="M129" s="13" t="e">
        <f>VLOOKUP(G129,Sell!G:L,1,0)</f>
        <v>#N/A</v>
      </c>
      <c r="N129" s="13">
        <f>IFERROR(VLOOKUP(G129,Sell!G:L,2,0),0)</f>
        <v>0</v>
      </c>
      <c r="O129" s="12">
        <f>IFERROR(VLOOKUP(G129,Sell!G:L,6,0),0)</f>
        <v>0</v>
      </c>
      <c r="P129" s="13">
        <f t="shared" si="7"/>
        <v>0</v>
      </c>
      <c r="Q129" s="12">
        <f t="shared" si="9"/>
        <v>0</v>
      </c>
      <c r="R129" s="12">
        <f t="shared" si="10"/>
        <v>0</v>
      </c>
      <c r="S129" s="12">
        <f t="shared" si="11"/>
        <v>0</v>
      </c>
      <c r="T129" s="12">
        <f t="shared" si="12"/>
        <v>0</v>
      </c>
      <c r="U129" s="14" t="str">
        <f t="shared" si="13"/>
        <v/>
      </c>
    </row>
    <row r="130" spans="12:21" x14ac:dyDescent="0.25">
      <c r="L130" s="18">
        <f t="shared" si="8"/>
        <v>0</v>
      </c>
      <c r="M130" s="13" t="e">
        <f>VLOOKUP(G130,Sell!G:L,1,0)</f>
        <v>#N/A</v>
      </c>
      <c r="N130" s="13">
        <f>IFERROR(VLOOKUP(G130,Sell!G:L,2,0),0)</f>
        <v>0</v>
      </c>
      <c r="O130" s="12">
        <f>IFERROR(VLOOKUP(G130,Sell!G:L,6,0),0)</f>
        <v>0</v>
      </c>
      <c r="P130" s="13">
        <f t="shared" si="7"/>
        <v>0</v>
      </c>
      <c r="Q130" s="12">
        <f t="shared" si="9"/>
        <v>0</v>
      </c>
      <c r="R130" s="12">
        <f t="shared" si="10"/>
        <v>0</v>
      </c>
      <c r="S130" s="12">
        <f t="shared" si="11"/>
        <v>0</v>
      </c>
      <c r="T130" s="12">
        <f t="shared" si="12"/>
        <v>0</v>
      </c>
      <c r="U130" s="14" t="str">
        <f t="shared" si="13"/>
        <v/>
      </c>
    </row>
    <row r="131" spans="12:21" x14ac:dyDescent="0.25">
      <c r="L131" s="18">
        <f t="shared" si="8"/>
        <v>0</v>
      </c>
      <c r="M131" s="13" t="e">
        <f>VLOOKUP(G131,Sell!G:L,1,0)</f>
        <v>#N/A</v>
      </c>
      <c r="N131" s="13">
        <f>IFERROR(VLOOKUP(G131,Sell!G:L,2,0),0)</f>
        <v>0</v>
      </c>
      <c r="O131" s="12">
        <f>IFERROR(VLOOKUP(G131,Sell!G:L,6,0),0)</f>
        <v>0</v>
      </c>
      <c r="P131" s="13">
        <f t="shared" si="7"/>
        <v>0</v>
      </c>
      <c r="Q131" s="12">
        <f t="shared" si="9"/>
        <v>0</v>
      </c>
      <c r="R131" s="12">
        <f t="shared" si="10"/>
        <v>0</v>
      </c>
      <c r="S131" s="12">
        <f t="shared" si="11"/>
        <v>0</v>
      </c>
      <c r="T131" s="12">
        <f t="shared" si="12"/>
        <v>0</v>
      </c>
      <c r="U131" s="14" t="str">
        <f t="shared" si="13"/>
        <v/>
      </c>
    </row>
    <row r="132" spans="12:21" x14ac:dyDescent="0.25">
      <c r="L132" s="18">
        <f t="shared" si="8"/>
        <v>0</v>
      </c>
      <c r="M132" s="13" t="e">
        <f>VLOOKUP(G132,Sell!G:L,1,0)</f>
        <v>#N/A</v>
      </c>
      <c r="N132" s="13">
        <f>IFERROR(VLOOKUP(G132,Sell!G:L,2,0),0)</f>
        <v>0</v>
      </c>
      <c r="O132" s="12">
        <f>IFERROR(VLOOKUP(G132,Sell!G:L,6,0),0)</f>
        <v>0</v>
      </c>
      <c r="P132" s="13">
        <f t="shared" si="7"/>
        <v>0</v>
      </c>
      <c r="Q132" s="12">
        <f t="shared" si="9"/>
        <v>0</v>
      </c>
      <c r="R132" s="12">
        <f t="shared" si="10"/>
        <v>0</v>
      </c>
      <c r="S132" s="12">
        <f t="shared" si="11"/>
        <v>0</v>
      </c>
      <c r="T132" s="12">
        <f t="shared" si="12"/>
        <v>0</v>
      </c>
      <c r="U132" s="14" t="str">
        <f t="shared" si="13"/>
        <v/>
      </c>
    </row>
    <row r="133" spans="12:21" x14ac:dyDescent="0.25">
      <c r="L133" s="18">
        <f t="shared" si="8"/>
        <v>0</v>
      </c>
      <c r="M133" s="13" t="e">
        <f>VLOOKUP(G133,Sell!G:L,1,0)</f>
        <v>#N/A</v>
      </c>
      <c r="N133" s="13">
        <f>IFERROR(VLOOKUP(G133,Sell!G:L,2,0),0)</f>
        <v>0</v>
      </c>
      <c r="O133" s="12">
        <f>IFERROR(VLOOKUP(G133,Sell!G:L,6,0),0)</f>
        <v>0</v>
      </c>
      <c r="P133" s="13">
        <f t="shared" si="7"/>
        <v>0</v>
      </c>
      <c r="Q133" s="12">
        <f t="shared" si="9"/>
        <v>0</v>
      </c>
      <c r="R133" s="12">
        <f t="shared" si="10"/>
        <v>0</v>
      </c>
      <c r="S133" s="12">
        <f t="shared" si="11"/>
        <v>0</v>
      </c>
      <c r="T133" s="12">
        <f t="shared" si="12"/>
        <v>0</v>
      </c>
      <c r="U133" s="14" t="str">
        <f t="shared" si="13"/>
        <v/>
      </c>
    </row>
    <row r="134" spans="12:21" x14ac:dyDescent="0.25">
      <c r="L134" s="18">
        <f t="shared" si="8"/>
        <v>0</v>
      </c>
      <c r="M134" s="13" t="e">
        <f>VLOOKUP(G134,Sell!G:L,1,0)</f>
        <v>#N/A</v>
      </c>
      <c r="N134" s="13">
        <f>IFERROR(VLOOKUP(G134,Sell!G:L,2,0),0)</f>
        <v>0</v>
      </c>
      <c r="O134" s="12">
        <f>IFERROR(VLOOKUP(G134,Sell!G:L,6,0),0)</f>
        <v>0</v>
      </c>
      <c r="P134" s="13">
        <f t="shared" si="7"/>
        <v>0</v>
      </c>
      <c r="Q134" s="12">
        <f t="shared" si="9"/>
        <v>0</v>
      </c>
      <c r="R134" s="12">
        <f t="shared" si="10"/>
        <v>0</v>
      </c>
      <c r="S134" s="12">
        <f t="shared" si="11"/>
        <v>0</v>
      </c>
      <c r="T134" s="12">
        <f t="shared" si="12"/>
        <v>0</v>
      </c>
      <c r="U134" s="14" t="str">
        <f t="shared" si="13"/>
        <v/>
      </c>
    </row>
    <row r="135" spans="12:21" x14ac:dyDescent="0.25">
      <c r="L135" s="18">
        <f t="shared" si="8"/>
        <v>0</v>
      </c>
      <c r="M135" s="13" t="e">
        <f>VLOOKUP(G135,Sell!G:L,1,0)</f>
        <v>#N/A</v>
      </c>
      <c r="N135" s="13">
        <f>IFERROR(VLOOKUP(G135,Sell!G:L,2,0),0)</f>
        <v>0</v>
      </c>
      <c r="O135" s="12">
        <f>IFERROR(VLOOKUP(G135,Sell!G:L,6,0),0)</f>
        <v>0</v>
      </c>
      <c r="P135" s="13">
        <f t="shared" si="7"/>
        <v>0</v>
      </c>
      <c r="Q135" s="12">
        <f t="shared" si="9"/>
        <v>0</v>
      </c>
      <c r="R135" s="12">
        <f t="shared" si="10"/>
        <v>0</v>
      </c>
      <c r="S135" s="12">
        <f t="shared" si="11"/>
        <v>0</v>
      </c>
      <c r="T135" s="12">
        <f t="shared" si="12"/>
        <v>0</v>
      </c>
      <c r="U135" s="14" t="str">
        <f t="shared" si="13"/>
        <v/>
      </c>
    </row>
    <row r="136" spans="12:21" x14ac:dyDescent="0.25">
      <c r="L136" s="18">
        <f t="shared" si="8"/>
        <v>0</v>
      </c>
      <c r="M136" s="13" t="e">
        <f>VLOOKUP(G136,Sell!G:L,1,0)</f>
        <v>#N/A</v>
      </c>
      <c r="N136" s="13">
        <f>IFERROR(VLOOKUP(G136,Sell!G:L,2,0),0)</f>
        <v>0</v>
      </c>
      <c r="O136" s="12">
        <f>IFERROR(VLOOKUP(G136,Sell!G:L,6,0),0)</f>
        <v>0</v>
      </c>
      <c r="P136" s="13">
        <f t="shared" si="7"/>
        <v>0</v>
      </c>
      <c r="Q136" s="12">
        <f t="shared" si="9"/>
        <v>0</v>
      </c>
      <c r="R136" s="12">
        <f t="shared" si="10"/>
        <v>0</v>
      </c>
      <c r="S136" s="12">
        <f t="shared" si="11"/>
        <v>0</v>
      </c>
      <c r="T136" s="12">
        <f t="shared" si="12"/>
        <v>0</v>
      </c>
      <c r="U136" s="14" t="str">
        <f t="shared" si="13"/>
        <v/>
      </c>
    </row>
    <row r="137" spans="12:21" x14ac:dyDescent="0.25">
      <c r="L137" s="18">
        <f t="shared" si="8"/>
        <v>0</v>
      </c>
      <c r="M137" s="13" t="e">
        <f>VLOOKUP(G137,Sell!G:L,1,0)</f>
        <v>#N/A</v>
      </c>
      <c r="N137" s="13">
        <f>IFERROR(VLOOKUP(G137,Sell!G:L,2,0),0)</f>
        <v>0</v>
      </c>
      <c r="O137" s="12">
        <f>IFERROR(VLOOKUP(G137,Sell!G:L,6,0),0)</f>
        <v>0</v>
      </c>
      <c r="P137" s="13">
        <f t="shared" si="7"/>
        <v>0</v>
      </c>
      <c r="Q137" s="12">
        <f t="shared" si="9"/>
        <v>0</v>
      </c>
      <c r="R137" s="12">
        <f t="shared" si="10"/>
        <v>0</v>
      </c>
      <c r="S137" s="12">
        <f t="shared" si="11"/>
        <v>0</v>
      </c>
      <c r="T137" s="12">
        <f t="shared" si="12"/>
        <v>0</v>
      </c>
      <c r="U137" s="14" t="str">
        <f t="shared" si="13"/>
        <v/>
      </c>
    </row>
    <row r="138" spans="12:21" x14ac:dyDescent="0.25">
      <c r="L138" s="18">
        <f t="shared" si="8"/>
        <v>0</v>
      </c>
      <c r="M138" s="13" t="e">
        <f>VLOOKUP(G138,Sell!G:L,1,0)</f>
        <v>#N/A</v>
      </c>
      <c r="N138" s="13">
        <f>IFERROR(VLOOKUP(G138,Sell!G:L,2,0),0)</f>
        <v>0</v>
      </c>
      <c r="O138" s="12">
        <f>IFERROR(VLOOKUP(G138,Sell!G:L,6,0),0)</f>
        <v>0</v>
      </c>
      <c r="P138" s="13">
        <f t="shared" ref="P138:P201" si="14">H138-N138</f>
        <v>0</v>
      </c>
      <c r="Q138" s="12">
        <f t="shared" si="9"/>
        <v>0</v>
      </c>
      <c r="R138" s="12">
        <f t="shared" si="10"/>
        <v>0</v>
      </c>
      <c r="S138" s="12">
        <f t="shared" si="11"/>
        <v>0</v>
      </c>
      <c r="T138" s="12">
        <f t="shared" si="12"/>
        <v>0</v>
      </c>
      <c r="U138" s="14" t="str">
        <f t="shared" si="13"/>
        <v/>
      </c>
    </row>
    <row r="139" spans="12:21" x14ac:dyDescent="0.25">
      <c r="L139" s="18">
        <f t="shared" ref="L139:L202" si="15">J139+K139</f>
        <v>0</v>
      </c>
      <c r="M139" s="13" t="e">
        <f>VLOOKUP(G139,Sell!G:L,1,0)</f>
        <v>#N/A</v>
      </c>
      <c r="N139" s="13">
        <f>IFERROR(VLOOKUP(G139,Sell!G:L,2,0),0)</f>
        <v>0</v>
      </c>
      <c r="O139" s="12">
        <f>IFERROR(VLOOKUP(G139,Sell!G:L,6,0),0)</f>
        <v>0</v>
      </c>
      <c r="P139" s="13">
        <f t="shared" si="14"/>
        <v>0</v>
      </c>
      <c r="Q139" s="12">
        <f t="shared" ref="Q139:Q202" si="16">O139-L139</f>
        <v>0</v>
      </c>
      <c r="R139" s="12">
        <f t="shared" ref="R139:R202" si="17">IF(P139=0,Q139,0)</f>
        <v>0</v>
      </c>
      <c r="S139" s="12">
        <f t="shared" ref="S139:S202" si="18">IF(R139&gt;0,R139,0)</f>
        <v>0</v>
      </c>
      <c r="T139" s="12">
        <f t="shared" ref="T139:T202" si="19">IF(R139&gt;0,0,R139)</f>
        <v>0</v>
      </c>
      <c r="U139" s="14" t="str">
        <f t="shared" ref="U139:U202" si="20">IF(AND(LEN(G139)&gt;0,R139=0),"Open","")</f>
        <v/>
      </c>
    </row>
    <row r="140" spans="12:21" x14ac:dyDescent="0.25">
      <c r="L140" s="18">
        <f t="shared" si="15"/>
        <v>0</v>
      </c>
      <c r="M140" s="13" t="e">
        <f>VLOOKUP(G140,Sell!G:L,1,0)</f>
        <v>#N/A</v>
      </c>
      <c r="N140" s="13">
        <f>IFERROR(VLOOKUP(G140,Sell!G:L,2,0),0)</f>
        <v>0</v>
      </c>
      <c r="O140" s="12">
        <f>IFERROR(VLOOKUP(G140,Sell!G:L,6,0),0)</f>
        <v>0</v>
      </c>
      <c r="P140" s="13">
        <f t="shared" si="14"/>
        <v>0</v>
      </c>
      <c r="Q140" s="12">
        <f t="shared" si="16"/>
        <v>0</v>
      </c>
      <c r="R140" s="12">
        <f t="shared" si="17"/>
        <v>0</v>
      </c>
      <c r="S140" s="12">
        <f t="shared" si="18"/>
        <v>0</v>
      </c>
      <c r="T140" s="12">
        <f t="shared" si="19"/>
        <v>0</v>
      </c>
      <c r="U140" s="14" t="str">
        <f t="shared" si="20"/>
        <v/>
      </c>
    </row>
    <row r="141" spans="12:21" x14ac:dyDescent="0.25">
      <c r="L141" s="18">
        <f t="shared" si="15"/>
        <v>0</v>
      </c>
      <c r="M141" s="13" t="e">
        <f>VLOOKUP(G141,Sell!G:L,1,0)</f>
        <v>#N/A</v>
      </c>
      <c r="N141" s="13">
        <f>IFERROR(VLOOKUP(G141,Sell!G:L,2,0),0)</f>
        <v>0</v>
      </c>
      <c r="O141" s="12">
        <f>IFERROR(VLOOKUP(G141,Sell!G:L,6,0),0)</f>
        <v>0</v>
      </c>
      <c r="P141" s="13">
        <f t="shared" si="14"/>
        <v>0</v>
      </c>
      <c r="Q141" s="12">
        <f t="shared" si="16"/>
        <v>0</v>
      </c>
      <c r="R141" s="12">
        <f t="shared" si="17"/>
        <v>0</v>
      </c>
      <c r="S141" s="12">
        <f t="shared" si="18"/>
        <v>0</v>
      </c>
      <c r="T141" s="12">
        <f t="shared" si="19"/>
        <v>0</v>
      </c>
      <c r="U141" s="14" t="str">
        <f t="shared" si="20"/>
        <v/>
      </c>
    </row>
    <row r="142" spans="12:21" x14ac:dyDescent="0.25">
      <c r="L142" s="18">
        <f t="shared" si="15"/>
        <v>0</v>
      </c>
      <c r="M142" s="13" t="e">
        <f>VLOOKUP(G142,Sell!G:L,1,0)</f>
        <v>#N/A</v>
      </c>
      <c r="N142" s="13">
        <f>IFERROR(VLOOKUP(G142,Sell!G:L,2,0),0)</f>
        <v>0</v>
      </c>
      <c r="O142" s="12">
        <f>IFERROR(VLOOKUP(G142,Sell!G:L,6,0),0)</f>
        <v>0</v>
      </c>
      <c r="P142" s="13">
        <f t="shared" si="14"/>
        <v>0</v>
      </c>
      <c r="Q142" s="12">
        <f t="shared" si="16"/>
        <v>0</v>
      </c>
      <c r="R142" s="12">
        <f t="shared" si="17"/>
        <v>0</v>
      </c>
      <c r="S142" s="12">
        <f t="shared" si="18"/>
        <v>0</v>
      </c>
      <c r="T142" s="12">
        <f t="shared" si="19"/>
        <v>0</v>
      </c>
      <c r="U142" s="14" t="str">
        <f t="shared" si="20"/>
        <v/>
      </c>
    </row>
    <row r="143" spans="12:21" x14ac:dyDescent="0.25">
      <c r="L143" s="18">
        <f t="shared" si="15"/>
        <v>0</v>
      </c>
      <c r="M143" s="13" t="e">
        <f>VLOOKUP(G143,Sell!G:L,1,0)</f>
        <v>#N/A</v>
      </c>
      <c r="N143" s="13">
        <f>IFERROR(VLOOKUP(G143,Sell!G:L,2,0),0)</f>
        <v>0</v>
      </c>
      <c r="O143" s="12">
        <f>IFERROR(VLOOKUP(G143,Sell!G:L,6,0),0)</f>
        <v>0</v>
      </c>
      <c r="P143" s="13">
        <f t="shared" si="14"/>
        <v>0</v>
      </c>
      <c r="Q143" s="12">
        <f t="shared" si="16"/>
        <v>0</v>
      </c>
      <c r="R143" s="12">
        <f t="shared" si="17"/>
        <v>0</v>
      </c>
      <c r="S143" s="12">
        <f t="shared" si="18"/>
        <v>0</v>
      </c>
      <c r="T143" s="12">
        <f t="shared" si="19"/>
        <v>0</v>
      </c>
      <c r="U143" s="14" t="str">
        <f t="shared" si="20"/>
        <v/>
      </c>
    </row>
    <row r="144" spans="12:21" x14ac:dyDescent="0.25">
      <c r="L144" s="18">
        <f t="shared" si="15"/>
        <v>0</v>
      </c>
      <c r="M144" s="13" t="e">
        <f>VLOOKUP(G144,Sell!G:L,1,0)</f>
        <v>#N/A</v>
      </c>
      <c r="N144" s="13">
        <f>IFERROR(VLOOKUP(G144,Sell!G:L,2,0),0)</f>
        <v>0</v>
      </c>
      <c r="O144" s="12">
        <f>IFERROR(VLOOKUP(G144,Sell!G:L,6,0),0)</f>
        <v>0</v>
      </c>
      <c r="P144" s="13">
        <f t="shared" si="14"/>
        <v>0</v>
      </c>
      <c r="Q144" s="12">
        <f t="shared" si="16"/>
        <v>0</v>
      </c>
      <c r="R144" s="12">
        <f t="shared" si="17"/>
        <v>0</v>
      </c>
      <c r="S144" s="12">
        <f t="shared" si="18"/>
        <v>0</v>
      </c>
      <c r="T144" s="12">
        <f t="shared" si="19"/>
        <v>0</v>
      </c>
      <c r="U144" s="14" t="str">
        <f t="shared" si="20"/>
        <v/>
      </c>
    </row>
    <row r="145" spans="12:21" x14ac:dyDescent="0.25">
      <c r="L145" s="18">
        <f t="shared" si="15"/>
        <v>0</v>
      </c>
      <c r="M145" s="13" t="e">
        <f>VLOOKUP(G145,Sell!G:L,1,0)</f>
        <v>#N/A</v>
      </c>
      <c r="N145" s="13">
        <f>IFERROR(VLOOKUP(G145,Sell!G:L,2,0),0)</f>
        <v>0</v>
      </c>
      <c r="O145" s="12">
        <f>IFERROR(VLOOKUP(G145,Sell!G:L,6,0),0)</f>
        <v>0</v>
      </c>
      <c r="P145" s="13">
        <f t="shared" si="14"/>
        <v>0</v>
      </c>
      <c r="Q145" s="12">
        <f t="shared" si="16"/>
        <v>0</v>
      </c>
      <c r="R145" s="12">
        <f t="shared" si="17"/>
        <v>0</v>
      </c>
      <c r="S145" s="12">
        <f t="shared" si="18"/>
        <v>0</v>
      </c>
      <c r="T145" s="12">
        <f t="shared" si="19"/>
        <v>0</v>
      </c>
      <c r="U145" s="14" t="str">
        <f t="shared" si="20"/>
        <v/>
      </c>
    </row>
    <row r="146" spans="12:21" x14ac:dyDescent="0.25">
      <c r="L146" s="18">
        <f t="shared" si="15"/>
        <v>0</v>
      </c>
      <c r="M146" s="13" t="e">
        <f>VLOOKUP(G146,Sell!G:L,1,0)</f>
        <v>#N/A</v>
      </c>
      <c r="N146" s="13">
        <f>IFERROR(VLOOKUP(G146,Sell!G:L,2,0),0)</f>
        <v>0</v>
      </c>
      <c r="O146" s="12">
        <f>IFERROR(VLOOKUP(G146,Sell!G:L,6,0),0)</f>
        <v>0</v>
      </c>
      <c r="P146" s="13">
        <f t="shared" si="14"/>
        <v>0</v>
      </c>
      <c r="Q146" s="12">
        <f t="shared" si="16"/>
        <v>0</v>
      </c>
      <c r="R146" s="12">
        <f t="shared" si="17"/>
        <v>0</v>
      </c>
      <c r="S146" s="12">
        <f t="shared" si="18"/>
        <v>0</v>
      </c>
      <c r="T146" s="12">
        <f t="shared" si="19"/>
        <v>0</v>
      </c>
      <c r="U146" s="14" t="str">
        <f t="shared" si="20"/>
        <v/>
      </c>
    </row>
    <row r="147" spans="12:21" x14ac:dyDescent="0.25">
      <c r="L147" s="18">
        <f t="shared" si="15"/>
        <v>0</v>
      </c>
      <c r="M147" s="13" t="e">
        <f>VLOOKUP(G147,Sell!G:L,1,0)</f>
        <v>#N/A</v>
      </c>
      <c r="N147" s="13">
        <f>IFERROR(VLOOKUP(G147,Sell!G:L,2,0),0)</f>
        <v>0</v>
      </c>
      <c r="O147" s="12">
        <f>IFERROR(VLOOKUP(G147,Sell!G:L,6,0),0)</f>
        <v>0</v>
      </c>
      <c r="P147" s="13">
        <f t="shared" si="14"/>
        <v>0</v>
      </c>
      <c r="Q147" s="12">
        <f t="shared" si="16"/>
        <v>0</v>
      </c>
      <c r="R147" s="12">
        <f t="shared" si="17"/>
        <v>0</v>
      </c>
      <c r="S147" s="12">
        <f t="shared" si="18"/>
        <v>0</v>
      </c>
      <c r="T147" s="12">
        <f t="shared" si="19"/>
        <v>0</v>
      </c>
      <c r="U147" s="14" t="str">
        <f t="shared" si="20"/>
        <v/>
      </c>
    </row>
    <row r="148" spans="12:21" x14ac:dyDescent="0.25">
      <c r="L148" s="18">
        <f t="shared" si="15"/>
        <v>0</v>
      </c>
      <c r="M148" s="13" t="e">
        <f>VLOOKUP(G148,Sell!G:L,1,0)</f>
        <v>#N/A</v>
      </c>
      <c r="N148" s="13">
        <f>IFERROR(VLOOKUP(G148,Sell!G:L,2,0),0)</f>
        <v>0</v>
      </c>
      <c r="O148" s="12">
        <f>IFERROR(VLOOKUP(G148,Sell!G:L,6,0),0)</f>
        <v>0</v>
      </c>
      <c r="P148" s="13">
        <f t="shared" si="14"/>
        <v>0</v>
      </c>
      <c r="Q148" s="12">
        <f t="shared" si="16"/>
        <v>0</v>
      </c>
      <c r="R148" s="12">
        <f t="shared" si="17"/>
        <v>0</v>
      </c>
      <c r="S148" s="12">
        <f t="shared" si="18"/>
        <v>0</v>
      </c>
      <c r="T148" s="12">
        <f t="shared" si="19"/>
        <v>0</v>
      </c>
      <c r="U148" s="14" t="str">
        <f t="shared" si="20"/>
        <v/>
      </c>
    </row>
    <row r="149" spans="12:21" x14ac:dyDescent="0.25">
      <c r="L149" s="18">
        <f t="shared" si="15"/>
        <v>0</v>
      </c>
      <c r="M149" s="13" t="e">
        <f>VLOOKUP(G149,Sell!G:L,1,0)</f>
        <v>#N/A</v>
      </c>
      <c r="N149" s="13">
        <f>IFERROR(VLOOKUP(G149,Sell!G:L,2,0),0)</f>
        <v>0</v>
      </c>
      <c r="O149" s="12">
        <f>IFERROR(VLOOKUP(G149,Sell!G:L,6,0),0)</f>
        <v>0</v>
      </c>
      <c r="P149" s="13">
        <f t="shared" si="14"/>
        <v>0</v>
      </c>
      <c r="Q149" s="12">
        <f t="shared" si="16"/>
        <v>0</v>
      </c>
      <c r="R149" s="12">
        <f t="shared" si="17"/>
        <v>0</v>
      </c>
      <c r="S149" s="12">
        <f t="shared" si="18"/>
        <v>0</v>
      </c>
      <c r="T149" s="12">
        <f t="shared" si="19"/>
        <v>0</v>
      </c>
      <c r="U149" s="14" t="str">
        <f t="shared" si="20"/>
        <v/>
      </c>
    </row>
    <row r="150" spans="12:21" x14ac:dyDescent="0.25">
      <c r="L150" s="18">
        <f t="shared" si="15"/>
        <v>0</v>
      </c>
      <c r="M150" s="13" t="e">
        <f>VLOOKUP(G150,Sell!G:L,1,0)</f>
        <v>#N/A</v>
      </c>
      <c r="N150" s="13">
        <f>IFERROR(VLOOKUP(G150,Sell!G:L,2,0),0)</f>
        <v>0</v>
      </c>
      <c r="O150" s="12">
        <f>IFERROR(VLOOKUP(G150,Sell!G:L,6,0),0)</f>
        <v>0</v>
      </c>
      <c r="P150" s="13">
        <f t="shared" si="14"/>
        <v>0</v>
      </c>
      <c r="Q150" s="12">
        <f t="shared" si="16"/>
        <v>0</v>
      </c>
      <c r="R150" s="12">
        <f t="shared" si="17"/>
        <v>0</v>
      </c>
      <c r="S150" s="12">
        <f t="shared" si="18"/>
        <v>0</v>
      </c>
      <c r="T150" s="12">
        <f t="shared" si="19"/>
        <v>0</v>
      </c>
      <c r="U150" s="14" t="str">
        <f t="shared" si="20"/>
        <v/>
      </c>
    </row>
    <row r="151" spans="12:21" x14ac:dyDescent="0.25">
      <c r="L151" s="18">
        <f t="shared" si="15"/>
        <v>0</v>
      </c>
      <c r="M151" s="13" t="e">
        <f>VLOOKUP(G151,Sell!G:L,1,0)</f>
        <v>#N/A</v>
      </c>
      <c r="N151" s="13">
        <f>IFERROR(VLOOKUP(G151,Sell!G:L,2,0),0)</f>
        <v>0</v>
      </c>
      <c r="O151" s="12">
        <f>IFERROR(VLOOKUP(G151,Sell!G:L,6,0),0)</f>
        <v>0</v>
      </c>
      <c r="P151" s="13">
        <f t="shared" si="14"/>
        <v>0</v>
      </c>
      <c r="Q151" s="12">
        <f t="shared" si="16"/>
        <v>0</v>
      </c>
      <c r="R151" s="12">
        <f t="shared" si="17"/>
        <v>0</v>
      </c>
      <c r="S151" s="12">
        <f t="shared" si="18"/>
        <v>0</v>
      </c>
      <c r="T151" s="12">
        <f t="shared" si="19"/>
        <v>0</v>
      </c>
      <c r="U151" s="14" t="str">
        <f t="shared" si="20"/>
        <v/>
      </c>
    </row>
    <row r="152" spans="12:21" x14ac:dyDescent="0.25">
      <c r="L152" s="18">
        <f t="shared" si="15"/>
        <v>0</v>
      </c>
      <c r="M152" s="13" t="e">
        <f>VLOOKUP(G152,Sell!G:L,1,0)</f>
        <v>#N/A</v>
      </c>
      <c r="N152" s="13">
        <f>IFERROR(VLOOKUP(G152,Sell!G:L,2,0),0)</f>
        <v>0</v>
      </c>
      <c r="O152" s="12">
        <f>IFERROR(VLOOKUP(G152,Sell!G:L,6,0),0)</f>
        <v>0</v>
      </c>
      <c r="P152" s="13">
        <f t="shared" si="14"/>
        <v>0</v>
      </c>
      <c r="Q152" s="12">
        <f t="shared" si="16"/>
        <v>0</v>
      </c>
      <c r="R152" s="12">
        <f t="shared" si="17"/>
        <v>0</v>
      </c>
      <c r="S152" s="12">
        <f t="shared" si="18"/>
        <v>0</v>
      </c>
      <c r="T152" s="12">
        <f t="shared" si="19"/>
        <v>0</v>
      </c>
      <c r="U152" s="14" t="str">
        <f t="shared" si="20"/>
        <v/>
      </c>
    </row>
    <row r="153" spans="12:21" x14ac:dyDescent="0.25">
      <c r="L153" s="18">
        <f t="shared" si="15"/>
        <v>0</v>
      </c>
      <c r="M153" s="13" t="e">
        <f>VLOOKUP(G153,Sell!G:L,1,0)</f>
        <v>#N/A</v>
      </c>
      <c r="N153" s="13">
        <f>IFERROR(VLOOKUP(G153,Sell!G:L,2,0),0)</f>
        <v>0</v>
      </c>
      <c r="O153" s="12">
        <f>IFERROR(VLOOKUP(G153,Sell!G:L,6,0),0)</f>
        <v>0</v>
      </c>
      <c r="P153" s="13">
        <f t="shared" si="14"/>
        <v>0</v>
      </c>
      <c r="Q153" s="12">
        <f t="shared" si="16"/>
        <v>0</v>
      </c>
      <c r="R153" s="12">
        <f t="shared" si="17"/>
        <v>0</v>
      </c>
      <c r="S153" s="12">
        <f t="shared" si="18"/>
        <v>0</v>
      </c>
      <c r="T153" s="12">
        <f t="shared" si="19"/>
        <v>0</v>
      </c>
      <c r="U153" s="14" t="str">
        <f t="shared" si="20"/>
        <v/>
      </c>
    </row>
    <row r="154" spans="12:21" x14ac:dyDescent="0.25">
      <c r="L154" s="18">
        <f t="shared" si="15"/>
        <v>0</v>
      </c>
      <c r="M154" s="13" t="e">
        <f>VLOOKUP(G154,Sell!G:L,1,0)</f>
        <v>#N/A</v>
      </c>
      <c r="N154" s="13">
        <f>IFERROR(VLOOKUP(G154,Sell!G:L,2,0),0)</f>
        <v>0</v>
      </c>
      <c r="O154" s="12">
        <f>IFERROR(VLOOKUP(G154,Sell!G:L,6,0),0)</f>
        <v>0</v>
      </c>
      <c r="P154" s="13">
        <f t="shared" si="14"/>
        <v>0</v>
      </c>
      <c r="Q154" s="12">
        <f t="shared" si="16"/>
        <v>0</v>
      </c>
      <c r="R154" s="12">
        <f t="shared" si="17"/>
        <v>0</v>
      </c>
      <c r="S154" s="12">
        <f t="shared" si="18"/>
        <v>0</v>
      </c>
      <c r="T154" s="12">
        <f t="shared" si="19"/>
        <v>0</v>
      </c>
      <c r="U154" s="14" t="str">
        <f t="shared" si="20"/>
        <v/>
      </c>
    </row>
    <row r="155" spans="12:21" x14ac:dyDescent="0.25">
      <c r="L155" s="18">
        <f t="shared" si="15"/>
        <v>0</v>
      </c>
      <c r="M155" s="13" t="e">
        <f>VLOOKUP(G155,Sell!G:L,1,0)</f>
        <v>#N/A</v>
      </c>
      <c r="N155" s="13">
        <f>IFERROR(VLOOKUP(G155,Sell!G:L,2,0),0)</f>
        <v>0</v>
      </c>
      <c r="O155" s="12">
        <f>IFERROR(VLOOKUP(G155,Sell!G:L,6,0),0)</f>
        <v>0</v>
      </c>
      <c r="P155" s="13">
        <f t="shared" si="14"/>
        <v>0</v>
      </c>
      <c r="Q155" s="12">
        <f t="shared" si="16"/>
        <v>0</v>
      </c>
      <c r="R155" s="12">
        <f t="shared" si="17"/>
        <v>0</v>
      </c>
      <c r="S155" s="12">
        <f t="shared" si="18"/>
        <v>0</v>
      </c>
      <c r="T155" s="12">
        <f t="shared" si="19"/>
        <v>0</v>
      </c>
      <c r="U155" s="14" t="str">
        <f t="shared" si="20"/>
        <v/>
      </c>
    </row>
    <row r="156" spans="12:21" x14ac:dyDescent="0.25">
      <c r="L156" s="18">
        <f t="shared" si="15"/>
        <v>0</v>
      </c>
      <c r="M156" s="13" t="e">
        <f>VLOOKUP(G156,Sell!G:L,1,0)</f>
        <v>#N/A</v>
      </c>
      <c r="N156" s="13">
        <f>IFERROR(VLOOKUP(G156,Sell!G:L,2,0),0)</f>
        <v>0</v>
      </c>
      <c r="O156" s="12">
        <f>IFERROR(VLOOKUP(G156,Sell!G:L,6,0),0)</f>
        <v>0</v>
      </c>
      <c r="P156" s="13">
        <f t="shared" si="14"/>
        <v>0</v>
      </c>
      <c r="Q156" s="12">
        <f t="shared" si="16"/>
        <v>0</v>
      </c>
      <c r="R156" s="12">
        <f t="shared" si="17"/>
        <v>0</v>
      </c>
      <c r="S156" s="12">
        <f t="shared" si="18"/>
        <v>0</v>
      </c>
      <c r="T156" s="12">
        <f t="shared" si="19"/>
        <v>0</v>
      </c>
      <c r="U156" s="14" t="str">
        <f t="shared" si="20"/>
        <v/>
      </c>
    </row>
    <row r="157" spans="12:21" x14ac:dyDescent="0.25">
      <c r="L157" s="18">
        <f t="shared" si="15"/>
        <v>0</v>
      </c>
      <c r="M157" s="13" t="e">
        <f>VLOOKUP(G157,Sell!G:L,1,0)</f>
        <v>#N/A</v>
      </c>
      <c r="N157" s="13">
        <f>IFERROR(VLOOKUP(G157,Sell!G:L,2,0),0)</f>
        <v>0</v>
      </c>
      <c r="O157" s="12">
        <f>IFERROR(VLOOKUP(G157,Sell!G:L,6,0),0)</f>
        <v>0</v>
      </c>
      <c r="P157" s="13">
        <f t="shared" si="14"/>
        <v>0</v>
      </c>
      <c r="Q157" s="12">
        <f t="shared" si="16"/>
        <v>0</v>
      </c>
      <c r="R157" s="12">
        <f t="shared" si="17"/>
        <v>0</v>
      </c>
      <c r="S157" s="12">
        <f t="shared" si="18"/>
        <v>0</v>
      </c>
      <c r="T157" s="12">
        <f t="shared" si="19"/>
        <v>0</v>
      </c>
      <c r="U157" s="14" t="str">
        <f t="shared" si="20"/>
        <v/>
      </c>
    </row>
    <row r="158" spans="12:21" x14ac:dyDescent="0.25">
      <c r="L158" s="18">
        <f t="shared" si="15"/>
        <v>0</v>
      </c>
      <c r="M158" s="13" t="e">
        <f>VLOOKUP(G158,Sell!G:L,1,0)</f>
        <v>#N/A</v>
      </c>
      <c r="N158" s="13">
        <f>IFERROR(VLOOKUP(G158,Sell!G:L,2,0),0)</f>
        <v>0</v>
      </c>
      <c r="O158" s="12">
        <f>IFERROR(VLOOKUP(G158,Sell!G:L,6,0),0)</f>
        <v>0</v>
      </c>
      <c r="P158" s="13">
        <f t="shared" si="14"/>
        <v>0</v>
      </c>
      <c r="Q158" s="12">
        <f t="shared" si="16"/>
        <v>0</v>
      </c>
      <c r="R158" s="12">
        <f t="shared" si="17"/>
        <v>0</v>
      </c>
      <c r="S158" s="12">
        <f t="shared" si="18"/>
        <v>0</v>
      </c>
      <c r="T158" s="12">
        <f t="shared" si="19"/>
        <v>0</v>
      </c>
      <c r="U158" s="14" t="str">
        <f t="shared" si="20"/>
        <v/>
      </c>
    </row>
    <row r="159" spans="12:21" x14ac:dyDescent="0.25">
      <c r="L159" s="18">
        <f t="shared" si="15"/>
        <v>0</v>
      </c>
      <c r="M159" s="13" t="e">
        <f>VLOOKUP(G159,Sell!G:L,1,0)</f>
        <v>#N/A</v>
      </c>
      <c r="N159" s="13">
        <f>IFERROR(VLOOKUP(G159,Sell!G:L,2,0),0)</f>
        <v>0</v>
      </c>
      <c r="O159" s="12">
        <f>IFERROR(VLOOKUP(G159,Sell!G:L,6,0),0)</f>
        <v>0</v>
      </c>
      <c r="P159" s="13">
        <f t="shared" si="14"/>
        <v>0</v>
      </c>
      <c r="Q159" s="12">
        <f t="shared" si="16"/>
        <v>0</v>
      </c>
      <c r="R159" s="12">
        <f t="shared" si="17"/>
        <v>0</v>
      </c>
      <c r="S159" s="12">
        <f t="shared" si="18"/>
        <v>0</v>
      </c>
      <c r="T159" s="12">
        <f t="shared" si="19"/>
        <v>0</v>
      </c>
      <c r="U159" s="14" t="str">
        <f t="shared" si="20"/>
        <v/>
      </c>
    </row>
    <row r="160" spans="12:21" x14ac:dyDescent="0.25">
      <c r="L160" s="18">
        <f t="shared" si="15"/>
        <v>0</v>
      </c>
      <c r="M160" s="13" t="e">
        <f>VLOOKUP(G160,Sell!G:L,1,0)</f>
        <v>#N/A</v>
      </c>
      <c r="N160" s="13">
        <f>IFERROR(VLOOKUP(G160,Sell!G:L,2,0),0)</f>
        <v>0</v>
      </c>
      <c r="O160" s="12">
        <f>IFERROR(VLOOKUP(G160,Sell!G:L,6,0),0)</f>
        <v>0</v>
      </c>
      <c r="P160" s="13">
        <f t="shared" si="14"/>
        <v>0</v>
      </c>
      <c r="Q160" s="12">
        <f t="shared" si="16"/>
        <v>0</v>
      </c>
      <c r="R160" s="12">
        <f t="shared" si="17"/>
        <v>0</v>
      </c>
      <c r="S160" s="12">
        <f t="shared" si="18"/>
        <v>0</v>
      </c>
      <c r="T160" s="12">
        <f t="shared" si="19"/>
        <v>0</v>
      </c>
      <c r="U160" s="14" t="str">
        <f t="shared" si="20"/>
        <v/>
      </c>
    </row>
    <row r="161" spans="12:21" x14ac:dyDescent="0.25">
      <c r="L161" s="18">
        <f t="shared" si="15"/>
        <v>0</v>
      </c>
      <c r="M161" s="13" t="e">
        <f>VLOOKUP(G161,Sell!G:L,1,0)</f>
        <v>#N/A</v>
      </c>
      <c r="N161" s="13">
        <f>IFERROR(VLOOKUP(G161,Sell!G:L,2,0),0)</f>
        <v>0</v>
      </c>
      <c r="O161" s="12">
        <f>IFERROR(VLOOKUP(G161,Sell!G:L,6,0),0)</f>
        <v>0</v>
      </c>
      <c r="P161" s="13">
        <f t="shared" si="14"/>
        <v>0</v>
      </c>
      <c r="Q161" s="12">
        <f t="shared" si="16"/>
        <v>0</v>
      </c>
      <c r="R161" s="12">
        <f t="shared" si="17"/>
        <v>0</v>
      </c>
      <c r="S161" s="12">
        <f t="shared" si="18"/>
        <v>0</v>
      </c>
      <c r="T161" s="12">
        <f t="shared" si="19"/>
        <v>0</v>
      </c>
      <c r="U161" s="14" t="str">
        <f t="shared" si="20"/>
        <v/>
      </c>
    </row>
    <row r="162" spans="12:21" x14ac:dyDescent="0.25">
      <c r="L162" s="18">
        <f t="shared" si="15"/>
        <v>0</v>
      </c>
      <c r="M162" s="13" t="e">
        <f>VLOOKUP(G162,Sell!G:L,1,0)</f>
        <v>#N/A</v>
      </c>
      <c r="N162" s="13">
        <f>IFERROR(VLOOKUP(G162,Sell!G:L,2,0),0)</f>
        <v>0</v>
      </c>
      <c r="O162" s="12">
        <f>IFERROR(VLOOKUP(G162,Sell!G:L,6,0),0)</f>
        <v>0</v>
      </c>
      <c r="P162" s="13">
        <f t="shared" si="14"/>
        <v>0</v>
      </c>
      <c r="Q162" s="12">
        <f t="shared" si="16"/>
        <v>0</v>
      </c>
      <c r="R162" s="12">
        <f t="shared" si="17"/>
        <v>0</v>
      </c>
      <c r="S162" s="12">
        <f t="shared" si="18"/>
        <v>0</v>
      </c>
      <c r="T162" s="12">
        <f t="shared" si="19"/>
        <v>0</v>
      </c>
      <c r="U162" s="14" t="str">
        <f t="shared" si="20"/>
        <v/>
      </c>
    </row>
    <row r="163" spans="12:21" x14ac:dyDescent="0.25">
      <c r="L163" s="18">
        <f t="shared" si="15"/>
        <v>0</v>
      </c>
      <c r="M163" s="13" t="e">
        <f>VLOOKUP(G163,Sell!G:L,1,0)</f>
        <v>#N/A</v>
      </c>
      <c r="N163" s="13">
        <f>IFERROR(VLOOKUP(G163,Sell!G:L,2,0),0)</f>
        <v>0</v>
      </c>
      <c r="O163" s="12">
        <f>IFERROR(VLOOKUP(G163,Sell!G:L,6,0),0)</f>
        <v>0</v>
      </c>
      <c r="P163" s="13">
        <f t="shared" si="14"/>
        <v>0</v>
      </c>
      <c r="Q163" s="12">
        <f t="shared" si="16"/>
        <v>0</v>
      </c>
      <c r="R163" s="12">
        <f t="shared" si="17"/>
        <v>0</v>
      </c>
      <c r="S163" s="12">
        <f t="shared" si="18"/>
        <v>0</v>
      </c>
      <c r="T163" s="12">
        <f t="shared" si="19"/>
        <v>0</v>
      </c>
      <c r="U163" s="14" t="str">
        <f t="shared" si="20"/>
        <v/>
      </c>
    </row>
    <row r="164" spans="12:21" x14ac:dyDescent="0.25">
      <c r="L164" s="18">
        <f t="shared" si="15"/>
        <v>0</v>
      </c>
      <c r="M164" s="13" t="e">
        <f>VLOOKUP(G164,Sell!G:L,1,0)</f>
        <v>#N/A</v>
      </c>
      <c r="N164" s="13">
        <f>IFERROR(VLOOKUP(G164,Sell!G:L,2,0),0)</f>
        <v>0</v>
      </c>
      <c r="O164" s="12">
        <f>IFERROR(VLOOKUP(G164,Sell!G:L,6,0),0)</f>
        <v>0</v>
      </c>
      <c r="P164" s="13">
        <f t="shared" si="14"/>
        <v>0</v>
      </c>
      <c r="Q164" s="12">
        <f t="shared" si="16"/>
        <v>0</v>
      </c>
      <c r="R164" s="12">
        <f t="shared" si="17"/>
        <v>0</v>
      </c>
      <c r="S164" s="12">
        <f t="shared" si="18"/>
        <v>0</v>
      </c>
      <c r="T164" s="12">
        <f t="shared" si="19"/>
        <v>0</v>
      </c>
      <c r="U164" s="14" t="str">
        <f t="shared" si="20"/>
        <v/>
      </c>
    </row>
    <row r="165" spans="12:21" x14ac:dyDescent="0.25">
      <c r="L165" s="18">
        <f t="shared" si="15"/>
        <v>0</v>
      </c>
      <c r="M165" s="13" t="e">
        <f>VLOOKUP(G165,Sell!G:L,1,0)</f>
        <v>#N/A</v>
      </c>
      <c r="N165" s="13">
        <f>IFERROR(VLOOKUP(G165,Sell!G:L,2,0),0)</f>
        <v>0</v>
      </c>
      <c r="O165" s="12">
        <f>IFERROR(VLOOKUP(G165,Sell!G:L,6,0),0)</f>
        <v>0</v>
      </c>
      <c r="P165" s="13">
        <f t="shared" si="14"/>
        <v>0</v>
      </c>
      <c r="Q165" s="12">
        <f t="shared" si="16"/>
        <v>0</v>
      </c>
      <c r="R165" s="12">
        <f t="shared" si="17"/>
        <v>0</v>
      </c>
      <c r="S165" s="12">
        <f t="shared" si="18"/>
        <v>0</v>
      </c>
      <c r="T165" s="12">
        <f t="shared" si="19"/>
        <v>0</v>
      </c>
      <c r="U165" s="14" t="str">
        <f t="shared" si="20"/>
        <v/>
      </c>
    </row>
    <row r="166" spans="12:21" x14ac:dyDescent="0.25">
      <c r="L166" s="18">
        <f t="shared" si="15"/>
        <v>0</v>
      </c>
      <c r="M166" s="13" t="e">
        <f>VLOOKUP(G166,Sell!G:L,1,0)</f>
        <v>#N/A</v>
      </c>
      <c r="N166" s="13">
        <f>IFERROR(VLOOKUP(G166,Sell!G:L,2,0),0)</f>
        <v>0</v>
      </c>
      <c r="O166" s="12">
        <f>IFERROR(VLOOKUP(G166,Sell!G:L,6,0),0)</f>
        <v>0</v>
      </c>
      <c r="P166" s="13">
        <f t="shared" si="14"/>
        <v>0</v>
      </c>
      <c r="Q166" s="12">
        <f t="shared" si="16"/>
        <v>0</v>
      </c>
      <c r="R166" s="12">
        <f t="shared" si="17"/>
        <v>0</v>
      </c>
      <c r="S166" s="12">
        <f t="shared" si="18"/>
        <v>0</v>
      </c>
      <c r="T166" s="12">
        <f t="shared" si="19"/>
        <v>0</v>
      </c>
      <c r="U166" s="14" t="str">
        <f t="shared" si="20"/>
        <v/>
      </c>
    </row>
    <row r="167" spans="12:21" x14ac:dyDescent="0.25">
      <c r="L167" s="18">
        <f t="shared" si="15"/>
        <v>0</v>
      </c>
      <c r="M167" s="13" t="e">
        <f>VLOOKUP(G167,Sell!G:L,1,0)</f>
        <v>#N/A</v>
      </c>
      <c r="N167" s="13">
        <f>IFERROR(VLOOKUP(G167,Sell!G:L,2,0),0)</f>
        <v>0</v>
      </c>
      <c r="O167" s="12">
        <f>IFERROR(VLOOKUP(G167,Sell!G:L,6,0),0)</f>
        <v>0</v>
      </c>
      <c r="P167" s="13">
        <f t="shared" si="14"/>
        <v>0</v>
      </c>
      <c r="Q167" s="12">
        <f t="shared" si="16"/>
        <v>0</v>
      </c>
      <c r="R167" s="12">
        <f t="shared" si="17"/>
        <v>0</v>
      </c>
      <c r="S167" s="12">
        <f t="shared" si="18"/>
        <v>0</v>
      </c>
      <c r="T167" s="12">
        <f t="shared" si="19"/>
        <v>0</v>
      </c>
      <c r="U167" s="14" t="str">
        <f t="shared" si="20"/>
        <v/>
      </c>
    </row>
    <row r="168" spans="12:21" x14ac:dyDescent="0.25">
      <c r="L168" s="18">
        <f t="shared" si="15"/>
        <v>0</v>
      </c>
      <c r="M168" s="13" t="e">
        <f>VLOOKUP(G168,Sell!G:L,1,0)</f>
        <v>#N/A</v>
      </c>
      <c r="N168" s="13">
        <f>IFERROR(VLOOKUP(G168,Sell!G:L,2,0),0)</f>
        <v>0</v>
      </c>
      <c r="O168" s="12">
        <f>IFERROR(VLOOKUP(G168,Sell!G:L,6,0),0)</f>
        <v>0</v>
      </c>
      <c r="P168" s="13">
        <f t="shared" si="14"/>
        <v>0</v>
      </c>
      <c r="Q168" s="12">
        <f t="shared" si="16"/>
        <v>0</v>
      </c>
      <c r="R168" s="12">
        <f t="shared" si="17"/>
        <v>0</v>
      </c>
      <c r="S168" s="12">
        <f t="shared" si="18"/>
        <v>0</v>
      </c>
      <c r="T168" s="12">
        <f t="shared" si="19"/>
        <v>0</v>
      </c>
      <c r="U168" s="14" t="str">
        <f t="shared" si="20"/>
        <v/>
      </c>
    </row>
    <row r="169" spans="12:21" x14ac:dyDescent="0.25">
      <c r="L169" s="18">
        <f t="shared" si="15"/>
        <v>0</v>
      </c>
      <c r="M169" s="13" t="e">
        <f>VLOOKUP(G169,Sell!G:L,1,0)</f>
        <v>#N/A</v>
      </c>
      <c r="N169" s="13">
        <f>IFERROR(VLOOKUP(G169,Sell!G:L,2,0),0)</f>
        <v>0</v>
      </c>
      <c r="O169" s="12">
        <f>IFERROR(VLOOKUP(G169,Sell!G:L,6,0),0)</f>
        <v>0</v>
      </c>
      <c r="P169" s="13">
        <f t="shared" si="14"/>
        <v>0</v>
      </c>
      <c r="Q169" s="12">
        <f t="shared" si="16"/>
        <v>0</v>
      </c>
      <c r="R169" s="12">
        <f t="shared" si="17"/>
        <v>0</v>
      </c>
      <c r="S169" s="12">
        <f t="shared" si="18"/>
        <v>0</v>
      </c>
      <c r="T169" s="12">
        <f t="shared" si="19"/>
        <v>0</v>
      </c>
      <c r="U169" s="14" t="str">
        <f t="shared" si="20"/>
        <v/>
      </c>
    </row>
    <row r="170" spans="12:21" x14ac:dyDescent="0.25">
      <c r="L170" s="18">
        <f t="shared" si="15"/>
        <v>0</v>
      </c>
      <c r="M170" s="13" t="e">
        <f>VLOOKUP(G170,Sell!G:L,1,0)</f>
        <v>#N/A</v>
      </c>
      <c r="N170" s="13">
        <f>IFERROR(VLOOKUP(G170,Sell!G:L,2,0),0)</f>
        <v>0</v>
      </c>
      <c r="O170" s="12">
        <f>IFERROR(VLOOKUP(G170,Sell!G:L,6,0),0)</f>
        <v>0</v>
      </c>
      <c r="P170" s="13">
        <f t="shared" si="14"/>
        <v>0</v>
      </c>
      <c r="Q170" s="12">
        <f t="shared" si="16"/>
        <v>0</v>
      </c>
      <c r="R170" s="12">
        <f t="shared" si="17"/>
        <v>0</v>
      </c>
      <c r="S170" s="12">
        <f t="shared" si="18"/>
        <v>0</v>
      </c>
      <c r="T170" s="12">
        <f t="shared" si="19"/>
        <v>0</v>
      </c>
      <c r="U170" s="14" t="str">
        <f t="shared" si="20"/>
        <v/>
      </c>
    </row>
    <row r="171" spans="12:21" x14ac:dyDescent="0.25">
      <c r="L171" s="18">
        <f t="shared" si="15"/>
        <v>0</v>
      </c>
      <c r="M171" s="13" t="e">
        <f>VLOOKUP(G171,Sell!G:L,1,0)</f>
        <v>#N/A</v>
      </c>
      <c r="N171" s="13">
        <f>IFERROR(VLOOKUP(G171,Sell!G:L,2,0),0)</f>
        <v>0</v>
      </c>
      <c r="O171" s="12">
        <f>IFERROR(VLOOKUP(G171,Sell!G:L,6,0),0)</f>
        <v>0</v>
      </c>
      <c r="P171" s="13">
        <f t="shared" si="14"/>
        <v>0</v>
      </c>
      <c r="Q171" s="12">
        <f t="shared" si="16"/>
        <v>0</v>
      </c>
      <c r="R171" s="12">
        <f t="shared" si="17"/>
        <v>0</v>
      </c>
      <c r="S171" s="12">
        <f t="shared" si="18"/>
        <v>0</v>
      </c>
      <c r="T171" s="12">
        <f t="shared" si="19"/>
        <v>0</v>
      </c>
      <c r="U171" s="14" t="str">
        <f t="shared" si="20"/>
        <v/>
      </c>
    </row>
    <row r="172" spans="12:21" x14ac:dyDescent="0.25">
      <c r="L172" s="18">
        <f t="shared" si="15"/>
        <v>0</v>
      </c>
      <c r="M172" s="13" t="e">
        <f>VLOOKUP(G172,Sell!G:L,1,0)</f>
        <v>#N/A</v>
      </c>
      <c r="N172" s="13">
        <f>IFERROR(VLOOKUP(G172,Sell!G:L,2,0),0)</f>
        <v>0</v>
      </c>
      <c r="O172" s="12">
        <f>IFERROR(VLOOKUP(G172,Sell!G:L,6,0),0)</f>
        <v>0</v>
      </c>
      <c r="P172" s="13">
        <f t="shared" si="14"/>
        <v>0</v>
      </c>
      <c r="Q172" s="12">
        <f t="shared" si="16"/>
        <v>0</v>
      </c>
      <c r="R172" s="12">
        <f t="shared" si="17"/>
        <v>0</v>
      </c>
      <c r="S172" s="12">
        <f t="shared" si="18"/>
        <v>0</v>
      </c>
      <c r="T172" s="12">
        <f t="shared" si="19"/>
        <v>0</v>
      </c>
      <c r="U172" s="14" t="str">
        <f t="shared" si="20"/>
        <v/>
      </c>
    </row>
    <row r="173" spans="12:21" x14ac:dyDescent="0.25">
      <c r="L173" s="18">
        <f t="shared" si="15"/>
        <v>0</v>
      </c>
      <c r="M173" s="13" t="e">
        <f>VLOOKUP(G173,Sell!G:L,1,0)</f>
        <v>#N/A</v>
      </c>
      <c r="N173" s="13">
        <f>IFERROR(VLOOKUP(G173,Sell!G:L,2,0),0)</f>
        <v>0</v>
      </c>
      <c r="O173" s="12">
        <f>IFERROR(VLOOKUP(G173,Sell!G:L,6,0),0)</f>
        <v>0</v>
      </c>
      <c r="P173" s="13">
        <f t="shared" si="14"/>
        <v>0</v>
      </c>
      <c r="Q173" s="12">
        <f t="shared" si="16"/>
        <v>0</v>
      </c>
      <c r="R173" s="12">
        <f t="shared" si="17"/>
        <v>0</v>
      </c>
      <c r="S173" s="12">
        <f t="shared" si="18"/>
        <v>0</v>
      </c>
      <c r="T173" s="12">
        <f t="shared" si="19"/>
        <v>0</v>
      </c>
      <c r="U173" s="14" t="str">
        <f t="shared" si="20"/>
        <v/>
      </c>
    </row>
    <row r="174" spans="12:21" x14ac:dyDescent="0.25">
      <c r="L174" s="18">
        <f t="shared" si="15"/>
        <v>0</v>
      </c>
      <c r="M174" s="13" t="e">
        <f>VLOOKUP(G174,Sell!G:L,1,0)</f>
        <v>#N/A</v>
      </c>
      <c r="N174" s="13">
        <f>IFERROR(VLOOKUP(G174,Sell!G:L,2,0),0)</f>
        <v>0</v>
      </c>
      <c r="O174" s="12">
        <f>IFERROR(VLOOKUP(G174,Sell!G:L,6,0),0)</f>
        <v>0</v>
      </c>
      <c r="P174" s="13">
        <f t="shared" si="14"/>
        <v>0</v>
      </c>
      <c r="Q174" s="12">
        <f t="shared" si="16"/>
        <v>0</v>
      </c>
      <c r="R174" s="12">
        <f t="shared" si="17"/>
        <v>0</v>
      </c>
      <c r="S174" s="12">
        <f t="shared" si="18"/>
        <v>0</v>
      </c>
      <c r="T174" s="12">
        <f t="shared" si="19"/>
        <v>0</v>
      </c>
      <c r="U174" s="14" t="str">
        <f t="shared" si="20"/>
        <v/>
      </c>
    </row>
    <row r="175" spans="12:21" x14ac:dyDescent="0.25">
      <c r="L175" s="18">
        <f t="shared" si="15"/>
        <v>0</v>
      </c>
      <c r="M175" s="13" t="e">
        <f>VLOOKUP(G175,Sell!G:L,1,0)</f>
        <v>#N/A</v>
      </c>
      <c r="N175" s="13">
        <f>IFERROR(VLOOKUP(G175,Sell!G:L,2,0),0)</f>
        <v>0</v>
      </c>
      <c r="O175" s="12">
        <f>IFERROR(VLOOKUP(G175,Sell!G:L,6,0),0)</f>
        <v>0</v>
      </c>
      <c r="P175" s="13">
        <f t="shared" si="14"/>
        <v>0</v>
      </c>
      <c r="Q175" s="12">
        <f t="shared" si="16"/>
        <v>0</v>
      </c>
      <c r="R175" s="12">
        <f t="shared" si="17"/>
        <v>0</v>
      </c>
      <c r="S175" s="12">
        <f t="shared" si="18"/>
        <v>0</v>
      </c>
      <c r="T175" s="12">
        <f t="shared" si="19"/>
        <v>0</v>
      </c>
      <c r="U175" s="14" t="str">
        <f t="shared" si="20"/>
        <v/>
      </c>
    </row>
    <row r="176" spans="12:21" x14ac:dyDescent="0.25">
      <c r="L176" s="18">
        <f t="shared" si="15"/>
        <v>0</v>
      </c>
      <c r="M176" s="13" t="e">
        <f>VLOOKUP(G176,Sell!G:L,1,0)</f>
        <v>#N/A</v>
      </c>
      <c r="N176" s="13">
        <f>IFERROR(VLOOKUP(G176,Sell!G:L,2,0),0)</f>
        <v>0</v>
      </c>
      <c r="O176" s="12">
        <f>IFERROR(VLOOKUP(G176,Sell!G:L,6,0),0)</f>
        <v>0</v>
      </c>
      <c r="P176" s="13">
        <f t="shared" si="14"/>
        <v>0</v>
      </c>
      <c r="Q176" s="12">
        <f t="shared" si="16"/>
        <v>0</v>
      </c>
      <c r="R176" s="12">
        <f t="shared" si="17"/>
        <v>0</v>
      </c>
      <c r="S176" s="12">
        <f t="shared" si="18"/>
        <v>0</v>
      </c>
      <c r="T176" s="12">
        <f t="shared" si="19"/>
        <v>0</v>
      </c>
      <c r="U176" s="14" t="str">
        <f t="shared" si="20"/>
        <v/>
      </c>
    </row>
    <row r="177" spans="12:21" x14ac:dyDescent="0.25">
      <c r="L177" s="18">
        <f t="shared" si="15"/>
        <v>0</v>
      </c>
      <c r="M177" s="13" t="e">
        <f>VLOOKUP(G177,Sell!G:L,1,0)</f>
        <v>#N/A</v>
      </c>
      <c r="N177" s="13">
        <f>IFERROR(VLOOKUP(G177,Sell!G:L,2,0),0)</f>
        <v>0</v>
      </c>
      <c r="O177" s="12">
        <f>IFERROR(VLOOKUP(G177,Sell!G:L,6,0),0)</f>
        <v>0</v>
      </c>
      <c r="P177" s="13">
        <f t="shared" si="14"/>
        <v>0</v>
      </c>
      <c r="Q177" s="12">
        <f t="shared" si="16"/>
        <v>0</v>
      </c>
      <c r="R177" s="12">
        <f t="shared" si="17"/>
        <v>0</v>
      </c>
      <c r="S177" s="12">
        <f t="shared" si="18"/>
        <v>0</v>
      </c>
      <c r="T177" s="12">
        <f t="shared" si="19"/>
        <v>0</v>
      </c>
      <c r="U177" s="14" t="str">
        <f t="shared" si="20"/>
        <v/>
      </c>
    </row>
    <row r="178" spans="12:21" x14ac:dyDescent="0.25">
      <c r="L178" s="18">
        <f t="shared" si="15"/>
        <v>0</v>
      </c>
      <c r="M178" s="13" t="e">
        <f>VLOOKUP(G178,Sell!G:L,1,0)</f>
        <v>#N/A</v>
      </c>
      <c r="N178" s="13">
        <f>IFERROR(VLOOKUP(G178,Sell!G:L,2,0),0)</f>
        <v>0</v>
      </c>
      <c r="O178" s="12">
        <f>IFERROR(VLOOKUP(G178,Sell!G:L,6,0),0)</f>
        <v>0</v>
      </c>
      <c r="P178" s="13">
        <f t="shared" si="14"/>
        <v>0</v>
      </c>
      <c r="Q178" s="12">
        <f t="shared" si="16"/>
        <v>0</v>
      </c>
      <c r="R178" s="12">
        <f t="shared" si="17"/>
        <v>0</v>
      </c>
      <c r="S178" s="12">
        <f t="shared" si="18"/>
        <v>0</v>
      </c>
      <c r="T178" s="12">
        <f t="shared" si="19"/>
        <v>0</v>
      </c>
      <c r="U178" s="14" t="str">
        <f t="shared" si="20"/>
        <v/>
      </c>
    </row>
    <row r="179" spans="12:21" x14ac:dyDescent="0.25">
      <c r="L179" s="18">
        <f t="shared" si="15"/>
        <v>0</v>
      </c>
      <c r="M179" s="13" t="e">
        <f>VLOOKUP(G179,Sell!G:L,1,0)</f>
        <v>#N/A</v>
      </c>
      <c r="N179" s="13">
        <f>IFERROR(VLOOKUP(G179,Sell!G:L,2,0),0)</f>
        <v>0</v>
      </c>
      <c r="O179" s="12">
        <f>IFERROR(VLOOKUP(G179,Sell!G:L,6,0),0)</f>
        <v>0</v>
      </c>
      <c r="P179" s="13">
        <f t="shared" si="14"/>
        <v>0</v>
      </c>
      <c r="Q179" s="12">
        <f t="shared" si="16"/>
        <v>0</v>
      </c>
      <c r="R179" s="12">
        <f t="shared" si="17"/>
        <v>0</v>
      </c>
      <c r="S179" s="12">
        <f t="shared" si="18"/>
        <v>0</v>
      </c>
      <c r="T179" s="12">
        <f t="shared" si="19"/>
        <v>0</v>
      </c>
      <c r="U179" s="14" t="str">
        <f t="shared" si="20"/>
        <v/>
      </c>
    </row>
    <row r="180" spans="12:21" x14ac:dyDescent="0.25">
      <c r="L180" s="18">
        <f t="shared" si="15"/>
        <v>0</v>
      </c>
      <c r="M180" s="13" t="e">
        <f>VLOOKUP(G180,Sell!G:L,1,0)</f>
        <v>#N/A</v>
      </c>
      <c r="N180" s="13">
        <f>IFERROR(VLOOKUP(G180,Sell!G:L,2,0),0)</f>
        <v>0</v>
      </c>
      <c r="O180" s="12">
        <f>IFERROR(VLOOKUP(G180,Sell!G:L,6,0),0)</f>
        <v>0</v>
      </c>
      <c r="P180" s="13">
        <f t="shared" si="14"/>
        <v>0</v>
      </c>
      <c r="Q180" s="12">
        <f t="shared" si="16"/>
        <v>0</v>
      </c>
      <c r="R180" s="12">
        <f t="shared" si="17"/>
        <v>0</v>
      </c>
      <c r="S180" s="12">
        <f t="shared" si="18"/>
        <v>0</v>
      </c>
      <c r="T180" s="12">
        <f t="shared" si="19"/>
        <v>0</v>
      </c>
      <c r="U180" s="14" t="str">
        <f t="shared" si="20"/>
        <v/>
      </c>
    </row>
    <row r="181" spans="12:21" x14ac:dyDescent="0.25">
      <c r="L181" s="18">
        <f t="shared" si="15"/>
        <v>0</v>
      </c>
      <c r="M181" s="13" t="e">
        <f>VLOOKUP(G181,Sell!G:L,1,0)</f>
        <v>#N/A</v>
      </c>
      <c r="N181" s="13">
        <f>IFERROR(VLOOKUP(G181,Sell!G:L,2,0),0)</f>
        <v>0</v>
      </c>
      <c r="O181" s="12">
        <f>IFERROR(VLOOKUP(G181,Sell!G:L,6,0),0)</f>
        <v>0</v>
      </c>
      <c r="P181" s="13">
        <f t="shared" si="14"/>
        <v>0</v>
      </c>
      <c r="Q181" s="12">
        <f t="shared" si="16"/>
        <v>0</v>
      </c>
      <c r="R181" s="12">
        <f t="shared" si="17"/>
        <v>0</v>
      </c>
      <c r="S181" s="12">
        <f t="shared" si="18"/>
        <v>0</v>
      </c>
      <c r="T181" s="12">
        <f t="shared" si="19"/>
        <v>0</v>
      </c>
      <c r="U181" s="14" t="str">
        <f t="shared" si="20"/>
        <v/>
      </c>
    </row>
    <row r="182" spans="12:21" x14ac:dyDescent="0.25">
      <c r="L182" s="18">
        <f t="shared" si="15"/>
        <v>0</v>
      </c>
      <c r="M182" s="13" t="e">
        <f>VLOOKUP(G182,Sell!G:L,1,0)</f>
        <v>#N/A</v>
      </c>
      <c r="N182" s="13">
        <f>IFERROR(VLOOKUP(G182,Sell!G:L,2,0),0)</f>
        <v>0</v>
      </c>
      <c r="O182" s="12">
        <f>IFERROR(VLOOKUP(G182,Sell!G:L,6,0),0)</f>
        <v>0</v>
      </c>
      <c r="P182" s="13">
        <f t="shared" si="14"/>
        <v>0</v>
      </c>
      <c r="Q182" s="12">
        <f t="shared" si="16"/>
        <v>0</v>
      </c>
      <c r="R182" s="12">
        <f t="shared" si="17"/>
        <v>0</v>
      </c>
      <c r="S182" s="12">
        <f t="shared" si="18"/>
        <v>0</v>
      </c>
      <c r="T182" s="12">
        <f t="shared" si="19"/>
        <v>0</v>
      </c>
      <c r="U182" s="14" t="str">
        <f t="shared" si="20"/>
        <v/>
      </c>
    </row>
    <row r="183" spans="12:21" x14ac:dyDescent="0.25">
      <c r="L183" s="18">
        <f t="shared" si="15"/>
        <v>0</v>
      </c>
      <c r="M183" s="13" t="e">
        <f>VLOOKUP(G183,Sell!G:L,1,0)</f>
        <v>#N/A</v>
      </c>
      <c r="N183" s="13">
        <f>IFERROR(VLOOKUP(G183,Sell!G:L,2,0),0)</f>
        <v>0</v>
      </c>
      <c r="O183" s="12">
        <f>IFERROR(VLOOKUP(G183,Sell!G:L,6,0),0)</f>
        <v>0</v>
      </c>
      <c r="P183" s="13">
        <f t="shared" si="14"/>
        <v>0</v>
      </c>
      <c r="Q183" s="12">
        <f t="shared" si="16"/>
        <v>0</v>
      </c>
      <c r="R183" s="12">
        <f t="shared" si="17"/>
        <v>0</v>
      </c>
      <c r="S183" s="12">
        <f t="shared" si="18"/>
        <v>0</v>
      </c>
      <c r="T183" s="12">
        <f t="shared" si="19"/>
        <v>0</v>
      </c>
      <c r="U183" s="14" t="str">
        <f t="shared" si="20"/>
        <v/>
      </c>
    </row>
    <row r="184" spans="12:21" x14ac:dyDescent="0.25">
      <c r="L184" s="18">
        <f t="shared" si="15"/>
        <v>0</v>
      </c>
      <c r="M184" s="13" t="e">
        <f>VLOOKUP(G184,Sell!G:L,1,0)</f>
        <v>#N/A</v>
      </c>
      <c r="N184" s="13">
        <f>IFERROR(VLOOKUP(G184,Sell!G:L,2,0),0)</f>
        <v>0</v>
      </c>
      <c r="O184" s="12">
        <f>IFERROR(VLOOKUP(G184,Sell!G:L,6,0),0)</f>
        <v>0</v>
      </c>
      <c r="P184" s="13">
        <f t="shared" si="14"/>
        <v>0</v>
      </c>
      <c r="Q184" s="12">
        <f t="shared" si="16"/>
        <v>0</v>
      </c>
      <c r="R184" s="12">
        <f t="shared" si="17"/>
        <v>0</v>
      </c>
      <c r="S184" s="12">
        <f t="shared" si="18"/>
        <v>0</v>
      </c>
      <c r="T184" s="12">
        <f t="shared" si="19"/>
        <v>0</v>
      </c>
      <c r="U184" s="14" t="str">
        <f t="shared" si="20"/>
        <v/>
      </c>
    </row>
    <row r="185" spans="12:21" x14ac:dyDescent="0.25">
      <c r="L185" s="18">
        <f t="shared" si="15"/>
        <v>0</v>
      </c>
      <c r="M185" s="13" t="e">
        <f>VLOOKUP(G185,Sell!G:L,1,0)</f>
        <v>#N/A</v>
      </c>
      <c r="N185" s="13">
        <f>IFERROR(VLOOKUP(G185,Sell!G:L,2,0),0)</f>
        <v>0</v>
      </c>
      <c r="O185" s="12">
        <f>IFERROR(VLOOKUP(G185,Sell!G:L,6,0),0)</f>
        <v>0</v>
      </c>
      <c r="P185" s="13">
        <f t="shared" si="14"/>
        <v>0</v>
      </c>
      <c r="Q185" s="12">
        <f t="shared" si="16"/>
        <v>0</v>
      </c>
      <c r="R185" s="12">
        <f t="shared" si="17"/>
        <v>0</v>
      </c>
      <c r="S185" s="12">
        <f t="shared" si="18"/>
        <v>0</v>
      </c>
      <c r="T185" s="12">
        <f t="shared" si="19"/>
        <v>0</v>
      </c>
      <c r="U185" s="14" t="str">
        <f t="shared" si="20"/>
        <v/>
      </c>
    </row>
    <row r="186" spans="12:21" x14ac:dyDescent="0.25">
      <c r="L186" s="18">
        <f t="shared" si="15"/>
        <v>0</v>
      </c>
      <c r="M186" s="13" t="e">
        <f>VLOOKUP(G186,Sell!G:L,1,0)</f>
        <v>#N/A</v>
      </c>
      <c r="N186" s="13">
        <f>IFERROR(VLOOKUP(G186,Sell!G:L,2,0),0)</f>
        <v>0</v>
      </c>
      <c r="O186" s="12">
        <f>IFERROR(VLOOKUP(G186,Sell!G:L,6,0),0)</f>
        <v>0</v>
      </c>
      <c r="P186" s="13">
        <f t="shared" si="14"/>
        <v>0</v>
      </c>
      <c r="Q186" s="12">
        <f t="shared" si="16"/>
        <v>0</v>
      </c>
      <c r="R186" s="12">
        <f t="shared" si="17"/>
        <v>0</v>
      </c>
      <c r="S186" s="12">
        <f t="shared" si="18"/>
        <v>0</v>
      </c>
      <c r="T186" s="12">
        <f t="shared" si="19"/>
        <v>0</v>
      </c>
      <c r="U186" s="14" t="str">
        <f t="shared" si="20"/>
        <v/>
      </c>
    </row>
    <row r="187" spans="12:21" x14ac:dyDescent="0.25">
      <c r="L187" s="18">
        <f t="shared" si="15"/>
        <v>0</v>
      </c>
      <c r="M187" s="13" t="e">
        <f>VLOOKUP(G187,Sell!G:L,1,0)</f>
        <v>#N/A</v>
      </c>
      <c r="N187" s="13">
        <f>IFERROR(VLOOKUP(G187,Sell!G:L,2,0),0)</f>
        <v>0</v>
      </c>
      <c r="O187" s="12">
        <f>IFERROR(VLOOKUP(G187,Sell!G:L,6,0),0)</f>
        <v>0</v>
      </c>
      <c r="P187" s="13">
        <f t="shared" si="14"/>
        <v>0</v>
      </c>
      <c r="Q187" s="12">
        <f t="shared" si="16"/>
        <v>0</v>
      </c>
      <c r="R187" s="12">
        <f t="shared" si="17"/>
        <v>0</v>
      </c>
      <c r="S187" s="12">
        <f t="shared" si="18"/>
        <v>0</v>
      </c>
      <c r="T187" s="12">
        <f t="shared" si="19"/>
        <v>0</v>
      </c>
      <c r="U187" s="14" t="str">
        <f t="shared" si="20"/>
        <v/>
      </c>
    </row>
    <row r="188" spans="12:21" x14ac:dyDescent="0.25">
      <c r="L188" s="18">
        <f t="shared" si="15"/>
        <v>0</v>
      </c>
      <c r="M188" s="13" t="e">
        <f>VLOOKUP(G188,Sell!G:L,1,0)</f>
        <v>#N/A</v>
      </c>
      <c r="N188" s="13">
        <f>IFERROR(VLOOKUP(G188,Sell!G:L,2,0),0)</f>
        <v>0</v>
      </c>
      <c r="O188" s="12">
        <f>IFERROR(VLOOKUP(G188,Sell!G:L,6,0),0)</f>
        <v>0</v>
      </c>
      <c r="P188" s="13">
        <f t="shared" si="14"/>
        <v>0</v>
      </c>
      <c r="Q188" s="12">
        <f t="shared" si="16"/>
        <v>0</v>
      </c>
      <c r="R188" s="12">
        <f t="shared" si="17"/>
        <v>0</v>
      </c>
      <c r="S188" s="12">
        <f t="shared" si="18"/>
        <v>0</v>
      </c>
      <c r="T188" s="12">
        <f t="shared" si="19"/>
        <v>0</v>
      </c>
      <c r="U188" s="14" t="str">
        <f t="shared" si="20"/>
        <v/>
      </c>
    </row>
    <row r="189" spans="12:21" x14ac:dyDescent="0.25">
      <c r="L189" s="18">
        <f t="shared" si="15"/>
        <v>0</v>
      </c>
      <c r="M189" s="13" t="e">
        <f>VLOOKUP(G189,Sell!G:L,1,0)</f>
        <v>#N/A</v>
      </c>
      <c r="N189" s="13">
        <f>IFERROR(VLOOKUP(G189,Sell!G:L,2,0),0)</f>
        <v>0</v>
      </c>
      <c r="O189" s="12">
        <f>IFERROR(VLOOKUP(G189,Sell!G:L,6,0),0)</f>
        <v>0</v>
      </c>
      <c r="P189" s="13">
        <f t="shared" si="14"/>
        <v>0</v>
      </c>
      <c r="Q189" s="12">
        <f t="shared" si="16"/>
        <v>0</v>
      </c>
      <c r="R189" s="12">
        <f t="shared" si="17"/>
        <v>0</v>
      </c>
      <c r="S189" s="12">
        <f t="shared" si="18"/>
        <v>0</v>
      </c>
      <c r="T189" s="12">
        <f t="shared" si="19"/>
        <v>0</v>
      </c>
      <c r="U189" s="14" t="str">
        <f t="shared" si="20"/>
        <v/>
      </c>
    </row>
    <row r="190" spans="12:21" x14ac:dyDescent="0.25">
      <c r="L190" s="18">
        <f t="shared" si="15"/>
        <v>0</v>
      </c>
      <c r="M190" s="13" t="e">
        <f>VLOOKUP(G190,Sell!G:L,1,0)</f>
        <v>#N/A</v>
      </c>
      <c r="N190" s="13">
        <f>IFERROR(VLOOKUP(G190,Sell!G:L,2,0),0)</f>
        <v>0</v>
      </c>
      <c r="O190" s="12">
        <f>IFERROR(VLOOKUP(G190,Sell!G:L,6,0),0)</f>
        <v>0</v>
      </c>
      <c r="P190" s="13">
        <f t="shared" si="14"/>
        <v>0</v>
      </c>
      <c r="Q190" s="12">
        <f t="shared" si="16"/>
        <v>0</v>
      </c>
      <c r="R190" s="12">
        <f t="shared" si="17"/>
        <v>0</v>
      </c>
      <c r="S190" s="12">
        <f t="shared" si="18"/>
        <v>0</v>
      </c>
      <c r="T190" s="12">
        <f t="shared" si="19"/>
        <v>0</v>
      </c>
      <c r="U190" s="14" t="str">
        <f t="shared" si="20"/>
        <v/>
      </c>
    </row>
    <row r="191" spans="12:21" x14ac:dyDescent="0.25">
      <c r="L191" s="18">
        <f t="shared" si="15"/>
        <v>0</v>
      </c>
      <c r="M191" s="13" t="e">
        <f>VLOOKUP(G191,Sell!G:L,1,0)</f>
        <v>#N/A</v>
      </c>
      <c r="N191" s="13">
        <f>IFERROR(VLOOKUP(G191,Sell!G:L,2,0),0)</f>
        <v>0</v>
      </c>
      <c r="O191" s="12">
        <f>IFERROR(VLOOKUP(G191,Sell!G:L,6,0),0)</f>
        <v>0</v>
      </c>
      <c r="P191" s="13">
        <f t="shared" si="14"/>
        <v>0</v>
      </c>
      <c r="Q191" s="12">
        <f t="shared" si="16"/>
        <v>0</v>
      </c>
      <c r="R191" s="12">
        <f t="shared" si="17"/>
        <v>0</v>
      </c>
      <c r="S191" s="12">
        <f t="shared" si="18"/>
        <v>0</v>
      </c>
      <c r="T191" s="12">
        <f t="shared" si="19"/>
        <v>0</v>
      </c>
      <c r="U191" s="14" t="str">
        <f t="shared" si="20"/>
        <v/>
      </c>
    </row>
    <row r="192" spans="12:21" x14ac:dyDescent="0.25">
      <c r="L192" s="18">
        <f t="shared" si="15"/>
        <v>0</v>
      </c>
      <c r="M192" s="13" t="e">
        <f>VLOOKUP(G192,Sell!G:L,1,0)</f>
        <v>#N/A</v>
      </c>
      <c r="N192" s="13">
        <f>IFERROR(VLOOKUP(G192,Sell!G:L,2,0),0)</f>
        <v>0</v>
      </c>
      <c r="O192" s="12">
        <f>IFERROR(VLOOKUP(G192,Sell!G:L,6,0),0)</f>
        <v>0</v>
      </c>
      <c r="P192" s="13">
        <f t="shared" si="14"/>
        <v>0</v>
      </c>
      <c r="Q192" s="12">
        <f t="shared" si="16"/>
        <v>0</v>
      </c>
      <c r="R192" s="12">
        <f t="shared" si="17"/>
        <v>0</v>
      </c>
      <c r="S192" s="12">
        <f t="shared" si="18"/>
        <v>0</v>
      </c>
      <c r="T192" s="12">
        <f t="shared" si="19"/>
        <v>0</v>
      </c>
      <c r="U192" s="14" t="str">
        <f t="shared" si="20"/>
        <v/>
      </c>
    </row>
    <row r="193" spans="12:21" x14ac:dyDescent="0.25">
      <c r="L193" s="18">
        <f t="shared" si="15"/>
        <v>0</v>
      </c>
      <c r="M193" s="13" t="e">
        <f>VLOOKUP(G193,Sell!G:L,1,0)</f>
        <v>#N/A</v>
      </c>
      <c r="N193" s="13">
        <f>IFERROR(VLOOKUP(G193,Sell!G:L,2,0),0)</f>
        <v>0</v>
      </c>
      <c r="O193" s="12">
        <f>IFERROR(VLOOKUP(G193,Sell!G:L,6,0),0)</f>
        <v>0</v>
      </c>
      <c r="P193" s="13">
        <f t="shared" si="14"/>
        <v>0</v>
      </c>
      <c r="Q193" s="12">
        <f t="shared" si="16"/>
        <v>0</v>
      </c>
      <c r="R193" s="12">
        <f t="shared" si="17"/>
        <v>0</v>
      </c>
      <c r="S193" s="12">
        <f t="shared" si="18"/>
        <v>0</v>
      </c>
      <c r="T193" s="12">
        <f t="shared" si="19"/>
        <v>0</v>
      </c>
      <c r="U193" s="14" t="str">
        <f t="shared" si="20"/>
        <v/>
      </c>
    </row>
    <row r="194" spans="12:21" x14ac:dyDescent="0.25">
      <c r="L194" s="18">
        <f t="shared" si="15"/>
        <v>0</v>
      </c>
      <c r="M194" s="13" t="e">
        <f>VLOOKUP(G194,Sell!G:L,1,0)</f>
        <v>#N/A</v>
      </c>
      <c r="N194" s="13">
        <f>IFERROR(VLOOKUP(G194,Sell!G:L,2,0),0)</f>
        <v>0</v>
      </c>
      <c r="O194" s="12">
        <f>IFERROR(VLOOKUP(G194,Sell!G:L,6,0),0)</f>
        <v>0</v>
      </c>
      <c r="P194" s="13">
        <f t="shared" si="14"/>
        <v>0</v>
      </c>
      <c r="Q194" s="12">
        <f t="shared" si="16"/>
        <v>0</v>
      </c>
      <c r="R194" s="12">
        <f t="shared" si="17"/>
        <v>0</v>
      </c>
      <c r="S194" s="12">
        <f t="shared" si="18"/>
        <v>0</v>
      </c>
      <c r="T194" s="12">
        <f t="shared" si="19"/>
        <v>0</v>
      </c>
      <c r="U194" s="14" t="str">
        <f t="shared" si="20"/>
        <v/>
      </c>
    </row>
    <row r="195" spans="12:21" x14ac:dyDescent="0.25">
      <c r="L195" s="18">
        <f t="shared" si="15"/>
        <v>0</v>
      </c>
      <c r="M195" s="13" t="e">
        <f>VLOOKUP(G195,Sell!G:L,1,0)</f>
        <v>#N/A</v>
      </c>
      <c r="N195" s="13">
        <f>IFERROR(VLOOKUP(G195,Sell!G:L,2,0),0)</f>
        <v>0</v>
      </c>
      <c r="O195" s="12">
        <f>IFERROR(VLOOKUP(G195,Sell!G:L,6,0),0)</f>
        <v>0</v>
      </c>
      <c r="P195" s="13">
        <f t="shared" si="14"/>
        <v>0</v>
      </c>
      <c r="Q195" s="12">
        <f t="shared" si="16"/>
        <v>0</v>
      </c>
      <c r="R195" s="12">
        <f t="shared" si="17"/>
        <v>0</v>
      </c>
      <c r="S195" s="12">
        <f t="shared" si="18"/>
        <v>0</v>
      </c>
      <c r="T195" s="12">
        <f t="shared" si="19"/>
        <v>0</v>
      </c>
      <c r="U195" s="14" t="str">
        <f t="shared" si="20"/>
        <v/>
      </c>
    </row>
    <row r="196" spans="12:21" x14ac:dyDescent="0.25">
      <c r="L196" s="18">
        <f t="shared" si="15"/>
        <v>0</v>
      </c>
      <c r="M196" s="13" t="e">
        <f>VLOOKUP(G196,Sell!G:L,1,0)</f>
        <v>#N/A</v>
      </c>
      <c r="N196" s="13">
        <f>IFERROR(VLOOKUP(G196,Sell!G:L,2,0),0)</f>
        <v>0</v>
      </c>
      <c r="O196" s="12">
        <f>IFERROR(VLOOKUP(G196,Sell!G:L,6,0),0)</f>
        <v>0</v>
      </c>
      <c r="P196" s="13">
        <f t="shared" si="14"/>
        <v>0</v>
      </c>
      <c r="Q196" s="12">
        <f t="shared" si="16"/>
        <v>0</v>
      </c>
      <c r="R196" s="12">
        <f t="shared" si="17"/>
        <v>0</v>
      </c>
      <c r="S196" s="12">
        <f t="shared" si="18"/>
        <v>0</v>
      </c>
      <c r="T196" s="12">
        <f t="shared" si="19"/>
        <v>0</v>
      </c>
      <c r="U196" s="14" t="str">
        <f t="shared" si="20"/>
        <v/>
      </c>
    </row>
    <row r="197" spans="12:21" x14ac:dyDescent="0.25">
      <c r="L197" s="18">
        <f t="shared" si="15"/>
        <v>0</v>
      </c>
      <c r="M197" s="13" t="e">
        <f>VLOOKUP(G197,Sell!G:L,1,0)</f>
        <v>#N/A</v>
      </c>
      <c r="N197" s="13">
        <f>IFERROR(VLOOKUP(G197,Sell!G:L,2,0),0)</f>
        <v>0</v>
      </c>
      <c r="O197" s="12">
        <f>IFERROR(VLOOKUP(G197,Sell!G:L,6,0),0)</f>
        <v>0</v>
      </c>
      <c r="P197" s="13">
        <f t="shared" si="14"/>
        <v>0</v>
      </c>
      <c r="Q197" s="12">
        <f t="shared" si="16"/>
        <v>0</v>
      </c>
      <c r="R197" s="12">
        <f t="shared" si="17"/>
        <v>0</v>
      </c>
      <c r="S197" s="12">
        <f t="shared" si="18"/>
        <v>0</v>
      </c>
      <c r="T197" s="12">
        <f t="shared" si="19"/>
        <v>0</v>
      </c>
      <c r="U197" s="14" t="str">
        <f t="shared" si="20"/>
        <v/>
      </c>
    </row>
    <row r="198" spans="12:21" x14ac:dyDescent="0.25">
      <c r="L198" s="18">
        <f t="shared" si="15"/>
        <v>0</v>
      </c>
      <c r="M198" s="13" t="e">
        <f>VLOOKUP(G198,Sell!G:L,1,0)</f>
        <v>#N/A</v>
      </c>
      <c r="N198" s="13">
        <f>IFERROR(VLOOKUP(G198,Sell!G:L,2,0),0)</f>
        <v>0</v>
      </c>
      <c r="O198" s="12">
        <f>IFERROR(VLOOKUP(G198,Sell!G:L,6,0),0)</f>
        <v>0</v>
      </c>
      <c r="P198" s="13">
        <f t="shared" si="14"/>
        <v>0</v>
      </c>
      <c r="Q198" s="12">
        <f t="shared" si="16"/>
        <v>0</v>
      </c>
      <c r="R198" s="12">
        <f t="shared" si="17"/>
        <v>0</v>
      </c>
      <c r="S198" s="12">
        <f t="shared" si="18"/>
        <v>0</v>
      </c>
      <c r="T198" s="12">
        <f t="shared" si="19"/>
        <v>0</v>
      </c>
      <c r="U198" s="14" t="str">
        <f t="shared" si="20"/>
        <v/>
      </c>
    </row>
    <row r="199" spans="12:21" x14ac:dyDescent="0.25">
      <c r="L199" s="18">
        <f t="shared" si="15"/>
        <v>0</v>
      </c>
      <c r="M199" s="13" t="e">
        <f>VLOOKUP(G199,Sell!G:L,1,0)</f>
        <v>#N/A</v>
      </c>
      <c r="N199" s="13">
        <f>IFERROR(VLOOKUP(G199,Sell!G:L,2,0),0)</f>
        <v>0</v>
      </c>
      <c r="O199" s="12">
        <f>IFERROR(VLOOKUP(G199,Sell!G:L,6,0),0)</f>
        <v>0</v>
      </c>
      <c r="P199" s="13">
        <f t="shared" si="14"/>
        <v>0</v>
      </c>
      <c r="Q199" s="12">
        <f t="shared" si="16"/>
        <v>0</v>
      </c>
      <c r="R199" s="12">
        <f t="shared" si="17"/>
        <v>0</v>
      </c>
      <c r="S199" s="12">
        <f t="shared" si="18"/>
        <v>0</v>
      </c>
      <c r="T199" s="12">
        <f t="shared" si="19"/>
        <v>0</v>
      </c>
      <c r="U199" s="14" t="str">
        <f t="shared" si="20"/>
        <v/>
      </c>
    </row>
    <row r="200" spans="12:21" x14ac:dyDescent="0.25">
      <c r="L200" s="18">
        <f t="shared" si="15"/>
        <v>0</v>
      </c>
      <c r="M200" s="13" t="e">
        <f>VLOOKUP(G200,Sell!G:L,1,0)</f>
        <v>#N/A</v>
      </c>
      <c r="N200" s="13">
        <f>IFERROR(VLOOKUP(G200,Sell!G:L,2,0),0)</f>
        <v>0</v>
      </c>
      <c r="O200" s="12">
        <f>IFERROR(VLOOKUP(G200,Sell!G:L,6,0),0)</f>
        <v>0</v>
      </c>
      <c r="P200" s="13">
        <f t="shared" si="14"/>
        <v>0</v>
      </c>
      <c r="Q200" s="12">
        <f t="shared" si="16"/>
        <v>0</v>
      </c>
      <c r="R200" s="12">
        <f t="shared" si="17"/>
        <v>0</v>
      </c>
      <c r="S200" s="12">
        <f t="shared" si="18"/>
        <v>0</v>
      </c>
      <c r="T200" s="12">
        <f t="shared" si="19"/>
        <v>0</v>
      </c>
      <c r="U200" s="14" t="str">
        <f t="shared" si="20"/>
        <v/>
      </c>
    </row>
    <row r="201" spans="12:21" x14ac:dyDescent="0.25">
      <c r="L201" s="18">
        <f t="shared" si="15"/>
        <v>0</v>
      </c>
      <c r="M201" s="13" t="e">
        <f>VLOOKUP(G201,Sell!G:L,1,0)</f>
        <v>#N/A</v>
      </c>
      <c r="N201" s="13">
        <f>IFERROR(VLOOKUP(G201,Sell!G:L,2,0),0)</f>
        <v>0</v>
      </c>
      <c r="O201" s="12">
        <f>IFERROR(VLOOKUP(G201,Sell!G:L,6,0),0)</f>
        <v>0</v>
      </c>
      <c r="P201" s="13">
        <f t="shared" si="14"/>
        <v>0</v>
      </c>
      <c r="Q201" s="12">
        <f t="shared" si="16"/>
        <v>0</v>
      </c>
      <c r="R201" s="12">
        <f t="shared" si="17"/>
        <v>0</v>
      </c>
      <c r="S201" s="12">
        <f t="shared" si="18"/>
        <v>0</v>
      </c>
      <c r="T201" s="12">
        <f t="shared" si="19"/>
        <v>0</v>
      </c>
      <c r="U201" s="14" t="str">
        <f t="shared" si="20"/>
        <v/>
      </c>
    </row>
    <row r="202" spans="12:21" x14ac:dyDescent="0.25">
      <c r="L202" s="18">
        <f t="shared" si="15"/>
        <v>0</v>
      </c>
      <c r="M202" s="13" t="e">
        <f>VLOOKUP(G202,Sell!G:L,1,0)</f>
        <v>#N/A</v>
      </c>
      <c r="N202" s="13">
        <f>IFERROR(VLOOKUP(G202,Sell!G:L,2,0),0)</f>
        <v>0</v>
      </c>
      <c r="O202" s="12">
        <f>IFERROR(VLOOKUP(G202,Sell!G:L,6,0),0)</f>
        <v>0</v>
      </c>
      <c r="P202" s="13">
        <f t="shared" ref="P202:P265" si="21">H202-N202</f>
        <v>0</v>
      </c>
      <c r="Q202" s="12">
        <f t="shared" si="16"/>
        <v>0</v>
      </c>
      <c r="R202" s="12">
        <f t="shared" si="17"/>
        <v>0</v>
      </c>
      <c r="S202" s="12">
        <f t="shared" si="18"/>
        <v>0</v>
      </c>
      <c r="T202" s="12">
        <f t="shared" si="19"/>
        <v>0</v>
      </c>
      <c r="U202" s="14" t="str">
        <f t="shared" si="20"/>
        <v/>
      </c>
    </row>
    <row r="203" spans="12:21" x14ac:dyDescent="0.25">
      <c r="L203" s="18">
        <f t="shared" ref="L203:L266" si="22">J203+K203</f>
        <v>0</v>
      </c>
      <c r="M203" s="13" t="e">
        <f>VLOOKUP(G203,Sell!G:L,1,0)</f>
        <v>#N/A</v>
      </c>
      <c r="N203" s="13">
        <f>IFERROR(VLOOKUP(G203,Sell!G:L,2,0),0)</f>
        <v>0</v>
      </c>
      <c r="O203" s="12">
        <f>IFERROR(VLOOKUP(G203,Sell!G:L,6,0),0)</f>
        <v>0</v>
      </c>
      <c r="P203" s="13">
        <f t="shared" si="21"/>
        <v>0</v>
      </c>
      <c r="Q203" s="12">
        <f t="shared" ref="Q203:Q266" si="23">O203-L203</f>
        <v>0</v>
      </c>
      <c r="R203" s="12">
        <f t="shared" ref="R203:R266" si="24">IF(P203=0,Q203,0)</f>
        <v>0</v>
      </c>
      <c r="S203" s="12">
        <f t="shared" ref="S203:S266" si="25">IF(R203&gt;0,R203,0)</f>
        <v>0</v>
      </c>
      <c r="T203" s="12">
        <f t="shared" ref="T203:T266" si="26">IF(R203&gt;0,0,R203)</f>
        <v>0</v>
      </c>
      <c r="U203" s="14" t="str">
        <f t="shared" ref="U203:U266" si="27">IF(AND(LEN(G203)&gt;0,R203=0),"Open","")</f>
        <v/>
      </c>
    </row>
    <row r="204" spans="12:21" x14ac:dyDescent="0.25">
      <c r="L204" s="18">
        <f t="shared" si="22"/>
        <v>0</v>
      </c>
      <c r="M204" s="13" t="e">
        <f>VLOOKUP(G204,Sell!G:L,1,0)</f>
        <v>#N/A</v>
      </c>
      <c r="N204" s="13">
        <f>IFERROR(VLOOKUP(G204,Sell!G:L,2,0),0)</f>
        <v>0</v>
      </c>
      <c r="O204" s="12">
        <f>IFERROR(VLOOKUP(G204,Sell!G:L,6,0),0)</f>
        <v>0</v>
      </c>
      <c r="P204" s="13">
        <f t="shared" si="21"/>
        <v>0</v>
      </c>
      <c r="Q204" s="12">
        <f t="shared" si="23"/>
        <v>0</v>
      </c>
      <c r="R204" s="12">
        <f t="shared" si="24"/>
        <v>0</v>
      </c>
      <c r="S204" s="12">
        <f t="shared" si="25"/>
        <v>0</v>
      </c>
      <c r="T204" s="12">
        <f t="shared" si="26"/>
        <v>0</v>
      </c>
      <c r="U204" s="14" t="str">
        <f t="shared" si="27"/>
        <v/>
      </c>
    </row>
    <row r="205" spans="12:21" x14ac:dyDescent="0.25">
      <c r="L205" s="18">
        <f t="shared" si="22"/>
        <v>0</v>
      </c>
      <c r="M205" s="13" t="e">
        <f>VLOOKUP(G205,Sell!G:L,1,0)</f>
        <v>#N/A</v>
      </c>
      <c r="N205" s="13">
        <f>IFERROR(VLOOKUP(G205,Sell!G:L,2,0),0)</f>
        <v>0</v>
      </c>
      <c r="O205" s="12">
        <f>IFERROR(VLOOKUP(G205,Sell!G:L,6,0),0)</f>
        <v>0</v>
      </c>
      <c r="P205" s="13">
        <f t="shared" si="21"/>
        <v>0</v>
      </c>
      <c r="Q205" s="12">
        <f t="shared" si="23"/>
        <v>0</v>
      </c>
      <c r="R205" s="12">
        <f t="shared" si="24"/>
        <v>0</v>
      </c>
      <c r="S205" s="12">
        <f t="shared" si="25"/>
        <v>0</v>
      </c>
      <c r="T205" s="12">
        <f t="shared" si="26"/>
        <v>0</v>
      </c>
      <c r="U205" s="14" t="str">
        <f t="shared" si="27"/>
        <v/>
      </c>
    </row>
    <row r="206" spans="12:21" x14ac:dyDescent="0.25">
      <c r="L206" s="18">
        <f t="shared" si="22"/>
        <v>0</v>
      </c>
      <c r="M206" s="13" t="e">
        <f>VLOOKUP(G206,Sell!G:L,1,0)</f>
        <v>#N/A</v>
      </c>
      <c r="N206" s="13">
        <f>IFERROR(VLOOKUP(G206,Sell!G:L,2,0),0)</f>
        <v>0</v>
      </c>
      <c r="O206" s="12">
        <f>IFERROR(VLOOKUP(G206,Sell!G:L,6,0),0)</f>
        <v>0</v>
      </c>
      <c r="P206" s="13">
        <f t="shared" si="21"/>
        <v>0</v>
      </c>
      <c r="Q206" s="12">
        <f t="shared" si="23"/>
        <v>0</v>
      </c>
      <c r="R206" s="12">
        <f t="shared" si="24"/>
        <v>0</v>
      </c>
      <c r="S206" s="12">
        <f t="shared" si="25"/>
        <v>0</v>
      </c>
      <c r="T206" s="12">
        <f t="shared" si="26"/>
        <v>0</v>
      </c>
      <c r="U206" s="14" t="str">
        <f t="shared" si="27"/>
        <v/>
      </c>
    </row>
    <row r="207" spans="12:21" x14ac:dyDescent="0.25">
      <c r="L207" s="18">
        <f t="shared" si="22"/>
        <v>0</v>
      </c>
      <c r="M207" s="13" t="e">
        <f>VLOOKUP(G207,Sell!G:L,1,0)</f>
        <v>#N/A</v>
      </c>
      <c r="N207" s="13">
        <f>IFERROR(VLOOKUP(G207,Sell!G:L,2,0),0)</f>
        <v>0</v>
      </c>
      <c r="O207" s="12">
        <f>IFERROR(VLOOKUP(G207,Sell!G:L,6,0),0)</f>
        <v>0</v>
      </c>
      <c r="P207" s="13">
        <f t="shared" si="21"/>
        <v>0</v>
      </c>
      <c r="Q207" s="12">
        <f t="shared" si="23"/>
        <v>0</v>
      </c>
      <c r="R207" s="12">
        <f t="shared" si="24"/>
        <v>0</v>
      </c>
      <c r="S207" s="12">
        <f t="shared" si="25"/>
        <v>0</v>
      </c>
      <c r="T207" s="12">
        <f t="shared" si="26"/>
        <v>0</v>
      </c>
      <c r="U207" s="14" t="str">
        <f t="shared" si="27"/>
        <v/>
      </c>
    </row>
    <row r="208" spans="12:21" x14ac:dyDescent="0.25">
      <c r="L208" s="18">
        <f t="shared" si="22"/>
        <v>0</v>
      </c>
      <c r="M208" s="13" t="e">
        <f>VLOOKUP(G208,Sell!G:L,1,0)</f>
        <v>#N/A</v>
      </c>
      <c r="N208" s="13">
        <f>IFERROR(VLOOKUP(G208,Sell!G:L,2,0),0)</f>
        <v>0</v>
      </c>
      <c r="O208" s="12">
        <f>IFERROR(VLOOKUP(G208,Sell!G:L,6,0),0)</f>
        <v>0</v>
      </c>
      <c r="P208" s="13">
        <f t="shared" si="21"/>
        <v>0</v>
      </c>
      <c r="Q208" s="12">
        <f t="shared" si="23"/>
        <v>0</v>
      </c>
      <c r="R208" s="12">
        <f t="shared" si="24"/>
        <v>0</v>
      </c>
      <c r="S208" s="12">
        <f t="shared" si="25"/>
        <v>0</v>
      </c>
      <c r="T208" s="12">
        <f t="shared" si="26"/>
        <v>0</v>
      </c>
      <c r="U208" s="14" t="str">
        <f t="shared" si="27"/>
        <v/>
      </c>
    </row>
    <row r="209" spans="12:21" x14ac:dyDescent="0.25">
      <c r="L209" s="18">
        <f t="shared" si="22"/>
        <v>0</v>
      </c>
      <c r="M209" s="13" t="e">
        <f>VLOOKUP(G209,Sell!G:L,1,0)</f>
        <v>#N/A</v>
      </c>
      <c r="N209" s="13">
        <f>IFERROR(VLOOKUP(G209,Sell!G:L,2,0),0)</f>
        <v>0</v>
      </c>
      <c r="O209" s="12">
        <f>IFERROR(VLOOKUP(G209,Sell!G:L,6,0),0)</f>
        <v>0</v>
      </c>
      <c r="P209" s="13">
        <f t="shared" si="21"/>
        <v>0</v>
      </c>
      <c r="Q209" s="12">
        <f t="shared" si="23"/>
        <v>0</v>
      </c>
      <c r="R209" s="12">
        <f t="shared" si="24"/>
        <v>0</v>
      </c>
      <c r="S209" s="12">
        <f t="shared" si="25"/>
        <v>0</v>
      </c>
      <c r="T209" s="12">
        <f t="shared" si="26"/>
        <v>0</v>
      </c>
      <c r="U209" s="14" t="str">
        <f t="shared" si="27"/>
        <v/>
      </c>
    </row>
    <row r="210" spans="12:21" x14ac:dyDescent="0.25">
      <c r="L210" s="18">
        <f t="shared" si="22"/>
        <v>0</v>
      </c>
      <c r="M210" s="13" t="e">
        <f>VLOOKUP(G210,Sell!G:L,1,0)</f>
        <v>#N/A</v>
      </c>
      <c r="N210" s="13">
        <f>IFERROR(VLOOKUP(G210,Sell!G:L,2,0),0)</f>
        <v>0</v>
      </c>
      <c r="O210" s="12">
        <f>IFERROR(VLOOKUP(G210,Sell!G:L,6,0),0)</f>
        <v>0</v>
      </c>
      <c r="P210" s="13">
        <f t="shared" si="21"/>
        <v>0</v>
      </c>
      <c r="Q210" s="12">
        <f t="shared" si="23"/>
        <v>0</v>
      </c>
      <c r="R210" s="12">
        <f t="shared" si="24"/>
        <v>0</v>
      </c>
      <c r="S210" s="12">
        <f t="shared" si="25"/>
        <v>0</v>
      </c>
      <c r="T210" s="12">
        <f t="shared" si="26"/>
        <v>0</v>
      </c>
      <c r="U210" s="14" t="str">
        <f t="shared" si="27"/>
        <v/>
      </c>
    </row>
    <row r="211" spans="12:21" x14ac:dyDescent="0.25">
      <c r="L211" s="18">
        <f t="shared" si="22"/>
        <v>0</v>
      </c>
      <c r="M211" s="13" t="e">
        <f>VLOOKUP(G211,Sell!G:L,1,0)</f>
        <v>#N/A</v>
      </c>
      <c r="N211" s="13">
        <f>IFERROR(VLOOKUP(G211,Sell!G:L,2,0),0)</f>
        <v>0</v>
      </c>
      <c r="O211" s="12">
        <f>IFERROR(VLOOKUP(G211,Sell!G:L,6,0),0)</f>
        <v>0</v>
      </c>
      <c r="P211" s="13">
        <f t="shared" si="21"/>
        <v>0</v>
      </c>
      <c r="Q211" s="12">
        <f t="shared" si="23"/>
        <v>0</v>
      </c>
      <c r="R211" s="12">
        <f t="shared" si="24"/>
        <v>0</v>
      </c>
      <c r="S211" s="12">
        <f t="shared" si="25"/>
        <v>0</v>
      </c>
      <c r="T211" s="12">
        <f t="shared" si="26"/>
        <v>0</v>
      </c>
      <c r="U211" s="14" t="str">
        <f t="shared" si="27"/>
        <v/>
      </c>
    </row>
    <row r="212" spans="12:21" x14ac:dyDescent="0.25">
      <c r="L212" s="18">
        <f t="shared" si="22"/>
        <v>0</v>
      </c>
      <c r="M212" s="13" t="e">
        <f>VLOOKUP(G212,Sell!G:L,1,0)</f>
        <v>#N/A</v>
      </c>
      <c r="N212" s="13">
        <f>IFERROR(VLOOKUP(G212,Sell!G:L,2,0),0)</f>
        <v>0</v>
      </c>
      <c r="O212" s="12">
        <f>IFERROR(VLOOKUP(G212,Sell!G:L,6,0),0)</f>
        <v>0</v>
      </c>
      <c r="P212" s="13">
        <f t="shared" si="21"/>
        <v>0</v>
      </c>
      <c r="Q212" s="12">
        <f t="shared" si="23"/>
        <v>0</v>
      </c>
      <c r="R212" s="12">
        <f t="shared" si="24"/>
        <v>0</v>
      </c>
      <c r="S212" s="12">
        <f t="shared" si="25"/>
        <v>0</v>
      </c>
      <c r="T212" s="12">
        <f t="shared" si="26"/>
        <v>0</v>
      </c>
      <c r="U212" s="14" t="str">
        <f t="shared" si="27"/>
        <v/>
      </c>
    </row>
    <row r="213" spans="12:21" x14ac:dyDescent="0.25">
      <c r="L213" s="18">
        <f t="shared" si="22"/>
        <v>0</v>
      </c>
      <c r="M213" s="13" t="e">
        <f>VLOOKUP(G213,Sell!G:L,1,0)</f>
        <v>#N/A</v>
      </c>
      <c r="N213" s="13">
        <f>IFERROR(VLOOKUP(G213,Sell!G:L,2,0),0)</f>
        <v>0</v>
      </c>
      <c r="O213" s="12">
        <f>IFERROR(VLOOKUP(G213,Sell!G:L,6,0),0)</f>
        <v>0</v>
      </c>
      <c r="P213" s="13">
        <f t="shared" si="21"/>
        <v>0</v>
      </c>
      <c r="Q213" s="12">
        <f t="shared" si="23"/>
        <v>0</v>
      </c>
      <c r="R213" s="12">
        <f t="shared" si="24"/>
        <v>0</v>
      </c>
      <c r="S213" s="12">
        <f t="shared" si="25"/>
        <v>0</v>
      </c>
      <c r="T213" s="12">
        <f t="shared" si="26"/>
        <v>0</v>
      </c>
      <c r="U213" s="14" t="str">
        <f t="shared" si="27"/>
        <v/>
      </c>
    </row>
    <row r="214" spans="12:21" x14ac:dyDescent="0.25">
      <c r="L214" s="18">
        <f t="shared" si="22"/>
        <v>0</v>
      </c>
      <c r="M214" s="13" t="e">
        <f>VLOOKUP(G214,Sell!G:L,1,0)</f>
        <v>#N/A</v>
      </c>
      <c r="N214" s="13">
        <f>IFERROR(VLOOKUP(G214,Sell!G:L,2,0),0)</f>
        <v>0</v>
      </c>
      <c r="O214" s="12">
        <f>IFERROR(VLOOKUP(G214,Sell!G:L,6,0),0)</f>
        <v>0</v>
      </c>
      <c r="P214" s="13">
        <f t="shared" si="21"/>
        <v>0</v>
      </c>
      <c r="Q214" s="12">
        <f t="shared" si="23"/>
        <v>0</v>
      </c>
      <c r="R214" s="12">
        <f t="shared" si="24"/>
        <v>0</v>
      </c>
      <c r="S214" s="12">
        <f t="shared" si="25"/>
        <v>0</v>
      </c>
      <c r="T214" s="12">
        <f t="shared" si="26"/>
        <v>0</v>
      </c>
      <c r="U214" s="14" t="str">
        <f t="shared" si="27"/>
        <v/>
      </c>
    </row>
    <row r="215" spans="12:21" x14ac:dyDescent="0.25">
      <c r="L215" s="18">
        <f t="shared" si="22"/>
        <v>0</v>
      </c>
      <c r="M215" s="13" t="e">
        <f>VLOOKUP(G215,Sell!G:L,1,0)</f>
        <v>#N/A</v>
      </c>
      <c r="N215" s="13">
        <f>IFERROR(VLOOKUP(G215,Sell!G:L,2,0),0)</f>
        <v>0</v>
      </c>
      <c r="O215" s="12">
        <f>IFERROR(VLOOKUP(G215,Sell!G:L,6,0),0)</f>
        <v>0</v>
      </c>
      <c r="P215" s="13">
        <f t="shared" si="21"/>
        <v>0</v>
      </c>
      <c r="Q215" s="12">
        <f t="shared" si="23"/>
        <v>0</v>
      </c>
      <c r="R215" s="12">
        <f t="shared" si="24"/>
        <v>0</v>
      </c>
      <c r="S215" s="12">
        <f t="shared" si="25"/>
        <v>0</v>
      </c>
      <c r="T215" s="12">
        <f t="shared" si="26"/>
        <v>0</v>
      </c>
      <c r="U215" s="14" t="str">
        <f t="shared" si="27"/>
        <v/>
      </c>
    </row>
    <row r="216" spans="12:21" x14ac:dyDescent="0.25">
      <c r="L216" s="18">
        <f t="shared" si="22"/>
        <v>0</v>
      </c>
      <c r="M216" s="13" t="e">
        <f>VLOOKUP(G216,Sell!G:L,1,0)</f>
        <v>#N/A</v>
      </c>
      <c r="N216" s="13">
        <f>IFERROR(VLOOKUP(G216,Sell!G:L,2,0),0)</f>
        <v>0</v>
      </c>
      <c r="O216" s="12">
        <f>IFERROR(VLOOKUP(G216,Sell!G:L,6,0),0)</f>
        <v>0</v>
      </c>
      <c r="P216" s="13">
        <f t="shared" si="21"/>
        <v>0</v>
      </c>
      <c r="Q216" s="12">
        <f t="shared" si="23"/>
        <v>0</v>
      </c>
      <c r="R216" s="12">
        <f t="shared" si="24"/>
        <v>0</v>
      </c>
      <c r="S216" s="12">
        <f t="shared" si="25"/>
        <v>0</v>
      </c>
      <c r="T216" s="12">
        <f t="shared" si="26"/>
        <v>0</v>
      </c>
      <c r="U216" s="14" t="str">
        <f t="shared" si="27"/>
        <v/>
      </c>
    </row>
    <row r="217" spans="12:21" x14ac:dyDescent="0.25">
      <c r="L217" s="18">
        <f t="shared" si="22"/>
        <v>0</v>
      </c>
      <c r="M217" s="13" t="e">
        <f>VLOOKUP(G217,Sell!G:L,1,0)</f>
        <v>#N/A</v>
      </c>
      <c r="N217" s="13">
        <f>IFERROR(VLOOKUP(G217,Sell!G:L,2,0),0)</f>
        <v>0</v>
      </c>
      <c r="O217" s="12">
        <f>IFERROR(VLOOKUP(G217,Sell!G:L,6,0),0)</f>
        <v>0</v>
      </c>
      <c r="P217" s="13">
        <f t="shared" si="21"/>
        <v>0</v>
      </c>
      <c r="Q217" s="12">
        <f t="shared" si="23"/>
        <v>0</v>
      </c>
      <c r="R217" s="12">
        <f t="shared" si="24"/>
        <v>0</v>
      </c>
      <c r="S217" s="12">
        <f t="shared" si="25"/>
        <v>0</v>
      </c>
      <c r="T217" s="12">
        <f t="shared" si="26"/>
        <v>0</v>
      </c>
      <c r="U217" s="14" t="str">
        <f t="shared" si="27"/>
        <v/>
      </c>
    </row>
    <row r="218" spans="12:21" x14ac:dyDescent="0.25">
      <c r="L218" s="18">
        <f t="shared" si="22"/>
        <v>0</v>
      </c>
      <c r="M218" s="13" t="e">
        <f>VLOOKUP(G218,Sell!G:L,1,0)</f>
        <v>#N/A</v>
      </c>
      <c r="N218" s="13">
        <f>IFERROR(VLOOKUP(G218,Sell!G:L,2,0),0)</f>
        <v>0</v>
      </c>
      <c r="O218" s="12">
        <f>IFERROR(VLOOKUP(G218,Sell!G:L,6,0),0)</f>
        <v>0</v>
      </c>
      <c r="P218" s="13">
        <f t="shared" si="21"/>
        <v>0</v>
      </c>
      <c r="Q218" s="12">
        <f t="shared" si="23"/>
        <v>0</v>
      </c>
      <c r="R218" s="12">
        <f t="shared" si="24"/>
        <v>0</v>
      </c>
      <c r="S218" s="12">
        <f t="shared" si="25"/>
        <v>0</v>
      </c>
      <c r="T218" s="12">
        <f t="shared" si="26"/>
        <v>0</v>
      </c>
      <c r="U218" s="14" t="str">
        <f t="shared" si="27"/>
        <v/>
      </c>
    </row>
    <row r="219" spans="12:21" x14ac:dyDescent="0.25">
      <c r="L219" s="18">
        <f t="shared" si="22"/>
        <v>0</v>
      </c>
      <c r="M219" s="13" t="e">
        <f>VLOOKUP(G219,Sell!G:L,1,0)</f>
        <v>#N/A</v>
      </c>
      <c r="N219" s="13">
        <f>IFERROR(VLOOKUP(G219,Sell!G:L,2,0),0)</f>
        <v>0</v>
      </c>
      <c r="O219" s="12">
        <f>IFERROR(VLOOKUP(G219,Sell!G:L,6,0),0)</f>
        <v>0</v>
      </c>
      <c r="P219" s="13">
        <f t="shared" si="21"/>
        <v>0</v>
      </c>
      <c r="Q219" s="12">
        <f t="shared" si="23"/>
        <v>0</v>
      </c>
      <c r="R219" s="12">
        <f t="shared" si="24"/>
        <v>0</v>
      </c>
      <c r="S219" s="12">
        <f t="shared" si="25"/>
        <v>0</v>
      </c>
      <c r="T219" s="12">
        <f t="shared" si="26"/>
        <v>0</v>
      </c>
      <c r="U219" s="14" t="str">
        <f t="shared" si="27"/>
        <v/>
      </c>
    </row>
    <row r="220" spans="12:21" x14ac:dyDescent="0.25">
      <c r="L220" s="18">
        <f t="shared" si="22"/>
        <v>0</v>
      </c>
      <c r="M220" s="13" t="e">
        <f>VLOOKUP(G220,Sell!G:L,1,0)</f>
        <v>#N/A</v>
      </c>
      <c r="N220" s="13">
        <f>IFERROR(VLOOKUP(G220,Sell!G:L,2,0),0)</f>
        <v>0</v>
      </c>
      <c r="O220" s="12">
        <f>IFERROR(VLOOKUP(G220,Sell!G:L,6,0),0)</f>
        <v>0</v>
      </c>
      <c r="P220" s="13">
        <f t="shared" si="21"/>
        <v>0</v>
      </c>
      <c r="Q220" s="12">
        <f t="shared" si="23"/>
        <v>0</v>
      </c>
      <c r="R220" s="12">
        <f t="shared" si="24"/>
        <v>0</v>
      </c>
      <c r="S220" s="12">
        <f t="shared" si="25"/>
        <v>0</v>
      </c>
      <c r="T220" s="12">
        <f t="shared" si="26"/>
        <v>0</v>
      </c>
      <c r="U220" s="14" t="str">
        <f t="shared" si="27"/>
        <v/>
      </c>
    </row>
    <row r="221" spans="12:21" x14ac:dyDescent="0.25">
      <c r="L221" s="18">
        <f t="shared" si="22"/>
        <v>0</v>
      </c>
      <c r="M221" s="13" t="e">
        <f>VLOOKUP(G221,Sell!G:L,1,0)</f>
        <v>#N/A</v>
      </c>
      <c r="N221" s="13">
        <f>IFERROR(VLOOKUP(G221,Sell!G:L,2,0),0)</f>
        <v>0</v>
      </c>
      <c r="O221" s="12">
        <f>IFERROR(VLOOKUP(G221,Sell!G:L,6,0),0)</f>
        <v>0</v>
      </c>
      <c r="P221" s="13">
        <f t="shared" si="21"/>
        <v>0</v>
      </c>
      <c r="Q221" s="12">
        <f t="shared" si="23"/>
        <v>0</v>
      </c>
      <c r="R221" s="12">
        <f t="shared" si="24"/>
        <v>0</v>
      </c>
      <c r="S221" s="12">
        <f t="shared" si="25"/>
        <v>0</v>
      </c>
      <c r="T221" s="12">
        <f t="shared" si="26"/>
        <v>0</v>
      </c>
      <c r="U221" s="14" t="str">
        <f t="shared" si="27"/>
        <v/>
      </c>
    </row>
    <row r="222" spans="12:21" x14ac:dyDescent="0.25">
      <c r="L222" s="18">
        <f t="shared" si="22"/>
        <v>0</v>
      </c>
      <c r="M222" s="13" t="e">
        <f>VLOOKUP(G222,Sell!G:L,1,0)</f>
        <v>#N/A</v>
      </c>
      <c r="N222" s="13">
        <f>IFERROR(VLOOKUP(G222,Sell!G:L,2,0),0)</f>
        <v>0</v>
      </c>
      <c r="O222" s="12">
        <f>IFERROR(VLOOKUP(G222,Sell!G:L,6,0),0)</f>
        <v>0</v>
      </c>
      <c r="P222" s="13">
        <f t="shared" si="21"/>
        <v>0</v>
      </c>
      <c r="Q222" s="12">
        <f t="shared" si="23"/>
        <v>0</v>
      </c>
      <c r="R222" s="12">
        <f t="shared" si="24"/>
        <v>0</v>
      </c>
      <c r="S222" s="12">
        <f t="shared" si="25"/>
        <v>0</v>
      </c>
      <c r="T222" s="12">
        <f t="shared" si="26"/>
        <v>0</v>
      </c>
      <c r="U222" s="14" t="str">
        <f t="shared" si="27"/>
        <v/>
      </c>
    </row>
    <row r="223" spans="12:21" x14ac:dyDescent="0.25">
      <c r="L223" s="18">
        <f t="shared" si="22"/>
        <v>0</v>
      </c>
      <c r="M223" s="13" t="e">
        <f>VLOOKUP(G223,Sell!G:L,1,0)</f>
        <v>#N/A</v>
      </c>
      <c r="N223" s="13">
        <f>IFERROR(VLOOKUP(G223,Sell!G:L,2,0),0)</f>
        <v>0</v>
      </c>
      <c r="O223" s="12">
        <f>IFERROR(VLOOKUP(G223,Sell!G:L,6,0),0)</f>
        <v>0</v>
      </c>
      <c r="P223" s="13">
        <f t="shared" si="21"/>
        <v>0</v>
      </c>
      <c r="Q223" s="12">
        <f t="shared" si="23"/>
        <v>0</v>
      </c>
      <c r="R223" s="12">
        <f t="shared" si="24"/>
        <v>0</v>
      </c>
      <c r="S223" s="12">
        <f t="shared" si="25"/>
        <v>0</v>
      </c>
      <c r="T223" s="12">
        <f t="shared" si="26"/>
        <v>0</v>
      </c>
      <c r="U223" s="14" t="str">
        <f t="shared" si="27"/>
        <v/>
      </c>
    </row>
    <row r="224" spans="12:21" x14ac:dyDescent="0.25">
      <c r="L224" s="18">
        <f t="shared" si="22"/>
        <v>0</v>
      </c>
      <c r="M224" s="13" t="e">
        <f>VLOOKUP(G224,Sell!G:L,1,0)</f>
        <v>#N/A</v>
      </c>
      <c r="N224" s="13">
        <f>IFERROR(VLOOKUP(G224,Sell!G:L,2,0),0)</f>
        <v>0</v>
      </c>
      <c r="O224" s="12">
        <f>IFERROR(VLOOKUP(G224,Sell!G:L,6,0),0)</f>
        <v>0</v>
      </c>
      <c r="P224" s="13">
        <f t="shared" si="21"/>
        <v>0</v>
      </c>
      <c r="Q224" s="12">
        <f t="shared" si="23"/>
        <v>0</v>
      </c>
      <c r="R224" s="12">
        <f t="shared" si="24"/>
        <v>0</v>
      </c>
      <c r="S224" s="12">
        <f t="shared" si="25"/>
        <v>0</v>
      </c>
      <c r="T224" s="12">
        <f t="shared" si="26"/>
        <v>0</v>
      </c>
      <c r="U224" s="14" t="str">
        <f t="shared" si="27"/>
        <v/>
      </c>
    </row>
    <row r="225" spans="12:21" x14ac:dyDescent="0.25">
      <c r="L225" s="18">
        <f t="shared" si="22"/>
        <v>0</v>
      </c>
      <c r="M225" s="13" t="e">
        <f>VLOOKUP(G225,Sell!G:L,1,0)</f>
        <v>#N/A</v>
      </c>
      <c r="N225" s="13">
        <f>IFERROR(VLOOKUP(G225,Sell!G:L,2,0),0)</f>
        <v>0</v>
      </c>
      <c r="O225" s="12">
        <f>IFERROR(VLOOKUP(G225,Sell!G:L,6,0),0)</f>
        <v>0</v>
      </c>
      <c r="P225" s="13">
        <f t="shared" si="21"/>
        <v>0</v>
      </c>
      <c r="Q225" s="12">
        <f t="shared" si="23"/>
        <v>0</v>
      </c>
      <c r="R225" s="12">
        <f t="shared" si="24"/>
        <v>0</v>
      </c>
      <c r="S225" s="12">
        <f t="shared" si="25"/>
        <v>0</v>
      </c>
      <c r="T225" s="12">
        <f t="shared" si="26"/>
        <v>0</v>
      </c>
      <c r="U225" s="14" t="str">
        <f t="shared" si="27"/>
        <v/>
      </c>
    </row>
    <row r="226" spans="12:21" x14ac:dyDescent="0.25">
      <c r="L226" s="18">
        <f t="shared" si="22"/>
        <v>0</v>
      </c>
      <c r="M226" s="13" t="e">
        <f>VLOOKUP(G226,Sell!G:L,1,0)</f>
        <v>#N/A</v>
      </c>
      <c r="N226" s="13">
        <f>IFERROR(VLOOKUP(G226,Sell!G:L,2,0),0)</f>
        <v>0</v>
      </c>
      <c r="O226" s="12">
        <f>IFERROR(VLOOKUP(G226,Sell!G:L,6,0),0)</f>
        <v>0</v>
      </c>
      <c r="P226" s="13">
        <f t="shared" si="21"/>
        <v>0</v>
      </c>
      <c r="Q226" s="12">
        <f t="shared" si="23"/>
        <v>0</v>
      </c>
      <c r="R226" s="12">
        <f t="shared" si="24"/>
        <v>0</v>
      </c>
      <c r="S226" s="12">
        <f t="shared" si="25"/>
        <v>0</v>
      </c>
      <c r="T226" s="12">
        <f t="shared" si="26"/>
        <v>0</v>
      </c>
      <c r="U226" s="14" t="str">
        <f t="shared" si="27"/>
        <v/>
      </c>
    </row>
    <row r="227" spans="12:21" x14ac:dyDescent="0.25">
      <c r="L227" s="18">
        <f t="shared" si="22"/>
        <v>0</v>
      </c>
      <c r="M227" s="13" t="e">
        <f>VLOOKUP(G227,Sell!G:L,1,0)</f>
        <v>#N/A</v>
      </c>
      <c r="N227" s="13">
        <f>IFERROR(VLOOKUP(G227,Sell!G:L,2,0),0)</f>
        <v>0</v>
      </c>
      <c r="O227" s="12">
        <f>IFERROR(VLOOKUP(G227,Sell!G:L,6,0),0)</f>
        <v>0</v>
      </c>
      <c r="P227" s="13">
        <f t="shared" si="21"/>
        <v>0</v>
      </c>
      <c r="Q227" s="12">
        <f t="shared" si="23"/>
        <v>0</v>
      </c>
      <c r="R227" s="12">
        <f t="shared" si="24"/>
        <v>0</v>
      </c>
      <c r="S227" s="12">
        <f t="shared" si="25"/>
        <v>0</v>
      </c>
      <c r="T227" s="12">
        <f t="shared" si="26"/>
        <v>0</v>
      </c>
      <c r="U227" s="14" t="str">
        <f t="shared" si="27"/>
        <v/>
      </c>
    </row>
    <row r="228" spans="12:21" x14ac:dyDescent="0.25">
      <c r="L228" s="18">
        <f t="shared" si="22"/>
        <v>0</v>
      </c>
      <c r="M228" s="13" t="e">
        <f>VLOOKUP(G228,Sell!G:L,1,0)</f>
        <v>#N/A</v>
      </c>
      <c r="N228" s="13">
        <f>IFERROR(VLOOKUP(G228,Sell!G:L,2,0),0)</f>
        <v>0</v>
      </c>
      <c r="O228" s="12">
        <f>IFERROR(VLOOKUP(G228,Sell!G:L,6,0),0)</f>
        <v>0</v>
      </c>
      <c r="P228" s="13">
        <f t="shared" si="21"/>
        <v>0</v>
      </c>
      <c r="Q228" s="12">
        <f t="shared" si="23"/>
        <v>0</v>
      </c>
      <c r="R228" s="12">
        <f t="shared" si="24"/>
        <v>0</v>
      </c>
      <c r="S228" s="12">
        <f t="shared" si="25"/>
        <v>0</v>
      </c>
      <c r="T228" s="12">
        <f t="shared" si="26"/>
        <v>0</v>
      </c>
      <c r="U228" s="14" t="str">
        <f t="shared" si="27"/>
        <v/>
      </c>
    </row>
    <row r="229" spans="12:21" x14ac:dyDescent="0.25">
      <c r="L229" s="18">
        <f t="shared" si="22"/>
        <v>0</v>
      </c>
      <c r="M229" s="13" t="e">
        <f>VLOOKUP(G229,Sell!G:L,1,0)</f>
        <v>#N/A</v>
      </c>
      <c r="N229" s="13">
        <f>IFERROR(VLOOKUP(G229,Sell!G:L,2,0),0)</f>
        <v>0</v>
      </c>
      <c r="O229" s="12">
        <f>IFERROR(VLOOKUP(G229,Sell!G:L,6,0),0)</f>
        <v>0</v>
      </c>
      <c r="P229" s="13">
        <f t="shared" si="21"/>
        <v>0</v>
      </c>
      <c r="Q229" s="12">
        <f t="shared" si="23"/>
        <v>0</v>
      </c>
      <c r="R229" s="12">
        <f t="shared" si="24"/>
        <v>0</v>
      </c>
      <c r="S229" s="12">
        <f t="shared" si="25"/>
        <v>0</v>
      </c>
      <c r="T229" s="12">
        <f t="shared" si="26"/>
        <v>0</v>
      </c>
      <c r="U229" s="14" t="str">
        <f t="shared" si="27"/>
        <v/>
      </c>
    </row>
    <row r="230" spans="12:21" x14ac:dyDescent="0.25">
      <c r="L230" s="18">
        <f t="shared" si="22"/>
        <v>0</v>
      </c>
      <c r="M230" s="13" t="e">
        <f>VLOOKUP(G230,Sell!G:L,1,0)</f>
        <v>#N/A</v>
      </c>
      <c r="N230" s="13">
        <f>IFERROR(VLOOKUP(G230,Sell!G:L,2,0),0)</f>
        <v>0</v>
      </c>
      <c r="O230" s="12">
        <f>IFERROR(VLOOKUP(G230,Sell!G:L,6,0),0)</f>
        <v>0</v>
      </c>
      <c r="P230" s="13">
        <f t="shared" si="21"/>
        <v>0</v>
      </c>
      <c r="Q230" s="12">
        <f t="shared" si="23"/>
        <v>0</v>
      </c>
      <c r="R230" s="12">
        <f t="shared" si="24"/>
        <v>0</v>
      </c>
      <c r="S230" s="12">
        <f t="shared" si="25"/>
        <v>0</v>
      </c>
      <c r="T230" s="12">
        <f t="shared" si="26"/>
        <v>0</v>
      </c>
      <c r="U230" s="14" t="str">
        <f t="shared" si="27"/>
        <v/>
      </c>
    </row>
    <row r="231" spans="12:21" x14ac:dyDescent="0.25">
      <c r="L231" s="18">
        <f t="shared" si="22"/>
        <v>0</v>
      </c>
      <c r="M231" s="13" t="e">
        <f>VLOOKUP(G231,Sell!G:L,1,0)</f>
        <v>#N/A</v>
      </c>
      <c r="N231" s="13">
        <f>IFERROR(VLOOKUP(G231,Sell!G:L,2,0),0)</f>
        <v>0</v>
      </c>
      <c r="O231" s="12">
        <f>IFERROR(VLOOKUP(G231,Sell!G:L,6,0),0)</f>
        <v>0</v>
      </c>
      <c r="P231" s="13">
        <f t="shared" si="21"/>
        <v>0</v>
      </c>
      <c r="Q231" s="12">
        <f t="shared" si="23"/>
        <v>0</v>
      </c>
      <c r="R231" s="12">
        <f t="shared" si="24"/>
        <v>0</v>
      </c>
      <c r="S231" s="12">
        <f t="shared" si="25"/>
        <v>0</v>
      </c>
      <c r="T231" s="12">
        <f t="shared" si="26"/>
        <v>0</v>
      </c>
      <c r="U231" s="14" t="str">
        <f t="shared" si="27"/>
        <v/>
      </c>
    </row>
    <row r="232" spans="12:21" x14ac:dyDescent="0.25">
      <c r="L232" s="18">
        <f t="shared" si="22"/>
        <v>0</v>
      </c>
      <c r="M232" s="13" t="e">
        <f>VLOOKUP(G232,Sell!G:L,1,0)</f>
        <v>#N/A</v>
      </c>
      <c r="N232" s="13">
        <f>IFERROR(VLOOKUP(G232,Sell!G:L,2,0),0)</f>
        <v>0</v>
      </c>
      <c r="O232" s="12">
        <f>IFERROR(VLOOKUP(G232,Sell!G:L,6,0),0)</f>
        <v>0</v>
      </c>
      <c r="P232" s="13">
        <f t="shared" si="21"/>
        <v>0</v>
      </c>
      <c r="Q232" s="12">
        <f t="shared" si="23"/>
        <v>0</v>
      </c>
      <c r="R232" s="12">
        <f t="shared" si="24"/>
        <v>0</v>
      </c>
      <c r="S232" s="12">
        <f t="shared" si="25"/>
        <v>0</v>
      </c>
      <c r="T232" s="12">
        <f t="shared" si="26"/>
        <v>0</v>
      </c>
      <c r="U232" s="14" t="str">
        <f t="shared" si="27"/>
        <v/>
      </c>
    </row>
    <row r="233" spans="12:21" x14ac:dyDescent="0.25">
      <c r="L233" s="18">
        <f t="shared" si="22"/>
        <v>0</v>
      </c>
      <c r="M233" s="13" t="e">
        <f>VLOOKUP(G233,Sell!G:L,1,0)</f>
        <v>#N/A</v>
      </c>
      <c r="N233" s="13">
        <f>IFERROR(VLOOKUP(G233,Sell!G:L,2,0),0)</f>
        <v>0</v>
      </c>
      <c r="O233" s="12">
        <f>IFERROR(VLOOKUP(G233,Sell!G:L,6,0),0)</f>
        <v>0</v>
      </c>
      <c r="P233" s="13">
        <f t="shared" si="21"/>
        <v>0</v>
      </c>
      <c r="Q233" s="12">
        <f t="shared" si="23"/>
        <v>0</v>
      </c>
      <c r="R233" s="12">
        <f t="shared" si="24"/>
        <v>0</v>
      </c>
      <c r="S233" s="12">
        <f t="shared" si="25"/>
        <v>0</v>
      </c>
      <c r="T233" s="12">
        <f t="shared" si="26"/>
        <v>0</v>
      </c>
      <c r="U233" s="14" t="str">
        <f t="shared" si="27"/>
        <v/>
      </c>
    </row>
    <row r="234" spans="12:21" x14ac:dyDescent="0.25">
      <c r="L234" s="18">
        <f t="shared" si="22"/>
        <v>0</v>
      </c>
      <c r="M234" s="13" t="e">
        <f>VLOOKUP(G234,Sell!G:L,1,0)</f>
        <v>#N/A</v>
      </c>
      <c r="N234" s="13">
        <f>IFERROR(VLOOKUP(G234,Sell!G:L,2,0),0)</f>
        <v>0</v>
      </c>
      <c r="O234" s="12">
        <f>IFERROR(VLOOKUP(G234,Sell!G:L,6,0),0)</f>
        <v>0</v>
      </c>
      <c r="P234" s="13">
        <f t="shared" si="21"/>
        <v>0</v>
      </c>
      <c r="Q234" s="12">
        <f t="shared" si="23"/>
        <v>0</v>
      </c>
      <c r="R234" s="12">
        <f t="shared" si="24"/>
        <v>0</v>
      </c>
      <c r="S234" s="12">
        <f t="shared" si="25"/>
        <v>0</v>
      </c>
      <c r="T234" s="12">
        <f t="shared" si="26"/>
        <v>0</v>
      </c>
      <c r="U234" s="14" t="str">
        <f t="shared" si="27"/>
        <v/>
      </c>
    </row>
    <row r="235" spans="12:21" x14ac:dyDescent="0.25">
      <c r="L235" s="18">
        <f t="shared" si="22"/>
        <v>0</v>
      </c>
      <c r="M235" s="13" t="e">
        <f>VLOOKUP(G235,Sell!G:L,1,0)</f>
        <v>#N/A</v>
      </c>
      <c r="N235" s="13">
        <f>IFERROR(VLOOKUP(G235,Sell!G:L,2,0),0)</f>
        <v>0</v>
      </c>
      <c r="O235" s="12">
        <f>IFERROR(VLOOKUP(G235,Sell!G:L,6,0),0)</f>
        <v>0</v>
      </c>
      <c r="P235" s="13">
        <f t="shared" si="21"/>
        <v>0</v>
      </c>
      <c r="Q235" s="12">
        <f t="shared" si="23"/>
        <v>0</v>
      </c>
      <c r="R235" s="12">
        <f t="shared" si="24"/>
        <v>0</v>
      </c>
      <c r="S235" s="12">
        <f t="shared" si="25"/>
        <v>0</v>
      </c>
      <c r="T235" s="12">
        <f t="shared" si="26"/>
        <v>0</v>
      </c>
      <c r="U235" s="14" t="str">
        <f t="shared" si="27"/>
        <v/>
      </c>
    </row>
    <row r="236" spans="12:21" x14ac:dyDescent="0.25">
      <c r="L236" s="18">
        <f t="shared" si="22"/>
        <v>0</v>
      </c>
      <c r="M236" s="13" t="e">
        <f>VLOOKUP(G236,Sell!G:L,1,0)</f>
        <v>#N/A</v>
      </c>
      <c r="N236" s="13">
        <f>IFERROR(VLOOKUP(G236,Sell!G:L,2,0),0)</f>
        <v>0</v>
      </c>
      <c r="O236" s="12">
        <f>IFERROR(VLOOKUP(G236,Sell!G:L,6,0),0)</f>
        <v>0</v>
      </c>
      <c r="P236" s="13">
        <f t="shared" si="21"/>
        <v>0</v>
      </c>
      <c r="Q236" s="12">
        <f t="shared" si="23"/>
        <v>0</v>
      </c>
      <c r="R236" s="12">
        <f t="shared" si="24"/>
        <v>0</v>
      </c>
      <c r="S236" s="12">
        <f t="shared" si="25"/>
        <v>0</v>
      </c>
      <c r="T236" s="12">
        <f t="shared" si="26"/>
        <v>0</v>
      </c>
      <c r="U236" s="14" t="str">
        <f t="shared" si="27"/>
        <v/>
      </c>
    </row>
    <row r="237" spans="12:21" x14ac:dyDescent="0.25">
      <c r="L237" s="18">
        <f t="shared" si="22"/>
        <v>0</v>
      </c>
      <c r="M237" s="13" t="e">
        <f>VLOOKUP(G237,Sell!G:L,1,0)</f>
        <v>#N/A</v>
      </c>
      <c r="N237" s="13">
        <f>IFERROR(VLOOKUP(G237,Sell!G:L,2,0),0)</f>
        <v>0</v>
      </c>
      <c r="O237" s="12">
        <f>IFERROR(VLOOKUP(G237,Sell!G:L,6,0),0)</f>
        <v>0</v>
      </c>
      <c r="P237" s="13">
        <f t="shared" si="21"/>
        <v>0</v>
      </c>
      <c r="Q237" s="12">
        <f t="shared" si="23"/>
        <v>0</v>
      </c>
      <c r="R237" s="12">
        <f t="shared" si="24"/>
        <v>0</v>
      </c>
      <c r="S237" s="12">
        <f t="shared" si="25"/>
        <v>0</v>
      </c>
      <c r="T237" s="12">
        <f t="shared" si="26"/>
        <v>0</v>
      </c>
      <c r="U237" s="14" t="str">
        <f t="shared" si="27"/>
        <v/>
      </c>
    </row>
    <row r="238" spans="12:21" x14ac:dyDescent="0.25">
      <c r="L238" s="18">
        <f t="shared" si="22"/>
        <v>0</v>
      </c>
      <c r="M238" s="13" t="e">
        <f>VLOOKUP(G238,Sell!G:L,1,0)</f>
        <v>#N/A</v>
      </c>
      <c r="N238" s="13">
        <f>IFERROR(VLOOKUP(G238,Sell!G:L,2,0),0)</f>
        <v>0</v>
      </c>
      <c r="O238" s="12">
        <f>IFERROR(VLOOKUP(G238,Sell!G:L,6,0),0)</f>
        <v>0</v>
      </c>
      <c r="P238" s="13">
        <f t="shared" si="21"/>
        <v>0</v>
      </c>
      <c r="Q238" s="12">
        <f t="shared" si="23"/>
        <v>0</v>
      </c>
      <c r="R238" s="12">
        <f t="shared" si="24"/>
        <v>0</v>
      </c>
      <c r="S238" s="12">
        <f t="shared" si="25"/>
        <v>0</v>
      </c>
      <c r="T238" s="12">
        <f t="shared" si="26"/>
        <v>0</v>
      </c>
      <c r="U238" s="14" t="str">
        <f t="shared" si="27"/>
        <v/>
      </c>
    </row>
    <row r="239" spans="12:21" x14ac:dyDescent="0.25">
      <c r="L239" s="18">
        <f t="shared" si="22"/>
        <v>0</v>
      </c>
      <c r="M239" s="13" t="e">
        <f>VLOOKUP(G239,Sell!G:L,1,0)</f>
        <v>#N/A</v>
      </c>
      <c r="N239" s="13">
        <f>IFERROR(VLOOKUP(G239,Sell!G:L,2,0),0)</f>
        <v>0</v>
      </c>
      <c r="O239" s="12">
        <f>IFERROR(VLOOKUP(G239,Sell!G:L,6,0),0)</f>
        <v>0</v>
      </c>
      <c r="P239" s="13">
        <f t="shared" si="21"/>
        <v>0</v>
      </c>
      <c r="Q239" s="12">
        <f t="shared" si="23"/>
        <v>0</v>
      </c>
      <c r="R239" s="12">
        <f t="shared" si="24"/>
        <v>0</v>
      </c>
      <c r="S239" s="12">
        <f t="shared" si="25"/>
        <v>0</v>
      </c>
      <c r="T239" s="12">
        <f t="shared" si="26"/>
        <v>0</v>
      </c>
      <c r="U239" s="14" t="str">
        <f t="shared" si="27"/>
        <v/>
      </c>
    </row>
    <row r="240" spans="12:21" x14ac:dyDescent="0.25">
      <c r="L240" s="18">
        <f t="shared" si="22"/>
        <v>0</v>
      </c>
      <c r="M240" s="13" t="e">
        <f>VLOOKUP(G240,Sell!G:L,1,0)</f>
        <v>#N/A</v>
      </c>
      <c r="N240" s="13">
        <f>IFERROR(VLOOKUP(G240,Sell!G:L,2,0),0)</f>
        <v>0</v>
      </c>
      <c r="O240" s="12">
        <f>IFERROR(VLOOKUP(G240,Sell!G:L,6,0),0)</f>
        <v>0</v>
      </c>
      <c r="P240" s="13">
        <f t="shared" si="21"/>
        <v>0</v>
      </c>
      <c r="Q240" s="12">
        <f t="shared" si="23"/>
        <v>0</v>
      </c>
      <c r="R240" s="12">
        <f t="shared" si="24"/>
        <v>0</v>
      </c>
      <c r="S240" s="12">
        <f t="shared" si="25"/>
        <v>0</v>
      </c>
      <c r="T240" s="12">
        <f t="shared" si="26"/>
        <v>0</v>
      </c>
      <c r="U240" s="14" t="str">
        <f t="shared" si="27"/>
        <v/>
      </c>
    </row>
    <row r="241" spans="12:21" x14ac:dyDescent="0.25">
      <c r="L241" s="18">
        <f t="shared" si="22"/>
        <v>0</v>
      </c>
      <c r="M241" s="13" t="e">
        <f>VLOOKUP(G241,Sell!G:L,1,0)</f>
        <v>#N/A</v>
      </c>
      <c r="N241" s="13">
        <f>IFERROR(VLOOKUP(G241,Sell!G:L,2,0),0)</f>
        <v>0</v>
      </c>
      <c r="O241" s="12">
        <f>IFERROR(VLOOKUP(G241,Sell!G:L,6,0),0)</f>
        <v>0</v>
      </c>
      <c r="P241" s="13">
        <f t="shared" si="21"/>
        <v>0</v>
      </c>
      <c r="Q241" s="12">
        <f t="shared" si="23"/>
        <v>0</v>
      </c>
      <c r="R241" s="12">
        <f t="shared" si="24"/>
        <v>0</v>
      </c>
      <c r="S241" s="12">
        <f t="shared" si="25"/>
        <v>0</v>
      </c>
      <c r="T241" s="12">
        <f t="shared" si="26"/>
        <v>0</v>
      </c>
      <c r="U241" s="14" t="str">
        <f t="shared" si="27"/>
        <v/>
      </c>
    </row>
    <row r="242" spans="12:21" x14ac:dyDescent="0.25">
      <c r="L242" s="18">
        <f t="shared" si="22"/>
        <v>0</v>
      </c>
      <c r="M242" s="13" t="e">
        <f>VLOOKUP(G242,Sell!G:L,1,0)</f>
        <v>#N/A</v>
      </c>
      <c r="N242" s="13">
        <f>IFERROR(VLOOKUP(G242,Sell!G:L,2,0),0)</f>
        <v>0</v>
      </c>
      <c r="O242" s="12">
        <f>IFERROR(VLOOKUP(G242,Sell!G:L,6,0),0)</f>
        <v>0</v>
      </c>
      <c r="P242" s="13">
        <f t="shared" si="21"/>
        <v>0</v>
      </c>
      <c r="Q242" s="12">
        <f t="shared" si="23"/>
        <v>0</v>
      </c>
      <c r="R242" s="12">
        <f t="shared" si="24"/>
        <v>0</v>
      </c>
      <c r="S242" s="12">
        <f t="shared" si="25"/>
        <v>0</v>
      </c>
      <c r="T242" s="12">
        <f t="shared" si="26"/>
        <v>0</v>
      </c>
      <c r="U242" s="14" t="str">
        <f t="shared" si="27"/>
        <v/>
      </c>
    </row>
    <row r="243" spans="12:21" x14ac:dyDescent="0.25">
      <c r="L243" s="18">
        <f t="shared" si="22"/>
        <v>0</v>
      </c>
      <c r="M243" s="13" t="e">
        <f>VLOOKUP(G243,Sell!G:L,1,0)</f>
        <v>#N/A</v>
      </c>
      <c r="N243" s="13">
        <f>IFERROR(VLOOKUP(G243,Sell!G:L,2,0),0)</f>
        <v>0</v>
      </c>
      <c r="O243" s="12">
        <f>IFERROR(VLOOKUP(G243,Sell!G:L,6,0),0)</f>
        <v>0</v>
      </c>
      <c r="P243" s="13">
        <f t="shared" si="21"/>
        <v>0</v>
      </c>
      <c r="Q243" s="12">
        <f t="shared" si="23"/>
        <v>0</v>
      </c>
      <c r="R243" s="12">
        <f t="shared" si="24"/>
        <v>0</v>
      </c>
      <c r="S243" s="12">
        <f t="shared" si="25"/>
        <v>0</v>
      </c>
      <c r="T243" s="12">
        <f t="shared" si="26"/>
        <v>0</v>
      </c>
      <c r="U243" s="14" t="str">
        <f t="shared" si="27"/>
        <v/>
      </c>
    </row>
    <row r="244" spans="12:21" x14ac:dyDescent="0.25">
      <c r="L244" s="18">
        <f t="shared" si="22"/>
        <v>0</v>
      </c>
      <c r="M244" s="13" t="e">
        <f>VLOOKUP(G244,Sell!G:L,1,0)</f>
        <v>#N/A</v>
      </c>
      <c r="N244" s="13">
        <f>IFERROR(VLOOKUP(G244,Sell!G:L,2,0),0)</f>
        <v>0</v>
      </c>
      <c r="O244" s="12">
        <f>IFERROR(VLOOKUP(G244,Sell!G:L,6,0),0)</f>
        <v>0</v>
      </c>
      <c r="P244" s="13">
        <f t="shared" si="21"/>
        <v>0</v>
      </c>
      <c r="Q244" s="12">
        <f t="shared" si="23"/>
        <v>0</v>
      </c>
      <c r="R244" s="12">
        <f t="shared" si="24"/>
        <v>0</v>
      </c>
      <c r="S244" s="12">
        <f t="shared" si="25"/>
        <v>0</v>
      </c>
      <c r="T244" s="12">
        <f t="shared" si="26"/>
        <v>0</v>
      </c>
      <c r="U244" s="14" t="str">
        <f t="shared" si="27"/>
        <v/>
      </c>
    </row>
    <row r="245" spans="12:21" x14ac:dyDescent="0.25">
      <c r="L245" s="18">
        <f t="shared" si="22"/>
        <v>0</v>
      </c>
      <c r="M245" s="13" t="e">
        <f>VLOOKUP(G245,Sell!G:L,1,0)</f>
        <v>#N/A</v>
      </c>
      <c r="N245" s="13">
        <f>IFERROR(VLOOKUP(G245,Sell!G:L,2,0),0)</f>
        <v>0</v>
      </c>
      <c r="O245" s="12">
        <f>IFERROR(VLOOKUP(G245,Sell!G:L,6,0),0)</f>
        <v>0</v>
      </c>
      <c r="P245" s="13">
        <f t="shared" si="21"/>
        <v>0</v>
      </c>
      <c r="Q245" s="12">
        <f t="shared" si="23"/>
        <v>0</v>
      </c>
      <c r="R245" s="12">
        <f t="shared" si="24"/>
        <v>0</v>
      </c>
      <c r="S245" s="12">
        <f t="shared" si="25"/>
        <v>0</v>
      </c>
      <c r="T245" s="12">
        <f t="shared" si="26"/>
        <v>0</v>
      </c>
      <c r="U245" s="14" t="str">
        <f t="shared" si="27"/>
        <v/>
      </c>
    </row>
    <row r="246" spans="12:21" x14ac:dyDescent="0.25">
      <c r="L246" s="18">
        <f t="shared" si="22"/>
        <v>0</v>
      </c>
      <c r="M246" s="13" t="e">
        <f>VLOOKUP(G246,Sell!G:L,1,0)</f>
        <v>#N/A</v>
      </c>
      <c r="N246" s="13">
        <f>IFERROR(VLOOKUP(G246,Sell!G:L,2,0),0)</f>
        <v>0</v>
      </c>
      <c r="O246" s="12">
        <f>IFERROR(VLOOKUP(G246,Sell!G:L,6,0),0)</f>
        <v>0</v>
      </c>
      <c r="P246" s="13">
        <f t="shared" si="21"/>
        <v>0</v>
      </c>
      <c r="Q246" s="12">
        <f t="shared" si="23"/>
        <v>0</v>
      </c>
      <c r="R246" s="12">
        <f t="shared" si="24"/>
        <v>0</v>
      </c>
      <c r="S246" s="12">
        <f t="shared" si="25"/>
        <v>0</v>
      </c>
      <c r="T246" s="12">
        <f t="shared" si="26"/>
        <v>0</v>
      </c>
      <c r="U246" s="14" t="str">
        <f t="shared" si="27"/>
        <v/>
      </c>
    </row>
    <row r="247" spans="12:21" x14ac:dyDescent="0.25">
      <c r="L247" s="18">
        <f t="shared" si="22"/>
        <v>0</v>
      </c>
      <c r="M247" s="13" t="e">
        <f>VLOOKUP(G247,Sell!G:L,1,0)</f>
        <v>#N/A</v>
      </c>
      <c r="N247" s="13">
        <f>IFERROR(VLOOKUP(G247,Sell!G:L,2,0),0)</f>
        <v>0</v>
      </c>
      <c r="O247" s="12">
        <f>IFERROR(VLOOKUP(G247,Sell!G:L,6,0),0)</f>
        <v>0</v>
      </c>
      <c r="P247" s="13">
        <f t="shared" si="21"/>
        <v>0</v>
      </c>
      <c r="Q247" s="12">
        <f t="shared" si="23"/>
        <v>0</v>
      </c>
      <c r="R247" s="12">
        <f t="shared" si="24"/>
        <v>0</v>
      </c>
      <c r="S247" s="12">
        <f t="shared" si="25"/>
        <v>0</v>
      </c>
      <c r="T247" s="12">
        <f t="shared" si="26"/>
        <v>0</v>
      </c>
      <c r="U247" s="14" t="str">
        <f t="shared" si="27"/>
        <v/>
      </c>
    </row>
    <row r="248" spans="12:21" x14ac:dyDescent="0.25">
      <c r="L248" s="18">
        <f t="shared" si="22"/>
        <v>0</v>
      </c>
      <c r="M248" s="13" t="e">
        <f>VLOOKUP(G248,Sell!G:L,1,0)</f>
        <v>#N/A</v>
      </c>
      <c r="N248" s="13">
        <f>IFERROR(VLOOKUP(G248,Sell!G:L,2,0),0)</f>
        <v>0</v>
      </c>
      <c r="O248" s="12">
        <f>IFERROR(VLOOKUP(G248,Sell!G:L,6,0),0)</f>
        <v>0</v>
      </c>
      <c r="P248" s="13">
        <f t="shared" si="21"/>
        <v>0</v>
      </c>
      <c r="Q248" s="12">
        <f t="shared" si="23"/>
        <v>0</v>
      </c>
      <c r="R248" s="12">
        <f t="shared" si="24"/>
        <v>0</v>
      </c>
      <c r="S248" s="12">
        <f t="shared" si="25"/>
        <v>0</v>
      </c>
      <c r="T248" s="12">
        <f t="shared" si="26"/>
        <v>0</v>
      </c>
      <c r="U248" s="14" t="str">
        <f t="shared" si="27"/>
        <v/>
      </c>
    </row>
    <row r="249" spans="12:21" x14ac:dyDescent="0.25">
      <c r="L249" s="18">
        <f t="shared" si="22"/>
        <v>0</v>
      </c>
      <c r="M249" s="13" t="e">
        <f>VLOOKUP(G249,Sell!G:L,1,0)</f>
        <v>#N/A</v>
      </c>
      <c r="N249" s="13">
        <f>IFERROR(VLOOKUP(G249,Sell!G:L,2,0),0)</f>
        <v>0</v>
      </c>
      <c r="O249" s="12">
        <f>IFERROR(VLOOKUP(G249,Sell!G:L,6,0),0)</f>
        <v>0</v>
      </c>
      <c r="P249" s="13">
        <f t="shared" si="21"/>
        <v>0</v>
      </c>
      <c r="Q249" s="12">
        <f t="shared" si="23"/>
        <v>0</v>
      </c>
      <c r="R249" s="12">
        <f t="shared" si="24"/>
        <v>0</v>
      </c>
      <c r="S249" s="12">
        <f t="shared" si="25"/>
        <v>0</v>
      </c>
      <c r="T249" s="12">
        <f t="shared" si="26"/>
        <v>0</v>
      </c>
      <c r="U249" s="14" t="str">
        <f t="shared" si="27"/>
        <v/>
      </c>
    </row>
    <row r="250" spans="12:21" x14ac:dyDescent="0.25">
      <c r="L250" s="18">
        <f t="shared" si="22"/>
        <v>0</v>
      </c>
      <c r="M250" s="13" t="e">
        <f>VLOOKUP(G250,Sell!G:L,1,0)</f>
        <v>#N/A</v>
      </c>
      <c r="N250" s="13">
        <f>IFERROR(VLOOKUP(G250,Sell!G:L,2,0),0)</f>
        <v>0</v>
      </c>
      <c r="O250" s="12">
        <f>IFERROR(VLOOKUP(G250,Sell!G:L,6,0),0)</f>
        <v>0</v>
      </c>
      <c r="P250" s="13">
        <f t="shared" si="21"/>
        <v>0</v>
      </c>
      <c r="Q250" s="12">
        <f t="shared" si="23"/>
        <v>0</v>
      </c>
      <c r="R250" s="12">
        <f t="shared" si="24"/>
        <v>0</v>
      </c>
      <c r="S250" s="12">
        <f t="shared" si="25"/>
        <v>0</v>
      </c>
      <c r="T250" s="12">
        <f t="shared" si="26"/>
        <v>0</v>
      </c>
      <c r="U250" s="14" t="str">
        <f t="shared" si="27"/>
        <v/>
      </c>
    </row>
    <row r="251" spans="12:21" x14ac:dyDescent="0.25">
      <c r="L251" s="18">
        <f t="shared" si="22"/>
        <v>0</v>
      </c>
      <c r="M251" s="13" t="e">
        <f>VLOOKUP(G251,Sell!G:L,1,0)</f>
        <v>#N/A</v>
      </c>
      <c r="N251" s="13">
        <f>IFERROR(VLOOKUP(G251,Sell!G:L,2,0),0)</f>
        <v>0</v>
      </c>
      <c r="O251" s="12">
        <f>IFERROR(VLOOKUP(G251,Sell!G:L,6,0),0)</f>
        <v>0</v>
      </c>
      <c r="P251" s="13">
        <f t="shared" si="21"/>
        <v>0</v>
      </c>
      <c r="Q251" s="12">
        <f t="shared" si="23"/>
        <v>0</v>
      </c>
      <c r="R251" s="12">
        <f t="shared" si="24"/>
        <v>0</v>
      </c>
      <c r="S251" s="12">
        <f t="shared" si="25"/>
        <v>0</v>
      </c>
      <c r="T251" s="12">
        <f t="shared" si="26"/>
        <v>0</v>
      </c>
      <c r="U251" s="14" t="str">
        <f t="shared" si="27"/>
        <v/>
      </c>
    </row>
    <row r="252" spans="12:21" x14ac:dyDescent="0.25">
      <c r="L252" s="18">
        <f t="shared" si="22"/>
        <v>0</v>
      </c>
      <c r="M252" s="13" t="e">
        <f>VLOOKUP(G252,Sell!G:L,1,0)</f>
        <v>#N/A</v>
      </c>
      <c r="N252" s="13">
        <f>IFERROR(VLOOKUP(G252,Sell!G:L,2,0),0)</f>
        <v>0</v>
      </c>
      <c r="O252" s="12">
        <f>IFERROR(VLOOKUP(G252,Sell!G:L,6,0),0)</f>
        <v>0</v>
      </c>
      <c r="P252" s="13">
        <f t="shared" si="21"/>
        <v>0</v>
      </c>
      <c r="Q252" s="12">
        <f t="shared" si="23"/>
        <v>0</v>
      </c>
      <c r="R252" s="12">
        <f t="shared" si="24"/>
        <v>0</v>
      </c>
      <c r="S252" s="12">
        <f t="shared" si="25"/>
        <v>0</v>
      </c>
      <c r="T252" s="12">
        <f t="shared" si="26"/>
        <v>0</v>
      </c>
      <c r="U252" s="14" t="str">
        <f t="shared" si="27"/>
        <v/>
      </c>
    </row>
    <row r="253" spans="12:21" x14ac:dyDescent="0.25">
      <c r="L253" s="18">
        <f t="shared" si="22"/>
        <v>0</v>
      </c>
      <c r="M253" s="13" t="e">
        <f>VLOOKUP(G253,Sell!G:L,1,0)</f>
        <v>#N/A</v>
      </c>
      <c r="N253" s="13">
        <f>IFERROR(VLOOKUP(G253,Sell!G:L,2,0),0)</f>
        <v>0</v>
      </c>
      <c r="O253" s="12">
        <f>IFERROR(VLOOKUP(G253,Sell!G:L,6,0),0)</f>
        <v>0</v>
      </c>
      <c r="P253" s="13">
        <f t="shared" si="21"/>
        <v>0</v>
      </c>
      <c r="Q253" s="12">
        <f t="shared" si="23"/>
        <v>0</v>
      </c>
      <c r="R253" s="12">
        <f t="shared" si="24"/>
        <v>0</v>
      </c>
      <c r="S253" s="12">
        <f t="shared" si="25"/>
        <v>0</v>
      </c>
      <c r="T253" s="12">
        <f t="shared" si="26"/>
        <v>0</v>
      </c>
      <c r="U253" s="14" t="str">
        <f t="shared" si="27"/>
        <v/>
      </c>
    </row>
    <row r="254" spans="12:21" x14ac:dyDescent="0.25">
      <c r="L254" s="18">
        <f t="shared" si="22"/>
        <v>0</v>
      </c>
      <c r="M254" s="13" t="e">
        <f>VLOOKUP(G254,Sell!G:L,1,0)</f>
        <v>#N/A</v>
      </c>
      <c r="N254" s="13">
        <f>IFERROR(VLOOKUP(G254,Sell!G:L,2,0),0)</f>
        <v>0</v>
      </c>
      <c r="O254" s="12">
        <f>IFERROR(VLOOKUP(G254,Sell!G:L,6,0),0)</f>
        <v>0</v>
      </c>
      <c r="P254" s="13">
        <f t="shared" si="21"/>
        <v>0</v>
      </c>
      <c r="Q254" s="12">
        <f t="shared" si="23"/>
        <v>0</v>
      </c>
      <c r="R254" s="12">
        <f t="shared" si="24"/>
        <v>0</v>
      </c>
      <c r="S254" s="12">
        <f t="shared" si="25"/>
        <v>0</v>
      </c>
      <c r="T254" s="12">
        <f t="shared" si="26"/>
        <v>0</v>
      </c>
      <c r="U254" s="14" t="str">
        <f t="shared" si="27"/>
        <v/>
      </c>
    </row>
    <row r="255" spans="12:21" x14ac:dyDescent="0.25">
      <c r="L255" s="18">
        <f t="shared" si="22"/>
        <v>0</v>
      </c>
      <c r="M255" s="13" t="e">
        <f>VLOOKUP(G255,Sell!G:L,1,0)</f>
        <v>#N/A</v>
      </c>
      <c r="N255" s="13">
        <f>IFERROR(VLOOKUP(G255,Sell!G:L,2,0),0)</f>
        <v>0</v>
      </c>
      <c r="O255" s="12">
        <f>IFERROR(VLOOKUP(G255,Sell!G:L,6,0),0)</f>
        <v>0</v>
      </c>
      <c r="P255" s="13">
        <f t="shared" si="21"/>
        <v>0</v>
      </c>
      <c r="Q255" s="12">
        <f t="shared" si="23"/>
        <v>0</v>
      </c>
      <c r="R255" s="12">
        <f t="shared" si="24"/>
        <v>0</v>
      </c>
      <c r="S255" s="12">
        <f t="shared" si="25"/>
        <v>0</v>
      </c>
      <c r="T255" s="12">
        <f t="shared" si="26"/>
        <v>0</v>
      </c>
      <c r="U255" s="14" t="str">
        <f t="shared" si="27"/>
        <v/>
      </c>
    </row>
    <row r="256" spans="12:21" x14ac:dyDescent="0.25">
      <c r="L256" s="18">
        <f t="shared" si="22"/>
        <v>0</v>
      </c>
      <c r="M256" s="13" t="e">
        <f>VLOOKUP(G256,Sell!G:L,1,0)</f>
        <v>#N/A</v>
      </c>
      <c r="N256" s="13">
        <f>IFERROR(VLOOKUP(G256,Sell!G:L,2,0),0)</f>
        <v>0</v>
      </c>
      <c r="O256" s="12">
        <f>IFERROR(VLOOKUP(G256,Sell!G:L,6,0),0)</f>
        <v>0</v>
      </c>
      <c r="P256" s="13">
        <f t="shared" si="21"/>
        <v>0</v>
      </c>
      <c r="Q256" s="12">
        <f t="shared" si="23"/>
        <v>0</v>
      </c>
      <c r="R256" s="12">
        <f t="shared" si="24"/>
        <v>0</v>
      </c>
      <c r="S256" s="12">
        <f t="shared" si="25"/>
        <v>0</v>
      </c>
      <c r="T256" s="12">
        <f t="shared" si="26"/>
        <v>0</v>
      </c>
      <c r="U256" s="14" t="str">
        <f t="shared" si="27"/>
        <v/>
      </c>
    </row>
    <row r="257" spans="12:21" x14ac:dyDescent="0.25">
      <c r="L257" s="18">
        <f t="shared" si="22"/>
        <v>0</v>
      </c>
      <c r="M257" s="13" t="e">
        <f>VLOOKUP(G257,Sell!G:L,1,0)</f>
        <v>#N/A</v>
      </c>
      <c r="N257" s="13">
        <f>IFERROR(VLOOKUP(G257,Sell!G:L,2,0),0)</f>
        <v>0</v>
      </c>
      <c r="O257" s="12">
        <f>IFERROR(VLOOKUP(G257,Sell!G:L,6,0),0)</f>
        <v>0</v>
      </c>
      <c r="P257" s="13">
        <f t="shared" si="21"/>
        <v>0</v>
      </c>
      <c r="Q257" s="12">
        <f t="shared" si="23"/>
        <v>0</v>
      </c>
      <c r="R257" s="12">
        <f t="shared" si="24"/>
        <v>0</v>
      </c>
      <c r="S257" s="12">
        <f t="shared" si="25"/>
        <v>0</v>
      </c>
      <c r="T257" s="12">
        <f t="shared" si="26"/>
        <v>0</v>
      </c>
      <c r="U257" s="14" t="str">
        <f t="shared" si="27"/>
        <v/>
      </c>
    </row>
    <row r="258" spans="12:21" x14ac:dyDescent="0.25">
      <c r="L258" s="18">
        <f t="shared" si="22"/>
        <v>0</v>
      </c>
      <c r="M258" s="13" t="e">
        <f>VLOOKUP(G258,Sell!G:L,1,0)</f>
        <v>#N/A</v>
      </c>
      <c r="N258" s="13">
        <f>IFERROR(VLOOKUP(G258,Sell!G:L,2,0),0)</f>
        <v>0</v>
      </c>
      <c r="O258" s="12">
        <f>IFERROR(VLOOKUP(G258,Sell!G:L,6,0),0)</f>
        <v>0</v>
      </c>
      <c r="P258" s="13">
        <f t="shared" si="21"/>
        <v>0</v>
      </c>
      <c r="Q258" s="12">
        <f t="shared" si="23"/>
        <v>0</v>
      </c>
      <c r="R258" s="12">
        <f t="shared" si="24"/>
        <v>0</v>
      </c>
      <c r="S258" s="12">
        <f t="shared" si="25"/>
        <v>0</v>
      </c>
      <c r="T258" s="12">
        <f t="shared" si="26"/>
        <v>0</v>
      </c>
      <c r="U258" s="14" t="str">
        <f t="shared" si="27"/>
        <v/>
      </c>
    </row>
    <row r="259" spans="12:21" x14ac:dyDescent="0.25">
      <c r="L259" s="18">
        <f t="shared" si="22"/>
        <v>0</v>
      </c>
      <c r="M259" s="13" t="e">
        <f>VLOOKUP(G259,Sell!G:L,1,0)</f>
        <v>#N/A</v>
      </c>
      <c r="N259" s="13">
        <f>IFERROR(VLOOKUP(G259,Sell!G:L,2,0),0)</f>
        <v>0</v>
      </c>
      <c r="O259" s="12">
        <f>IFERROR(VLOOKUP(G259,Sell!G:L,6,0),0)</f>
        <v>0</v>
      </c>
      <c r="P259" s="13">
        <f t="shared" si="21"/>
        <v>0</v>
      </c>
      <c r="Q259" s="12">
        <f t="shared" si="23"/>
        <v>0</v>
      </c>
      <c r="R259" s="12">
        <f t="shared" si="24"/>
        <v>0</v>
      </c>
      <c r="S259" s="12">
        <f t="shared" si="25"/>
        <v>0</v>
      </c>
      <c r="T259" s="12">
        <f t="shared" si="26"/>
        <v>0</v>
      </c>
      <c r="U259" s="14" t="str">
        <f t="shared" si="27"/>
        <v/>
      </c>
    </row>
    <row r="260" spans="12:21" x14ac:dyDescent="0.25">
      <c r="L260" s="18">
        <f t="shared" si="22"/>
        <v>0</v>
      </c>
      <c r="M260" s="13" t="e">
        <f>VLOOKUP(G260,Sell!G:L,1,0)</f>
        <v>#N/A</v>
      </c>
      <c r="N260" s="13">
        <f>IFERROR(VLOOKUP(G260,Sell!G:L,2,0),0)</f>
        <v>0</v>
      </c>
      <c r="O260" s="12">
        <f>IFERROR(VLOOKUP(G260,Sell!G:L,6,0),0)</f>
        <v>0</v>
      </c>
      <c r="P260" s="13">
        <f t="shared" si="21"/>
        <v>0</v>
      </c>
      <c r="Q260" s="12">
        <f t="shared" si="23"/>
        <v>0</v>
      </c>
      <c r="R260" s="12">
        <f t="shared" si="24"/>
        <v>0</v>
      </c>
      <c r="S260" s="12">
        <f t="shared" si="25"/>
        <v>0</v>
      </c>
      <c r="T260" s="12">
        <f t="shared" si="26"/>
        <v>0</v>
      </c>
      <c r="U260" s="14" t="str">
        <f t="shared" si="27"/>
        <v/>
      </c>
    </row>
    <row r="261" spans="12:21" x14ac:dyDescent="0.25">
      <c r="L261" s="18">
        <f t="shared" si="22"/>
        <v>0</v>
      </c>
      <c r="M261" s="13" t="e">
        <f>VLOOKUP(G261,Sell!G:L,1,0)</f>
        <v>#N/A</v>
      </c>
      <c r="N261" s="13">
        <f>IFERROR(VLOOKUP(G261,Sell!G:L,2,0),0)</f>
        <v>0</v>
      </c>
      <c r="O261" s="12">
        <f>IFERROR(VLOOKUP(G261,Sell!G:L,6,0),0)</f>
        <v>0</v>
      </c>
      <c r="P261" s="13">
        <f t="shared" si="21"/>
        <v>0</v>
      </c>
      <c r="Q261" s="12">
        <f t="shared" si="23"/>
        <v>0</v>
      </c>
      <c r="R261" s="12">
        <f t="shared" si="24"/>
        <v>0</v>
      </c>
      <c r="S261" s="12">
        <f t="shared" si="25"/>
        <v>0</v>
      </c>
      <c r="T261" s="12">
        <f t="shared" si="26"/>
        <v>0</v>
      </c>
      <c r="U261" s="14" t="str">
        <f t="shared" si="27"/>
        <v/>
      </c>
    </row>
    <row r="262" spans="12:21" x14ac:dyDescent="0.25">
      <c r="L262" s="18">
        <f t="shared" si="22"/>
        <v>0</v>
      </c>
      <c r="M262" s="13" t="e">
        <f>VLOOKUP(G262,Sell!G:L,1,0)</f>
        <v>#N/A</v>
      </c>
      <c r="N262" s="13">
        <f>IFERROR(VLOOKUP(G262,Sell!G:L,2,0),0)</f>
        <v>0</v>
      </c>
      <c r="O262" s="12">
        <f>IFERROR(VLOOKUP(G262,Sell!G:L,6,0),0)</f>
        <v>0</v>
      </c>
      <c r="P262" s="13">
        <f t="shared" si="21"/>
        <v>0</v>
      </c>
      <c r="Q262" s="12">
        <f t="shared" si="23"/>
        <v>0</v>
      </c>
      <c r="R262" s="12">
        <f t="shared" si="24"/>
        <v>0</v>
      </c>
      <c r="S262" s="12">
        <f t="shared" si="25"/>
        <v>0</v>
      </c>
      <c r="T262" s="12">
        <f t="shared" si="26"/>
        <v>0</v>
      </c>
      <c r="U262" s="14" t="str">
        <f t="shared" si="27"/>
        <v/>
      </c>
    </row>
    <row r="263" spans="12:21" x14ac:dyDescent="0.25">
      <c r="L263" s="18">
        <f t="shared" si="22"/>
        <v>0</v>
      </c>
      <c r="M263" s="13" t="e">
        <f>VLOOKUP(G263,Sell!G:L,1,0)</f>
        <v>#N/A</v>
      </c>
      <c r="N263" s="13">
        <f>IFERROR(VLOOKUP(G263,Sell!G:L,2,0),0)</f>
        <v>0</v>
      </c>
      <c r="O263" s="12">
        <f>IFERROR(VLOOKUP(G263,Sell!G:L,6,0),0)</f>
        <v>0</v>
      </c>
      <c r="P263" s="13">
        <f t="shared" si="21"/>
        <v>0</v>
      </c>
      <c r="Q263" s="12">
        <f t="shared" si="23"/>
        <v>0</v>
      </c>
      <c r="R263" s="12">
        <f t="shared" si="24"/>
        <v>0</v>
      </c>
      <c r="S263" s="12">
        <f t="shared" si="25"/>
        <v>0</v>
      </c>
      <c r="T263" s="12">
        <f t="shared" si="26"/>
        <v>0</v>
      </c>
      <c r="U263" s="14" t="str">
        <f t="shared" si="27"/>
        <v/>
      </c>
    </row>
    <row r="264" spans="12:21" x14ac:dyDescent="0.25">
      <c r="L264" s="18">
        <f t="shared" si="22"/>
        <v>0</v>
      </c>
      <c r="M264" s="13" t="e">
        <f>VLOOKUP(G264,Sell!G:L,1,0)</f>
        <v>#N/A</v>
      </c>
      <c r="N264" s="13">
        <f>IFERROR(VLOOKUP(G264,Sell!G:L,2,0),0)</f>
        <v>0</v>
      </c>
      <c r="O264" s="12">
        <f>IFERROR(VLOOKUP(G264,Sell!G:L,6,0),0)</f>
        <v>0</v>
      </c>
      <c r="P264" s="13">
        <f t="shared" si="21"/>
        <v>0</v>
      </c>
      <c r="Q264" s="12">
        <f t="shared" si="23"/>
        <v>0</v>
      </c>
      <c r="R264" s="12">
        <f t="shared" si="24"/>
        <v>0</v>
      </c>
      <c r="S264" s="12">
        <f t="shared" si="25"/>
        <v>0</v>
      </c>
      <c r="T264" s="12">
        <f t="shared" si="26"/>
        <v>0</v>
      </c>
      <c r="U264" s="14" t="str">
        <f t="shared" si="27"/>
        <v/>
      </c>
    </row>
    <row r="265" spans="12:21" x14ac:dyDescent="0.25">
      <c r="L265" s="18">
        <f t="shared" si="22"/>
        <v>0</v>
      </c>
      <c r="M265" s="13" t="e">
        <f>VLOOKUP(G265,Sell!G:L,1,0)</f>
        <v>#N/A</v>
      </c>
      <c r="N265" s="13">
        <f>IFERROR(VLOOKUP(G265,Sell!G:L,2,0),0)</f>
        <v>0</v>
      </c>
      <c r="O265" s="12">
        <f>IFERROR(VLOOKUP(G265,Sell!G:L,6,0),0)</f>
        <v>0</v>
      </c>
      <c r="P265" s="13">
        <f t="shared" si="21"/>
        <v>0</v>
      </c>
      <c r="Q265" s="12">
        <f t="shared" si="23"/>
        <v>0</v>
      </c>
      <c r="R265" s="12">
        <f t="shared" si="24"/>
        <v>0</v>
      </c>
      <c r="S265" s="12">
        <f t="shared" si="25"/>
        <v>0</v>
      </c>
      <c r="T265" s="12">
        <f t="shared" si="26"/>
        <v>0</v>
      </c>
      <c r="U265" s="14" t="str">
        <f t="shared" si="27"/>
        <v/>
      </c>
    </row>
    <row r="266" spans="12:21" x14ac:dyDescent="0.25">
      <c r="L266" s="18">
        <f t="shared" si="22"/>
        <v>0</v>
      </c>
      <c r="M266" s="13" t="e">
        <f>VLOOKUP(G266,Sell!G:L,1,0)</f>
        <v>#N/A</v>
      </c>
      <c r="N266" s="13">
        <f>IFERROR(VLOOKUP(G266,Sell!G:L,2,0),0)</f>
        <v>0</v>
      </c>
      <c r="O266" s="12">
        <f>IFERROR(VLOOKUP(G266,Sell!G:L,6,0),0)</f>
        <v>0</v>
      </c>
      <c r="P266" s="13">
        <f t="shared" ref="P266:P329" si="28">H266-N266</f>
        <v>0</v>
      </c>
      <c r="Q266" s="12">
        <f t="shared" si="23"/>
        <v>0</v>
      </c>
      <c r="R266" s="12">
        <f t="shared" si="24"/>
        <v>0</v>
      </c>
      <c r="S266" s="12">
        <f t="shared" si="25"/>
        <v>0</v>
      </c>
      <c r="T266" s="12">
        <f t="shared" si="26"/>
        <v>0</v>
      </c>
      <c r="U266" s="14" t="str">
        <f t="shared" si="27"/>
        <v/>
      </c>
    </row>
    <row r="267" spans="12:21" x14ac:dyDescent="0.25">
      <c r="L267" s="18">
        <f t="shared" ref="L267:L330" si="29">J267+K267</f>
        <v>0</v>
      </c>
      <c r="M267" s="13" t="e">
        <f>VLOOKUP(G267,Sell!G:L,1,0)</f>
        <v>#N/A</v>
      </c>
      <c r="N267" s="13">
        <f>IFERROR(VLOOKUP(G267,Sell!G:L,2,0),0)</f>
        <v>0</v>
      </c>
      <c r="O267" s="12">
        <f>IFERROR(VLOOKUP(G267,Sell!G:L,6,0),0)</f>
        <v>0</v>
      </c>
      <c r="P267" s="13">
        <f t="shared" si="28"/>
        <v>0</v>
      </c>
      <c r="Q267" s="12">
        <f t="shared" ref="Q267:Q330" si="30">O267-L267</f>
        <v>0</v>
      </c>
      <c r="R267" s="12">
        <f t="shared" ref="R267:R330" si="31">IF(P267=0,Q267,0)</f>
        <v>0</v>
      </c>
      <c r="S267" s="12">
        <f t="shared" ref="S267:S330" si="32">IF(R267&gt;0,R267,0)</f>
        <v>0</v>
      </c>
      <c r="T267" s="12">
        <f t="shared" ref="T267:T330" si="33">IF(R267&gt;0,0,R267)</f>
        <v>0</v>
      </c>
      <c r="U267" s="14" t="str">
        <f t="shared" ref="U267:U330" si="34">IF(AND(LEN(G267)&gt;0,R267=0),"Open","")</f>
        <v/>
      </c>
    </row>
    <row r="268" spans="12:21" x14ac:dyDescent="0.25">
      <c r="L268" s="18">
        <f t="shared" si="29"/>
        <v>0</v>
      </c>
      <c r="M268" s="13" t="e">
        <f>VLOOKUP(G268,Sell!G:L,1,0)</f>
        <v>#N/A</v>
      </c>
      <c r="N268" s="13">
        <f>IFERROR(VLOOKUP(G268,Sell!G:L,2,0),0)</f>
        <v>0</v>
      </c>
      <c r="O268" s="12">
        <f>IFERROR(VLOOKUP(G268,Sell!G:L,6,0),0)</f>
        <v>0</v>
      </c>
      <c r="P268" s="13">
        <f t="shared" si="28"/>
        <v>0</v>
      </c>
      <c r="Q268" s="12">
        <f t="shared" si="30"/>
        <v>0</v>
      </c>
      <c r="R268" s="12">
        <f t="shared" si="31"/>
        <v>0</v>
      </c>
      <c r="S268" s="12">
        <f t="shared" si="32"/>
        <v>0</v>
      </c>
      <c r="T268" s="12">
        <f t="shared" si="33"/>
        <v>0</v>
      </c>
      <c r="U268" s="14" t="str">
        <f t="shared" si="34"/>
        <v/>
      </c>
    </row>
    <row r="269" spans="12:21" x14ac:dyDescent="0.25">
      <c r="L269" s="18">
        <f t="shared" si="29"/>
        <v>0</v>
      </c>
      <c r="M269" s="13" t="e">
        <f>VLOOKUP(G269,Sell!G:L,1,0)</f>
        <v>#N/A</v>
      </c>
      <c r="N269" s="13">
        <f>IFERROR(VLOOKUP(G269,Sell!G:L,2,0),0)</f>
        <v>0</v>
      </c>
      <c r="O269" s="12">
        <f>IFERROR(VLOOKUP(G269,Sell!G:L,6,0),0)</f>
        <v>0</v>
      </c>
      <c r="P269" s="13">
        <f t="shared" si="28"/>
        <v>0</v>
      </c>
      <c r="Q269" s="12">
        <f t="shared" si="30"/>
        <v>0</v>
      </c>
      <c r="R269" s="12">
        <f t="shared" si="31"/>
        <v>0</v>
      </c>
      <c r="S269" s="12">
        <f t="shared" si="32"/>
        <v>0</v>
      </c>
      <c r="T269" s="12">
        <f t="shared" si="33"/>
        <v>0</v>
      </c>
      <c r="U269" s="14" t="str">
        <f t="shared" si="34"/>
        <v/>
      </c>
    </row>
    <row r="270" spans="12:21" x14ac:dyDescent="0.25">
      <c r="L270" s="18">
        <f t="shared" si="29"/>
        <v>0</v>
      </c>
      <c r="M270" s="13" t="e">
        <f>VLOOKUP(G270,Sell!G:L,1,0)</f>
        <v>#N/A</v>
      </c>
      <c r="N270" s="13">
        <f>IFERROR(VLOOKUP(G270,Sell!G:L,2,0),0)</f>
        <v>0</v>
      </c>
      <c r="O270" s="12">
        <f>IFERROR(VLOOKUP(G270,Sell!G:L,6,0),0)</f>
        <v>0</v>
      </c>
      <c r="P270" s="13">
        <f t="shared" si="28"/>
        <v>0</v>
      </c>
      <c r="Q270" s="12">
        <f t="shared" si="30"/>
        <v>0</v>
      </c>
      <c r="R270" s="12">
        <f t="shared" si="31"/>
        <v>0</v>
      </c>
      <c r="S270" s="12">
        <f t="shared" si="32"/>
        <v>0</v>
      </c>
      <c r="T270" s="12">
        <f t="shared" si="33"/>
        <v>0</v>
      </c>
      <c r="U270" s="14" t="str">
        <f t="shared" si="34"/>
        <v/>
      </c>
    </row>
    <row r="271" spans="12:21" x14ac:dyDescent="0.25">
      <c r="L271" s="18">
        <f t="shared" si="29"/>
        <v>0</v>
      </c>
      <c r="M271" s="13" t="e">
        <f>VLOOKUP(G271,Sell!G:L,1,0)</f>
        <v>#N/A</v>
      </c>
      <c r="N271" s="13">
        <f>IFERROR(VLOOKUP(G271,Sell!G:L,2,0),0)</f>
        <v>0</v>
      </c>
      <c r="O271" s="12">
        <f>IFERROR(VLOOKUP(G271,Sell!G:L,6,0),0)</f>
        <v>0</v>
      </c>
      <c r="P271" s="13">
        <f t="shared" si="28"/>
        <v>0</v>
      </c>
      <c r="Q271" s="12">
        <f t="shared" si="30"/>
        <v>0</v>
      </c>
      <c r="R271" s="12">
        <f t="shared" si="31"/>
        <v>0</v>
      </c>
      <c r="S271" s="12">
        <f t="shared" si="32"/>
        <v>0</v>
      </c>
      <c r="T271" s="12">
        <f t="shared" si="33"/>
        <v>0</v>
      </c>
      <c r="U271" s="14" t="str">
        <f t="shared" si="34"/>
        <v/>
      </c>
    </row>
    <row r="272" spans="12:21" x14ac:dyDescent="0.25">
      <c r="L272" s="18">
        <f t="shared" si="29"/>
        <v>0</v>
      </c>
      <c r="M272" s="13" t="e">
        <f>VLOOKUP(G272,Sell!G:L,1,0)</f>
        <v>#N/A</v>
      </c>
      <c r="N272" s="13">
        <f>IFERROR(VLOOKUP(G272,Sell!G:L,2,0),0)</f>
        <v>0</v>
      </c>
      <c r="O272" s="12">
        <f>IFERROR(VLOOKUP(G272,Sell!G:L,6,0),0)</f>
        <v>0</v>
      </c>
      <c r="P272" s="13">
        <f t="shared" si="28"/>
        <v>0</v>
      </c>
      <c r="Q272" s="12">
        <f t="shared" si="30"/>
        <v>0</v>
      </c>
      <c r="R272" s="12">
        <f t="shared" si="31"/>
        <v>0</v>
      </c>
      <c r="S272" s="12">
        <f t="shared" si="32"/>
        <v>0</v>
      </c>
      <c r="T272" s="12">
        <f t="shared" si="33"/>
        <v>0</v>
      </c>
      <c r="U272" s="14" t="str">
        <f t="shared" si="34"/>
        <v/>
      </c>
    </row>
    <row r="273" spans="12:21" x14ac:dyDescent="0.25">
      <c r="L273" s="18">
        <f t="shared" si="29"/>
        <v>0</v>
      </c>
      <c r="M273" s="13" t="e">
        <f>VLOOKUP(G273,Sell!G:L,1,0)</f>
        <v>#N/A</v>
      </c>
      <c r="N273" s="13">
        <f>IFERROR(VLOOKUP(G273,Sell!G:L,2,0),0)</f>
        <v>0</v>
      </c>
      <c r="O273" s="12">
        <f>IFERROR(VLOOKUP(G273,Sell!G:L,6,0),0)</f>
        <v>0</v>
      </c>
      <c r="P273" s="13">
        <f t="shared" si="28"/>
        <v>0</v>
      </c>
      <c r="Q273" s="12">
        <f t="shared" si="30"/>
        <v>0</v>
      </c>
      <c r="R273" s="12">
        <f t="shared" si="31"/>
        <v>0</v>
      </c>
      <c r="S273" s="12">
        <f t="shared" si="32"/>
        <v>0</v>
      </c>
      <c r="T273" s="12">
        <f t="shared" si="33"/>
        <v>0</v>
      </c>
      <c r="U273" s="14" t="str">
        <f t="shared" si="34"/>
        <v/>
      </c>
    </row>
    <row r="274" spans="12:21" x14ac:dyDescent="0.25">
      <c r="L274" s="18">
        <f t="shared" si="29"/>
        <v>0</v>
      </c>
      <c r="M274" s="13" t="e">
        <f>VLOOKUP(G274,Sell!G:L,1,0)</f>
        <v>#N/A</v>
      </c>
      <c r="N274" s="13">
        <f>IFERROR(VLOOKUP(G274,Sell!G:L,2,0),0)</f>
        <v>0</v>
      </c>
      <c r="O274" s="12">
        <f>IFERROR(VLOOKUP(G274,Sell!G:L,6,0),0)</f>
        <v>0</v>
      </c>
      <c r="P274" s="13">
        <f t="shared" si="28"/>
        <v>0</v>
      </c>
      <c r="Q274" s="12">
        <f t="shared" si="30"/>
        <v>0</v>
      </c>
      <c r="R274" s="12">
        <f t="shared" si="31"/>
        <v>0</v>
      </c>
      <c r="S274" s="12">
        <f t="shared" si="32"/>
        <v>0</v>
      </c>
      <c r="T274" s="12">
        <f t="shared" si="33"/>
        <v>0</v>
      </c>
      <c r="U274" s="14" t="str">
        <f t="shared" si="34"/>
        <v/>
      </c>
    </row>
    <row r="275" spans="12:21" x14ac:dyDescent="0.25">
      <c r="L275" s="18">
        <f t="shared" si="29"/>
        <v>0</v>
      </c>
      <c r="M275" s="13" t="e">
        <f>VLOOKUP(G275,Sell!G:L,1,0)</f>
        <v>#N/A</v>
      </c>
      <c r="N275" s="13">
        <f>IFERROR(VLOOKUP(G275,Sell!G:L,2,0),0)</f>
        <v>0</v>
      </c>
      <c r="O275" s="12">
        <f>IFERROR(VLOOKUP(G275,Sell!G:L,6,0),0)</f>
        <v>0</v>
      </c>
      <c r="P275" s="13">
        <f t="shared" si="28"/>
        <v>0</v>
      </c>
      <c r="Q275" s="12">
        <f t="shared" si="30"/>
        <v>0</v>
      </c>
      <c r="R275" s="12">
        <f t="shared" si="31"/>
        <v>0</v>
      </c>
      <c r="S275" s="12">
        <f t="shared" si="32"/>
        <v>0</v>
      </c>
      <c r="T275" s="12">
        <f t="shared" si="33"/>
        <v>0</v>
      </c>
      <c r="U275" s="14" t="str">
        <f t="shared" si="34"/>
        <v/>
      </c>
    </row>
    <row r="276" spans="12:21" x14ac:dyDescent="0.25">
      <c r="L276" s="18">
        <f t="shared" si="29"/>
        <v>0</v>
      </c>
      <c r="M276" s="13" t="e">
        <f>VLOOKUP(G276,Sell!G:L,1,0)</f>
        <v>#N/A</v>
      </c>
      <c r="N276" s="13">
        <f>IFERROR(VLOOKUP(G276,Sell!G:L,2,0),0)</f>
        <v>0</v>
      </c>
      <c r="O276" s="12">
        <f>IFERROR(VLOOKUP(G276,Sell!G:L,6,0),0)</f>
        <v>0</v>
      </c>
      <c r="P276" s="13">
        <f t="shared" si="28"/>
        <v>0</v>
      </c>
      <c r="Q276" s="12">
        <f t="shared" si="30"/>
        <v>0</v>
      </c>
      <c r="R276" s="12">
        <f t="shared" si="31"/>
        <v>0</v>
      </c>
      <c r="S276" s="12">
        <f t="shared" si="32"/>
        <v>0</v>
      </c>
      <c r="T276" s="12">
        <f t="shared" si="33"/>
        <v>0</v>
      </c>
      <c r="U276" s="14" t="str">
        <f t="shared" si="34"/>
        <v/>
      </c>
    </row>
    <row r="277" spans="12:21" x14ac:dyDescent="0.25">
      <c r="L277" s="18">
        <f t="shared" si="29"/>
        <v>0</v>
      </c>
      <c r="M277" s="13" t="e">
        <f>VLOOKUP(G277,Sell!G:L,1,0)</f>
        <v>#N/A</v>
      </c>
      <c r="N277" s="13">
        <f>IFERROR(VLOOKUP(G277,Sell!G:L,2,0),0)</f>
        <v>0</v>
      </c>
      <c r="O277" s="12">
        <f>IFERROR(VLOOKUP(G277,Sell!G:L,6,0),0)</f>
        <v>0</v>
      </c>
      <c r="P277" s="13">
        <f t="shared" si="28"/>
        <v>0</v>
      </c>
      <c r="Q277" s="12">
        <f t="shared" si="30"/>
        <v>0</v>
      </c>
      <c r="R277" s="12">
        <f t="shared" si="31"/>
        <v>0</v>
      </c>
      <c r="S277" s="12">
        <f t="shared" si="32"/>
        <v>0</v>
      </c>
      <c r="T277" s="12">
        <f t="shared" si="33"/>
        <v>0</v>
      </c>
      <c r="U277" s="14" t="str">
        <f t="shared" si="34"/>
        <v/>
      </c>
    </row>
    <row r="278" spans="12:21" x14ac:dyDescent="0.25">
      <c r="L278" s="18">
        <f t="shared" si="29"/>
        <v>0</v>
      </c>
      <c r="M278" s="13" t="e">
        <f>VLOOKUP(G278,Sell!G:L,1,0)</f>
        <v>#N/A</v>
      </c>
      <c r="N278" s="13">
        <f>IFERROR(VLOOKUP(G278,Sell!G:L,2,0),0)</f>
        <v>0</v>
      </c>
      <c r="O278" s="12">
        <f>IFERROR(VLOOKUP(G278,Sell!G:L,6,0),0)</f>
        <v>0</v>
      </c>
      <c r="P278" s="13">
        <f t="shared" si="28"/>
        <v>0</v>
      </c>
      <c r="Q278" s="12">
        <f t="shared" si="30"/>
        <v>0</v>
      </c>
      <c r="R278" s="12">
        <f t="shared" si="31"/>
        <v>0</v>
      </c>
      <c r="S278" s="12">
        <f t="shared" si="32"/>
        <v>0</v>
      </c>
      <c r="T278" s="12">
        <f t="shared" si="33"/>
        <v>0</v>
      </c>
      <c r="U278" s="14" t="str">
        <f t="shared" si="34"/>
        <v/>
      </c>
    </row>
    <row r="279" spans="12:21" x14ac:dyDescent="0.25">
      <c r="L279" s="18">
        <f t="shared" si="29"/>
        <v>0</v>
      </c>
      <c r="M279" s="13" t="e">
        <f>VLOOKUP(G279,Sell!G:L,1,0)</f>
        <v>#N/A</v>
      </c>
      <c r="N279" s="13">
        <f>IFERROR(VLOOKUP(G279,Sell!G:L,2,0),0)</f>
        <v>0</v>
      </c>
      <c r="O279" s="12">
        <f>IFERROR(VLOOKUP(G279,Sell!G:L,6,0),0)</f>
        <v>0</v>
      </c>
      <c r="P279" s="13">
        <f t="shared" si="28"/>
        <v>0</v>
      </c>
      <c r="Q279" s="12">
        <f t="shared" si="30"/>
        <v>0</v>
      </c>
      <c r="R279" s="12">
        <f t="shared" si="31"/>
        <v>0</v>
      </c>
      <c r="S279" s="12">
        <f t="shared" si="32"/>
        <v>0</v>
      </c>
      <c r="T279" s="12">
        <f t="shared" si="33"/>
        <v>0</v>
      </c>
      <c r="U279" s="14" t="str">
        <f t="shared" si="34"/>
        <v/>
      </c>
    </row>
    <row r="280" spans="12:21" x14ac:dyDescent="0.25">
      <c r="L280" s="18">
        <f t="shared" si="29"/>
        <v>0</v>
      </c>
      <c r="M280" s="13" t="e">
        <f>VLOOKUP(G280,Sell!G:L,1,0)</f>
        <v>#N/A</v>
      </c>
      <c r="N280" s="13">
        <f>IFERROR(VLOOKUP(G280,Sell!G:L,2,0),0)</f>
        <v>0</v>
      </c>
      <c r="O280" s="12">
        <f>IFERROR(VLOOKUP(G280,Sell!G:L,6,0),0)</f>
        <v>0</v>
      </c>
      <c r="P280" s="13">
        <f t="shared" si="28"/>
        <v>0</v>
      </c>
      <c r="Q280" s="12">
        <f t="shared" si="30"/>
        <v>0</v>
      </c>
      <c r="R280" s="12">
        <f t="shared" si="31"/>
        <v>0</v>
      </c>
      <c r="S280" s="12">
        <f t="shared" si="32"/>
        <v>0</v>
      </c>
      <c r="T280" s="12">
        <f t="shared" si="33"/>
        <v>0</v>
      </c>
      <c r="U280" s="14" t="str">
        <f t="shared" si="34"/>
        <v/>
      </c>
    </row>
    <row r="281" spans="12:21" x14ac:dyDescent="0.25">
      <c r="L281" s="18">
        <f t="shared" si="29"/>
        <v>0</v>
      </c>
      <c r="M281" s="13" t="e">
        <f>VLOOKUP(G281,Sell!G:L,1,0)</f>
        <v>#N/A</v>
      </c>
      <c r="N281" s="13">
        <f>IFERROR(VLOOKUP(G281,Sell!G:L,2,0),0)</f>
        <v>0</v>
      </c>
      <c r="O281" s="12">
        <f>IFERROR(VLOOKUP(G281,Sell!G:L,6,0),0)</f>
        <v>0</v>
      </c>
      <c r="P281" s="13">
        <f t="shared" si="28"/>
        <v>0</v>
      </c>
      <c r="Q281" s="12">
        <f t="shared" si="30"/>
        <v>0</v>
      </c>
      <c r="R281" s="12">
        <f t="shared" si="31"/>
        <v>0</v>
      </c>
      <c r="S281" s="12">
        <f t="shared" si="32"/>
        <v>0</v>
      </c>
      <c r="T281" s="12">
        <f t="shared" si="33"/>
        <v>0</v>
      </c>
      <c r="U281" s="14" t="str">
        <f t="shared" si="34"/>
        <v/>
      </c>
    </row>
    <row r="282" spans="12:21" x14ac:dyDescent="0.25">
      <c r="L282" s="18">
        <f t="shared" si="29"/>
        <v>0</v>
      </c>
      <c r="M282" s="13" t="e">
        <f>VLOOKUP(G282,Sell!G:L,1,0)</f>
        <v>#N/A</v>
      </c>
      <c r="N282" s="13">
        <f>IFERROR(VLOOKUP(G282,Sell!G:L,2,0),0)</f>
        <v>0</v>
      </c>
      <c r="O282" s="12">
        <f>IFERROR(VLOOKUP(G282,Sell!G:L,6,0),0)</f>
        <v>0</v>
      </c>
      <c r="P282" s="13">
        <f t="shared" si="28"/>
        <v>0</v>
      </c>
      <c r="Q282" s="12">
        <f t="shared" si="30"/>
        <v>0</v>
      </c>
      <c r="R282" s="12">
        <f t="shared" si="31"/>
        <v>0</v>
      </c>
      <c r="S282" s="12">
        <f t="shared" si="32"/>
        <v>0</v>
      </c>
      <c r="T282" s="12">
        <f t="shared" si="33"/>
        <v>0</v>
      </c>
      <c r="U282" s="14" t="str">
        <f t="shared" si="34"/>
        <v/>
      </c>
    </row>
    <row r="283" spans="12:21" x14ac:dyDescent="0.25">
      <c r="L283" s="18">
        <f t="shared" si="29"/>
        <v>0</v>
      </c>
      <c r="M283" s="13" t="e">
        <f>VLOOKUP(G283,Sell!G:L,1,0)</f>
        <v>#N/A</v>
      </c>
      <c r="N283" s="13">
        <f>IFERROR(VLOOKUP(G283,Sell!G:L,2,0),0)</f>
        <v>0</v>
      </c>
      <c r="O283" s="12">
        <f>IFERROR(VLOOKUP(G283,Sell!G:L,6,0),0)</f>
        <v>0</v>
      </c>
      <c r="P283" s="13">
        <f t="shared" si="28"/>
        <v>0</v>
      </c>
      <c r="Q283" s="12">
        <f t="shared" si="30"/>
        <v>0</v>
      </c>
      <c r="R283" s="12">
        <f t="shared" si="31"/>
        <v>0</v>
      </c>
      <c r="S283" s="12">
        <f t="shared" si="32"/>
        <v>0</v>
      </c>
      <c r="T283" s="12">
        <f t="shared" si="33"/>
        <v>0</v>
      </c>
      <c r="U283" s="14" t="str">
        <f t="shared" si="34"/>
        <v/>
      </c>
    </row>
    <row r="284" spans="12:21" x14ac:dyDescent="0.25">
      <c r="L284" s="18">
        <f t="shared" si="29"/>
        <v>0</v>
      </c>
      <c r="M284" s="13" t="e">
        <f>VLOOKUP(G284,Sell!G:L,1,0)</f>
        <v>#N/A</v>
      </c>
      <c r="N284" s="13">
        <f>IFERROR(VLOOKUP(G284,Sell!G:L,2,0),0)</f>
        <v>0</v>
      </c>
      <c r="O284" s="12">
        <f>IFERROR(VLOOKUP(G284,Sell!G:L,6,0),0)</f>
        <v>0</v>
      </c>
      <c r="P284" s="13">
        <f t="shared" si="28"/>
        <v>0</v>
      </c>
      <c r="Q284" s="12">
        <f t="shared" si="30"/>
        <v>0</v>
      </c>
      <c r="R284" s="12">
        <f t="shared" si="31"/>
        <v>0</v>
      </c>
      <c r="S284" s="12">
        <f t="shared" si="32"/>
        <v>0</v>
      </c>
      <c r="T284" s="12">
        <f t="shared" si="33"/>
        <v>0</v>
      </c>
      <c r="U284" s="14" t="str">
        <f t="shared" si="34"/>
        <v/>
      </c>
    </row>
    <row r="285" spans="12:21" x14ac:dyDescent="0.25">
      <c r="L285" s="18">
        <f t="shared" si="29"/>
        <v>0</v>
      </c>
      <c r="M285" s="13" t="e">
        <f>VLOOKUP(G285,Sell!G:L,1,0)</f>
        <v>#N/A</v>
      </c>
      <c r="N285" s="13">
        <f>IFERROR(VLOOKUP(G285,Sell!G:L,2,0),0)</f>
        <v>0</v>
      </c>
      <c r="O285" s="12">
        <f>IFERROR(VLOOKUP(G285,Sell!G:L,6,0),0)</f>
        <v>0</v>
      </c>
      <c r="P285" s="13">
        <f t="shared" si="28"/>
        <v>0</v>
      </c>
      <c r="Q285" s="12">
        <f t="shared" si="30"/>
        <v>0</v>
      </c>
      <c r="R285" s="12">
        <f t="shared" si="31"/>
        <v>0</v>
      </c>
      <c r="S285" s="12">
        <f t="shared" si="32"/>
        <v>0</v>
      </c>
      <c r="T285" s="12">
        <f t="shared" si="33"/>
        <v>0</v>
      </c>
      <c r="U285" s="14" t="str">
        <f t="shared" si="34"/>
        <v/>
      </c>
    </row>
    <row r="286" spans="12:21" x14ac:dyDescent="0.25">
      <c r="L286" s="18">
        <f t="shared" si="29"/>
        <v>0</v>
      </c>
      <c r="M286" s="13" t="e">
        <f>VLOOKUP(G286,Sell!G:L,1,0)</f>
        <v>#N/A</v>
      </c>
      <c r="N286" s="13">
        <f>IFERROR(VLOOKUP(G286,Sell!G:L,2,0),0)</f>
        <v>0</v>
      </c>
      <c r="O286" s="12">
        <f>IFERROR(VLOOKUP(G286,Sell!G:L,6,0),0)</f>
        <v>0</v>
      </c>
      <c r="P286" s="13">
        <f t="shared" si="28"/>
        <v>0</v>
      </c>
      <c r="Q286" s="12">
        <f t="shared" si="30"/>
        <v>0</v>
      </c>
      <c r="R286" s="12">
        <f t="shared" si="31"/>
        <v>0</v>
      </c>
      <c r="S286" s="12">
        <f t="shared" si="32"/>
        <v>0</v>
      </c>
      <c r="T286" s="12">
        <f t="shared" si="33"/>
        <v>0</v>
      </c>
      <c r="U286" s="14" t="str">
        <f t="shared" si="34"/>
        <v/>
      </c>
    </row>
    <row r="287" spans="12:21" x14ac:dyDescent="0.25">
      <c r="L287" s="18">
        <f t="shared" si="29"/>
        <v>0</v>
      </c>
      <c r="M287" s="13" t="e">
        <f>VLOOKUP(G287,Sell!G:L,1,0)</f>
        <v>#N/A</v>
      </c>
      <c r="N287" s="13">
        <f>IFERROR(VLOOKUP(G287,Sell!G:L,2,0),0)</f>
        <v>0</v>
      </c>
      <c r="O287" s="12">
        <f>IFERROR(VLOOKUP(G287,Sell!G:L,6,0),0)</f>
        <v>0</v>
      </c>
      <c r="P287" s="13">
        <f t="shared" si="28"/>
        <v>0</v>
      </c>
      <c r="Q287" s="12">
        <f t="shared" si="30"/>
        <v>0</v>
      </c>
      <c r="R287" s="12">
        <f t="shared" si="31"/>
        <v>0</v>
      </c>
      <c r="S287" s="12">
        <f t="shared" si="32"/>
        <v>0</v>
      </c>
      <c r="T287" s="12">
        <f t="shared" si="33"/>
        <v>0</v>
      </c>
      <c r="U287" s="14" t="str">
        <f t="shared" si="34"/>
        <v/>
      </c>
    </row>
    <row r="288" spans="12:21" x14ac:dyDescent="0.25">
      <c r="L288" s="18">
        <f t="shared" si="29"/>
        <v>0</v>
      </c>
      <c r="M288" s="13" t="e">
        <f>VLOOKUP(G288,Sell!G:L,1,0)</f>
        <v>#N/A</v>
      </c>
      <c r="N288" s="13">
        <f>IFERROR(VLOOKUP(G288,Sell!G:L,2,0),0)</f>
        <v>0</v>
      </c>
      <c r="O288" s="12">
        <f>IFERROR(VLOOKUP(G288,Sell!G:L,6,0),0)</f>
        <v>0</v>
      </c>
      <c r="P288" s="13">
        <f t="shared" si="28"/>
        <v>0</v>
      </c>
      <c r="Q288" s="12">
        <f t="shared" si="30"/>
        <v>0</v>
      </c>
      <c r="R288" s="12">
        <f t="shared" si="31"/>
        <v>0</v>
      </c>
      <c r="S288" s="12">
        <f t="shared" si="32"/>
        <v>0</v>
      </c>
      <c r="T288" s="12">
        <f t="shared" si="33"/>
        <v>0</v>
      </c>
      <c r="U288" s="14" t="str">
        <f t="shared" si="34"/>
        <v/>
      </c>
    </row>
    <row r="289" spans="12:21" x14ac:dyDescent="0.25">
      <c r="L289" s="18">
        <f t="shared" si="29"/>
        <v>0</v>
      </c>
      <c r="M289" s="13" t="e">
        <f>VLOOKUP(G289,Sell!G:L,1,0)</f>
        <v>#N/A</v>
      </c>
      <c r="N289" s="13">
        <f>IFERROR(VLOOKUP(G289,Sell!G:L,2,0),0)</f>
        <v>0</v>
      </c>
      <c r="O289" s="12">
        <f>IFERROR(VLOOKUP(G289,Sell!G:L,6,0),0)</f>
        <v>0</v>
      </c>
      <c r="P289" s="13">
        <f t="shared" si="28"/>
        <v>0</v>
      </c>
      <c r="Q289" s="12">
        <f t="shared" si="30"/>
        <v>0</v>
      </c>
      <c r="R289" s="12">
        <f t="shared" si="31"/>
        <v>0</v>
      </c>
      <c r="S289" s="12">
        <f t="shared" si="32"/>
        <v>0</v>
      </c>
      <c r="T289" s="12">
        <f t="shared" si="33"/>
        <v>0</v>
      </c>
      <c r="U289" s="14" t="str">
        <f t="shared" si="34"/>
        <v/>
      </c>
    </row>
    <row r="290" spans="12:21" x14ac:dyDescent="0.25">
      <c r="L290" s="18">
        <f t="shared" si="29"/>
        <v>0</v>
      </c>
      <c r="M290" s="13" t="e">
        <f>VLOOKUP(G290,Sell!G:L,1,0)</f>
        <v>#N/A</v>
      </c>
      <c r="N290" s="13">
        <f>IFERROR(VLOOKUP(G290,Sell!G:L,2,0),0)</f>
        <v>0</v>
      </c>
      <c r="O290" s="12">
        <f>IFERROR(VLOOKUP(G290,Sell!G:L,6,0),0)</f>
        <v>0</v>
      </c>
      <c r="P290" s="13">
        <f t="shared" si="28"/>
        <v>0</v>
      </c>
      <c r="Q290" s="12">
        <f t="shared" si="30"/>
        <v>0</v>
      </c>
      <c r="R290" s="12">
        <f t="shared" si="31"/>
        <v>0</v>
      </c>
      <c r="S290" s="12">
        <f t="shared" si="32"/>
        <v>0</v>
      </c>
      <c r="T290" s="12">
        <f t="shared" si="33"/>
        <v>0</v>
      </c>
      <c r="U290" s="14" t="str">
        <f t="shared" si="34"/>
        <v/>
      </c>
    </row>
    <row r="291" spans="12:21" x14ac:dyDescent="0.25">
      <c r="L291" s="18">
        <f t="shared" si="29"/>
        <v>0</v>
      </c>
      <c r="M291" s="13" t="e">
        <f>VLOOKUP(G291,Sell!G:L,1,0)</f>
        <v>#N/A</v>
      </c>
      <c r="N291" s="13">
        <f>IFERROR(VLOOKUP(G291,Sell!G:L,2,0),0)</f>
        <v>0</v>
      </c>
      <c r="O291" s="12">
        <f>IFERROR(VLOOKUP(G291,Sell!G:L,6,0),0)</f>
        <v>0</v>
      </c>
      <c r="P291" s="13">
        <f t="shared" si="28"/>
        <v>0</v>
      </c>
      <c r="Q291" s="12">
        <f t="shared" si="30"/>
        <v>0</v>
      </c>
      <c r="R291" s="12">
        <f t="shared" si="31"/>
        <v>0</v>
      </c>
      <c r="S291" s="12">
        <f t="shared" si="32"/>
        <v>0</v>
      </c>
      <c r="T291" s="12">
        <f t="shared" si="33"/>
        <v>0</v>
      </c>
      <c r="U291" s="14" t="str">
        <f t="shared" si="34"/>
        <v/>
      </c>
    </row>
    <row r="292" spans="12:21" x14ac:dyDescent="0.25">
      <c r="L292" s="18">
        <f t="shared" si="29"/>
        <v>0</v>
      </c>
      <c r="M292" s="13" t="e">
        <f>VLOOKUP(G292,Sell!G:L,1,0)</f>
        <v>#N/A</v>
      </c>
      <c r="N292" s="13">
        <f>IFERROR(VLOOKUP(G292,Sell!G:L,2,0),0)</f>
        <v>0</v>
      </c>
      <c r="O292" s="12">
        <f>IFERROR(VLOOKUP(G292,Sell!G:L,6,0),0)</f>
        <v>0</v>
      </c>
      <c r="P292" s="13">
        <f t="shared" si="28"/>
        <v>0</v>
      </c>
      <c r="Q292" s="12">
        <f t="shared" si="30"/>
        <v>0</v>
      </c>
      <c r="R292" s="12">
        <f t="shared" si="31"/>
        <v>0</v>
      </c>
      <c r="S292" s="12">
        <f t="shared" si="32"/>
        <v>0</v>
      </c>
      <c r="T292" s="12">
        <f t="shared" si="33"/>
        <v>0</v>
      </c>
      <c r="U292" s="14" t="str">
        <f t="shared" si="34"/>
        <v/>
      </c>
    </row>
    <row r="293" spans="12:21" x14ac:dyDescent="0.25">
      <c r="L293" s="18">
        <f t="shared" si="29"/>
        <v>0</v>
      </c>
      <c r="M293" s="13" t="e">
        <f>VLOOKUP(G293,Sell!G:L,1,0)</f>
        <v>#N/A</v>
      </c>
      <c r="N293" s="13">
        <f>IFERROR(VLOOKUP(G293,Sell!G:L,2,0),0)</f>
        <v>0</v>
      </c>
      <c r="O293" s="12">
        <f>IFERROR(VLOOKUP(G293,Sell!G:L,6,0),0)</f>
        <v>0</v>
      </c>
      <c r="P293" s="13">
        <f t="shared" si="28"/>
        <v>0</v>
      </c>
      <c r="Q293" s="12">
        <f t="shared" si="30"/>
        <v>0</v>
      </c>
      <c r="R293" s="12">
        <f t="shared" si="31"/>
        <v>0</v>
      </c>
      <c r="S293" s="12">
        <f t="shared" si="32"/>
        <v>0</v>
      </c>
      <c r="T293" s="12">
        <f t="shared" si="33"/>
        <v>0</v>
      </c>
      <c r="U293" s="14" t="str">
        <f t="shared" si="34"/>
        <v/>
      </c>
    </row>
    <row r="294" spans="12:21" x14ac:dyDescent="0.25">
      <c r="L294" s="18">
        <f t="shared" si="29"/>
        <v>0</v>
      </c>
      <c r="M294" s="13" t="e">
        <f>VLOOKUP(G294,Sell!G:L,1,0)</f>
        <v>#N/A</v>
      </c>
      <c r="N294" s="13">
        <f>IFERROR(VLOOKUP(G294,Sell!G:L,2,0),0)</f>
        <v>0</v>
      </c>
      <c r="O294" s="12">
        <f>IFERROR(VLOOKUP(G294,Sell!G:L,6,0),0)</f>
        <v>0</v>
      </c>
      <c r="P294" s="13">
        <f t="shared" si="28"/>
        <v>0</v>
      </c>
      <c r="Q294" s="12">
        <f t="shared" si="30"/>
        <v>0</v>
      </c>
      <c r="R294" s="12">
        <f t="shared" si="31"/>
        <v>0</v>
      </c>
      <c r="S294" s="12">
        <f t="shared" si="32"/>
        <v>0</v>
      </c>
      <c r="T294" s="12">
        <f t="shared" si="33"/>
        <v>0</v>
      </c>
      <c r="U294" s="14" t="str">
        <f t="shared" si="34"/>
        <v/>
      </c>
    </row>
    <row r="295" spans="12:21" x14ac:dyDescent="0.25">
      <c r="L295" s="18">
        <f t="shared" si="29"/>
        <v>0</v>
      </c>
      <c r="M295" s="13" t="e">
        <f>VLOOKUP(G295,Sell!G:L,1,0)</f>
        <v>#N/A</v>
      </c>
      <c r="N295" s="13">
        <f>IFERROR(VLOOKUP(G295,Sell!G:L,2,0),0)</f>
        <v>0</v>
      </c>
      <c r="O295" s="12">
        <f>IFERROR(VLOOKUP(G295,Sell!G:L,6,0),0)</f>
        <v>0</v>
      </c>
      <c r="P295" s="13">
        <f t="shared" si="28"/>
        <v>0</v>
      </c>
      <c r="Q295" s="12">
        <f t="shared" si="30"/>
        <v>0</v>
      </c>
      <c r="R295" s="12">
        <f t="shared" si="31"/>
        <v>0</v>
      </c>
      <c r="S295" s="12">
        <f t="shared" si="32"/>
        <v>0</v>
      </c>
      <c r="T295" s="12">
        <f t="shared" si="33"/>
        <v>0</v>
      </c>
      <c r="U295" s="14" t="str">
        <f t="shared" si="34"/>
        <v/>
      </c>
    </row>
    <row r="296" spans="12:21" x14ac:dyDescent="0.25">
      <c r="L296" s="18">
        <f t="shared" si="29"/>
        <v>0</v>
      </c>
      <c r="M296" s="13" t="e">
        <f>VLOOKUP(G296,Sell!G:L,1,0)</f>
        <v>#N/A</v>
      </c>
      <c r="N296" s="13">
        <f>IFERROR(VLOOKUP(G296,Sell!G:L,2,0),0)</f>
        <v>0</v>
      </c>
      <c r="O296" s="12">
        <f>IFERROR(VLOOKUP(G296,Sell!G:L,6,0),0)</f>
        <v>0</v>
      </c>
      <c r="P296" s="13">
        <f t="shared" si="28"/>
        <v>0</v>
      </c>
      <c r="Q296" s="12">
        <f t="shared" si="30"/>
        <v>0</v>
      </c>
      <c r="R296" s="12">
        <f t="shared" si="31"/>
        <v>0</v>
      </c>
      <c r="S296" s="12">
        <f t="shared" si="32"/>
        <v>0</v>
      </c>
      <c r="T296" s="12">
        <f t="shared" si="33"/>
        <v>0</v>
      </c>
      <c r="U296" s="14" t="str">
        <f t="shared" si="34"/>
        <v/>
      </c>
    </row>
    <row r="297" spans="12:21" x14ac:dyDescent="0.25">
      <c r="L297" s="18">
        <f t="shared" si="29"/>
        <v>0</v>
      </c>
      <c r="M297" s="13" t="e">
        <f>VLOOKUP(G297,Sell!G:L,1,0)</f>
        <v>#N/A</v>
      </c>
      <c r="N297" s="13">
        <f>IFERROR(VLOOKUP(G297,Sell!G:L,2,0),0)</f>
        <v>0</v>
      </c>
      <c r="O297" s="12">
        <f>IFERROR(VLOOKUP(G297,Sell!G:L,6,0),0)</f>
        <v>0</v>
      </c>
      <c r="P297" s="13">
        <f t="shared" si="28"/>
        <v>0</v>
      </c>
      <c r="Q297" s="12">
        <f t="shared" si="30"/>
        <v>0</v>
      </c>
      <c r="R297" s="12">
        <f t="shared" si="31"/>
        <v>0</v>
      </c>
      <c r="S297" s="12">
        <f t="shared" si="32"/>
        <v>0</v>
      </c>
      <c r="T297" s="12">
        <f t="shared" si="33"/>
        <v>0</v>
      </c>
      <c r="U297" s="14" t="str">
        <f t="shared" si="34"/>
        <v/>
      </c>
    </row>
    <row r="298" spans="12:21" x14ac:dyDescent="0.25">
      <c r="L298" s="18">
        <f t="shared" si="29"/>
        <v>0</v>
      </c>
      <c r="M298" s="13" t="e">
        <f>VLOOKUP(G298,Sell!G:L,1,0)</f>
        <v>#N/A</v>
      </c>
      <c r="N298" s="13">
        <f>IFERROR(VLOOKUP(G298,Sell!G:L,2,0),0)</f>
        <v>0</v>
      </c>
      <c r="O298" s="12">
        <f>IFERROR(VLOOKUP(G298,Sell!G:L,6,0),0)</f>
        <v>0</v>
      </c>
      <c r="P298" s="13">
        <f t="shared" si="28"/>
        <v>0</v>
      </c>
      <c r="Q298" s="12">
        <f t="shared" si="30"/>
        <v>0</v>
      </c>
      <c r="R298" s="12">
        <f t="shared" si="31"/>
        <v>0</v>
      </c>
      <c r="S298" s="12">
        <f t="shared" si="32"/>
        <v>0</v>
      </c>
      <c r="T298" s="12">
        <f t="shared" si="33"/>
        <v>0</v>
      </c>
      <c r="U298" s="14" t="str">
        <f t="shared" si="34"/>
        <v/>
      </c>
    </row>
    <row r="299" spans="12:21" x14ac:dyDescent="0.25">
      <c r="L299" s="18">
        <f t="shared" si="29"/>
        <v>0</v>
      </c>
      <c r="M299" s="13" t="e">
        <f>VLOOKUP(G299,Sell!G:L,1,0)</f>
        <v>#N/A</v>
      </c>
      <c r="N299" s="13">
        <f>IFERROR(VLOOKUP(G299,Sell!G:L,2,0),0)</f>
        <v>0</v>
      </c>
      <c r="O299" s="12">
        <f>IFERROR(VLOOKUP(G299,Sell!G:L,6,0),0)</f>
        <v>0</v>
      </c>
      <c r="P299" s="13">
        <f t="shared" si="28"/>
        <v>0</v>
      </c>
      <c r="Q299" s="12">
        <f t="shared" si="30"/>
        <v>0</v>
      </c>
      <c r="R299" s="12">
        <f t="shared" si="31"/>
        <v>0</v>
      </c>
      <c r="S299" s="12">
        <f t="shared" si="32"/>
        <v>0</v>
      </c>
      <c r="T299" s="12">
        <f t="shared" si="33"/>
        <v>0</v>
      </c>
      <c r="U299" s="14" t="str">
        <f t="shared" si="34"/>
        <v/>
      </c>
    </row>
    <row r="300" spans="12:21" x14ac:dyDescent="0.25">
      <c r="L300" s="18">
        <f t="shared" si="29"/>
        <v>0</v>
      </c>
      <c r="M300" s="13" t="e">
        <f>VLOOKUP(G300,Sell!G:L,1,0)</f>
        <v>#N/A</v>
      </c>
      <c r="N300" s="13">
        <f>IFERROR(VLOOKUP(G300,Sell!G:L,2,0),0)</f>
        <v>0</v>
      </c>
      <c r="O300" s="12">
        <f>IFERROR(VLOOKUP(G300,Sell!G:L,6,0),0)</f>
        <v>0</v>
      </c>
      <c r="P300" s="13">
        <f t="shared" si="28"/>
        <v>0</v>
      </c>
      <c r="Q300" s="12">
        <f t="shared" si="30"/>
        <v>0</v>
      </c>
      <c r="R300" s="12">
        <f t="shared" si="31"/>
        <v>0</v>
      </c>
      <c r="S300" s="12">
        <f t="shared" si="32"/>
        <v>0</v>
      </c>
      <c r="T300" s="12">
        <f t="shared" si="33"/>
        <v>0</v>
      </c>
      <c r="U300" s="14" t="str">
        <f t="shared" si="34"/>
        <v/>
      </c>
    </row>
    <row r="301" spans="12:21" x14ac:dyDescent="0.25">
      <c r="L301" s="18">
        <f t="shared" si="29"/>
        <v>0</v>
      </c>
      <c r="M301" s="13" t="e">
        <f>VLOOKUP(G301,Sell!G:L,1,0)</f>
        <v>#N/A</v>
      </c>
      <c r="N301" s="13">
        <f>IFERROR(VLOOKUP(G301,Sell!G:L,2,0),0)</f>
        <v>0</v>
      </c>
      <c r="O301" s="12">
        <f>IFERROR(VLOOKUP(G301,Sell!G:L,6,0),0)</f>
        <v>0</v>
      </c>
      <c r="P301" s="13">
        <f t="shared" si="28"/>
        <v>0</v>
      </c>
      <c r="Q301" s="12">
        <f t="shared" si="30"/>
        <v>0</v>
      </c>
      <c r="R301" s="12">
        <f t="shared" si="31"/>
        <v>0</v>
      </c>
      <c r="S301" s="12">
        <f t="shared" si="32"/>
        <v>0</v>
      </c>
      <c r="T301" s="12">
        <f t="shared" si="33"/>
        <v>0</v>
      </c>
      <c r="U301" s="14" t="str">
        <f t="shared" si="34"/>
        <v/>
      </c>
    </row>
    <row r="302" spans="12:21" x14ac:dyDescent="0.25">
      <c r="L302" s="18">
        <f t="shared" si="29"/>
        <v>0</v>
      </c>
      <c r="M302" s="13" t="e">
        <f>VLOOKUP(G302,Sell!G:L,1,0)</f>
        <v>#N/A</v>
      </c>
      <c r="N302" s="13">
        <f>IFERROR(VLOOKUP(G302,Sell!G:L,2,0),0)</f>
        <v>0</v>
      </c>
      <c r="O302" s="12">
        <f>IFERROR(VLOOKUP(G302,Sell!G:L,6,0),0)</f>
        <v>0</v>
      </c>
      <c r="P302" s="13">
        <f t="shared" si="28"/>
        <v>0</v>
      </c>
      <c r="Q302" s="12">
        <f t="shared" si="30"/>
        <v>0</v>
      </c>
      <c r="R302" s="12">
        <f t="shared" si="31"/>
        <v>0</v>
      </c>
      <c r="S302" s="12">
        <f t="shared" si="32"/>
        <v>0</v>
      </c>
      <c r="T302" s="12">
        <f t="shared" si="33"/>
        <v>0</v>
      </c>
      <c r="U302" s="14" t="str">
        <f t="shared" si="34"/>
        <v/>
      </c>
    </row>
    <row r="303" spans="12:21" x14ac:dyDescent="0.25">
      <c r="L303" s="18">
        <f t="shared" si="29"/>
        <v>0</v>
      </c>
      <c r="M303" s="13" t="e">
        <f>VLOOKUP(G303,Sell!G:L,1,0)</f>
        <v>#N/A</v>
      </c>
      <c r="N303" s="13">
        <f>IFERROR(VLOOKUP(G303,Sell!G:L,2,0),0)</f>
        <v>0</v>
      </c>
      <c r="O303" s="12">
        <f>IFERROR(VLOOKUP(G303,Sell!G:L,6,0),0)</f>
        <v>0</v>
      </c>
      <c r="P303" s="13">
        <f t="shared" si="28"/>
        <v>0</v>
      </c>
      <c r="Q303" s="12">
        <f t="shared" si="30"/>
        <v>0</v>
      </c>
      <c r="R303" s="12">
        <f t="shared" si="31"/>
        <v>0</v>
      </c>
      <c r="S303" s="12">
        <f t="shared" si="32"/>
        <v>0</v>
      </c>
      <c r="T303" s="12">
        <f t="shared" si="33"/>
        <v>0</v>
      </c>
      <c r="U303" s="14" t="str">
        <f t="shared" si="34"/>
        <v/>
      </c>
    </row>
    <row r="304" spans="12:21" x14ac:dyDescent="0.25">
      <c r="L304" s="18">
        <f t="shared" si="29"/>
        <v>0</v>
      </c>
      <c r="M304" s="13" t="e">
        <f>VLOOKUP(G304,Sell!G:L,1,0)</f>
        <v>#N/A</v>
      </c>
      <c r="N304" s="13">
        <f>IFERROR(VLOOKUP(G304,Sell!G:L,2,0),0)</f>
        <v>0</v>
      </c>
      <c r="O304" s="12">
        <f>IFERROR(VLOOKUP(G304,Sell!G:L,6,0),0)</f>
        <v>0</v>
      </c>
      <c r="P304" s="13">
        <f t="shared" si="28"/>
        <v>0</v>
      </c>
      <c r="Q304" s="12">
        <f t="shared" si="30"/>
        <v>0</v>
      </c>
      <c r="R304" s="12">
        <f t="shared" si="31"/>
        <v>0</v>
      </c>
      <c r="S304" s="12">
        <f t="shared" si="32"/>
        <v>0</v>
      </c>
      <c r="T304" s="12">
        <f t="shared" si="33"/>
        <v>0</v>
      </c>
      <c r="U304" s="14" t="str">
        <f t="shared" si="34"/>
        <v/>
      </c>
    </row>
    <row r="305" spans="12:21" x14ac:dyDescent="0.25">
      <c r="L305" s="18">
        <f t="shared" si="29"/>
        <v>0</v>
      </c>
      <c r="M305" s="13" t="e">
        <f>VLOOKUP(G305,Sell!G:L,1,0)</f>
        <v>#N/A</v>
      </c>
      <c r="N305" s="13">
        <f>IFERROR(VLOOKUP(G305,Sell!G:L,2,0),0)</f>
        <v>0</v>
      </c>
      <c r="O305" s="12">
        <f>IFERROR(VLOOKUP(G305,Sell!G:L,6,0),0)</f>
        <v>0</v>
      </c>
      <c r="P305" s="13">
        <f t="shared" si="28"/>
        <v>0</v>
      </c>
      <c r="Q305" s="12">
        <f t="shared" si="30"/>
        <v>0</v>
      </c>
      <c r="R305" s="12">
        <f t="shared" si="31"/>
        <v>0</v>
      </c>
      <c r="S305" s="12">
        <f t="shared" si="32"/>
        <v>0</v>
      </c>
      <c r="T305" s="12">
        <f t="shared" si="33"/>
        <v>0</v>
      </c>
      <c r="U305" s="14" t="str">
        <f t="shared" si="34"/>
        <v/>
      </c>
    </row>
    <row r="306" spans="12:21" x14ac:dyDescent="0.25">
      <c r="L306" s="18">
        <f t="shared" si="29"/>
        <v>0</v>
      </c>
      <c r="M306" s="13" t="e">
        <f>VLOOKUP(G306,Sell!G:L,1,0)</f>
        <v>#N/A</v>
      </c>
      <c r="N306" s="13">
        <f>IFERROR(VLOOKUP(G306,Sell!G:L,2,0),0)</f>
        <v>0</v>
      </c>
      <c r="O306" s="12">
        <f>IFERROR(VLOOKUP(G306,Sell!G:L,6,0),0)</f>
        <v>0</v>
      </c>
      <c r="P306" s="13">
        <f t="shared" si="28"/>
        <v>0</v>
      </c>
      <c r="Q306" s="12">
        <f t="shared" si="30"/>
        <v>0</v>
      </c>
      <c r="R306" s="12">
        <f t="shared" si="31"/>
        <v>0</v>
      </c>
      <c r="S306" s="12">
        <f t="shared" si="32"/>
        <v>0</v>
      </c>
      <c r="T306" s="12">
        <f t="shared" si="33"/>
        <v>0</v>
      </c>
      <c r="U306" s="14" t="str">
        <f t="shared" si="34"/>
        <v/>
      </c>
    </row>
    <row r="307" spans="12:21" x14ac:dyDescent="0.25">
      <c r="L307" s="18">
        <f t="shared" si="29"/>
        <v>0</v>
      </c>
      <c r="M307" s="13" t="e">
        <f>VLOOKUP(G307,Sell!G:L,1,0)</f>
        <v>#N/A</v>
      </c>
      <c r="N307" s="13">
        <f>IFERROR(VLOOKUP(G307,Sell!G:L,2,0),0)</f>
        <v>0</v>
      </c>
      <c r="O307" s="12">
        <f>IFERROR(VLOOKUP(G307,Sell!G:L,6,0),0)</f>
        <v>0</v>
      </c>
      <c r="P307" s="13">
        <f t="shared" si="28"/>
        <v>0</v>
      </c>
      <c r="Q307" s="12">
        <f t="shared" si="30"/>
        <v>0</v>
      </c>
      <c r="R307" s="12">
        <f t="shared" si="31"/>
        <v>0</v>
      </c>
      <c r="S307" s="12">
        <f t="shared" si="32"/>
        <v>0</v>
      </c>
      <c r="T307" s="12">
        <f t="shared" si="33"/>
        <v>0</v>
      </c>
      <c r="U307" s="14" t="str">
        <f t="shared" si="34"/>
        <v/>
      </c>
    </row>
    <row r="308" spans="12:21" x14ac:dyDescent="0.25">
      <c r="L308" s="18">
        <f t="shared" si="29"/>
        <v>0</v>
      </c>
      <c r="M308" s="13" t="e">
        <f>VLOOKUP(G308,Sell!G:L,1,0)</f>
        <v>#N/A</v>
      </c>
      <c r="N308" s="13">
        <f>IFERROR(VLOOKUP(G308,Sell!G:L,2,0),0)</f>
        <v>0</v>
      </c>
      <c r="O308" s="12">
        <f>IFERROR(VLOOKUP(G308,Sell!G:L,6,0),0)</f>
        <v>0</v>
      </c>
      <c r="P308" s="13">
        <f t="shared" si="28"/>
        <v>0</v>
      </c>
      <c r="Q308" s="12">
        <f t="shared" si="30"/>
        <v>0</v>
      </c>
      <c r="R308" s="12">
        <f t="shared" si="31"/>
        <v>0</v>
      </c>
      <c r="S308" s="12">
        <f t="shared" si="32"/>
        <v>0</v>
      </c>
      <c r="T308" s="12">
        <f t="shared" si="33"/>
        <v>0</v>
      </c>
      <c r="U308" s="14" t="str">
        <f t="shared" si="34"/>
        <v/>
      </c>
    </row>
    <row r="309" spans="12:21" x14ac:dyDescent="0.25">
      <c r="L309" s="18">
        <f t="shared" si="29"/>
        <v>0</v>
      </c>
      <c r="M309" s="13" t="e">
        <f>VLOOKUP(G309,Sell!G:L,1,0)</f>
        <v>#N/A</v>
      </c>
      <c r="N309" s="13">
        <f>IFERROR(VLOOKUP(G309,Sell!G:L,2,0),0)</f>
        <v>0</v>
      </c>
      <c r="O309" s="12">
        <f>IFERROR(VLOOKUP(G309,Sell!G:L,6,0),0)</f>
        <v>0</v>
      </c>
      <c r="P309" s="13">
        <f t="shared" si="28"/>
        <v>0</v>
      </c>
      <c r="Q309" s="12">
        <f t="shared" si="30"/>
        <v>0</v>
      </c>
      <c r="R309" s="12">
        <f t="shared" si="31"/>
        <v>0</v>
      </c>
      <c r="S309" s="12">
        <f t="shared" si="32"/>
        <v>0</v>
      </c>
      <c r="T309" s="12">
        <f t="shared" si="33"/>
        <v>0</v>
      </c>
      <c r="U309" s="14" t="str">
        <f t="shared" si="34"/>
        <v/>
      </c>
    </row>
    <row r="310" spans="12:21" x14ac:dyDescent="0.25">
      <c r="L310" s="18">
        <f t="shared" si="29"/>
        <v>0</v>
      </c>
      <c r="M310" s="13" t="e">
        <f>VLOOKUP(G310,Sell!G:L,1,0)</f>
        <v>#N/A</v>
      </c>
      <c r="N310" s="13">
        <f>IFERROR(VLOOKUP(G310,Sell!G:L,2,0),0)</f>
        <v>0</v>
      </c>
      <c r="O310" s="12">
        <f>IFERROR(VLOOKUP(G310,Sell!G:L,6,0),0)</f>
        <v>0</v>
      </c>
      <c r="P310" s="13">
        <f t="shared" si="28"/>
        <v>0</v>
      </c>
      <c r="Q310" s="12">
        <f t="shared" si="30"/>
        <v>0</v>
      </c>
      <c r="R310" s="12">
        <f t="shared" si="31"/>
        <v>0</v>
      </c>
      <c r="S310" s="12">
        <f t="shared" si="32"/>
        <v>0</v>
      </c>
      <c r="T310" s="12">
        <f t="shared" si="33"/>
        <v>0</v>
      </c>
      <c r="U310" s="14" t="str">
        <f t="shared" si="34"/>
        <v/>
      </c>
    </row>
    <row r="311" spans="12:21" x14ac:dyDescent="0.25">
      <c r="L311" s="18">
        <f t="shared" si="29"/>
        <v>0</v>
      </c>
      <c r="M311" s="13" t="e">
        <f>VLOOKUP(G311,Sell!G:L,1,0)</f>
        <v>#N/A</v>
      </c>
      <c r="N311" s="13">
        <f>IFERROR(VLOOKUP(G311,Sell!G:L,2,0),0)</f>
        <v>0</v>
      </c>
      <c r="O311" s="12">
        <f>IFERROR(VLOOKUP(G311,Sell!G:L,6,0),0)</f>
        <v>0</v>
      </c>
      <c r="P311" s="13">
        <f t="shared" si="28"/>
        <v>0</v>
      </c>
      <c r="Q311" s="12">
        <f t="shared" si="30"/>
        <v>0</v>
      </c>
      <c r="R311" s="12">
        <f t="shared" si="31"/>
        <v>0</v>
      </c>
      <c r="S311" s="12">
        <f t="shared" si="32"/>
        <v>0</v>
      </c>
      <c r="T311" s="12">
        <f t="shared" si="33"/>
        <v>0</v>
      </c>
      <c r="U311" s="14" t="str">
        <f t="shared" si="34"/>
        <v/>
      </c>
    </row>
    <row r="312" spans="12:21" x14ac:dyDescent="0.25">
      <c r="L312" s="18">
        <f t="shared" si="29"/>
        <v>0</v>
      </c>
      <c r="M312" s="13" t="e">
        <f>VLOOKUP(G312,Sell!G:L,1,0)</f>
        <v>#N/A</v>
      </c>
      <c r="N312" s="13">
        <f>IFERROR(VLOOKUP(G312,Sell!G:L,2,0),0)</f>
        <v>0</v>
      </c>
      <c r="O312" s="12">
        <f>IFERROR(VLOOKUP(G312,Sell!G:L,6,0),0)</f>
        <v>0</v>
      </c>
      <c r="P312" s="13">
        <f t="shared" si="28"/>
        <v>0</v>
      </c>
      <c r="Q312" s="12">
        <f t="shared" si="30"/>
        <v>0</v>
      </c>
      <c r="R312" s="12">
        <f t="shared" si="31"/>
        <v>0</v>
      </c>
      <c r="S312" s="12">
        <f t="shared" si="32"/>
        <v>0</v>
      </c>
      <c r="T312" s="12">
        <f t="shared" si="33"/>
        <v>0</v>
      </c>
      <c r="U312" s="14" t="str">
        <f t="shared" si="34"/>
        <v/>
      </c>
    </row>
    <row r="313" spans="12:21" x14ac:dyDescent="0.25">
      <c r="L313" s="18">
        <f t="shared" si="29"/>
        <v>0</v>
      </c>
      <c r="M313" s="13" t="e">
        <f>VLOOKUP(G313,Sell!G:L,1,0)</f>
        <v>#N/A</v>
      </c>
      <c r="N313" s="13">
        <f>IFERROR(VLOOKUP(G313,Sell!G:L,2,0),0)</f>
        <v>0</v>
      </c>
      <c r="O313" s="12">
        <f>IFERROR(VLOOKUP(G313,Sell!G:L,6,0),0)</f>
        <v>0</v>
      </c>
      <c r="P313" s="13">
        <f t="shared" si="28"/>
        <v>0</v>
      </c>
      <c r="Q313" s="12">
        <f t="shared" si="30"/>
        <v>0</v>
      </c>
      <c r="R313" s="12">
        <f t="shared" si="31"/>
        <v>0</v>
      </c>
      <c r="S313" s="12">
        <f t="shared" si="32"/>
        <v>0</v>
      </c>
      <c r="T313" s="12">
        <f t="shared" si="33"/>
        <v>0</v>
      </c>
      <c r="U313" s="14" t="str">
        <f t="shared" si="34"/>
        <v/>
      </c>
    </row>
    <row r="314" spans="12:21" x14ac:dyDescent="0.25">
      <c r="L314" s="18">
        <f t="shared" si="29"/>
        <v>0</v>
      </c>
      <c r="M314" s="13" t="e">
        <f>VLOOKUP(G314,Sell!G:L,1,0)</f>
        <v>#N/A</v>
      </c>
      <c r="N314" s="13">
        <f>IFERROR(VLOOKUP(G314,Sell!G:L,2,0),0)</f>
        <v>0</v>
      </c>
      <c r="O314" s="12">
        <f>IFERROR(VLOOKUP(G314,Sell!G:L,6,0),0)</f>
        <v>0</v>
      </c>
      <c r="P314" s="13">
        <f t="shared" si="28"/>
        <v>0</v>
      </c>
      <c r="Q314" s="12">
        <f t="shared" si="30"/>
        <v>0</v>
      </c>
      <c r="R314" s="12">
        <f t="shared" si="31"/>
        <v>0</v>
      </c>
      <c r="S314" s="12">
        <f t="shared" si="32"/>
        <v>0</v>
      </c>
      <c r="T314" s="12">
        <f t="shared" si="33"/>
        <v>0</v>
      </c>
      <c r="U314" s="14" t="str">
        <f t="shared" si="34"/>
        <v/>
      </c>
    </row>
    <row r="315" spans="12:21" x14ac:dyDescent="0.25">
      <c r="L315" s="18">
        <f t="shared" si="29"/>
        <v>0</v>
      </c>
      <c r="M315" s="13" t="e">
        <f>VLOOKUP(G315,Sell!G:L,1,0)</f>
        <v>#N/A</v>
      </c>
      <c r="N315" s="13">
        <f>IFERROR(VLOOKUP(G315,Sell!G:L,2,0),0)</f>
        <v>0</v>
      </c>
      <c r="O315" s="12">
        <f>IFERROR(VLOOKUP(G315,Sell!G:L,6,0),0)</f>
        <v>0</v>
      </c>
      <c r="P315" s="13">
        <f t="shared" si="28"/>
        <v>0</v>
      </c>
      <c r="Q315" s="12">
        <f t="shared" si="30"/>
        <v>0</v>
      </c>
      <c r="R315" s="12">
        <f t="shared" si="31"/>
        <v>0</v>
      </c>
      <c r="S315" s="12">
        <f t="shared" si="32"/>
        <v>0</v>
      </c>
      <c r="T315" s="12">
        <f t="shared" si="33"/>
        <v>0</v>
      </c>
      <c r="U315" s="14" t="str">
        <f t="shared" si="34"/>
        <v/>
      </c>
    </row>
    <row r="316" spans="12:21" x14ac:dyDescent="0.25">
      <c r="L316" s="18">
        <f t="shared" si="29"/>
        <v>0</v>
      </c>
      <c r="M316" s="13" t="e">
        <f>VLOOKUP(G316,Sell!G:L,1,0)</f>
        <v>#N/A</v>
      </c>
      <c r="N316" s="13">
        <f>IFERROR(VLOOKUP(G316,Sell!G:L,2,0),0)</f>
        <v>0</v>
      </c>
      <c r="O316" s="12">
        <f>IFERROR(VLOOKUP(G316,Sell!G:L,6,0),0)</f>
        <v>0</v>
      </c>
      <c r="P316" s="13">
        <f t="shared" si="28"/>
        <v>0</v>
      </c>
      <c r="Q316" s="12">
        <f t="shared" si="30"/>
        <v>0</v>
      </c>
      <c r="R316" s="12">
        <f t="shared" si="31"/>
        <v>0</v>
      </c>
      <c r="S316" s="12">
        <f t="shared" si="32"/>
        <v>0</v>
      </c>
      <c r="T316" s="12">
        <f t="shared" si="33"/>
        <v>0</v>
      </c>
      <c r="U316" s="14" t="str">
        <f t="shared" si="34"/>
        <v/>
      </c>
    </row>
    <row r="317" spans="12:21" x14ac:dyDescent="0.25">
      <c r="L317" s="18">
        <f t="shared" si="29"/>
        <v>0</v>
      </c>
      <c r="M317" s="13" t="e">
        <f>VLOOKUP(G317,Sell!G:L,1,0)</f>
        <v>#N/A</v>
      </c>
      <c r="N317" s="13">
        <f>IFERROR(VLOOKUP(G317,Sell!G:L,2,0),0)</f>
        <v>0</v>
      </c>
      <c r="O317" s="12">
        <f>IFERROR(VLOOKUP(G317,Sell!G:L,6,0),0)</f>
        <v>0</v>
      </c>
      <c r="P317" s="13">
        <f t="shared" si="28"/>
        <v>0</v>
      </c>
      <c r="Q317" s="12">
        <f t="shared" si="30"/>
        <v>0</v>
      </c>
      <c r="R317" s="12">
        <f t="shared" si="31"/>
        <v>0</v>
      </c>
      <c r="S317" s="12">
        <f t="shared" si="32"/>
        <v>0</v>
      </c>
      <c r="T317" s="12">
        <f t="shared" si="33"/>
        <v>0</v>
      </c>
      <c r="U317" s="14" t="str">
        <f t="shared" si="34"/>
        <v/>
      </c>
    </row>
    <row r="318" spans="12:21" x14ac:dyDescent="0.25">
      <c r="L318" s="18">
        <f t="shared" si="29"/>
        <v>0</v>
      </c>
      <c r="M318" s="13" t="e">
        <f>VLOOKUP(G318,Sell!G:L,1,0)</f>
        <v>#N/A</v>
      </c>
      <c r="N318" s="13">
        <f>IFERROR(VLOOKUP(G318,Sell!G:L,2,0),0)</f>
        <v>0</v>
      </c>
      <c r="O318" s="12">
        <f>IFERROR(VLOOKUP(G318,Sell!G:L,6,0),0)</f>
        <v>0</v>
      </c>
      <c r="P318" s="13">
        <f t="shared" si="28"/>
        <v>0</v>
      </c>
      <c r="Q318" s="12">
        <f t="shared" si="30"/>
        <v>0</v>
      </c>
      <c r="R318" s="12">
        <f t="shared" si="31"/>
        <v>0</v>
      </c>
      <c r="S318" s="12">
        <f t="shared" si="32"/>
        <v>0</v>
      </c>
      <c r="T318" s="12">
        <f t="shared" si="33"/>
        <v>0</v>
      </c>
      <c r="U318" s="14" t="str">
        <f t="shared" si="34"/>
        <v/>
      </c>
    </row>
    <row r="319" spans="12:21" x14ac:dyDescent="0.25">
      <c r="L319" s="18">
        <f t="shared" si="29"/>
        <v>0</v>
      </c>
      <c r="M319" s="13" t="e">
        <f>VLOOKUP(G319,Sell!G:L,1,0)</f>
        <v>#N/A</v>
      </c>
      <c r="N319" s="13">
        <f>IFERROR(VLOOKUP(G319,Sell!G:L,2,0),0)</f>
        <v>0</v>
      </c>
      <c r="O319" s="12">
        <f>IFERROR(VLOOKUP(G319,Sell!G:L,6,0),0)</f>
        <v>0</v>
      </c>
      <c r="P319" s="13">
        <f t="shared" si="28"/>
        <v>0</v>
      </c>
      <c r="Q319" s="12">
        <f t="shared" si="30"/>
        <v>0</v>
      </c>
      <c r="R319" s="12">
        <f t="shared" si="31"/>
        <v>0</v>
      </c>
      <c r="S319" s="12">
        <f t="shared" si="32"/>
        <v>0</v>
      </c>
      <c r="T319" s="12">
        <f t="shared" si="33"/>
        <v>0</v>
      </c>
      <c r="U319" s="14" t="str">
        <f t="shared" si="34"/>
        <v/>
      </c>
    </row>
    <row r="320" spans="12:21" x14ac:dyDescent="0.25">
      <c r="L320" s="18">
        <f t="shared" si="29"/>
        <v>0</v>
      </c>
      <c r="M320" s="13" t="e">
        <f>VLOOKUP(G320,Sell!G:L,1,0)</f>
        <v>#N/A</v>
      </c>
      <c r="N320" s="13">
        <f>IFERROR(VLOOKUP(G320,Sell!G:L,2,0),0)</f>
        <v>0</v>
      </c>
      <c r="O320" s="12">
        <f>IFERROR(VLOOKUP(G320,Sell!G:L,6,0),0)</f>
        <v>0</v>
      </c>
      <c r="P320" s="13">
        <f t="shared" si="28"/>
        <v>0</v>
      </c>
      <c r="Q320" s="12">
        <f t="shared" si="30"/>
        <v>0</v>
      </c>
      <c r="R320" s="12">
        <f t="shared" si="31"/>
        <v>0</v>
      </c>
      <c r="S320" s="12">
        <f t="shared" si="32"/>
        <v>0</v>
      </c>
      <c r="T320" s="12">
        <f t="shared" si="33"/>
        <v>0</v>
      </c>
      <c r="U320" s="14" t="str">
        <f t="shared" si="34"/>
        <v/>
      </c>
    </row>
    <row r="321" spans="12:21" x14ac:dyDescent="0.25">
      <c r="L321" s="18">
        <f t="shared" si="29"/>
        <v>0</v>
      </c>
      <c r="M321" s="13" t="e">
        <f>VLOOKUP(G321,Sell!G:L,1,0)</f>
        <v>#N/A</v>
      </c>
      <c r="N321" s="13">
        <f>IFERROR(VLOOKUP(G321,Sell!G:L,2,0),0)</f>
        <v>0</v>
      </c>
      <c r="O321" s="12">
        <f>IFERROR(VLOOKUP(G321,Sell!G:L,6,0),0)</f>
        <v>0</v>
      </c>
      <c r="P321" s="13">
        <f t="shared" si="28"/>
        <v>0</v>
      </c>
      <c r="Q321" s="12">
        <f t="shared" si="30"/>
        <v>0</v>
      </c>
      <c r="R321" s="12">
        <f t="shared" si="31"/>
        <v>0</v>
      </c>
      <c r="S321" s="12">
        <f t="shared" si="32"/>
        <v>0</v>
      </c>
      <c r="T321" s="12">
        <f t="shared" si="33"/>
        <v>0</v>
      </c>
      <c r="U321" s="14" t="str">
        <f t="shared" si="34"/>
        <v/>
      </c>
    </row>
    <row r="322" spans="12:21" x14ac:dyDescent="0.25">
      <c r="L322" s="18">
        <f t="shared" si="29"/>
        <v>0</v>
      </c>
      <c r="M322" s="13" t="e">
        <f>VLOOKUP(G322,Sell!G:L,1,0)</f>
        <v>#N/A</v>
      </c>
      <c r="N322" s="13">
        <f>IFERROR(VLOOKUP(G322,Sell!G:L,2,0),0)</f>
        <v>0</v>
      </c>
      <c r="O322" s="12">
        <f>IFERROR(VLOOKUP(G322,Sell!G:L,6,0),0)</f>
        <v>0</v>
      </c>
      <c r="P322" s="13">
        <f t="shared" si="28"/>
        <v>0</v>
      </c>
      <c r="Q322" s="12">
        <f t="shared" si="30"/>
        <v>0</v>
      </c>
      <c r="R322" s="12">
        <f t="shared" si="31"/>
        <v>0</v>
      </c>
      <c r="S322" s="12">
        <f t="shared" si="32"/>
        <v>0</v>
      </c>
      <c r="T322" s="12">
        <f t="shared" si="33"/>
        <v>0</v>
      </c>
      <c r="U322" s="14" t="str">
        <f t="shared" si="34"/>
        <v/>
      </c>
    </row>
    <row r="323" spans="12:21" x14ac:dyDescent="0.25">
      <c r="L323" s="18">
        <f t="shared" si="29"/>
        <v>0</v>
      </c>
      <c r="M323" s="13" t="e">
        <f>VLOOKUP(G323,Sell!G:L,1,0)</f>
        <v>#N/A</v>
      </c>
      <c r="N323" s="13">
        <f>IFERROR(VLOOKUP(G323,Sell!G:L,2,0),0)</f>
        <v>0</v>
      </c>
      <c r="O323" s="12">
        <f>IFERROR(VLOOKUP(G323,Sell!G:L,6,0),0)</f>
        <v>0</v>
      </c>
      <c r="P323" s="13">
        <f t="shared" si="28"/>
        <v>0</v>
      </c>
      <c r="Q323" s="12">
        <f t="shared" si="30"/>
        <v>0</v>
      </c>
      <c r="R323" s="12">
        <f t="shared" si="31"/>
        <v>0</v>
      </c>
      <c r="S323" s="12">
        <f t="shared" si="32"/>
        <v>0</v>
      </c>
      <c r="T323" s="12">
        <f t="shared" si="33"/>
        <v>0</v>
      </c>
      <c r="U323" s="14" t="str">
        <f t="shared" si="34"/>
        <v/>
      </c>
    </row>
    <row r="324" spans="12:21" x14ac:dyDescent="0.25">
      <c r="L324" s="18">
        <f t="shared" si="29"/>
        <v>0</v>
      </c>
      <c r="M324" s="13" t="e">
        <f>VLOOKUP(G324,Sell!G:L,1,0)</f>
        <v>#N/A</v>
      </c>
      <c r="N324" s="13">
        <f>IFERROR(VLOOKUP(G324,Sell!G:L,2,0),0)</f>
        <v>0</v>
      </c>
      <c r="O324" s="12">
        <f>IFERROR(VLOOKUP(G324,Sell!G:L,6,0),0)</f>
        <v>0</v>
      </c>
      <c r="P324" s="13">
        <f t="shared" si="28"/>
        <v>0</v>
      </c>
      <c r="Q324" s="12">
        <f t="shared" si="30"/>
        <v>0</v>
      </c>
      <c r="R324" s="12">
        <f t="shared" si="31"/>
        <v>0</v>
      </c>
      <c r="S324" s="12">
        <f t="shared" si="32"/>
        <v>0</v>
      </c>
      <c r="T324" s="12">
        <f t="shared" si="33"/>
        <v>0</v>
      </c>
      <c r="U324" s="14" t="str">
        <f t="shared" si="34"/>
        <v/>
      </c>
    </row>
    <row r="325" spans="12:21" x14ac:dyDescent="0.25">
      <c r="L325" s="18">
        <f t="shared" si="29"/>
        <v>0</v>
      </c>
      <c r="M325" s="13" t="e">
        <f>VLOOKUP(G325,Sell!G:L,1,0)</f>
        <v>#N/A</v>
      </c>
      <c r="N325" s="13">
        <f>IFERROR(VLOOKUP(G325,Sell!G:L,2,0),0)</f>
        <v>0</v>
      </c>
      <c r="O325" s="12">
        <f>IFERROR(VLOOKUP(G325,Sell!G:L,6,0),0)</f>
        <v>0</v>
      </c>
      <c r="P325" s="13">
        <f t="shared" si="28"/>
        <v>0</v>
      </c>
      <c r="Q325" s="12">
        <f t="shared" si="30"/>
        <v>0</v>
      </c>
      <c r="R325" s="12">
        <f t="shared" si="31"/>
        <v>0</v>
      </c>
      <c r="S325" s="12">
        <f t="shared" si="32"/>
        <v>0</v>
      </c>
      <c r="T325" s="12">
        <f t="shared" si="33"/>
        <v>0</v>
      </c>
      <c r="U325" s="14" t="str">
        <f t="shared" si="34"/>
        <v/>
      </c>
    </row>
    <row r="326" spans="12:21" x14ac:dyDescent="0.25">
      <c r="L326" s="18">
        <f t="shared" si="29"/>
        <v>0</v>
      </c>
      <c r="M326" s="13" t="e">
        <f>VLOOKUP(G326,Sell!G:L,1,0)</f>
        <v>#N/A</v>
      </c>
      <c r="N326" s="13">
        <f>IFERROR(VLOOKUP(G326,Sell!G:L,2,0),0)</f>
        <v>0</v>
      </c>
      <c r="O326" s="12">
        <f>IFERROR(VLOOKUP(G326,Sell!G:L,6,0),0)</f>
        <v>0</v>
      </c>
      <c r="P326" s="13">
        <f t="shared" si="28"/>
        <v>0</v>
      </c>
      <c r="Q326" s="12">
        <f t="shared" si="30"/>
        <v>0</v>
      </c>
      <c r="R326" s="12">
        <f t="shared" si="31"/>
        <v>0</v>
      </c>
      <c r="S326" s="12">
        <f t="shared" si="32"/>
        <v>0</v>
      </c>
      <c r="T326" s="12">
        <f t="shared" si="33"/>
        <v>0</v>
      </c>
      <c r="U326" s="14" t="str">
        <f t="shared" si="34"/>
        <v/>
      </c>
    </row>
    <row r="327" spans="12:21" x14ac:dyDescent="0.25">
      <c r="L327" s="18">
        <f t="shared" si="29"/>
        <v>0</v>
      </c>
      <c r="M327" s="13" t="e">
        <f>VLOOKUP(G327,Sell!G:L,1,0)</f>
        <v>#N/A</v>
      </c>
      <c r="N327" s="13">
        <f>IFERROR(VLOOKUP(G327,Sell!G:L,2,0),0)</f>
        <v>0</v>
      </c>
      <c r="O327" s="12">
        <f>IFERROR(VLOOKUP(G327,Sell!G:L,6,0),0)</f>
        <v>0</v>
      </c>
      <c r="P327" s="13">
        <f t="shared" si="28"/>
        <v>0</v>
      </c>
      <c r="Q327" s="12">
        <f t="shared" si="30"/>
        <v>0</v>
      </c>
      <c r="R327" s="12">
        <f t="shared" si="31"/>
        <v>0</v>
      </c>
      <c r="S327" s="12">
        <f t="shared" si="32"/>
        <v>0</v>
      </c>
      <c r="T327" s="12">
        <f t="shared" si="33"/>
        <v>0</v>
      </c>
      <c r="U327" s="14" t="str">
        <f t="shared" si="34"/>
        <v/>
      </c>
    </row>
    <row r="328" spans="12:21" x14ac:dyDescent="0.25">
      <c r="L328" s="18">
        <f t="shared" si="29"/>
        <v>0</v>
      </c>
      <c r="M328" s="13" t="e">
        <f>VLOOKUP(G328,Sell!G:L,1,0)</f>
        <v>#N/A</v>
      </c>
      <c r="N328" s="13">
        <f>IFERROR(VLOOKUP(G328,Sell!G:L,2,0),0)</f>
        <v>0</v>
      </c>
      <c r="O328" s="12">
        <f>IFERROR(VLOOKUP(G328,Sell!G:L,6,0),0)</f>
        <v>0</v>
      </c>
      <c r="P328" s="13">
        <f t="shared" si="28"/>
        <v>0</v>
      </c>
      <c r="Q328" s="12">
        <f t="shared" si="30"/>
        <v>0</v>
      </c>
      <c r="R328" s="12">
        <f t="shared" si="31"/>
        <v>0</v>
      </c>
      <c r="S328" s="12">
        <f t="shared" si="32"/>
        <v>0</v>
      </c>
      <c r="T328" s="12">
        <f t="shared" si="33"/>
        <v>0</v>
      </c>
      <c r="U328" s="14" t="str">
        <f t="shared" si="34"/>
        <v/>
      </c>
    </row>
    <row r="329" spans="12:21" x14ac:dyDescent="0.25">
      <c r="L329" s="18">
        <f t="shared" si="29"/>
        <v>0</v>
      </c>
      <c r="M329" s="13" t="e">
        <f>VLOOKUP(G329,Sell!G:L,1,0)</f>
        <v>#N/A</v>
      </c>
      <c r="N329" s="13">
        <f>IFERROR(VLOOKUP(G329,Sell!G:L,2,0),0)</f>
        <v>0</v>
      </c>
      <c r="O329" s="12">
        <f>IFERROR(VLOOKUP(G329,Sell!G:L,6,0),0)</f>
        <v>0</v>
      </c>
      <c r="P329" s="13">
        <f t="shared" si="28"/>
        <v>0</v>
      </c>
      <c r="Q329" s="12">
        <f t="shared" si="30"/>
        <v>0</v>
      </c>
      <c r="R329" s="12">
        <f t="shared" si="31"/>
        <v>0</v>
      </c>
      <c r="S329" s="12">
        <f t="shared" si="32"/>
        <v>0</v>
      </c>
      <c r="T329" s="12">
        <f t="shared" si="33"/>
        <v>0</v>
      </c>
      <c r="U329" s="14" t="str">
        <f t="shared" si="34"/>
        <v/>
      </c>
    </row>
    <row r="330" spans="12:21" x14ac:dyDescent="0.25">
      <c r="L330" s="18">
        <f t="shared" si="29"/>
        <v>0</v>
      </c>
      <c r="M330" s="13" t="e">
        <f>VLOOKUP(G330,Sell!G:L,1,0)</f>
        <v>#N/A</v>
      </c>
      <c r="N330" s="13">
        <f>IFERROR(VLOOKUP(G330,Sell!G:L,2,0),0)</f>
        <v>0</v>
      </c>
      <c r="O330" s="12">
        <f>IFERROR(VLOOKUP(G330,Sell!G:L,6,0),0)</f>
        <v>0</v>
      </c>
      <c r="P330" s="13">
        <f t="shared" ref="P330:P393" si="35">H330-N330</f>
        <v>0</v>
      </c>
      <c r="Q330" s="12">
        <f t="shared" si="30"/>
        <v>0</v>
      </c>
      <c r="R330" s="12">
        <f t="shared" si="31"/>
        <v>0</v>
      </c>
      <c r="S330" s="12">
        <f t="shared" si="32"/>
        <v>0</v>
      </c>
      <c r="T330" s="12">
        <f t="shared" si="33"/>
        <v>0</v>
      </c>
      <c r="U330" s="14" t="str">
        <f t="shared" si="34"/>
        <v/>
      </c>
    </row>
    <row r="331" spans="12:21" x14ac:dyDescent="0.25">
      <c r="L331" s="18">
        <f t="shared" ref="L331:L394" si="36">J331+K331</f>
        <v>0</v>
      </c>
      <c r="M331" s="13" t="e">
        <f>VLOOKUP(G331,Sell!G:L,1,0)</f>
        <v>#N/A</v>
      </c>
      <c r="N331" s="13">
        <f>IFERROR(VLOOKUP(G331,Sell!G:L,2,0),0)</f>
        <v>0</v>
      </c>
      <c r="O331" s="12">
        <f>IFERROR(VLOOKUP(G331,Sell!G:L,6,0),0)</f>
        <v>0</v>
      </c>
      <c r="P331" s="13">
        <f t="shared" si="35"/>
        <v>0</v>
      </c>
      <c r="Q331" s="12">
        <f t="shared" ref="Q331:Q394" si="37">O331-L331</f>
        <v>0</v>
      </c>
      <c r="R331" s="12">
        <f t="shared" ref="R331:R394" si="38">IF(P331=0,Q331,0)</f>
        <v>0</v>
      </c>
      <c r="S331" s="12">
        <f t="shared" ref="S331:S394" si="39">IF(R331&gt;0,R331,0)</f>
        <v>0</v>
      </c>
      <c r="T331" s="12">
        <f t="shared" ref="T331:T394" si="40">IF(R331&gt;0,0,R331)</f>
        <v>0</v>
      </c>
      <c r="U331" s="14" t="str">
        <f t="shared" ref="U331:U394" si="41">IF(AND(LEN(G331)&gt;0,R331=0),"Open","")</f>
        <v/>
      </c>
    </row>
    <row r="332" spans="12:21" x14ac:dyDescent="0.25">
      <c r="L332" s="18">
        <f t="shared" si="36"/>
        <v>0</v>
      </c>
      <c r="M332" s="13" t="e">
        <f>VLOOKUP(G332,Sell!G:L,1,0)</f>
        <v>#N/A</v>
      </c>
      <c r="N332" s="13">
        <f>IFERROR(VLOOKUP(G332,Sell!G:L,2,0),0)</f>
        <v>0</v>
      </c>
      <c r="O332" s="12">
        <f>IFERROR(VLOOKUP(G332,Sell!G:L,6,0),0)</f>
        <v>0</v>
      </c>
      <c r="P332" s="13">
        <f t="shared" si="35"/>
        <v>0</v>
      </c>
      <c r="Q332" s="12">
        <f t="shared" si="37"/>
        <v>0</v>
      </c>
      <c r="R332" s="12">
        <f t="shared" si="38"/>
        <v>0</v>
      </c>
      <c r="S332" s="12">
        <f t="shared" si="39"/>
        <v>0</v>
      </c>
      <c r="T332" s="12">
        <f t="shared" si="40"/>
        <v>0</v>
      </c>
      <c r="U332" s="14" t="str">
        <f t="shared" si="41"/>
        <v/>
      </c>
    </row>
    <row r="333" spans="12:21" x14ac:dyDescent="0.25">
      <c r="L333" s="18">
        <f t="shared" si="36"/>
        <v>0</v>
      </c>
      <c r="M333" s="13" t="e">
        <f>VLOOKUP(G333,Sell!G:L,1,0)</f>
        <v>#N/A</v>
      </c>
      <c r="N333" s="13">
        <f>IFERROR(VLOOKUP(G333,Sell!G:L,2,0),0)</f>
        <v>0</v>
      </c>
      <c r="O333" s="12">
        <f>IFERROR(VLOOKUP(G333,Sell!G:L,6,0),0)</f>
        <v>0</v>
      </c>
      <c r="P333" s="13">
        <f t="shared" si="35"/>
        <v>0</v>
      </c>
      <c r="Q333" s="12">
        <f t="shared" si="37"/>
        <v>0</v>
      </c>
      <c r="R333" s="12">
        <f t="shared" si="38"/>
        <v>0</v>
      </c>
      <c r="S333" s="12">
        <f t="shared" si="39"/>
        <v>0</v>
      </c>
      <c r="T333" s="12">
        <f t="shared" si="40"/>
        <v>0</v>
      </c>
      <c r="U333" s="14" t="str">
        <f t="shared" si="41"/>
        <v/>
      </c>
    </row>
    <row r="334" spans="12:21" x14ac:dyDescent="0.25">
      <c r="L334" s="18">
        <f t="shared" si="36"/>
        <v>0</v>
      </c>
      <c r="M334" s="13" t="e">
        <f>VLOOKUP(G334,Sell!G:L,1,0)</f>
        <v>#N/A</v>
      </c>
      <c r="N334" s="13">
        <f>IFERROR(VLOOKUP(G334,Sell!G:L,2,0),0)</f>
        <v>0</v>
      </c>
      <c r="O334" s="12">
        <f>IFERROR(VLOOKUP(G334,Sell!G:L,6,0),0)</f>
        <v>0</v>
      </c>
      <c r="P334" s="13">
        <f t="shared" si="35"/>
        <v>0</v>
      </c>
      <c r="Q334" s="12">
        <f t="shared" si="37"/>
        <v>0</v>
      </c>
      <c r="R334" s="12">
        <f t="shared" si="38"/>
        <v>0</v>
      </c>
      <c r="S334" s="12">
        <f t="shared" si="39"/>
        <v>0</v>
      </c>
      <c r="T334" s="12">
        <f t="shared" si="40"/>
        <v>0</v>
      </c>
      <c r="U334" s="14" t="str">
        <f t="shared" si="41"/>
        <v/>
      </c>
    </row>
    <row r="335" spans="12:21" x14ac:dyDescent="0.25">
      <c r="L335" s="18">
        <f t="shared" si="36"/>
        <v>0</v>
      </c>
      <c r="M335" s="13" t="e">
        <f>VLOOKUP(G335,Sell!G:L,1,0)</f>
        <v>#N/A</v>
      </c>
      <c r="N335" s="13">
        <f>IFERROR(VLOOKUP(G335,Sell!G:L,2,0),0)</f>
        <v>0</v>
      </c>
      <c r="O335" s="12">
        <f>IFERROR(VLOOKUP(G335,Sell!G:L,6,0),0)</f>
        <v>0</v>
      </c>
      <c r="P335" s="13">
        <f t="shared" si="35"/>
        <v>0</v>
      </c>
      <c r="Q335" s="12">
        <f t="shared" si="37"/>
        <v>0</v>
      </c>
      <c r="R335" s="12">
        <f t="shared" si="38"/>
        <v>0</v>
      </c>
      <c r="S335" s="12">
        <f t="shared" si="39"/>
        <v>0</v>
      </c>
      <c r="T335" s="12">
        <f t="shared" si="40"/>
        <v>0</v>
      </c>
      <c r="U335" s="14" t="str">
        <f t="shared" si="41"/>
        <v/>
      </c>
    </row>
    <row r="336" spans="12:21" x14ac:dyDescent="0.25">
      <c r="L336" s="18">
        <f t="shared" si="36"/>
        <v>0</v>
      </c>
      <c r="M336" s="13" t="e">
        <f>VLOOKUP(G336,Sell!G:L,1,0)</f>
        <v>#N/A</v>
      </c>
      <c r="N336" s="13">
        <f>IFERROR(VLOOKUP(G336,Sell!G:L,2,0),0)</f>
        <v>0</v>
      </c>
      <c r="O336" s="12">
        <f>IFERROR(VLOOKUP(G336,Sell!G:L,6,0),0)</f>
        <v>0</v>
      </c>
      <c r="P336" s="13">
        <f t="shared" si="35"/>
        <v>0</v>
      </c>
      <c r="Q336" s="12">
        <f t="shared" si="37"/>
        <v>0</v>
      </c>
      <c r="R336" s="12">
        <f t="shared" si="38"/>
        <v>0</v>
      </c>
      <c r="S336" s="12">
        <f t="shared" si="39"/>
        <v>0</v>
      </c>
      <c r="T336" s="12">
        <f t="shared" si="40"/>
        <v>0</v>
      </c>
      <c r="U336" s="14" t="str">
        <f t="shared" si="41"/>
        <v/>
      </c>
    </row>
    <row r="337" spans="12:21" x14ac:dyDescent="0.25">
      <c r="L337" s="18">
        <f t="shared" si="36"/>
        <v>0</v>
      </c>
      <c r="M337" s="13" t="e">
        <f>VLOOKUP(G337,Sell!G:L,1,0)</f>
        <v>#N/A</v>
      </c>
      <c r="N337" s="13">
        <f>IFERROR(VLOOKUP(G337,Sell!G:L,2,0),0)</f>
        <v>0</v>
      </c>
      <c r="O337" s="12">
        <f>IFERROR(VLOOKUP(G337,Sell!G:L,6,0),0)</f>
        <v>0</v>
      </c>
      <c r="P337" s="13">
        <f t="shared" si="35"/>
        <v>0</v>
      </c>
      <c r="Q337" s="12">
        <f t="shared" si="37"/>
        <v>0</v>
      </c>
      <c r="R337" s="12">
        <f t="shared" si="38"/>
        <v>0</v>
      </c>
      <c r="S337" s="12">
        <f t="shared" si="39"/>
        <v>0</v>
      </c>
      <c r="T337" s="12">
        <f t="shared" si="40"/>
        <v>0</v>
      </c>
      <c r="U337" s="14" t="str">
        <f t="shared" si="41"/>
        <v/>
      </c>
    </row>
    <row r="338" spans="12:21" x14ac:dyDescent="0.25">
      <c r="L338" s="18">
        <f t="shared" si="36"/>
        <v>0</v>
      </c>
      <c r="M338" s="13" t="e">
        <f>VLOOKUP(G338,Sell!G:L,1,0)</f>
        <v>#N/A</v>
      </c>
      <c r="N338" s="13">
        <f>IFERROR(VLOOKUP(G338,Sell!G:L,2,0),0)</f>
        <v>0</v>
      </c>
      <c r="O338" s="12">
        <f>IFERROR(VLOOKUP(G338,Sell!G:L,6,0),0)</f>
        <v>0</v>
      </c>
      <c r="P338" s="13">
        <f t="shared" si="35"/>
        <v>0</v>
      </c>
      <c r="Q338" s="12">
        <f t="shared" si="37"/>
        <v>0</v>
      </c>
      <c r="R338" s="12">
        <f t="shared" si="38"/>
        <v>0</v>
      </c>
      <c r="S338" s="12">
        <f t="shared" si="39"/>
        <v>0</v>
      </c>
      <c r="T338" s="12">
        <f t="shared" si="40"/>
        <v>0</v>
      </c>
      <c r="U338" s="14" t="str">
        <f t="shared" si="41"/>
        <v/>
      </c>
    </row>
    <row r="339" spans="12:21" x14ac:dyDescent="0.25">
      <c r="L339" s="18">
        <f t="shared" si="36"/>
        <v>0</v>
      </c>
      <c r="M339" s="13" t="e">
        <f>VLOOKUP(G339,Sell!G:L,1,0)</f>
        <v>#N/A</v>
      </c>
      <c r="N339" s="13">
        <f>IFERROR(VLOOKUP(G339,Sell!G:L,2,0),0)</f>
        <v>0</v>
      </c>
      <c r="O339" s="12">
        <f>IFERROR(VLOOKUP(G339,Sell!G:L,6,0),0)</f>
        <v>0</v>
      </c>
      <c r="P339" s="13">
        <f t="shared" si="35"/>
        <v>0</v>
      </c>
      <c r="Q339" s="12">
        <f t="shared" si="37"/>
        <v>0</v>
      </c>
      <c r="R339" s="12">
        <f t="shared" si="38"/>
        <v>0</v>
      </c>
      <c r="S339" s="12">
        <f t="shared" si="39"/>
        <v>0</v>
      </c>
      <c r="T339" s="12">
        <f t="shared" si="40"/>
        <v>0</v>
      </c>
      <c r="U339" s="14" t="str">
        <f t="shared" si="41"/>
        <v/>
      </c>
    </row>
    <row r="340" spans="12:21" x14ac:dyDescent="0.25">
      <c r="L340" s="18">
        <f t="shared" si="36"/>
        <v>0</v>
      </c>
      <c r="M340" s="13" t="e">
        <f>VLOOKUP(G340,Sell!G:L,1,0)</f>
        <v>#N/A</v>
      </c>
      <c r="N340" s="13">
        <f>IFERROR(VLOOKUP(G340,Sell!G:L,2,0),0)</f>
        <v>0</v>
      </c>
      <c r="O340" s="12">
        <f>IFERROR(VLOOKUP(G340,Sell!G:L,6,0),0)</f>
        <v>0</v>
      </c>
      <c r="P340" s="13">
        <f t="shared" si="35"/>
        <v>0</v>
      </c>
      <c r="Q340" s="12">
        <f t="shared" si="37"/>
        <v>0</v>
      </c>
      <c r="R340" s="12">
        <f t="shared" si="38"/>
        <v>0</v>
      </c>
      <c r="S340" s="12">
        <f t="shared" si="39"/>
        <v>0</v>
      </c>
      <c r="T340" s="12">
        <f t="shared" si="40"/>
        <v>0</v>
      </c>
      <c r="U340" s="14" t="str">
        <f t="shared" si="41"/>
        <v/>
      </c>
    </row>
    <row r="341" spans="12:21" x14ac:dyDescent="0.25">
      <c r="L341" s="18">
        <f t="shared" si="36"/>
        <v>0</v>
      </c>
      <c r="M341" s="13" t="e">
        <f>VLOOKUP(G341,Sell!G:L,1,0)</f>
        <v>#N/A</v>
      </c>
      <c r="N341" s="13">
        <f>IFERROR(VLOOKUP(G341,Sell!G:L,2,0),0)</f>
        <v>0</v>
      </c>
      <c r="O341" s="12">
        <f>IFERROR(VLOOKUP(G341,Sell!G:L,6,0),0)</f>
        <v>0</v>
      </c>
      <c r="P341" s="13">
        <f t="shared" si="35"/>
        <v>0</v>
      </c>
      <c r="Q341" s="12">
        <f t="shared" si="37"/>
        <v>0</v>
      </c>
      <c r="R341" s="12">
        <f t="shared" si="38"/>
        <v>0</v>
      </c>
      <c r="S341" s="12">
        <f t="shared" si="39"/>
        <v>0</v>
      </c>
      <c r="T341" s="12">
        <f t="shared" si="40"/>
        <v>0</v>
      </c>
      <c r="U341" s="14" t="str">
        <f t="shared" si="41"/>
        <v/>
      </c>
    </row>
    <row r="342" spans="12:21" x14ac:dyDescent="0.25">
      <c r="L342" s="18">
        <f t="shared" si="36"/>
        <v>0</v>
      </c>
      <c r="M342" s="13" t="e">
        <f>VLOOKUP(G342,Sell!G:L,1,0)</f>
        <v>#N/A</v>
      </c>
      <c r="N342" s="13">
        <f>IFERROR(VLOOKUP(G342,Sell!G:L,2,0),0)</f>
        <v>0</v>
      </c>
      <c r="O342" s="12">
        <f>IFERROR(VLOOKUP(G342,Sell!G:L,6,0),0)</f>
        <v>0</v>
      </c>
      <c r="P342" s="13">
        <f t="shared" si="35"/>
        <v>0</v>
      </c>
      <c r="Q342" s="12">
        <f t="shared" si="37"/>
        <v>0</v>
      </c>
      <c r="R342" s="12">
        <f t="shared" si="38"/>
        <v>0</v>
      </c>
      <c r="S342" s="12">
        <f t="shared" si="39"/>
        <v>0</v>
      </c>
      <c r="T342" s="12">
        <f t="shared" si="40"/>
        <v>0</v>
      </c>
      <c r="U342" s="14" t="str">
        <f t="shared" si="41"/>
        <v/>
      </c>
    </row>
    <row r="343" spans="12:21" x14ac:dyDescent="0.25">
      <c r="L343" s="18">
        <f t="shared" si="36"/>
        <v>0</v>
      </c>
      <c r="M343" s="13" t="e">
        <f>VLOOKUP(G343,Sell!G:L,1,0)</f>
        <v>#N/A</v>
      </c>
      <c r="N343" s="13">
        <f>IFERROR(VLOOKUP(G343,Sell!G:L,2,0),0)</f>
        <v>0</v>
      </c>
      <c r="O343" s="12">
        <f>IFERROR(VLOOKUP(G343,Sell!G:L,6,0),0)</f>
        <v>0</v>
      </c>
      <c r="P343" s="13">
        <f t="shared" si="35"/>
        <v>0</v>
      </c>
      <c r="Q343" s="12">
        <f t="shared" si="37"/>
        <v>0</v>
      </c>
      <c r="R343" s="12">
        <f t="shared" si="38"/>
        <v>0</v>
      </c>
      <c r="S343" s="12">
        <f t="shared" si="39"/>
        <v>0</v>
      </c>
      <c r="T343" s="12">
        <f t="shared" si="40"/>
        <v>0</v>
      </c>
      <c r="U343" s="14" t="str">
        <f t="shared" si="41"/>
        <v/>
      </c>
    </row>
    <row r="344" spans="12:21" x14ac:dyDescent="0.25">
      <c r="L344" s="18">
        <f t="shared" si="36"/>
        <v>0</v>
      </c>
      <c r="M344" s="13" t="e">
        <f>VLOOKUP(G344,Sell!G:L,1,0)</f>
        <v>#N/A</v>
      </c>
      <c r="N344" s="13">
        <f>IFERROR(VLOOKUP(G344,Sell!G:L,2,0),0)</f>
        <v>0</v>
      </c>
      <c r="O344" s="12">
        <f>IFERROR(VLOOKUP(G344,Sell!G:L,6,0),0)</f>
        <v>0</v>
      </c>
      <c r="P344" s="13">
        <f t="shared" si="35"/>
        <v>0</v>
      </c>
      <c r="Q344" s="12">
        <f t="shared" si="37"/>
        <v>0</v>
      </c>
      <c r="R344" s="12">
        <f t="shared" si="38"/>
        <v>0</v>
      </c>
      <c r="S344" s="12">
        <f t="shared" si="39"/>
        <v>0</v>
      </c>
      <c r="T344" s="12">
        <f t="shared" si="40"/>
        <v>0</v>
      </c>
      <c r="U344" s="14" t="str">
        <f t="shared" si="41"/>
        <v/>
      </c>
    </row>
    <row r="345" spans="12:21" x14ac:dyDescent="0.25">
      <c r="L345" s="18">
        <f t="shared" si="36"/>
        <v>0</v>
      </c>
      <c r="M345" s="13" t="e">
        <f>VLOOKUP(G345,Sell!G:L,1,0)</f>
        <v>#N/A</v>
      </c>
      <c r="N345" s="13">
        <f>IFERROR(VLOOKUP(G345,Sell!G:L,2,0),0)</f>
        <v>0</v>
      </c>
      <c r="O345" s="12">
        <f>IFERROR(VLOOKUP(G345,Sell!G:L,6,0),0)</f>
        <v>0</v>
      </c>
      <c r="P345" s="13">
        <f t="shared" si="35"/>
        <v>0</v>
      </c>
      <c r="Q345" s="12">
        <f t="shared" si="37"/>
        <v>0</v>
      </c>
      <c r="R345" s="12">
        <f t="shared" si="38"/>
        <v>0</v>
      </c>
      <c r="S345" s="12">
        <f t="shared" si="39"/>
        <v>0</v>
      </c>
      <c r="T345" s="12">
        <f t="shared" si="40"/>
        <v>0</v>
      </c>
      <c r="U345" s="14" t="str">
        <f t="shared" si="41"/>
        <v/>
      </c>
    </row>
    <row r="346" spans="12:21" x14ac:dyDescent="0.25">
      <c r="L346" s="18">
        <f t="shared" si="36"/>
        <v>0</v>
      </c>
      <c r="M346" s="13" t="e">
        <f>VLOOKUP(G346,Sell!G:L,1,0)</f>
        <v>#N/A</v>
      </c>
      <c r="N346" s="13">
        <f>IFERROR(VLOOKUP(G346,Sell!G:L,2,0),0)</f>
        <v>0</v>
      </c>
      <c r="O346" s="12">
        <f>IFERROR(VLOOKUP(G346,Sell!G:L,6,0),0)</f>
        <v>0</v>
      </c>
      <c r="P346" s="13">
        <f t="shared" si="35"/>
        <v>0</v>
      </c>
      <c r="Q346" s="12">
        <f t="shared" si="37"/>
        <v>0</v>
      </c>
      <c r="R346" s="12">
        <f t="shared" si="38"/>
        <v>0</v>
      </c>
      <c r="S346" s="12">
        <f t="shared" si="39"/>
        <v>0</v>
      </c>
      <c r="T346" s="12">
        <f t="shared" si="40"/>
        <v>0</v>
      </c>
      <c r="U346" s="14" t="str">
        <f t="shared" si="41"/>
        <v/>
      </c>
    </row>
    <row r="347" spans="12:21" x14ac:dyDescent="0.25">
      <c r="L347" s="18">
        <f t="shared" si="36"/>
        <v>0</v>
      </c>
      <c r="M347" s="13" t="e">
        <f>VLOOKUP(G347,Sell!G:L,1,0)</f>
        <v>#N/A</v>
      </c>
      <c r="N347" s="13">
        <f>IFERROR(VLOOKUP(G347,Sell!G:L,2,0),0)</f>
        <v>0</v>
      </c>
      <c r="O347" s="12">
        <f>IFERROR(VLOOKUP(G347,Sell!G:L,6,0),0)</f>
        <v>0</v>
      </c>
      <c r="P347" s="13">
        <f t="shared" si="35"/>
        <v>0</v>
      </c>
      <c r="Q347" s="12">
        <f t="shared" si="37"/>
        <v>0</v>
      </c>
      <c r="R347" s="12">
        <f t="shared" si="38"/>
        <v>0</v>
      </c>
      <c r="S347" s="12">
        <f t="shared" si="39"/>
        <v>0</v>
      </c>
      <c r="T347" s="12">
        <f t="shared" si="40"/>
        <v>0</v>
      </c>
      <c r="U347" s="14" t="str">
        <f t="shared" si="41"/>
        <v/>
      </c>
    </row>
    <row r="348" spans="12:21" x14ac:dyDescent="0.25">
      <c r="L348" s="18">
        <f t="shared" si="36"/>
        <v>0</v>
      </c>
      <c r="M348" s="13" t="e">
        <f>VLOOKUP(G348,Sell!G:L,1,0)</f>
        <v>#N/A</v>
      </c>
      <c r="N348" s="13">
        <f>IFERROR(VLOOKUP(G348,Sell!G:L,2,0),0)</f>
        <v>0</v>
      </c>
      <c r="O348" s="12">
        <f>IFERROR(VLOOKUP(G348,Sell!G:L,6,0),0)</f>
        <v>0</v>
      </c>
      <c r="P348" s="13">
        <f t="shared" si="35"/>
        <v>0</v>
      </c>
      <c r="Q348" s="12">
        <f t="shared" si="37"/>
        <v>0</v>
      </c>
      <c r="R348" s="12">
        <f t="shared" si="38"/>
        <v>0</v>
      </c>
      <c r="S348" s="12">
        <f t="shared" si="39"/>
        <v>0</v>
      </c>
      <c r="T348" s="12">
        <f t="shared" si="40"/>
        <v>0</v>
      </c>
      <c r="U348" s="14" t="str">
        <f t="shared" si="41"/>
        <v/>
      </c>
    </row>
    <row r="349" spans="12:21" x14ac:dyDescent="0.25">
      <c r="L349" s="18">
        <f t="shared" si="36"/>
        <v>0</v>
      </c>
      <c r="M349" s="13" t="e">
        <f>VLOOKUP(G349,Sell!G:L,1,0)</f>
        <v>#N/A</v>
      </c>
      <c r="N349" s="13">
        <f>IFERROR(VLOOKUP(G349,Sell!G:L,2,0),0)</f>
        <v>0</v>
      </c>
      <c r="O349" s="12">
        <f>IFERROR(VLOOKUP(G349,Sell!G:L,6,0),0)</f>
        <v>0</v>
      </c>
      <c r="P349" s="13">
        <f t="shared" si="35"/>
        <v>0</v>
      </c>
      <c r="Q349" s="12">
        <f t="shared" si="37"/>
        <v>0</v>
      </c>
      <c r="R349" s="12">
        <f t="shared" si="38"/>
        <v>0</v>
      </c>
      <c r="S349" s="12">
        <f t="shared" si="39"/>
        <v>0</v>
      </c>
      <c r="T349" s="12">
        <f t="shared" si="40"/>
        <v>0</v>
      </c>
      <c r="U349" s="14" t="str">
        <f t="shared" si="41"/>
        <v/>
      </c>
    </row>
    <row r="350" spans="12:21" x14ac:dyDescent="0.25">
      <c r="L350" s="18">
        <f t="shared" si="36"/>
        <v>0</v>
      </c>
      <c r="M350" s="13" t="e">
        <f>VLOOKUP(G350,Sell!G:L,1,0)</f>
        <v>#N/A</v>
      </c>
      <c r="N350" s="13">
        <f>IFERROR(VLOOKUP(G350,Sell!G:L,2,0),0)</f>
        <v>0</v>
      </c>
      <c r="O350" s="12">
        <f>IFERROR(VLOOKUP(G350,Sell!G:L,6,0),0)</f>
        <v>0</v>
      </c>
      <c r="P350" s="13">
        <f t="shared" si="35"/>
        <v>0</v>
      </c>
      <c r="Q350" s="12">
        <f t="shared" si="37"/>
        <v>0</v>
      </c>
      <c r="R350" s="12">
        <f t="shared" si="38"/>
        <v>0</v>
      </c>
      <c r="S350" s="12">
        <f t="shared" si="39"/>
        <v>0</v>
      </c>
      <c r="T350" s="12">
        <f t="shared" si="40"/>
        <v>0</v>
      </c>
      <c r="U350" s="14" t="str">
        <f t="shared" si="41"/>
        <v/>
      </c>
    </row>
    <row r="351" spans="12:21" x14ac:dyDescent="0.25">
      <c r="L351" s="18">
        <f t="shared" si="36"/>
        <v>0</v>
      </c>
      <c r="M351" s="13" t="e">
        <f>VLOOKUP(G351,Sell!G:L,1,0)</f>
        <v>#N/A</v>
      </c>
      <c r="N351" s="13">
        <f>IFERROR(VLOOKUP(G351,Sell!G:L,2,0),0)</f>
        <v>0</v>
      </c>
      <c r="O351" s="12">
        <f>IFERROR(VLOOKUP(G351,Sell!G:L,6,0),0)</f>
        <v>0</v>
      </c>
      <c r="P351" s="13">
        <f t="shared" si="35"/>
        <v>0</v>
      </c>
      <c r="Q351" s="12">
        <f t="shared" si="37"/>
        <v>0</v>
      </c>
      <c r="R351" s="12">
        <f t="shared" si="38"/>
        <v>0</v>
      </c>
      <c r="S351" s="12">
        <f t="shared" si="39"/>
        <v>0</v>
      </c>
      <c r="T351" s="12">
        <f t="shared" si="40"/>
        <v>0</v>
      </c>
      <c r="U351" s="14" t="str">
        <f t="shared" si="41"/>
        <v/>
      </c>
    </row>
    <row r="352" spans="12:21" x14ac:dyDescent="0.25">
      <c r="L352" s="18">
        <f t="shared" si="36"/>
        <v>0</v>
      </c>
      <c r="M352" s="13" t="e">
        <f>VLOOKUP(G352,Sell!G:L,1,0)</f>
        <v>#N/A</v>
      </c>
      <c r="N352" s="13">
        <f>IFERROR(VLOOKUP(G352,Sell!G:L,2,0),0)</f>
        <v>0</v>
      </c>
      <c r="O352" s="12">
        <f>IFERROR(VLOOKUP(G352,Sell!G:L,6,0),0)</f>
        <v>0</v>
      </c>
      <c r="P352" s="13">
        <f t="shared" si="35"/>
        <v>0</v>
      </c>
      <c r="Q352" s="12">
        <f t="shared" si="37"/>
        <v>0</v>
      </c>
      <c r="R352" s="12">
        <f t="shared" si="38"/>
        <v>0</v>
      </c>
      <c r="S352" s="12">
        <f t="shared" si="39"/>
        <v>0</v>
      </c>
      <c r="T352" s="12">
        <f t="shared" si="40"/>
        <v>0</v>
      </c>
      <c r="U352" s="14" t="str">
        <f t="shared" si="41"/>
        <v/>
      </c>
    </row>
    <row r="353" spans="12:21" x14ac:dyDescent="0.25">
      <c r="L353" s="18">
        <f t="shared" si="36"/>
        <v>0</v>
      </c>
      <c r="M353" s="13" t="e">
        <f>VLOOKUP(G353,Sell!G:L,1,0)</f>
        <v>#N/A</v>
      </c>
      <c r="N353" s="13">
        <f>IFERROR(VLOOKUP(G353,Sell!G:L,2,0),0)</f>
        <v>0</v>
      </c>
      <c r="O353" s="12">
        <f>IFERROR(VLOOKUP(G353,Sell!G:L,6,0),0)</f>
        <v>0</v>
      </c>
      <c r="P353" s="13">
        <f t="shared" si="35"/>
        <v>0</v>
      </c>
      <c r="Q353" s="12">
        <f t="shared" si="37"/>
        <v>0</v>
      </c>
      <c r="R353" s="12">
        <f t="shared" si="38"/>
        <v>0</v>
      </c>
      <c r="S353" s="12">
        <f t="shared" si="39"/>
        <v>0</v>
      </c>
      <c r="T353" s="12">
        <f t="shared" si="40"/>
        <v>0</v>
      </c>
      <c r="U353" s="14" t="str">
        <f t="shared" si="41"/>
        <v/>
      </c>
    </row>
    <row r="354" spans="12:21" x14ac:dyDescent="0.25">
      <c r="L354" s="18">
        <f t="shared" si="36"/>
        <v>0</v>
      </c>
      <c r="M354" s="13" t="e">
        <f>VLOOKUP(G354,Sell!G:L,1,0)</f>
        <v>#N/A</v>
      </c>
      <c r="N354" s="13">
        <f>IFERROR(VLOOKUP(G354,Sell!G:L,2,0),0)</f>
        <v>0</v>
      </c>
      <c r="O354" s="12">
        <f>IFERROR(VLOOKUP(G354,Sell!G:L,6,0),0)</f>
        <v>0</v>
      </c>
      <c r="P354" s="13">
        <f t="shared" si="35"/>
        <v>0</v>
      </c>
      <c r="Q354" s="12">
        <f t="shared" si="37"/>
        <v>0</v>
      </c>
      <c r="R354" s="12">
        <f t="shared" si="38"/>
        <v>0</v>
      </c>
      <c r="S354" s="12">
        <f t="shared" si="39"/>
        <v>0</v>
      </c>
      <c r="T354" s="12">
        <f t="shared" si="40"/>
        <v>0</v>
      </c>
      <c r="U354" s="14" t="str">
        <f t="shared" si="41"/>
        <v/>
      </c>
    </row>
    <row r="355" spans="12:21" x14ac:dyDescent="0.25">
      <c r="L355" s="18">
        <f t="shared" si="36"/>
        <v>0</v>
      </c>
      <c r="M355" s="13" t="e">
        <f>VLOOKUP(G355,Sell!G:L,1,0)</f>
        <v>#N/A</v>
      </c>
      <c r="N355" s="13">
        <f>IFERROR(VLOOKUP(G355,Sell!G:L,2,0),0)</f>
        <v>0</v>
      </c>
      <c r="O355" s="12">
        <f>IFERROR(VLOOKUP(G355,Sell!G:L,6,0),0)</f>
        <v>0</v>
      </c>
      <c r="P355" s="13">
        <f t="shared" si="35"/>
        <v>0</v>
      </c>
      <c r="Q355" s="12">
        <f t="shared" si="37"/>
        <v>0</v>
      </c>
      <c r="R355" s="12">
        <f t="shared" si="38"/>
        <v>0</v>
      </c>
      <c r="S355" s="12">
        <f t="shared" si="39"/>
        <v>0</v>
      </c>
      <c r="T355" s="12">
        <f t="shared" si="40"/>
        <v>0</v>
      </c>
      <c r="U355" s="14" t="str">
        <f t="shared" si="41"/>
        <v/>
      </c>
    </row>
    <row r="356" spans="12:21" x14ac:dyDescent="0.25">
      <c r="L356" s="18">
        <f t="shared" si="36"/>
        <v>0</v>
      </c>
      <c r="M356" s="13" t="e">
        <f>VLOOKUP(G356,Sell!G:L,1,0)</f>
        <v>#N/A</v>
      </c>
      <c r="N356" s="13">
        <f>IFERROR(VLOOKUP(G356,Sell!G:L,2,0),0)</f>
        <v>0</v>
      </c>
      <c r="O356" s="12">
        <f>IFERROR(VLOOKUP(G356,Sell!G:L,6,0),0)</f>
        <v>0</v>
      </c>
      <c r="P356" s="13">
        <f t="shared" si="35"/>
        <v>0</v>
      </c>
      <c r="Q356" s="12">
        <f t="shared" si="37"/>
        <v>0</v>
      </c>
      <c r="R356" s="12">
        <f t="shared" si="38"/>
        <v>0</v>
      </c>
      <c r="S356" s="12">
        <f t="shared" si="39"/>
        <v>0</v>
      </c>
      <c r="T356" s="12">
        <f t="shared" si="40"/>
        <v>0</v>
      </c>
      <c r="U356" s="14" t="str">
        <f t="shared" si="41"/>
        <v/>
      </c>
    </row>
    <row r="357" spans="12:21" x14ac:dyDescent="0.25">
      <c r="L357" s="18">
        <f t="shared" si="36"/>
        <v>0</v>
      </c>
      <c r="M357" s="13" t="e">
        <f>VLOOKUP(G357,Sell!G:L,1,0)</f>
        <v>#N/A</v>
      </c>
      <c r="N357" s="13">
        <f>IFERROR(VLOOKUP(G357,Sell!G:L,2,0),0)</f>
        <v>0</v>
      </c>
      <c r="O357" s="12">
        <f>IFERROR(VLOOKUP(G357,Sell!G:L,6,0),0)</f>
        <v>0</v>
      </c>
      <c r="P357" s="13">
        <f t="shared" si="35"/>
        <v>0</v>
      </c>
      <c r="Q357" s="12">
        <f t="shared" si="37"/>
        <v>0</v>
      </c>
      <c r="R357" s="12">
        <f t="shared" si="38"/>
        <v>0</v>
      </c>
      <c r="S357" s="12">
        <f t="shared" si="39"/>
        <v>0</v>
      </c>
      <c r="T357" s="12">
        <f t="shared" si="40"/>
        <v>0</v>
      </c>
      <c r="U357" s="14" t="str">
        <f t="shared" si="41"/>
        <v/>
      </c>
    </row>
    <row r="358" spans="12:21" x14ac:dyDescent="0.25">
      <c r="L358" s="18">
        <f t="shared" si="36"/>
        <v>0</v>
      </c>
      <c r="M358" s="13" t="e">
        <f>VLOOKUP(G358,Sell!G:L,1,0)</f>
        <v>#N/A</v>
      </c>
      <c r="N358" s="13">
        <f>IFERROR(VLOOKUP(G358,Sell!G:L,2,0),0)</f>
        <v>0</v>
      </c>
      <c r="O358" s="12">
        <f>IFERROR(VLOOKUP(G358,Sell!G:L,6,0),0)</f>
        <v>0</v>
      </c>
      <c r="P358" s="13">
        <f t="shared" si="35"/>
        <v>0</v>
      </c>
      <c r="Q358" s="12">
        <f t="shared" si="37"/>
        <v>0</v>
      </c>
      <c r="R358" s="12">
        <f t="shared" si="38"/>
        <v>0</v>
      </c>
      <c r="S358" s="12">
        <f t="shared" si="39"/>
        <v>0</v>
      </c>
      <c r="T358" s="12">
        <f t="shared" si="40"/>
        <v>0</v>
      </c>
      <c r="U358" s="14" t="str">
        <f t="shared" si="41"/>
        <v/>
      </c>
    </row>
    <row r="359" spans="12:21" x14ac:dyDescent="0.25">
      <c r="L359" s="18">
        <f t="shared" si="36"/>
        <v>0</v>
      </c>
      <c r="M359" s="13" t="e">
        <f>VLOOKUP(G359,Sell!G:L,1,0)</f>
        <v>#N/A</v>
      </c>
      <c r="N359" s="13">
        <f>IFERROR(VLOOKUP(G359,Sell!G:L,2,0),0)</f>
        <v>0</v>
      </c>
      <c r="O359" s="12">
        <f>IFERROR(VLOOKUP(G359,Sell!G:L,6,0),0)</f>
        <v>0</v>
      </c>
      <c r="P359" s="13">
        <f t="shared" si="35"/>
        <v>0</v>
      </c>
      <c r="Q359" s="12">
        <f t="shared" si="37"/>
        <v>0</v>
      </c>
      <c r="R359" s="12">
        <f t="shared" si="38"/>
        <v>0</v>
      </c>
      <c r="S359" s="12">
        <f t="shared" si="39"/>
        <v>0</v>
      </c>
      <c r="T359" s="12">
        <f t="shared" si="40"/>
        <v>0</v>
      </c>
      <c r="U359" s="14" t="str">
        <f t="shared" si="41"/>
        <v/>
      </c>
    </row>
    <row r="360" spans="12:21" x14ac:dyDescent="0.25">
      <c r="L360" s="18">
        <f t="shared" si="36"/>
        <v>0</v>
      </c>
      <c r="M360" s="13" t="e">
        <f>VLOOKUP(G360,Sell!G:L,1,0)</f>
        <v>#N/A</v>
      </c>
      <c r="N360" s="13">
        <f>IFERROR(VLOOKUP(G360,Sell!G:L,2,0),0)</f>
        <v>0</v>
      </c>
      <c r="O360" s="12">
        <f>IFERROR(VLOOKUP(G360,Sell!G:L,6,0),0)</f>
        <v>0</v>
      </c>
      <c r="P360" s="13">
        <f t="shared" si="35"/>
        <v>0</v>
      </c>
      <c r="Q360" s="12">
        <f t="shared" si="37"/>
        <v>0</v>
      </c>
      <c r="R360" s="12">
        <f t="shared" si="38"/>
        <v>0</v>
      </c>
      <c r="S360" s="12">
        <f t="shared" si="39"/>
        <v>0</v>
      </c>
      <c r="T360" s="12">
        <f t="shared" si="40"/>
        <v>0</v>
      </c>
      <c r="U360" s="14" t="str">
        <f t="shared" si="41"/>
        <v/>
      </c>
    </row>
    <row r="361" spans="12:21" x14ac:dyDescent="0.25">
      <c r="L361" s="18">
        <f t="shared" si="36"/>
        <v>0</v>
      </c>
      <c r="M361" s="13" t="e">
        <f>VLOOKUP(G361,Sell!G:L,1,0)</f>
        <v>#N/A</v>
      </c>
      <c r="N361" s="13">
        <f>IFERROR(VLOOKUP(G361,Sell!G:L,2,0),0)</f>
        <v>0</v>
      </c>
      <c r="O361" s="12">
        <f>IFERROR(VLOOKUP(G361,Sell!G:L,6,0),0)</f>
        <v>0</v>
      </c>
      <c r="P361" s="13">
        <f t="shared" si="35"/>
        <v>0</v>
      </c>
      <c r="Q361" s="12">
        <f t="shared" si="37"/>
        <v>0</v>
      </c>
      <c r="R361" s="12">
        <f t="shared" si="38"/>
        <v>0</v>
      </c>
      <c r="S361" s="12">
        <f t="shared" si="39"/>
        <v>0</v>
      </c>
      <c r="T361" s="12">
        <f t="shared" si="40"/>
        <v>0</v>
      </c>
      <c r="U361" s="14" t="str">
        <f t="shared" si="41"/>
        <v/>
      </c>
    </row>
    <row r="362" spans="12:21" x14ac:dyDescent="0.25">
      <c r="L362" s="18">
        <f t="shared" si="36"/>
        <v>0</v>
      </c>
      <c r="M362" s="13" t="e">
        <f>VLOOKUP(G362,Sell!G:L,1,0)</f>
        <v>#N/A</v>
      </c>
      <c r="N362" s="13">
        <f>IFERROR(VLOOKUP(G362,Sell!G:L,2,0),0)</f>
        <v>0</v>
      </c>
      <c r="O362" s="12">
        <f>IFERROR(VLOOKUP(G362,Sell!G:L,6,0),0)</f>
        <v>0</v>
      </c>
      <c r="P362" s="13">
        <f t="shared" si="35"/>
        <v>0</v>
      </c>
      <c r="Q362" s="12">
        <f t="shared" si="37"/>
        <v>0</v>
      </c>
      <c r="R362" s="12">
        <f t="shared" si="38"/>
        <v>0</v>
      </c>
      <c r="S362" s="12">
        <f t="shared" si="39"/>
        <v>0</v>
      </c>
      <c r="T362" s="12">
        <f t="shared" si="40"/>
        <v>0</v>
      </c>
      <c r="U362" s="14" t="str">
        <f t="shared" si="41"/>
        <v/>
      </c>
    </row>
    <row r="363" spans="12:21" x14ac:dyDescent="0.25">
      <c r="L363" s="18">
        <f t="shared" si="36"/>
        <v>0</v>
      </c>
      <c r="M363" s="13" t="e">
        <f>VLOOKUP(G363,Sell!G:L,1,0)</f>
        <v>#N/A</v>
      </c>
      <c r="N363" s="13">
        <f>IFERROR(VLOOKUP(G363,Sell!G:L,2,0),0)</f>
        <v>0</v>
      </c>
      <c r="O363" s="12">
        <f>IFERROR(VLOOKUP(G363,Sell!G:L,6,0),0)</f>
        <v>0</v>
      </c>
      <c r="P363" s="13">
        <f t="shared" si="35"/>
        <v>0</v>
      </c>
      <c r="Q363" s="12">
        <f t="shared" si="37"/>
        <v>0</v>
      </c>
      <c r="R363" s="12">
        <f t="shared" si="38"/>
        <v>0</v>
      </c>
      <c r="S363" s="12">
        <f t="shared" si="39"/>
        <v>0</v>
      </c>
      <c r="T363" s="12">
        <f t="shared" si="40"/>
        <v>0</v>
      </c>
      <c r="U363" s="14" t="str">
        <f t="shared" si="41"/>
        <v/>
      </c>
    </row>
    <row r="364" spans="12:21" x14ac:dyDescent="0.25">
      <c r="L364" s="18">
        <f t="shared" si="36"/>
        <v>0</v>
      </c>
      <c r="M364" s="13" t="e">
        <f>VLOOKUP(G364,Sell!G:L,1,0)</f>
        <v>#N/A</v>
      </c>
      <c r="N364" s="13">
        <f>IFERROR(VLOOKUP(G364,Sell!G:L,2,0),0)</f>
        <v>0</v>
      </c>
      <c r="O364" s="12">
        <f>IFERROR(VLOOKUP(G364,Sell!G:L,6,0),0)</f>
        <v>0</v>
      </c>
      <c r="P364" s="13">
        <f t="shared" si="35"/>
        <v>0</v>
      </c>
      <c r="Q364" s="12">
        <f t="shared" si="37"/>
        <v>0</v>
      </c>
      <c r="R364" s="12">
        <f t="shared" si="38"/>
        <v>0</v>
      </c>
      <c r="S364" s="12">
        <f t="shared" si="39"/>
        <v>0</v>
      </c>
      <c r="T364" s="12">
        <f t="shared" si="40"/>
        <v>0</v>
      </c>
      <c r="U364" s="14" t="str">
        <f t="shared" si="41"/>
        <v/>
      </c>
    </row>
    <row r="365" spans="12:21" x14ac:dyDescent="0.25">
      <c r="L365" s="18">
        <f t="shared" si="36"/>
        <v>0</v>
      </c>
      <c r="M365" s="13" t="e">
        <f>VLOOKUP(G365,Sell!G:L,1,0)</f>
        <v>#N/A</v>
      </c>
      <c r="N365" s="13">
        <f>IFERROR(VLOOKUP(G365,Sell!G:L,2,0),0)</f>
        <v>0</v>
      </c>
      <c r="O365" s="12">
        <f>IFERROR(VLOOKUP(G365,Sell!G:L,6,0),0)</f>
        <v>0</v>
      </c>
      <c r="P365" s="13">
        <f t="shared" si="35"/>
        <v>0</v>
      </c>
      <c r="Q365" s="12">
        <f t="shared" si="37"/>
        <v>0</v>
      </c>
      <c r="R365" s="12">
        <f t="shared" si="38"/>
        <v>0</v>
      </c>
      <c r="S365" s="12">
        <f t="shared" si="39"/>
        <v>0</v>
      </c>
      <c r="T365" s="12">
        <f t="shared" si="40"/>
        <v>0</v>
      </c>
      <c r="U365" s="14" t="str">
        <f t="shared" si="41"/>
        <v/>
      </c>
    </row>
    <row r="366" spans="12:21" x14ac:dyDescent="0.25">
      <c r="L366" s="18">
        <f t="shared" si="36"/>
        <v>0</v>
      </c>
      <c r="M366" s="13" t="e">
        <f>VLOOKUP(G366,Sell!G:L,1,0)</f>
        <v>#N/A</v>
      </c>
      <c r="N366" s="13">
        <f>IFERROR(VLOOKUP(G366,Sell!G:L,2,0),0)</f>
        <v>0</v>
      </c>
      <c r="O366" s="12">
        <f>IFERROR(VLOOKUP(G366,Sell!G:L,6,0),0)</f>
        <v>0</v>
      </c>
      <c r="P366" s="13">
        <f t="shared" si="35"/>
        <v>0</v>
      </c>
      <c r="Q366" s="12">
        <f t="shared" si="37"/>
        <v>0</v>
      </c>
      <c r="R366" s="12">
        <f t="shared" si="38"/>
        <v>0</v>
      </c>
      <c r="S366" s="12">
        <f t="shared" si="39"/>
        <v>0</v>
      </c>
      <c r="T366" s="12">
        <f t="shared" si="40"/>
        <v>0</v>
      </c>
      <c r="U366" s="14" t="str">
        <f t="shared" si="41"/>
        <v/>
      </c>
    </row>
    <row r="367" spans="12:21" x14ac:dyDescent="0.25">
      <c r="L367" s="18">
        <f t="shared" si="36"/>
        <v>0</v>
      </c>
      <c r="M367" s="13" t="e">
        <f>VLOOKUP(G367,Sell!G:L,1,0)</f>
        <v>#N/A</v>
      </c>
      <c r="N367" s="13">
        <f>IFERROR(VLOOKUP(G367,Sell!G:L,2,0),0)</f>
        <v>0</v>
      </c>
      <c r="O367" s="12">
        <f>IFERROR(VLOOKUP(G367,Sell!G:L,6,0),0)</f>
        <v>0</v>
      </c>
      <c r="P367" s="13">
        <f t="shared" si="35"/>
        <v>0</v>
      </c>
      <c r="Q367" s="12">
        <f t="shared" si="37"/>
        <v>0</v>
      </c>
      <c r="R367" s="12">
        <f t="shared" si="38"/>
        <v>0</v>
      </c>
      <c r="S367" s="12">
        <f t="shared" si="39"/>
        <v>0</v>
      </c>
      <c r="T367" s="12">
        <f t="shared" si="40"/>
        <v>0</v>
      </c>
      <c r="U367" s="14" t="str">
        <f t="shared" si="41"/>
        <v/>
      </c>
    </row>
    <row r="368" spans="12:21" x14ac:dyDescent="0.25">
      <c r="L368" s="18">
        <f t="shared" si="36"/>
        <v>0</v>
      </c>
      <c r="M368" s="13" t="e">
        <f>VLOOKUP(G368,Sell!G:L,1,0)</f>
        <v>#N/A</v>
      </c>
      <c r="N368" s="13">
        <f>IFERROR(VLOOKUP(G368,Sell!G:L,2,0),0)</f>
        <v>0</v>
      </c>
      <c r="O368" s="12">
        <f>IFERROR(VLOOKUP(G368,Sell!G:L,6,0),0)</f>
        <v>0</v>
      </c>
      <c r="P368" s="13">
        <f t="shared" si="35"/>
        <v>0</v>
      </c>
      <c r="Q368" s="12">
        <f t="shared" si="37"/>
        <v>0</v>
      </c>
      <c r="R368" s="12">
        <f t="shared" si="38"/>
        <v>0</v>
      </c>
      <c r="S368" s="12">
        <f t="shared" si="39"/>
        <v>0</v>
      </c>
      <c r="T368" s="12">
        <f t="shared" si="40"/>
        <v>0</v>
      </c>
      <c r="U368" s="14" t="str">
        <f t="shared" si="41"/>
        <v/>
      </c>
    </row>
    <row r="369" spans="12:21" x14ac:dyDescent="0.25">
      <c r="L369" s="18">
        <f t="shared" si="36"/>
        <v>0</v>
      </c>
      <c r="M369" s="13" t="e">
        <f>VLOOKUP(G369,Sell!G:L,1,0)</f>
        <v>#N/A</v>
      </c>
      <c r="N369" s="13">
        <f>IFERROR(VLOOKUP(G369,Sell!G:L,2,0),0)</f>
        <v>0</v>
      </c>
      <c r="O369" s="12">
        <f>IFERROR(VLOOKUP(G369,Sell!G:L,6,0),0)</f>
        <v>0</v>
      </c>
      <c r="P369" s="13">
        <f t="shared" si="35"/>
        <v>0</v>
      </c>
      <c r="Q369" s="12">
        <f t="shared" si="37"/>
        <v>0</v>
      </c>
      <c r="R369" s="12">
        <f t="shared" si="38"/>
        <v>0</v>
      </c>
      <c r="S369" s="12">
        <f t="shared" si="39"/>
        <v>0</v>
      </c>
      <c r="T369" s="12">
        <f t="shared" si="40"/>
        <v>0</v>
      </c>
      <c r="U369" s="14" t="str">
        <f t="shared" si="41"/>
        <v/>
      </c>
    </row>
    <row r="370" spans="12:21" x14ac:dyDescent="0.25">
      <c r="L370" s="18">
        <f t="shared" si="36"/>
        <v>0</v>
      </c>
      <c r="M370" s="13" t="e">
        <f>VLOOKUP(G370,Sell!G:L,1,0)</f>
        <v>#N/A</v>
      </c>
      <c r="N370" s="13">
        <f>IFERROR(VLOOKUP(G370,Sell!G:L,2,0),0)</f>
        <v>0</v>
      </c>
      <c r="O370" s="12">
        <f>IFERROR(VLOOKUP(G370,Sell!G:L,6,0),0)</f>
        <v>0</v>
      </c>
      <c r="P370" s="13">
        <f t="shared" si="35"/>
        <v>0</v>
      </c>
      <c r="Q370" s="12">
        <f t="shared" si="37"/>
        <v>0</v>
      </c>
      <c r="R370" s="12">
        <f t="shared" si="38"/>
        <v>0</v>
      </c>
      <c r="S370" s="12">
        <f t="shared" si="39"/>
        <v>0</v>
      </c>
      <c r="T370" s="12">
        <f t="shared" si="40"/>
        <v>0</v>
      </c>
      <c r="U370" s="14" t="str">
        <f t="shared" si="41"/>
        <v/>
      </c>
    </row>
    <row r="371" spans="12:21" x14ac:dyDescent="0.25">
      <c r="L371" s="18">
        <f t="shared" si="36"/>
        <v>0</v>
      </c>
      <c r="M371" s="13" t="e">
        <f>VLOOKUP(G371,Sell!G:L,1,0)</f>
        <v>#N/A</v>
      </c>
      <c r="N371" s="13">
        <f>IFERROR(VLOOKUP(G371,Sell!G:L,2,0),0)</f>
        <v>0</v>
      </c>
      <c r="O371" s="12">
        <f>IFERROR(VLOOKUP(G371,Sell!G:L,6,0),0)</f>
        <v>0</v>
      </c>
      <c r="P371" s="13">
        <f t="shared" si="35"/>
        <v>0</v>
      </c>
      <c r="Q371" s="12">
        <f t="shared" si="37"/>
        <v>0</v>
      </c>
      <c r="R371" s="12">
        <f t="shared" si="38"/>
        <v>0</v>
      </c>
      <c r="S371" s="12">
        <f t="shared" si="39"/>
        <v>0</v>
      </c>
      <c r="T371" s="12">
        <f t="shared" si="40"/>
        <v>0</v>
      </c>
      <c r="U371" s="14" t="str">
        <f t="shared" si="41"/>
        <v/>
      </c>
    </row>
    <row r="372" spans="12:21" x14ac:dyDescent="0.25">
      <c r="L372" s="18">
        <f t="shared" si="36"/>
        <v>0</v>
      </c>
      <c r="M372" s="13" t="e">
        <f>VLOOKUP(G372,Sell!G:L,1,0)</f>
        <v>#N/A</v>
      </c>
      <c r="N372" s="13">
        <f>IFERROR(VLOOKUP(G372,Sell!G:L,2,0),0)</f>
        <v>0</v>
      </c>
      <c r="O372" s="12">
        <f>IFERROR(VLOOKUP(G372,Sell!G:L,6,0),0)</f>
        <v>0</v>
      </c>
      <c r="P372" s="13">
        <f t="shared" si="35"/>
        <v>0</v>
      </c>
      <c r="Q372" s="12">
        <f t="shared" si="37"/>
        <v>0</v>
      </c>
      <c r="R372" s="12">
        <f t="shared" si="38"/>
        <v>0</v>
      </c>
      <c r="S372" s="12">
        <f t="shared" si="39"/>
        <v>0</v>
      </c>
      <c r="T372" s="12">
        <f t="shared" si="40"/>
        <v>0</v>
      </c>
      <c r="U372" s="14" t="str">
        <f t="shared" si="41"/>
        <v/>
      </c>
    </row>
    <row r="373" spans="12:21" x14ac:dyDescent="0.25">
      <c r="L373" s="18">
        <f t="shared" si="36"/>
        <v>0</v>
      </c>
      <c r="M373" s="13" t="e">
        <f>VLOOKUP(G373,Sell!G:L,1,0)</f>
        <v>#N/A</v>
      </c>
      <c r="N373" s="13">
        <f>IFERROR(VLOOKUP(G373,Sell!G:L,2,0),0)</f>
        <v>0</v>
      </c>
      <c r="O373" s="12">
        <f>IFERROR(VLOOKUP(G373,Sell!G:L,6,0),0)</f>
        <v>0</v>
      </c>
      <c r="P373" s="13">
        <f t="shared" si="35"/>
        <v>0</v>
      </c>
      <c r="Q373" s="12">
        <f t="shared" si="37"/>
        <v>0</v>
      </c>
      <c r="R373" s="12">
        <f t="shared" si="38"/>
        <v>0</v>
      </c>
      <c r="S373" s="12">
        <f t="shared" si="39"/>
        <v>0</v>
      </c>
      <c r="T373" s="12">
        <f t="shared" si="40"/>
        <v>0</v>
      </c>
      <c r="U373" s="14" t="str">
        <f t="shared" si="41"/>
        <v/>
      </c>
    </row>
    <row r="374" spans="12:21" x14ac:dyDescent="0.25">
      <c r="L374" s="18">
        <f t="shared" si="36"/>
        <v>0</v>
      </c>
      <c r="M374" s="13" t="e">
        <f>VLOOKUP(G374,Sell!G:L,1,0)</f>
        <v>#N/A</v>
      </c>
      <c r="N374" s="13">
        <f>IFERROR(VLOOKUP(G374,Sell!G:L,2,0),0)</f>
        <v>0</v>
      </c>
      <c r="O374" s="12">
        <f>IFERROR(VLOOKUP(G374,Sell!G:L,6,0),0)</f>
        <v>0</v>
      </c>
      <c r="P374" s="13">
        <f t="shared" si="35"/>
        <v>0</v>
      </c>
      <c r="Q374" s="12">
        <f t="shared" si="37"/>
        <v>0</v>
      </c>
      <c r="R374" s="12">
        <f t="shared" si="38"/>
        <v>0</v>
      </c>
      <c r="S374" s="12">
        <f t="shared" si="39"/>
        <v>0</v>
      </c>
      <c r="T374" s="12">
        <f t="shared" si="40"/>
        <v>0</v>
      </c>
      <c r="U374" s="14" t="str">
        <f t="shared" si="41"/>
        <v/>
      </c>
    </row>
    <row r="375" spans="12:21" x14ac:dyDescent="0.25">
      <c r="L375" s="18">
        <f t="shared" si="36"/>
        <v>0</v>
      </c>
      <c r="M375" s="13" t="e">
        <f>VLOOKUP(G375,Sell!G:L,1,0)</f>
        <v>#N/A</v>
      </c>
      <c r="N375" s="13">
        <f>IFERROR(VLOOKUP(G375,Sell!G:L,2,0),0)</f>
        <v>0</v>
      </c>
      <c r="O375" s="12">
        <f>IFERROR(VLOOKUP(G375,Sell!G:L,6,0),0)</f>
        <v>0</v>
      </c>
      <c r="P375" s="13">
        <f t="shared" si="35"/>
        <v>0</v>
      </c>
      <c r="Q375" s="12">
        <f t="shared" si="37"/>
        <v>0</v>
      </c>
      <c r="R375" s="12">
        <f t="shared" si="38"/>
        <v>0</v>
      </c>
      <c r="S375" s="12">
        <f t="shared" si="39"/>
        <v>0</v>
      </c>
      <c r="T375" s="12">
        <f t="shared" si="40"/>
        <v>0</v>
      </c>
      <c r="U375" s="14" t="str">
        <f t="shared" si="41"/>
        <v/>
      </c>
    </row>
    <row r="376" spans="12:21" x14ac:dyDescent="0.25">
      <c r="L376" s="18">
        <f t="shared" si="36"/>
        <v>0</v>
      </c>
      <c r="M376" s="13" t="e">
        <f>VLOOKUP(G376,Sell!G:L,1,0)</f>
        <v>#N/A</v>
      </c>
      <c r="N376" s="13">
        <f>IFERROR(VLOOKUP(G376,Sell!G:L,2,0),0)</f>
        <v>0</v>
      </c>
      <c r="O376" s="12">
        <f>IFERROR(VLOOKUP(G376,Sell!G:L,6,0),0)</f>
        <v>0</v>
      </c>
      <c r="P376" s="13">
        <f t="shared" si="35"/>
        <v>0</v>
      </c>
      <c r="Q376" s="12">
        <f t="shared" si="37"/>
        <v>0</v>
      </c>
      <c r="R376" s="12">
        <f t="shared" si="38"/>
        <v>0</v>
      </c>
      <c r="S376" s="12">
        <f t="shared" si="39"/>
        <v>0</v>
      </c>
      <c r="T376" s="12">
        <f t="shared" si="40"/>
        <v>0</v>
      </c>
      <c r="U376" s="14" t="str">
        <f t="shared" si="41"/>
        <v/>
      </c>
    </row>
    <row r="377" spans="12:21" x14ac:dyDescent="0.25">
      <c r="L377" s="18">
        <f t="shared" si="36"/>
        <v>0</v>
      </c>
      <c r="M377" s="13" t="e">
        <f>VLOOKUP(G377,Sell!G:L,1,0)</f>
        <v>#N/A</v>
      </c>
      <c r="N377" s="13">
        <f>IFERROR(VLOOKUP(G377,Sell!G:L,2,0),0)</f>
        <v>0</v>
      </c>
      <c r="O377" s="12">
        <f>IFERROR(VLOOKUP(G377,Sell!G:L,6,0),0)</f>
        <v>0</v>
      </c>
      <c r="P377" s="13">
        <f t="shared" si="35"/>
        <v>0</v>
      </c>
      <c r="Q377" s="12">
        <f t="shared" si="37"/>
        <v>0</v>
      </c>
      <c r="R377" s="12">
        <f t="shared" si="38"/>
        <v>0</v>
      </c>
      <c r="S377" s="12">
        <f t="shared" si="39"/>
        <v>0</v>
      </c>
      <c r="T377" s="12">
        <f t="shared" si="40"/>
        <v>0</v>
      </c>
      <c r="U377" s="14" t="str">
        <f t="shared" si="41"/>
        <v/>
      </c>
    </row>
    <row r="378" spans="12:21" x14ac:dyDescent="0.25">
      <c r="L378" s="18">
        <f t="shared" si="36"/>
        <v>0</v>
      </c>
      <c r="M378" s="13" t="e">
        <f>VLOOKUP(G378,Sell!G:L,1,0)</f>
        <v>#N/A</v>
      </c>
      <c r="N378" s="13">
        <f>IFERROR(VLOOKUP(G378,Sell!G:L,2,0),0)</f>
        <v>0</v>
      </c>
      <c r="O378" s="12">
        <f>IFERROR(VLOOKUP(G378,Sell!G:L,6,0),0)</f>
        <v>0</v>
      </c>
      <c r="P378" s="13">
        <f t="shared" si="35"/>
        <v>0</v>
      </c>
      <c r="Q378" s="12">
        <f t="shared" si="37"/>
        <v>0</v>
      </c>
      <c r="R378" s="12">
        <f t="shared" si="38"/>
        <v>0</v>
      </c>
      <c r="S378" s="12">
        <f t="shared" si="39"/>
        <v>0</v>
      </c>
      <c r="T378" s="12">
        <f t="shared" si="40"/>
        <v>0</v>
      </c>
      <c r="U378" s="14" t="str">
        <f t="shared" si="41"/>
        <v/>
      </c>
    </row>
    <row r="379" spans="12:21" x14ac:dyDescent="0.25">
      <c r="L379" s="18">
        <f t="shared" si="36"/>
        <v>0</v>
      </c>
      <c r="M379" s="13" t="e">
        <f>VLOOKUP(G379,Sell!G:L,1,0)</f>
        <v>#N/A</v>
      </c>
      <c r="N379" s="13">
        <f>IFERROR(VLOOKUP(G379,Sell!G:L,2,0),0)</f>
        <v>0</v>
      </c>
      <c r="O379" s="12">
        <f>IFERROR(VLOOKUP(G379,Sell!G:L,6,0),0)</f>
        <v>0</v>
      </c>
      <c r="P379" s="13">
        <f t="shared" si="35"/>
        <v>0</v>
      </c>
      <c r="Q379" s="12">
        <f t="shared" si="37"/>
        <v>0</v>
      </c>
      <c r="R379" s="12">
        <f t="shared" si="38"/>
        <v>0</v>
      </c>
      <c r="S379" s="12">
        <f t="shared" si="39"/>
        <v>0</v>
      </c>
      <c r="T379" s="12">
        <f t="shared" si="40"/>
        <v>0</v>
      </c>
      <c r="U379" s="14" t="str">
        <f t="shared" si="41"/>
        <v/>
      </c>
    </row>
    <row r="380" spans="12:21" x14ac:dyDescent="0.25">
      <c r="L380" s="18">
        <f t="shared" si="36"/>
        <v>0</v>
      </c>
      <c r="M380" s="13" t="e">
        <f>VLOOKUP(G380,Sell!G:L,1,0)</f>
        <v>#N/A</v>
      </c>
      <c r="N380" s="13">
        <f>IFERROR(VLOOKUP(G380,Sell!G:L,2,0),0)</f>
        <v>0</v>
      </c>
      <c r="O380" s="12">
        <f>IFERROR(VLOOKUP(G380,Sell!G:L,6,0),0)</f>
        <v>0</v>
      </c>
      <c r="P380" s="13">
        <f t="shared" si="35"/>
        <v>0</v>
      </c>
      <c r="Q380" s="12">
        <f t="shared" si="37"/>
        <v>0</v>
      </c>
      <c r="R380" s="12">
        <f t="shared" si="38"/>
        <v>0</v>
      </c>
      <c r="S380" s="12">
        <f t="shared" si="39"/>
        <v>0</v>
      </c>
      <c r="T380" s="12">
        <f t="shared" si="40"/>
        <v>0</v>
      </c>
      <c r="U380" s="14" t="str">
        <f t="shared" si="41"/>
        <v/>
      </c>
    </row>
    <row r="381" spans="12:21" x14ac:dyDescent="0.25">
      <c r="L381" s="18">
        <f t="shared" si="36"/>
        <v>0</v>
      </c>
      <c r="M381" s="13" t="e">
        <f>VLOOKUP(G381,Sell!G:L,1,0)</f>
        <v>#N/A</v>
      </c>
      <c r="N381" s="13">
        <f>IFERROR(VLOOKUP(G381,Sell!G:L,2,0),0)</f>
        <v>0</v>
      </c>
      <c r="O381" s="12">
        <f>IFERROR(VLOOKUP(G381,Sell!G:L,6,0),0)</f>
        <v>0</v>
      </c>
      <c r="P381" s="13">
        <f t="shared" si="35"/>
        <v>0</v>
      </c>
      <c r="Q381" s="12">
        <f t="shared" si="37"/>
        <v>0</v>
      </c>
      <c r="R381" s="12">
        <f t="shared" si="38"/>
        <v>0</v>
      </c>
      <c r="S381" s="12">
        <f t="shared" si="39"/>
        <v>0</v>
      </c>
      <c r="T381" s="12">
        <f t="shared" si="40"/>
        <v>0</v>
      </c>
      <c r="U381" s="14" t="str">
        <f t="shared" si="41"/>
        <v/>
      </c>
    </row>
    <row r="382" spans="12:21" x14ac:dyDescent="0.25">
      <c r="L382" s="18">
        <f t="shared" si="36"/>
        <v>0</v>
      </c>
      <c r="M382" s="13" t="e">
        <f>VLOOKUP(G382,Sell!G:L,1,0)</f>
        <v>#N/A</v>
      </c>
      <c r="N382" s="13">
        <f>IFERROR(VLOOKUP(G382,Sell!G:L,2,0),0)</f>
        <v>0</v>
      </c>
      <c r="O382" s="12">
        <f>IFERROR(VLOOKUP(G382,Sell!G:L,6,0),0)</f>
        <v>0</v>
      </c>
      <c r="P382" s="13">
        <f t="shared" si="35"/>
        <v>0</v>
      </c>
      <c r="Q382" s="12">
        <f t="shared" si="37"/>
        <v>0</v>
      </c>
      <c r="R382" s="12">
        <f t="shared" si="38"/>
        <v>0</v>
      </c>
      <c r="S382" s="12">
        <f t="shared" si="39"/>
        <v>0</v>
      </c>
      <c r="T382" s="12">
        <f t="shared" si="40"/>
        <v>0</v>
      </c>
      <c r="U382" s="14" t="str">
        <f t="shared" si="41"/>
        <v/>
      </c>
    </row>
    <row r="383" spans="12:21" x14ac:dyDescent="0.25">
      <c r="L383" s="18">
        <f t="shared" si="36"/>
        <v>0</v>
      </c>
      <c r="M383" s="13" t="e">
        <f>VLOOKUP(G383,Sell!G:L,1,0)</f>
        <v>#N/A</v>
      </c>
      <c r="N383" s="13">
        <f>IFERROR(VLOOKUP(G383,Sell!G:L,2,0),0)</f>
        <v>0</v>
      </c>
      <c r="O383" s="12">
        <f>IFERROR(VLOOKUP(G383,Sell!G:L,6,0),0)</f>
        <v>0</v>
      </c>
      <c r="P383" s="13">
        <f t="shared" si="35"/>
        <v>0</v>
      </c>
      <c r="Q383" s="12">
        <f t="shared" si="37"/>
        <v>0</v>
      </c>
      <c r="R383" s="12">
        <f t="shared" si="38"/>
        <v>0</v>
      </c>
      <c r="S383" s="12">
        <f t="shared" si="39"/>
        <v>0</v>
      </c>
      <c r="T383" s="12">
        <f t="shared" si="40"/>
        <v>0</v>
      </c>
      <c r="U383" s="14" t="str">
        <f t="shared" si="41"/>
        <v/>
      </c>
    </row>
    <row r="384" spans="12:21" x14ac:dyDescent="0.25">
      <c r="L384" s="18">
        <f t="shared" si="36"/>
        <v>0</v>
      </c>
      <c r="M384" s="13" t="e">
        <f>VLOOKUP(G384,Sell!G:L,1,0)</f>
        <v>#N/A</v>
      </c>
      <c r="N384" s="13">
        <f>IFERROR(VLOOKUP(G384,Sell!G:L,2,0),0)</f>
        <v>0</v>
      </c>
      <c r="O384" s="12">
        <f>IFERROR(VLOOKUP(G384,Sell!G:L,6,0),0)</f>
        <v>0</v>
      </c>
      <c r="P384" s="13">
        <f t="shared" si="35"/>
        <v>0</v>
      </c>
      <c r="Q384" s="12">
        <f t="shared" si="37"/>
        <v>0</v>
      </c>
      <c r="R384" s="12">
        <f t="shared" si="38"/>
        <v>0</v>
      </c>
      <c r="S384" s="12">
        <f t="shared" si="39"/>
        <v>0</v>
      </c>
      <c r="T384" s="12">
        <f t="shared" si="40"/>
        <v>0</v>
      </c>
      <c r="U384" s="14" t="str">
        <f t="shared" si="41"/>
        <v/>
      </c>
    </row>
    <row r="385" spans="12:21" x14ac:dyDescent="0.25">
      <c r="L385" s="18">
        <f t="shared" si="36"/>
        <v>0</v>
      </c>
      <c r="M385" s="13" t="e">
        <f>VLOOKUP(G385,Sell!G:L,1,0)</f>
        <v>#N/A</v>
      </c>
      <c r="N385" s="13">
        <f>IFERROR(VLOOKUP(G385,Sell!G:L,2,0),0)</f>
        <v>0</v>
      </c>
      <c r="O385" s="12">
        <f>IFERROR(VLOOKUP(G385,Sell!G:L,6,0),0)</f>
        <v>0</v>
      </c>
      <c r="P385" s="13">
        <f t="shared" si="35"/>
        <v>0</v>
      </c>
      <c r="Q385" s="12">
        <f t="shared" si="37"/>
        <v>0</v>
      </c>
      <c r="R385" s="12">
        <f t="shared" si="38"/>
        <v>0</v>
      </c>
      <c r="S385" s="12">
        <f t="shared" si="39"/>
        <v>0</v>
      </c>
      <c r="T385" s="12">
        <f t="shared" si="40"/>
        <v>0</v>
      </c>
      <c r="U385" s="14" t="str">
        <f t="shared" si="41"/>
        <v/>
      </c>
    </row>
    <row r="386" spans="12:21" x14ac:dyDescent="0.25">
      <c r="L386" s="18">
        <f t="shared" si="36"/>
        <v>0</v>
      </c>
      <c r="M386" s="13" t="e">
        <f>VLOOKUP(G386,Sell!G:L,1,0)</f>
        <v>#N/A</v>
      </c>
      <c r="N386" s="13">
        <f>IFERROR(VLOOKUP(G386,Sell!G:L,2,0),0)</f>
        <v>0</v>
      </c>
      <c r="O386" s="12">
        <f>IFERROR(VLOOKUP(G386,Sell!G:L,6,0),0)</f>
        <v>0</v>
      </c>
      <c r="P386" s="13">
        <f t="shared" si="35"/>
        <v>0</v>
      </c>
      <c r="Q386" s="12">
        <f t="shared" si="37"/>
        <v>0</v>
      </c>
      <c r="R386" s="12">
        <f t="shared" si="38"/>
        <v>0</v>
      </c>
      <c r="S386" s="12">
        <f t="shared" si="39"/>
        <v>0</v>
      </c>
      <c r="T386" s="12">
        <f t="shared" si="40"/>
        <v>0</v>
      </c>
      <c r="U386" s="14" t="str">
        <f t="shared" si="41"/>
        <v/>
      </c>
    </row>
    <row r="387" spans="12:21" x14ac:dyDescent="0.25">
      <c r="L387" s="18">
        <f t="shared" si="36"/>
        <v>0</v>
      </c>
      <c r="M387" s="13" t="e">
        <f>VLOOKUP(G387,Sell!G:L,1,0)</f>
        <v>#N/A</v>
      </c>
      <c r="N387" s="13">
        <f>IFERROR(VLOOKUP(G387,Sell!G:L,2,0),0)</f>
        <v>0</v>
      </c>
      <c r="O387" s="12">
        <f>IFERROR(VLOOKUP(G387,Sell!G:L,6,0),0)</f>
        <v>0</v>
      </c>
      <c r="P387" s="13">
        <f t="shared" si="35"/>
        <v>0</v>
      </c>
      <c r="Q387" s="12">
        <f t="shared" si="37"/>
        <v>0</v>
      </c>
      <c r="R387" s="12">
        <f t="shared" si="38"/>
        <v>0</v>
      </c>
      <c r="S387" s="12">
        <f t="shared" si="39"/>
        <v>0</v>
      </c>
      <c r="T387" s="12">
        <f t="shared" si="40"/>
        <v>0</v>
      </c>
      <c r="U387" s="14" t="str">
        <f t="shared" si="41"/>
        <v/>
      </c>
    </row>
    <row r="388" spans="12:21" x14ac:dyDescent="0.25">
      <c r="L388" s="18">
        <f t="shared" si="36"/>
        <v>0</v>
      </c>
      <c r="M388" s="13" t="e">
        <f>VLOOKUP(G388,Sell!G:L,1,0)</f>
        <v>#N/A</v>
      </c>
      <c r="N388" s="13">
        <f>IFERROR(VLOOKUP(G388,Sell!G:L,2,0),0)</f>
        <v>0</v>
      </c>
      <c r="O388" s="12">
        <f>IFERROR(VLOOKUP(G388,Sell!G:L,6,0),0)</f>
        <v>0</v>
      </c>
      <c r="P388" s="13">
        <f t="shared" si="35"/>
        <v>0</v>
      </c>
      <c r="Q388" s="12">
        <f t="shared" si="37"/>
        <v>0</v>
      </c>
      <c r="R388" s="12">
        <f t="shared" si="38"/>
        <v>0</v>
      </c>
      <c r="S388" s="12">
        <f t="shared" si="39"/>
        <v>0</v>
      </c>
      <c r="T388" s="12">
        <f t="shared" si="40"/>
        <v>0</v>
      </c>
      <c r="U388" s="14" t="str">
        <f t="shared" si="41"/>
        <v/>
      </c>
    </row>
    <row r="389" spans="12:21" x14ac:dyDescent="0.25">
      <c r="L389" s="18">
        <f t="shared" si="36"/>
        <v>0</v>
      </c>
      <c r="M389" s="13" t="e">
        <f>VLOOKUP(G389,Sell!G:L,1,0)</f>
        <v>#N/A</v>
      </c>
      <c r="N389" s="13">
        <f>IFERROR(VLOOKUP(G389,Sell!G:L,2,0),0)</f>
        <v>0</v>
      </c>
      <c r="O389" s="12">
        <f>IFERROR(VLOOKUP(G389,Sell!G:L,6,0),0)</f>
        <v>0</v>
      </c>
      <c r="P389" s="13">
        <f t="shared" si="35"/>
        <v>0</v>
      </c>
      <c r="Q389" s="12">
        <f t="shared" si="37"/>
        <v>0</v>
      </c>
      <c r="R389" s="12">
        <f t="shared" si="38"/>
        <v>0</v>
      </c>
      <c r="S389" s="12">
        <f t="shared" si="39"/>
        <v>0</v>
      </c>
      <c r="T389" s="12">
        <f t="shared" si="40"/>
        <v>0</v>
      </c>
      <c r="U389" s="14" t="str">
        <f t="shared" si="41"/>
        <v/>
      </c>
    </row>
    <row r="390" spans="12:21" x14ac:dyDescent="0.25">
      <c r="L390" s="18">
        <f t="shared" si="36"/>
        <v>0</v>
      </c>
      <c r="M390" s="13" t="e">
        <f>VLOOKUP(G390,Sell!G:L,1,0)</f>
        <v>#N/A</v>
      </c>
      <c r="N390" s="13">
        <f>IFERROR(VLOOKUP(G390,Sell!G:L,2,0),0)</f>
        <v>0</v>
      </c>
      <c r="O390" s="12">
        <f>IFERROR(VLOOKUP(G390,Sell!G:L,6,0),0)</f>
        <v>0</v>
      </c>
      <c r="P390" s="13">
        <f t="shared" si="35"/>
        <v>0</v>
      </c>
      <c r="Q390" s="12">
        <f t="shared" si="37"/>
        <v>0</v>
      </c>
      <c r="R390" s="12">
        <f t="shared" si="38"/>
        <v>0</v>
      </c>
      <c r="S390" s="12">
        <f t="shared" si="39"/>
        <v>0</v>
      </c>
      <c r="T390" s="12">
        <f t="shared" si="40"/>
        <v>0</v>
      </c>
      <c r="U390" s="14" t="str">
        <f t="shared" si="41"/>
        <v/>
      </c>
    </row>
    <row r="391" spans="12:21" x14ac:dyDescent="0.25">
      <c r="L391" s="18">
        <f t="shared" si="36"/>
        <v>0</v>
      </c>
      <c r="M391" s="13" t="e">
        <f>VLOOKUP(G391,Sell!G:L,1,0)</f>
        <v>#N/A</v>
      </c>
      <c r="N391" s="13">
        <f>IFERROR(VLOOKUP(G391,Sell!G:L,2,0),0)</f>
        <v>0</v>
      </c>
      <c r="O391" s="12">
        <f>IFERROR(VLOOKUP(G391,Sell!G:L,6,0),0)</f>
        <v>0</v>
      </c>
      <c r="P391" s="13">
        <f t="shared" si="35"/>
        <v>0</v>
      </c>
      <c r="Q391" s="12">
        <f t="shared" si="37"/>
        <v>0</v>
      </c>
      <c r="R391" s="12">
        <f t="shared" si="38"/>
        <v>0</v>
      </c>
      <c r="S391" s="12">
        <f t="shared" si="39"/>
        <v>0</v>
      </c>
      <c r="T391" s="12">
        <f t="shared" si="40"/>
        <v>0</v>
      </c>
      <c r="U391" s="14" t="str">
        <f t="shared" si="41"/>
        <v/>
      </c>
    </row>
    <row r="392" spans="12:21" x14ac:dyDescent="0.25">
      <c r="L392" s="18">
        <f t="shared" si="36"/>
        <v>0</v>
      </c>
      <c r="M392" s="13" t="e">
        <f>VLOOKUP(G392,Sell!G:L,1,0)</f>
        <v>#N/A</v>
      </c>
      <c r="N392" s="13">
        <f>IFERROR(VLOOKUP(G392,Sell!G:L,2,0),0)</f>
        <v>0</v>
      </c>
      <c r="O392" s="12">
        <f>IFERROR(VLOOKUP(G392,Sell!G:L,6,0),0)</f>
        <v>0</v>
      </c>
      <c r="P392" s="13">
        <f t="shared" si="35"/>
        <v>0</v>
      </c>
      <c r="Q392" s="12">
        <f t="shared" si="37"/>
        <v>0</v>
      </c>
      <c r="R392" s="12">
        <f t="shared" si="38"/>
        <v>0</v>
      </c>
      <c r="S392" s="12">
        <f t="shared" si="39"/>
        <v>0</v>
      </c>
      <c r="T392" s="12">
        <f t="shared" si="40"/>
        <v>0</v>
      </c>
      <c r="U392" s="14" t="str">
        <f t="shared" si="41"/>
        <v/>
      </c>
    </row>
    <row r="393" spans="12:21" x14ac:dyDescent="0.25">
      <c r="L393" s="18">
        <f t="shared" si="36"/>
        <v>0</v>
      </c>
      <c r="M393" s="13" t="e">
        <f>VLOOKUP(G393,Sell!G:L,1,0)</f>
        <v>#N/A</v>
      </c>
      <c r="N393" s="13">
        <f>IFERROR(VLOOKUP(G393,Sell!G:L,2,0),0)</f>
        <v>0</v>
      </c>
      <c r="O393" s="12">
        <f>IFERROR(VLOOKUP(G393,Sell!G:L,6,0),0)</f>
        <v>0</v>
      </c>
      <c r="P393" s="13">
        <f t="shared" si="35"/>
        <v>0</v>
      </c>
      <c r="Q393" s="12">
        <f t="shared" si="37"/>
        <v>0</v>
      </c>
      <c r="R393" s="12">
        <f t="shared" si="38"/>
        <v>0</v>
      </c>
      <c r="S393" s="12">
        <f t="shared" si="39"/>
        <v>0</v>
      </c>
      <c r="T393" s="12">
        <f t="shared" si="40"/>
        <v>0</v>
      </c>
      <c r="U393" s="14" t="str">
        <f t="shared" si="41"/>
        <v/>
      </c>
    </row>
    <row r="394" spans="12:21" x14ac:dyDescent="0.25">
      <c r="L394" s="18">
        <f t="shared" si="36"/>
        <v>0</v>
      </c>
      <c r="M394" s="13" t="e">
        <f>VLOOKUP(G394,Sell!G:L,1,0)</f>
        <v>#N/A</v>
      </c>
      <c r="N394" s="13">
        <f>IFERROR(VLOOKUP(G394,Sell!G:L,2,0),0)</f>
        <v>0</v>
      </c>
      <c r="O394" s="12">
        <f>IFERROR(VLOOKUP(G394,Sell!G:L,6,0),0)</f>
        <v>0</v>
      </c>
      <c r="P394" s="13">
        <f t="shared" ref="P394:P457" si="42">H394-N394</f>
        <v>0</v>
      </c>
      <c r="Q394" s="12">
        <f t="shared" si="37"/>
        <v>0</v>
      </c>
      <c r="R394" s="12">
        <f t="shared" si="38"/>
        <v>0</v>
      </c>
      <c r="S394" s="12">
        <f t="shared" si="39"/>
        <v>0</v>
      </c>
      <c r="T394" s="12">
        <f t="shared" si="40"/>
        <v>0</v>
      </c>
      <c r="U394" s="14" t="str">
        <f t="shared" si="41"/>
        <v/>
      </c>
    </row>
    <row r="395" spans="12:21" x14ac:dyDescent="0.25">
      <c r="L395" s="18">
        <f t="shared" ref="L395:L458" si="43">J395+K395</f>
        <v>0</v>
      </c>
      <c r="M395" s="13" t="e">
        <f>VLOOKUP(G395,Sell!G:L,1,0)</f>
        <v>#N/A</v>
      </c>
      <c r="N395" s="13">
        <f>IFERROR(VLOOKUP(G395,Sell!G:L,2,0),0)</f>
        <v>0</v>
      </c>
      <c r="O395" s="12">
        <f>IFERROR(VLOOKUP(G395,Sell!G:L,6,0),0)</f>
        <v>0</v>
      </c>
      <c r="P395" s="13">
        <f t="shared" si="42"/>
        <v>0</v>
      </c>
      <c r="Q395" s="12">
        <f t="shared" ref="Q395:Q458" si="44">O395-L395</f>
        <v>0</v>
      </c>
      <c r="R395" s="12">
        <f t="shared" ref="R395:R458" si="45">IF(P395=0,Q395,0)</f>
        <v>0</v>
      </c>
      <c r="S395" s="12">
        <f t="shared" ref="S395:S458" si="46">IF(R395&gt;0,R395,0)</f>
        <v>0</v>
      </c>
      <c r="T395" s="12">
        <f t="shared" ref="T395:T458" si="47">IF(R395&gt;0,0,R395)</f>
        <v>0</v>
      </c>
      <c r="U395" s="14" t="str">
        <f t="shared" ref="U395:U458" si="48">IF(AND(LEN(G395)&gt;0,R395=0),"Open","")</f>
        <v/>
      </c>
    </row>
    <row r="396" spans="12:21" x14ac:dyDescent="0.25">
      <c r="L396" s="18">
        <f t="shared" si="43"/>
        <v>0</v>
      </c>
      <c r="M396" s="13" t="e">
        <f>VLOOKUP(G396,Sell!G:L,1,0)</f>
        <v>#N/A</v>
      </c>
      <c r="N396" s="13">
        <f>IFERROR(VLOOKUP(G396,Sell!G:L,2,0),0)</f>
        <v>0</v>
      </c>
      <c r="O396" s="12">
        <f>IFERROR(VLOOKUP(G396,Sell!G:L,6,0),0)</f>
        <v>0</v>
      </c>
      <c r="P396" s="13">
        <f t="shared" si="42"/>
        <v>0</v>
      </c>
      <c r="Q396" s="12">
        <f t="shared" si="44"/>
        <v>0</v>
      </c>
      <c r="R396" s="12">
        <f t="shared" si="45"/>
        <v>0</v>
      </c>
      <c r="S396" s="12">
        <f t="shared" si="46"/>
        <v>0</v>
      </c>
      <c r="T396" s="12">
        <f t="shared" si="47"/>
        <v>0</v>
      </c>
      <c r="U396" s="14" t="str">
        <f t="shared" si="48"/>
        <v/>
      </c>
    </row>
    <row r="397" spans="12:21" x14ac:dyDescent="0.25">
      <c r="L397" s="18">
        <f t="shared" si="43"/>
        <v>0</v>
      </c>
      <c r="M397" s="13" t="e">
        <f>VLOOKUP(G397,Sell!G:L,1,0)</f>
        <v>#N/A</v>
      </c>
      <c r="N397" s="13">
        <f>IFERROR(VLOOKUP(G397,Sell!G:L,2,0),0)</f>
        <v>0</v>
      </c>
      <c r="O397" s="12">
        <f>IFERROR(VLOOKUP(G397,Sell!G:L,6,0),0)</f>
        <v>0</v>
      </c>
      <c r="P397" s="13">
        <f t="shared" si="42"/>
        <v>0</v>
      </c>
      <c r="Q397" s="12">
        <f t="shared" si="44"/>
        <v>0</v>
      </c>
      <c r="R397" s="12">
        <f t="shared" si="45"/>
        <v>0</v>
      </c>
      <c r="S397" s="12">
        <f t="shared" si="46"/>
        <v>0</v>
      </c>
      <c r="T397" s="12">
        <f t="shared" si="47"/>
        <v>0</v>
      </c>
      <c r="U397" s="14" t="str">
        <f t="shared" si="48"/>
        <v/>
      </c>
    </row>
    <row r="398" spans="12:21" x14ac:dyDescent="0.25">
      <c r="L398" s="18">
        <f t="shared" si="43"/>
        <v>0</v>
      </c>
      <c r="M398" s="13" t="e">
        <f>VLOOKUP(G398,Sell!G:L,1,0)</f>
        <v>#N/A</v>
      </c>
      <c r="N398" s="13">
        <f>IFERROR(VLOOKUP(G398,Sell!G:L,2,0),0)</f>
        <v>0</v>
      </c>
      <c r="O398" s="12">
        <f>IFERROR(VLOOKUP(G398,Sell!G:L,6,0),0)</f>
        <v>0</v>
      </c>
      <c r="P398" s="13">
        <f t="shared" si="42"/>
        <v>0</v>
      </c>
      <c r="Q398" s="12">
        <f t="shared" si="44"/>
        <v>0</v>
      </c>
      <c r="R398" s="12">
        <f t="shared" si="45"/>
        <v>0</v>
      </c>
      <c r="S398" s="12">
        <f t="shared" si="46"/>
        <v>0</v>
      </c>
      <c r="T398" s="12">
        <f t="shared" si="47"/>
        <v>0</v>
      </c>
      <c r="U398" s="14" t="str">
        <f t="shared" si="48"/>
        <v/>
      </c>
    </row>
    <row r="399" spans="12:21" x14ac:dyDescent="0.25">
      <c r="L399" s="18">
        <f t="shared" si="43"/>
        <v>0</v>
      </c>
      <c r="M399" s="13" t="e">
        <f>VLOOKUP(G399,Sell!G:L,1,0)</f>
        <v>#N/A</v>
      </c>
      <c r="N399" s="13">
        <f>IFERROR(VLOOKUP(G399,Sell!G:L,2,0),0)</f>
        <v>0</v>
      </c>
      <c r="O399" s="12">
        <f>IFERROR(VLOOKUP(G399,Sell!G:L,6,0),0)</f>
        <v>0</v>
      </c>
      <c r="P399" s="13">
        <f t="shared" si="42"/>
        <v>0</v>
      </c>
      <c r="Q399" s="12">
        <f t="shared" si="44"/>
        <v>0</v>
      </c>
      <c r="R399" s="12">
        <f t="shared" si="45"/>
        <v>0</v>
      </c>
      <c r="S399" s="12">
        <f t="shared" si="46"/>
        <v>0</v>
      </c>
      <c r="T399" s="12">
        <f t="shared" si="47"/>
        <v>0</v>
      </c>
      <c r="U399" s="14" t="str">
        <f t="shared" si="48"/>
        <v/>
      </c>
    </row>
    <row r="400" spans="12:21" x14ac:dyDescent="0.25">
      <c r="L400" s="18">
        <f t="shared" si="43"/>
        <v>0</v>
      </c>
      <c r="M400" s="13" t="e">
        <f>VLOOKUP(G400,Sell!G:L,1,0)</f>
        <v>#N/A</v>
      </c>
      <c r="N400" s="13">
        <f>IFERROR(VLOOKUP(G400,Sell!G:L,2,0),0)</f>
        <v>0</v>
      </c>
      <c r="O400" s="12">
        <f>IFERROR(VLOOKUP(G400,Sell!G:L,6,0),0)</f>
        <v>0</v>
      </c>
      <c r="P400" s="13">
        <f t="shared" si="42"/>
        <v>0</v>
      </c>
      <c r="Q400" s="12">
        <f t="shared" si="44"/>
        <v>0</v>
      </c>
      <c r="R400" s="12">
        <f t="shared" si="45"/>
        <v>0</v>
      </c>
      <c r="S400" s="12">
        <f t="shared" si="46"/>
        <v>0</v>
      </c>
      <c r="T400" s="12">
        <f t="shared" si="47"/>
        <v>0</v>
      </c>
      <c r="U400" s="14" t="str">
        <f t="shared" si="48"/>
        <v/>
      </c>
    </row>
    <row r="401" spans="12:21" x14ac:dyDescent="0.25">
      <c r="L401" s="18">
        <f t="shared" si="43"/>
        <v>0</v>
      </c>
      <c r="M401" s="13" t="e">
        <f>VLOOKUP(G401,Sell!G:L,1,0)</f>
        <v>#N/A</v>
      </c>
      <c r="N401" s="13">
        <f>IFERROR(VLOOKUP(G401,Sell!G:L,2,0),0)</f>
        <v>0</v>
      </c>
      <c r="O401" s="12">
        <f>IFERROR(VLOOKUP(G401,Sell!G:L,6,0),0)</f>
        <v>0</v>
      </c>
      <c r="P401" s="13">
        <f t="shared" si="42"/>
        <v>0</v>
      </c>
      <c r="Q401" s="12">
        <f t="shared" si="44"/>
        <v>0</v>
      </c>
      <c r="R401" s="12">
        <f t="shared" si="45"/>
        <v>0</v>
      </c>
      <c r="S401" s="12">
        <f t="shared" si="46"/>
        <v>0</v>
      </c>
      <c r="T401" s="12">
        <f t="shared" si="47"/>
        <v>0</v>
      </c>
      <c r="U401" s="14" t="str">
        <f t="shared" si="48"/>
        <v/>
      </c>
    </row>
    <row r="402" spans="12:21" x14ac:dyDescent="0.25">
      <c r="L402" s="18">
        <f t="shared" si="43"/>
        <v>0</v>
      </c>
      <c r="M402" s="13" t="e">
        <f>VLOOKUP(G402,Sell!G:L,1,0)</f>
        <v>#N/A</v>
      </c>
      <c r="N402" s="13">
        <f>IFERROR(VLOOKUP(G402,Sell!G:L,2,0),0)</f>
        <v>0</v>
      </c>
      <c r="O402" s="12">
        <f>IFERROR(VLOOKUP(G402,Sell!G:L,6,0),0)</f>
        <v>0</v>
      </c>
      <c r="P402" s="13">
        <f t="shared" si="42"/>
        <v>0</v>
      </c>
      <c r="Q402" s="12">
        <f t="shared" si="44"/>
        <v>0</v>
      </c>
      <c r="R402" s="12">
        <f t="shared" si="45"/>
        <v>0</v>
      </c>
      <c r="S402" s="12">
        <f t="shared" si="46"/>
        <v>0</v>
      </c>
      <c r="T402" s="12">
        <f t="shared" si="47"/>
        <v>0</v>
      </c>
      <c r="U402" s="14" t="str">
        <f t="shared" si="48"/>
        <v/>
      </c>
    </row>
    <row r="403" spans="12:21" x14ac:dyDescent="0.25">
      <c r="L403" s="18">
        <f t="shared" si="43"/>
        <v>0</v>
      </c>
      <c r="M403" s="13" t="e">
        <f>VLOOKUP(G403,Sell!G:L,1,0)</f>
        <v>#N/A</v>
      </c>
      <c r="N403" s="13">
        <f>IFERROR(VLOOKUP(G403,Sell!G:L,2,0),0)</f>
        <v>0</v>
      </c>
      <c r="O403" s="12">
        <f>IFERROR(VLOOKUP(G403,Sell!G:L,6,0),0)</f>
        <v>0</v>
      </c>
      <c r="P403" s="13">
        <f t="shared" si="42"/>
        <v>0</v>
      </c>
      <c r="Q403" s="12">
        <f t="shared" si="44"/>
        <v>0</v>
      </c>
      <c r="R403" s="12">
        <f t="shared" si="45"/>
        <v>0</v>
      </c>
      <c r="S403" s="12">
        <f t="shared" si="46"/>
        <v>0</v>
      </c>
      <c r="T403" s="12">
        <f t="shared" si="47"/>
        <v>0</v>
      </c>
      <c r="U403" s="14" t="str">
        <f t="shared" si="48"/>
        <v/>
      </c>
    </row>
    <row r="404" spans="12:21" x14ac:dyDescent="0.25">
      <c r="L404" s="18">
        <f t="shared" si="43"/>
        <v>0</v>
      </c>
      <c r="M404" s="13" t="e">
        <f>VLOOKUP(G404,Sell!G:L,1,0)</f>
        <v>#N/A</v>
      </c>
      <c r="N404" s="13">
        <f>IFERROR(VLOOKUP(G404,Sell!G:L,2,0),0)</f>
        <v>0</v>
      </c>
      <c r="O404" s="12">
        <f>IFERROR(VLOOKUP(G404,Sell!G:L,6,0),0)</f>
        <v>0</v>
      </c>
      <c r="P404" s="13">
        <f t="shared" si="42"/>
        <v>0</v>
      </c>
      <c r="Q404" s="12">
        <f t="shared" si="44"/>
        <v>0</v>
      </c>
      <c r="R404" s="12">
        <f t="shared" si="45"/>
        <v>0</v>
      </c>
      <c r="S404" s="12">
        <f t="shared" si="46"/>
        <v>0</v>
      </c>
      <c r="T404" s="12">
        <f t="shared" si="47"/>
        <v>0</v>
      </c>
      <c r="U404" s="14" t="str">
        <f t="shared" si="48"/>
        <v/>
      </c>
    </row>
    <row r="405" spans="12:21" x14ac:dyDescent="0.25">
      <c r="L405" s="18">
        <f t="shared" si="43"/>
        <v>0</v>
      </c>
      <c r="M405" s="13" t="e">
        <f>VLOOKUP(G405,Sell!G:L,1,0)</f>
        <v>#N/A</v>
      </c>
      <c r="N405" s="13">
        <f>IFERROR(VLOOKUP(G405,Sell!G:L,2,0),0)</f>
        <v>0</v>
      </c>
      <c r="O405" s="12">
        <f>IFERROR(VLOOKUP(G405,Sell!G:L,6,0),0)</f>
        <v>0</v>
      </c>
      <c r="P405" s="13">
        <f t="shared" si="42"/>
        <v>0</v>
      </c>
      <c r="Q405" s="12">
        <f t="shared" si="44"/>
        <v>0</v>
      </c>
      <c r="R405" s="12">
        <f t="shared" si="45"/>
        <v>0</v>
      </c>
      <c r="S405" s="12">
        <f t="shared" si="46"/>
        <v>0</v>
      </c>
      <c r="T405" s="12">
        <f t="shared" si="47"/>
        <v>0</v>
      </c>
      <c r="U405" s="14" t="str">
        <f t="shared" si="48"/>
        <v/>
      </c>
    </row>
    <row r="406" spans="12:21" x14ac:dyDescent="0.25">
      <c r="L406" s="18">
        <f t="shared" si="43"/>
        <v>0</v>
      </c>
      <c r="M406" s="13" t="e">
        <f>VLOOKUP(G406,Sell!G:L,1,0)</f>
        <v>#N/A</v>
      </c>
      <c r="N406" s="13">
        <f>IFERROR(VLOOKUP(G406,Sell!G:L,2,0),0)</f>
        <v>0</v>
      </c>
      <c r="O406" s="12">
        <f>IFERROR(VLOOKUP(G406,Sell!G:L,6,0),0)</f>
        <v>0</v>
      </c>
      <c r="P406" s="13">
        <f t="shared" si="42"/>
        <v>0</v>
      </c>
      <c r="Q406" s="12">
        <f t="shared" si="44"/>
        <v>0</v>
      </c>
      <c r="R406" s="12">
        <f t="shared" si="45"/>
        <v>0</v>
      </c>
      <c r="S406" s="12">
        <f t="shared" si="46"/>
        <v>0</v>
      </c>
      <c r="T406" s="12">
        <f t="shared" si="47"/>
        <v>0</v>
      </c>
      <c r="U406" s="14" t="str">
        <f t="shared" si="48"/>
        <v/>
      </c>
    </row>
    <row r="407" spans="12:21" x14ac:dyDescent="0.25">
      <c r="L407" s="18">
        <f t="shared" si="43"/>
        <v>0</v>
      </c>
      <c r="M407" s="13" t="e">
        <f>VLOOKUP(G407,Sell!G:L,1,0)</f>
        <v>#N/A</v>
      </c>
      <c r="N407" s="13">
        <f>IFERROR(VLOOKUP(G407,Sell!G:L,2,0),0)</f>
        <v>0</v>
      </c>
      <c r="O407" s="12">
        <f>IFERROR(VLOOKUP(G407,Sell!G:L,6,0),0)</f>
        <v>0</v>
      </c>
      <c r="P407" s="13">
        <f t="shared" si="42"/>
        <v>0</v>
      </c>
      <c r="Q407" s="12">
        <f t="shared" si="44"/>
        <v>0</v>
      </c>
      <c r="R407" s="12">
        <f t="shared" si="45"/>
        <v>0</v>
      </c>
      <c r="S407" s="12">
        <f t="shared" si="46"/>
        <v>0</v>
      </c>
      <c r="T407" s="12">
        <f t="shared" si="47"/>
        <v>0</v>
      </c>
      <c r="U407" s="14" t="str">
        <f t="shared" si="48"/>
        <v/>
      </c>
    </row>
    <row r="408" spans="12:21" x14ac:dyDescent="0.25">
      <c r="L408" s="18">
        <f t="shared" si="43"/>
        <v>0</v>
      </c>
      <c r="M408" s="13" t="e">
        <f>VLOOKUP(G408,Sell!G:L,1,0)</f>
        <v>#N/A</v>
      </c>
      <c r="N408" s="13">
        <f>IFERROR(VLOOKUP(G408,Sell!G:L,2,0),0)</f>
        <v>0</v>
      </c>
      <c r="O408" s="12">
        <f>IFERROR(VLOOKUP(G408,Sell!G:L,6,0),0)</f>
        <v>0</v>
      </c>
      <c r="P408" s="13">
        <f t="shared" si="42"/>
        <v>0</v>
      </c>
      <c r="Q408" s="12">
        <f t="shared" si="44"/>
        <v>0</v>
      </c>
      <c r="R408" s="12">
        <f t="shared" si="45"/>
        <v>0</v>
      </c>
      <c r="S408" s="12">
        <f t="shared" si="46"/>
        <v>0</v>
      </c>
      <c r="T408" s="12">
        <f t="shared" si="47"/>
        <v>0</v>
      </c>
      <c r="U408" s="14" t="str">
        <f t="shared" si="48"/>
        <v/>
      </c>
    </row>
    <row r="409" spans="12:21" x14ac:dyDescent="0.25">
      <c r="L409" s="18">
        <f t="shared" si="43"/>
        <v>0</v>
      </c>
      <c r="M409" s="13" t="e">
        <f>VLOOKUP(G409,Sell!G:L,1,0)</f>
        <v>#N/A</v>
      </c>
      <c r="N409" s="13">
        <f>IFERROR(VLOOKUP(G409,Sell!G:L,2,0),0)</f>
        <v>0</v>
      </c>
      <c r="O409" s="12">
        <f>IFERROR(VLOOKUP(G409,Sell!G:L,6,0),0)</f>
        <v>0</v>
      </c>
      <c r="P409" s="13">
        <f t="shared" si="42"/>
        <v>0</v>
      </c>
      <c r="Q409" s="12">
        <f t="shared" si="44"/>
        <v>0</v>
      </c>
      <c r="R409" s="12">
        <f t="shared" si="45"/>
        <v>0</v>
      </c>
      <c r="S409" s="12">
        <f t="shared" si="46"/>
        <v>0</v>
      </c>
      <c r="T409" s="12">
        <f t="shared" si="47"/>
        <v>0</v>
      </c>
      <c r="U409" s="14" t="str">
        <f t="shared" si="48"/>
        <v/>
      </c>
    </row>
    <row r="410" spans="12:21" x14ac:dyDescent="0.25">
      <c r="L410" s="18">
        <f t="shared" si="43"/>
        <v>0</v>
      </c>
      <c r="M410" s="13" t="e">
        <f>VLOOKUP(G410,Sell!G:L,1,0)</f>
        <v>#N/A</v>
      </c>
      <c r="N410" s="13">
        <f>IFERROR(VLOOKUP(G410,Sell!G:L,2,0),0)</f>
        <v>0</v>
      </c>
      <c r="O410" s="12">
        <f>IFERROR(VLOOKUP(G410,Sell!G:L,6,0),0)</f>
        <v>0</v>
      </c>
      <c r="P410" s="13">
        <f t="shared" si="42"/>
        <v>0</v>
      </c>
      <c r="Q410" s="12">
        <f t="shared" si="44"/>
        <v>0</v>
      </c>
      <c r="R410" s="12">
        <f t="shared" si="45"/>
        <v>0</v>
      </c>
      <c r="S410" s="12">
        <f t="shared" si="46"/>
        <v>0</v>
      </c>
      <c r="T410" s="12">
        <f t="shared" si="47"/>
        <v>0</v>
      </c>
      <c r="U410" s="14" t="str">
        <f t="shared" si="48"/>
        <v/>
      </c>
    </row>
    <row r="411" spans="12:21" x14ac:dyDescent="0.25">
      <c r="L411" s="18">
        <f t="shared" si="43"/>
        <v>0</v>
      </c>
      <c r="M411" s="13" t="e">
        <f>VLOOKUP(G411,Sell!G:L,1,0)</f>
        <v>#N/A</v>
      </c>
      <c r="N411" s="13">
        <f>IFERROR(VLOOKUP(G411,Sell!G:L,2,0),0)</f>
        <v>0</v>
      </c>
      <c r="O411" s="12">
        <f>IFERROR(VLOOKUP(G411,Sell!G:L,6,0),0)</f>
        <v>0</v>
      </c>
      <c r="P411" s="13">
        <f t="shared" si="42"/>
        <v>0</v>
      </c>
      <c r="Q411" s="12">
        <f t="shared" si="44"/>
        <v>0</v>
      </c>
      <c r="R411" s="12">
        <f t="shared" si="45"/>
        <v>0</v>
      </c>
      <c r="S411" s="12">
        <f t="shared" si="46"/>
        <v>0</v>
      </c>
      <c r="T411" s="12">
        <f t="shared" si="47"/>
        <v>0</v>
      </c>
      <c r="U411" s="14" t="str">
        <f t="shared" si="48"/>
        <v/>
      </c>
    </row>
    <row r="412" spans="12:21" x14ac:dyDescent="0.25">
      <c r="L412" s="18">
        <f t="shared" si="43"/>
        <v>0</v>
      </c>
      <c r="M412" s="13" t="e">
        <f>VLOOKUP(G412,Sell!G:L,1,0)</f>
        <v>#N/A</v>
      </c>
      <c r="N412" s="13">
        <f>IFERROR(VLOOKUP(G412,Sell!G:L,2,0),0)</f>
        <v>0</v>
      </c>
      <c r="O412" s="12">
        <f>IFERROR(VLOOKUP(G412,Sell!G:L,6,0),0)</f>
        <v>0</v>
      </c>
      <c r="P412" s="13">
        <f t="shared" si="42"/>
        <v>0</v>
      </c>
      <c r="Q412" s="12">
        <f t="shared" si="44"/>
        <v>0</v>
      </c>
      <c r="R412" s="12">
        <f t="shared" si="45"/>
        <v>0</v>
      </c>
      <c r="S412" s="12">
        <f t="shared" si="46"/>
        <v>0</v>
      </c>
      <c r="T412" s="12">
        <f t="shared" si="47"/>
        <v>0</v>
      </c>
      <c r="U412" s="14" t="str">
        <f t="shared" si="48"/>
        <v/>
      </c>
    </row>
    <row r="413" spans="12:21" x14ac:dyDescent="0.25">
      <c r="L413" s="18">
        <f t="shared" si="43"/>
        <v>0</v>
      </c>
      <c r="M413" s="13" t="e">
        <f>VLOOKUP(G413,Sell!G:L,1,0)</f>
        <v>#N/A</v>
      </c>
      <c r="N413" s="13">
        <f>IFERROR(VLOOKUP(G413,Sell!G:L,2,0),0)</f>
        <v>0</v>
      </c>
      <c r="O413" s="12">
        <f>IFERROR(VLOOKUP(G413,Sell!G:L,6,0),0)</f>
        <v>0</v>
      </c>
      <c r="P413" s="13">
        <f t="shared" si="42"/>
        <v>0</v>
      </c>
      <c r="Q413" s="12">
        <f t="shared" si="44"/>
        <v>0</v>
      </c>
      <c r="R413" s="12">
        <f t="shared" si="45"/>
        <v>0</v>
      </c>
      <c r="S413" s="12">
        <f t="shared" si="46"/>
        <v>0</v>
      </c>
      <c r="T413" s="12">
        <f t="shared" si="47"/>
        <v>0</v>
      </c>
      <c r="U413" s="14" t="str">
        <f t="shared" si="48"/>
        <v/>
      </c>
    </row>
    <row r="414" spans="12:21" x14ac:dyDescent="0.25">
      <c r="L414" s="18">
        <f t="shared" si="43"/>
        <v>0</v>
      </c>
      <c r="M414" s="13" t="e">
        <f>VLOOKUP(G414,Sell!G:L,1,0)</f>
        <v>#N/A</v>
      </c>
      <c r="N414" s="13">
        <f>IFERROR(VLOOKUP(G414,Sell!G:L,2,0),0)</f>
        <v>0</v>
      </c>
      <c r="O414" s="12">
        <f>IFERROR(VLOOKUP(G414,Sell!G:L,6,0),0)</f>
        <v>0</v>
      </c>
      <c r="P414" s="13">
        <f t="shared" si="42"/>
        <v>0</v>
      </c>
      <c r="Q414" s="12">
        <f t="shared" si="44"/>
        <v>0</v>
      </c>
      <c r="R414" s="12">
        <f t="shared" si="45"/>
        <v>0</v>
      </c>
      <c r="S414" s="12">
        <f t="shared" si="46"/>
        <v>0</v>
      </c>
      <c r="T414" s="12">
        <f t="shared" si="47"/>
        <v>0</v>
      </c>
      <c r="U414" s="14" t="str">
        <f t="shared" si="48"/>
        <v/>
      </c>
    </row>
    <row r="415" spans="12:21" x14ac:dyDescent="0.25">
      <c r="L415" s="18">
        <f t="shared" si="43"/>
        <v>0</v>
      </c>
      <c r="M415" s="13" t="e">
        <f>VLOOKUP(G415,Sell!G:L,1,0)</f>
        <v>#N/A</v>
      </c>
      <c r="N415" s="13">
        <f>IFERROR(VLOOKUP(G415,Sell!G:L,2,0),0)</f>
        <v>0</v>
      </c>
      <c r="O415" s="12">
        <f>IFERROR(VLOOKUP(G415,Sell!G:L,6,0),0)</f>
        <v>0</v>
      </c>
      <c r="P415" s="13">
        <f t="shared" si="42"/>
        <v>0</v>
      </c>
      <c r="Q415" s="12">
        <f t="shared" si="44"/>
        <v>0</v>
      </c>
      <c r="R415" s="12">
        <f t="shared" si="45"/>
        <v>0</v>
      </c>
      <c r="S415" s="12">
        <f t="shared" si="46"/>
        <v>0</v>
      </c>
      <c r="T415" s="12">
        <f t="shared" si="47"/>
        <v>0</v>
      </c>
      <c r="U415" s="14" t="str">
        <f t="shared" si="48"/>
        <v/>
      </c>
    </row>
    <row r="416" spans="12:21" x14ac:dyDescent="0.25">
      <c r="L416" s="18">
        <f t="shared" si="43"/>
        <v>0</v>
      </c>
      <c r="M416" s="13" t="e">
        <f>VLOOKUP(G416,Sell!G:L,1,0)</f>
        <v>#N/A</v>
      </c>
      <c r="N416" s="13">
        <f>IFERROR(VLOOKUP(G416,Sell!G:L,2,0),0)</f>
        <v>0</v>
      </c>
      <c r="O416" s="12">
        <f>IFERROR(VLOOKUP(G416,Sell!G:L,6,0),0)</f>
        <v>0</v>
      </c>
      <c r="P416" s="13">
        <f t="shared" si="42"/>
        <v>0</v>
      </c>
      <c r="Q416" s="12">
        <f t="shared" si="44"/>
        <v>0</v>
      </c>
      <c r="R416" s="12">
        <f t="shared" si="45"/>
        <v>0</v>
      </c>
      <c r="S416" s="12">
        <f t="shared" si="46"/>
        <v>0</v>
      </c>
      <c r="T416" s="12">
        <f t="shared" si="47"/>
        <v>0</v>
      </c>
      <c r="U416" s="14" t="str">
        <f t="shared" si="48"/>
        <v/>
      </c>
    </row>
    <row r="417" spans="12:21" x14ac:dyDescent="0.25">
      <c r="L417" s="18">
        <f t="shared" si="43"/>
        <v>0</v>
      </c>
      <c r="M417" s="13" t="e">
        <f>VLOOKUP(G417,Sell!G:L,1,0)</f>
        <v>#N/A</v>
      </c>
      <c r="N417" s="13">
        <f>IFERROR(VLOOKUP(G417,Sell!G:L,2,0),0)</f>
        <v>0</v>
      </c>
      <c r="O417" s="12">
        <f>IFERROR(VLOOKUP(G417,Sell!G:L,6,0),0)</f>
        <v>0</v>
      </c>
      <c r="P417" s="13">
        <f t="shared" si="42"/>
        <v>0</v>
      </c>
      <c r="Q417" s="12">
        <f t="shared" si="44"/>
        <v>0</v>
      </c>
      <c r="R417" s="12">
        <f t="shared" si="45"/>
        <v>0</v>
      </c>
      <c r="S417" s="12">
        <f t="shared" si="46"/>
        <v>0</v>
      </c>
      <c r="T417" s="12">
        <f t="shared" si="47"/>
        <v>0</v>
      </c>
      <c r="U417" s="14" t="str">
        <f t="shared" si="48"/>
        <v/>
      </c>
    </row>
    <row r="418" spans="12:21" x14ac:dyDescent="0.25">
      <c r="L418" s="18">
        <f t="shared" si="43"/>
        <v>0</v>
      </c>
      <c r="M418" s="13" t="e">
        <f>VLOOKUP(G418,Sell!G:L,1,0)</f>
        <v>#N/A</v>
      </c>
      <c r="N418" s="13">
        <f>IFERROR(VLOOKUP(G418,Sell!G:L,2,0),0)</f>
        <v>0</v>
      </c>
      <c r="O418" s="12">
        <f>IFERROR(VLOOKUP(G418,Sell!G:L,6,0),0)</f>
        <v>0</v>
      </c>
      <c r="P418" s="13">
        <f t="shared" si="42"/>
        <v>0</v>
      </c>
      <c r="Q418" s="12">
        <f t="shared" si="44"/>
        <v>0</v>
      </c>
      <c r="R418" s="12">
        <f t="shared" si="45"/>
        <v>0</v>
      </c>
      <c r="S418" s="12">
        <f t="shared" si="46"/>
        <v>0</v>
      </c>
      <c r="T418" s="12">
        <f t="shared" si="47"/>
        <v>0</v>
      </c>
      <c r="U418" s="14" t="str">
        <f t="shared" si="48"/>
        <v/>
      </c>
    </row>
    <row r="419" spans="12:21" x14ac:dyDescent="0.25">
      <c r="L419" s="18">
        <f t="shared" si="43"/>
        <v>0</v>
      </c>
      <c r="M419" s="13" t="e">
        <f>VLOOKUP(G419,Sell!G:L,1,0)</f>
        <v>#N/A</v>
      </c>
      <c r="N419" s="13">
        <f>IFERROR(VLOOKUP(G419,Sell!G:L,2,0),0)</f>
        <v>0</v>
      </c>
      <c r="O419" s="12">
        <f>IFERROR(VLOOKUP(G419,Sell!G:L,6,0),0)</f>
        <v>0</v>
      </c>
      <c r="P419" s="13">
        <f t="shared" si="42"/>
        <v>0</v>
      </c>
      <c r="Q419" s="12">
        <f t="shared" si="44"/>
        <v>0</v>
      </c>
      <c r="R419" s="12">
        <f t="shared" si="45"/>
        <v>0</v>
      </c>
      <c r="S419" s="12">
        <f t="shared" si="46"/>
        <v>0</v>
      </c>
      <c r="T419" s="12">
        <f t="shared" si="47"/>
        <v>0</v>
      </c>
      <c r="U419" s="14" t="str">
        <f t="shared" si="48"/>
        <v/>
      </c>
    </row>
    <row r="420" spans="12:21" x14ac:dyDescent="0.25">
      <c r="L420" s="18">
        <f t="shared" si="43"/>
        <v>0</v>
      </c>
      <c r="M420" s="13" t="e">
        <f>VLOOKUP(G420,Sell!G:L,1,0)</f>
        <v>#N/A</v>
      </c>
      <c r="N420" s="13">
        <f>IFERROR(VLOOKUP(G420,Sell!G:L,2,0),0)</f>
        <v>0</v>
      </c>
      <c r="O420" s="12">
        <f>IFERROR(VLOOKUP(G420,Sell!G:L,6,0),0)</f>
        <v>0</v>
      </c>
      <c r="P420" s="13">
        <f t="shared" si="42"/>
        <v>0</v>
      </c>
      <c r="Q420" s="12">
        <f t="shared" si="44"/>
        <v>0</v>
      </c>
      <c r="R420" s="12">
        <f t="shared" si="45"/>
        <v>0</v>
      </c>
      <c r="S420" s="12">
        <f t="shared" si="46"/>
        <v>0</v>
      </c>
      <c r="T420" s="12">
        <f t="shared" si="47"/>
        <v>0</v>
      </c>
      <c r="U420" s="14" t="str">
        <f t="shared" si="48"/>
        <v/>
      </c>
    </row>
    <row r="421" spans="12:21" x14ac:dyDescent="0.25">
      <c r="L421" s="18">
        <f t="shared" si="43"/>
        <v>0</v>
      </c>
      <c r="M421" s="13" t="e">
        <f>VLOOKUP(G421,Sell!G:L,1,0)</f>
        <v>#N/A</v>
      </c>
      <c r="N421" s="13">
        <f>IFERROR(VLOOKUP(G421,Sell!G:L,2,0),0)</f>
        <v>0</v>
      </c>
      <c r="O421" s="12">
        <f>IFERROR(VLOOKUP(G421,Sell!G:L,6,0),0)</f>
        <v>0</v>
      </c>
      <c r="P421" s="13">
        <f t="shared" si="42"/>
        <v>0</v>
      </c>
      <c r="Q421" s="12">
        <f t="shared" si="44"/>
        <v>0</v>
      </c>
      <c r="R421" s="12">
        <f t="shared" si="45"/>
        <v>0</v>
      </c>
      <c r="S421" s="12">
        <f t="shared" si="46"/>
        <v>0</v>
      </c>
      <c r="T421" s="12">
        <f t="shared" si="47"/>
        <v>0</v>
      </c>
      <c r="U421" s="14" t="str">
        <f t="shared" si="48"/>
        <v/>
      </c>
    </row>
    <row r="422" spans="12:21" x14ac:dyDescent="0.25">
      <c r="L422" s="18">
        <f t="shared" si="43"/>
        <v>0</v>
      </c>
      <c r="M422" s="13" t="e">
        <f>VLOOKUP(G422,Sell!G:L,1,0)</f>
        <v>#N/A</v>
      </c>
      <c r="N422" s="13">
        <f>IFERROR(VLOOKUP(G422,Sell!G:L,2,0),0)</f>
        <v>0</v>
      </c>
      <c r="O422" s="12">
        <f>IFERROR(VLOOKUP(G422,Sell!G:L,6,0),0)</f>
        <v>0</v>
      </c>
      <c r="P422" s="13">
        <f t="shared" si="42"/>
        <v>0</v>
      </c>
      <c r="Q422" s="12">
        <f t="shared" si="44"/>
        <v>0</v>
      </c>
      <c r="R422" s="12">
        <f t="shared" si="45"/>
        <v>0</v>
      </c>
      <c r="S422" s="12">
        <f t="shared" si="46"/>
        <v>0</v>
      </c>
      <c r="T422" s="12">
        <f t="shared" si="47"/>
        <v>0</v>
      </c>
      <c r="U422" s="14" t="str">
        <f t="shared" si="48"/>
        <v/>
      </c>
    </row>
    <row r="423" spans="12:21" x14ac:dyDescent="0.25">
      <c r="L423" s="18">
        <f t="shared" si="43"/>
        <v>0</v>
      </c>
      <c r="M423" s="13" t="e">
        <f>VLOOKUP(G423,Sell!G:L,1,0)</f>
        <v>#N/A</v>
      </c>
      <c r="N423" s="13">
        <f>IFERROR(VLOOKUP(G423,Sell!G:L,2,0),0)</f>
        <v>0</v>
      </c>
      <c r="O423" s="12">
        <f>IFERROR(VLOOKUP(G423,Sell!G:L,6,0),0)</f>
        <v>0</v>
      </c>
      <c r="P423" s="13">
        <f t="shared" si="42"/>
        <v>0</v>
      </c>
      <c r="Q423" s="12">
        <f t="shared" si="44"/>
        <v>0</v>
      </c>
      <c r="R423" s="12">
        <f t="shared" si="45"/>
        <v>0</v>
      </c>
      <c r="S423" s="12">
        <f t="shared" si="46"/>
        <v>0</v>
      </c>
      <c r="T423" s="12">
        <f t="shared" si="47"/>
        <v>0</v>
      </c>
      <c r="U423" s="14" t="str">
        <f t="shared" si="48"/>
        <v/>
      </c>
    </row>
    <row r="424" spans="12:21" x14ac:dyDescent="0.25">
      <c r="L424" s="18">
        <f t="shared" si="43"/>
        <v>0</v>
      </c>
      <c r="M424" s="13" t="e">
        <f>VLOOKUP(G424,Sell!G:L,1,0)</f>
        <v>#N/A</v>
      </c>
      <c r="N424" s="13">
        <f>IFERROR(VLOOKUP(G424,Sell!G:L,2,0),0)</f>
        <v>0</v>
      </c>
      <c r="O424" s="12">
        <f>IFERROR(VLOOKUP(G424,Sell!G:L,6,0),0)</f>
        <v>0</v>
      </c>
      <c r="P424" s="13">
        <f t="shared" si="42"/>
        <v>0</v>
      </c>
      <c r="Q424" s="12">
        <f t="shared" si="44"/>
        <v>0</v>
      </c>
      <c r="R424" s="12">
        <f t="shared" si="45"/>
        <v>0</v>
      </c>
      <c r="S424" s="12">
        <f t="shared" si="46"/>
        <v>0</v>
      </c>
      <c r="T424" s="12">
        <f t="shared" si="47"/>
        <v>0</v>
      </c>
      <c r="U424" s="14" t="str">
        <f t="shared" si="48"/>
        <v/>
      </c>
    </row>
    <row r="425" spans="12:21" x14ac:dyDescent="0.25">
      <c r="L425" s="18">
        <f t="shared" si="43"/>
        <v>0</v>
      </c>
      <c r="M425" s="13" t="e">
        <f>VLOOKUP(G425,Sell!G:L,1,0)</f>
        <v>#N/A</v>
      </c>
      <c r="N425" s="13">
        <f>IFERROR(VLOOKUP(G425,Sell!G:L,2,0),0)</f>
        <v>0</v>
      </c>
      <c r="O425" s="12">
        <f>IFERROR(VLOOKUP(G425,Sell!G:L,6,0),0)</f>
        <v>0</v>
      </c>
      <c r="P425" s="13">
        <f t="shared" si="42"/>
        <v>0</v>
      </c>
      <c r="Q425" s="12">
        <f t="shared" si="44"/>
        <v>0</v>
      </c>
      <c r="R425" s="12">
        <f t="shared" si="45"/>
        <v>0</v>
      </c>
      <c r="S425" s="12">
        <f t="shared" si="46"/>
        <v>0</v>
      </c>
      <c r="T425" s="12">
        <f t="shared" si="47"/>
        <v>0</v>
      </c>
      <c r="U425" s="14" t="str">
        <f t="shared" si="48"/>
        <v/>
      </c>
    </row>
    <row r="426" spans="12:21" x14ac:dyDescent="0.25">
      <c r="L426" s="18">
        <f t="shared" si="43"/>
        <v>0</v>
      </c>
      <c r="M426" s="13" t="e">
        <f>VLOOKUP(G426,Sell!G:L,1,0)</f>
        <v>#N/A</v>
      </c>
      <c r="N426" s="13">
        <f>IFERROR(VLOOKUP(G426,Sell!G:L,2,0),0)</f>
        <v>0</v>
      </c>
      <c r="O426" s="12">
        <f>IFERROR(VLOOKUP(G426,Sell!G:L,6,0),0)</f>
        <v>0</v>
      </c>
      <c r="P426" s="13">
        <f t="shared" si="42"/>
        <v>0</v>
      </c>
      <c r="Q426" s="12">
        <f t="shared" si="44"/>
        <v>0</v>
      </c>
      <c r="R426" s="12">
        <f t="shared" si="45"/>
        <v>0</v>
      </c>
      <c r="S426" s="12">
        <f t="shared" si="46"/>
        <v>0</v>
      </c>
      <c r="T426" s="12">
        <f t="shared" si="47"/>
        <v>0</v>
      </c>
      <c r="U426" s="14" t="str">
        <f t="shared" si="48"/>
        <v/>
      </c>
    </row>
    <row r="427" spans="12:21" x14ac:dyDescent="0.25">
      <c r="L427" s="18">
        <f t="shared" si="43"/>
        <v>0</v>
      </c>
      <c r="M427" s="13" t="e">
        <f>VLOOKUP(G427,Sell!G:L,1,0)</f>
        <v>#N/A</v>
      </c>
      <c r="N427" s="13">
        <f>IFERROR(VLOOKUP(G427,Sell!G:L,2,0),0)</f>
        <v>0</v>
      </c>
      <c r="O427" s="12">
        <f>IFERROR(VLOOKUP(G427,Sell!G:L,6,0),0)</f>
        <v>0</v>
      </c>
      <c r="P427" s="13">
        <f t="shared" si="42"/>
        <v>0</v>
      </c>
      <c r="Q427" s="12">
        <f t="shared" si="44"/>
        <v>0</v>
      </c>
      <c r="R427" s="12">
        <f t="shared" si="45"/>
        <v>0</v>
      </c>
      <c r="S427" s="12">
        <f t="shared" si="46"/>
        <v>0</v>
      </c>
      <c r="T427" s="12">
        <f t="shared" si="47"/>
        <v>0</v>
      </c>
      <c r="U427" s="14" t="str">
        <f t="shared" si="48"/>
        <v/>
      </c>
    </row>
    <row r="428" spans="12:21" x14ac:dyDescent="0.25">
      <c r="L428" s="18">
        <f t="shared" si="43"/>
        <v>0</v>
      </c>
      <c r="M428" s="13" t="e">
        <f>VLOOKUP(G428,Sell!G:L,1,0)</f>
        <v>#N/A</v>
      </c>
      <c r="N428" s="13">
        <f>IFERROR(VLOOKUP(G428,Sell!G:L,2,0),0)</f>
        <v>0</v>
      </c>
      <c r="O428" s="12">
        <f>IFERROR(VLOOKUP(G428,Sell!G:L,6,0),0)</f>
        <v>0</v>
      </c>
      <c r="P428" s="13">
        <f t="shared" si="42"/>
        <v>0</v>
      </c>
      <c r="Q428" s="12">
        <f t="shared" si="44"/>
        <v>0</v>
      </c>
      <c r="R428" s="12">
        <f t="shared" si="45"/>
        <v>0</v>
      </c>
      <c r="S428" s="12">
        <f t="shared" si="46"/>
        <v>0</v>
      </c>
      <c r="T428" s="12">
        <f t="shared" si="47"/>
        <v>0</v>
      </c>
      <c r="U428" s="14" t="str">
        <f t="shared" si="48"/>
        <v/>
      </c>
    </row>
    <row r="429" spans="12:21" x14ac:dyDescent="0.25">
      <c r="L429" s="18">
        <f t="shared" si="43"/>
        <v>0</v>
      </c>
      <c r="M429" s="13" t="e">
        <f>VLOOKUP(G429,Sell!G:L,1,0)</f>
        <v>#N/A</v>
      </c>
      <c r="N429" s="13">
        <f>IFERROR(VLOOKUP(G429,Sell!G:L,2,0),0)</f>
        <v>0</v>
      </c>
      <c r="O429" s="12">
        <f>IFERROR(VLOOKUP(G429,Sell!G:L,6,0),0)</f>
        <v>0</v>
      </c>
      <c r="P429" s="13">
        <f t="shared" si="42"/>
        <v>0</v>
      </c>
      <c r="Q429" s="12">
        <f t="shared" si="44"/>
        <v>0</v>
      </c>
      <c r="R429" s="12">
        <f t="shared" si="45"/>
        <v>0</v>
      </c>
      <c r="S429" s="12">
        <f t="shared" si="46"/>
        <v>0</v>
      </c>
      <c r="T429" s="12">
        <f t="shared" si="47"/>
        <v>0</v>
      </c>
      <c r="U429" s="14" t="str">
        <f t="shared" si="48"/>
        <v/>
      </c>
    </row>
    <row r="430" spans="12:21" x14ac:dyDescent="0.25">
      <c r="L430" s="18">
        <f t="shared" si="43"/>
        <v>0</v>
      </c>
      <c r="M430" s="13" t="e">
        <f>VLOOKUP(G430,Sell!G:L,1,0)</f>
        <v>#N/A</v>
      </c>
      <c r="N430" s="13">
        <f>IFERROR(VLOOKUP(G430,Sell!G:L,2,0),0)</f>
        <v>0</v>
      </c>
      <c r="O430" s="12">
        <f>IFERROR(VLOOKUP(G430,Sell!G:L,6,0),0)</f>
        <v>0</v>
      </c>
      <c r="P430" s="13">
        <f t="shared" si="42"/>
        <v>0</v>
      </c>
      <c r="Q430" s="12">
        <f t="shared" si="44"/>
        <v>0</v>
      </c>
      <c r="R430" s="12">
        <f t="shared" si="45"/>
        <v>0</v>
      </c>
      <c r="S430" s="12">
        <f t="shared" si="46"/>
        <v>0</v>
      </c>
      <c r="T430" s="12">
        <f t="shared" si="47"/>
        <v>0</v>
      </c>
      <c r="U430" s="14" t="str">
        <f t="shared" si="48"/>
        <v/>
      </c>
    </row>
    <row r="431" spans="12:21" x14ac:dyDescent="0.25">
      <c r="L431" s="18">
        <f t="shared" si="43"/>
        <v>0</v>
      </c>
      <c r="M431" s="13" t="e">
        <f>VLOOKUP(G431,Sell!G:L,1,0)</f>
        <v>#N/A</v>
      </c>
      <c r="N431" s="13">
        <f>IFERROR(VLOOKUP(G431,Sell!G:L,2,0),0)</f>
        <v>0</v>
      </c>
      <c r="O431" s="12">
        <f>IFERROR(VLOOKUP(G431,Sell!G:L,6,0),0)</f>
        <v>0</v>
      </c>
      <c r="P431" s="13">
        <f t="shared" si="42"/>
        <v>0</v>
      </c>
      <c r="Q431" s="12">
        <f t="shared" si="44"/>
        <v>0</v>
      </c>
      <c r="R431" s="12">
        <f t="shared" si="45"/>
        <v>0</v>
      </c>
      <c r="S431" s="12">
        <f t="shared" si="46"/>
        <v>0</v>
      </c>
      <c r="T431" s="12">
        <f t="shared" si="47"/>
        <v>0</v>
      </c>
      <c r="U431" s="14" t="str">
        <f t="shared" si="48"/>
        <v/>
      </c>
    </row>
    <row r="432" spans="12:21" x14ac:dyDescent="0.25">
      <c r="L432" s="18">
        <f t="shared" si="43"/>
        <v>0</v>
      </c>
      <c r="M432" s="13" t="e">
        <f>VLOOKUP(G432,Sell!G:L,1,0)</f>
        <v>#N/A</v>
      </c>
      <c r="N432" s="13">
        <f>IFERROR(VLOOKUP(G432,Sell!G:L,2,0),0)</f>
        <v>0</v>
      </c>
      <c r="O432" s="12">
        <f>IFERROR(VLOOKUP(G432,Sell!G:L,6,0),0)</f>
        <v>0</v>
      </c>
      <c r="P432" s="13">
        <f t="shared" si="42"/>
        <v>0</v>
      </c>
      <c r="Q432" s="12">
        <f t="shared" si="44"/>
        <v>0</v>
      </c>
      <c r="R432" s="12">
        <f t="shared" si="45"/>
        <v>0</v>
      </c>
      <c r="S432" s="12">
        <f t="shared" si="46"/>
        <v>0</v>
      </c>
      <c r="T432" s="12">
        <f t="shared" si="47"/>
        <v>0</v>
      </c>
      <c r="U432" s="14" t="str">
        <f t="shared" si="48"/>
        <v/>
      </c>
    </row>
    <row r="433" spans="12:21" x14ac:dyDescent="0.25">
      <c r="L433" s="18">
        <f t="shared" si="43"/>
        <v>0</v>
      </c>
      <c r="M433" s="13" t="e">
        <f>VLOOKUP(G433,Sell!G:L,1,0)</f>
        <v>#N/A</v>
      </c>
      <c r="N433" s="13">
        <f>IFERROR(VLOOKUP(G433,Sell!G:L,2,0),0)</f>
        <v>0</v>
      </c>
      <c r="O433" s="12">
        <f>IFERROR(VLOOKUP(G433,Sell!G:L,6,0),0)</f>
        <v>0</v>
      </c>
      <c r="P433" s="13">
        <f t="shared" si="42"/>
        <v>0</v>
      </c>
      <c r="Q433" s="12">
        <f t="shared" si="44"/>
        <v>0</v>
      </c>
      <c r="R433" s="12">
        <f t="shared" si="45"/>
        <v>0</v>
      </c>
      <c r="S433" s="12">
        <f t="shared" si="46"/>
        <v>0</v>
      </c>
      <c r="T433" s="12">
        <f t="shared" si="47"/>
        <v>0</v>
      </c>
      <c r="U433" s="14" t="str">
        <f t="shared" si="48"/>
        <v/>
      </c>
    </row>
    <row r="434" spans="12:21" x14ac:dyDescent="0.25">
      <c r="L434" s="18">
        <f t="shared" si="43"/>
        <v>0</v>
      </c>
      <c r="M434" s="13" t="e">
        <f>VLOOKUP(G434,Sell!G:L,1,0)</f>
        <v>#N/A</v>
      </c>
      <c r="N434" s="13">
        <f>IFERROR(VLOOKUP(G434,Sell!G:L,2,0),0)</f>
        <v>0</v>
      </c>
      <c r="O434" s="12">
        <f>IFERROR(VLOOKUP(G434,Sell!G:L,6,0),0)</f>
        <v>0</v>
      </c>
      <c r="P434" s="13">
        <f t="shared" si="42"/>
        <v>0</v>
      </c>
      <c r="Q434" s="12">
        <f t="shared" si="44"/>
        <v>0</v>
      </c>
      <c r="R434" s="12">
        <f t="shared" si="45"/>
        <v>0</v>
      </c>
      <c r="S434" s="12">
        <f t="shared" si="46"/>
        <v>0</v>
      </c>
      <c r="T434" s="12">
        <f t="shared" si="47"/>
        <v>0</v>
      </c>
      <c r="U434" s="14" t="str">
        <f t="shared" si="48"/>
        <v/>
      </c>
    </row>
    <row r="435" spans="12:21" x14ac:dyDescent="0.25">
      <c r="L435" s="18">
        <f t="shared" si="43"/>
        <v>0</v>
      </c>
      <c r="M435" s="13" t="e">
        <f>VLOOKUP(G435,Sell!G:L,1,0)</f>
        <v>#N/A</v>
      </c>
      <c r="N435" s="13">
        <f>IFERROR(VLOOKUP(G435,Sell!G:L,2,0),0)</f>
        <v>0</v>
      </c>
      <c r="O435" s="12">
        <f>IFERROR(VLOOKUP(G435,Sell!G:L,6,0),0)</f>
        <v>0</v>
      </c>
      <c r="P435" s="13">
        <f t="shared" si="42"/>
        <v>0</v>
      </c>
      <c r="Q435" s="12">
        <f t="shared" si="44"/>
        <v>0</v>
      </c>
      <c r="R435" s="12">
        <f t="shared" si="45"/>
        <v>0</v>
      </c>
      <c r="S435" s="12">
        <f t="shared" si="46"/>
        <v>0</v>
      </c>
      <c r="T435" s="12">
        <f t="shared" si="47"/>
        <v>0</v>
      </c>
      <c r="U435" s="14" t="str">
        <f t="shared" si="48"/>
        <v/>
      </c>
    </row>
    <row r="436" spans="12:21" x14ac:dyDescent="0.25">
      <c r="L436" s="18">
        <f t="shared" si="43"/>
        <v>0</v>
      </c>
      <c r="M436" s="13" t="e">
        <f>VLOOKUP(G436,Sell!G:L,1,0)</f>
        <v>#N/A</v>
      </c>
      <c r="N436" s="13">
        <f>IFERROR(VLOOKUP(G436,Sell!G:L,2,0),0)</f>
        <v>0</v>
      </c>
      <c r="O436" s="12">
        <f>IFERROR(VLOOKUP(G436,Sell!G:L,6,0),0)</f>
        <v>0</v>
      </c>
      <c r="P436" s="13">
        <f t="shared" si="42"/>
        <v>0</v>
      </c>
      <c r="Q436" s="12">
        <f t="shared" si="44"/>
        <v>0</v>
      </c>
      <c r="R436" s="12">
        <f t="shared" si="45"/>
        <v>0</v>
      </c>
      <c r="S436" s="12">
        <f t="shared" si="46"/>
        <v>0</v>
      </c>
      <c r="T436" s="12">
        <f t="shared" si="47"/>
        <v>0</v>
      </c>
      <c r="U436" s="14" t="str">
        <f t="shared" si="48"/>
        <v/>
      </c>
    </row>
    <row r="437" spans="12:21" x14ac:dyDescent="0.25">
      <c r="L437" s="18">
        <f t="shared" si="43"/>
        <v>0</v>
      </c>
      <c r="M437" s="13" t="e">
        <f>VLOOKUP(G437,Sell!G:L,1,0)</f>
        <v>#N/A</v>
      </c>
      <c r="N437" s="13">
        <f>IFERROR(VLOOKUP(G437,Sell!G:L,2,0),0)</f>
        <v>0</v>
      </c>
      <c r="O437" s="12">
        <f>IFERROR(VLOOKUP(G437,Sell!G:L,6,0),0)</f>
        <v>0</v>
      </c>
      <c r="P437" s="13">
        <f t="shared" si="42"/>
        <v>0</v>
      </c>
      <c r="Q437" s="12">
        <f t="shared" si="44"/>
        <v>0</v>
      </c>
      <c r="R437" s="12">
        <f t="shared" si="45"/>
        <v>0</v>
      </c>
      <c r="S437" s="12">
        <f t="shared" si="46"/>
        <v>0</v>
      </c>
      <c r="T437" s="12">
        <f t="shared" si="47"/>
        <v>0</v>
      </c>
      <c r="U437" s="14" t="str">
        <f t="shared" si="48"/>
        <v/>
      </c>
    </row>
    <row r="438" spans="12:21" x14ac:dyDescent="0.25">
      <c r="L438" s="18">
        <f t="shared" si="43"/>
        <v>0</v>
      </c>
      <c r="M438" s="13" t="e">
        <f>VLOOKUP(G438,Sell!G:L,1,0)</f>
        <v>#N/A</v>
      </c>
      <c r="N438" s="13">
        <f>IFERROR(VLOOKUP(G438,Sell!G:L,2,0),0)</f>
        <v>0</v>
      </c>
      <c r="O438" s="12">
        <f>IFERROR(VLOOKUP(G438,Sell!G:L,6,0),0)</f>
        <v>0</v>
      </c>
      <c r="P438" s="13">
        <f t="shared" si="42"/>
        <v>0</v>
      </c>
      <c r="Q438" s="12">
        <f t="shared" si="44"/>
        <v>0</v>
      </c>
      <c r="R438" s="12">
        <f t="shared" si="45"/>
        <v>0</v>
      </c>
      <c r="S438" s="12">
        <f t="shared" si="46"/>
        <v>0</v>
      </c>
      <c r="T438" s="12">
        <f t="shared" si="47"/>
        <v>0</v>
      </c>
      <c r="U438" s="14" t="str">
        <f t="shared" si="48"/>
        <v/>
      </c>
    </row>
    <row r="439" spans="12:21" x14ac:dyDescent="0.25">
      <c r="L439" s="18">
        <f t="shared" si="43"/>
        <v>0</v>
      </c>
      <c r="M439" s="13" t="e">
        <f>VLOOKUP(G439,Sell!G:L,1,0)</f>
        <v>#N/A</v>
      </c>
      <c r="N439" s="13">
        <f>IFERROR(VLOOKUP(G439,Sell!G:L,2,0),0)</f>
        <v>0</v>
      </c>
      <c r="O439" s="12">
        <f>IFERROR(VLOOKUP(G439,Sell!G:L,6,0),0)</f>
        <v>0</v>
      </c>
      <c r="P439" s="13">
        <f t="shared" si="42"/>
        <v>0</v>
      </c>
      <c r="Q439" s="12">
        <f t="shared" si="44"/>
        <v>0</v>
      </c>
      <c r="R439" s="12">
        <f t="shared" si="45"/>
        <v>0</v>
      </c>
      <c r="S439" s="12">
        <f t="shared" si="46"/>
        <v>0</v>
      </c>
      <c r="T439" s="12">
        <f t="shared" si="47"/>
        <v>0</v>
      </c>
      <c r="U439" s="14" t="str">
        <f t="shared" si="48"/>
        <v/>
      </c>
    </row>
    <row r="440" spans="12:21" x14ac:dyDescent="0.25">
      <c r="L440" s="18">
        <f t="shared" si="43"/>
        <v>0</v>
      </c>
      <c r="M440" s="13" t="e">
        <f>VLOOKUP(G440,Sell!G:L,1,0)</f>
        <v>#N/A</v>
      </c>
      <c r="N440" s="13">
        <f>IFERROR(VLOOKUP(G440,Sell!G:L,2,0),0)</f>
        <v>0</v>
      </c>
      <c r="O440" s="12">
        <f>IFERROR(VLOOKUP(G440,Sell!G:L,6,0),0)</f>
        <v>0</v>
      </c>
      <c r="P440" s="13">
        <f t="shared" si="42"/>
        <v>0</v>
      </c>
      <c r="Q440" s="12">
        <f t="shared" si="44"/>
        <v>0</v>
      </c>
      <c r="R440" s="12">
        <f t="shared" si="45"/>
        <v>0</v>
      </c>
      <c r="S440" s="12">
        <f t="shared" si="46"/>
        <v>0</v>
      </c>
      <c r="T440" s="12">
        <f t="shared" si="47"/>
        <v>0</v>
      </c>
      <c r="U440" s="14" t="str">
        <f t="shared" si="48"/>
        <v/>
      </c>
    </row>
    <row r="441" spans="12:21" x14ac:dyDescent="0.25">
      <c r="L441" s="18">
        <f t="shared" si="43"/>
        <v>0</v>
      </c>
      <c r="M441" s="13" t="e">
        <f>VLOOKUP(G441,Sell!G:L,1,0)</f>
        <v>#N/A</v>
      </c>
      <c r="N441" s="13">
        <f>IFERROR(VLOOKUP(G441,Sell!G:L,2,0),0)</f>
        <v>0</v>
      </c>
      <c r="O441" s="12">
        <f>IFERROR(VLOOKUP(G441,Sell!G:L,6,0),0)</f>
        <v>0</v>
      </c>
      <c r="P441" s="13">
        <f t="shared" si="42"/>
        <v>0</v>
      </c>
      <c r="Q441" s="12">
        <f t="shared" si="44"/>
        <v>0</v>
      </c>
      <c r="R441" s="12">
        <f t="shared" si="45"/>
        <v>0</v>
      </c>
      <c r="S441" s="12">
        <f t="shared" si="46"/>
        <v>0</v>
      </c>
      <c r="T441" s="12">
        <f t="shared" si="47"/>
        <v>0</v>
      </c>
      <c r="U441" s="14" t="str">
        <f t="shared" si="48"/>
        <v/>
      </c>
    </row>
    <row r="442" spans="12:21" x14ac:dyDescent="0.25">
      <c r="L442" s="18">
        <f t="shared" si="43"/>
        <v>0</v>
      </c>
      <c r="M442" s="13" t="e">
        <f>VLOOKUP(G442,Sell!G:L,1,0)</f>
        <v>#N/A</v>
      </c>
      <c r="N442" s="13">
        <f>IFERROR(VLOOKUP(G442,Sell!G:L,2,0),0)</f>
        <v>0</v>
      </c>
      <c r="O442" s="12">
        <f>IFERROR(VLOOKUP(G442,Sell!G:L,6,0),0)</f>
        <v>0</v>
      </c>
      <c r="P442" s="13">
        <f t="shared" si="42"/>
        <v>0</v>
      </c>
      <c r="Q442" s="12">
        <f t="shared" si="44"/>
        <v>0</v>
      </c>
      <c r="R442" s="12">
        <f t="shared" si="45"/>
        <v>0</v>
      </c>
      <c r="S442" s="12">
        <f t="shared" si="46"/>
        <v>0</v>
      </c>
      <c r="T442" s="12">
        <f t="shared" si="47"/>
        <v>0</v>
      </c>
      <c r="U442" s="14" t="str">
        <f t="shared" si="48"/>
        <v/>
      </c>
    </row>
    <row r="443" spans="12:21" x14ac:dyDescent="0.25">
      <c r="L443" s="18">
        <f t="shared" si="43"/>
        <v>0</v>
      </c>
      <c r="M443" s="13" t="e">
        <f>VLOOKUP(G443,Sell!G:L,1,0)</f>
        <v>#N/A</v>
      </c>
      <c r="N443" s="13">
        <f>IFERROR(VLOOKUP(G443,Sell!G:L,2,0),0)</f>
        <v>0</v>
      </c>
      <c r="O443" s="12">
        <f>IFERROR(VLOOKUP(G443,Sell!G:L,6,0),0)</f>
        <v>0</v>
      </c>
      <c r="P443" s="13">
        <f t="shared" si="42"/>
        <v>0</v>
      </c>
      <c r="Q443" s="12">
        <f t="shared" si="44"/>
        <v>0</v>
      </c>
      <c r="R443" s="12">
        <f t="shared" si="45"/>
        <v>0</v>
      </c>
      <c r="S443" s="12">
        <f t="shared" si="46"/>
        <v>0</v>
      </c>
      <c r="T443" s="12">
        <f t="shared" si="47"/>
        <v>0</v>
      </c>
      <c r="U443" s="14" t="str">
        <f t="shared" si="48"/>
        <v/>
      </c>
    </row>
    <row r="444" spans="12:21" x14ac:dyDescent="0.25">
      <c r="L444" s="18">
        <f t="shared" si="43"/>
        <v>0</v>
      </c>
      <c r="M444" s="13" t="e">
        <f>VLOOKUP(G444,Sell!G:L,1,0)</f>
        <v>#N/A</v>
      </c>
      <c r="N444" s="13">
        <f>IFERROR(VLOOKUP(G444,Sell!G:L,2,0),0)</f>
        <v>0</v>
      </c>
      <c r="O444" s="12">
        <f>IFERROR(VLOOKUP(G444,Sell!G:L,6,0),0)</f>
        <v>0</v>
      </c>
      <c r="P444" s="13">
        <f t="shared" si="42"/>
        <v>0</v>
      </c>
      <c r="Q444" s="12">
        <f t="shared" si="44"/>
        <v>0</v>
      </c>
      <c r="R444" s="12">
        <f t="shared" si="45"/>
        <v>0</v>
      </c>
      <c r="S444" s="12">
        <f t="shared" si="46"/>
        <v>0</v>
      </c>
      <c r="T444" s="12">
        <f t="shared" si="47"/>
        <v>0</v>
      </c>
      <c r="U444" s="14" t="str">
        <f t="shared" si="48"/>
        <v/>
      </c>
    </row>
    <row r="445" spans="12:21" x14ac:dyDescent="0.25">
      <c r="L445" s="18">
        <f t="shared" si="43"/>
        <v>0</v>
      </c>
      <c r="M445" s="13" t="e">
        <f>VLOOKUP(G445,Sell!G:L,1,0)</f>
        <v>#N/A</v>
      </c>
      <c r="N445" s="13">
        <f>IFERROR(VLOOKUP(G445,Sell!G:L,2,0),0)</f>
        <v>0</v>
      </c>
      <c r="O445" s="12">
        <f>IFERROR(VLOOKUP(G445,Sell!G:L,6,0),0)</f>
        <v>0</v>
      </c>
      <c r="P445" s="13">
        <f t="shared" si="42"/>
        <v>0</v>
      </c>
      <c r="Q445" s="12">
        <f t="shared" si="44"/>
        <v>0</v>
      </c>
      <c r="R445" s="12">
        <f t="shared" si="45"/>
        <v>0</v>
      </c>
      <c r="S445" s="12">
        <f t="shared" si="46"/>
        <v>0</v>
      </c>
      <c r="T445" s="12">
        <f t="shared" si="47"/>
        <v>0</v>
      </c>
      <c r="U445" s="14" t="str">
        <f t="shared" si="48"/>
        <v/>
      </c>
    </row>
    <row r="446" spans="12:21" x14ac:dyDescent="0.25">
      <c r="L446" s="18">
        <f t="shared" si="43"/>
        <v>0</v>
      </c>
      <c r="M446" s="13" t="e">
        <f>VLOOKUP(G446,Sell!G:L,1,0)</f>
        <v>#N/A</v>
      </c>
      <c r="N446" s="13">
        <f>IFERROR(VLOOKUP(G446,Sell!G:L,2,0),0)</f>
        <v>0</v>
      </c>
      <c r="O446" s="12">
        <f>IFERROR(VLOOKUP(G446,Sell!G:L,6,0),0)</f>
        <v>0</v>
      </c>
      <c r="P446" s="13">
        <f t="shared" si="42"/>
        <v>0</v>
      </c>
      <c r="Q446" s="12">
        <f t="shared" si="44"/>
        <v>0</v>
      </c>
      <c r="R446" s="12">
        <f t="shared" si="45"/>
        <v>0</v>
      </c>
      <c r="S446" s="12">
        <f t="shared" si="46"/>
        <v>0</v>
      </c>
      <c r="T446" s="12">
        <f t="shared" si="47"/>
        <v>0</v>
      </c>
      <c r="U446" s="14" t="str">
        <f t="shared" si="48"/>
        <v/>
      </c>
    </row>
    <row r="447" spans="12:21" x14ac:dyDescent="0.25">
      <c r="L447" s="18">
        <f t="shared" si="43"/>
        <v>0</v>
      </c>
      <c r="M447" s="13" t="e">
        <f>VLOOKUP(G447,Sell!G:L,1,0)</f>
        <v>#N/A</v>
      </c>
      <c r="N447" s="13">
        <f>IFERROR(VLOOKUP(G447,Sell!G:L,2,0),0)</f>
        <v>0</v>
      </c>
      <c r="O447" s="12">
        <f>IFERROR(VLOOKUP(G447,Sell!G:L,6,0),0)</f>
        <v>0</v>
      </c>
      <c r="P447" s="13">
        <f t="shared" si="42"/>
        <v>0</v>
      </c>
      <c r="Q447" s="12">
        <f t="shared" si="44"/>
        <v>0</v>
      </c>
      <c r="R447" s="12">
        <f t="shared" si="45"/>
        <v>0</v>
      </c>
      <c r="S447" s="12">
        <f t="shared" si="46"/>
        <v>0</v>
      </c>
      <c r="T447" s="12">
        <f t="shared" si="47"/>
        <v>0</v>
      </c>
      <c r="U447" s="14" t="str">
        <f t="shared" si="48"/>
        <v/>
      </c>
    </row>
    <row r="448" spans="12:21" x14ac:dyDescent="0.25">
      <c r="L448" s="18">
        <f t="shared" si="43"/>
        <v>0</v>
      </c>
      <c r="M448" s="13" t="e">
        <f>VLOOKUP(G448,Sell!G:L,1,0)</f>
        <v>#N/A</v>
      </c>
      <c r="N448" s="13">
        <f>IFERROR(VLOOKUP(G448,Sell!G:L,2,0),0)</f>
        <v>0</v>
      </c>
      <c r="O448" s="12">
        <f>IFERROR(VLOOKUP(G448,Sell!G:L,6,0),0)</f>
        <v>0</v>
      </c>
      <c r="P448" s="13">
        <f t="shared" si="42"/>
        <v>0</v>
      </c>
      <c r="Q448" s="12">
        <f t="shared" si="44"/>
        <v>0</v>
      </c>
      <c r="R448" s="12">
        <f t="shared" si="45"/>
        <v>0</v>
      </c>
      <c r="S448" s="12">
        <f t="shared" si="46"/>
        <v>0</v>
      </c>
      <c r="T448" s="12">
        <f t="shared" si="47"/>
        <v>0</v>
      </c>
      <c r="U448" s="14" t="str">
        <f t="shared" si="48"/>
        <v/>
      </c>
    </row>
    <row r="449" spans="12:21" x14ac:dyDescent="0.25">
      <c r="L449" s="18">
        <f t="shared" si="43"/>
        <v>0</v>
      </c>
      <c r="M449" s="13" t="e">
        <f>VLOOKUP(G449,Sell!G:L,1,0)</f>
        <v>#N/A</v>
      </c>
      <c r="N449" s="13">
        <f>IFERROR(VLOOKUP(G449,Sell!G:L,2,0),0)</f>
        <v>0</v>
      </c>
      <c r="O449" s="12">
        <f>IFERROR(VLOOKUP(G449,Sell!G:L,6,0),0)</f>
        <v>0</v>
      </c>
      <c r="P449" s="13">
        <f t="shared" si="42"/>
        <v>0</v>
      </c>
      <c r="Q449" s="12">
        <f t="shared" si="44"/>
        <v>0</v>
      </c>
      <c r="R449" s="12">
        <f t="shared" si="45"/>
        <v>0</v>
      </c>
      <c r="S449" s="12">
        <f t="shared" si="46"/>
        <v>0</v>
      </c>
      <c r="T449" s="12">
        <f t="shared" si="47"/>
        <v>0</v>
      </c>
      <c r="U449" s="14" t="str">
        <f t="shared" si="48"/>
        <v/>
      </c>
    </row>
    <row r="450" spans="12:21" x14ac:dyDescent="0.25">
      <c r="L450" s="18">
        <f t="shared" si="43"/>
        <v>0</v>
      </c>
      <c r="M450" s="13" t="e">
        <f>VLOOKUP(G450,Sell!G:L,1,0)</f>
        <v>#N/A</v>
      </c>
      <c r="N450" s="13">
        <f>IFERROR(VLOOKUP(G450,Sell!G:L,2,0),0)</f>
        <v>0</v>
      </c>
      <c r="O450" s="12">
        <f>IFERROR(VLOOKUP(G450,Sell!G:L,6,0),0)</f>
        <v>0</v>
      </c>
      <c r="P450" s="13">
        <f t="shared" si="42"/>
        <v>0</v>
      </c>
      <c r="Q450" s="12">
        <f t="shared" si="44"/>
        <v>0</v>
      </c>
      <c r="R450" s="12">
        <f t="shared" si="45"/>
        <v>0</v>
      </c>
      <c r="S450" s="12">
        <f t="shared" si="46"/>
        <v>0</v>
      </c>
      <c r="T450" s="12">
        <f t="shared" si="47"/>
        <v>0</v>
      </c>
      <c r="U450" s="14" t="str">
        <f t="shared" si="48"/>
        <v/>
      </c>
    </row>
    <row r="451" spans="12:21" x14ac:dyDescent="0.25">
      <c r="L451" s="18">
        <f t="shared" si="43"/>
        <v>0</v>
      </c>
      <c r="M451" s="13" t="e">
        <f>VLOOKUP(G451,Sell!G:L,1,0)</f>
        <v>#N/A</v>
      </c>
      <c r="N451" s="13">
        <f>IFERROR(VLOOKUP(G451,Sell!G:L,2,0),0)</f>
        <v>0</v>
      </c>
      <c r="O451" s="12">
        <f>IFERROR(VLOOKUP(G451,Sell!G:L,6,0),0)</f>
        <v>0</v>
      </c>
      <c r="P451" s="13">
        <f t="shared" si="42"/>
        <v>0</v>
      </c>
      <c r="Q451" s="12">
        <f t="shared" si="44"/>
        <v>0</v>
      </c>
      <c r="R451" s="12">
        <f t="shared" si="45"/>
        <v>0</v>
      </c>
      <c r="S451" s="12">
        <f t="shared" si="46"/>
        <v>0</v>
      </c>
      <c r="T451" s="12">
        <f t="shared" si="47"/>
        <v>0</v>
      </c>
      <c r="U451" s="14" t="str">
        <f t="shared" si="48"/>
        <v/>
      </c>
    </row>
    <row r="452" spans="12:21" x14ac:dyDescent="0.25">
      <c r="L452" s="18">
        <f t="shared" si="43"/>
        <v>0</v>
      </c>
      <c r="M452" s="13" t="e">
        <f>VLOOKUP(G452,Sell!G:L,1,0)</f>
        <v>#N/A</v>
      </c>
      <c r="N452" s="13">
        <f>IFERROR(VLOOKUP(G452,Sell!G:L,2,0),0)</f>
        <v>0</v>
      </c>
      <c r="O452" s="12">
        <f>IFERROR(VLOOKUP(G452,Sell!G:L,6,0),0)</f>
        <v>0</v>
      </c>
      <c r="P452" s="13">
        <f t="shared" si="42"/>
        <v>0</v>
      </c>
      <c r="Q452" s="12">
        <f t="shared" si="44"/>
        <v>0</v>
      </c>
      <c r="R452" s="12">
        <f t="shared" si="45"/>
        <v>0</v>
      </c>
      <c r="S452" s="12">
        <f t="shared" si="46"/>
        <v>0</v>
      </c>
      <c r="T452" s="12">
        <f t="shared" si="47"/>
        <v>0</v>
      </c>
      <c r="U452" s="14" t="str">
        <f t="shared" si="48"/>
        <v/>
      </c>
    </row>
    <row r="453" spans="12:21" x14ac:dyDescent="0.25">
      <c r="L453" s="18">
        <f t="shared" si="43"/>
        <v>0</v>
      </c>
      <c r="M453" s="13" t="e">
        <f>VLOOKUP(G453,Sell!G:L,1,0)</f>
        <v>#N/A</v>
      </c>
      <c r="N453" s="13">
        <f>IFERROR(VLOOKUP(G453,Sell!G:L,2,0),0)</f>
        <v>0</v>
      </c>
      <c r="O453" s="12">
        <f>IFERROR(VLOOKUP(G453,Sell!G:L,6,0),0)</f>
        <v>0</v>
      </c>
      <c r="P453" s="13">
        <f t="shared" si="42"/>
        <v>0</v>
      </c>
      <c r="Q453" s="12">
        <f t="shared" si="44"/>
        <v>0</v>
      </c>
      <c r="R453" s="12">
        <f t="shared" si="45"/>
        <v>0</v>
      </c>
      <c r="S453" s="12">
        <f t="shared" si="46"/>
        <v>0</v>
      </c>
      <c r="T453" s="12">
        <f t="shared" si="47"/>
        <v>0</v>
      </c>
      <c r="U453" s="14" t="str">
        <f t="shared" si="48"/>
        <v/>
      </c>
    </row>
    <row r="454" spans="12:21" x14ac:dyDescent="0.25">
      <c r="L454" s="18">
        <f t="shared" si="43"/>
        <v>0</v>
      </c>
      <c r="M454" s="13" t="e">
        <f>VLOOKUP(G454,Sell!G:L,1,0)</f>
        <v>#N/A</v>
      </c>
      <c r="N454" s="13">
        <f>IFERROR(VLOOKUP(G454,Sell!G:L,2,0),0)</f>
        <v>0</v>
      </c>
      <c r="O454" s="12">
        <f>IFERROR(VLOOKUP(G454,Sell!G:L,6,0),0)</f>
        <v>0</v>
      </c>
      <c r="P454" s="13">
        <f t="shared" si="42"/>
        <v>0</v>
      </c>
      <c r="Q454" s="12">
        <f t="shared" si="44"/>
        <v>0</v>
      </c>
      <c r="R454" s="12">
        <f t="shared" si="45"/>
        <v>0</v>
      </c>
      <c r="S454" s="12">
        <f t="shared" si="46"/>
        <v>0</v>
      </c>
      <c r="T454" s="12">
        <f t="shared" si="47"/>
        <v>0</v>
      </c>
      <c r="U454" s="14" t="str">
        <f t="shared" si="48"/>
        <v/>
      </c>
    </row>
    <row r="455" spans="12:21" x14ac:dyDescent="0.25">
      <c r="L455" s="18">
        <f t="shared" si="43"/>
        <v>0</v>
      </c>
      <c r="M455" s="13" t="e">
        <f>VLOOKUP(G455,Sell!G:L,1,0)</f>
        <v>#N/A</v>
      </c>
      <c r="N455" s="13">
        <f>IFERROR(VLOOKUP(G455,Sell!G:L,2,0),0)</f>
        <v>0</v>
      </c>
      <c r="O455" s="12">
        <f>IFERROR(VLOOKUP(G455,Sell!G:L,6,0),0)</f>
        <v>0</v>
      </c>
      <c r="P455" s="13">
        <f t="shared" si="42"/>
        <v>0</v>
      </c>
      <c r="Q455" s="12">
        <f t="shared" si="44"/>
        <v>0</v>
      </c>
      <c r="R455" s="12">
        <f t="shared" si="45"/>
        <v>0</v>
      </c>
      <c r="S455" s="12">
        <f t="shared" si="46"/>
        <v>0</v>
      </c>
      <c r="T455" s="12">
        <f t="shared" si="47"/>
        <v>0</v>
      </c>
      <c r="U455" s="14" t="str">
        <f t="shared" si="48"/>
        <v/>
      </c>
    </row>
    <row r="456" spans="12:21" x14ac:dyDescent="0.25">
      <c r="L456" s="18">
        <f t="shared" si="43"/>
        <v>0</v>
      </c>
      <c r="M456" s="13" t="e">
        <f>VLOOKUP(G456,Sell!G:L,1,0)</f>
        <v>#N/A</v>
      </c>
      <c r="N456" s="13">
        <f>IFERROR(VLOOKUP(G456,Sell!G:L,2,0),0)</f>
        <v>0</v>
      </c>
      <c r="O456" s="12">
        <f>IFERROR(VLOOKUP(G456,Sell!G:L,6,0),0)</f>
        <v>0</v>
      </c>
      <c r="P456" s="13">
        <f t="shared" si="42"/>
        <v>0</v>
      </c>
      <c r="Q456" s="12">
        <f t="shared" si="44"/>
        <v>0</v>
      </c>
      <c r="R456" s="12">
        <f t="shared" si="45"/>
        <v>0</v>
      </c>
      <c r="S456" s="12">
        <f t="shared" si="46"/>
        <v>0</v>
      </c>
      <c r="T456" s="12">
        <f t="shared" si="47"/>
        <v>0</v>
      </c>
      <c r="U456" s="14" t="str">
        <f t="shared" si="48"/>
        <v/>
      </c>
    </row>
    <row r="457" spans="12:21" x14ac:dyDescent="0.25">
      <c r="L457" s="18">
        <f t="shared" si="43"/>
        <v>0</v>
      </c>
      <c r="M457" s="13" t="e">
        <f>VLOOKUP(G457,Sell!G:L,1,0)</f>
        <v>#N/A</v>
      </c>
      <c r="N457" s="13">
        <f>IFERROR(VLOOKUP(G457,Sell!G:L,2,0),0)</f>
        <v>0</v>
      </c>
      <c r="O457" s="12">
        <f>IFERROR(VLOOKUP(G457,Sell!G:L,6,0),0)</f>
        <v>0</v>
      </c>
      <c r="P457" s="13">
        <f t="shared" si="42"/>
        <v>0</v>
      </c>
      <c r="Q457" s="12">
        <f t="shared" si="44"/>
        <v>0</v>
      </c>
      <c r="R457" s="12">
        <f t="shared" si="45"/>
        <v>0</v>
      </c>
      <c r="S457" s="12">
        <f t="shared" si="46"/>
        <v>0</v>
      </c>
      <c r="T457" s="12">
        <f t="shared" si="47"/>
        <v>0</v>
      </c>
      <c r="U457" s="14" t="str">
        <f t="shared" si="48"/>
        <v/>
      </c>
    </row>
    <row r="458" spans="12:21" x14ac:dyDescent="0.25">
      <c r="L458" s="18">
        <f t="shared" si="43"/>
        <v>0</v>
      </c>
      <c r="M458" s="13" t="e">
        <f>VLOOKUP(G458,Sell!G:L,1,0)</f>
        <v>#N/A</v>
      </c>
      <c r="N458" s="13">
        <f>IFERROR(VLOOKUP(G458,Sell!G:L,2,0),0)</f>
        <v>0</v>
      </c>
      <c r="O458" s="12">
        <f>IFERROR(VLOOKUP(G458,Sell!G:L,6,0),0)</f>
        <v>0</v>
      </c>
      <c r="P458" s="13">
        <f t="shared" ref="P458:P521" si="49">H458-N458</f>
        <v>0</v>
      </c>
      <c r="Q458" s="12">
        <f t="shared" si="44"/>
        <v>0</v>
      </c>
      <c r="R458" s="12">
        <f t="shared" si="45"/>
        <v>0</v>
      </c>
      <c r="S458" s="12">
        <f t="shared" si="46"/>
        <v>0</v>
      </c>
      <c r="T458" s="12">
        <f t="shared" si="47"/>
        <v>0</v>
      </c>
      <c r="U458" s="14" t="str">
        <f t="shared" si="48"/>
        <v/>
      </c>
    </row>
    <row r="459" spans="12:21" x14ac:dyDescent="0.25">
      <c r="L459" s="18">
        <f t="shared" ref="L459:L522" si="50">J459+K459</f>
        <v>0</v>
      </c>
      <c r="M459" s="13" t="e">
        <f>VLOOKUP(G459,Sell!G:L,1,0)</f>
        <v>#N/A</v>
      </c>
      <c r="N459" s="13">
        <f>IFERROR(VLOOKUP(G459,Sell!G:L,2,0),0)</f>
        <v>0</v>
      </c>
      <c r="O459" s="12">
        <f>IFERROR(VLOOKUP(G459,Sell!G:L,6,0),0)</f>
        <v>0</v>
      </c>
      <c r="P459" s="13">
        <f t="shared" si="49"/>
        <v>0</v>
      </c>
      <c r="Q459" s="12">
        <f t="shared" ref="Q459:Q522" si="51">O459-L459</f>
        <v>0</v>
      </c>
      <c r="R459" s="12">
        <f t="shared" ref="R459:R522" si="52">IF(P459=0,Q459,0)</f>
        <v>0</v>
      </c>
      <c r="S459" s="12">
        <f t="shared" ref="S459:S522" si="53">IF(R459&gt;0,R459,0)</f>
        <v>0</v>
      </c>
      <c r="T459" s="12">
        <f t="shared" ref="T459:T522" si="54">IF(R459&gt;0,0,R459)</f>
        <v>0</v>
      </c>
      <c r="U459" s="14" t="str">
        <f t="shared" ref="U459:U522" si="55">IF(AND(LEN(G459)&gt;0,R459=0),"Open","")</f>
        <v/>
      </c>
    </row>
    <row r="460" spans="12:21" x14ac:dyDescent="0.25">
      <c r="L460" s="18">
        <f t="shared" si="50"/>
        <v>0</v>
      </c>
      <c r="M460" s="13" t="e">
        <f>VLOOKUP(G460,Sell!G:L,1,0)</f>
        <v>#N/A</v>
      </c>
      <c r="N460" s="13">
        <f>IFERROR(VLOOKUP(G460,Sell!G:L,2,0),0)</f>
        <v>0</v>
      </c>
      <c r="O460" s="12">
        <f>IFERROR(VLOOKUP(G460,Sell!G:L,6,0),0)</f>
        <v>0</v>
      </c>
      <c r="P460" s="13">
        <f t="shared" si="49"/>
        <v>0</v>
      </c>
      <c r="Q460" s="12">
        <f t="shared" si="51"/>
        <v>0</v>
      </c>
      <c r="R460" s="12">
        <f t="shared" si="52"/>
        <v>0</v>
      </c>
      <c r="S460" s="12">
        <f t="shared" si="53"/>
        <v>0</v>
      </c>
      <c r="T460" s="12">
        <f t="shared" si="54"/>
        <v>0</v>
      </c>
      <c r="U460" s="14" t="str">
        <f t="shared" si="55"/>
        <v/>
      </c>
    </row>
    <row r="461" spans="12:21" x14ac:dyDescent="0.25">
      <c r="L461" s="18">
        <f t="shared" si="50"/>
        <v>0</v>
      </c>
      <c r="M461" s="13" t="e">
        <f>VLOOKUP(G461,Sell!G:L,1,0)</f>
        <v>#N/A</v>
      </c>
      <c r="N461" s="13">
        <f>IFERROR(VLOOKUP(G461,Sell!G:L,2,0),0)</f>
        <v>0</v>
      </c>
      <c r="O461" s="12">
        <f>IFERROR(VLOOKUP(G461,Sell!G:L,6,0),0)</f>
        <v>0</v>
      </c>
      <c r="P461" s="13">
        <f t="shared" si="49"/>
        <v>0</v>
      </c>
      <c r="Q461" s="12">
        <f t="shared" si="51"/>
        <v>0</v>
      </c>
      <c r="R461" s="12">
        <f t="shared" si="52"/>
        <v>0</v>
      </c>
      <c r="S461" s="12">
        <f t="shared" si="53"/>
        <v>0</v>
      </c>
      <c r="T461" s="12">
        <f t="shared" si="54"/>
        <v>0</v>
      </c>
      <c r="U461" s="14" t="str">
        <f t="shared" si="55"/>
        <v/>
      </c>
    </row>
    <row r="462" spans="12:21" x14ac:dyDescent="0.25">
      <c r="L462" s="18">
        <f t="shared" si="50"/>
        <v>0</v>
      </c>
      <c r="M462" s="13" t="e">
        <f>VLOOKUP(G462,Sell!G:L,1,0)</f>
        <v>#N/A</v>
      </c>
      <c r="N462" s="13">
        <f>IFERROR(VLOOKUP(G462,Sell!G:L,2,0),0)</f>
        <v>0</v>
      </c>
      <c r="O462" s="12">
        <f>IFERROR(VLOOKUP(G462,Sell!G:L,6,0),0)</f>
        <v>0</v>
      </c>
      <c r="P462" s="13">
        <f t="shared" si="49"/>
        <v>0</v>
      </c>
      <c r="Q462" s="12">
        <f t="shared" si="51"/>
        <v>0</v>
      </c>
      <c r="R462" s="12">
        <f t="shared" si="52"/>
        <v>0</v>
      </c>
      <c r="S462" s="12">
        <f t="shared" si="53"/>
        <v>0</v>
      </c>
      <c r="T462" s="12">
        <f t="shared" si="54"/>
        <v>0</v>
      </c>
      <c r="U462" s="14" t="str">
        <f t="shared" si="55"/>
        <v/>
      </c>
    </row>
    <row r="463" spans="12:21" x14ac:dyDescent="0.25">
      <c r="L463" s="18">
        <f t="shared" si="50"/>
        <v>0</v>
      </c>
      <c r="M463" s="13" t="e">
        <f>VLOOKUP(G463,Sell!G:L,1,0)</f>
        <v>#N/A</v>
      </c>
      <c r="N463" s="13">
        <f>IFERROR(VLOOKUP(G463,Sell!G:L,2,0),0)</f>
        <v>0</v>
      </c>
      <c r="O463" s="12">
        <f>IFERROR(VLOOKUP(G463,Sell!G:L,6,0),0)</f>
        <v>0</v>
      </c>
      <c r="P463" s="13">
        <f t="shared" si="49"/>
        <v>0</v>
      </c>
      <c r="Q463" s="12">
        <f t="shared" si="51"/>
        <v>0</v>
      </c>
      <c r="R463" s="12">
        <f t="shared" si="52"/>
        <v>0</v>
      </c>
      <c r="S463" s="12">
        <f t="shared" si="53"/>
        <v>0</v>
      </c>
      <c r="T463" s="12">
        <f t="shared" si="54"/>
        <v>0</v>
      </c>
      <c r="U463" s="14" t="str">
        <f t="shared" si="55"/>
        <v/>
      </c>
    </row>
    <row r="464" spans="12:21" x14ac:dyDescent="0.25">
      <c r="L464" s="18">
        <f t="shared" si="50"/>
        <v>0</v>
      </c>
      <c r="M464" s="13" t="e">
        <f>VLOOKUP(G464,Sell!G:L,1,0)</f>
        <v>#N/A</v>
      </c>
      <c r="N464" s="13">
        <f>IFERROR(VLOOKUP(G464,Sell!G:L,2,0),0)</f>
        <v>0</v>
      </c>
      <c r="O464" s="12">
        <f>IFERROR(VLOOKUP(G464,Sell!G:L,6,0),0)</f>
        <v>0</v>
      </c>
      <c r="P464" s="13">
        <f t="shared" si="49"/>
        <v>0</v>
      </c>
      <c r="Q464" s="12">
        <f t="shared" si="51"/>
        <v>0</v>
      </c>
      <c r="R464" s="12">
        <f t="shared" si="52"/>
        <v>0</v>
      </c>
      <c r="S464" s="12">
        <f t="shared" si="53"/>
        <v>0</v>
      </c>
      <c r="T464" s="12">
        <f t="shared" si="54"/>
        <v>0</v>
      </c>
      <c r="U464" s="14" t="str">
        <f t="shared" si="55"/>
        <v/>
      </c>
    </row>
    <row r="465" spans="12:21" x14ac:dyDescent="0.25">
      <c r="L465" s="18">
        <f t="shared" si="50"/>
        <v>0</v>
      </c>
      <c r="M465" s="13" t="e">
        <f>VLOOKUP(G465,Sell!G:L,1,0)</f>
        <v>#N/A</v>
      </c>
      <c r="N465" s="13">
        <f>IFERROR(VLOOKUP(G465,Sell!G:L,2,0),0)</f>
        <v>0</v>
      </c>
      <c r="O465" s="12">
        <f>IFERROR(VLOOKUP(G465,Sell!G:L,6,0),0)</f>
        <v>0</v>
      </c>
      <c r="P465" s="13">
        <f t="shared" si="49"/>
        <v>0</v>
      </c>
      <c r="Q465" s="12">
        <f t="shared" si="51"/>
        <v>0</v>
      </c>
      <c r="R465" s="12">
        <f t="shared" si="52"/>
        <v>0</v>
      </c>
      <c r="S465" s="12">
        <f t="shared" si="53"/>
        <v>0</v>
      </c>
      <c r="T465" s="12">
        <f t="shared" si="54"/>
        <v>0</v>
      </c>
      <c r="U465" s="14" t="str">
        <f t="shared" si="55"/>
        <v/>
      </c>
    </row>
    <row r="466" spans="12:21" x14ac:dyDescent="0.25">
      <c r="L466" s="18">
        <f t="shared" si="50"/>
        <v>0</v>
      </c>
      <c r="M466" s="13" t="e">
        <f>VLOOKUP(G466,Sell!G:L,1,0)</f>
        <v>#N/A</v>
      </c>
      <c r="N466" s="13">
        <f>IFERROR(VLOOKUP(G466,Sell!G:L,2,0),0)</f>
        <v>0</v>
      </c>
      <c r="O466" s="12">
        <f>IFERROR(VLOOKUP(G466,Sell!G:L,6,0),0)</f>
        <v>0</v>
      </c>
      <c r="P466" s="13">
        <f t="shared" si="49"/>
        <v>0</v>
      </c>
      <c r="Q466" s="12">
        <f t="shared" si="51"/>
        <v>0</v>
      </c>
      <c r="R466" s="12">
        <f t="shared" si="52"/>
        <v>0</v>
      </c>
      <c r="S466" s="12">
        <f t="shared" si="53"/>
        <v>0</v>
      </c>
      <c r="T466" s="12">
        <f t="shared" si="54"/>
        <v>0</v>
      </c>
      <c r="U466" s="14" t="str">
        <f t="shared" si="55"/>
        <v/>
      </c>
    </row>
    <row r="467" spans="12:21" x14ac:dyDescent="0.25">
      <c r="L467" s="18">
        <f t="shared" si="50"/>
        <v>0</v>
      </c>
      <c r="M467" s="13" t="e">
        <f>VLOOKUP(G467,Sell!G:L,1,0)</f>
        <v>#N/A</v>
      </c>
      <c r="N467" s="13">
        <f>IFERROR(VLOOKUP(G467,Sell!G:L,2,0),0)</f>
        <v>0</v>
      </c>
      <c r="O467" s="12">
        <f>IFERROR(VLOOKUP(G467,Sell!G:L,6,0),0)</f>
        <v>0</v>
      </c>
      <c r="P467" s="13">
        <f t="shared" si="49"/>
        <v>0</v>
      </c>
      <c r="Q467" s="12">
        <f t="shared" si="51"/>
        <v>0</v>
      </c>
      <c r="R467" s="12">
        <f t="shared" si="52"/>
        <v>0</v>
      </c>
      <c r="S467" s="12">
        <f t="shared" si="53"/>
        <v>0</v>
      </c>
      <c r="T467" s="12">
        <f t="shared" si="54"/>
        <v>0</v>
      </c>
      <c r="U467" s="14" t="str">
        <f t="shared" si="55"/>
        <v/>
      </c>
    </row>
    <row r="468" spans="12:21" x14ac:dyDescent="0.25">
      <c r="L468" s="18">
        <f t="shared" si="50"/>
        <v>0</v>
      </c>
      <c r="M468" s="13" t="e">
        <f>VLOOKUP(G468,Sell!G:L,1,0)</f>
        <v>#N/A</v>
      </c>
      <c r="N468" s="13">
        <f>IFERROR(VLOOKUP(G468,Sell!G:L,2,0),0)</f>
        <v>0</v>
      </c>
      <c r="O468" s="12">
        <f>IFERROR(VLOOKUP(G468,Sell!G:L,6,0),0)</f>
        <v>0</v>
      </c>
      <c r="P468" s="13">
        <f t="shared" si="49"/>
        <v>0</v>
      </c>
      <c r="Q468" s="12">
        <f t="shared" si="51"/>
        <v>0</v>
      </c>
      <c r="R468" s="12">
        <f t="shared" si="52"/>
        <v>0</v>
      </c>
      <c r="S468" s="12">
        <f t="shared" si="53"/>
        <v>0</v>
      </c>
      <c r="T468" s="12">
        <f t="shared" si="54"/>
        <v>0</v>
      </c>
      <c r="U468" s="14" t="str">
        <f t="shared" si="55"/>
        <v/>
      </c>
    </row>
    <row r="469" spans="12:21" x14ac:dyDescent="0.25">
      <c r="L469" s="18">
        <f t="shared" si="50"/>
        <v>0</v>
      </c>
      <c r="M469" s="13" t="e">
        <f>VLOOKUP(G469,Sell!G:L,1,0)</f>
        <v>#N/A</v>
      </c>
      <c r="N469" s="13">
        <f>IFERROR(VLOOKUP(G469,Sell!G:L,2,0),0)</f>
        <v>0</v>
      </c>
      <c r="O469" s="12">
        <f>IFERROR(VLOOKUP(G469,Sell!G:L,6,0),0)</f>
        <v>0</v>
      </c>
      <c r="P469" s="13">
        <f t="shared" si="49"/>
        <v>0</v>
      </c>
      <c r="Q469" s="12">
        <f t="shared" si="51"/>
        <v>0</v>
      </c>
      <c r="R469" s="12">
        <f t="shared" si="52"/>
        <v>0</v>
      </c>
      <c r="S469" s="12">
        <f t="shared" si="53"/>
        <v>0</v>
      </c>
      <c r="T469" s="12">
        <f t="shared" si="54"/>
        <v>0</v>
      </c>
      <c r="U469" s="14" t="str">
        <f t="shared" si="55"/>
        <v/>
      </c>
    </row>
    <row r="470" spans="12:21" x14ac:dyDescent="0.25">
      <c r="L470" s="18">
        <f t="shared" si="50"/>
        <v>0</v>
      </c>
      <c r="M470" s="13" t="e">
        <f>VLOOKUP(G470,Sell!G:L,1,0)</f>
        <v>#N/A</v>
      </c>
      <c r="N470" s="13">
        <f>IFERROR(VLOOKUP(G470,Sell!G:L,2,0),0)</f>
        <v>0</v>
      </c>
      <c r="O470" s="12">
        <f>IFERROR(VLOOKUP(G470,Sell!G:L,6,0),0)</f>
        <v>0</v>
      </c>
      <c r="P470" s="13">
        <f t="shared" si="49"/>
        <v>0</v>
      </c>
      <c r="Q470" s="12">
        <f t="shared" si="51"/>
        <v>0</v>
      </c>
      <c r="R470" s="12">
        <f t="shared" si="52"/>
        <v>0</v>
      </c>
      <c r="S470" s="12">
        <f t="shared" si="53"/>
        <v>0</v>
      </c>
      <c r="T470" s="12">
        <f t="shared" si="54"/>
        <v>0</v>
      </c>
      <c r="U470" s="14" t="str">
        <f t="shared" si="55"/>
        <v/>
      </c>
    </row>
    <row r="471" spans="12:21" x14ac:dyDescent="0.25">
      <c r="L471" s="18">
        <f t="shared" si="50"/>
        <v>0</v>
      </c>
      <c r="M471" s="13" t="e">
        <f>VLOOKUP(G471,Sell!G:L,1,0)</f>
        <v>#N/A</v>
      </c>
      <c r="N471" s="13">
        <f>IFERROR(VLOOKUP(G471,Sell!G:L,2,0),0)</f>
        <v>0</v>
      </c>
      <c r="O471" s="12">
        <f>IFERROR(VLOOKUP(G471,Sell!G:L,6,0),0)</f>
        <v>0</v>
      </c>
      <c r="P471" s="13">
        <f t="shared" si="49"/>
        <v>0</v>
      </c>
      <c r="Q471" s="12">
        <f t="shared" si="51"/>
        <v>0</v>
      </c>
      <c r="R471" s="12">
        <f t="shared" si="52"/>
        <v>0</v>
      </c>
      <c r="S471" s="12">
        <f t="shared" si="53"/>
        <v>0</v>
      </c>
      <c r="T471" s="12">
        <f t="shared" si="54"/>
        <v>0</v>
      </c>
      <c r="U471" s="14" t="str">
        <f t="shared" si="55"/>
        <v/>
      </c>
    </row>
    <row r="472" spans="12:21" x14ac:dyDescent="0.25">
      <c r="L472" s="18">
        <f t="shared" si="50"/>
        <v>0</v>
      </c>
      <c r="M472" s="13" t="e">
        <f>VLOOKUP(G472,Sell!G:L,1,0)</f>
        <v>#N/A</v>
      </c>
      <c r="N472" s="13">
        <f>IFERROR(VLOOKUP(G472,Sell!G:L,2,0),0)</f>
        <v>0</v>
      </c>
      <c r="O472" s="12">
        <f>IFERROR(VLOOKUP(G472,Sell!G:L,6,0),0)</f>
        <v>0</v>
      </c>
      <c r="P472" s="13">
        <f t="shared" si="49"/>
        <v>0</v>
      </c>
      <c r="Q472" s="12">
        <f t="shared" si="51"/>
        <v>0</v>
      </c>
      <c r="R472" s="12">
        <f t="shared" si="52"/>
        <v>0</v>
      </c>
      <c r="S472" s="12">
        <f t="shared" si="53"/>
        <v>0</v>
      </c>
      <c r="T472" s="12">
        <f t="shared" si="54"/>
        <v>0</v>
      </c>
      <c r="U472" s="14" t="str">
        <f t="shared" si="55"/>
        <v/>
      </c>
    </row>
    <row r="473" spans="12:21" x14ac:dyDescent="0.25">
      <c r="L473" s="18">
        <f t="shared" si="50"/>
        <v>0</v>
      </c>
      <c r="M473" s="13" t="e">
        <f>VLOOKUP(G473,Sell!G:L,1,0)</f>
        <v>#N/A</v>
      </c>
      <c r="N473" s="13">
        <f>IFERROR(VLOOKUP(G473,Sell!G:L,2,0),0)</f>
        <v>0</v>
      </c>
      <c r="O473" s="12">
        <f>IFERROR(VLOOKUP(G473,Sell!G:L,6,0),0)</f>
        <v>0</v>
      </c>
      <c r="P473" s="13">
        <f t="shared" si="49"/>
        <v>0</v>
      </c>
      <c r="Q473" s="12">
        <f t="shared" si="51"/>
        <v>0</v>
      </c>
      <c r="R473" s="12">
        <f t="shared" si="52"/>
        <v>0</v>
      </c>
      <c r="S473" s="12">
        <f t="shared" si="53"/>
        <v>0</v>
      </c>
      <c r="T473" s="12">
        <f t="shared" si="54"/>
        <v>0</v>
      </c>
      <c r="U473" s="14" t="str">
        <f t="shared" si="55"/>
        <v/>
      </c>
    </row>
    <row r="474" spans="12:21" x14ac:dyDescent="0.25">
      <c r="L474" s="18">
        <f t="shared" si="50"/>
        <v>0</v>
      </c>
      <c r="M474" s="13" t="e">
        <f>VLOOKUP(G474,Sell!G:L,1,0)</f>
        <v>#N/A</v>
      </c>
      <c r="N474" s="13">
        <f>IFERROR(VLOOKUP(G474,Sell!G:L,2,0),0)</f>
        <v>0</v>
      </c>
      <c r="O474" s="12">
        <f>IFERROR(VLOOKUP(G474,Sell!G:L,6,0),0)</f>
        <v>0</v>
      </c>
      <c r="P474" s="13">
        <f t="shared" si="49"/>
        <v>0</v>
      </c>
      <c r="Q474" s="12">
        <f t="shared" si="51"/>
        <v>0</v>
      </c>
      <c r="R474" s="12">
        <f t="shared" si="52"/>
        <v>0</v>
      </c>
      <c r="S474" s="12">
        <f t="shared" si="53"/>
        <v>0</v>
      </c>
      <c r="T474" s="12">
        <f t="shared" si="54"/>
        <v>0</v>
      </c>
      <c r="U474" s="14" t="str">
        <f t="shared" si="55"/>
        <v/>
      </c>
    </row>
    <row r="475" spans="12:21" x14ac:dyDescent="0.25">
      <c r="L475" s="18">
        <f t="shared" si="50"/>
        <v>0</v>
      </c>
      <c r="M475" s="13" t="e">
        <f>VLOOKUP(G475,Sell!G:L,1,0)</f>
        <v>#N/A</v>
      </c>
      <c r="N475" s="13">
        <f>IFERROR(VLOOKUP(G475,Sell!G:L,2,0),0)</f>
        <v>0</v>
      </c>
      <c r="O475" s="12">
        <f>IFERROR(VLOOKUP(G475,Sell!G:L,6,0),0)</f>
        <v>0</v>
      </c>
      <c r="P475" s="13">
        <f t="shared" si="49"/>
        <v>0</v>
      </c>
      <c r="Q475" s="12">
        <f t="shared" si="51"/>
        <v>0</v>
      </c>
      <c r="R475" s="12">
        <f t="shared" si="52"/>
        <v>0</v>
      </c>
      <c r="S475" s="12">
        <f t="shared" si="53"/>
        <v>0</v>
      </c>
      <c r="T475" s="12">
        <f t="shared" si="54"/>
        <v>0</v>
      </c>
      <c r="U475" s="14" t="str">
        <f t="shared" si="55"/>
        <v/>
      </c>
    </row>
    <row r="476" spans="12:21" x14ac:dyDescent="0.25">
      <c r="L476" s="18">
        <f t="shared" si="50"/>
        <v>0</v>
      </c>
      <c r="M476" s="13" t="e">
        <f>VLOOKUP(G476,Sell!G:L,1,0)</f>
        <v>#N/A</v>
      </c>
      <c r="N476" s="13">
        <f>IFERROR(VLOOKUP(G476,Sell!G:L,2,0),0)</f>
        <v>0</v>
      </c>
      <c r="O476" s="12">
        <f>IFERROR(VLOOKUP(G476,Sell!G:L,6,0),0)</f>
        <v>0</v>
      </c>
      <c r="P476" s="13">
        <f t="shared" si="49"/>
        <v>0</v>
      </c>
      <c r="Q476" s="12">
        <f t="shared" si="51"/>
        <v>0</v>
      </c>
      <c r="R476" s="12">
        <f t="shared" si="52"/>
        <v>0</v>
      </c>
      <c r="S476" s="12">
        <f t="shared" si="53"/>
        <v>0</v>
      </c>
      <c r="T476" s="12">
        <f t="shared" si="54"/>
        <v>0</v>
      </c>
      <c r="U476" s="14" t="str">
        <f t="shared" si="55"/>
        <v/>
      </c>
    </row>
    <row r="477" spans="12:21" x14ac:dyDescent="0.25">
      <c r="L477" s="18">
        <f t="shared" si="50"/>
        <v>0</v>
      </c>
      <c r="M477" s="13" t="e">
        <f>VLOOKUP(G477,Sell!G:L,1,0)</f>
        <v>#N/A</v>
      </c>
      <c r="N477" s="13">
        <f>IFERROR(VLOOKUP(G477,Sell!G:L,2,0),0)</f>
        <v>0</v>
      </c>
      <c r="O477" s="12">
        <f>IFERROR(VLOOKUP(G477,Sell!G:L,6,0),0)</f>
        <v>0</v>
      </c>
      <c r="P477" s="13">
        <f t="shared" si="49"/>
        <v>0</v>
      </c>
      <c r="Q477" s="12">
        <f t="shared" si="51"/>
        <v>0</v>
      </c>
      <c r="R477" s="12">
        <f t="shared" si="52"/>
        <v>0</v>
      </c>
      <c r="S477" s="12">
        <f t="shared" si="53"/>
        <v>0</v>
      </c>
      <c r="T477" s="12">
        <f t="shared" si="54"/>
        <v>0</v>
      </c>
      <c r="U477" s="14" t="str">
        <f t="shared" si="55"/>
        <v/>
      </c>
    </row>
    <row r="478" spans="12:21" x14ac:dyDescent="0.25">
      <c r="L478" s="18">
        <f t="shared" si="50"/>
        <v>0</v>
      </c>
      <c r="M478" s="13" t="e">
        <f>VLOOKUP(G478,Sell!G:L,1,0)</f>
        <v>#N/A</v>
      </c>
      <c r="N478" s="13">
        <f>IFERROR(VLOOKUP(G478,Sell!G:L,2,0),0)</f>
        <v>0</v>
      </c>
      <c r="O478" s="12">
        <f>IFERROR(VLOOKUP(G478,Sell!G:L,6,0),0)</f>
        <v>0</v>
      </c>
      <c r="P478" s="13">
        <f t="shared" si="49"/>
        <v>0</v>
      </c>
      <c r="Q478" s="12">
        <f t="shared" si="51"/>
        <v>0</v>
      </c>
      <c r="R478" s="12">
        <f t="shared" si="52"/>
        <v>0</v>
      </c>
      <c r="S478" s="12">
        <f t="shared" si="53"/>
        <v>0</v>
      </c>
      <c r="T478" s="12">
        <f t="shared" si="54"/>
        <v>0</v>
      </c>
      <c r="U478" s="14" t="str">
        <f t="shared" si="55"/>
        <v/>
      </c>
    </row>
    <row r="479" spans="12:21" x14ac:dyDescent="0.25">
      <c r="L479" s="18">
        <f t="shared" si="50"/>
        <v>0</v>
      </c>
      <c r="M479" s="13" t="e">
        <f>VLOOKUP(G479,Sell!G:L,1,0)</f>
        <v>#N/A</v>
      </c>
      <c r="N479" s="13">
        <f>IFERROR(VLOOKUP(G479,Sell!G:L,2,0),0)</f>
        <v>0</v>
      </c>
      <c r="O479" s="12">
        <f>IFERROR(VLOOKUP(G479,Sell!G:L,6,0),0)</f>
        <v>0</v>
      </c>
      <c r="P479" s="13">
        <f t="shared" si="49"/>
        <v>0</v>
      </c>
      <c r="Q479" s="12">
        <f t="shared" si="51"/>
        <v>0</v>
      </c>
      <c r="R479" s="12">
        <f t="shared" si="52"/>
        <v>0</v>
      </c>
      <c r="S479" s="12">
        <f t="shared" si="53"/>
        <v>0</v>
      </c>
      <c r="T479" s="12">
        <f t="shared" si="54"/>
        <v>0</v>
      </c>
      <c r="U479" s="14" t="str">
        <f t="shared" si="55"/>
        <v/>
      </c>
    </row>
    <row r="480" spans="12:21" x14ac:dyDescent="0.25">
      <c r="L480" s="18">
        <f t="shared" si="50"/>
        <v>0</v>
      </c>
      <c r="M480" s="13" t="e">
        <f>VLOOKUP(G480,Sell!G:L,1,0)</f>
        <v>#N/A</v>
      </c>
      <c r="N480" s="13">
        <f>IFERROR(VLOOKUP(G480,Sell!G:L,2,0),0)</f>
        <v>0</v>
      </c>
      <c r="O480" s="12">
        <f>IFERROR(VLOOKUP(G480,Sell!G:L,6,0),0)</f>
        <v>0</v>
      </c>
      <c r="P480" s="13">
        <f t="shared" si="49"/>
        <v>0</v>
      </c>
      <c r="Q480" s="12">
        <f t="shared" si="51"/>
        <v>0</v>
      </c>
      <c r="R480" s="12">
        <f t="shared" si="52"/>
        <v>0</v>
      </c>
      <c r="S480" s="12">
        <f t="shared" si="53"/>
        <v>0</v>
      </c>
      <c r="T480" s="12">
        <f t="shared" si="54"/>
        <v>0</v>
      </c>
      <c r="U480" s="14" t="str">
        <f t="shared" si="55"/>
        <v/>
      </c>
    </row>
    <row r="481" spans="12:21" x14ac:dyDescent="0.25">
      <c r="L481" s="18">
        <f t="shared" si="50"/>
        <v>0</v>
      </c>
      <c r="M481" s="13" t="e">
        <f>VLOOKUP(G481,Sell!G:L,1,0)</f>
        <v>#N/A</v>
      </c>
      <c r="N481" s="13">
        <f>IFERROR(VLOOKUP(G481,Sell!G:L,2,0),0)</f>
        <v>0</v>
      </c>
      <c r="O481" s="12">
        <f>IFERROR(VLOOKUP(G481,Sell!G:L,6,0),0)</f>
        <v>0</v>
      </c>
      <c r="P481" s="13">
        <f t="shared" si="49"/>
        <v>0</v>
      </c>
      <c r="Q481" s="12">
        <f t="shared" si="51"/>
        <v>0</v>
      </c>
      <c r="R481" s="12">
        <f t="shared" si="52"/>
        <v>0</v>
      </c>
      <c r="S481" s="12">
        <f t="shared" si="53"/>
        <v>0</v>
      </c>
      <c r="T481" s="12">
        <f t="shared" si="54"/>
        <v>0</v>
      </c>
      <c r="U481" s="14" t="str">
        <f t="shared" si="55"/>
        <v/>
      </c>
    </row>
    <row r="482" spans="12:21" x14ac:dyDescent="0.25">
      <c r="L482" s="18">
        <f t="shared" si="50"/>
        <v>0</v>
      </c>
      <c r="M482" s="13" t="e">
        <f>VLOOKUP(G482,Sell!G:L,1,0)</f>
        <v>#N/A</v>
      </c>
      <c r="N482" s="13">
        <f>IFERROR(VLOOKUP(G482,Sell!G:L,2,0),0)</f>
        <v>0</v>
      </c>
      <c r="O482" s="12">
        <f>IFERROR(VLOOKUP(G482,Sell!G:L,6,0),0)</f>
        <v>0</v>
      </c>
      <c r="P482" s="13">
        <f t="shared" si="49"/>
        <v>0</v>
      </c>
      <c r="Q482" s="12">
        <f t="shared" si="51"/>
        <v>0</v>
      </c>
      <c r="R482" s="12">
        <f t="shared" si="52"/>
        <v>0</v>
      </c>
      <c r="S482" s="12">
        <f t="shared" si="53"/>
        <v>0</v>
      </c>
      <c r="T482" s="12">
        <f t="shared" si="54"/>
        <v>0</v>
      </c>
      <c r="U482" s="14" t="str">
        <f t="shared" si="55"/>
        <v/>
      </c>
    </row>
    <row r="483" spans="12:21" x14ac:dyDescent="0.25">
      <c r="L483" s="18">
        <f t="shared" si="50"/>
        <v>0</v>
      </c>
      <c r="M483" s="13" t="e">
        <f>VLOOKUP(G483,Sell!G:L,1,0)</f>
        <v>#N/A</v>
      </c>
      <c r="N483" s="13">
        <f>IFERROR(VLOOKUP(G483,Sell!G:L,2,0),0)</f>
        <v>0</v>
      </c>
      <c r="O483" s="12">
        <f>IFERROR(VLOOKUP(G483,Sell!G:L,6,0),0)</f>
        <v>0</v>
      </c>
      <c r="P483" s="13">
        <f t="shared" si="49"/>
        <v>0</v>
      </c>
      <c r="Q483" s="12">
        <f t="shared" si="51"/>
        <v>0</v>
      </c>
      <c r="R483" s="12">
        <f t="shared" si="52"/>
        <v>0</v>
      </c>
      <c r="S483" s="12">
        <f t="shared" si="53"/>
        <v>0</v>
      </c>
      <c r="T483" s="12">
        <f t="shared" si="54"/>
        <v>0</v>
      </c>
      <c r="U483" s="14" t="str">
        <f t="shared" si="55"/>
        <v/>
      </c>
    </row>
    <row r="484" spans="12:21" x14ac:dyDescent="0.25">
      <c r="L484" s="18">
        <f t="shared" si="50"/>
        <v>0</v>
      </c>
      <c r="M484" s="13" t="e">
        <f>VLOOKUP(G484,Sell!G:L,1,0)</f>
        <v>#N/A</v>
      </c>
      <c r="N484" s="13">
        <f>IFERROR(VLOOKUP(G484,Sell!G:L,2,0),0)</f>
        <v>0</v>
      </c>
      <c r="O484" s="12">
        <f>IFERROR(VLOOKUP(G484,Sell!G:L,6,0),0)</f>
        <v>0</v>
      </c>
      <c r="P484" s="13">
        <f t="shared" si="49"/>
        <v>0</v>
      </c>
      <c r="Q484" s="12">
        <f t="shared" si="51"/>
        <v>0</v>
      </c>
      <c r="R484" s="12">
        <f t="shared" si="52"/>
        <v>0</v>
      </c>
      <c r="S484" s="12">
        <f t="shared" si="53"/>
        <v>0</v>
      </c>
      <c r="T484" s="12">
        <f t="shared" si="54"/>
        <v>0</v>
      </c>
      <c r="U484" s="14" t="str">
        <f t="shared" si="55"/>
        <v/>
      </c>
    </row>
    <row r="485" spans="12:21" x14ac:dyDescent="0.25">
      <c r="L485" s="18">
        <f t="shared" si="50"/>
        <v>0</v>
      </c>
      <c r="M485" s="13" t="e">
        <f>VLOOKUP(G485,Sell!G:L,1,0)</f>
        <v>#N/A</v>
      </c>
      <c r="N485" s="13">
        <f>IFERROR(VLOOKUP(G485,Sell!G:L,2,0),0)</f>
        <v>0</v>
      </c>
      <c r="O485" s="12">
        <f>IFERROR(VLOOKUP(G485,Sell!G:L,6,0),0)</f>
        <v>0</v>
      </c>
      <c r="P485" s="13">
        <f t="shared" si="49"/>
        <v>0</v>
      </c>
      <c r="Q485" s="12">
        <f t="shared" si="51"/>
        <v>0</v>
      </c>
      <c r="R485" s="12">
        <f t="shared" si="52"/>
        <v>0</v>
      </c>
      <c r="S485" s="12">
        <f t="shared" si="53"/>
        <v>0</v>
      </c>
      <c r="T485" s="12">
        <f t="shared" si="54"/>
        <v>0</v>
      </c>
      <c r="U485" s="14" t="str">
        <f t="shared" si="55"/>
        <v/>
      </c>
    </row>
    <row r="486" spans="12:21" x14ac:dyDescent="0.25">
      <c r="L486" s="18">
        <f t="shared" si="50"/>
        <v>0</v>
      </c>
      <c r="M486" s="13" t="e">
        <f>VLOOKUP(G486,Sell!G:L,1,0)</f>
        <v>#N/A</v>
      </c>
      <c r="N486" s="13">
        <f>IFERROR(VLOOKUP(G486,Sell!G:L,2,0),0)</f>
        <v>0</v>
      </c>
      <c r="O486" s="12">
        <f>IFERROR(VLOOKUP(G486,Sell!G:L,6,0),0)</f>
        <v>0</v>
      </c>
      <c r="P486" s="13">
        <f t="shared" si="49"/>
        <v>0</v>
      </c>
      <c r="Q486" s="12">
        <f t="shared" si="51"/>
        <v>0</v>
      </c>
      <c r="R486" s="12">
        <f t="shared" si="52"/>
        <v>0</v>
      </c>
      <c r="S486" s="12">
        <f t="shared" si="53"/>
        <v>0</v>
      </c>
      <c r="T486" s="12">
        <f t="shared" si="54"/>
        <v>0</v>
      </c>
      <c r="U486" s="14" t="str">
        <f t="shared" si="55"/>
        <v/>
      </c>
    </row>
    <row r="487" spans="12:21" x14ac:dyDescent="0.25">
      <c r="L487" s="18">
        <f t="shared" si="50"/>
        <v>0</v>
      </c>
      <c r="M487" s="13" t="e">
        <f>VLOOKUP(G487,Sell!G:L,1,0)</f>
        <v>#N/A</v>
      </c>
      <c r="N487" s="13">
        <f>IFERROR(VLOOKUP(G487,Sell!G:L,2,0),0)</f>
        <v>0</v>
      </c>
      <c r="O487" s="12">
        <f>IFERROR(VLOOKUP(G487,Sell!G:L,6,0),0)</f>
        <v>0</v>
      </c>
      <c r="P487" s="13">
        <f t="shared" si="49"/>
        <v>0</v>
      </c>
      <c r="Q487" s="12">
        <f t="shared" si="51"/>
        <v>0</v>
      </c>
      <c r="R487" s="12">
        <f t="shared" si="52"/>
        <v>0</v>
      </c>
      <c r="S487" s="12">
        <f t="shared" si="53"/>
        <v>0</v>
      </c>
      <c r="T487" s="12">
        <f t="shared" si="54"/>
        <v>0</v>
      </c>
      <c r="U487" s="14" t="str">
        <f t="shared" si="55"/>
        <v/>
      </c>
    </row>
    <row r="488" spans="12:21" x14ac:dyDescent="0.25">
      <c r="L488" s="18">
        <f t="shared" si="50"/>
        <v>0</v>
      </c>
      <c r="M488" s="13" t="e">
        <f>VLOOKUP(G488,Sell!G:L,1,0)</f>
        <v>#N/A</v>
      </c>
      <c r="N488" s="13">
        <f>IFERROR(VLOOKUP(G488,Sell!G:L,2,0),0)</f>
        <v>0</v>
      </c>
      <c r="O488" s="12">
        <f>IFERROR(VLOOKUP(G488,Sell!G:L,6,0),0)</f>
        <v>0</v>
      </c>
      <c r="P488" s="13">
        <f t="shared" si="49"/>
        <v>0</v>
      </c>
      <c r="Q488" s="12">
        <f t="shared" si="51"/>
        <v>0</v>
      </c>
      <c r="R488" s="12">
        <f t="shared" si="52"/>
        <v>0</v>
      </c>
      <c r="S488" s="12">
        <f t="shared" si="53"/>
        <v>0</v>
      </c>
      <c r="T488" s="12">
        <f t="shared" si="54"/>
        <v>0</v>
      </c>
      <c r="U488" s="14" t="str">
        <f t="shared" si="55"/>
        <v/>
      </c>
    </row>
    <row r="489" spans="12:21" x14ac:dyDescent="0.25">
      <c r="L489" s="18">
        <f t="shared" si="50"/>
        <v>0</v>
      </c>
      <c r="M489" s="13" t="e">
        <f>VLOOKUP(G489,Sell!G:L,1,0)</f>
        <v>#N/A</v>
      </c>
      <c r="N489" s="13">
        <f>IFERROR(VLOOKUP(G489,Sell!G:L,2,0),0)</f>
        <v>0</v>
      </c>
      <c r="O489" s="12">
        <f>IFERROR(VLOOKUP(G489,Sell!G:L,6,0),0)</f>
        <v>0</v>
      </c>
      <c r="P489" s="13">
        <f t="shared" si="49"/>
        <v>0</v>
      </c>
      <c r="Q489" s="12">
        <f t="shared" si="51"/>
        <v>0</v>
      </c>
      <c r="R489" s="12">
        <f t="shared" si="52"/>
        <v>0</v>
      </c>
      <c r="S489" s="12">
        <f t="shared" si="53"/>
        <v>0</v>
      </c>
      <c r="T489" s="12">
        <f t="shared" si="54"/>
        <v>0</v>
      </c>
      <c r="U489" s="14" t="str">
        <f t="shared" si="55"/>
        <v/>
      </c>
    </row>
    <row r="490" spans="12:21" x14ac:dyDescent="0.25">
      <c r="L490" s="18">
        <f t="shared" si="50"/>
        <v>0</v>
      </c>
      <c r="M490" s="13" t="e">
        <f>VLOOKUP(G490,Sell!G:L,1,0)</f>
        <v>#N/A</v>
      </c>
      <c r="N490" s="13">
        <f>IFERROR(VLOOKUP(G490,Sell!G:L,2,0),0)</f>
        <v>0</v>
      </c>
      <c r="O490" s="12">
        <f>IFERROR(VLOOKUP(G490,Sell!G:L,6,0),0)</f>
        <v>0</v>
      </c>
      <c r="P490" s="13">
        <f t="shared" si="49"/>
        <v>0</v>
      </c>
      <c r="Q490" s="12">
        <f t="shared" si="51"/>
        <v>0</v>
      </c>
      <c r="R490" s="12">
        <f t="shared" si="52"/>
        <v>0</v>
      </c>
      <c r="S490" s="12">
        <f t="shared" si="53"/>
        <v>0</v>
      </c>
      <c r="T490" s="12">
        <f t="shared" si="54"/>
        <v>0</v>
      </c>
      <c r="U490" s="14" t="str">
        <f t="shared" si="55"/>
        <v/>
      </c>
    </row>
    <row r="491" spans="12:21" x14ac:dyDescent="0.25">
      <c r="L491" s="18">
        <f t="shared" si="50"/>
        <v>0</v>
      </c>
      <c r="M491" s="13" t="e">
        <f>VLOOKUP(G491,Sell!G:L,1,0)</f>
        <v>#N/A</v>
      </c>
      <c r="N491" s="13">
        <f>IFERROR(VLOOKUP(G491,Sell!G:L,2,0),0)</f>
        <v>0</v>
      </c>
      <c r="O491" s="12">
        <f>IFERROR(VLOOKUP(G491,Sell!G:L,6,0),0)</f>
        <v>0</v>
      </c>
      <c r="P491" s="13">
        <f t="shared" si="49"/>
        <v>0</v>
      </c>
      <c r="Q491" s="12">
        <f t="shared" si="51"/>
        <v>0</v>
      </c>
      <c r="R491" s="12">
        <f t="shared" si="52"/>
        <v>0</v>
      </c>
      <c r="S491" s="12">
        <f t="shared" si="53"/>
        <v>0</v>
      </c>
      <c r="T491" s="12">
        <f t="shared" si="54"/>
        <v>0</v>
      </c>
      <c r="U491" s="14" t="str">
        <f t="shared" si="55"/>
        <v/>
      </c>
    </row>
    <row r="492" spans="12:21" x14ac:dyDescent="0.25">
      <c r="L492" s="18">
        <f t="shared" si="50"/>
        <v>0</v>
      </c>
      <c r="M492" s="13" t="e">
        <f>VLOOKUP(G492,Sell!G:L,1,0)</f>
        <v>#N/A</v>
      </c>
      <c r="N492" s="13">
        <f>IFERROR(VLOOKUP(G492,Sell!G:L,2,0),0)</f>
        <v>0</v>
      </c>
      <c r="O492" s="12">
        <f>IFERROR(VLOOKUP(G492,Sell!G:L,6,0),0)</f>
        <v>0</v>
      </c>
      <c r="P492" s="13">
        <f t="shared" si="49"/>
        <v>0</v>
      </c>
      <c r="Q492" s="12">
        <f t="shared" si="51"/>
        <v>0</v>
      </c>
      <c r="R492" s="12">
        <f t="shared" si="52"/>
        <v>0</v>
      </c>
      <c r="S492" s="12">
        <f t="shared" si="53"/>
        <v>0</v>
      </c>
      <c r="T492" s="12">
        <f t="shared" si="54"/>
        <v>0</v>
      </c>
      <c r="U492" s="14" t="str">
        <f t="shared" si="55"/>
        <v/>
      </c>
    </row>
    <row r="493" spans="12:21" x14ac:dyDescent="0.25">
      <c r="L493" s="18">
        <f t="shared" si="50"/>
        <v>0</v>
      </c>
      <c r="M493" s="13" t="e">
        <f>VLOOKUP(G493,Sell!G:L,1,0)</f>
        <v>#N/A</v>
      </c>
      <c r="N493" s="13">
        <f>IFERROR(VLOOKUP(G493,Sell!G:L,2,0),0)</f>
        <v>0</v>
      </c>
      <c r="O493" s="12">
        <f>IFERROR(VLOOKUP(G493,Sell!G:L,6,0),0)</f>
        <v>0</v>
      </c>
      <c r="P493" s="13">
        <f t="shared" si="49"/>
        <v>0</v>
      </c>
      <c r="Q493" s="12">
        <f t="shared" si="51"/>
        <v>0</v>
      </c>
      <c r="R493" s="12">
        <f t="shared" si="52"/>
        <v>0</v>
      </c>
      <c r="S493" s="12">
        <f t="shared" si="53"/>
        <v>0</v>
      </c>
      <c r="T493" s="12">
        <f t="shared" si="54"/>
        <v>0</v>
      </c>
      <c r="U493" s="14" t="str">
        <f t="shared" si="55"/>
        <v/>
      </c>
    </row>
    <row r="494" spans="12:21" x14ac:dyDescent="0.25">
      <c r="L494" s="18">
        <f t="shared" si="50"/>
        <v>0</v>
      </c>
      <c r="M494" s="13" t="e">
        <f>VLOOKUP(G494,Sell!G:L,1,0)</f>
        <v>#N/A</v>
      </c>
      <c r="N494" s="13">
        <f>IFERROR(VLOOKUP(G494,Sell!G:L,2,0),0)</f>
        <v>0</v>
      </c>
      <c r="O494" s="12">
        <f>IFERROR(VLOOKUP(G494,Sell!G:L,6,0),0)</f>
        <v>0</v>
      </c>
      <c r="P494" s="13">
        <f t="shared" si="49"/>
        <v>0</v>
      </c>
      <c r="Q494" s="12">
        <f t="shared" si="51"/>
        <v>0</v>
      </c>
      <c r="R494" s="12">
        <f t="shared" si="52"/>
        <v>0</v>
      </c>
      <c r="S494" s="12">
        <f t="shared" si="53"/>
        <v>0</v>
      </c>
      <c r="T494" s="12">
        <f t="shared" si="54"/>
        <v>0</v>
      </c>
      <c r="U494" s="14" t="str">
        <f t="shared" si="55"/>
        <v/>
      </c>
    </row>
    <row r="495" spans="12:21" x14ac:dyDescent="0.25">
      <c r="L495" s="18">
        <f t="shared" si="50"/>
        <v>0</v>
      </c>
      <c r="M495" s="13" t="e">
        <f>VLOOKUP(G495,Sell!G:L,1,0)</f>
        <v>#N/A</v>
      </c>
      <c r="N495" s="13">
        <f>IFERROR(VLOOKUP(G495,Sell!G:L,2,0),0)</f>
        <v>0</v>
      </c>
      <c r="O495" s="12">
        <f>IFERROR(VLOOKUP(G495,Sell!G:L,6,0),0)</f>
        <v>0</v>
      </c>
      <c r="P495" s="13">
        <f t="shared" si="49"/>
        <v>0</v>
      </c>
      <c r="Q495" s="12">
        <f t="shared" si="51"/>
        <v>0</v>
      </c>
      <c r="R495" s="12">
        <f t="shared" si="52"/>
        <v>0</v>
      </c>
      <c r="S495" s="12">
        <f t="shared" si="53"/>
        <v>0</v>
      </c>
      <c r="T495" s="12">
        <f t="shared" si="54"/>
        <v>0</v>
      </c>
      <c r="U495" s="14" t="str">
        <f t="shared" si="55"/>
        <v/>
      </c>
    </row>
    <row r="496" spans="12:21" x14ac:dyDescent="0.25">
      <c r="L496" s="18">
        <f t="shared" si="50"/>
        <v>0</v>
      </c>
      <c r="M496" s="13" t="e">
        <f>VLOOKUP(G496,Sell!G:L,1,0)</f>
        <v>#N/A</v>
      </c>
      <c r="N496" s="13">
        <f>IFERROR(VLOOKUP(G496,Sell!G:L,2,0),0)</f>
        <v>0</v>
      </c>
      <c r="O496" s="12">
        <f>IFERROR(VLOOKUP(G496,Sell!G:L,6,0),0)</f>
        <v>0</v>
      </c>
      <c r="P496" s="13">
        <f t="shared" si="49"/>
        <v>0</v>
      </c>
      <c r="Q496" s="12">
        <f t="shared" si="51"/>
        <v>0</v>
      </c>
      <c r="R496" s="12">
        <f t="shared" si="52"/>
        <v>0</v>
      </c>
      <c r="S496" s="12">
        <f t="shared" si="53"/>
        <v>0</v>
      </c>
      <c r="T496" s="12">
        <f t="shared" si="54"/>
        <v>0</v>
      </c>
      <c r="U496" s="14" t="str">
        <f t="shared" si="55"/>
        <v/>
      </c>
    </row>
    <row r="497" spans="12:21" x14ac:dyDescent="0.25">
      <c r="L497" s="18">
        <f t="shared" si="50"/>
        <v>0</v>
      </c>
      <c r="M497" s="13" t="e">
        <f>VLOOKUP(G497,Sell!G:L,1,0)</f>
        <v>#N/A</v>
      </c>
      <c r="N497" s="13">
        <f>IFERROR(VLOOKUP(G497,Sell!G:L,2,0),0)</f>
        <v>0</v>
      </c>
      <c r="O497" s="12">
        <f>IFERROR(VLOOKUP(G497,Sell!G:L,6,0),0)</f>
        <v>0</v>
      </c>
      <c r="P497" s="13">
        <f t="shared" si="49"/>
        <v>0</v>
      </c>
      <c r="Q497" s="12">
        <f t="shared" si="51"/>
        <v>0</v>
      </c>
      <c r="R497" s="12">
        <f t="shared" si="52"/>
        <v>0</v>
      </c>
      <c r="S497" s="12">
        <f t="shared" si="53"/>
        <v>0</v>
      </c>
      <c r="T497" s="12">
        <f t="shared" si="54"/>
        <v>0</v>
      </c>
      <c r="U497" s="14" t="str">
        <f t="shared" si="55"/>
        <v/>
      </c>
    </row>
    <row r="498" spans="12:21" x14ac:dyDescent="0.25">
      <c r="L498" s="18">
        <f t="shared" si="50"/>
        <v>0</v>
      </c>
      <c r="M498" s="13" t="e">
        <f>VLOOKUP(G498,Sell!G:L,1,0)</f>
        <v>#N/A</v>
      </c>
      <c r="N498" s="13">
        <f>IFERROR(VLOOKUP(G498,Sell!G:L,2,0),0)</f>
        <v>0</v>
      </c>
      <c r="O498" s="12">
        <f>IFERROR(VLOOKUP(G498,Sell!G:L,6,0),0)</f>
        <v>0</v>
      </c>
      <c r="P498" s="13">
        <f t="shared" si="49"/>
        <v>0</v>
      </c>
      <c r="Q498" s="12">
        <f t="shared" si="51"/>
        <v>0</v>
      </c>
      <c r="R498" s="12">
        <f t="shared" si="52"/>
        <v>0</v>
      </c>
      <c r="S498" s="12">
        <f t="shared" si="53"/>
        <v>0</v>
      </c>
      <c r="T498" s="12">
        <f t="shared" si="54"/>
        <v>0</v>
      </c>
      <c r="U498" s="14" t="str">
        <f t="shared" si="55"/>
        <v/>
      </c>
    </row>
    <row r="499" spans="12:21" x14ac:dyDescent="0.25">
      <c r="L499" s="18">
        <f t="shared" si="50"/>
        <v>0</v>
      </c>
      <c r="M499" s="13" t="e">
        <f>VLOOKUP(G499,Sell!G:L,1,0)</f>
        <v>#N/A</v>
      </c>
      <c r="N499" s="13">
        <f>IFERROR(VLOOKUP(G499,Sell!G:L,2,0),0)</f>
        <v>0</v>
      </c>
      <c r="O499" s="12">
        <f>IFERROR(VLOOKUP(G499,Sell!G:L,6,0),0)</f>
        <v>0</v>
      </c>
      <c r="P499" s="13">
        <f t="shared" si="49"/>
        <v>0</v>
      </c>
      <c r="Q499" s="12">
        <f t="shared" si="51"/>
        <v>0</v>
      </c>
      <c r="R499" s="12">
        <f t="shared" si="52"/>
        <v>0</v>
      </c>
      <c r="S499" s="12">
        <f t="shared" si="53"/>
        <v>0</v>
      </c>
      <c r="T499" s="12">
        <f t="shared" si="54"/>
        <v>0</v>
      </c>
      <c r="U499" s="14" t="str">
        <f t="shared" si="55"/>
        <v/>
      </c>
    </row>
    <row r="500" spans="12:21" x14ac:dyDescent="0.25">
      <c r="L500" s="18">
        <f t="shared" si="50"/>
        <v>0</v>
      </c>
      <c r="M500" s="13" t="e">
        <f>VLOOKUP(G500,Sell!G:L,1,0)</f>
        <v>#N/A</v>
      </c>
      <c r="N500" s="13">
        <f>IFERROR(VLOOKUP(G500,Sell!G:L,2,0),0)</f>
        <v>0</v>
      </c>
      <c r="O500" s="12">
        <f>IFERROR(VLOOKUP(G500,Sell!G:L,6,0),0)</f>
        <v>0</v>
      </c>
      <c r="P500" s="13">
        <f t="shared" si="49"/>
        <v>0</v>
      </c>
      <c r="Q500" s="12">
        <f t="shared" si="51"/>
        <v>0</v>
      </c>
      <c r="R500" s="12">
        <f t="shared" si="52"/>
        <v>0</v>
      </c>
      <c r="S500" s="12">
        <f t="shared" si="53"/>
        <v>0</v>
      </c>
      <c r="T500" s="12">
        <f t="shared" si="54"/>
        <v>0</v>
      </c>
      <c r="U500" s="14" t="str">
        <f t="shared" si="55"/>
        <v/>
      </c>
    </row>
    <row r="501" spans="12:21" x14ac:dyDescent="0.25">
      <c r="L501" s="18">
        <f t="shared" si="50"/>
        <v>0</v>
      </c>
      <c r="M501" s="13" t="e">
        <f>VLOOKUP(G501,Sell!G:L,1,0)</f>
        <v>#N/A</v>
      </c>
      <c r="N501" s="13">
        <f>IFERROR(VLOOKUP(G501,Sell!G:L,2,0),0)</f>
        <v>0</v>
      </c>
      <c r="O501" s="12">
        <f>IFERROR(VLOOKUP(G501,Sell!G:L,6,0),0)</f>
        <v>0</v>
      </c>
      <c r="P501" s="13">
        <f t="shared" si="49"/>
        <v>0</v>
      </c>
      <c r="Q501" s="12">
        <f t="shared" si="51"/>
        <v>0</v>
      </c>
      <c r="R501" s="12">
        <f t="shared" si="52"/>
        <v>0</v>
      </c>
      <c r="S501" s="12">
        <f t="shared" si="53"/>
        <v>0</v>
      </c>
      <c r="T501" s="12">
        <f t="shared" si="54"/>
        <v>0</v>
      </c>
      <c r="U501" s="14" t="str">
        <f t="shared" si="55"/>
        <v/>
      </c>
    </row>
    <row r="502" spans="12:21" x14ac:dyDescent="0.25">
      <c r="L502" s="18">
        <f t="shared" si="50"/>
        <v>0</v>
      </c>
      <c r="M502" s="13" t="e">
        <f>VLOOKUP(G502,Sell!G:L,1,0)</f>
        <v>#N/A</v>
      </c>
      <c r="N502" s="13">
        <f>IFERROR(VLOOKUP(G502,Sell!G:L,2,0),0)</f>
        <v>0</v>
      </c>
      <c r="O502" s="12">
        <f>IFERROR(VLOOKUP(G502,Sell!G:L,6,0),0)</f>
        <v>0</v>
      </c>
      <c r="P502" s="13">
        <f t="shared" si="49"/>
        <v>0</v>
      </c>
      <c r="Q502" s="12">
        <f t="shared" si="51"/>
        <v>0</v>
      </c>
      <c r="R502" s="12">
        <f t="shared" si="52"/>
        <v>0</v>
      </c>
      <c r="S502" s="12">
        <f t="shared" si="53"/>
        <v>0</v>
      </c>
      <c r="T502" s="12">
        <f t="shared" si="54"/>
        <v>0</v>
      </c>
      <c r="U502" s="14" t="str">
        <f t="shared" si="55"/>
        <v/>
      </c>
    </row>
    <row r="503" spans="12:21" x14ac:dyDescent="0.25">
      <c r="L503" s="18">
        <f t="shared" si="50"/>
        <v>0</v>
      </c>
      <c r="M503" s="13" t="e">
        <f>VLOOKUP(G503,Sell!G:L,1,0)</f>
        <v>#N/A</v>
      </c>
      <c r="N503" s="13">
        <f>IFERROR(VLOOKUP(G503,Sell!G:L,2,0),0)</f>
        <v>0</v>
      </c>
      <c r="O503" s="12">
        <f>IFERROR(VLOOKUP(G503,Sell!G:L,6,0),0)</f>
        <v>0</v>
      </c>
      <c r="P503" s="13">
        <f t="shared" si="49"/>
        <v>0</v>
      </c>
      <c r="Q503" s="12">
        <f t="shared" si="51"/>
        <v>0</v>
      </c>
      <c r="R503" s="12">
        <f t="shared" si="52"/>
        <v>0</v>
      </c>
      <c r="S503" s="12">
        <f t="shared" si="53"/>
        <v>0</v>
      </c>
      <c r="T503" s="12">
        <f t="shared" si="54"/>
        <v>0</v>
      </c>
      <c r="U503" s="14" t="str">
        <f t="shared" si="55"/>
        <v/>
      </c>
    </row>
    <row r="504" spans="12:21" x14ac:dyDescent="0.25">
      <c r="L504" s="18">
        <f t="shared" si="50"/>
        <v>0</v>
      </c>
      <c r="M504" s="13" t="e">
        <f>VLOOKUP(G504,Sell!G:L,1,0)</f>
        <v>#N/A</v>
      </c>
      <c r="N504" s="13">
        <f>IFERROR(VLOOKUP(G504,Sell!G:L,2,0),0)</f>
        <v>0</v>
      </c>
      <c r="O504" s="12">
        <f>IFERROR(VLOOKUP(G504,Sell!G:L,6,0),0)</f>
        <v>0</v>
      </c>
      <c r="P504" s="13">
        <f t="shared" si="49"/>
        <v>0</v>
      </c>
      <c r="Q504" s="12">
        <f t="shared" si="51"/>
        <v>0</v>
      </c>
      <c r="R504" s="12">
        <f t="shared" si="52"/>
        <v>0</v>
      </c>
      <c r="S504" s="12">
        <f t="shared" si="53"/>
        <v>0</v>
      </c>
      <c r="T504" s="12">
        <f t="shared" si="54"/>
        <v>0</v>
      </c>
      <c r="U504" s="14" t="str">
        <f t="shared" si="55"/>
        <v/>
      </c>
    </row>
    <row r="505" spans="12:21" x14ac:dyDescent="0.25">
      <c r="L505" s="18">
        <f t="shared" si="50"/>
        <v>0</v>
      </c>
      <c r="M505" s="13" t="e">
        <f>VLOOKUP(G505,Sell!G:L,1,0)</f>
        <v>#N/A</v>
      </c>
      <c r="N505" s="13">
        <f>IFERROR(VLOOKUP(G505,Sell!G:L,2,0),0)</f>
        <v>0</v>
      </c>
      <c r="O505" s="12">
        <f>IFERROR(VLOOKUP(G505,Sell!G:L,6,0),0)</f>
        <v>0</v>
      </c>
      <c r="P505" s="13">
        <f t="shared" si="49"/>
        <v>0</v>
      </c>
      <c r="Q505" s="12">
        <f t="shared" si="51"/>
        <v>0</v>
      </c>
      <c r="R505" s="12">
        <f t="shared" si="52"/>
        <v>0</v>
      </c>
      <c r="S505" s="12">
        <f t="shared" si="53"/>
        <v>0</v>
      </c>
      <c r="T505" s="12">
        <f t="shared" si="54"/>
        <v>0</v>
      </c>
      <c r="U505" s="14" t="str">
        <f t="shared" si="55"/>
        <v/>
      </c>
    </row>
    <row r="506" spans="12:21" x14ac:dyDescent="0.25">
      <c r="L506" s="18">
        <f t="shared" si="50"/>
        <v>0</v>
      </c>
      <c r="M506" s="13" t="e">
        <f>VLOOKUP(G506,Sell!G:L,1,0)</f>
        <v>#N/A</v>
      </c>
      <c r="N506" s="13">
        <f>IFERROR(VLOOKUP(G506,Sell!G:L,2,0),0)</f>
        <v>0</v>
      </c>
      <c r="O506" s="12">
        <f>IFERROR(VLOOKUP(G506,Sell!G:L,6,0),0)</f>
        <v>0</v>
      </c>
      <c r="P506" s="13">
        <f t="shared" si="49"/>
        <v>0</v>
      </c>
      <c r="Q506" s="12">
        <f t="shared" si="51"/>
        <v>0</v>
      </c>
      <c r="R506" s="12">
        <f t="shared" si="52"/>
        <v>0</v>
      </c>
      <c r="S506" s="12">
        <f t="shared" si="53"/>
        <v>0</v>
      </c>
      <c r="T506" s="12">
        <f t="shared" si="54"/>
        <v>0</v>
      </c>
      <c r="U506" s="14" t="str">
        <f t="shared" si="55"/>
        <v/>
      </c>
    </row>
    <row r="507" spans="12:21" x14ac:dyDescent="0.25">
      <c r="L507" s="18">
        <f t="shared" si="50"/>
        <v>0</v>
      </c>
      <c r="M507" s="13" t="e">
        <f>VLOOKUP(G507,Sell!G:L,1,0)</f>
        <v>#N/A</v>
      </c>
      <c r="N507" s="13">
        <f>IFERROR(VLOOKUP(G507,Sell!G:L,2,0),0)</f>
        <v>0</v>
      </c>
      <c r="O507" s="12">
        <f>IFERROR(VLOOKUP(G507,Sell!G:L,6,0),0)</f>
        <v>0</v>
      </c>
      <c r="P507" s="13">
        <f t="shared" si="49"/>
        <v>0</v>
      </c>
      <c r="Q507" s="12">
        <f t="shared" si="51"/>
        <v>0</v>
      </c>
      <c r="R507" s="12">
        <f t="shared" si="52"/>
        <v>0</v>
      </c>
      <c r="S507" s="12">
        <f t="shared" si="53"/>
        <v>0</v>
      </c>
      <c r="T507" s="12">
        <f t="shared" si="54"/>
        <v>0</v>
      </c>
      <c r="U507" s="14" t="str">
        <f t="shared" si="55"/>
        <v/>
      </c>
    </row>
    <row r="508" spans="12:21" x14ac:dyDescent="0.25">
      <c r="L508" s="18">
        <f t="shared" si="50"/>
        <v>0</v>
      </c>
      <c r="M508" s="13" t="e">
        <f>VLOOKUP(G508,Sell!G:L,1,0)</f>
        <v>#N/A</v>
      </c>
      <c r="N508" s="13">
        <f>IFERROR(VLOOKUP(G508,Sell!G:L,2,0),0)</f>
        <v>0</v>
      </c>
      <c r="O508" s="12">
        <f>IFERROR(VLOOKUP(G508,Sell!G:L,6,0),0)</f>
        <v>0</v>
      </c>
      <c r="P508" s="13">
        <f t="shared" si="49"/>
        <v>0</v>
      </c>
      <c r="Q508" s="12">
        <f t="shared" si="51"/>
        <v>0</v>
      </c>
      <c r="R508" s="12">
        <f t="shared" si="52"/>
        <v>0</v>
      </c>
      <c r="S508" s="12">
        <f t="shared" si="53"/>
        <v>0</v>
      </c>
      <c r="T508" s="12">
        <f t="shared" si="54"/>
        <v>0</v>
      </c>
      <c r="U508" s="14" t="str">
        <f t="shared" si="55"/>
        <v/>
      </c>
    </row>
    <row r="509" spans="12:21" x14ac:dyDescent="0.25">
      <c r="L509" s="18">
        <f t="shared" si="50"/>
        <v>0</v>
      </c>
      <c r="M509" s="13" t="e">
        <f>VLOOKUP(G509,Sell!G:L,1,0)</f>
        <v>#N/A</v>
      </c>
      <c r="N509" s="13">
        <f>IFERROR(VLOOKUP(G509,Sell!G:L,2,0),0)</f>
        <v>0</v>
      </c>
      <c r="O509" s="12">
        <f>IFERROR(VLOOKUP(G509,Sell!G:L,6,0),0)</f>
        <v>0</v>
      </c>
      <c r="P509" s="13">
        <f t="shared" si="49"/>
        <v>0</v>
      </c>
      <c r="Q509" s="12">
        <f t="shared" si="51"/>
        <v>0</v>
      </c>
      <c r="R509" s="12">
        <f t="shared" si="52"/>
        <v>0</v>
      </c>
      <c r="S509" s="12">
        <f t="shared" si="53"/>
        <v>0</v>
      </c>
      <c r="T509" s="12">
        <f t="shared" si="54"/>
        <v>0</v>
      </c>
      <c r="U509" s="14" t="str">
        <f t="shared" si="55"/>
        <v/>
      </c>
    </row>
    <row r="510" spans="12:21" x14ac:dyDescent="0.25">
      <c r="L510" s="18">
        <f t="shared" si="50"/>
        <v>0</v>
      </c>
      <c r="M510" s="13" t="e">
        <f>VLOOKUP(G510,Sell!G:L,1,0)</f>
        <v>#N/A</v>
      </c>
      <c r="N510" s="13">
        <f>IFERROR(VLOOKUP(G510,Sell!G:L,2,0),0)</f>
        <v>0</v>
      </c>
      <c r="O510" s="12">
        <f>IFERROR(VLOOKUP(G510,Sell!G:L,6,0),0)</f>
        <v>0</v>
      </c>
      <c r="P510" s="13">
        <f t="shared" si="49"/>
        <v>0</v>
      </c>
      <c r="Q510" s="12">
        <f t="shared" si="51"/>
        <v>0</v>
      </c>
      <c r="R510" s="12">
        <f t="shared" si="52"/>
        <v>0</v>
      </c>
      <c r="S510" s="12">
        <f t="shared" si="53"/>
        <v>0</v>
      </c>
      <c r="T510" s="12">
        <f t="shared" si="54"/>
        <v>0</v>
      </c>
      <c r="U510" s="14" t="str">
        <f t="shared" si="55"/>
        <v/>
      </c>
    </row>
    <row r="511" spans="12:21" x14ac:dyDescent="0.25">
      <c r="L511" s="18">
        <f t="shared" si="50"/>
        <v>0</v>
      </c>
      <c r="M511" s="13" t="e">
        <f>VLOOKUP(G511,Sell!G:L,1,0)</f>
        <v>#N/A</v>
      </c>
      <c r="N511" s="13">
        <f>IFERROR(VLOOKUP(G511,Sell!G:L,2,0),0)</f>
        <v>0</v>
      </c>
      <c r="O511" s="12">
        <f>IFERROR(VLOOKUP(G511,Sell!G:L,6,0),0)</f>
        <v>0</v>
      </c>
      <c r="P511" s="13">
        <f t="shared" si="49"/>
        <v>0</v>
      </c>
      <c r="Q511" s="12">
        <f t="shared" si="51"/>
        <v>0</v>
      </c>
      <c r="R511" s="12">
        <f t="shared" si="52"/>
        <v>0</v>
      </c>
      <c r="S511" s="12">
        <f t="shared" si="53"/>
        <v>0</v>
      </c>
      <c r="T511" s="12">
        <f t="shared" si="54"/>
        <v>0</v>
      </c>
      <c r="U511" s="14" t="str">
        <f t="shared" si="55"/>
        <v/>
      </c>
    </row>
    <row r="512" spans="12:21" x14ac:dyDescent="0.25">
      <c r="L512" s="18">
        <f t="shared" si="50"/>
        <v>0</v>
      </c>
      <c r="M512" s="13" t="e">
        <f>VLOOKUP(G512,Sell!G:L,1,0)</f>
        <v>#N/A</v>
      </c>
      <c r="N512" s="13">
        <f>IFERROR(VLOOKUP(G512,Sell!G:L,2,0),0)</f>
        <v>0</v>
      </c>
      <c r="O512" s="12">
        <f>IFERROR(VLOOKUP(G512,Sell!G:L,6,0),0)</f>
        <v>0</v>
      </c>
      <c r="P512" s="13">
        <f t="shared" si="49"/>
        <v>0</v>
      </c>
      <c r="Q512" s="12">
        <f t="shared" si="51"/>
        <v>0</v>
      </c>
      <c r="R512" s="12">
        <f t="shared" si="52"/>
        <v>0</v>
      </c>
      <c r="S512" s="12">
        <f t="shared" si="53"/>
        <v>0</v>
      </c>
      <c r="T512" s="12">
        <f t="shared" si="54"/>
        <v>0</v>
      </c>
      <c r="U512" s="14" t="str">
        <f t="shared" si="55"/>
        <v/>
      </c>
    </row>
    <row r="513" spans="12:21" x14ac:dyDescent="0.25">
      <c r="L513" s="18">
        <f t="shared" si="50"/>
        <v>0</v>
      </c>
      <c r="M513" s="13" t="e">
        <f>VLOOKUP(G513,Sell!G:L,1,0)</f>
        <v>#N/A</v>
      </c>
      <c r="N513" s="13">
        <f>IFERROR(VLOOKUP(G513,Sell!G:L,2,0),0)</f>
        <v>0</v>
      </c>
      <c r="O513" s="12">
        <f>IFERROR(VLOOKUP(G513,Sell!G:L,6,0),0)</f>
        <v>0</v>
      </c>
      <c r="P513" s="13">
        <f t="shared" si="49"/>
        <v>0</v>
      </c>
      <c r="Q513" s="12">
        <f t="shared" si="51"/>
        <v>0</v>
      </c>
      <c r="R513" s="12">
        <f t="shared" si="52"/>
        <v>0</v>
      </c>
      <c r="S513" s="12">
        <f t="shared" si="53"/>
        <v>0</v>
      </c>
      <c r="T513" s="12">
        <f t="shared" si="54"/>
        <v>0</v>
      </c>
      <c r="U513" s="14" t="str">
        <f t="shared" si="55"/>
        <v/>
      </c>
    </row>
    <row r="514" spans="12:21" x14ac:dyDescent="0.25">
      <c r="L514" s="18">
        <f t="shared" si="50"/>
        <v>0</v>
      </c>
      <c r="M514" s="13" t="e">
        <f>VLOOKUP(G514,Sell!G:L,1,0)</f>
        <v>#N/A</v>
      </c>
      <c r="N514" s="13">
        <f>IFERROR(VLOOKUP(G514,Sell!G:L,2,0),0)</f>
        <v>0</v>
      </c>
      <c r="O514" s="12">
        <f>IFERROR(VLOOKUP(G514,Sell!G:L,6,0),0)</f>
        <v>0</v>
      </c>
      <c r="P514" s="13">
        <f t="shared" si="49"/>
        <v>0</v>
      </c>
      <c r="Q514" s="12">
        <f t="shared" si="51"/>
        <v>0</v>
      </c>
      <c r="R514" s="12">
        <f t="shared" si="52"/>
        <v>0</v>
      </c>
      <c r="S514" s="12">
        <f t="shared" si="53"/>
        <v>0</v>
      </c>
      <c r="T514" s="12">
        <f t="shared" si="54"/>
        <v>0</v>
      </c>
      <c r="U514" s="14" t="str">
        <f t="shared" si="55"/>
        <v/>
      </c>
    </row>
    <row r="515" spans="12:21" x14ac:dyDescent="0.25">
      <c r="L515" s="18">
        <f t="shared" si="50"/>
        <v>0</v>
      </c>
      <c r="M515" s="13" t="e">
        <f>VLOOKUP(G515,Sell!G:L,1,0)</f>
        <v>#N/A</v>
      </c>
      <c r="N515" s="13">
        <f>IFERROR(VLOOKUP(G515,Sell!G:L,2,0),0)</f>
        <v>0</v>
      </c>
      <c r="O515" s="12">
        <f>IFERROR(VLOOKUP(G515,Sell!G:L,6,0),0)</f>
        <v>0</v>
      </c>
      <c r="P515" s="13">
        <f t="shared" si="49"/>
        <v>0</v>
      </c>
      <c r="Q515" s="12">
        <f t="shared" si="51"/>
        <v>0</v>
      </c>
      <c r="R515" s="12">
        <f t="shared" si="52"/>
        <v>0</v>
      </c>
      <c r="S515" s="12">
        <f t="shared" si="53"/>
        <v>0</v>
      </c>
      <c r="T515" s="12">
        <f t="shared" si="54"/>
        <v>0</v>
      </c>
      <c r="U515" s="14" t="str">
        <f t="shared" si="55"/>
        <v/>
      </c>
    </row>
    <row r="516" spans="12:21" x14ac:dyDescent="0.25">
      <c r="L516" s="18">
        <f t="shared" si="50"/>
        <v>0</v>
      </c>
      <c r="M516" s="13" t="e">
        <f>VLOOKUP(G516,Sell!G:L,1,0)</f>
        <v>#N/A</v>
      </c>
      <c r="N516" s="13">
        <f>IFERROR(VLOOKUP(G516,Sell!G:L,2,0),0)</f>
        <v>0</v>
      </c>
      <c r="O516" s="12">
        <f>IFERROR(VLOOKUP(G516,Sell!G:L,6,0),0)</f>
        <v>0</v>
      </c>
      <c r="P516" s="13">
        <f t="shared" si="49"/>
        <v>0</v>
      </c>
      <c r="Q516" s="12">
        <f t="shared" si="51"/>
        <v>0</v>
      </c>
      <c r="R516" s="12">
        <f t="shared" si="52"/>
        <v>0</v>
      </c>
      <c r="S516" s="12">
        <f t="shared" si="53"/>
        <v>0</v>
      </c>
      <c r="T516" s="12">
        <f t="shared" si="54"/>
        <v>0</v>
      </c>
      <c r="U516" s="14" t="str">
        <f t="shared" si="55"/>
        <v/>
      </c>
    </row>
    <row r="517" spans="12:21" x14ac:dyDescent="0.25">
      <c r="L517" s="18">
        <f t="shared" si="50"/>
        <v>0</v>
      </c>
      <c r="M517" s="13" t="e">
        <f>VLOOKUP(G517,Sell!G:L,1,0)</f>
        <v>#N/A</v>
      </c>
      <c r="N517" s="13">
        <f>IFERROR(VLOOKUP(G517,Sell!G:L,2,0),0)</f>
        <v>0</v>
      </c>
      <c r="O517" s="12">
        <f>IFERROR(VLOOKUP(G517,Sell!G:L,6,0),0)</f>
        <v>0</v>
      </c>
      <c r="P517" s="13">
        <f t="shared" si="49"/>
        <v>0</v>
      </c>
      <c r="Q517" s="12">
        <f t="shared" si="51"/>
        <v>0</v>
      </c>
      <c r="R517" s="12">
        <f t="shared" si="52"/>
        <v>0</v>
      </c>
      <c r="S517" s="12">
        <f t="shared" si="53"/>
        <v>0</v>
      </c>
      <c r="T517" s="12">
        <f t="shared" si="54"/>
        <v>0</v>
      </c>
      <c r="U517" s="14" t="str">
        <f t="shared" si="55"/>
        <v/>
      </c>
    </row>
    <row r="518" spans="12:21" x14ac:dyDescent="0.25">
      <c r="L518" s="18">
        <f t="shared" si="50"/>
        <v>0</v>
      </c>
      <c r="M518" s="13" t="e">
        <f>VLOOKUP(G518,Sell!G:L,1,0)</f>
        <v>#N/A</v>
      </c>
      <c r="N518" s="13">
        <f>IFERROR(VLOOKUP(G518,Sell!G:L,2,0),0)</f>
        <v>0</v>
      </c>
      <c r="O518" s="12">
        <f>IFERROR(VLOOKUP(G518,Sell!G:L,6,0),0)</f>
        <v>0</v>
      </c>
      <c r="P518" s="13">
        <f t="shared" si="49"/>
        <v>0</v>
      </c>
      <c r="Q518" s="12">
        <f t="shared" si="51"/>
        <v>0</v>
      </c>
      <c r="R518" s="12">
        <f t="shared" si="52"/>
        <v>0</v>
      </c>
      <c r="S518" s="12">
        <f t="shared" si="53"/>
        <v>0</v>
      </c>
      <c r="T518" s="12">
        <f t="shared" si="54"/>
        <v>0</v>
      </c>
      <c r="U518" s="14" t="str">
        <f t="shared" si="55"/>
        <v/>
      </c>
    </row>
    <row r="519" spans="12:21" x14ac:dyDescent="0.25">
      <c r="L519" s="18">
        <f t="shared" si="50"/>
        <v>0</v>
      </c>
      <c r="M519" s="13" t="e">
        <f>VLOOKUP(G519,Sell!G:L,1,0)</f>
        <v>#N/A</v>
      </c>
      <c r="N519" s="13">
        <f>IFERROR(VLOOKUP(G519,Sell!G:L,2,0),0)</f>
        <v>0</v>
      </c>
      <c r="O519" s="12">
        <f>IFERROR(VLOOKUP(G519,Sell!G:L,6,0),0)</f>
        <v>0</v>
      </c>
      <c r="P519" s="13">
        <f t="shared" si="49"/>
        <v>0</v>
      </c>
      <c r="Q519" s="12">
        <f t="shared" si="51"/>
        <v>0</v>
      </c>
      <c r="R519" s="12">
        <f t="shared" si="52"/>
        <v>0</v>
      </c>
      <c r="S519" s="12">
        <f t="shared" si="53"/>
        <v>0</v>
      </c>
      <c r="T519" s="12">
        <f t="shared" si="54"/>
        <v>0</v>
      </c>
      <c r="U519" s="14" t="str">
        <f t="shared" si="55"/>
        <v/>
      </c>
    </row>
    <row r="520" spans="12:21" x14ac:dyDescent="0.25">
      <c r="L520" s="18">
        <f t="shared" si="50"/>
        <v>0</v>
      </c>
      <c r="M520" s="13" t="e">
        <f>VLOOKUP(G520,Sell!G:L,1,0)</f>
        <v>#N/A</v>
      </c>
      <c r="N520" s="13">
        <f>IFERROR(VLOOKUP(G520,Sell!G:L,2,0),0)</f>
        <v>0</v>
      </c>
      <c r="O520" s="12">
        <f>IFERROR(VLOOKUP(G520,Sell!G:L,6,0),0)</f>
        <v>0</v>
      </c>
      <c r="P520" s="13">
        <f t="shared" si="49"/>
        <v>0</v>
      </c>
      <c r="Q520" s="12">
        <f t="shared" si="51"/>
        <v>0</v>
      </c>
      <c r="R520" s="12">
        <f t="shared" si="52"/>
        <v>0</v>
      </c>
      <c r="S520" s="12">
        <f t="shared" si="53"/>
        <v>0</v>
      </c>
      <c r="T520" s="12">
        <f t="shared" si="54"/>
        <v>0</v>
      </c>
      <c r="U520" s="14" t="str">
        <f t="shared" si="55"/>
        <v/>
      </c>
    </row>
    <row r="521" spans="12:21" x14ac:dyDescent="0.25">
      <c r="L521" s="18">
        <f t="shared" si="50"/>
        <v>0</v>
      </c>
      <c r="M521" s="13" t="e">
        <f>VLOOKUP(G521,Sell!G:L,1,0)</f>
        <v>#N/A</v>
      </c>
      <c r="N521" s="13">
        <f>IFERROR(VLOOKUP(G521,Sell!G:L,2,0),0)</f>
        <v>0</v>
      </c>
      <c r="O521" s="12">
        <f>IFERROR(VLOOKUP(G521,Sell!G:L,6,0),0)</f>
        <v>0</v>
      </c>
      <c r="P521" s="13">
        <f t="shared" si="49"/>
        <v>0</v>
      </c>
      <c r="Q521" s="12">
        <f t="shared" si="51"/>
        <v>0</v>
      </c>
      <c r="R521" s="12">
        <f t="shared" si="52"/>
        <v>0</v>
      </c>
      <c r="S521" s="12">
        <f t="shared" si="53"/>
        <v>0</v>
      </c>
      <c r="T521" s="12">
        <f t="shared" si="54"/>
        <v>0</v>
      </c>
      <c r="U521" s="14" t="str">
        <f t="shared" si="55"/>
        <v/>
      </c>
    </row>
    <row r="522" spans="12:21" x14ac:dyDescent="0.25">
      <c r="L522" s="18">
        <f t="shared" si="50"/>
        <v>0</v>
      </c>
      <c r="M522" s="13" t="e">
        <f>VLOOKUP(G522,Sell!G:L,1,0)</f>
        <v>#N/A</v>
      </c>
      <c r="N522" s="13">
        <f>IFERROR(VLOOKUP(G522,Sell!G:L,2,0),0)</f>
        <v>0</v>
      </c>
      <c r="O522" s="12">
        <f>IFERROR(VLOOKUP(G522,Sell!G:L,6,0),0)</f>
        <v>0</v>
      </c>
      <c r="P522" s="13">
        <f t="shared" ref="P522:P585" si="56">H522-N522</f>
        <v>0</v>
      </c>
      <c r="Q522" s="12">
        <f t="shared" si="51"/>
        <v>0</v>
      </c>
      <c r="R522" s="12">
        <f t="shared" si="52"/>
        <v>0</v>
      </c>
      <c r="S522" s="12">
        <f t="shared" si="53"/>
        <v>0</v>
      </c>
      <c r="T522" s="12">
        <f t="shared" si="54"/>
        <v>0</v>
      </c>
      <c r="U522" s="14" t="str">
        <f t="shared" si="55"/>
        <v/>
      </c>
    </row>
    <row r="523" spans="12:21" x14ac:dyDescent="0.25">
      <c r="L523" s="18">
        <f t="shared" ref="L523:L586" si="57">J523+K523</f>
        <v>0</v>
      </c>
      <c r="M523" s="13" t="e">
        <f>VLOOKUP(G523,Sell!G:L,1,0)</f>
        <v>#N/A</v>
      </c>
      <c r="N523" s="13">
        <f>IFERROR(VLOOKUP(G523,Sell!G:L,2,0),0)</f>
        <v>0</v>
      </c>
      <c r="O523" s="12">
        <f>IFERROR(VLOOKUP(G523,Sell!G:L,6,0),0)</f>
        <v>0</v>
      </c>
      <c r="P523" s="13">
        <f t="shared" si="56"/>
        <v>0</v>
      </c>
      <c r="Q523" s="12">
        <f t="shared" ref="Q523:Q586" si="58">O523-L523</f>
        <v>0</v>
      </c>
      <c r="R523" s="12">
        <f t="shared" ref="R523:R586" si="59">IF(P523=0,Q523,0)</f>
        <v>0</v>
      </c>
      <c r="S523" s="12">
        <f t="shared" ref="S523:S586" si="60">IF(R523&gt;0,R523,0)</f>
        <v>0</v>
      </c>
      <c r="T523" s="12">
        <f t="shared" ref="T523:T586" si="61">IF(R523&gt;0,0,R523)</f>
        <v>0</v>
      </c>
      <c r="U523" s="14" t="str">
        <f t="shared" ref="U523:U586" si="62">IF(AND(LEN(G523)&gt;0,R523=0),"Open","")</f>
        <v/>
      </c>
    </row>
    <row r="524" spans="12:21" x14ac:dyDescent="0.25">
      <c r="L524" s="18">
        <f t="shared" si="57"/>
        <v>0</v>
      </c>
      <c r="M524" s="13" t="e">
        <f>VLOOKUP(G524,Sell!G:L,1,0)</f>
        <v>#N/A</v>
      </c>
      <c r="N524" s="13">
        <f>IFERROR(VLOOKUP(G524,Sell!G:L,2,0),0)</f>
        <v>0</v>
      </c>
      <c r="O524" s="12">
        <f>IFERROR(VLOOKUP(G524,Sell!G:L,6,0),0)</f>
        <v>0</v>
      </c>
      <c r="P524" s="13">
        <f t="shared" si="56"/>
        <v>0</v>
      </c>
      <c r="Q524" s="12">
        <f t="shared" si="58"/>
        <v>0</v>
      </c>
      <c r="R524" s="12">
        <f t="shared" si="59"/>
        <v>0</v>
      </c>
      <c r="S524" s="12">
        <f t="shared" si="60"/>
        <v>0</v>
      </c>
      <c r="T524" s="12">
        <f t="shared" si="61"/>
        <v>0</v>
      </c>
      <c r="U524" s="14" t="str">
        <f t="shared" si="62"/>
        <v/>
      </c>
    </row>
    <row r="525" spans="12:21" x14ac:dyDescent="0.25">
      <c r="L525" s="18">
        <f t="shared" si="57"/>
        <v>0</v>
      </c>
      <c r="M525" s="13" t="e">
        <f>VLOOKUP(G525,Sell!G:L,1,0)</f>
        <v>#N/A</v>
      </c>
      <c r="N525" s="13">
        <f>IFERROR(VLOOKUP(G525,Sell!G:L,2,0),0)</f>
        <v>0</v>
      </c>
      <c r="O525" s="12">
        <f>IFERROR(VLOOKUP(G525,Sell!G:L,6,0),0)</f>
        <v>0</v>
      </c>
      <c r="P525" s="13">
        <f t="shared" si="56"/>
        <v>0</v>
      </c>
      <c r="Q525" s="12">
        <f t="shared" si="58"/>
        <v>0</v>
      </c>
      <c r="R525" s="12">
        <f t="shared" si="59"/>
        <v>0</v>
      </c>
      <c r="S525" s="12">
        <f t="shared" si="60"/>
        <v>0</v>
      </c>
      <c r="T525" s="12">
        <f t="shared" si="61"/>
        <v>0</v>
      </c>
      <c r="U525" s="14" t="str">
        <f t="shared" si="62"/>
        <v/>
      </c>
    </row>
    <row r="526" spans="12:21" x14ac:dyDescent="0.25">
      <c r="L526" s="18">
        <f t="shared" si="57"/>
        <v>0</v>
      </c>
      <c r="M526" s="13" t="e">
        <f>VLOOKUP(G526,Sell!G:L,1,0)</f>
        <v>#N/A</v>
      </c>
      <c r="N526" s="13">
        <f>IFERROR(VLOOKUP(G526,Sell!G:L,2,0),0)</f>
        <v>0</v>
      </c>
      <c r="O526" s="12">
        <f>IFERROR(VLOOKUP(G526,Sell!G:L,6,0),0)</f>
        <v>0</v>
      </c>
      <c r="P526" s="13">
        <f t="shared" si="56"/>
        <v>0</v>
      </c>
      <c r="Q526" s="12">
        <f t="shared" si="58"/>
        <v>0</v>
      </c>
      <c r="R526" s="12">
        <f t="shared" si="59"/>
        <v>0</v>
      </c>
      <c r="S526" s="12">
        <f t="shared" si="60"/>
        <v>0</v>
      </c>
      <c r="T526" s="12">
        <f t="shared" si="61"/>
        <v>0</v>
      </c>
      <c r="U526" s="14" t="str">
        <f t="shared" si="62"/>
        <v/>
      </c>
    </row>
    <row r="527" spans="12:21" x14ac:dyDescent="0.25">
      <c r="L527" s="18">
        <f t="shared" si="57"/>
        <v>0</v>
      </c>
      <c r="M527" s="13" t="e">
        <f>VLOOKUP(G527,Sell!G:L,1,0)</f>
        <v>#N/A</v>
      </c>
      <c r="N527" s="13">
        <f>IFERROR(VLOOKUP(G527,Sell!G:L,2,0),0)</f>
        <v>0</v>
      </c>
      <c r="O527" s="12">
        <f>IFERROR(VLOOKUP(G527,Sell!G:L,6,0),0)</f>
        <v>0</v>
      </c>
      <c r="P527" s="13">
        <f t="shared" si="56"/>
        <v>0</v>
      </c>
      <c r="Q527" s="12">
        <f t="shared" si="58"/>
        <v>0</v>
      </c>
      <c r="R527" s="12">
        <f t="shared" si="59"/>
        <v>0</v>
      </c>
      <c r="S527" s="12">
        <f t="shared" si="60"/>
        <v>0</v>
      </c>
      <c r="T527" s="12">
        <f t="shared" si="61"/>
        <v>0</v>
      </c>
      <c r="U527" s="14" t="str">
        <f t="shared" si="62"/>
        <v/>
      </c>
    </row>
    <row r="528" spans="12:21" x14ac:dyDescent="0.25">
      <c r="L528" s="18">
        <f t="shared" si="57"/>
        <v>0</v>
      </c>
      <c r="M528" s="13" t="e">
        <f>VLOOKUP(G528,Sell!G:L,1,0)</f>
        <v>#N/A</v>
      </c>
      <c r="N528" s="13">
        <f>IFERROR(VLOOKUP(G528,Sell!G:L,2,0),0)</f>
        <v>0</v>
      </c>
      <c r="O528" s="12">
        <f>IFERROR(VLOOKUP(G528,Sell!G:L,6,0),0)</f>
        <v>0</v>
      </c>
      <c r="P528" s="13">
        <f t="shared" si="56"/>
        <v>0</v>
      </c>
      <c r="Q528" s="12">
        <f t="shared" si="58"/>
        <v>0</v>
      </c>
      <c r="R528" s="12">
        <f t="shared" si="59"/>
        <v>0</v>
      </c>
      <c r="S528" s="12">
        <f t="shared" si="60"/>
        <v>0</v>
      </c>
      <c r="T528" s="12">
        <f t="shared" si="61"/>
        <v>0</v>
      </c>
      <c r="U528" s="14" t="str">
        <f t="shared" si="62"/>
        <v/>
      </c>
    </row>
    <row r="529" spans="12:21" x14ac:dyDescent="0.25">
      <c r="L529" s="18">
        <f t="shared" si="57"/>
        <v>0</v>
      </c>
      <c r="M529" s="13" t="e">
        <f>VLOOKUP(G529,Sell!G:L,1,0)</f>
        <v>#N/A</v>
      </c>
      <c r="N529" s="13">
        <f>IFERROR(VLOOKUP(G529,Sell!G:L,2,0),0)</f>
        <v>0</v>
      </c>
      <c r="O529" s="12">
        <f>IFERROR(VLOOKUP(G529,Sell!G:L,6,0),0)</f>
        <v>0</v>
      </c>
      <c r="P529" s="13">
        <f t="shared" si="56"/>
        <v>0</v>
      </c>
      <c r="Q529" s="12">
        <f t="shared" si="58"/>
        <v>0</v>
      </c>
      <c r="R529" s="12">
        <f t="shared" si="59"/>
        <v>0</v>
      </c>
      <c r="S529" s="12">
        <f t="shared" si="60"/>
        <v>0</v>
      </c>
      <c r="T529" s="12">
        <f t="shared" si="61"/>
        <v>0</v>
      </c>
      <c r="U529" s="14" t="str">
        <f t="shared" si="62"/>
        <v/>
      </c>
    </row>
    <row r="530" spans="12:21" x14ac:dyDescent="0.25">
      <c r="L530" s="18">
        <f t="shared" si="57"/>
        <v>0</v>
      </c>
      <c r="M530" s="13" t="e">
        <f>VLOOKUP(G530,Sell!G:L,1,0)</f>
        <v>#N/A</v>
      </c>
      <c r="N530" s="13">
        <f>IFERROR(VLOOKUP(G530,Sell!G:L,2,0),0)</f>
        <v>0</v>
      </c>
      <c r="O530" s="12">
        <f>IFERROR(VLOOKUP(G530,Sell!G:L,6,0),0)</f>
        <v>0</v>
      </c>
      <c r="P530" s="13">
        <f t="shared" si="56"/>
        <v>0</v>
      </c>
      <c r="Q530" s="12">
        <f t="shared" si="58"/>
        <v>0</v>
      </c>
      <c r="R530" s="12">
        <f t="shared" si="59"/>
        <v>0</v>
      </c>
      <c r="S530" s="12">
        <f t="shared" si="60"/>
        <v>0</v>
      </c>
      <c r="T530" s="12">
        <f t="shared" si="61"/>
        <v>0</v>
      </c>
      <c r="U530" s="14" t="str">
        <f t="shared" si="62"/>
        <v/>
      </c>
    </row>
    <row r="531" spans="12:21" x14ac:dyDescent="0.25">
      <c r="L531" s="18">
        <f t="shared" si="57"/>
        <v>0</v>
      </c>
      <c r="M531" s="13" t="e">
        <f>VLOOKUP(G531,Sell!G:L,1,0)</f>
        <v>#N/A</v>
      </c>
      <c r="N531" s="13">
        <f>IFERROR(VLOOKUP(G531,Sell!G:L,2,0),0)</f>
        <v>0</v>
      </c>
      <c r="O531" s="12">
        <f>IFERROR(VLOOKUP(G531,Sell!G:L,6,0),0)</f>
        <v>0</v>
      </c>
      <c r="P531" s="13">
        <f t="shared" si="56"/>
        <v>0</v>
      </c>
      <c r="Q531" s="12">
        <f t="shared" si="58"/>
        <v>0</v>
      </c>
      <c r="R531" s="12">
        <f t="shared" si="59"/>
        <v>0</v>
      </c>
      <c r="S531" s="12">
        <f t="shared" si="60"/>
        <v>0</v>
      </c>
      <c r="T531" s="12">
        <f t="shared" si="61"/>
        <v>0</v>
      </c>
      <c r="U531" s="14" t="str">
        <f t="shared" si="62"/>
        <v/>
      </c>
    </row>
    <row r="532" spans="12:21" x14ac:dyDescent="0.25">
      <c r="L532" s="18">
        <f t="shared" si="57"/>
        <v>0</v>
      </c>
      <c r="M532" s="13" t="e">
        <f>VLOOKUP(G532,Sell!G:L,1,0)</f>
        <v>#N/A</v>
      </c>
      <c r="N532" s="13">
        <f>IFERROR(VLOOKUP(G532,Sell!G:L,2,0),0)</f>
        <v>0</v>
      </c>
      <c r="O532" s="12">
        <f>IFERROR(VLOOKUP(G532,Sell!G:L,6,0),0)</f>
        <v>0</v>
      </c>
      <c r="P532" s="13">
        <f t="shared" si="56"/>
        <v>0</v>
      </c>
      <c r="Q532" s="12">
        <f t="shared" si="58"/>
        <v>0</v>
      </c>
      <c r="R532" s="12">
        <f t="shared" si="59"/>
        <v>0</v>
      </c>
      <c r="S532" s="12">
        <f t="shared" si="60"/>
        <v>0</v>
      </c>
      <c r="T532" s="12">
        <f t="shared" si="61"/>
        <v>0</v>
      </c>
      <c r="U532" s="14" t="str">
        <f t="shared" si="62"/>
        <v/>
      </c>
    </row>
    <row r="533" spans="12:21" x14ac:dyDescent="0.25">
      <c r="L533" s="18">
        <f t="shared" si="57"/>
        <v>0</v>
      </c>
      <c r="M533" s="13" t="e">
        <f>VLOOKUP(G533,Sell!G:L,1,0)</f>
        <v>#N/A</v>
      </c>
      <c r="N533" s="13">
        <f>IFERROR(VLOOKUP(G533,Sell!G:L,2,0),0)</f>
        <v>0</v>
      </c>
      <c r="O533" s="12">
        <f>IFERROR(VLOOKUP(G533,Sell!G:L,6,0),0)</f>
        <v>0</v>
      </c>
      <c r="P533" s="13">
        <f t="shared" si="56"/>
        <v>0</v>
      </c>
      <c r="Q533" s="12">
        <f t="shared" si="58"/>
        <v>0</v>
      </c>
      <c r="R533" s="12">
        <f t="shared" si="59"/>
        <v>0</v>
      </c>
      <c r="S533" s="12">
        <f t="shared" si="60"/>
        <v>0</v>
      </c>
      <c r="T533" s="12">
        <f t="shared" si="61"/>
        <v>0</v>
      </c>
      <c r="U533" s="14" t="str">
        <f t="shared" si="62"/>
        <v/>
      </c>
    </row>
    <row r="534" spans="12:21" x14ac:dyDescent="0.25">
      <c r="L534" s="18">
        <f t="shared" si="57"/>
        <v>0</v>
      </c>
      <c r="M534" s="13" t="e">
        <f>VLOOKUP(G534,Sell!G:L,1,0)</f>
        <v>#N/A</v>
      </c>
      <c r="N534" s="13">
        <f>IFERROR(VLOOKUP(G534,Sell!G:L,2,0),0)</f>
        <v>0</v>
      </c>
      <c r="O534" s="12">
        <f>IFERROR(VLOOKUP(G534,Sell!G:L,6,0),0)</f>
        <v>0</v>
      </c>
      <c r="P534" s="13">
        <f t="shared" si="56"/>
        <v>0</v>
      </c>
      <c r="Q534" s="12">
        <f t="shared" si="58"/>
        <v>0</v>
      </c>
      <c r="R534" s="12">
        <f t="shared" si="59"/>
        <v>0</v>
      </c>
      <c r="S534" s="12">
        <f t="shared" si="60"/>
        <v>0</v>
      </c>
      <c r="T534" s="12">
        <f t="shared" si="61"/>
        <v>0</v>
      </c>
      <c r="U534" s="14" t="str">
        <f t="shared" si="62"/>
        <v/>
      </c>
    </row>
    <row r="535" spans="12:21" x14ac:dyDescent="0.25">
      <c r="L535" s="18">
        <f t="shared" si="57"/>
        <v>0</v>
      </c>
      <c r="M535" s="13" t="e">
        <f>VLOOKUP(G535,Sell!G:L,1,0)</f>
        <v>#N/A</v>
      </c>
      <c r="N535" s="13">
        <f>IFERROR(VLOOKUP(G535,Sell!G:L,2,0),0)</f>
        <v>0</v>
      </c>
      <c r="O535" s="12">
        <f>IFERROR(VLOOKUP(G535,Sell!G:L,6,0),0)</f>
        <v>0</v>
      </c>
      <c r="P535" s="13">
        <f t="shared" si="56"/>
        <v>0</v>
      </c>
      <c r="Q535" s="12">
        <f t="shared" si="58"/>
        <v>0</v>
      </c>
      <c r="R535" s="12">
        <f t="shared" si="59"/>
        <v>0</v>
      </c>
      <c r="S535" s="12">
        <f t="shared" si="60"/>
        <v>0</v>
      </c>
      <c r="T535" s="12">
        <f t="shared" si="61"/>
        <v>0</v>
      </c>
      <c r="U535" s="14" t="str">
        <f t="shared" si="62"/>
        <v/>
      </c>
    </row>
    <row r="536" spans="12:21" x14ac:dyDescent="0.25">
      <c r="L536" s="18">
        <f t="shared" si="57"/>
        <v>0</v>
      </c>
      <c r="M536" s="13" t="e">
        <f>VLOOKUP(G536,Sell!G:L,1,0)</f>
        <v>#N/A</v>
      </c>
      <c r="N536" s="13">
        <f>IFERROR(VLOOKUP(G536,Sell!G:L,2,0),0)</f>
        <v>0</v>
      </c>
      <c r="O536" s="12">
        <f>IFERROR(VLOOKUP(G536,Sell!G:L,6,0),0)</f>
        <v>0</v>
      </c>
      <c r="P536" s="13">
        <f t="shared" si="56"/>
        <v>0</v>
      </c>
      <c r="Q536" s="12">
        <f t="shared" si="58"/>
        <v>0</v>
      </c>
      <c r="R536" s="12">
        <f t="shared" si="59"/>
        <v>0</v>
      </c>
      <c r="S536" s="12">
        <f t="shared" si="60"/>
        <v>0</v>
      </c>
      <c r="T536" s="12">
        <f t="shared" si="61"/>
        <v>0</v>
      </c>
      <c r="U536" s="14" t="str">
        <f t="shared" si="62"/>
        <v/>
      </c>
    </row>
    <row r="537" spans="12:21" x14ac:dyDescent="0.25">
      <c r="L537" s="18">
        <f t="shared" si="57"/>
        <v>0</v>
      </c>
      <c r="M537" s="13" t="e">
        <f>VLOOKUP(G537,Sell!G:L,1,0)</f>
        <v>#N/A</v>
      </c>
      <c r="N537" s="13">
        <f>IFERROR(VLOOKUP(G537,Sell!G:L,2,0),0)</f>
        <v>0</v>
      </c>
      <c r="O537" s="12">
        <f>IFERROR(VLOOKUP(G537,Sell!G:L,6,0),0)</f>
        <v>0</v>
      </c>
      <c r="P537" s="13">
        <f t="shared" si="56"/>
        <v>0</v>
      </c>
      <c r="Q537" s="12">
        <f t="shared" si="58"/>
        <v>0</v>
      </c>
      <c r="R537" s="12">
        <f t="shared" si="59"/>
        <v>0</v>
      </c>
      <c r="S537" s="12">
        <f t="shared" si="60"/>
        <v>0</v>
      </c>
      <c r="T537" s="12">
        <f t="shared" si="61"/>
        <v>0</v>
      </c>
      <c r="U537" s="14" t="str">
        <f t="shared" si="62"/>
        <v/>
      </c>
    </row>
    <row r="538" spans="12:21" x14ac:dyDescent="0.25">
      <c r="L538" s="18">
        <f t="shared" si="57"/>
        <v>0</v>
      </c>
      <c r="M538" s="13" t="e">
        <f>VLOOKUP(G538,Sell!G:L,1,0)</f>
        <v>#N/A</v>
      </c>
      <c r="N538" s="13">
        <f>IFERROR(VLOOKUP(G538,Sell!G:L,2,0),0)</f>
        <v>0</v>
      </c>
      <c r="O538" s="12">
        <f>IFERROR(VLOOKUP(G538,Sell!G:L,6,0),0)</f>
        <v>0</v>
      </c>
      <c r="P538" s="13">
        <f t="shared" si="56"/>
        <v>0</v>
      </c>
      <c r="Q538" s="12">
        <f t="shared" si="58"/>
        <v>0</v>
      </c>
      <c r="R538" s="12">
        <f t="shared" si="59"/>
        <v>0</v>
      </c>
      <c r="S538" s="12">
        <f t="shared" si="60"/>
        <v>0</v>
      </c>
      <c r="T538" s="12">
        <f t="shared" si="61"/>
        <v>0</v>
      </c>
      <c r="U538" s="14" t="str">
        <f t="shared" si="62"/>
        <v/>
      </c>
    </row>
    <row r="539" spans="12:21" x14ac:dyDescent="0.25">
      <c r="L539" s="18">
        <f t="shared" si="57"/>
        <v>0</v>
      </c>
      <c r="M539" s="13" t="e">
        <f>VLOOKUP(G539,Sell!G:L,1,0)</f>
        <v>#N/A</v>
      </c>
      <c r="N539" s="13">
        <f>IFERROR(VLOOKUP(G539,Sell!G:L,2,0),0)</f>
        <v>0</v>
      </c>
      <c r="O539" s="12">
        <f>IFERROR(VLOOKUP(G539,Sell!G:L,6,0),0)</f>
        <v>0</v>
      </c>
      <c r="P539" s="13">
        <f t="shared" si="56"/>
        <v>0</v>
      </c>
      <c r="Q539" s="12">
        <f t="shared" si="58"/>
        <v>0</v>
      </c>
      <c r="R539" s="12">
        <f t="shared" si="59"/>
        <v>0</v>
      </c>
      <c r="S539" s="12">
        <f t="shared" si="60"/>
        <v>0</v>
      </c>
      <c r="T539" s="12">
        <f t="shared" si="61"/>
        <v>0</v>
      </c>
      <c r="U539" s="14" t="str">
        <f t="shared" si="62"/>
        <v/>
      </c>
    </row>
    <row r="540" spans="12:21" x14ac:dyDescent="0.25">
      <c r="L540" s="18">
        <f t="shared" si="57"/>
        <v>0</v>
      </c>
      <c r="M540" s="13" t="e">
        <f>VLOOKUP(G540,Sell!G:L,1,0)</f>
        <v>#N/A</v>
      </c>
      <c r="N540" s="13">
        <f>IFERROR(VLOOKUP(G540,Sell!G:L,2,0),0)</f>
        <v>0</v>
      </c>
      <c r="O540" s="12">
        <f>IFERROR(VLOOKUP(G540,Sell!G:L,6,0),0)</f>
        <v>0</v>
      </c>
      <c r="P540" s="13">
        <f t="shared" si="56"/>
        <v>0</v>
      </c>
      <c r="Q540" s="12">
        <f t="shared" si="58"/>
        <v>0</v>
      </c>
      <c r="R540" s="12">
        <f t="shared" si="59"/>
        <v>0</v>
      </c>
      <c r="S540" s="12">
        <f t="shared" si="60"/>
        <v>0</v>
      </c>
      <c r="T540" s="12">
        <f t="shared" si="61"/>
        <v>0</v>
      </c>
      <c r="U540" s="14" t="str">
        <f t="shared" si="62"/>
        <v/>
      </c>
    </row>
    <row r="541" spans="12:21" x14ac:dyDescent="0.25">
      <c r="L541" s="18">
        <f t="shared" si="57"/>
        <v>0</v>
      </c>
      <c r="M541" s="13" t="e">
        <f>VLOOKUP(G541,Sell!G:L,1,0)</f>
        <v>#N/A</v>
      </c>
      <c r="N541" s="13">
        <f>IFERROR(VLOOKUP(G541,Sell!G:L,2,0),0)</f>
        <v>0</v>
      </c>
      <c r="O541" s="12">
        <f>IFERROR(VLOOKUP(G541,Sell!G:L,6,0),0)</f>
        <v>0</v>
      </c>
      <c r="P541" s="13">
        <f t="shared" si="56"/>
        <v>0</v>
      </c>
      <c r="Q541" s="12">
        <f t="shared" si="58"/>
        <v>0</v>
      </c>
      <c r="R541" s="12">
        <f t="shared" si="59"/>
        <v>0</v>
      </c>
      <c r="S541" s="12">
        <f t="shared" si="60"/>
        <v>0</v>
      </c>
      <c r="T541" s="12">
        <f t="shared" si="61"/>
        <v>0</v>
      </c>
      <c r="U541" s="14" t="str">
        <f t="shared" si="62"/>
        <v/>
      </c>
    </row>
    <row r="542" spans="12:21" x14ac:dyDescent="0.25">
      <c r="L542" s="18">
        <f t="shared" si="57"/>
        <v>0</v>
      </c>
      <c r="M542" s="13" t="e">
        <f>VLOOKUP(G542,Sell!G:L,1,0)</f>
        <v>#N/A</v>
      </c>
      <c r="N542" s="13">
        <f>IFERROR(VLOOKUP(G542,Sell!G:L,2,0),0)</f>
        <v>0</v>
      </c>
      <c r="O542" s="12">
        <f>IFERROR(VLOOKUP(G542,Sell!G:L,6,0),0)</f>
        <v>0</v>
      </c>
      <c r="P542" s="13">
        <f t="shared" si="56"/>
        <v>0</v>
      </c>
      <c r="Q542" s="12">
        <f t="shared" si="58"/>
        <v>0</v>
      </c>
      <c r="R542" s="12">
        <f t="shared" si="59"/>
        <v>0</v>
      </c>
      <c r="S542" s="12">
        <f t="shared" si="60"/>
        <v>0</v>
      </c>
      <c r="T542" s="12">
        <f t="shared" si="61"/>
        <v>0</v>
      </c>
      <c r="U542" s="14" t="str">
        <f t="shared" si="62"/>
        <v/>
      </c>
    </row>
    <row r="543" spans="12:21" x14ac:dyDescent="0.25">
      <c r="L543" s="18">
        <f t="shared" si="57"/>
        <v>0</v>
      </c>
      <c r="M543" s="13" t="e">
        <f>VLOOKUP(G543,Sell!G:L,1,0)</f>
        <v>#N/A</v>
      </c>
      <c r="N543" s="13">
        <f>IFERROR(VLOOKUP(G543,Sell!G:L,2,0),0)</f>
        <v>0</v>
      </c>
      <c r="O543" s="12">
        <f>IFERROR(VLOOKUP(G543,Sell!G:L,6,0),0)</f>
        <v>0</v>
      </c>
      <c r="P543" s="13">
        <f t="shared" si="56"/>
        <v>0</v>
      </c>
      <c r="Q543" s="12">
        <f t="shared" si="58"/>
        <v>0</v>
      </c>
      <c r="R543" s="12">
        <f t="shared" si="59"/>
        <v>0</v>
      </c>
      <c r="S543" s="12">
        <f t="shared" si="60"/>
        <v>0</v>
      </c>
      <c r="T543" s="12">
        <f t="shared" si="61"/>
        <v>0</v>
      </c>
      <c r="U543" s="14" t="str">
        <f t="shared" si="62"/>
        <v/>
      </c>
    </row>
    <row r="544" spans="12:21" x14ac:dyDescent="0.25">
      <c r="L544" s="18">
        <f t="shared" si="57"/>
        <v>0</v>
      </c>
      <c r="M544" s="13" t="e">
        <f>VLOOKUP(G544,Sell!G:L,1,0)</f>
        <v>#N/A</v>
      </c>
      <c r="N544" s="13">
        <f>IFERROR(VLOOKUP(G544,Sell!G:L,2,0),0)</f>
        <v>0</v>
      </c>
      <c r="O544" s="12">
        <f>IFERROR(VLOOKUP(G544,Sell!G:L,6,0),0)</f>
        <v>0</v>
      </c>
      <c r="P544" s="13">
        <f t="shared" si="56"/>
        <v>0</v>
      </c>
      <c r="Q544" s="12">
        <f t="shared" si="58"/>
        <v>0</v>
      </c>
      <c r="R544" s="12">
        <f t="shared" si="59"/>
        <v>0</v>
      </c>
      <c r="S544" s="12">
        <f t="shared" si="60"/>
        <v>0</v>
      </c>
      <c r="T544" s="12">
        <f t="shared" si="61"/>
        <v>0</v>
      </c>
      <c r="U544" s="14" t="str">
        <f t="shared" si="62"/>
        <v/>
      </c>
    </row>
    <row r="545" spans="12:21" x14ac:dyDescent="0.25">
      <c r="L545" s="18">
        <f t="shared" si="57"/>
        <v>0</v>
      </c>
      <c r="M545" s="13" t="e">
        <f>VLOOKUP(G545,Sell!G:L,1,0)</f>
        <v>#N/A</v>
      </c>
      <c r="N545" s="13">
        <f>IFERROR(VLOOKUP(G545,Sell!G:L,2,0),0)</f>
        <v>0</v>
      </c>
      <c r="O545" s="12">
        <f>IFERROR(VLOOKUP(G545,Sell!G:L,6,0),0)</f>
        <v>0</v>
      </c>
      <c r="P545" s="13">
        <f t="shared" si="56"/>
        <v>0</v>
      </c>
      <c r="Q545" s="12">
        <f t="shared" si="58"/>
        <v>0</v>
      </c>
      <c r="R545" s="12">
        <f t="shared" si="59"/>
        <v>0</v>
      </c>
      <c r="S545" s="12">
        <f t="shared" si="60"/>
        <v>0</v>
      </c>
      <c r="T545" s="12">
        <f t="shared" si="61"/>
        <v>0</v>
      </c>
      <c r="U545" s="14" t="str">
        <f t="shared" si="62"/>
        <v/>
      </c>
    </row>
    <row r="546" spans="12:21" x14ac:dyDescent="0.25">
      <c r="L546" s="18">
        <f t="shared" si="57"/>
        <v>0</v>
      </c>
      <c r="M546" s="13" t="e">
        <f>VLOOKUP(G546,Sell!G:L,1,0)</f>
        <v>#N/A</v>
      </c>
      <c r="N546" s="13">
        <f>IFERROR(VLOOKUP(G546,Sell!G:L,2,0),0)</f>
        <v>0</v>
      </c>
      <c r="O546" s="12">
        <f>IFERROR(VLOOKUP(G546,Sell!G:L,6,0),0)</f>
        <v>0</v>
      </c>
      <c r="P546" s="13">
        <f t="shared" si="56"/>
        <v>0</v>
      </c>
      <c r="Q546" s="12">
        <f t="shared" si="58"/>
        <v>0</v>
      </c>
      <c r="R546" s="12">
        <f t="shared" si="59"/>
        <v>0</v>
      </c>
      <c r="S546" s="12">
        <f t="shared" si="60"/>
        <v>0</v>
      </c>
      <c r="T546" s="12">
        <f t="shared" si="61"/>
        <v>0</v>
      </c>
      <c r="U546" s="14" t="str">
        <f t="shared" si="62"/>
        <v/>
      </c>
    </row>
    <row r="547" spans="12:21" x14ac:dyDescent="0.25">
      <c r="L547" s="18">
        <f t="shared" si="57"/>
        <v>0</v>
      </c>
      <c r="M547" s="13" t="e">
        <f>VLOOKUP(G547,Sell!G:L,1,0)</f>
        <v>#N/A</v>
      </c>
      <c r="N547" s="13">
        <f>IFERROR(VLOOKUP(G547,Sell!G:L,2,0),0)</f>
        <v>0</v>
      </c>
      <c r="O547" s="12">
        <f>IFERROR(VLOOKUP(G547,Sell!G:L,6,0),0)</f>
        <v>0</v>
      </c>
      <c r="P547" s="13">
        <f t="shared" si="56"/>
        <v>0</v>
      </c>
      <c r="Q547" s="12">
        <f t="shared" si="58"/>
        <v>0</v>
      </c>
      <c r="R547" s="12">
        <f t="shared" si="59"/>
        <v>0</v>
      </c>
      <c r="S547" s="12">
        <f t="shared" si="60"/>
        <v>0</v>
      </c>
      <c r="T547" s="12">
        <f t="shared" si="61"/>
        <v>0</v>
      </c>
      <c r="U547" s="14" t="str">
        <f t="shared" si="62"/>
        <v/>
      </c>
    </row>
    <row r="548" spans="12:21" x14ac:dyDescent="0.25">
      <c r="L548" s="18">
        <f t="shared" si="57"/>
        <v>0</v>
      </c>
      <c r="M548" s="13" t="e">
        <f>VLOOKUP(G548,Sell!G:L,1,0)</f>
        <v>#N/A</v>
      </c>
      <c r="N548" s="13">
        <f>IFERROR(VLOOKUP(G548,Sell!G:L,2,0),0)</f>
        <v>0</v>
      </c>
      <c r="O548" s="12">
        <f>IFERROR(VLOOKUP(G548,Sell!G:L,6,0),0)</f>
        <v>0</v>
      </c>
      <c r="P548" s="13">
        <f t="shared" si="56"/>
        <v>0</v>
      </c>
      <c r="Q548" s="12">
        <f t="shared" si="58"/>
        <v>0</v>
      </c>
      <c r="R548" s="12">
        <f t="shared" si="59"/>
        <v>0</v>
      </c>
      <c r="S548" s="12">
        <f t="shared" si="60"/>
        <v>0</v>
      </c>
      <c r="T548" s="12">
        <f t="shared" si="61"/>
        <v>0</v>
      </c>
      <c r="U548" s="14" t="str">
        <f t="shared" si="62"/>
        <v/>
      </c>
    </row>
    <row r="549" spans="12:21" x14ac:dyDescent="0.25">
      <c r="L549" s="18">
        <f t="shared" si="57"/>
        <v>0</v>
      </c>
      <c r="M549" s="13" t="e">
        <f>VLOOKUP(G549,Sell!G:L,1,0)</f>
        <v>#N/A</v>
      </c>
      <c r="N549" s="13">
        <f>IFERROR(VLOOKUP(G549,Sell!G:L,2,0),0)</f>
        <v>0</v>
      </c>
      <c r="O549" s="12">
        <f>IFERROR(VLOOKUP(G549,Sell!G:L,6,0),0)</f>
        <v>0</v>
      </c>
      <c r="P549" s="13">
        <f t="shared" si="56"/>
        <v>0</v>
      </c>
      <c r="Q549" s="12">
        <f t="shared" si="58"/>
        <v>0</v>
      </c>
      <c r="R549" s="12">
        <f t="shared" si="59"/>
        <v>0</v>
      </c>
      <c r="S549" s="12">
        <f t="shared" si="60"/>
        <v>0</v>
      </c>
      <c r="T549" s="12">
        <f t="shared" si="61"/>
        <v>0</v>
      </c>
      <c r="U549" s="14" t="str">
        <f t="shared" si="62"/>
        <v/>
      </c>
    </row>
    <row r="550" spans="12:21" x14ac:dyDescent="0.25">
      <c r="L550" s="18">
        <f t="shared" si="57"/>
        <v>0</v>
      </c>
      <c r="M550" s="13" t="e">
        <f>VLOOKUP(G550,Sell!G:L,1,0)</f>
        <v>#N/A</v>
      </c>
      <c r="N550" s="13">
        <f>IFERROR(VLOOKUP(G550,Sell!G:L,2,0),0)</f>
        <v>0</v>
      </c>
      <c r="O550" s="12">
        <f>IFERROR(VLOOKUP(G550,Sell!G:L,6,0),0)</f>
        <v>0</v>
      </c>
      <c r="P550" s="13">
        <f t="shared" si="56"/>
        <v>0</v>
      </c>
      <c r="Q550" s="12">
        <f t="shared" si="58"/>
        <v>0</v>
      </c>
      <c r="R550" s="12">
        <f t="shared" si="59"/>
        <v>0</v>
      </c>
      <c r="S550" s="12">
        <f t="shared" si="60"/>
        <v>0</v>
      </c>
      <c r="T550" s="12">
        <f t="shared" si="61"/>
        <v>0</v>
      </c>
      <c r="U550" s="14" t="str">
        <f t="shared" si="62"/>
        <v/>
      </c>
    </row>
    <row r="551" spans="12:21" x14ac:dyDescent="0.25">
      <c r="L551" s="18">
        <f t="shared" si="57"/>
        <v>0</v>
      </c>
      <c r="M551" s="13" t="e">
        <f>VLOOKUP(G551,Sell!G:L,1,0)</f>
        <v>#N/A</v>
      </c>
      <c r="N551" s="13">
        <f>IFERROR(VLOOKUP(G551,Sell!G:L,2,0),0)</f>
        <v>0</v>
      </c>
      <c r="O551" s="12">
        <f>IFERROR(VLOOKUP(G551,Sell!G:L,6,0),0)</f>
        <v>0</v>
      </c>
      <c r="P551" s="13">
        <f t="shared" si="56"/>
        <v>0</v>
      </c>
      <c r="Q551" s="12">
        <f t="shared" si="58"/>
        <v>0</v>
      </c>
      <c r="R551" s="12">
        <f t="shared" si="59"/>
        <v>0</v>
      </c>
      <c r="S551" s="12">
        <f t="shared" si="60"/>
        <v>0</v>
      </c>
      <c r="T551" s="12">
        <f t="shared" si="61"/>
        <v>0</v>
      </c>
      <c r="U551" s="14" t="str">
        <f t="shared" si="62"/>
        <v/>
      </c>
    </row>
    <row r="552" spans="12:21" x14ac:dyDescent="0.25">
      <c r="L552" s="18">
        <f t="shared" si="57"/>
        <v>0</v>
      </c>
      <c r="M552" s="13" t="e">
        <f>VLOOKUP(G552,Sell!G:L,1,0)</f>
        <v>#N/A</v>
      </c>
      <c r="N552" s="13">
        <f>IFERROR(VLOOKUP(G552,Sell!G:L,2,0),0)</f>
        <v>0</v>
      </c>
      <c r="O552" s="12">
        <f>IFERROR(VLOOKUP(G552,Sell!G:L,6,0),0)</f>
        <v>0</v>
      </c>
      <c r="P552" s="13">
        <f t="shared" si="56"/>
        <v>0</v>
      </c>
      <c r="Q552" s="12">
        <f t="shared" si="58"/>
        <v>0</v>
      </c>
      <c r="R552" s="12">
        <f t="shared" si="59"/>
        <v>0</v>
      </c>
      <c r="S552" s="12">
        <f t="shared" si="60"/>
        <v>0</v>
      </c>
      <c r="T552" s="12">
        <f t="shared" si="61"/>
        <v>0</v>
      </c>
      <c r="U552" s="14" t="str">
        <f t="shared" si="62"/>
        <v/>
      </c>
    </row>
    <row r="553" spans="12:21" x14ac:dyDescent="0.25">
      <c r="L553" s="18">
        <f t="shared" si="57"/>
        <v>0</v>
      </c>
      <c r="M553" s="13" t="e">
        <f>VLOOKUP(G553,Sell!G:L,1,0)</f>
        <v>#N/A</v>
      </c>
      <c r="N553" s="13">
        <f>IFERROR(VLOOKUP(G553,Sell!G:L,2,0),0)</f>
        <v>0</v>
      </c>
      <c r="O553" s="12">
        <f>IFERROR(VLOOKUP(G553,Sell!G:L,6,0),0)</f>
        <v>0</v>
      </c>
      <c r="P553" s="13">
        <f t="shared" si="56"/>
        <v>0</v>
      </c>
      <c r="Q553" s="12">
        <f t="shared" si="58"/>
        <v>0</v>
      </c>
      <c r="R553" s="12">
        <f t="shared" si="59"/>
        <v>0</v>
      </c>
      <c r="S553" s="12">
        <f t="shared" si="60"/>
        <v>0</v>
      </c>
      <c r="T553" s="12">
        <f t="shared" si="61"/>
        <v>0</v>
      </c>
      <c r="U553" s="14" t="str">
        <f t="shared" si="62"/>
        <v/>
      </c>
    </row>
    <row r="554" spans="12:21" x14ac:dyDescent="0.25">
      <c r="L554" s="18">
        <f t="shared" si="57"/>
        <v>0</v>
      </c>
      <c r="M554" s="13" t="e">
        <f>VLOOKUP(G554,Sell!G:L,1,0)</f>
        <v>#N/A</v>
      </c>
      <c r="N554" s="13">
        <f>IFERROR(VLOOKUP(G554,Sell!G:L,2,0),0)</f>
        <v>0</v>
      </c>
      <c r="O554" s="12">
        <f>IFERROR(VLOOKUP(G554,Sell!G:L,6,0),0)</f>
        <v>0</v>
      </c>
      <c r="P554" s="13">
        <f t="shared" si="56"/>
        <v>0</v>
      </c>
      <c r="Q554" s="12">
        <f t="shared" si="58"/>
        <v>0</v>
      </c>
      <c r="R554" s="12">
        <f t="shared" si="59"/>
        <v>0</v>
      </c>
      <c r="S554" s="12">
        <f t="shared" si="60"/>
        <v>0</v>
      </c>
      <c r="T554" s="12">
        <f t="shared" si="61"/>
        <v>0</v>
      </c>
      <c r="U554" s="14" t="str">
        <f t="shared" si="62"/>
        <v/>
      </c>
    </row>
    <row r="555" spans="12:21" x14ac:dyDescent="0.25">
      <c r="L555" s="18">
        <f t="shared" si="57"/>
        <v>0</v>
      </c>
      <c r="M555" s="13" t="e">
        <f>VLOOKUP(G555,Sell!G:L,1,0)</f>
        <v>#N/A</v>
      </c>
      <c r="N555" s="13">
        <f>IFERROR(VLOOKUP(G555,Sell!G:L,2,0),0)</f>
        <v>0</v>
      </c>
      <c r="O555" s="12">
        <f>IFERROR(VLOOKUP(G555,Sell!G:L,6,0),0)</f>
        <v>0</v>
      </c>
      <c r="P555" s="13">
        <f t="shared" si="56"/>
        <v>0</v>
      </c>
      <c r="Q555" s="12">
        <f t="shared" si="58"/>
        <v>0</v>
      </c>
      <c r="R555" s="12">
        <f t="shared" si="59"/>
        <v>0</v>
      </c>
      <c r="S555" s="12">
        <f t="shared" si="60"/>
        <v>0</v>
      </c>
      <c r="T555" s="12">
        <f t="shared" si="61"/>
        <v>0</v>
      </c>
      <c r="U555" s="14" t="str">
        <f t="shared" si="62"/>
        <v/>
      </c>
    </row>
    <row r="556" spans="12:21" x14ac:dyDescent="0.25">
      <c r="L556" s="18">
        <f t="shared" si="57"/>
        <v>0</v>
      </c>
      <c r="M556" s="13" t="e">
        <f>VLOOKUP(G556,Sell!G:L,1,0)</f>
        <v>#N/A</v>
      </c>
      <c r="N556" s="13">
        <f>IFERROR(VLOOKUP(G556,Sell!G:L,2,0),0)</f>
        <v>0</v>
      </c>
      <c r="O556" s="12">
        <f>IFERROR(VLOOKUP(G556,Sell!G:L,6,0),0)</f>
        <v>0</v>
      </c>
      <c r="P556" s="13">
        <f t="shared" si="56"/>
        <v>0</v>
      </c>
      <c r="Q556" s="12">
        <f t="shared" si="58"/>
        <v>0</v>
      </c>
      <c r="R556" s="12">
        <f t="shared" si="59"/>
        <v>0</v>
      </c>
      <c r="S556" s="12">
        <f t="shared" si="60"/>
        <v>0</v>
      </c>
      <c r="T556" s="12">
        <f t="shared" si="61"/>
        <v>0</v>
      </c>
      <c r="U556" s="14" t="str">
        <f t="shared" si="62"/>
        <v/>
      </c>
    </row>
    <row r="557" spans="12:21" x14ac:dyDescent="0.25">
      <c r="L557" s="18">
        <f t="shared" si="57"/>
        <v>0</v>
      </c>
      <c r="M557" s="13" t="e">
        <f>VLOOKUP(G557,Sell!G:L,1,0)</f>
        <v>#N/A</v>
      </c>
      <c r="N557" s="13">
        <f>IFERROR(VLOOKUP(G557,Sell!G:L,2,0),0)</f>
        <v>0</v>
      </c>
      <c r="O557" s="12">
        <f>IFERROR(VLOOKUP(G557,Sell!G:L,6,0),0)</f>
        <v>0</v>
      </c>
      <c r="P557" s="13">
        <f t="shared" si="56"/>
        <v>0</v>
      </c>
      <c r="Q557" s="12">
        <f t="shared" si="58"/>
        <v>0</v>
      </c>
      <c r="R557" s="12">
        <f t="shared" si="59"/>
        <v>0</v>
      </c>
      <c r="S557" s="12">
        <f t="shared" si="60"/>
        <v>0</v>
      </c>
      <c r="T557" s="12">
        <f t="shared" si="61"/>
        <v>0</v>
      </c>
      <c r="U557" s="14" t="str">
        <f t="shared" si="62"/>
        <v/>
      </c>
    </row>
    <row r="558" spans="12:21" x14ac:dyDescent="0.25">
      <c r="L558" s="18">
        <f t="shared" si="57"/>
        <v>0</v>
      </c>
      <c r="M558" s="13" t="e">
        <f>VLOOKUP(G558,Sell!G:L,1,0)</f>
        <v>#N/A</v>
      </c>
      <c r="N558" s="13">
        <f>IFERROR(VLOOKUP(G558,Sell!G:L,2,0),0)</f>
        <v>0</v>
      </c>
      <c r="O558" s="12">
        <f>IFERROR(VLOOKUP(G558,Sell!G:L,6,0),0)</f>
        <v>0</v>
      </c>
      <c r="P558" s="13">
        <f t="shared" si="56"/>
        <v>0</v>
      </c>
      <c r="Q558" s="12">
        <f t="shared" si="58"/>
        <v>0</v>
      </c>
      <c r="R558" s="12">
        <f t="shared" si="59"/>
        <v>0</v>
      </c>
      <c r="S558" s="12">
        <f t="shared" si="60"/>
        <v>0</v>
      </c>
      <c r="T558" s="12">
        <f t="shared" si="61"/>
        <v>0</v>
      </c>
      <c r="U558" s="14" t="str">
        <f t="shared" si="62"/>
        <v/>
      </c>
    </row>
    <row r="559" spans="12:21" x14ac:dyDescent="0.25">
      <c r="L559" s="18">
        <f t="shared" si="57"/>
        <v>0</v>
      </c>
      <c r="M559" s="13" t="e">
        <f>VLOOKUP(G559,Sell!G:L,1,0)</f>
        <v>#N/A</v>
      </c>
      <c r="N559" s="13">
        <f>IFERROR(VLOOKUP(G559,Sell!G:L,2,0),0)</f>
        <v>0</v>
      </c>
      <c r="O559" s="12">
        <f>IFERROR(VLOOKUP(G559,Sell!G:L,6,0),0)</f>
        <v>0</v>
      </c>
      <c r="P559" s="13">
        <f t="shared" si="56"/>
        <v>0</v>
      </c>
      <c r="Q559" s="12">
        <f t="shared" si="58"/>
        <v>0</v>
      </c>
      <c r="R559" s="12">
        <f t="shared" si="59"/>
        <v>0</v>
      </c>
      <c r="S559" s="12">
        <f t="shared" si="60"/>
        <v>0</v>
      </c>
      <c r="T559" s="12">
        <f t="shared" si="61"/>
        <v>0</v>
      </c>
      <c r="U559" s="14" t="str">
        <f t="shared" si="62"/>
        <v/>
      </c>
    </row>
    <row r="560" spans="12:21" x14ac:dyDescent="0.25">
      <c r="L560" s="18">
        <f t="shared" si="57"/>
        <v>0</v>
      </c>
      <c r="M560" s="13" t="e">
        <f>VLOOKUP(G560,Sell!G:L,1,0)</f>
        <v>#N/A</v>
      </c>
      <c r="N560" s="13">
        <f>IFERROR(VLOOKUP(G560,Sell!G:L,2,0),0)</f>
        <v>0</v>
      </c>
      <c r="O560" s="12">
        <f>IFERROR(VLOOKUP(G560,Sell!G:L,6,0),0)</f>
        <v>0</v>
      </c>
      <c r="P560" s="13">
        <f t="shared" si="56"/>
        <v>0</v>
      </c>
      <c r="Q560" s="12">
        <f t="shared" si="58"/>
        <v>0</v>
      </c>
      <c r="R560" s="12">
        <f t="shared" si="59"/>
        <v>0</v>
      </c>
      <c r="S560" s="12">
        <f t="shared" si="60"/>
        <v>0</v>
      </c>
      <c r="T560" s="12">
        <f t="shared" si="61"/>
        <v>0</v>
      </c>
      <c r="U560" s="14" t="str">
        <f t="shared" si="62"/>
        <v/>
      </c>
    </row>
    <row r="561" spans="12:21" x14ac:dyDescent="0.25">
      <c r="L561" s="18">
        <f t="shared" si="57"/>
        <v>0</v>
      </c>
      <c r="M561" s="13" t="e">
        <f>VLOOKUP(G561,Sell!G:L,1,0)</f>
        <v>#N/A</v>
      </c>
      <c r="N561" s="13">
        <f>IFERROR(VLOOKUP(G561,Sell!G:L,2,0),0)</f>
        <v>0</v>
      </c>
      <c r="O561" s="12">
        <f>IFERROR(VLOOKUP(G561,Sell!G:L,6,0),0)</f>
        <v>0</v>
      </c>
      <c r="P561" s="13">
        <f t="shared" si="56"/>
        <v>0</v>
      </c>
      <c r="Q561" s="12">
        <f t="shared" si="58"/>
        <v>0</v>
      </c>
      <c r="R561" s="12">
        <f t="shared" si="59"/>
        <v>0</v>
      </c>
      <c r="S561" s="12">
        <f t="shared" si="60"/>
        <v>0</v>
      </c>
      <c r="T561" s="12">
        <f t="shared" si="61"/>
        <v>0</v>
      </c>
      <c r="U561" s="14" t="str">
        <f t="shared" si="62"/>
        <v/>
      </c>
    </row>
    <row r="562" spans="12:21" x14ac:dyDescent="0.25">
      <c r="L562" s="18">
        <f t="shared" si="57"/>
        <v>0</v>
      </c>
      <c r="M562" s="13" t="e">
        <f>VLOOKUP(G562,Sell!G:L,1,0)</f>
        <v>#N/A</v>
      </c>
      <c r="N562" s="13">
        <f>IFERROR(VLOOKUP(G562,Sell!G:L,2,0),0)</f>
        <v>0</v>
      </c>
      <c r="O562" s="12">
        <f>IFERROR(VLOOKUP(G562,Sell!G:L,6,0),0)</f>
        <v>0</v>
      </c>
      <c r="P562" s="13">
        <f t="shared" si="56"/>
        <v>0</v>
      </c>
      <c r="Q562" s="12">
        <f t="shared" si="58"/>
        <v>0</v>
      </c>
      <c r="R562" s="12">
        <f t="shared" si="59"/>
        <v>0</v>
      </c>
      <c r="S562" s="12">
        <f t="shared" si="60"/>
        <v>0</v>
      </c>
      <c r="T562" s="12">
        <f t="shared" si="61"/>
        <v>0</v>
      </c>
      <c r="U562" s="14" t="str">
        <f t="shared" si="62"/>
        <v/>
      </c>
    </row>
    <row r="563" spans="12:21" x14ac:dyDescent="0.25">
      <c r="L563" s="18">
        <f t="shared" si="57"/>
        <v>0</v>
      </c>
      <c r="M563" s="13" t="e">
        <f>VLOOKUP(G563,Sell!G:L,1,0)</f>
        <v>#N/A</v>
      </c>
      <c r="N563" s="13">
        <f>IFERROR(VLOOKUP(G563,Sell!G:L,2,0),0)</f>
        <v>0</v>
      </c>
      <c r="O563" s="12">
        <f>IFERROR(VLOOKUP(G563,Sell!G:L,6,0),0)</f>
        <v>0</v>
      </c>
      <c r="P563" s="13">
        <f t="shared" si="56"/>
        <v>0</v>
      </c>
      <c r="Q563" s="12">
        <f t="shared" si="58"/>
        <v>0</v>
      </c>
      <c r="R563" s="12">
        <f t="shared" si="59"/>
        <v>0</v>
      </c>
      <c r="S563" s="12">
        <f t="shared" si="60"/>
        <v>0</v>
      </c>
      <c r="T563" s="12">
        <f t="shared" si="61"/>
        <v>0</v>
      </c>
      <c r="U563" s="14" t="str">
        <f t="shared" si="62"/>
        <v/>
      </c>
    </row>
    <row r="564" spans="12:21" x14ac:dyDescent="0.25">
      <c r="L564" s="18">
        <f t="shared" si="57"/>
        <v>0</v>
      </c>
      <c r="M564" s="13" t="e">
        <f>VLOOKUP(G564,Sell!G:L,1,0)</f>
        <v>#N/A</v>
      </c>
      <c r="N564" s="13">
        <f>IFERROR(VLOOKUP(G564,Sell!G:L,2,0),0)</f>
        <v>0</v>
      </c>
      <c r="O564" s="12">
        <f>IFERROR(VLOOKUP(G564,Sell!G:L,6,0),0)</f>
        <v>0</v>
      </c>
      <c r="P564" s="13">
        <f t="shared" si="56"/>
        <v>0</v>
      </c>
      <c r="Q564" s="12">
        <f t="shared" si="58"/>
        <v>0</v>
      </c>
      <c r="R564" s="12">
        <f t="shared" si="59"/>
        <v>0</v>
      </c>
      <c r="S564" s="12">
        <f t="shared" si="60"/>
        <v>0</v>
      </c>
      <c r="T564" s="12">
        <f t="shared" si="61"/>
        <v>0</v>
      </c>
      <c r="U564" s="14" t="str">
        <f t="shared" si="62"/>
        <v/>
      </c>
    </row>
    <row r="565" spans="12:21" x14ac:dyDescent="0.25">
      <c r="L565" s="18">
        <f t="shared" si="57"/>
        <v>0</v>
      </c>
      <c r="M565" s="13" t="e">
        <f>VLOOKUP(G565,Sell!G:L,1,0)</f>
        <v>#N/A</v>
      </c>
      <c r="N565" s="13">
        <f>IFERROR(VLOOKUP(G565,Sell!G:L,2,0),0)</f>
        <v>0</v>
      </c>
      <c r="O565" s="12">
        <f>IFERROR(VLOOKUP(G565,Sell!G:L,6,0),0)</f>
        <v>0</v>
      </c>
      <c r="P565" s="13">
        <f t="shared" si="56"/>
        <v>0</v>
      </c>
      <c r="Q565" s="12">
        <f t="shared" si="58"/>
        <v>0</v>
      </c>
      <c r="R565" s="12">
        <f t="shared" si="59"/>
        <v>0</v>
      </c>
      <c r="S565" s="12">
        <f t="shared" si="60"/>
        <v>0</v>
      </c>
      <c r="T565" s="12">
        <f t="shared" si="61"/>
        <v>0</v>
      </c>
      <c r="U565" s="14" t="str">
        <f t="shared" si="62"/>
        <v/>
      </c>
    </row>
    <row r="566" spans="12:21" x14ac:dyDescent="0.25">
      <c r="L566" s="18">
        <f t="shared" si="57"/>
        <v>0</v>
      </c>
      <c r="M566" s="13" t="e">
        <f>VLOOKUP(G566,Sell!G:L,1,0)</f>
        <v>#N/A</v>
      </c>
      <c r="N566" s="13">
        <f>IFERROR(VLOOKUP(G566,Sell!G:L,2,0),0)</f>
        <v>0</v>
      </c>
      <c r="O566" s="12">
        <f>IFERROR(VLOOKUP(G566,Sell!G:L,6,0),0)</f>
        <v>0</v>
      </c>
      <c r="P566" s="13">
        <f t="shared" si="56"/>
        <v>0</v>
      </c>
      <c r="Q566" s="12">
        <f t="shared" si="58"/>
        <v>0</v>
      </c>
      <c r="R566" s="12">
        <f t="shared" si="59"/>
        <v>0</v>
      </c>
      <c r="S566" s="12">
        <f t="shared" si="60"/>
        <v>0</v>
      </c>
      <c r="T566" s="12">
        <f t="shared" si="61"/>
        <v>0</v>
      </c>
      <c r="U566" s="14" t="str">
        <f t="shared" si="62"/>
        <v/>
      </c>
    </row>
    <row r="567" spans="12:21" x14ac:dyDescent="0.25">
      <c r="L567" s="18">
        <f t="shared" si="57"/>
        <v>0</v>
      </c>
      <c r="M567" s="13" t="e">
        <f>VLOOKUP(G567,Sell!G:L,1,0)</f>
        <v>#N/A</v>
      </c>
      <c r="N567" s="13">
        <f>IFERROR(VLOOKUP(G567,Sell!G:L,2,0),0)</f>
        <v>0</v>
      </c>
      <c r="O567" s="12">
        <f>IFERROR(VLOOKUP(G567,Sell!G:L,6,0),0)</f>
        <v>0</v>
      </c>
      <c r="P567" s="13">
        <f t="shared" si="56"/>
        <v>0</v>
      </c>
      <c r="Q567" s="12">
        <f t="shared" si="58"/>
        <v>0</v>
      </c>
      <c r="R567" s="12">
        <f t="shared" si="59"/>
        <v>0</v>
      </c>
      <c r="S567" s="12">
        <f t="shared" si="60"/>
        <v>0</v>
      </c>
      <c r="T567" s="12">
        <f t="shared" si="61"/>
        <v>0</v>
      </c>
      <c r="U567" s="14" t="str">
        <f t="shared" si="62"/>
        <v/>
      </c>
    </row>
    <row r="568" spans="12:21" x14ac:dyDescent="0.25">
      <c r="L568" s="18">
        <f t="shared" si="57"/>
        <v>0</v>
      </c>
      <c r="M568" s="13" t="e">
        <f>VLOOKUP(G568,Sell!G:L,1,0)</f>
        <v>#N/A</v>
      </c>
      <c r="N568" s="13">
        <f>IFERROR(VLOOKUP(G568,Sell!G:L,2,0),0)</f>
        <v>0</v>
      </c>
      <c r="O568" s="12">
        <f>IFERROR(VLOOKUP(G568,Sell!G:L,6,0),0)</f>
        <v>0</v>
      </c>
      <c r="P568" s="13">
        <f t="shared" si="56"/>
        <v>0</v>
      </c>
      <c r="Q568" s="12">
        <f t="shared" si="58"/>
        <v>0</v>
      </c>
      <c r="R568" s="12">
        <f t="shared" si="59"/>
        <v>0</v>
      </c>
      <c r="S568" s="12">
        <f t="shared" si="60"/>
        <v>0</v>
      </c>
      <c r="T568" s="12">
        <f t="shared" si="61"/>
        <v>0</v>
      </c>
      <c r="U568" s="14" t="str">
        <f t="shared" si="62"/>
        <v/>
      </c>
    </row>
    <row r="569" spans="12:21" x14ac:dyDescent="0.25">
      <c r="L569" s="18">
        <f t="shared" si="57"/>
        <v>0</v>
      </c>
      <c r="M569" s="13" t="e">
        <f>VLOOKUP(G569,Sell!G:L,1,0)</f>
        <v>#N/A</v>
      </c>
      <c r="N569" s="13">
        <f>IFERROR(VLOOKUP(G569,Sell!G:L,2,0),0)</f>
        <v>0</v>
      </c>
      <c r="O569" s="12">
        <f>IFERROR(VLOOKUP(G569,Sell!G:L,6,0),0)</f>
        <v>0</v>
      </c>
      <c r="P569" s="13">
        <f t="shared" si="56"/>
        <v>0</v>
      </c>
      <c r="Q569" s="12">
        <f t="shared" si="58"/>
        <v>0</v>
      </c>
      <c r="R569" s="12">
        <f t="shared" si="59"/>
        <v>0</v>
      </c>
      <c r="S569" s="12">
        <f t="shared" si="60"/>
        <v>0</v>
      </c>
      <c r="T569" s="12">
        <f t="shared" si="61"/>
        <v>0</v>
      </c>
      <c r="U569" s="14" t="str">
        <f t="shared" si="62"/>
        <v/>
      </c>
    </row>
    <row r="570" spans="12:21" x14ac:dyDescent="0.25">
      <c r="L570" s="18">
        <f t="shared" si="57"/>
        <v>0</v>
      </c>
      <c r="M570" s="13" t="e">
        <f>VLOOKUP(G570,Sell!G:L,1,0)</f>
        <v>#N/A</v>
      </c>
      <c r="N570" s="13">
        <f>IFERROR(VLOOKUP(G570,Sell!G:L,2,0),0)</f>
        <v>0</v>
      </c>
      <c r="O570" s="12">
        <f>IFERROR(VLOOKUP(G570,Sell!G:L,6,0),0)</f>
        <v>0</v>
      </c>
      <c r="P570" s="13">
        <f t="shared" si="56"/>
        <v>0</v>
      </c>
      <c r="Q570" s="12">
        <f t="shared" si="58"/>
        <v>0</v>
      </c>
      <c r="R570" s="12">
        <f t="shared" si="59"/>
        <v>0</v>
      </c>
      <c r="S570" s="12">
        <f t="shared" si="60"/>
        <v>0</v>
      </c>
      <c r="T570" s="12">
        <f t="shared" si="61"/>
        <v>0</v>
      </c>
      <c r="U570" s="14" t="str">
        <f t="shared" si="62"/>
        <v/>
      </c>
    </row>
    <row r="571" spans="12:21" x14ac:dyDescent="0.25">
      <c r="L571" s="18">
        <f t="shared" si="57"/>
        <v>0</v>
      </c>
      <c r="M571" s="13" t="e">
        <f>VLOOKUP(G571,Sell!G:L,1,0)</f>
        <v>#N/A</v>
      </c>
      <c r="N571" s="13">
        <f>IFERROR(VLOOKUP(G571,Sell!G:L,2,0),0)</f>
        <v>0</v>
      </c>
      <c r="O571" s="12">
        <f>IFERROR(VLOOKUP(G571,Sell!G:L,6,0),0)</f>
        <v>0</v>
      </c>
      <c r="P571" s="13">
        <f t="shared" si="56"/>
        <v>0</v>
      </c>
      <c r="Q571" s="12">
        <f t="shared" si="58"/>
        <v>0</v>
      </c>
      <c r="R571" s="12">
        <f t="shared" si="59"/>
        <v>0</v>
      </c>
      <c r="S571" s="12">
        <f t="shared" si="60"/>
        <v>0</v>
      </c>
      <c r="T571" s="12">
        <f t="shared" si="61"/>
        <v>0</v>
      </c>
      <c r="U571" s="14" t="str">
        <f t="shared" si="62"/>
        <v/>
      </c>
    </row>
    <row r="572" spans="12:21" x14ac:dyDescent="0.25">
      <c r="L572" s="18">
        <f t="shared" si="57"/>
        <v>0</v>
      </c>
      <c r="M572" s="13" t="e">
        <f>VLOOKUP(G572,Sell!G:L,1,0)</f>
        <v>#N/A</v>
      </c>
      <c r="N572" s="13">
        <f>IFERROR(VLOOKUP(G572,Sell!G:L,2,0),0)</f>
        <v>0</v>
      </c>
      <c r="O572" s="12">
        <f>IFERROR(VLOOKUP(G572,Sell!G:L,6,0),0)</f>
        <v>0</v>
      </c>
      <c r="P572" s="13">
        <f t="shared" si="56"/>
        <v>0</v>
      </c>
      <c r="Q572" s="12">
        <f t="shared" si="58"/>
        <v>0</v>
      </c>
      <c r="R572" s="12">
        <f t="shared" si="59"/>
        <v>0</v>
      </c>
      <c r="S572" s="12">
        <f t="shared" si="60"/>
        <v>0</v>
      </c>
      <c r="T572" s="12">
        <f t="shared" si="61"/>
        <v>0</v>
      </c>
      <c r="U572" s="14" t="str">
        <f t="shared" si="62"/>
        <v/>
      </c>
    </row>
    <row r="573" spans="12:21" x14ac:dyDescent="0.25">
      <c r="L573" s="18">
        <f t="shared" si="57"/>
        <v>0</v>
      </c>
      <c r="M573" s="13" t="e">
        <f>VLOOKUP(G573,Sell!G:L,1,0)</f>
        <v>#N/A</v>
      </c>
      <c r="N573" s="13">
        <f>IFERROR(VLOOKUP(G573,Sell!G:L,2,0),0)</f>
        <v>0</v>
      </c>
      <c r="O573" s="12">
        <f>IFERROR(VLOOKUP(G573,Sell!G:L,6,0),0)</f>
        <v>0</v>
      </c>
      <c r="P573" s="13">
        <f t="shared" si="56"/>
        <v>0</v>
      </c>
      <c r="Q573" s="12">
        <f t="shared" si="58"/>
        <v>0</v>
      </c>
      <c r="R573" s="12">
        <f t="shared" si="59"/>
        <v>0</v>
      </c>
      <c r="S573" s="12">
        <f t="shared" si="60"/>
        <v>0</v>
      </c>
      <c r="T573" s="12">
        <f t="shared" si="61"/>
        <v>0</v>
      </c>
      <c r="U573" s="14" t="str">
        <f t="shared" si="62"/>
        <v/>
      </c>
    </row>
    <row r="574" spans="12:21" x14ac:dyDescent="0.25">
      <c r="L574" s="18">
        <f t="shared" si="57"/>
        <v>0</v>
      </c>
      <c r="M574" s="13" t="e">
        <f>VLOOKUP(G574,Sell!G:L,1,0)</f>
        <v>#N/A</v>
      </c>
      <c r="N574" s="13">
        <f>IFERROR(VLOOKUP(G574,Sell!G:L,2,0),0)</f>
        <v>0</v>
      </c>
      <c r="O574" s="12">
        <f>IFERROR(VLOOKUP(G574,Sell!G:L,6,0),0)</f>
        <v>0</v>
      </c>
      <c r="P574" s="13">
        <f t="shared" si="56"/>
        <v>0</v>
      </c>
      <c r="Q574" s="12">
        <f t="shared" si="58"/>
        <v>0</v>
      </c>
      <c r="R574" s="12">
        <f t="shared" si="59"/>
        <v>0</v>
      </c>
      <c r="S574" s="12">
        <f t="shared" si="60"/>
        <v>0</v>
      </c>
      <c r="T574" s="12">
        <f t="shared" si="61"/>
        <v>0</v>
      </c>
      <c r="U574" s="14" t="str">
        <f t="shared" si="62"/>
        <v/>
      </c>
    </row>
    <row r="575" spans="12:21" x14ac:dyDescent="0.25">
      <c r="L575" s="18">
        <f t="shared" si="57"/>
        <v>0</v>
      </c>
      <c r="M575" s="13" t="e">
        <f>VLOOKUP(G575,Sell!G:L,1,0)</f>
        <v>#N/A</v>
      </c>
      <c r="N575" s="13">
        <f>IFERROR(VLOOKUP(G575,Sell!G:L,2,0),0)</f>
        <v>0</v>
      </c>
      <c r="O575" s="12">
        <f>IFERROR(VLOOKUP(G575,Sell!G:L,6,0),0)</f>
        <v>0</v>
      </c>
      <c r="P575" s="13">
        <f t="shared" si="56"/>
        <v>0</v>
      </c>
      <c r="Q575" s="12">
        <f t="shared" si="58"/>
        <v>0</v>
      </c>
      <c r="R575" s="12">
        <f t="shared" si="59"/>
        <v>0</v>
      </c>
      <c r="S575" s="12">
        <f t="shared" si="60"/>
        <v>0</v>
      </c>
      <c r="T575" s="12">
        <f t="shared" si="61"/>
        <v>0</v>
      </c>
      <c r="U575" s="14" t="str">
        <f t="shared" si="62"/>
        <v/>
      </c>
    </row>
    <row r="576" spans="12:21" x14ac:dyDescent="0.25">
      <c r="L576" s="18">
        <f t="shared" si="57"/>
        <v>0</v>
      </c>
      <c r="M576" s="13" t="e">
        <f>VLOOKUP(G576,Sell!G:L,1,0)</f>
        <v>#N/A</v>
      </c>
      <c r="N576" s="13">
        <f>IFERROR(VLOOKUP(G576,Sell!G:L,2,0),0)</f>
        <v>0</v>
      </c>
      <c r="O576" s="12">
        <f>IFERROR(VLOOKUP(G576,Sell!G:L,6,0),0)</f>
        <v>0</v>
      </c>
      <c r="P576" s="13">
        <f t="shared" si="56"/>
        <v>0</v>
      </c>
      <c r="Q576" s="12">
        <f t="shared" si="58"/>
        <v>0</v>
      </c>
      <c r="R576" s="12">
        <f t="shared" si="59"/>
        <v>0</v>
      </c>
      <c r="S576" s="12">
        <f t="shared" si="60"/>
        <v>0</v>
      </c>
      <c r="T576" s="12">
        <f t="shared" si="61"/>
        <v>0</v>
      </c>
      <c r="U576" s="14" t="str">
        <f t="shared" si="62"/>
        <v/>
      </c>
    </row>
    <row r="577" spans="12:21" x14ac:dyDescent="0.25">
      <c r="L577" s="18">
        <f t="shared" si="57"/>
        <v>0</v>
      </c>
      <c r="M577" s="13" t="e">
        <f>VLOOKUP(G577,Sell!G:L,1,0)</f>
        <v>#N/A</v>
      </c>
      <c r="N577" s="13">
        <f>IFERROR(VLOOKUP(G577,Sell!G:L,2,0),0)</f>
        <v>0</v>
      </c>
      <c r="O577" s="12">
        <f>IFERROR(VLOOKUP(G577,Sell!G:L,6,0),0)</f>
        <v>0</v>
      </c>
      <c r="P577" s="13">
        <f t="shared" si="56"/>
        <v>0</v>
      </c>
      <c r="Q577" s="12">
        <f t="shared" si="58"/>
        <v>0</v>
      </c>
      <c r="R577" s="12">
        <f t="shared" si="59"/>
        <v>0</v>
      </c>
      <c r="S577" s="12">
        <f t="shared" si="60"/>
        <v>0</v>
      </c>
      <c r="T577" s="12">
        <f t="shared" si="61"/>
        <v>0</v>
      </c>
      <c r="U577" s="14" t="str">
        <f t="shared" si="62"/>
        <v/>
      </c>
    </row>
    <row r="578" spans="12:21" x14ac:dyDescent="0.25">
      <c r="L578" s="18">
        <f t="shared" si="57"/>
        <v>0</v>
      </c>
      <c r="M578" s="13" t="e">
        <f>VLOOKUP(G578,Sell!G:L,1,0)</f>
        <v>#N/A</v>
      </c>
      <c r="N578" s="13">
        <f>IFERROR(VLOOKUP(G578,Sell!G:L,2,0),0)</f>
        <v>0</v>
      </c>
      <c r="O578" s="12">
        <f>IFERROR(VLOOKUP(G578,Sell!G:L,6,0),0)</f>
        <v>0</v>
      </c>
      <c r="P578" s="13">
        <f t="shared" si="56"/>
        <v>0</v>
      </c>
      <c r="Q578" s="12">
        <f t="shared" si="58"/>
        <v>0</v>
      </c>
      <c r="R578" s="12">
        <f t="shared" si="59"/>
        <v>0</v>
      </c>
      <c r="S578" s="12">
        <f t="shared" si="60"/>
        <v>0</v>
      </c>
      <c r="T578" s="12">
        <f t="shared" si="61"/>
        <v>0</v>
      </c>
      <c r="U578" s="14" t="str">
        <f t="shared" si="62"/>
        <v/>
      </c>
    </row>
    <row r="579" spans="12:21" x14ac:dyDescent="0.25">
      <c r="L579" s="18">
        <f t="shared" si="57"/>
        <v>0</v>
      </c>
      <c r="M579" s="13" t="e">
        <f>VLOOKUP(G579,Sell!G:L,1,0)</f>
        <v>#N/A</v>
      </c>
      <c r="N579" s="13">
        <f>IFERROR(VLOOKUP(G579,Sell!G:L,2,0),0)</f>
        <v>0</v>
      </c>
      <c r="O579" s="12">
        <f>IFERROR(VLOOKUP(G579,Sell!G:L,6,0),0)</f>
        <v>0</v>
      </c>
      <c r="P579" s="13">
        <f t="shared" si="56"/>
        <v>0</v>
      </c>
      <c r="Q579" s="12">
        <f t="shared" si="58"/>
        <v>0</v>
      </c>
      <c r="R579" s="12">
        <f t="shared" si="59"/>
        <v>0</v>
      </c>
      <c r="S579" s="12">
        <f t="shared" si="60"/>
        <v>0</v>
      </c>
      <c r="T579" s="12">
        <f t="shared" si="61"/>
        <v>0</v>
      </c>
      <c r="U579" s="14" t="str">
        <f t="shared" si="62"/>
        <v/>
      </c>
    </row>
    <row r="580" spans="12:21" x14ac:dyDescent="0.25">
      <c r="L580" s="18">
        <f t="shared" si="57"/>
        <v>0</v>
      </c>
      <c r="M580" s="13" t="e">
        <f>VLOOKUP(G580,Sell!G:L,1,0)</f>
        <v>#N/A</v>
      </c>
      <c r="N580" s="13">
        <f>IFERROR(VLOOKUP(G580,Sell!G:L,2,0),0)</f>
        <v>0</v>
      </c>
      <c r="O580" s="12">
        <f>IFERROR(VLOOKUP(G580,Sell!G:L,6,0),0)</f>
        <v>0</v>
      </c>
      <c r="P580" s="13">
        <f t="shared" si="56"/>
        <v>0</v>
      </c>
      <c r="Q580" s="12">
        <f t="shared" si="58"/>
        <v>0</v>
      </c>
      <c r="R580" s="12">
        <f t="shared" si="59"/>
        <v>0</v>
      </c>
      <c r="S580" s="12">
        <f t="shared" si="60"/>
        <v>0</v>
      </c>
      <c r="T580" s="12">
        <f t="shared" si="61"/>
        <v>0</v>
      </c>
      <c r="U580" s="14" t="str">
        <f t="shared" si="62"/>
        <v/>
      </c>
    </row>
    <row r="581" spans="12:21" x14ac:dyDescent="0.25">
      <c r="L581" s="18">
        <f t="shared" si="57"/>
        <v>0</v>
      </c>
      <c r="M581" s="13" t="e">
        <f>VLOOKUP(G581,Sell!G:L,1,0)</f>
        <v>#N/A</v>
      </c>
      <c r="N581" s="13">
        <f>IFERROR(VLOOKUP(G581,Sell!G:L,2,0),0)</f>
        <v>0</v>
      </c>
      <c r="O581" s="12">
        <f>IFERROR(VLOOKUP(G581,Sell!G:L,6,0),0)</f>
        <v>0</v>
      </c>
      <c r="P581" s="13">
        <f t="shared" si="56"/>
        <v>0</v>
      </c>
      <c r="Q581" s="12">
        <f t="shared" si="58"/>
        <v>0</v>
      </c>
      <c r="R581" s="12">
        <f t="shared" si="59"/>
        <v>0</v>
      </c>
      <c r="S581" s="12">
        <f t="shared" si="60"/>
        <v>0</v>
      </c>
      <c r="T581" s="12">
        <f t="shared" si="61"/>
        <v>0</v>
      </c>
      <c r="U581" s="14" t="str">
        <f t="shared" si="62"/>
        <v/>
      </c>
    </row>
    <row r="582" spans="12:21" x14ac:dyDescent="0.25">
      <c r="L582" s="18">
        <f t="shared" si="57"/>
        <v>0</v>
      </c>
      <c r="M582" s="13" t="e">
        <f>VLOOKUP(G582,Sell!G:L,1,0)</f>
        <v>#N/A</v>
      </c>
      <c r="N582" s="13">
        <f>IFERROR(VLOOKUP(G582,Sell!G:L,2,0),0)</f>
        <v>0</v>
      </c>
      <c r="O582" s="12">
        <f>IFERROR(VLOOKUP(G582,Sell!G:L,6,0),0)</f>
        <v>0</v>
      </c>
      <c r="P582" s="13">
        <f t="shared" si="56"/>
        <v>0</v>
      </c>
      <c r="Q582" s="12">
        <f t="shared" si="58"/>
        <v>0</v>
      </c>
      <c r="R582" s="12">
        <f t="shared" si="59"/>
        <v>0</v>
      </c>
      <c r="S582" s="12">
        <f t="shared" si="60"/>
        <v>0</v>
      </c>
      <c r="T582" s="12">
        <f t="shared" si="61"/>
        <v>0</v>
      </c>
      <c r="U582" s="14" t="str">
        <f t="shared" si="62"/>
        <v/>
      </c>
    </row>
    <row r="583" spans="12:21" x14ac:dyDescent="0.25">
      <c r="L583" s="18">
        <f t="shared" si="57"/>
        <v>0</v>
      </c>
      <c r="M583" s="13" t="e">
        <f>VLOOKUP(G583,Sell!G:L,1,0)</f>
        <v>#N/A</v>
      </c>
      <c r="N583" s="13">
        <f>IFERROR(VLOOKUP(G583,Sell!G:L,2,0),0)</f>
        <v>0</v>
      </c>
      <c r="O583" s="12">
        <f>IFERROR(VLOOKUP(G583,Sell!G:L,6,0),0)</f>
        <v>0</v>
      </c>
      <c r="P583" s="13">
        <f t="shared" si="56"/>
        <v>0</v>
      </c>
      <c r="Q583" s="12">
        <f t="shared" si="58"/>
        <v>0</v>
      </c>
      <c r="R583" s="12">
        <f t="shared" si="59"/>
        <v>0</v>
      </c>
      <c r="S583" s="12">
        <f t="shared" si="60"/>
        <v>0</v>
      </c>
      <c r="T583" s="12">
        <f t="shared" si="61"/>
        <v>0</v>
      </c>
      <c r="U583" s="14" t="str">
        <f t="shared" si="62"/>
        <v/>
      </c>
    </row>
    <row r="584" spans="12:21" x14ac:dyDescent="0.25">
      <c r="L584" s="18">
        <f t="shared" si="57"/>
        <v>0</v>
      </c>
      <c r="M584" s="13" t="e">
        <f>VLOOKUP(G584,Sell!G:L,1,0)</f>
        <v>#N/A</v>
      </c>
      <c r="N584" s="13">
        <f>IFERROR(VLOOKUP(G584,Sell!G:L,2,0),0)</f>
        <v>0</v>
      </c>
      <c r="O584" s="12">
        <f>IFERROR(VLOOKUP(G584,Sell!G:L,6,0),0)</f>
        <v>0</v>
      </c>
      <c r="P584" s="13">
        <f t="shared" si="56"/>
        <v>0</v>
      </c>
      <c r="Q584" s="12">
        <f t="shared" si="58"/>
        <v>0</v>
      </c>
      <c r="R584" s="12">
        <f t="shared" si="59"/>
        <v>0</v>
      </c>
      <c r="S584" s="12">
        <f t="shared" si="60"/>
        <v>0</v>
      </c>
      <c r="T584" s="12">
        <f t="shared" si="61"/>
        <v>0</v>
      </c>
      <c r="U584" s="14" t="str">
        <f t="shared" si="62"/>
        <v/>
      </c>
    </row>
    <row r="585" spans="12:21" x14ac:dyDescent="0.25">
      <c r="L585" s="18">
        <f t="shared" si="57"/>
        <v>0</v>
      </c>
      <c r="M585" s="13" t="e">
        <f>VLOOKUP(G585,Sell!G:L,1,0)</f>
        <v>#N/A</v>
      </c>
      <c r="N585" s="13">
        <f>IFERROR(VLOOKUP(G585,Sell!G:L,2,0),0)</f>
        <v>0</v>
      </c>
      <c r="O585" s="12">
        <f>IFERROR(VLOOKUP(G585,Sell!G:L,6,0),0)</f>
        <v>0</v>
      </c>
      <c r="P585" s="13">
        <f t="shared" si="56"/>
        <v>0</v>
      </c>
      <c r="Q585" s="12">
        <f t="shared" si="58"/>
        <v>0</v>
      </c>
      <c r="R585" s="12">
        <f t="shared" si="59"/>
        <v>0</v>
      </c>
      <c r="S585" s="12">
        <f t="shared" si="60"/>
        <v>0</v>
      </c>
      <c r="T585" s="12">
        <f t="shared" si="61"/>
        <v>0</v>
      </c>
      <c r="U585" s="14" t="str">
        <f t="shared" si="62"/>
        <v/>
      </c>
    </row>
    <row r="586" spans="12:21" x14ac:dyDescent="0.25">
      <c r="L586" s="18">
        <f t="shared" si="57"/>
        <v>0</v>
      </c>
      <c r="M586" s="13" t="e">
        <f>VLOOKUP(G586,Sell!G:L,1,0)</f>
        <v>#N/A</v>
      </c>
      <c r="N586" s="13">
        <f>IFERROR(VLOOKUP(G586,Sell!G:L,2,0),0)</f>
        <v>0</v>
      </c>
      <c r="O586" s="12">
        <f>IFERROR(VLOOKUP(G586,Sell!G:L,6,0),0)</f>
        <v>0</v>
      </c>
      <c r="P586" s="13">
        <f t="shared" ref="P586:P649" si="63">H586-N586</f>
        <v>0</v>
      </c>
      <c r="Q586" s="12">
        <f t="shared" si="58"/>
        <v>0</v>
      </c>
      <c r="R586" s="12">
        <f t="shared" si="59"/>
        <v>0</v>
      </c>
      <c r="S586" s="12">
        <f t="shared" si="60"/>
        <v>0</v>
      </c>
      <c r="T586" s="12">
        <f t="shared" si="61"/>
        <v>0</v>
      </c>
      <c r="U586" s="14" t="str">
        <f t="shared" si="62"/>
        <v/>
      </c>
    </row>
    <row r="587" spans="12:21" x14ac:dyDescent="0.25">
      <c r="L587" s="18">
        <f t="shared" ref="L587:L650" si="64">J587+K587</f>
        <v>0</v>
      </c>
      <c r="M587" s="13" t="e">
        <f>VLOOKUP(G587,Sell!G:L,1,0)</f>
        <v>#N/A</v>
      </c>
      <c r="N587" s="13">
        <f>IFERROR(VLOOKUP(G587,Sell!G:L,2,0),0)</f>
        <v>0</v>
      </c>
      <c r="O587" s="12">
        <f>IFERROR(VLOOKUP(G587,Sell!G:L,6,0),0)</f>
        <v>0</v>
      </c>
      <c r="P587" s="13">
        <f t="shared" si="63"/>
        <v>0</v>
      </c>
      <c r="Q587" s="12">
        <f t="shared" ref="Q587:Q650" si="65">O587-L587</f>
        <v>0</v>
      </c>
      <c r="R587" s="12">
        <f t="shared" ref="R587:R650" si="66">IF(P587=0,Q587,0)</f>
        <v>0</v>
      </c>
      <c r="S587" s="12">
        <f t="shared" ref="S587:S650" si="67">IF(R587&gt;0,R587,0)</f>
        <v>0</v>
      </c>
      <c r="T587" s="12">
        <f t="shared" ref="T587:T650" si="68">IF(R587&gt;0,0,R587)</f>
        <v>0</v>
      </c>
      <c r="U587" s="14" t="str">
        <f t="shared" ref="U587:U650" si="69">IF(AND(LEN(G587)&gt;0,R587=0),"Open","")</f>
        <v/>
      </c>
    </row>
    <row r="588" spans="12:21" x14ac:dyDescent="0.25">
      <c r="L588" s="18">
        <f t="shared" si="64"/>
        <v>0</v>
      </c>
      <c r="M588" s="13" t="e">
        <f>VLOOKUP(G588,Sell!G:L,1,0)</f>
        <v>#N/A</v>
      </c>
      <c r="N588" s="13">
        <f>IFERROR(VLOOKUP(G588,Sell!G:L,2,0),0)</f>
        <v>0</v>
      </c>
      <c r="O588" s="12">
        <f>IFERROR(VLOOKUP(G588,Sell!G:L,6,0),0)</f>
        <v>0</v>
      </c>
      <c r="P588" s="13">
        <f t="shared" si="63"/>
        <v>0</v>
      </c>
      <c r="Q588" s="12">
        <f t="shared" si="65"/>
        <v>0</v>
      </c>
      <c r="R588" s="12">
        <f t="shared" si="66"/>
        <v>0</v>
      </c>
      <c r="S588" s="12">
        <f t="shared" si="67"/>
        <v>0</v>
      </c>
      <c r="T588" s="12">
        <f t="shared" si="68"/>
        <v>0</v>
      </c>
      <c r="U588" s="14" t="str">
        <f t="shared" si="69"/>
        <v/>
      </c>
    </row>
    <row r="589" spans="12:21" x14ac:dyDescent="0.25">
      <c r="L589" s="18">
        <f t="shared" si="64"/>
        <v>0</v>
      </c>
      <c r="M589" s="13" t="e">
        <f>VLOOKUP(G589,Sell!G:L,1,0)</f>
        <v>#N/A</v>
      </c>
      <c r="N589" s="13">
        <f>IFERROR(VLOOKUP(G589,Sell!G:L,2,0),0)</f>
        <v>0</v>
      </c>
      <c r="O589" s="12">
        <f>IFERROR(VLOOKUP(G589,Sell!G:L,6,0),0)</f>
        <v>0</v>
      </c>
      <c r="P589" s="13">
        <f t="shared" si="63"/>
        <v>0</v>
      </c>
      <c r="Q589" s="12">
        <f t="shared" si="65"/>
        <v>0</v>
      </c>
      <c r="R589" s="12">
        <f t="shared" si="66"/>
        <v>0</v>
      </c>
      <c r="S589" s="12">
        <f t="shared" si="67"/>
        <v>0</v>
      </c>
      <c r="T589" s="12">
        <f t="shared" si="68"/>
        <v>0</v>
      </c>
      <c r="U589" s="14" t="str">
        <f t="shared" si="69"/>
        <v/>
      </c>
    </row>
    <row r="590" spans="12:21" x14ac:dyDescent="0.25">
      <c r="L590" s="18">
        <f t="shared" si="64"/>
        <v>0</v>
      </c>
      <c r="M590" s="13" t="e">
        <f>VLOOKUP(G590,Sell!G:L,1,0)</f>
        <v>#N/A</v>
      </c>
      <c r="N590" s="13">
        <f>IFERROR(VLOOKUP(G590,Sell!G:L,2,0),0)</f>
        <v>0</v>
      </c>
      <c r="O590" s="12">
        <f>IFERROR(VLOOKUP(G590,Sell!G:L,6,0),0)</f>
        <v>0</v>
      </c>
      <c r="P590" s="13">
        <f t="shared" si="63"/>
        <v>0</v>
      </c>
      <c r="Q590" s="12">
        <f t="shared" si="65"/>
        <v>0</v>
      </c>
      <c r="R590" s="12">
        <f t="shared" si="66"/>
        <v>0</v>
      </c>
      <c r="S590" s="12">
        <f t="shared" si="67"/>
        <v>0</v>
      </c>
      <c r="T590" s="12">
        <f t="shared" si="68"/>
        <v>0</v>
      </c>
      <c r="U590" s="14" t="str">
        <f t="shared" si="69"/>
        <v/>
      </c>
    </row>
    <row r="591" spans="12:21" x14ac:dyDescent="0.25">
      <c r="L591" s="18">
        <f t="shared" si="64"/>
        <v>0</v>
      </c>
      <c r="M591" s="13" t="e">
        <f>VLOOKUP(G591,Sell!G:L,1,0)</f>
        <v>#N/A</v>
      </c>
      <c r="N591" s="13">
        <f>IFERROR(VLOOKUP(G591,Sell!G:L,2,0),0)</f>
        <v>0</v>
      </c>
      <c r="O591" s="12">
        <f>IFERROR(VLOOKUP(G591,Sell!G:L,6,0),0)</f>
        <v>0</v>
      </c>
      <c r="P591" s="13">
        <f t="shared" si="63"/>
        <v>0</v>
      </c>
      <c r="Q591" s="12">
        <f t="shared" si="65"/>
        <v>0</v>
      </c>
      <c r="R591" s="12">
        <f t="shared" si="66"/>
        <v>0</v>
      </c>
      <c r="S591" s="12">
        <f t="shared" si="67"/>
        <v>0</v>
      </c>
      <c r="T591" s="12">
        <f t="shared" si="68"/>
        <v>0</v>
      </c>
      <c r="U591" s="14" t="str">
        <f t="shared" si="69"/>
        <v/>
      </c>
    </row>
    <row r="592" spans="12:21" x14ac:dyDescent="0.25">
      <c r="L592" s="18">
        <f t="shared" si="64"/>
        <v>0</v>
      </c>
      <c r="M592" s="13" t="e">
        <f>VLOOKUP(G592,Sell!G:L,1,0)</f>
        <v>#N/A</v>
      </c>
      <c r="N592" s="13">
        <f>IFERROR(VLOOKUP(G592,Sell!G:L,2,0),0)</f>
        <v>0</v>
      </c>
      <c r="O592" s="12">
        <f>IFERROR(VLOOKUP(G592,Sell!G:L,6,0),0)</f>
        <v>0</v>
      </c>
      <c r="P592" s="13">
        <f t="shared" si="63"/>
        <v>0</v>
      </c>
      <c r="Q592" s="12">
        <f t="shared" si="65"/>
        <v>0</v>
      </c>
      <c r="R592" s="12">
        <f t="shared" si="66"/>
        <v>0</v>
      </c>
      <c r="S592" s="12">
        <f t="shared" si="67"/>
        <v>0</v>
      </c>
      <c r="T592" s="12">
        <f t="shared" si="68"/>
        <v>0</v>
      </c>
      <c r="U592" s="14" t="str">
        <f t="shared" si="69"/>
        <v/>
      </c>
    </row>
    <row r="593" spans="12:21" x14ac:dyDescent="0.25">
      <c r="L593" s="18">
        <f t="shared" si="64"/>
        <v>0</v>
      </c>
      <c r="M593" s="13" t="e">
        <f>VLOOKUP(G593,Sell!G:L,1,0)</f>
        <v>#N/A</v>
      </c>
      <c r="N593" s="13">
        <f>IFERROR(VLOOKUP(G593,Sell!G:L,2,0),0)</f>
        <v>0</v>
      </c>
      <c r="O593" s="12">
        <f>IFERROR(VLOOKUP(G593,Sell!G:L,6,0),0)</f>
        <v>0</v>
      </c>
      <c r="P593" s="13">
        <f t="shared" si="63"/>
        <v>0</v>
      </c>
      <c r="Q593" s="12">
        <f t="shared" si="65"/>
        <v>0</v>
      </c>
      <c r="R593" s="12">
        <f t="shared" si="66"/>
        <v>0</v>
      </c>
      <c r="S593" s="12">
        <f t="shared" si="67"/>
        <v>0</v>
      </c>
      <c r="T593" s="12">
        <f t="shared" si="68"/>
        <v>0</v>
      </c>
      <c r="U593" s="14" t="str">
        <f t="shared" si="69"/>
        <v/>
      </c>
    </row>
    <row r="594" spans="12:21" x14ac:dyDescent="0.25">
      <c r="L594" s="18">
        <f t="shared" si="64"/>
        <v>0</v>
      </c>
      <c r="M594" s="13" t="e">
        <f>VLOOKUP(G594,Sell!G:L,1,0)</f>
        <v>#N/A</v>
      </c>
      <c r="N594" s="13">
        <f>IFERROR(VLOOKUP(G594,Sell!G:L,2,0),0)</f>
        <v>0</v>
      </c>
      <c r="O594" s="12">
        <f>IFERROR(VLOOKUP(G594,Sell!G:L,6,0),0)</f>
        <v>0</v>
      </c>
      <c r="P594" s="13">
        <f t="shared" si="63"/>
        <v>0</v>
      </c>
      <c r="Q594" s="12">
        <f t="shared" si="65"/>
        <v>0</v>
      </c>
      <c r="R594" s="12">
        <f t="shared" si="66"/>
        <v>0</v>
      </c>
      <c r="S594" s="12">
        <f t="shared" si="67"/>
        <v>0</v>
      </c>
      <c r="T594" s="12">
        <f t="shared" si="68"/>
        <v>0</v>
      </c>
      <c r="U594" s="14" t="str">
        <f t="shared" si="69"/>
        <v/>
      </c>
    </row>
    <row r="595" spans="12:21" x14ac:dyDescent="0.25">
      <c r="L595" s="18">
        <f t="shared" si="64"/>
        <v>0</v>
      </c>
      <c r="M595" s="13" t="e">
        <f>VLOOKUP(G595,Sell!G:L,1,0)</f>
        <v>#N/A</v>
      </c>
      <c r="N595" s="13">
        <f>IFERROR(VLOOKUP(G595,Sell!G:L,2,0),0)</f>
        <v>0</v>
      </c>
      <c r="O595" s="12">
        <f>IFERROR(VLOOKUP(G595,Sell!G:L,6,0),0)</f>
        <v>0</v>
      </c>
      <c r="P595" s="13">
        <f t="shared" si="63"/>
        <v>0</v>
      </c>
      <c r="Q595" s="12">
        <f t="shared" si="65"/>
        <v>0</v>
      </c>
      <c r="R595" s="12">
        <f t="shared" si="66"/>
        <v>0</v>
      </c>
      <c r="S595" s="12">
        <f t="shared" si="67"/>
        <v>0</v>
      </c>
      <c r="T595" s="12">
        <f t="shared" si="68"/>
        <v>0</v>
      </c>
      <c r="U595" s="14" t="str">
        <f t="shared" si="69"/>
        <v/>
      </c>
    </row>
    <row r="596" spans="12:21" x14ac:dyDescent="0.25">
      <c r="L596" s="18">
        <f t="shared" si="64"/>
        <v>0</v>
      </c>
      <c r="M596" s="13" t="e">
        <f>VLOOKUP(G596,Sell!G:L,1,0)</f>
        <v>#N/A</v>
      </c>
      <c r="N596" s="13">
        <f>IFERROR(VLOOKUP(G596,Sell!G:L,2,0),0)</f>
        <v>0</v>
      </c>
      <c r="O596" s="12">
        <f>IFERROR(VLOOKUP(G596,Sell!G:L,6,0),0)</f>
        <v>0</v>
      </c>
      <c r="P596" s="13">
        <f t="shared" si="63"/>
        <v>0</v>
      </c>
      <c r="Q596" s="12">
        <f t="shared" si="65"/>
        <v>0</v>
      </c>
      <c r="R596" s="12">
        <f t="shared" si="66"/>
        <v>0</v>
      </c>
      <c r="S596" s="12">
        <f t="shared" si="67"/>
        <v>0</v>
      </c>
      <c r="T596" s="12">
        <f t="shared" si="68"/>
        <v>0</v>
      </c>
      <c r="U596" s="14" t="str">
        <f t="shared" si="69"/>
        <v/>
      </c>
    </row>
    <row r="597" spans="12:21" x14ac:dyDescent="0.25">
      <c r="L597" s="18">
        <f t="shared" si="64"/>
        <v>0</v>
      </c>
      <c r="M597" s="13" t="e">
        <f>VLOOKUP(G597,Sell!G:L,1,0)</f>
        <v>#N/A</v>
      </c>
      <c r="N597" s="13">
        <f>IFERROR(VLOOKUP(G597,Sell!G:L,2,0),0)</f>
        <v>0</v>
      </c>
      <c r="O597" s="12">
        <f>IFERROR(VLOOKUP(G597,Sell!G:L,6,0),0)</f>
        <v>0</v>
      </c>
      <c r="P597" s="13">
        <f t="shared" si="63"/>
        <v>0</v>
      </c>
      <c r="Q597" s="12">
        <f t="shared" si="65"/>
        <v>0</v>
      </c>
      <c r="R597" s="12">
        <f t="shared" si="66"/>
        <v>0</v>
      </c>
      <c r="S597" s="12">
        <f t="shared" si="67"/>
        <v>0</v>
      </c>
      <c r="T597" s="12">
        <f t="shared" si="68"/>
        <v>0</v>
      </c>
      <c r="U597" s="14" t="str">
        <f t="shared" si="69"/>
        <v/>
      </c>
    </row>
    <row r="598" spans="12:21" x14ac:dyDescent="0.25">
      <c r="L598" s="18">
        <f t="shared" si="64"/>
        <v>0</v>
      </c>
      <c r="M598" s="13" t="e">
        <f>VLOOKUP(G598,Sell!G:L,1,0)</f>
        <v>#N/A</v>
      </c>
      <c r="N598" s="13">
        <f>IFERROR(VLOOKUP(G598,Sell!G:L,2,0),0)</f>
        <v>0</v>
      </c>
      <c r="O598" s="12">
        <f>IFERROR(VLOOKUP(G598,Sell!G:L,6,0),0)</f>
        <v>0</v>
      </c>
      <c r="P598" s="13">
        <f t="shared" si="63"/>
        <v>0</v>
      </c>
      <c r="Q598" s="12">
        <f t="shared" si="65"/>
        <v>0</v>
      </c>
      <c r="R598" s="12">
        <f t="shared" si="66"/>
        <v>0</v>
      </c>
      <c r="S598" s="12">
        <f t="shared" si="67"/>
        <v>0</v>
      </c>
      <c r="T598" s="12">
        <f t="shared" si="68"/>
        <v>0</v>
      </c>
      <c r="U598" s="14" t="str">
        <f t="shared" si="69"/>
        <v/>
      </c>
    </row>
    <row r="599" spans="12:21" x14ac:dyDescent="0.25">
      <c r="L599" s="18">
        <f t="shared" si="64"/>
        <v>0</v>
      </c>
      <c r="M599" s="13" t="e">
        <f>VLOOKUP(G599,Sell!G:L,1,0)</f>
        <v>#N/A</v>
      </c>
      <c r="N599" s="13">
        <f>IFERROR(VLOOKUP(G599,Sell!G:L,2,0),0)</f>
        <v>0</v>
      </c>
      <c r="O599" s="12">
        <f>IFERROR(VLOOKUP(G599,Sell!G:L,6,0),0)</f>
        <v>0</v>
      </c>
      <c r="P599" s="13">
        <f t="shared" si="63"/>
        <v>0</v>
      </c>
      <c r="Q599" s="12">
        <f t="shared" si="65"/>
        <v>0</v>
      </c>
      <c r="R599" s="12">
        <f t="shared" si="66"/>
        <v>0</v>
      </c>
      <c r="S599" s="12">
        <f t="shared" si="67"/>
        <v>0</v>
      </c>
      <c r="T599" s="12">
        <f t="shared" si="68"/>
        <v>0</v>
      </c>
      <c r="U599" s="14" t="str">
        <f t="shared" si="69"/>
        <v/>
      </c>
    </row>
    <row r="600" spans="12:21" x14ac:dyDescent="0.25">
      <c r="L600" s="18">
        <f t="shared" si="64"/>
        <v>0</v>
      </c>
      <c r="M600" s="13" t="e">
        <f>VLOOKUP(G600,Sell!G:L,1,0)</f>
        <v>#N/A</v>
      </c>
      <c r="N600" s="13">
        <f>IFERROR(VLOOKUP(G600,Sell!G:L,2,0),0)</f>
        <v>0</v>
      </c>
      <c r="O600" s="12">
        <f>IFERROR(VLOOKUP(G600,Sell!G:L,6,0),0)</f>
        <v>0</v>
      </c>
      <c r="P600" s="13">
        <f t="shared" si="63"/>
        <v>0</v>
      </c>
      <c r="Q600" s="12">
        <f t="shared" si="65"/>
        <v>0</v>
      </c>
      <c r="R600" s="12">
        <f t="shared" si="66"/>
        <v>0</v>
      </c>
      <c r="S600" s="12">
        <f t="shared" si="67"/>
        <v>0</v>
      </c>
      <c r="T600" s="12">
        <f t="shared" si="68"/>
        <v>0</v>
      </c>
      <c r="U600" s="14" t="str">
        <f t="shared" si="69"/>
        <v/>
      </c>
    </row>
    <row r="601" spans="12:21" x14ac:dyDescent="0.25">
      <c r="L601" s="18">
        <f t="shared" si="64"/>
        <v>0</v>
      </c>
      <c r="M601" s="13" t="e">
        <f>VLOOKUP(G601,Sell!G:L,1,0)</f>
        <v>#N/A</v>
      </c>
      <c r="N601" s="13">
        <f>IFERROR(VLOOKUP(G601,Sell!G:L,2,0),0)</f>
        <v>0</v>
      </c>
      <c r="O601" s="12">
        <f>IFERROR(VLOOKUP(G601,Sell!G:L,6,0),0)</f>
        <v>0</v>
      </c>
      <c r="P601" s="13">
        <f t="shared" si="63"/>
        <v>0</v>
      </c>
      <c r="Q601" s="12">
        <f t="shared" si="65"/>
        <v>0</v>
      </c>
      <c r="R601" s="12">
        <f t="shared" si="66"/>
        <v>0</v>
      </c>
      <c r="S601" s="12">
        <f t="shared" si="67"/>
        <v>0</v>
      </c>
      <c r="T601" s="12">
        <f t="shared" si="68"/>
        <v>0</v>
      </c>
      <c r="U601" s="14" t="str">
        <f t="shared" si="69"/>
        <v/>
      </c>
    </row>
    <row r="602" spans="12:21" x14ac:dyDescent="0.25">
      <c r="L602" s="18">
        <f t="shared" si="64"/>
        <v>0</v>
      </c>
      <c r="M602" s="13" t="e">
        <f>VLOOKUP(G602,Sell!G:L,1,0)</f>
        <v>#N/A</v>
      </c>
      <c r="N602" s="13">
        <f>IFERROR(VLOOKUP(G602,Sell!G:L,2,0),0)</f>
        <v>0</v>
      </c>
      <c r="O602" s="12">
        <f>IFERROR(VLOOKUP(G602,Sell!G:L,6,0),0)</f>
        <v>0</v>
      </c>
      <c r="P602" s="13">
        <f t="shared" si="63"/>
        <v>0</v>
      </c>
      <c r="Q602" s="12">
        <f t="shared" si="65"/>
        <v>0</v>
      </c>
      <c r="R602" s="12">
        <f t="shared" si="66"/>
        <v>0</v>
      </c>
      <c r="S602" s="12">
        <f t="shared" si="67"/>
        <v>0</v>
      </c>
      <c r="T602" s="12">
        <f t="shared" si="68"/>
        <v>0</v>
      </c>
      <c r="U602" s="14" t="str">
        <f t="shared" si="69"/>
        <v/>
      </c>
    </row>
    <row r="603" spans="12:21" x14ac:dyDescent="0.25">
      <c r="L603" s="18">
        <f t="shared" si="64"/>
        <v>0</v>
      </c>
      <c r="M603" s="13" t="e">
        <f>VLOOKUP(G603,Sell!G:L,1,0)</f>
        <v>#N/A</v>
      </c>
      <c r="N603" s="13">
        <f>IFERROR(VLOOKUP(G603,Sell!G:L,2,0),0)</f>
        <v>0</v>
      </c>
      <c r="O603" s="12">
        <f>IFERROR(VLOOKUP(G603,Sell!G:L,6,0),0)</f>
        <v>0</v>
      </c>
      <c r="P603" s="13">
        <f t="shared" si="63"/>
        <v>0</v>
      </c>
      <c r="Q603" s="12">
        <f t="shared" si="65"/>
        <v>0</v>
      </c>
      <c r="R603" s="12">
        <f t="shared" si="66"/>
        <v>0</v>
      </c>
      <c r="S603" s="12">
        <f t="shared" si="67"/>
        <v>0</v>
      </c>
      <c r="T603" s="12">
        <f t="shared" si="68"/>
        <v>0</v>
      </c>
      <c r="U603" s="14" t="str">
        <f t="shared" si="69"/>
        <v/>
      </c>
    </row>
    <row r="604" spans="12:21" x14ac:dyDescent="0.25">
      <c r="L604" s="18">
        <f t="shared" si="64"/>
        <v>0</v>
      </c>
      <c r="M604" s="13" t="e">
        <f>VLOOKUP(G604,Sell!G:L,1,0)</f>
        <v>#N/A</v>
      </c>
      <c r="N604" s="13">
        <f>IFERROR(VLOOKUP(G604,Sell!G:L,2,0),0)</f>
        <v>0</v>
      </c>
      <c r="O604" s="12">
        <f>IFERROR(VLOOKUP(G604,Sell!G:L,6,0),0)</f>
        <v>0</v>
      </c>
      <c r="P604" s="13">
        <f t="shared" si="63"/>
        <v>0</v>
      </c>
      <c r="Q604" s="12">
        <f t="shared" si="65"/>
        <v>0</v>
      </c>
      <c r="R604" s="12">
        <f t="shared" si="66"/>
        <v>0</v>
      </c>
      <c r="S604" s="12">
        <f t="shared" si="67"/>
        <v>0</v>
      </c>
      <c r="T604" s="12">
        <f t="shared" si="68"/>
        <v>0</v>
      </c>
      <c r="U604" s="14" t="str">
        <f t="shared" si="69"/>
        <v/>
      </c>
    </row>
    <row r="605" spans="12:21" x14ac:dyDescent="0.25">
      <c r="L605" s="18">
        <f t="shared" si="64"/>
        <v>0</v>
      </c>
      <c r="M605" s="13" t="e">
        <f>VLOOKUP(G605,Sell!G:L,1,0)</f>
        <v>#N/A</v>
      </c>
      <c r="N605" s="13">
        <f>IFERROR(VLOOKUP(G605,Sell!G:L,2,0),0)</f>
        <v>0</v>
      </c>
      <c r="O605" s="12">
        <f>IFERROR(VLOOKUP(G605,Sell!G:L,6,0),0)</f>
        <v>0</v>
      </c>
      <c r="P605" s="13">
        <f t="shared" si="63"/>
        <v>0</v>
      </c>
      <c r="Q605" s="12">
        <f t="shared" si="65"/>
        <v>0</v>
      </c>
      <c r="R605" s="12">
        <f t="shared" si="66"/>
        <v>0</v>
      </c>
      <c r="S605" s="12">
        <f t="shared" si="67"/>
        <v>0</v>
      </c>
      <c r="T605" s="12">
        <f t="shared" si="68"/>
        <v>0</v>
      </c>
      <c r="U605" s="14" t="str">
        <f t="shared" si="69"/>
        <v/>
      </c>
    </row>
    <row r="606" spans="12:21" x14ac:dyDescent="0.25">
      <c r="L606" s="18">
        <f t="shared" si="64"/>
        <v>0</v>
      </c>
      <c r="M606" s="13" t="e">
        <f>VLOOKUP(G606,Sell!G:L,1,0)</f>
        <v>#N/A</v>
      </c>
      <c r="N606" s="13">
        <f>IFERROR(VLOOKUP(G606,Sell!G:L,2,0),0)</f>
        <v>0</v>
      </c>
      <c r="O606" s="12">
        <f>IFERROR(VLOOKUP(G606,Sell!G:L,6,0),0)</f>
        <v>0</v>
      </c>
      <c r="P606" s="13">
        <f t="shared" si="63"/>
        <v>0</v>
      </c>
      <c r="Q606" s="12">
        <f t="shared" si="65"/>
        <v>0</v>
      </c>
      <c r="R606" s="12">
        <f t="shared" si="66"/>
        <v>0</v>
      </c>
      <c r="S606" s="12">
        <f t="shared" si="67"/>
        <v>0</v>
      </c>
      <c r="T606" s="12">
        <f t="shared" si="68"/>
        <v>0</v>
      </c>
      <c r="U606" s="14" t="str">
        <f t="shared" si="69"/>
        <v/>
      </c>
    </row>
    <row r="607" spans="12:21" x14ac:dyDescent="0.25">
      <c r="L607" s="18">
        <f t="shared" si="64"/>
        <v>0</v>
      </c>
      <c r="M607" s="13" t="e">
        <f>VLOOKUP(G607,Sell!G:L,1,0)</f>
        <v>#N/A</v>
      </c>
      <c r="N607" s="13">
        <f>IFERROR(VLOOKUP(G607,Sell!G:L,2,0),0)</f>
        <v>0</v>
      </c>
      <c r="O607" s="12">
        <f>IFERROR(VLOOKUP(G607,Sell!G:L,6,0),0)</f>
        <v>0</v>
      </c>
      <c r="P607" s="13">
        <f t="shared" si="63"/>
        <v>0</v>
      </c>
      <c r="Q607" s="12">
        <f t="shared" si="65"/>
        <v>0</v>
      </c>
      <c r="R607" s="12">
        <f t="shared" si="66"/>
        <v>0</v>
      </c>
      <c r="S607" s="12">
        <f t="shared" si="67"/>
        <v>0</v>
      </c>
      <c r="T607" s="12">
        <f t="shared" si="68"/>
        <v>0</v>
      </c>
      <c r="U607" s="14" t="str">
        <f t="shared" si="69"/>
        <v/>
      </c>
    </row>
    <row r="608" spans="12:21" x14ac:dyDescent="0.25">
      <c r="L608" s="18">
        <f t="shared" si="64"/>
        <v>0</v>
      </c>
      <c r="M608" s="13" t="e">
        <f>VLOOKUP(G608,Sell!G:L,1,0)</f>
        <v>#N/A</v>
      </c>
      <c r="N608" s="13">
        <f>IFERROR(VLOOKUP(G608,Sell!G:L,2,0),0)</f>
        <v>0</v>
      </c>
      <c r="O608" s="12">
        <f>IFERROR(VLOOKUP(G608,Sell!G:L,6,0),0)</f>
        <v>0</v>
      </c>
      <c r="P608" s="13">
        <f t="shared" si="63"/>
        <v>0</v>
      </c>
      <c r="Q608" s="12">
        <f t="shared" si="65"/>
        <v>0</v>
      </c>
      <c r="R608" s="12">
        <f t="shared" si="66"/>
        <v>0</v>
      </c>
      <c r="S608" s="12">
        <f t="shared" si="67"/>
        <v>0</v>
      </c>
      <c r="T608" s="12">
        <f t="shared" si="68"/>
        <v>0</v>
      </c>
      <c r="U608" s="14" t="str">
        <f t="shared" si="69"/>
        <v/>
      </c>
    </row>
    <row r="609" spans="12:21" x14ac:dyDescent="0.25">
      <c r="L609" s="18">
        <f t="shared" si="64"/>
        <v>0</v>
      </c>
      <c r="M609" s="13" t="e">
        <f>VLOOKUP(G609,Sell!G:L,1,0)</f>
        <v>#N/A</v>
      </c>
      <c r="N609" s="13">
        <f>IFERROR(VLOOKUP(G609,Sell!G:L,2,0),0)</f>
        <v>0</v>
      </c>
      <c r="O609" s="12">
        <f>IFERROR(VLOOKUP(G609,Sell!G:L,6,0),0)</f>
        <v>0</v>
      </c>
      <c r="P609" s="13">
        <f t="shared" si="63"/>
        <v>0</v>
      </c>
      <c r="Q609" s="12">
        <f t="shared" si="65"/>
        <v>0</v>
      </c>
      <c r="R609" s="12">
        <f t="shared" si="66"/>
        <v>0</v>
      </c>
      <c r="S609" s="12">
        <f t="shared" si="67"/>
        <v>0</v>
      </c>
      <c r="T609" s="12">
        <f t="shared" si="68"/>
        <v>0</v>
      </c>
      <c r="U609" s="14" t="str">
        <f t="shared" si="69"/>
        <v/>
      </c>
    </row>
    <row r="610" spans="12:21" x14ac:dyDescent="0.25">
      <c r="L610" s="18">
        <f t="shared" si="64"/>
        <v>0</v>
      </c>
      <c r="M610" s="13" t="e">
        <f>VLOOKUP(G610,Sell!G:L,1,0)</f>
        <v>#N/A</v>
      </c>
      <c r="N610" s="13">
        <f>IFERROR(VLOOKUP(G610,Sell!G:L,2,0),0)</f>
        <v>0</v>
      </c>
      <c r="O610" s="12">
        <f>IFERROR(VLOOKUP(G610,Sell!G:L,6,0),0)</f>
        <v>0</v>
      </c>
      <c r="P610" s="13">
        <f t="shared" si="63"/>
        <v>0</v>
      </c>
      <c r="Q610" s="12">
        <f t="shared" si="65"/>
        <v>0</v>
      </c>
      <c r="R610" s="12">
        <f t="shared" si="66"/>
        <v>0</v>
      </c>
      <c r="S610" s="12">
        <f t="shared" si="67"/>
        <v>0</v>
      </c>
      <c r="T610" s="12">
        <f t="shared" si="68"/>
        <v>0</v>
      </c>
      <c r="U610" s="14" t="str">
        <f t="shared" si="69"/>
        <v/>
      </c>
    </row>
    <row r="611" spans="12:21" x14ac:dyDescent="0.25">
      <c r="L611" s="18">
        <f t="shared" si="64"/>
        <v>0</v>
      </c>
      <c r="M611" s="13" t="e">
        <f>VLOOKUP(G611,Sell!G:L,1,0)</f>
        <v>#N/A</v>
      </c>
      <c r="N611" s="13">
        <f>IFERROR(VLOOKUP(G611,Sell!G:L,2,0),0)</f>
        <v>0</v>
      </c>
      <c r="O611" s="12">
        <f>IFERROR(VLOOKUP(G611,Sell!G:L,6,0),0)</f>
        <v>0</v>
      </c>
      <c r="P611" s="13">
        <f t="shared" si="63"/>
        <v>0</v>
      </c>
      <c r="Q611" s="12">
        <f t="shared" si="65"/>
        <v>0</v>
      </c>
      <c r="R611" s="12">
        <f t="shared" si="66"/>
        <v>0</v>
      </c>
      <c r="S611" s="12">
        <f t="shared" si="67"/>
        <v>0</v>
      </c>
      <c r="T611" s="12">
        <f t="shared" si="68"/>
        <v>0</v>
      </c>
      <c r="U611" s="14" t="str">
        <f t="shared" si="69"/>
        <v/>
      </c>
    </row>
    <row r="612" spans="12:21" x14ac:dyDescent="0.25">
      <c r="L612" s="18">
        <f t="shared" si="64"/>
        <v>0</v>
      </c>
      <c r="M612" s="13" t="e">
        <f>VLOOKUP(G612,Sell!G:L,1,0)</f>
        <v>#N/A</v>
      </c>
      <c r="N612" s="13">
        <f>IFERROR(VLOOKUP(G612,Sell!G:L,2,0),0)</f>
        <v>0</v>
      </c>
      <c r="O612" s="12">
        <f>IFERROR(VLOOKUP(G612,Sell!G:L,6,0),0)</f>
        <v>0</v>
      </c>
      <c r="P612" s="13">
        <f t="shared" si="63"/>
        <v>0</v>
      </c>
      <c r="Q612" s="12">
        <f t="shared" si="65"/>
        <v>0</v>
      </c>
      <c r="R612" s="12">
        <f t="shared" si="66"/>
        <v>0</v>
      </c>
      <c r="S612" s="12">
        <f t="shared" si="67"/>
        <v>0</v>
      </c>
      <c r="T612" s="12">
        <f t="shared" si="68"/>
        <v>0</v>
      </c>
      <c r="U612" s="14" t="str">
        <f t="shared" si="69"/>
        <v/>
      </c>
    </row>
    <row r="613" spans="12:21" x14ac:dyDescent="0.25">
      <c r="L613" s="18">
        <f t="shared" si="64"/>
        <v>0</v>
      </c>
      <c r="M613" s="13" t="e">
        <f>VLOOKUP(G613,Sell!G:L,1,0)</f>
        <v>#N/A</v>
      </c>
      <c r="N613" s="13">
        <f>IFERROR(VLOOKUP(G613,Sell!G:L,2,0),0)</f>
        <v>0</v>
      </c>
      <c r="O613" s="12">
        <f>IFERROR(VLOOKUP(G613,Sell!G:L,6,0),0)</f>
        <v>0</v>
      </c>
      <c r="P613" s="13">
        <f t="shared" si="63"/>
        <v>0</v>
      </c>
      <c r="Q613" s="12">
        <f t="shared" si="65"/>
        <v>0</v>
      </c>
      <c r="R613" s="12">
        <f t="shared" si="66"/>
        <v>0</v>
      </c>
      <c r="S613" s="12">
        <f t="shared" si="67"/>
        <v>0</v>
      </c>
      <c r="T613" s="12">
        <f t="shared" si="68"/>
        <v>0</v>
      </c>
      <c r="U613" s="14" t="str">
        <f t="shared" si="69"/>
        <v/>
      </c>
    </row>
    <row r="614" spans="12:21" x14ac:dyDescent="0.25">
      <c r="L614" s="18">
        <f t="shared" si="64"/>
        <v>0</v>
      </c>
      <c r="M614" s="13" t="e">
        <f>VLOOKUP(G614,Sell!G:L,1,0)</f>
        <v>#N/A</v>
      </c>
      <c r="N614" s="13">
        <f>IFERROR(VLOOKUP(G614,Sell!G:L,2,0),0)</f>
        <v>0</v>
      </c>
      <c r="O614" s="12">
        <f>IFERROR(VLOOKUP(G614,Sell!G:L,6,0),0)</f>
        <v>0</v>
      </c>
      <c r="P614" s="13">
        <f t="shared" si="63"/>
        <v>0</v>
      </c>
      <c r="Q614" s="12">
        <f t="shared" si="65"/>
        <v>0</v>
      </c>
      <c r="R614" s="12">
        <f t="shared" si="66"/>
        <v>0</v>
      </c>
      <c r="S614" s="12">
        <f t="shared" si="67"/>
        <v>0</v>
      </c>
      <c r="T614" s="12">
        <f t="shared" si="68"/>
        <v>0</v>
      </c>
      <c r="U614" s="14" t="str">
        <f t="shared" si="69"/>
        <v/>
      </c>
    </row>
    <row r="615" spans="12:21" x14ac:dyDescent="0.25">
      <c r="L615" s="18">
        <f t="shared" si="64"/>
        <v>0</v>
      </c>
      <c r="M615" s="13" t="e">
        <f>VLOOKUP(G615,Sell!G:L,1,0)</f>
        <v>#N/A</v>
      </c>
      <c r="N615" s="13">
        <f>IFERROR(VLOOKUP(G615,Sell!G:L,2,0),0)</f>
        <v>0</v>
      </c>
      <c r="O615" s="12">
        <f>IFERROR(VLOOKUP(G615,Sell!G:L,6,0),0)</f>
        <v>0</v>
      </c>
      <c r="P615" s="13">
        <f t="shared" si="63"/>
        <v>0</v>
      </c>
      <c r="Q615" s="12">
        <f t="shared" si="65"/>
        <v>0</v>
      </c>
      <c r="R615" s="12">
        <f t="shared" si="66"/>
        <v>0</v>
      </c>
      <c r="S615" s="12">
        <f t="shared" si="67"/>
        <v>0</v>
      </c>
      <c r="T615" s="12">
        <f t="shared" si="68"/>
        <v>0</v>
      </c>
      <c r="U615" s="14" t="str">
        <f t="shared" si="69"/>
        <v/>
      </c>
    </row>
    <row r="616" spans="12:21" x14ac:dyDescent="0.25">
      <c r="L616" s="18">
        <f t="shared" si="64"/>
        <v>0</v>
      </c>
      <c r="M616" s="13" t="e">
        <f>VLOOKUP(G616,Sell!G:L,1,0)</f>
        <v>#N/A</v>
      </c>
      <c r="N616" s="13">
        <f>IFERROR(VLOOKUP(G616,Sell!G:L,2,0),0)</f>
        <v>0</v>
      </c>
      <c r="O616" s="12">
        <f>IFERROR(VLOOKUP(G616,Sell!G:L,6,0),0)</f>
        <v>0</v>
      </c>
      <c r="P616" s="13">
        <f t="shared" si="63"/>
        <v>0</v>
      </c>
      <c r="Q616" s="12">
        <f t="shared" si="65"/>
        <v>0</v>
      </c>
      <c r="R616" s="12">
        <f t="shared" si="66"/>
        <v>0</v>
      </c>
      <c r="S616" s="12">
        <f t="shared" si="67"/>
        <v>0</v>
      </c>
      <c r="T616" s="12">
        <f t="shared" si="68"/>
        <v>0</v>
      </c>
      <c r="U616" s="14" t="str">
        <f t="shared" si="69"/>
        <v/>
      </c>
    </row>
    <row r="617" spans="12:21" x14ac:dyDescent="0.25">
      <c r="L617" s="18">
        <f t="shared" si="64"/>
        <v>0</v>
      </c>
      <c r="M617" s="13" t="e">
        <f>VLOOKUP(G617,Sell!G:L,1,0)</f>
        <v>#N/A</v>
      </c>
      <c r="N617" s="13">
        <f>IFERROR(VLOOKUP(G617,Sell!G:L,2,0),0)</f>
        <v>0</v>
      </c>
      <c r="O617" s="12">
        <f>IFERROR(VLOOKUP(G617,Sell!G:L,6,0),0)</f>
        <v>0</v>
      </c>
      <c r="P617" s="13">
        <f t="shared" si="63"/>
        <v>0</v>
      </c>
      <c r="Q617" s="12">
        <f t="shared" si="65"/>
        <v>0</v>
      </c>
      <c r="R617" s="12">
        <f t="shared" si="66"/>
        <v>0</v>
      </c>
      <c r="S617" s="12">
        <f t="shared" si="67"/>
        <v>0</v>
      </c>
      <c r="T617" s="12">
        <f t="shared" si="68"/>
        <v>0</v>
      </c>
      <c r="U617" s="14" t="str">
        <f t="shared" si="69"/>
        <v/>
      </c>
    </row>
    <row r="618" spans="12:21" x14ac:dyDescent="0.25">
      <c r="L618" s="18">
        <f t="shared" si="64"/>
        <v>0</v>
      </c>
      <c r="M618" s="13" t="e">
        <f>VLOOKUP(G618,Sell!G:L,1,0)</f>
        <v>#N/A</v>
      </c>
      <c r="N618" s="13">
        <f>IFERROR(VLOOKUP(G618,Sell!G:L,2,0),0)</f>
        <v>0</v>
      </c>
      <c r="O618" s="12">
        <f>IFERROR(VLOOKUP(G618,Sell!G:L,6,0),0)</f>
        <v>0</v>
      </c>
      <c r="P618" s="13">
        <f t="shared" si="63"/>
        <v>0</v>
      </c>
      <c r="Q618" s="12">
        <f t="shared" si="65"/>
        <v>0</v>
      </c>
      <c r="R618" s="12">
        <f t="shared" si="66"/>
        <v>0</v>
      </c>
      <c r="S618" s="12">
        <f t="shared" si="67"/>
        <v>0</v>
      </c>
      <c r="T618" s="12">
        <f t="shared" si="68"/>
        <v>0</v>
      </c>
      <c r="U618" s="14" t="str">
        <f t="shared" si="69"/>
        <v/>
      </c>
    </row>
    <row r="619" spans="12:21" x14ac:dyDescent="0.25">
      <c r="L619" s="18">
        <f t="shared" si="64"/>
        <v>0</v>
      </c>
      <c r="M619" s="13" t="e">
        <f>VLOOKUP(G619,Sell!G:L,1,0)</f>
        <v>#N/A</v>
      </c>
      <c r="N619" s="13">
        <f>IFERROR(VLOOKUP(G619,Sell!G:L,2,0),0)</f>
        <v>0</v>
      </c>
      <c r="O619" s="12">
        <f>IFERROR(VLOOKUP(G619,Sell!G:L,6,0),0)</f>
        <v>0</v>
      </c>
      <c r="P619" s="13">
        <f t="shared" si="63"/>
        <v>0</v>
      </c>
      <c r="Q619" s="12">
        <f t="shared" si="65"/>
        <v>0</v>
      </c>
      <c r="R619" s="12">
        <f t="shared" si="66"/>
        <v>0</v>
      </c>
      <c r="S619" s="12">
        <f t="shared" si="67"/>
        <v>0</v>
      </c>
      <c r="T619" s="12">
        <f t="shared" si="68"/>
        <v>0</v>
      </c>
      <c r="U619" s="14" t="str">
        <f t="shared" si="69"/>
        <v/>
      </c>
    </row>
    <row r="620" spans="12:21" x14ac:dyDescent="0.25">
      <c r="L620" s="18">
        <f t="shared" si="64"/>
        <v>0</v>
      </c>
      <c r="M620" s="13" t="e">
        <f>VLOOKUP(G620,Sell!G:L,1,0)</f>
        <v>#N/A</v>
      </c>
      <c r="N620" s="13">
        <f>IFERROR(VLOOKUP(G620,Sell!G:L,2,0),0)</f>
        <v>0</v>
      </c>
      <c r="O620" s="12">
        <f>IFERROR(VLOOKUP(G620,Sell!G:L,6,0),0)</f>
        <v>0</v>
      </c>
      <c r="P620" s="13">
        <f t="shared" si="63"/>
        <v>0</v>
      </c>
      <c r="Q620" s="12">
        <f t="shared" si="65"/>
        <v>0</v>
      </c>
      <c r="R620" s="12">
        <f t="shared" si="66"/>
        <v>0</v>
      </c>
      <c r="S620" s="12">
        <f t="shared" si="67"/>
        <v>0</v>
      </c>
      <c r="T620" s="12">
        <f t="shared" si="68"/>
        <v>0</v>
      </c>
      <c r="U620" s="14" t="str">
        <f t="shared" si="69"/>
        <v/>
      </c>
    </row>
    <row r="621" spans="12:21" x14ac:dyDescent="0.25">
      <c r="L621" s="18">
        <f t="shared" si="64"/>
        <v>0</v>
      </c>
      <c r="M621" s="13" t="e">
        <f>VLOOKUP(G621,Sell!G:L,1,0)</f>
        <v>#N/A</v>
      </c>
      <c r="N621" s="13">
        <f>IFERROR(VLOOKUP(G621,Sell!G:L,2,0),0)</f>
        <v>0</v>
      </c>
      <c r="O621" s="12">
        <f>IFERROR(VLOOKUP(G621,Sell!G:L,6,0),0)</f>
        <v>0</v>
      </c>
      <c r="P621" s="13">
        <f t="shared" si="63"/>
        <v>0</v>
      </c>
      <c r="Q621" s="12">
        <f t="shared" si="65"/>
        <v>0</v>
      </c>
      <c r="R621" s="12">
        <f t="shared" si="66"/>
        <v>0</v>
      </c>
      <c r="S621" s="12">
        <f t="shared" si="67"/>
        <v>0</v>
      </c>
      <c r="T621" s="12">
        <f t="shared" si="68"/>
        <v>0</v>
      </c>
      <c r="U621" s="14" t="str">
        <f t="shared" si="69"/>
        <v/>
      </c>
    </row>
    <row r="622" spans="12:21" x14ac:dyDescent="0.25">
      <c r="L622" s="18">
        <f t="shared" si="64"/>
        <v>0</v>
      </c>
      <c r="M622" s="13" t="e">
        <f>VLOOKUP(G622,Sell!G:L,1,0)</f>
        <v>#N/A</v>
      </c>
      <c r="N622" s="13">
        <f>IFERROR(VLOOKUP(G622,Sell!G:L,2,0),0)</f>
        <v>0</v>
      </c>
      <c r="O622" s="12">
        <f>IFERROR(VLOOKUP(G622,Sell!G:L,6,0),0)</f>
        <v>0</v>
      </c>
      <c r="P622" s="13">
        <f t="shared" si="63"/>
        <v>0</v>
      </c>
      <c r="Q622" s="12">
        <f t="shared" si="65"/>
        <v>0</v>
      </c>
      <c r="R622" s="12">
        <f t="shared" si="66"/>
        <v>0</v>
      </c>
      <c r="S622" s="12">
        <f t="shared" si="67"/>
        <v>0</v>
      </c>
      <c r="T622" s="12">
        <f t="shared" si="68"/>
        <v>0</v>
      </c>
      <c r="U622" s="14" t="str">
        <f t="shared" si="69"/>
        <v/>
      </c>
    </row>
    <row r="623" spans="12:21" x14ac:dyDescent="0.25">
      <c r="L623" s="18">
        <f t="shared" si="64"/>
        <v>0</v>
      </c>
      <c r="M623" s="13" t="e">
        <f>VLOOKUP(G623,Sell!G:L,1,0)</f>
        <v>#N/A</v>
      </c>
      <c r="N623" s="13">
        <f>IFERROR(VLOOKUP(G623,Sell!G:L,2,0),0)</f>
        <v>0</v>
      </c>
      <c r="O623" s="12">
        <f>IFERROR(VLOOKUP(G623,Sell!G:L,6,0),0)</f>
        <v>0</v>
      </c>
      <c r="P623" s="13">
        <f t="shared" si="63"/>
        <v>0</v>
      </c>
      <c r="Q623" s="12">
        <f t="shared" si="65"/>
        <v>0</v>
      </c>
      <c r="R623" s="12">
        <f t="shared" si="66"/>
        <v>0</v>
      </c>
      <c r="S623" s="12">
        <f t="shared" si="67"/>
        <v>0</v>
      </c>
      <c r="T623" s="12">
        <f t="shared" si="68"/>
        <v>0</v>
      </c>
      <c r="U623" s="14" t="str">
        <f t="shared" si="69"/>
        <v/>
      </c>
    </row>
    <row r="624" spans="12:21" x14ac:dyDescent="0.25">
      <c r="L624" s="18">
        <f t="shared" si="64"/>
        <v>0</v>
      </c>
      <c r="M624" s="13" t="e">
        <f>VLOOKUP(G624,Sell!G:L,1,0)</f>
        <v>#N/A</v>
      </c>
      <c r="N624" s="13">
        <f>IFERROR(VLOOKUP(G624,Sell!G:L,2,0),0)</f>
        <v>0</v>
      </c>
      <c r="O624" s="12">
        <f>IFERROR(VLOOKUP(G624,Sell!G:L,6,0),0)</f>
        <v>0</v>
      </c>
      <c r="P624" s="13">
        <f t="shared" si="63"/>
        <v>0</v>
      </c>
      <c r="Q624" s="12">
        <f t="shared" si="65"/>
        <v>0</v>
      </c>
      <c r="R624" s="12">
        <f t="shared" si="66"/>
        <v>0</v>
      </c>
      <c r="S624" s="12">
        <f t="shared" si="67"/>
        <v>0</v>
      </c>
      <c r="T624" s="12">
        <f t="shared" si="68"/>
        <v>0</v>
      </c>
      <c r="U624" s="14" t="str">
        <f t="shared" si="69"/>
        <v/>
      </c>
    </row>
    <row r="625" spans="12:21" x14ac:dyDescent="0.25">
      <c r="L625" s="18">
        <f t="shared" si="64"/>
        <v>0</v>
      </c>
      <c r="M625" s="13" t="e">
        <f>VLOOKUP(G625,Sell!G:L,1,0)</f>
        <v>#N/A</v>
      </c>
      <c r="N625" s="13">
        <f>IFERROR(VLOOKUP(G625,Sell!G:L,2,0),0)</f>
        <v>0</v>
      </c>
      <c r="O625" s="12">
        <f>IFERROR(VLOOKUP(G625,Sell!G:L,6,0),0)</f>
        <v>0</v>
      </c>
      <c r="P625" s="13">
        <f t="shared" si="63"/>
        <v>0</v>
      </c>
      <c r="Q625" s="12">
        <f t="shared" si="65"/>
        <v>0</v>
      </c>
      <c r="R625" s="12">
        <f t="shared" si="66"/>
        <v>0</v>
      </c>
      <c r="S625" s="12">
        <f t="shared" si="67"/>
        <v>0</v>
      </c>
      <c r="T625" s="12">
        <f t="shared" si="68"/>
        <v>0</v>
      </c>
      <c r="U625" s="14" t="str">
        <f t="shared" si="69"/>
        <v/>
      </c>
    </row>
    <row r="626" spans="12:21" x14ac:dyDescent="0.25">
      <c r="L626" s="18">
        <f t="shared" si="64"/>
        <v>0</v>
      </c>
      <c r="M626" s="13" t="e">
        <f>VLOOKUP(G626,Sell!G:L,1,0)</f>
        <v>#N/A</v>
      </c>
      <c r="N626" s="13">
        <f>IFERROR(VLOOKUP(G626,Sell!G:L,2,0),0)</f>
        <v>0</v>
      </c>
      <c r="O626" s="12">
        <f>IFERROR(VLOOKUP(G626,Sell!G:L,6,0),0)</f>
        <v>0</v>
      </c>
      <c r="P626" s="13">
        <f t="shared" si="63"/>
        <v>0</v>
      </c>
      <c r="Q626" s="12">
        <f t="shared" si="65"/>
        <v>0</v>
      </c>
      <c r="R626" s="12">
        <f t="shared" si="66"/>
        <v>0</v>
      </c>
      <c r="S626" s="12">
        <f t="shared" si="67"/>
        <v>0</v>
      </c>
      <c r="T626" s="12">
        <f t="shared" si="68"/>
        <v>0</v>
      </c>
      <c r="U626" s="14" t="str">
        <f t="shared" si="69"/>
        <v/>
      </c>
    </row>
    <row r="627" spans="12:21" x14ac:dyDescent="0.25">
      <c r="L627" s="18">
        <f t="shared" si="64"/>
        <v>0</v>
      </c>
      <c r="M627" s="13" t="e">
        <f>VLOOKUP(G627,Sell!G:L,1,0)</f>
        <v>#N/A</v>
      </c>
      <c r="N627" s="13">
        <f>IFERROR(VLOOKUP(G627,Sell!G:L,2,0),0)</f>
        <v>0</v>
      </c>
      <c r="O627" s="12">
        <f>IFERROR(VLOOKUP(G627,Sell!G:L,6,0),0)</f>
        <v>0</v>
      </c>
      <c r="P627" s="13">
        <f t="shared" si="63"/>
        <v>0</v>
      </c>
      <c r="Q627" s="12">
        <f t="shared" si="65"/>
        <v>0</v>
      </c>
      <c r="R627" s="12">
        <f t="shared" si="66"/>
        <v>0</v>
      </c>
      <c r="S627" s="12">
        <f t="shared" si="67"/>
        <v>0</v>
      </c>
      <c r="T627" s="12">
        <f t="shared" si="68"/>
        <v>0</v>
      </c>
      <c r="U627" s="14" t="str">
        <f t="shared" si="69"/>
        <v/>
      </c>
    </row>
    <row r="628" spans="12:21" x14ac:dyDescent="0.25">
      <c r="L628" s="18">
        <f t="shared" si="64"/>
        <v>0</v>
      </c>
      <c r="M628" s="13" t="e">
        <f>VLOOKUP(G628,Sell!G:L,1,0)</f>
        <v>#N/A</v>
      </c>
      <c r="N628" s="13">
        <f>IFERROR(VLOOKUP(G628,Sell!G:L,2,0),0)</f>
        <v>0</v>
      </c>
      <c r="O628" s="12">
        <f>IFERROR(VLOOKUP(G628,Sell!G:L,6,0),0)</f>
        <v>0</v>
      </c>
      <c r="P628" s="13">
        <f t="shared" si="63"/>
        <v>0</v>
      </c>
      <c r="Q628" s="12">
        <f t="shared" si="65"/>
        <v>0</v>
      </c>
      <c r="R628" s="12">
        <f t="shared" si="66"/>
        <v>0</v>
      </c>
      <c r="S628" s="12">
        <f t="shared" si="67"/>
        <v>0</v>
      </c>
      <c r="T628" s="12">
        <f t="shared" si="68"/>
        <v>0</v>
      </c>
      <c r="U628" s="14" t="str">
        <f t="shared" si="69"/>
        <v/>
      </c>
    </row>
    <row r="629" spans="12:21" x14ac:dyDescent="0.25">
      <c r="L629" s="18">
        <f t="shared" si="64"/>
        <v>0</v>
      </c>
      <c r="M629" s="13" t="e">
        <f>VLOOKUP(G629,Sell!G:L,1,0)</f>
        <v>#N/A</v>
      </c>
      <c r="N629" s="13">
        <f>IFERROR(VLOOKUP(G629,Sell!G:L,2,0),0)</f>
        <v>0</v>
      </c>
      <c r="O629" s="12">
        <f>IFERROR(VLOOKUP(G629,Sell!G:L,6,0),0)</f>
        <v>0</v>
      </c>
      <c r="P629" s="13">
        <f t="shared" si="63"/>
        <v>0</v>
      </c>
      <c r="Q629" s="12">
        <f t="shared" si="65"/>
        <v>0</v>
      </c>
      <c r="R629" s="12">
        <f t="shared" si="66"/>
        <v>0</v>
      </c>
      <c r="S629" s="12">
        <f t="shared" si="67"/>
        <v>0</v>
      </c>
      <c r="T629" s="12">
        <f t="shared" si="68"/>
        <v>0</v>
      </c>
      <c r="U629" s="14" t="str">
        <f t="shared" si="69"/>
        <v/>
      </c>
    </row>
    <row r="630" spans="12:21" x14ac:dyDescent="0.25">
      <c r="L630" s="18">
        <f t="shared" si="64"/>
        <v>0</v>
      </c>
      <c r="M630" s="13" t="e">
        <f>VLOOKUP(G630,Sell!G:L,1,0)</f>
        <v>#N/A</v>
      </c>
      <c r="N630" s="13">
        <f>IFERROR(VLOOKUP(G630,Sell!G:L,2,0),0)</f>
        <v>0</v>
      </c>
      <c r="O630" s="12">
        <f>IFERROR(VLOOKUP(G630,Sell!G:L,6,0),0)</f>
        <v>0</v>
      </c>
      <c r="P630" s="13">
        <f t="shared" si="63"/>
        <v>0</v>
      </c>
      <c r="Q630" s="12">
        <f t="shared" si="65"/>
        <v>0</v>
      </c>
      <c r="R630" s="12">
        <f t="shared" si="66"/>
        <v>0</v>
      </c>
      <c r="S630" s="12">
        <f t="shared" si="67"/>
        <v>0</v>
      </c>
      <c r="T630" s="12">
        <f t="shared" si="68"/>
        <v>0</v>
      </c>
      <c r="U630" s="14" t="str">
        <f t="shared" si="69"/>
        <v/>
      </c>
    </row>
    <row r="631" spans="12:21" x14ac:dyDescent="0.25">
      <c r="L631" s="18">
        <f t="shared" si="64"/>
        <v>0</v>
      </c>
      <c r="M631" s="13" t="e">
        <f>VLOOKUP(G631,Sell!G:L,1,0)</f>
        <v>#N/A</v>
      </c>
      <c r="N631" s="13">
        <f>IFERROR(VLOOKUP(G631,Sell!G:L,2,0),0)</f>
        <v>0</v>
      </c>
      <c r="O631" s="12">
        <f>IFERROR(VLOOKUP(G631,Sell!G:L,6,0),0)</f>
        <v>0</v>
      </c>
      <c r="P631" s="13">
        <f t="shared" si="63"/>
        <v>0</v>
      </c>
      <c r="Q631" s="12">
        <f t="shared" si="65"/>
        <v>0</v>
      </c>
      <c r="R631" s="12">
        <f t="shared" si="66"/>
        <v>0</v>
      </c>
      <c r="S631" s="12">
        <f t="shared" si="67"/>
        <v>0</v>
      </c>
      <c r="T631" s="12">
        <f t="shared" si="68"/>
        <v>0</v>
      </c>
      <c r="U631" s="14" t="str">
        <f t="shared" si="69"/>
        <v/>
      </c>
    </row>
    <row r="632" spans="12:21" x14ac:dyDescent="0.25">
      <c r="L632" s="18">
        <f t="shared" si="64"/>
        <v>0</v>
      </c>
      <c r="M632" s="13" t="e">
        <f>VLOOKUP(G632,Sell!G:L,1,0)</f>
        <v>#N/A</v>
      </c>
      <c r="N632" s="13">
        <f>IFERROR(VLOOKUP(G632,Sell!G:L,2,0),0)</f>
        <v>0</v>
      </c>
      <c r="O632" s="12">
        <f>IFERROR(VLOOKUP(G632,Sell!G:L,6,0),0)</f>
        <v>0</v>
      </c>
      <c r="P632" s="13">
        <f t="shared" si="63"/>
        <v>0</v>
      </c>
      <c r="Q632" s="12">
        <f t="shared" si="65"/>
        <v>0</v>
      </c>
      <c r="R632" s="12">
        <f t="shared" si="66"/>
        <v>0</v>
      </c>
      <c r="S632" s="12">
        <f t="shared" si="67"/>
        <v>0</v>
      </c>
      <c r="T632" s="12">
        <f t="shared" si="68"/>
        <v>0</v>
      </c>
      <c r="U632" s="14" t="str">
        <f t="shared" si="69"/>
        <v/>
      </c>
    </row>
    <row r="633" spans="12:21" x14ac:dyDescent="0.25">
      <c r="L633" s="18">
        <f t="shared" si="64"/>
        <v>0</v>
      </c>
      <c r="M633" s="13" t="e">
        <f>VLOOKUP(G633,Sell!G:L,1,0)</f>
        <v>#N/A</v>
      </c>
      <c r="N633" s="13">
        <f>IFERROR(VLOOKUP(G633,Sell!G:L,2,0),0)</f>
        <v>0</v>
      </c>
      <c r="O633" s="12">
        <f>IFERROR(VLOOKUP(G633,Sell!G:L,6,0),0)</f>
        <v>0</v>
      </c>
      <c r="P633" s="13">
        <f t="shared" si="63"/>
        <v>0</v>
      </c>
      <c r="Q633" s="12">
        <f t="shared" si="65"/>
        <v>0</v>
      </c>
      <c r="R633" s="12">
        <f t="shared" si="66"/>
        <v>0</v>
      </c>
      <c r="S633" s="12">
        <f t="shared" si="67"/>
        <v>0</v>
      </c>
      <c r="T633" s="12">
        <f t="shared" si="68"/>
        <v>0</v>
      </c>
      <c r="U633" s="14" t="str">
        <f t="shared" si="69"/>
        <v/>
      </c>
    </row>
    <row r="634" spans="12:21" x14ac:dyDescent="0.25">
      <c r="L634" s="18">
        <f t="shared" si="64"/>
        <v>0</v>
      </c>
      <c r="M634" s="13" t="e">
        <f>VLOOKUP(G634,Sell!G:L,1,0)</f>
        <v>#N/A</v>
      </c>
      <c r="N634" s="13">
        <f>IFERROR(VLOOKUP(G634,Sell!G:L,2,0),0)</f>
        <v>0</v>
      </c>
      <c r="O634" s="12">
        <f>IFERROR(VLOOKUP(G634,Sell!G:L,6,0),0)</f>
        <v>0</v>
      </c>
      <c r="P634" s="13">
        <f t="shared" si="63"/>
        <v>0</v>
      </c>
      <c r="Q634" s="12">
        <f t="shared" si="65"/>
        <v>0</v>
      </c>
      <c r="R634" s="12">
        <f t="shared" si="66"/>
        <v>0</v>
      </c>
      <c r="S634" s="12">
        <f t="shared" si="67"/>
        <v>0</v>
      </c>
      <c r="T634" s="12">
        <f t="shared" si="68"/>
        <v>0</v>
      </c>
      <c r="U634" s="14" t="str">
        <f t="shared" si="69"/>
        <v/>
      </c>
    </row>
    <row r="635" spans="12:21" x14ac:dyDescent="0.25">
      <c r="L635" s="18">
        <f t="shared" si="64"/>
        <v>0</v>
      </c>
      <c r="M635" s="13" t="e">
        <f>VLOOKUP(G635,Sell!G:L,1,0)</f>
        <v>#N/A</v>
      </c>
      <c r="N635" s="13">
        <f>IFERROR(VLOOKUP(G635,Sell!G:L,2,0),0)</f>
        <v>0</v>
      </c>
      <c r="O635" s="12">
        <f>IFERROR(VLOOKUP(G635,Sell!G:L,6,0),0)</f>
        <v>0</v>
      </c>
      <c r="P635" s="13">
        <f t="shared" si="63"/>
        <v>0</v>
      </c>
      <c r="Q635" s="12">
        <f t="shared" si="65"/>
        <v>0</v>
      </c>
      <c r="R635" s="12">
        <f t="shared" si="66"/>
        <v>0</v>
      </c>
      <c r="S635" s="12">
        <f t="shared" si="67"/>
        <v>0</v>
      </c>
      <c r="T635" s="12">
        <f t="shared" si="68"/>
        <v>0</v>
      </c>
      <c r="U635" s="14" t="str">
        <f t="shared" si="69"/>
        <v/>
      </c>
    </row>
    <row r="636" spans="12:21" x14ac:dyDescent="0.25">
      <c r="L636" s="18">
        <f t="shared" si="64"/>
        <v>0</v>
      </c>
      <c r="M636" s="13" t="e">
        <f>VLOOKUP(G636,Sell!G:L,1,0)</f>
        <v>#N/A</v>
      </c>
      <c r="N636" s="13">
        <f>IFERROR(VLOOKUP(G636,Sell!G:L,2,0),0)</f>
        <v>0</v>
      </c>
      <c r="O636" s="12">
        <f>IFERROR(VLOOKUP(G636,Sell!G:L,6,0),0)</f>
        <v>0</v>
      </c>
      <c r="P636" s="13">
        <f t="shared" si="63"/>
        <v>0</v>
      </c>
      <c r="Q636" s="12">
        <f t="shared" si="65"/>
        <v>0</v>
      </c>
      <c r="R636" s="12">
        <f t="shared" si="66"/>
        <v>0</v>
      </c>
      <c r="S636" s="12">
        <f t="shared" si="67"/>
        <v>0</v>
      </c>
      <c r="T636" s="12">
        <f t="shared" si="68"/>
        <v>0</v>
      </c>
      <c r="U636" s="14" t="str">
        <f t="shared" si="69"/>
        <v/>
      </c>
    </row>
    <row r="637" spans="12:21" x14ac:dyDescent="0.25">
      <c r="L637" s="18">
        <f t="shared" si="64"/>
        <v>0</v>
      </c>
      <c r="M637" s="13" t="e">
        <f>VLOOKUP(G637,Sell!G:L,1,0)</f>
        <v>#N/A</v>
      </c>
      <c r="N637" s="13">
        <f>IFERROR(VLOOKUP(G637,Sell!G:L,2,0),0)</f>
        <v>0</v>
      </c>
      <c r="O637" s="12">
        <f>IFERROR(VLOOKUP(G637,Sell!G:L,6,0),0)</f>
        <v>0</v>
      </c>
      <c r="P637" s="13">
        <f t="shared" si="63"/>
        <v>0</v>
      </c>
      <c r="Q637" s="12">
        <f t="shared" si="65"/>
        <v>0</v>
      </c>
      <c r="R637" s="12">
        <f t="shared" si="66"/>
        <v>0</v>
      </c>
      <c r="S637" s="12">
        <f t="shared" si="67"/>
        <v>0</v>
      </c>
      <c r="T637" s="12">
        <f t="shared" si="68"/>
        <v>0</v>
      </c>
      <c r="U637" s="14" t="str">
        <f t="shared" si="69"/>
        <v/>
      </c>
    </row>
    <row r="638" spans="12:21" x14ac:dyDescent="0.25">
      <c r="L638" s="18">
        <f t="shared" si="64"/>
        <v>0</v>
      </c>
      <c r="M638" s="13" t="e">
        <f>VLOOKUP(G638,Sell!G:L,1,0)</f>
        <v>#N/A</v>
      </c>
      <c r="N638" s="13">
        <f>IFERROR(VLOOKUP(G638,Sell!G:L,2,0),0)</f>
        <v>0</v>
      </c>
      <c r="O638" s="12">
        <f>IFERROR(VLOOKUP(G638,Sell!G:L,6,0),0)</f>
        <v>0</v>
      </c>
      <c r="P638" s="13">
        <f t="shared" si="63"/>
        <v>0</v>
      </c>
      <c r="Q638" s="12">
        <f t="shared" si="65"/>
        <v>0</v>
      </c>
      <c r="R638" s="12">
        <f t="shared" si="66"/>
        <v>0</v>
      </c>
      <c r="S638" s="12">
        <f t="shared" si="67"/>
        <v>0</v>
      </c>
      <c r="T638" s="12">
        <f t="shared" si="68"/>
        <v>0</v>
      </c>
      <c r="U638" s="14" t="str">
        <f t="shared" si="69"/>
        <v/>
      </c>
    </row>
    <row r="639" spans="12:21" x14ac:dyDescent="0.25">
      <c r="L639" s="18">
        <f t="shared" si="64"/>
        <v>0</v>
      </c>
      <c r="M639" s="13" t="e">
        <f>VLOOKUP(G639,Sell!G:L,1,0)</f>
        <v>#N/A</v>
      </c>
      <c r="N639" s="13">
        <f>IFERROR(VLOOKUP(G639,Sell!G:L,2,0),0)</f>
        <v>0</v>
      </c>
      <c r="O639" s="12">
        <f>IFERROR(VLOOKUP(G639,Sell!G:L,6,0),0)</f>
        <v>0</v>
      </c>
      <c r="P639" s="13">
        <f t="shared" si="63"/>
        <v>0</v>
      </c>
      <c r="Q639" s="12">
        <f t="shared" si="65"/>
        <v>0</v>
      </c>
      <c r="R639" s="12">
        <f t="shared" si="66"/>
        <v>0</v>
      </c>
      <c r="S639" s="12">
        <f t="shared" si="67"/>
        <v>0</v>
      </c>
      <c r="T639" s="12">
        <f t="shared" si="68"/>
        <v>0</v>
      </c>
      <c r="U639" s="14" t="str">
        <f t="shared" si="69"/>
        <v/>
      </c>
    </row>
    <row r="640" spans="12:21" x14ac:dyDescent="0.25">
      <c r="L640" s="18">
        <f t="shared" si="64"/>
        <v>0</v>
      </c>
      <c r="M640" s="13" t="e">
        <f>VLOOKUP(G640,Sell!G:L,1,0)</f>
        <v>#N/A</v>
      </c>
      <c r="N640" s="13">
        <f>IFERROR(VLOOKUP(G640,Sell!G:L,2,0),0)</f>
        <v>0</v>
      </c>
      <c r="O640" s="12">
        <f>IFERROR(VLOOKUP(G640,Sell!G:L,6,0),0)</f>
        <v>0</v>
      </c>
      <c r="P640" s="13">
        <f t="shared" si="63"/>
        <v>0</v>
      </c>
      <c r="Q640" s="12">
        <f t="shared" si="65"/>
        <v>0</v>
      </c>
      <c r="R640" s="12">
        <f t="shared" si="66"/>
        <v>0</v>
      </c>
      <c r="S640" s="12">
        <f t="shared" si="67"/>
        <v>0</v>
      </c>
      <c r="T640" s="12">
        <f t="shared" si="68"/>
        <v>0</v>
      </c>
      <c r="U640" s="14" t="str">
        <f t="shared" si="69"/>
        <v/>
      </c>
    </row>
    <row r="641" spans="12:21" x14ac:dyDescent="0.25">
      <c r="L641" s="18">
        <f t="shared" si="64"/>
        <v>0</v>
      </c>
      <c r="M641" s="13" t="e">
        <f>VLOOKUP(G641,Sell!G:L,1,0)</f>
        <v>#N/A</v>
      </c>
      <c r="N641" s="13">
        <f>IFERROR(VLOOKUP(G641,Sell!G:L,2,0),0)</f>
        <v>0</v>
      </c>
      <c r="O641" s="12">
        <f>IFERROR(VLOOKUP(G641,Sell!G:L,6,0),0)</f>
        <v>0</v>
      </c>
      <c r="P641" s="13">
        <f t="shared" si="63"/>
        <v>0</v>
      </c>
      <c r="Q641" s="12">
        <f t="shared" si="65"/>
        <v>0</v>
      </c>
      <c r="R641" s="12">
        <f t="shared" si="66"/>
        <v>0</v>
      </c>
      <c r="S641" s="12">
        <f t="shared" si="67"/>
        <v>0</v>
      </c>
      <c r="T641" s="12">
        <f t="shared" si="68"/>
        <v>0</v>
      </c>
      <c r="U641" s="14" t="str">
        <f t="shared" si="69"/>
        <v/>
      </c>
    </row>
    <row r="642" spans="12:21" x14ac:dyDescent="0.25">
      <c r="L642" s="18">
        <f t="shared" si="64"/>
        <v>0</v>
      </c>
      <c r="M642" s="13" t="e">
        <f>VLOOKUP(G642,Sell!G:L,1,0)</f>
        <v>#N/A</v>
      </c>
      <c r="N642" s="13">
        <f>IFERROR(VLOOKUP(G642,Sell!G:L,2,0),0)</f>
        <v>0</v>
      </c>
      <c r="O642" s="12">
        <f>IFERROR(VLOOKUP(G642,Sell!G:L,6,0),0)</f>
        <v>0</v>
      </c>
      <c r="P642" s="13">
        <f t="shared" si="63"/>
        <v>0</v>
      </c>
      <c r="Q642" s="12">
        <f t="shared" si="65"/>
        <v>0</v>
      </c>
      <c r="R642" s="12">
        <f t="shared" si="66"/>
        <v>0</v>
      </c>
      <c r="S642" s="12">
        <f t="shared" si="67"/>
        <v>0</v>
      </c>
      <c r="T642" s="12">
        <f t="shared" si="68"/>
        <v>0</v>
      </c>
      <c r="U642" s="14" t="str">
        <f t="shared" si="69"/>
        <v/>
      </c>
    </row>
    <row r="643" spans="12:21" x14ac:dyDescent="0.25">
      <c r="L643" s="18">
        <f t="shared" si="64"/>
        <v>0</v>
      </c>
      <c r="M643" s="13" t="e">
        <f>VLOOKUP(G643,Sell!G:L,1,0)</f>
        <v>#N/A</v>
      </c>
      <c r="N643" s="13">
        <f>IFERROR(VLOOKUP(G643,Sell!G:L,2,0),0)</f>
        <v>0</v>
      </c>
      <c r="O643" s="12">
        <f>IFERROR(VLOOKUP(G643,Sell!G:L,6,0),0)</f>
        <v>0</v>
      </c>
      <c r="P643" s="13">
        <f t="shared" si="63"/>
        <v>0</v>
      </c>
      <c r="Q643" s="12">
        <f t="shared" si="65"/>
        <v>0</v>
      </c>
      <c r="R643" s="12">
        <f t="shared" si="66"/>
        <v>0</v>
      </c>
      <c r="S643" s="12">
        <f t="shared" si="67"/>
        <v>0</v>
      </c>
      <c r="T643" s="12">
        <f t="shared" si="68"/>
        <v>0</v>
      </c>
      <c r="U643" s="14" t="str">
        <f t="shared" si="69"/>
        <v/>
      </c>
    </row>
    <row r="644" spans="12:21" x14ac:dyDescent="0.25">
      <c r="L644" s="18">
        <f t="shared" si="64"/>
        <v>0</v>
      </c>
      <c r="M644" s="13" t="e">
        <f>VLOOKUP(G644,Sell!G:L,1,0)</f>
        <v>#N/A</v>
      </c>
      <c r="N644" s="13">
        <f>IFERROR(VLOOKUP(G644,Sell!G:L,2,0),0)</f>
        <v>0</v>
      </c>
      <c r="O644" s="12">
        <f>IFERROR(VLOOKUP(G644,Sell!G:L,6,0),0)</f>
        <v>0</v>
      </c>
      <c r="P644" s="13">
        <f t="shared" si="63"/>
        <v>0</v>
      </c>
      <c r="Q644" s="12">
        <f t="shared" si="65"/>
        <v>0</v>
      </c>
      <c r="R644" s="12">
        <f t="shared" si="66"/>
        <v>0</v>
      </c>
      <c r="S644" s="12">
        <f t="shared" si="67"/>
        <v>0</v>
      </c>
      <c r="T644" s="12">
        <f t="shared" si="68"/>
        <v>0</v>
      </c>
      <c r="U644" s="14" t="str">
        <f t="shared" si="69"/>
        <v/>
      </c>
    </row>
    <row r="645" spans="12:21" x14ac:dyDescent="0.25">
      <c r="L645" s="18">
        <f t="shared" si="64"/>
        <v>0</v>
      </c>
      <c r="M645" s="13" t="e">
        <f>VLOOKUP(G645,Sell!G:L,1,0)</f>
        <v>#N/A</v>
      </c>
      <c r="N645" s="13">
        <f>IFERROR(VLOOKUP(G645,Sell!G:L,2,0),0)</f>
        <v>0</v>
      </c>
      <c r="O645" s="12">
        <f>IFERROR(VLOOKUP(G645,Sell!G:L,6,0),0)</f>
        <v>0</v>
      </c>
      <c r="P645" s="13">
        <f t="shared" si="63"/>
        <v>0</v>
      </c>
      <c r="Q645" s="12">
        <f t="shared" si="65"/>
        <v>0</v>
      </c>
      <c r="R645" s="12">
        <f t="shared" si="66"/>
        <v>0</v>
      </c>
      <c r="S645" s="12">
        <f t="shared" si="67"/>
        <v>0</v>
      </c>
      <c r="T645" s="12">
        <f t="shared" si="68"/>
        <v>0</v>
      </c>
      <c r="U645" s="14" t="str">
        <f t="shared" si="69"/>
        <v/>
      </c>
    </row>
    <row r="646" spans="12:21" x14ac:dyDescent="0.25">
      <c r="L646" s="18">
        <f t="shared" si="64"/>
        <v>0</v>
      </c>
      <c r="M646" s="13" t="e">
        <f>VLOOKUP(G646,Sell!G:L,1,0)</f>
        <v>#N/A</v>
      </c>
      <c r="N646" s="13">
        <f>IFERROR(VLOOKUP(G646,Sell!G:L,2,0),0)</f>
        <v>0</v>
      </c>
      <c r="O646" s="12">
        <f>IFERROR(VLOOKUP(G646,Sell!G:L,6,0),0)</f>
        <v>0</v>
      </c>
      <c r="P646" s="13">
        <f t="shared" si="63"/>
        <v>0</v>
      </c>
      <c r="Q646" s="12">
        <f t="shared" si="65"/>
        <v>0</v>
      </c>
      <c r="R646" s="12">
        <f t="shared" si="66"/>
        <v>0</v>
      </c>
      <c r="S646" s="12">
        <f t="shared" si="67"/>
        <v>0</v>
      </c>
      <c r="T646" s="12">
        <f t="shared" si="68"/>
        <v>0</v>
      </c>
      <c r="U646" s="14" t="str">
        <f t="shared" si="69"/>
        <v/>
      </c>
    </row>
    <row r="647" spans="12:21" x14ac:dyDescent="0.25">
      <c r="L647" s="18">
        <f t="shared" si="64"/>
        <v>0</v>
      </c>
      <c r="M647" s="13" t="e">
        <f>VLOOKUP(G647,Sell!G:L,1,0)</f>
        <v>#N/A</v>
      </c>
      <c r="N647" s="13">
        <f>IFERROR(VLOOKUP(G647,Sell!G:L,2,0),0)</f>
        <v>0</v>
      </c>
      <c r="O647" s="12">
        <f>IFERROR(VLOOKUP(G647,Sell!G:L,6,0),0)</f>
        <v>0</v>
      </c>
      <c r="P647" s="13">
        <f t="shared" si="63"/>
        <v>0</v>
      </c>
      <c r="Q647" s="12">
        <f t="shared" si="65"/>
        <v>0</v>
      </c>
      <c r="R647" s="12">
        <f t="shared" si="66"/>
        <v>0</v>
      </c>
      <c r="S647" s="12">
        <f t="shared" si="67"/>
        <v>0</v>
      </c>
      <c r="T647" s="12">
        <f t="shared" si="68"/>
        <v>0</v>
      </c>
      <c r="U647" s="14" t="str">
        <f t="shared" si="69"/>
        <v/>
      </c>
    </row>
    <row r="648" spans="12:21" x14ac:dyDescent="0.25">
      <c r="L648" s="18">
        <f t="shared" si="64"/>
        <v>0</v>
      </c>
      <c r="M648" s="13" t="e">
        <f>VLOOKUP(G648,Sell!G:L,1,0)</f>
        <v>#N/A</v>
      </c>
      <c r="N648" s="13">
        <f>IFERROR(VLOOKUP(G648,Sell!G:L,2,0),0)</f>
        <v>0</v>
      </c>
      <c r="O648" s="12">
        <f>IFERROR(VLOOKUP(G648,Sell!G:L,6,0),0)</f>
        <v>0</v>
      </c>
      <c r="P648" s="13">
        <f t="shared" si="63"/>
        <v>0</v>
      </c>
      <c r="Q648" s="12">
        <f t="shared" si="65"/>
        <v>0</v>
      </c>
      <c r="R648" s="12">
        <f t="shared" si="66"/>
        <v>0</v>
      </c>
      <c r="S648" s="12">
        <f t="shared" si="67"/>
        <v>0</v>
      </c>
      <c r="T648" s="12">
        <f t="shared" si="68"/>
        <v>0</v>
      </c>
      <c r="U648" s="14" t="str">
        <f t="shared" si="69"/>
        <v/>
      </c>
    </row>
    <row r="649" spans="12:21" x14ac:dyDescent="0.25">
      <c r="L649" s="18">
        <f t="shared" si="64"/>
        <v>0</v>
      </c>
      <c r="M649" s="13" t="e">
        <f>VLOOKUP(G649,Sell!G:L,1,0)</f>
        <v>#N/A</v>
      </c>
      <c r="N649" s="13">
        <f>IFERROR(VLOOKUP(G649,Sell!G:L,2,0),0)</f>
        <v>0</v>
      </c>
      <c r="O649" s="12">
        <f>IFERROR(VLOOKUP(G649,Sell!G:L,6,0),0)</f>
        <v>0</v>
      </c>
      <c r="P649" s="13">
        <f t="shared" si="63"/>
        <v>0</v>
      </c>
      <c r="Q649" s="12">
        <f t="shared" si="65"/>
        <v>0</v>
      </c>
      <c r="R649" s="12">
        <f t="shared" si="66"/>
        <v>0</v>
      </c>
      <c r="S649" s="12">
        <f t="shared" si="67"/>
        <v>0</v>
      </c>
      <c r="T649" s="12">
        <f t="shared" si="68"/>
        <v>0</v>
      </c>
      <c r="U649" s="14" t="str">
        <f t="shared" si="69"/>
        <v/>
      </c>
    </row>
    <row r="650" spans="12:21" x14ac:dyDescent="0.25">
      <c r="L650" s="18">
        <f t="shared" si="64"/>
        <v>0</v>
      </c>
      <c r="M650" s="13" t="e">
        <f>VLOOKUP(G650,Sell!G:L,1,0)</f>
        <v>#N/A</v>
      </c>
      <c r="N650" s="13">
        <f>IFERROR(VLOOKUP(G650,Sell!G:L,2,0),0)</f>
        <v>0</v>
      </c>
      <c r="O650" s="12">
        <f>IFERROR(VLOOKUP(G650,Sell!G:L,6,0),0)</f>
        <v>0</v>
      </c>
      <c r="P650" s="13">
        <f t="shared" ref="P650:P713" si="70">H650-N650</f>
        <v>0</v>
      </c>
      <c r="Q650" s="12">
        <f t="shared" si="65"/>
        <v>0</v>
      </c>
      <c r="R650" s="12">
        <f t="shared" si="66"/>
        <v>0</v>
      </c>
      <c r="S650" s="12">
        <f t="shared" si="67"/>
        <v>0</v>
      </c>
      <c r="T650" s="12">
        <f t="shared" si="68"/>
        <v>0</v>
      </c>
      <c r="U650" s="14" t="str">
        <f t="shared" si="69"/>
        <v/>
      </c>
    </row>
    <row r="651" spans="12:21" x14ac:dyDescent="0.25">
      <c r="L651" s="18">
        <f t="shared" ref="L651:L714" si="71">J651+K651</f>
        <v>0</v>
      </c>
      <c r="M651" s="13" t="e">
        <f>VLOOKUP(G651,Sell!G:L,1,0)</f>
        <v>#N/A</v>
      </c>
      <c r="N651" s="13">
        <f>IFERROR(VLOOKUP(G651,Sell!G:L,2,0),0)</f>
        <v>0</v>
      </c>
      <c r="O651" s="12">
        <f>IFERROR(VLOOKUP(G651,Sell!G:L,6,0),0)</f>
        <v>0</v>
      </c>
      <c r="P651" s="13">
        <f t="shared" si="70"/>
        <v>0</v>
      </c>
      <c r="Q651" s="12">
        <f t="shared" ref="Q651:Q714" si="72">O651-L651</f>
        <v>0</v>
      </c>
      <c r="R651" s="12">
        <f t="shared" ref="R651:R714" si="73">IF(P651=0,Q651,0)</f>
        <v>0</v>
      </c>
      <c r="S651" s="12">
        <f t="shared" ref="S651:S714" si="74">IF(R651&gt;0,R651,0)</f>
        <v>0</v>
      </c>
      <c r="T651" s="12">
        <f t="shared" ref="T651:T714" si="75">IF(R651&gt;0,0,R651)</f>
        <v>0</v>
      </c>
      <c r="U651" s="14" t="str">
        <f t="shared" ref="U651:U714" si="76">IF(AND(LEN(G651)&gt;0,R651=0),"Open","")</f>
        <v/>
      </c>
    </row>
    <row r="652" spans="12:21" x14ac:dyDescent="0.25">
      <c r="L652" s="18">
        <f t="shared" si="71"/>
        <v>0</v>
      </c>
      <c r="M652" s="13" t="e">
        <f>VLOOKUP(G652,Sell!G:L,1,0)</f>
        <v>#N/A</v>
      </c>
      <c r="N652" s="13">
        <f>IFERROR(VLOOKUP(G652,Sell!G:L,2,0),0)</f>
        <v>0</v>
      </c>
      <c r="O652" s="12">
        <f>IFERROR(VLOOKUP(G652,Sell!G:L,6,0),0)</f>
        <v>0</v>
      </c>
      <c r="P652" s="13">
        <f t="shared" si="70"/>
        <v>0</v>
      </c>
      <c r="Q652" s="12">
        <f t="shared" si="72"/>
        <v>0</v>
      </c>
      <c r="R652" s="12">
        <f t="shared" si="73"/>
        <v>0</v>
      </c>
      <c r="S652" s="12">
        <f t="shared" si="74"/>
        <v>0</v>
      </c>
      <c r="T652" s="12">
        <f t="shared" si="75"/>
        <v>0</v>
      </c>
      <c r="U652" s="14" t="str">
        <f t="shared" si="76"/>
        <v/>
      </c>
    </row>
    <row r="653" spans="12:21" x14ac:dyDescent="0.25">
      <c r="L653" s="18">
        <f t="shared" si="71"/>
        <v>0</v>
      </c>
      <c r="M653" s="13" t="e">
        <f>VLOOKUP(G653,Sell!G:L,1,0)</f>
        <v>#N/A</v>
      </c>
      <c r="N653" s="13">
        <f>IFERROR(VLOOKUP(G653,Sell!G:L,2,0),0)</f>
        <v>0</v>
      </c>
      <c r="O653" s="12">
        <f>IFERROR(VLOOKUP(G653,Sell!G:L,6,0),0)</f>
        <v>0</v>
      </c>
      <c r="P653" s="13">
        <f t="shared" si="70"/>
        <v>0</v>
      </c>
      <c r="Q653" s="12">
        <f t="shared" si="72"/>
        <v>0</v>
      </c>
      <c r="R653" s="12">
        <f t="shared" si="73"/>
        <v>0</v>
      </c>
      <c r="S653" s="12">
        <f t="shared" si="74"/>
        <v>0</v>
      </c>
      <c r="T653" s="12">
        <f t="shared" si="75"/>
        <v>0</v>
      </c>
      <c r="U653" s="14" t="str">
        <f t="shared" si="76"/>
        <v/>
      </c>
    </row>
    <row r="654" spans="12:21" x14ac:dyDescent="0.25">
      <c r="L654" s="18">
        <f t="shared" si="71"/>
        <v>0</v>
      </c>
      <c r="M654" s="13" t="e">
        <f>VLOOKUP(G654,Sell!G:L,1,0)</f>
        <v>#N/A</v>
      </c>
      <c r="N654" s="13">
        <f>IFERROR(VLOOKUP(G654,Sell!G:L,2,0),0)</f>
        <v>0</v>
      </c>
      <c r="O654" s="12">
        <f>IFERROR(VLOOKUP(G654,Sell!G:L,6,0),0)</f>
        <v>0</v>
      </c>
      <c r="P654" s="13">
        <f t="shared" si="70"/>
        <v>0</v>
      </c>
      <c r="Q654" s="12">
        <f t="shared" si="72"/>
        <v>0</v>
      </c>
      <c r="R654" s="12">
        <f t="shared" si="73"/>
        <v>0</v>
      </c>
      <c r="S654" s="12">
        <f t="shared" si="74"/>
        <v>0</v>
      </c>
      <c r="T654" s="12">
        <f t="shared" si="75"/>
        <v>0</v>
      </c>
      <c r="U654" s="14" t="str">
        <f t="shared" si="76"/>
        <v/>
      </c>
    </row>
    <row r="655" spans="12:21" x14ac:dyDescent="0.25">
      <c r="L655" s="18">
        <f t="shared" si="71"/>
        <v>0</v>
      </c>
      <c r="M655" s="13" t="e">
        <f>VLOOKUP(G655,Sell!G:L,1,0)</f>
        <v>#N/A</v>
      </c>
      <c r="N655" s="13">
        <f>IFERROR(VLOOKUP(G655,Sell!G:L,2,0),0)</f>
        <v>0</v>
      </c>
      <c r="O655" s="12">
        <f>IFERROR(VLOOKUP(G655,Sell!G:L,6,0),0)</f>
        <v>0</v>
      </c>
      <c r="P655" s="13">
        <f t="shared" si="70"/>
        <v>0</v>
      </c>
      <c r="Q655" s="12">
        <f t="shared" si="72"/>
        <v>0</v>
      </c>
      <c r="R655" s="12">
        <f t="shared" si="73"/>
        <v>0</v>
      </c>
      <c r="S655" s="12">
        <f t="shared" si="74"/>
        <v>0</v>
      </c>
      <c r="T655" s="12">
        <f t="shared" si="75"/>
        <v>0</v>
      </c>
      <c r="U655" s="14" t="str">
        <f t="shared" si="76"/>
        <v/>
      </c>
    </row>
    <row r="656" spans="12:21" x14ac:dyDescent="0.25">
      <c r="L656" s="18">
        <f t="shared" si="71"/>
        <v>0</v>
      </c>
      <c r="M656" s="13" t="e">
        <f>VLOOKUP(G656,Sell!G:L,1,0)</f>
        <v>#N/A</v>
      </c>
      <c r="N656" s="13">
        <f>IFERROR(VLOOKUP(G656,Sell!G:L,2,0),0)</f>
        <v>0</v>
      </c>
      <c r="O656" s="12">
        <f>IFERROR(VLOOKUP(G656,Sell!G:L,6,0),0)</f>
        <v>0</v>
      </c>
      <c r="P656" s="13">
        <f t="shared" si="70"/>
        <v>0</v>
      </c>
      <c r="Q656" s="12">
        <f t="shared" si="72"/>
        <v>0</v>
      </c>
      <c r="R656" s="12">
        <f t="shared" si="73"/>
        <v>0</v>
      </c>
      <c r="S656" s="12">
        <f t="shared" si="74"/>
        <v>0</v>
      </c>
      <c r="T656" s="12">
        <f t="shared" si="75"/>
        <v>0</v>
      </c>
      <c r="U656" s="14" t="str">
        <f t="shared" si="76"/>
        <v/>
      </c>
    </row>
    <row r="657" spans="12:21" x14ac:dyDescent="0.25">
      <c r="L657" s="18">
        <f t="shared" si="71"/>
        <v>0</v>
      </c>
      <c r="M657" s="13" t="e">
        <f>VLOOKUP(G657,Sell!G:L,1,0)</f>
        <v>#N/A</v>
      </c>
      <c r="N657" s="13">
        <f>IFERROR(VLOOKUP(G657,Sell!G:L,2,0),0)</f>
        <v>0</v>
      </c>
      <c r="O657" s="12">
        <f>IFERROR(VLOOKUP(G657,Sell!G:L,6,0),0)</f>
        <v>0</v>
      </c>
      <c r="P657" s="13">
        <f t="shared" si="70"/>
        <v>0</v>
      </c>
      <c r="Q657" s="12">
        <f t="shared" si="72"/>
        <v>0</v>
      </c>
      <c r="R657" s="12">
        <f t="shared" si="73"/>
        <v>0</v>
      </c>
      <c r="S657" s="12">
        <f t="shared" si="74"/>
        <v>0</v>
      </c>
      <c r="T657" s="12">
        <f t="shared" si="75"/>
        <v>0</v>
      </c>
      <c r="U657" s="14" t="str">
        <f t="shared" si="76"/>
        <v/>
      </c>
    </row>
    <row r="658" spans="12:21" x14ac:dyDescent="0.25">
      <c r="L658" s="18">
        <f t="shared" si="71"/>
        <v>0</v>
      </c>
      <c r="M658" s="13" t="e">
        <f>VLOOKUP(G658,Sell!G:L,1,0)</f>
        <v>#N/A</v>
      </c>
      <c r="N658" s="13">
        <f>IFERROR(VLOOKUP(G658,Sell!G:L,2,0),0)</f>
        <v>0</v>
      </c>
      <c r="O658" s="12">
        <f>IFERROR(VLOOKUP(G658,Sell!G:L,6,0),0)</f>
        <v>0</v>
      </c>
      <c r="P658" s="13">
        <f t="shared" si="70"/>
        <v>0</v>
      </c>
      <c r="Q658" s="12">
        <f t="shared" si="72"/>
        <v>0</v>
      </c>
      <c r="R658" s="12">
        <f t="shared" si="73"/>
        <v>0</v>
      </c>
      <c r="S658" s="12">
        <f t="shared" si="74"/>
        <v>0</v>
      </c>
      <c r="T658" s="12">
        <f t="shared" si="75"/>
        <v>0</v>
      </c>
      <c r="U658" s="14" t="str">
        <f t="shared" si="76"/>
        <v/>
      </c>
    </row>
    <row r="659" spans="12:21" x14ac:dyDescent="0.25">
      <c r="L659" s="18">
        <f t="shared" si="71"/>
        <v>0</v>
      </c>
      <c r="M659" s="13" t="e">
        <f>VLOOKUP(G659,Sell!G:L,1,0)</f>
        <v>#N/A</v>
      </c>
      <c r="N659" s="13">
        <f>IFERROR(VLOOKUP(G659,Sell!G:L,2,0),0)</f>
        <v>0</v>
      </c>
      <c r="O659" s="12">
        <f>IFERROR(VLOOKUP(G659,Sell!G:L,6,0),0)</f>
        <v>0</v>
      </c>
      <c r="P659" s="13">
        <f t="shared" si="70"/>
        <v>0</v>
      </c>
      <c r="Q659" s="12">
        <f t="shared" si="72"/>
        <v>0</v>
      </c>
      <c r="R659" s="12">
        <f t="shared" si="73"/>
        <v>0</v>
      </c>
      <c r="S659" s="12">
        <f t="shared" si="74"/>
        <v>0</v>
      </c>
      <c r="T659" s="12">
        <f t="shared" si="75"/>
        <v>0</v>
      </c>
      <c r="U659" s="14" t="str">
        <f t="shared" si="76"/>
        <v/>
      </c>
    </row>
    <row r="660" spans="12:21" x14ac:dyDescent="0.25">
      <c r="L660" s="18">
        <f t="shared" si="71"/>
        <v>0</v>
      </c>
      <c r="M660" s="13" t="e">
        <f>VLOOKUP(G660,Sell!G:L,1,0)</f>
        <v>#N/A</v>
      </c>
      <c r="N660" s="13">
        <f>IFERROR(VLOOKUP(G660,Sell!G:L,2,0),0)</f>
        <v>0</v>
      </c>
      <c r="O660" s="12">
        <f>IFERROR(VLOOKUP(G660,Sell!G:L,6,0),0)</f>
        <v>0</v>
      </c>
      <c r="P660" s="13">
        <f t="shared" si="70"/>
        <v>0</v>
      </c>
      <c r="Q660" s="12">
        <f t="shared" si="72"/>
        <v>0</v>
      </c>
      <c r="R660" s="12">
        <f t="shared" si="73"/>
        <v>0</v>
      </c>
      <c r="S660" s="12">
        <f t="shared" si="74"/>
        <v>0</v>
      </c>
      <c r="T660" s="12">
        <f t="shared" si="75"/>
        <v>0</v>
      </c>
      <c r="U660" s="14" t="str">
        <f t="shared" si="76"/>
        <v/>
      </c>
    </row>
    <row r="661" spans="12:21" x14ac:dyDescent="0.25">
      <c r="L661" s="18">
        <f t="shared" si="71"/>
        <v>0</v>
      </c>
      <c r="M661" s="13" t="e">
        <f>VLOOKUP(G661,Sell!G:L,1,0)</f>
        <v>#N/A</v>
      </c>
      <c r="N661" s="13">
        <f>IFERROR(VLOOKUP(G661,Sell!G:L,2,0),0)</f>
        <v>0</v>
      </c>
      <c r="O661" s="12">
        <f>IFERROR(VLOOKUP(G661,Sell!G:L,6,0),0)</f>
        <v>0</v>
      </c>
      <c r="P661" s="13">
        <f t="shared" si="70"/>
        <v>0</v>
      </c>
      <c r="Q661" s="12">
        <f t="shared" si="72"/>
        <v>0</v>
      </c>
      <c r="R661" s="12">
        <f t="shared" si="73"/>
        <v>0</v>
      </c>
      <c r="S661" s="12">
        <f t="shared" si="74"/>
        <v>0</v>
      </c>
      <c r="T661" s="12">
        <f t="shared" si="75"/>
        <v>0</v>
      </c>
      <c r="U661" s="14" t="str">
        <f t="shared" si="76"/>
        <v/>
      </c>
    </row>
    <row r="662" spans="12:21" x14ac:dyDescent="0.25">
      <c r="L662" s="18">
        <f t="shared" si="71"/>
        <v>0</v>
      </c>
      <c r="M662" s="13" t="e">
        <f>VLOOKUP(G662,Sell!G:L,1,0)</f>
        <v>#N/A</v>
      </c>
      <c r="N662" s="13">
        <f>IFERROR(VLOOKUP(G662,Sell!G:L,2,0),0)</f>
        <v>0</v>
      </c>
      <c r="O662" s="12">
        <f>IFERROR(VLOOKUP(G662,Sell!G:L,6,0),0)</f>
        <v>0</v>
      </c>
      <c r="P662" s="13">
        <f t="shared" si="70"/>
        <v>0</v>
      </c>
      <c r="Q662" s="12">
        <f t="shared" si="72"/>
        <v>0</v>
      </c>
      <c r="R662" s="12">
        <f t="shared" si="73"/>
        <v>0</v>
      </c>
      <c r="S662" s="12">
        <f t="shared" si="74"/>
        <v>0</v>
      </c>
      <c r="T662" s="12">
        <f t="shared" si="75"/>
        <v>0</v>
      </c>
      <c r="U662" s="14" t="str">
        <f t="shared" si="76"/>
        <v/>
      </c>
    </row>
    <row r="663" spans="12:21" x14ac:dyDescent="0.25">
      <c r="L663" s="18">
        <f t="shared" si="71"/>
        <v>0</v>
      </c>
      <c r="M663" s="13" t="e">
        <f>VLOOKUP(G663,Sell!G:L,1,0)</f>
        <v>#N/A</v>
      </c>
      <c r="N663" s="13">
        <f>IFERROR(VLOOKUP(G663,Sell!G:L,2,0),0)</f>
        <v>0</v>
      </c>
      <c r="O663" s="12">
        <f>IFERROR(VLOOKUP(G663,Sell!G:L,6,0),0)</f>
        <v>0</v>
      </c>
      <c r="P663" s="13">
        <f t="shared" si="70"/>
        <v>0</v>
      </c>
      <c r="Q663" s="12">
        <f t="shared" si="72"/>
        <v>0</v>
      </c>
      <c r="R663" s="12">
        <f t="shared" si="73"/>
        <v>0</v>
      </c>
      <c r="S663" s="12">
        <f t="shared" si="74"/>
        <v>0</v>
      </c>
      <c r="T663" s="12">
        <f t="shared" si="75"/>
        <v>0</v>
      </c>
      <c r="U663" s="14" t="str">
        <f t="shared" si="76"/>
        <v/>
      </c>
    </row>
    <row r="664" spans="12:21" x14ac:dyDescent="0.25">
      <c r="L664" s="18">
        <f t="shared" si="71"/>
        <v>0</v>
      </c>
      <c r="M664" s="13" t="e">
        <f>VLOOKUP(G664,Sell!G:L,1,0)</f>
        <v>#N/A</v>
      </c>
      <c r="N664" s="13">
        <f>IFERROR(VLOOKUP(G664,Sell!G:L,2,0),0)</f>
        <v>0</v>
      </c>
      <c r="O664" s="12">
        <f>IFERROR(VLOOKUP(G664,Sell!G:L,6,0),0)</f>
        <v>0</v>
      </c>
      <c r="P664" s="13">
        <f t="shared" si="70"/>
        <v>0</v>
      </c>
      <c r="Q664" s="12">
        <f t="shared" si="72"/>
        <v>0</v>
      </c>
      <c r="R664" s="12">
        <f t="shared" si="73"/>
        <v>0</v>
      </c>
      <c r="S664" s="12">
        <f t="shared" si="74"/>
        <v>0</v>
      </c>
      <c r="T664" s="12">
        <f t="shared" si="75"/>
        <v>0</v>
      </c>
      <c r="U664" s="14" t="str">
        <f t="shared" si="76"/>
        <v/>
      </c>
    </row>
    <row r="665" spans="12:21" x14ac:dyDescent="0.25">
      <c r="L665" s="18">
        <f t="shared" si="71"/>
        <v>0</v>
      </c>
      <c r="M665" s="13" t="e">
        <f>VLOOKUP(G665,Sell!G:L,1,0)</f>
        <v>#N/A</v>
      </c>
      <c r="N665" s="13">
        <f>IFERROR(VLOOKUP(G665,Sell!G:L,2,0),0)</f>
        <v>0</v>
      </c>
      <c r="O665" s="12">
        <f>IFERROR(VLOOKUP(G665,Sell!G:L,6,0),0)</f>
        <v>0</v>
      </c>
      <c r="P665" s="13">
        <f t="shared" si="70"/>
        <v>0</v>
      </c>
      <c r="Q665" s="12">
        <f t="shared" si="72"/>
        <v>0</v>
      </c>
      <c r="R665" s="12">
        <f t="shared" si="73"/>
        <v>0</v>
      </c>
      <c r="S665" s="12">
        <f t="shared" si="74"/>
        <v>0</v>
      </c>
      <c r="T665" s="12">
        <f t="shared" si="75"/>
        <v>0</v>
      </c>
      <c r="U665" s="14" t="str">
        <f t="shared" si="76"/>
        <v/>
      </c>
    </row>
    <row r="666" spans="12:21" x14ac:dyDescent="0.25">
      <c r="L666" s="18">
        <f t="shared" si="71"/>
        <v>0</v>
      </c>
      <c r="M666" s="13" t="e">
        <f>VLOOKUP(G666,Sell!G:L,1,0)</f>
        <v>#N/A</v>
      </c>
      <c r="N666" s="13">
        <f>IFERROR(VLOOKUP(G666,Sell!G:L,2,0),0)</f>
        <v>0</v>
      </c>
      <c r="O666" s="12">
        <f>IFERROR(VLOOKUP(G666,Sell!G:L,6,0),0)</f>
        <v>0</v>
      </c>
      <c r="P666" s="13">
        <f t="shared" si="70"/>
        <v>0</v>
      </c>
      <c r="Q666" s="12">
        <f t="shared" si="72"/>
        <v>0</v>
      </c>
      <c r="R666" s="12">
        <f t="shared" si="73"/>
        <v>0</v>
      </c>
      <c r="S666" s="12">
        <f t="shared" si="74"/>
        <v>0</v>
      </c>
      <c r="T666" s="12">
        <f t="shared" si="75"/>
        <v>0</v>
      </c>
      <c r="U666" s="14" t="str">
        <f t="shared" si="76"/>
        <v/>
      </c>
    </row>
    <row r="667" spans="12:21" x14ac:dyDescent="0.25">
      <c r="L667" s="18">
        <f t="shared" si="71"/>
        <v>0</v>
      </c>
      <c r="M667" s="13" t="e">
        <f>VLOOKUP(G667,Sell!G:L,1,0)</f>
        <v>#N/A</v>
      </c>
      <c r="N667" s="13">
        <f>IFERROR(VLOOKUP(G667,Sell!G:L,2,0),0)</f>
        <v>0</v>
      </c>
      <c r="O667" s="12">
        <f>IFERROR(VLOOKUP(G667,Sell!G:L,6,0),0)</f>
        <v>0</v>
      </c>
      <c r="P667" s="13">
        <f t="shared" si="70"/>
        <v>0</v>
      </c>
      <c r="Q667" s="12">
        <f t="shared" si="72"/>
        <v>0</v>
      </c>
      <c r="R667" s="12">
        <f t="shared" si="73"/>
        <v>0</v>
      </c>
      <c r="S667" s="12">
        <f t="shared" si="74"/>
        <v>0</v>
      </c>
      <c r="T667" s="12">
        <f t="shared" si="75"/>
        <v>0</v>
      </c>
      <c r="U667" s="14" t="str">
        <f t="shared" si="76"/>
        <v/>
      </c>
    </row>
    <row r="668" spans="12:21" x14ac:dyDescent="0.25">
      <c r="L668" s="18">
        <f t="shared" si="71"/>
        <v>0</v>
      </c>
      <c r="M668" s="13" t="e">
        <f>VLOOKUP(G668,Sell!G:L,1,0)</f>
        <v>#N/A</v>
      </c>
      <c r="N668" s="13">
        <f>IFERROR(VLOOKUP(G668,Sell!G:L,2,0),0)</f>
        <v>0</v>
      </c>
      <c r="O668" s="12">
        <f>IFERROR(VLOOKUP(G668,Sell!G:L,6,0),0)</f>
        <v>0</v>
      </c>
      <c r="P668" s="13">
        <f t="shared" si="70"/>
        <v>0</v>
      </c>
      <c r="Q668" s="12">
        <f t="shared" si="72"/>
        <v>0</v>
      </c>
      <c r="R668" s="12">
        <f t="shared" si="73"/>
        <v>0</v>
      </c>
      <c r="S668" s="12">
        <f t="shared" si="74"/>
        <v>0</v>
      </c>
      <c r="T668" s="12">
        <f t="shared" si="75"/>
        <v>0</v>
      </c>
      <c r="U668" s="14" t="str">
        <f t="shared" si="76"/>
        <v/>
      </c>
    </row>
    <row r="669" spans="12:21" x14ac:dyDescent="0.25">
      <c r="L669" s="18">
        <f t="shared" si="71"/>
        <v>0</v>
      </c>
      <c r="M669" s="13" t="e">
        <f>VLOOKUP(G669,Sell!G:L,1,0)</f>
        <v>#N/A</v>
      </c>
      <c r="N669" s="13">
        <f>IFERROR(VLOOKUP(G669,Sell!G:L,2,0),0)</f>
        <v>0</v>
      </c>
      <c r="O669" s="12">
        <f>IFERROR(VLOOKUP(G669,Sell!G:L,6,0),0)</f>
        <v>0</v>
      </c>
      <c r="P669" s="13">
        <f t="shared" si="70"/>
        <v>0</v>
      </c>
      <c r="Q669" s="12">
        <f t="shared" si="72"/>
        <v>0</v>
      </c>
      <c r="R669" s="12">
        <f t="shared" si="73"/>
        <v>0</v>
      </c>
      <c r="S669" s="12">
        <f t="shared" si="74"/>
        <v>0</v>
      </c>
      <c r="T669" s="12">
        <f t="shared" si="75"/>
        <v>0</v>
      </c>
      <c r="U669" s="14" t="str">
        <f t="shared" si="76"/>
        <v/>
      </c>
    </row>
    <row r="670" spans="12:21" x14ac:dyDescent="0.25">
      <c r="L670" s="18">
        <f t="shared" si="71"/>
        <v>0</v>
      </c>
      <c r="M670" s="13" t="e">
        <f>VLOOKUP(G670,Sell!G:L,1,0)</f>
        <v>#N/A</v>
      </c>
      <c r="N670" s="13">
        <f>IFERROR(VLOOKUP(G670,Sell!G:L,2,0),0)</f>
        <v>0</v>
      </c>
      <c r="O670" s="12">
        <f>IFERROR(VLOOKUP(G670,Sell!G:L,6,0),0)</f>
        <v>0</v>
      </c>
      <c r="P670" s="13">
        <f t="shared" si="70"/>
        <v>0</v>
      </c>
      <c r="Q670" s="12">
        <f t="shared" si="72"/>
        <v>0</v>
      </c>
      <c r="R670" s="12">
        <f t="shared" si="73"/>
        <v>0</v>
      </c>
      <c r="S670" s="12">
        <f t="shared" si="74"/>
        <v>0</v>
      </c>
      <c r="T670" s="12">
        <f t="shared" si="75"/>
        <v>0</v>
      </c>
      <c r="U670" s="14" t="str">
        <f t="shared" si="76"/>
        <v/>
      </c>
    </row>
    <row r="671" spans="12:21" x14ac:dyDescent="0.25">
      <c r="L671" s="18">
        <f t="shared" si="71"/>
        <v>0</v>
      </c>
      <c r="M671" s="13" t="e">
        <f>VLOOKUP(G671,Sell!G:L,1,0)</f>
        <v>#N/A</v>
      </c>
      <c r="N671" s="13">
        <f>IFERROR(VLOOKUP(G671,Sell!G:L,2,0),0)</f>
        <v>0</v>
      </c>
      <c r="O671" s="12">
        <f>IFERROR(VLOOKUP(G671,Sell!G:L,6,0),0)</f>
        <v>0</v>
      </c>
      <c r="P671" s="13">
        <f t="shared" si="70"/>
        <v>0</v>
      </c>
      <c r="Q671" s="12">
        <f t="shared" si="72"/>
        <v>0</v>
      </c>
      <c r="R671" s="12">
        <f t="shared" si="73"/>
        <v>0</v>
      </c>
      <c r="S671" s="12">
        <f t="shared" si="74"/>
        <v>0</v>
      </c>
      <c r="T671" s="12">
        <f t="shared" si="75"/>
        <v>0</v>
      </c>
      <c r="U671" s="14" t="str">
        <f t="shared" si="76"/>
        <v/>
      </c>
    </row>
    <row r="672" spans="12:21" x14ac:dyDescent="0.25">
      <c r="L672" s="18">
        <f t="shared" si="71"/>
        <v>0</v>
      </c>
      <c r="M672" s="13" t="e">
        <f>VLOOKUP(G672,Sell!G:L,1,0)</f>
        <v>#N/A</v>
      </c>
      <c r="N672" s="13">
        <f>IFERROR(VLOOKUP(G672,Sell!G:L,2,0),0)</f>
        <v>0</v>
      </c>
      <c r="O672" s="12">
        <f>IFERROR(VLOOKUP(G672,Sell!G:L,6,0),0)</f>
        <v>0</v>
      </c>
      <c r="P672" s="13">
        <f t="shared" si="70"/>
        <v>0</v>
      </c>
      <c r="Q672" s="12">
        <f t="shared" si="72"/>
        <v>0</v>
      </c>
      <c r="R672" s="12">
        <f t="shared" si="73"/>
        <v>0</v>
      </c>
      <c r="S672" s="12">
        <f t="shared" si="74"/>
        <v>0</v>
      </c>
      <c r="T672" s="12">
        <f t="shared" si="75"/>
        <v>0</v>
      </c>
      <c r="U672" s="14" t="str">
        <f t="shared" si="76"/>
        <v/>
      </c>
    </row>
    <row r="673" spans="12:21" x14ac:dyDescent="0.25">
      <c r="L673" s="18">
        <f t="shared" si="71"/>
        <v>0</v>
      </c>
      <c r="M673" s="13" t="e">
        <f>VLOOKUP(G673,Sell!G:L,1,0)</f>
        <v>#N/A</v>
      </c>
      <c r="N673" s="13">
        <f>IFERROR(VLOOKUP(G673,Sell!G:L,2,0),0)</f>
        <v>0</v>
      </c>
      <c r="O673" s="12">
        <f>IFERROR(VLOOKUP(G673,Sell!G:L,6,0),0)</f>
        <v>0</v>
      </c>
      <c r="P673" s="13">
        <f t="shared" si="70"/>
        <v>0</v>
      </c>
      <c r="Q673" s="12">
        <f t="shared" si="72"/>
        <v>0</v>
      </c>
      <c r="R673" s="12">
        <f t="shared" si="73"/>
        <v>0</v>
      </c>
      <c r="S673" s="12">
        <f t="shared" si="74"/>
        <v>0</v>
      </c>
      <c r="T673" s="12">
        <f t="shared" si="75"/>
        <v>0</v>
      </c>
      <c r="U673" s="14" t="str">
        <f t="shared" si="76"/>
        <v/>
      </c>
    </row>
    <row r="674" spans="12:21" x14ac:dyDescent="0.25">
      <c r="L674" s="18">
        <f t="shared" si="71"/>
        <v>0</v>
      </c>
      <c r="M674" s="13" t="e">
        <f>VLOOKUP(G674,Sell!G:L,1,0)</f>
        <v>#N/A</v>
      </c>
      <c r="N674" s="13">
        <f>IFERROR(VLOOKUP(G674,Sell!G:L,2,0),0)</f>
        <v>0</v>
      </c>
      <c r="O674" s="12">
        <f>IFERROR(VLOOKUP(G674,Sell!G:L,6,0),0)</f>
        <v>0</v>
      </c>
      <c r="P674" s="13">
        <f t="shared" si="70"/>
        <v>0</v>
      </c>
      <c r="Q674" s="12">
        <f t="shared" si="72"/>
        <v>0</v>
      </c>
      <c r="R674" s="12">
        <f t="shared" si="73"/>
        <v>0</v>
      </c>
      <c r="S674" s="12">
        <f t="shared" si="74"/>
        <v>0</v>
      </c>
      <c r="T674" s="12">
        <f t="shared" si="75"/>
        <v>0</v>
      </c>
      <c r="U674" s="14" t="str">
        <f t="shared" si="76"/>
        <v/>
      </c>
    </row>
    <row r="675" spans="12:21" x14ac:dyDescent="0.25">
      <c r="L675" s="18">
        <f t="shared" si="71"/>
        <v>0</v>
      </c>
      <c r="M675" s="13" t="e">
        <f>VLOOKUP(G675,Sell!G:L,1,0)</f>
        <v>#N/A</v>
      </c>
      <c r="N675" s="13">
        <f>IFERROR(VLOOKUP(G675,Sell!G:L,2,0),0)</f>
        <v>0</v>
      </c>
      <c r="O675" s="12">
        <f>IFERROR(VLOOKUP(G675,Sell!G:L,6,0),0)</f>
        <v>0</v>
      </c>
      <c r="P675" s="13">
        <f t="shared" si="70"/>
        <v>0</v>
      </c>
      <c r="Q675" s="12">
        <f t="shared" si="72"/>
        <v>0</v>
      </c>
      <c r="R675" s="12">
        <f t="shared" si="73"/>
        <v>0</v>
      </c>
      <c r="S675" s="12">
        <f t="shared" si="74"/>
        <v>0</v>
      </c>
      <c r="T675" s="12">
        <f t="shared" si="75"/>
        <v>0</v>
      </c>
      <c r="U675" s="14" t="str">
        <f t="shared" si="76"/>
        <v/>
      </c>
    </row>
    <row r="676" spans="12:21" x14ac:dyDescent="0.25">
      <c r="L676" s="18">
        <f t="shared" si="71"/>
        <v>0</v>
      </c>
      <c r="M676" s="13" t="e">
        <f>VLOOKUP(G676,Sell!G:L,1,0)</f>
        <v>#N/A</v>
      </c>
      <c r="N676" s="13">
        <f>IFERROR(VLOOKUP(G676,Sell!G:L,2,0),0)</f>
        <v>0</v>
      </c>
      <c r="O676" s="12">
        <f>IFERROR(VLOOKUP(G676,Sell!G:L,6,0),0)</f>
        <v>0</v>
      </c>
      <c r="P676" s="13">
        <f t="shared" si="70"/>
        <v>0</v>
      </c>
      <c r="Q676" s="12">
        <f t="shared" si="72"/>
        <v>0</v>
      </c>
      <c r="R676" s="12">
        <f t="shared" si="73"/>
        <v>0</v>
      </c>
      <c r="S676" s="12">
        <f t="shared" si="74"/>
        <v>0</v>
      </c>
      <c r="T676" s="12">
        <f t="shared" si="75"/>
        <v>0</v>
      </c>
      <c r="U676" s="14" t="str">
        <f t="shared" si="76"/>
        <v/>
      </c>
    </row>
    <row r="677" spans="12:21" x14ac:dyDescent="0.25">
      <c r="L677" s="18">
        <f t="shared" si="71"/>
        <v>0</v>
      </c>
      <c r="M677" s="13" t="e">
        <f>VLOOKUP(G677,Sell!G:L,1,0)</f>
        <v>#N/A</v>
      </c>
      <c r="N677" s="13">
        <f>IFERROR(VLOOKUP(G677,Sell!G:L,2,0),0)</f>
        <v>0</v>
      </c>
      <c r="O677" s="12">
        <f>IFERROR(VLOOKUP(G677,Sell!G:L,6,0),0)</f>
        <v>0</v>
      </c>
      <c r="P677" s="13">
        <f t="shared" si="70"/>
        <v>0</v>
      </c>
      <c r="Q677" s="12">
        <f t="shared" si="72"/>
        <v>0</v>
      </c>
      <c r="R677" s="12">
        <f t="shared" si="73"/>
        <v>0</v>
      </c>
      <c r="S677" s="12">
        <f t="shared" si="74"/>
        <v>0</v>
      </c>
      <c r="T677" s="12">
        <f t="shared" si="75"/>
        <v>0</v>
      </c>
      <c r="U677" s="14" t="str">
        <f t="shared" si="76"/>
        <v/>
      </c>
    </row>
    <row r="678" spans="12:21" x14ac:dyDescent="0.25">
      <c r="L678" s="18">
        <f t="shared" si="71"/>
        <v>0</v>
      </c>
      <c r="M678" s="13" t="e">
        <f>VLOOKUP(G678,Sell!G:L,1,0)</f>
        <v>#N/A</v>
      </c>
      <c r="N678" s="13">
        <f>IFERROR(VLOOKUP(G678,Sell!G:L,2,0),0)</f>
        <v>0</v>
      </c>
      <c r="O678" s="12">
        <f>IFERROR(VLOOKUP(G678,Sell!G:L,6,0),0)</f>
        <v>0</v>
      </c>
      <c r="P678" s="13">
        <f t="shared" si="70"/>
        <v>0</v>
      </c>
      <c r="Q678" s="12">
        <f t="shared" si="72"/>
        <v>0</v>
      </c>
      <c r="R678" s="12">
        <f t="shared" si="73"/>
        <v>0</v>
      </c>
      <c r="S678" s="12">
        <f t="shared" si="74"/>
        <v>0</v>
      </c>
      <c r="T678" s="12">
        <f t="shared" si="75"/>
        <v>0</v>
      </c>
      <c r="U678" s="14" t="str">
        <f t="shared" si="76"/>
        <v/>
      </c>
    </row>
    <row r="679" spans="12:21" x14ac:dyDescent="0.25">
      <c r="L679" s="18">
        <f t="shared" si="71"/>
        <v>0</v>
      </c>
      <c r="M679" s="13" t="e">
        <f>VLOOKUP(G679,Sell!G:L,1,0)</f>
        <v>#N/A</v>
      </c>
      <c r="N679" s="13">
        <f>IFERROR(VLOOKUP(G679,Sell!G:L,2,0),0)</f>
        <v>0</v>
      </c>
      <c r="O679" s="12">
        <f>IFERROR(VLOOKUP(G679,Sell!G:L,6,0),0)</f>
        <v>0</v>
      </c>
      <c r="P679" s="13">
        <f t="shared" si="70"/>
        <v>0</v>
      </c>
      <c r="Q679" s="12">
        <f t="shared" si="72"/>
        <v>0</v>
      </c>
      <c r="R679" s="12">
        <f t="shared" si="73"/>
        <v>0</v>
      </c>
      <c r="S679" s="12">
        <f t="shared" si="74"/>
        <v>0</v>
      </c>
      <c r="T679" s="12">
        <f t="shared" si="75"/>
        <v>0</v>
      </c>
      <c r="U679" s="14" t="str">
        <f t="shared" si="76"/>
        <v/>
      </c>
    </row>
    <row r="680" spans="12:21" x14ac:dyDescent="0.25">
      <c r="L680" s="18">
        <f t="shared" si="71"/>
        <v>0</v>
      </c>
      <c r="M680" s="13" t="e">
        <f>VLOOKUP(G680,Sell!G:L,1,0)</f>
        <v>#N/A</v>
      </c>
      <c r="N680" s="13">
        <f>IFERROR(VLOOKUP(G680,Sell!G:L,2,0),0)</f>
        <v>0</v>
      </c>
      <c r="O680" s="12">
        <f>IFERROR(VLOOKUP(G680,Sell!G:L,6,0),0)</f>
        <v>0</v>
      </c>
      <c r="P680" s="13">
        <f t="shared" si="70"/>
        <v>0</v>
      </c>
      <c r="Q680" s="12">
        <f t="shared" si="72"/>
        <v>0</v>
      </c>
      <c r="R680" s="12">
        <f t="shared" si="73"/>
        <v>0</v>
      </c>
      <c r="S680" s="12">
        <f t="shared" si="74"/>
        <v>0</v>
      </c>
      <c r="T680" s="12">
        <f t="shared" si="75"/>
        <v>0</v>
      </c>
      <c r="U680" s="14" t="str">
        <f t="shared" si="76"/>
        <v/>
      </c>
    </row>
    <row r="681" spans="12:21" x14ac:dyDescent="0.25">
      <c r="L681" s="18">
        <f t="shared" si="71"/>
        <v>0</v>
      </c>
      <c r="M681" s="13" t="e">
        <f>VLOOKUP(G681,Sell!G:L,1,0)</f>
        <v>#N/A</v>
      </c>
      <c r="N681" s="13">
        <f>IFERROR(VLOOKUP(G681,Sell!G:L,2,0),0)</f>
        <v>0</v>
      </c>
      <c r="O681" s="12">
        <f>IFERROR(VLOOKUP(G681,Sell!G:L,6,0),0)</f>
        <v>0</v>
      </c>
      <c r="P681" s="13">
        <f t="shared" si="70"/>
        <v>0</v>
      </c>
      <c r="Q681" s="12">
        <f t="shared" si="72"/>
        <v>0</v>
      </c>
      <c r="R681" s="12">
        <f t="shared" si="73"/>
        <v>0</v>
      </c>
      <c r="S681" s="12">
        <f t="shared" si="74"/>
        <v>0</v>
      </c>
      <c r="T681" s="12">
        <f t="shared" si="75"/>
        <v>0</v>
      </c>
      <c r="U681" s="14" t="str">
        <f t="shared" si="76"/>
        <v/>
      </c>
    </row>
    <row r="682" spans="12:21" x14ac:dyDescent="0.25">
      <c r="L682" s="18">
        <f t="shared" si="71"/>
        <v>0</v>
      </c>
      <c r="M682" s="13" t="e">
        <f>VLOOKUP(G682,Sell!G:L,1,0)</f>
        <v>#N/A</v>
      </c>
      <c r="N682" s="13">
        <f>IFERROR(VLOOKUP(G682,Sell!G:L,2,0),0)</f>
        <v>0</v>
      </c>
      <c r="O682" s="12">
        <f>IFERROR(VLOOKUP(G682,Sell!G:L,6,0),0)</f>
        <v>0</v>
      </c>
      <c r="P682" s="13">
        <f t="shared" si="70"/>
        <v>0</v>
      </c>
      <c r="Q682" s="12">
        <f t="shared" si="72"/>
        <v>0</v>
      </c>
      <c r="R682" s="12">
        <f t="shared" si="73"/>
        <v>0</v>
      </c>
      <c r="S682" s="12">
        <f t="shared" si="74"/>
        <v>0</v>
      </c>
      <c r="T682" s="12">
        <f t="shared" si="75"/>
        <v>0</v>
      </c>
      <c r="U682" s="14" t="str">
        <f t="shared" si="76"/>
        <v/>
      </c>
    </row>
    <row r="683" spans="12:21" x14ac:dyDescent="0.25">
      <c r="L683" s="18">
        <f t="shared" si="71"/>
        <v>0</v>
      </c>
      <c r="M683" s="13" t="e">
        <f>VLOOKUP(G683,Sell!G:L,1,0)</f>
        <v>#N/A</v>
      </c>
      <c r="N683" s="13">
        <f>IFERROR(VLOOKUP(G683,Sell!G:L,2,0),0)</f>
        <v>0</v>
      </c>
      <c r="O683" s="12">
        <f>IFERROR(VLOOKUP(G683,Sell!G:L,6,0),0)</f>
        <v>0</v>
      </c>
      <c r="P683" s="13">
        <f t="shared" si="70"/>
        <v>0</v>
      </c>
      <c r="Q683" s="12">
        <f t="shared" si="72"/>
        <v>0</v>
      </c>
      <c r="R683" s="12">
        <f t="shared" si="73"/>
        <v>0</v>
      </c>
      <c r="S683" s="12">
        <f t="shared" si="74"/>
        <v>0</v>
      </c>
      <c r="T683" s="12">
        <f t="shared" si="75"/>
        <v>0</v>
      </c>
      <c r="U683" s="14" t="str">
        <f t="shared" si="76"/>
        <v/>
      </c>
    </row>
    <row r="684" spans="12:21" x14ac:dyDescent="0.25">
      <c r="L684" s="18">
        <f t="shared" si="71"/>
        <v>0</v>
      </c>
      <c r="M684" s="13" t="e">
        <f>VLOOKUP(G684,Sell!G:L,1,0)</f>
        <v>#N/A</v>
      </c>
      <c r="N684" s="13">
        <f>IFERROR(VLOOKUP(G684,Sell!G:L,2,0),0)</f>
        <v>0</v>
      </c>
      <c r="O684" s="12">
        <f>IFERROR(VLOOKUP(G684,Sell!G:L,6,0),0)</f>
        <v>0</v>
      </c>
      <c r="P684" s="13">
        <f t="shared" si="70"/>
        <v>0</v>
      </c>
      <c r="Q684" s="12">
        <f t="shared" si="72"/>
        <v>0</v>
      </c>
      <c r="R684" s="12">
        <f t="shared" si="73"/>
        <v>0</v>
      </c>
      <c r="S684" s="12">
        <f t="shared" si="74"/>
        <v>0</v>
      </c>
      <c r="T684" s="12">
        <f t="shared" si="75"/>
        <v>0</v>
      </c>
      <c r="U684" s="14" t="str">
        <f t="shared" si="76"/>
        <v/>
      </c>
    </row>
    <row r="685" spans="12:21" x14ac:dyDescent="0.25">
      <c r="L685" s="18">
        <f t="shared" si="71"/>
        <v>0</v>
      </c>
      <c r="M685" s="13" t="e">
        <f>VLOOKUP(G685,Sell!G:L,1,0)</f>
        <v>#N/A</v>
      </c>
      <c r="N685" s="13">
        <f>IFERROR(VLOOKUP(G685,Sell!G:L,2,0),0)</f>
        <v>0</v>
      </c>
      <c r="O685" s="12">
        <f>IFERROR(VLOOKUP(G685,Sell!G:L,6,0),0)</f>
        <v>0</v>
      </c>
      <c r="P685" s="13">
        <f t="shared" si="70"/>
        <v>0</v>
      </c>
      <c r="Q685" s="12">
        <f t="shared" si="72"/>
        <v>0</v>
      </c>
      <c r="R685" s="12">
        <f t="shared" si="73"/>
        <v>0</v>
      </c>
      <c r="S685" s="12">
        <f t="shared" si="74"/>
        <v>0</v>
      </c>
      <c r="T685" s="12">
        <f t="shared" si="75"/>
        <v>0</v>
      </c>
      <c r="U685" s="14" t="str">
        <f t="shared" si="76"/>
        <v/>
      </c>
    </row>
    <row r="686" spans="12:21" x14ac:dyDescent="0.25">
      <c r="L686" s="18">
        <f t="shared" si="71"/>
        <v>0</v>
      </c>
      <c r="M686" s="13" t="e">
        <f>VLOOKUP(G686,Sell!G:L,1,0)</f>
        <v>#N/A</v>
      </c>
      <c r="N686" s="13">
        <f>IFERROR(VLOOKUP(G686,Sell!G:L,2,0),0)</f>
        <v>0</v>
      </c>
      <c r="O686" s="12">
        <f>IFERROR(VLOOKUP(G686,Sell!G:L,6,0),0)</f>
        <v>0</v>
      </c>
      <c r="P686" s="13">
        <f t="shared" si="70"/>
        <v>0</v>
      </c>
      <c r="Q686" s="12">
        <f t="shared" si="72"/>
        <v>0</v>
      </c>
      <c r="R686" s="12">
        <f t="shared" si="73"/>
        <v>0</v>
      </c>
      <c r="S686" s="12">
        <f t="shared" si="74"/>
        <v>0</v>
      </c>
      <c r="T686" s="12">
        <f t="shared" si="75"/>
        <v>0</v>
      </c>
      <c r="U686" s="14" t="str">
        <f t="shared" si="76"/>
        <v/>
      </c>
    </row>
    <row r="687" spans="12:21" x14ac:dyDescent="0.25">
      <c r="L687" s="18">
        <f t="shared" si="71"/>
        <v>0</v>
      </c>
      <c r="M687" s="13" t="e">
        <f>VLOOKUP(G687,Sell!G:L,1,0)</f>
        <v>#N/A</v>
      </c>
      <c r="N687" s="13">
        <f>IFERROR(VLOOKUP(G687,Sell!G:L,2,0),0)</f>
        <v>0</v>
      </c>
      <c r="O687" s="12">
        <f>IFERROR(VLOOKUP(G687,Sell!G:L,6,0),0)</f>
        <v>0</v>
      </c>
      <c r="P687" s="13">
        <f t="shared" si="70"/>
        <v>0</v>
      </c>
      <c r="Q687" s="12">
        <f t="shared" si="72"/>
        <v>0</v>
      </c>
      <c r="R687" s="12">
        <f t="shared" si="73"/>
        <v>0</v>
      </c>
      <c r="S687" s="12">
        <f t="shared" si="74"/>
        <v>0</v>
      </c>
      <c r="T687" s="12">
        <f t="shared" si="75"/>
        <v>0</v>
      </c>
      <c r="U687" s="14" t="str">
        <f t="shared" si="76"/>
        <v/>
      </c>
    </row>
    <row r="688" spans="12:21" x14ac:dyDescent="0.25">
      <c r="L688" s="18">
        <f t="shared" si="71"/>
        <v>0</v>
      </c>
      <c r="M688" s="13" t="e">
        <f>VLOOKUP(G688,Sell!G:L,1,0)</f>
        <v>#N/A</v>
      </c>
      <c r="N688" s="13">
        <f>IFERROR(VLOOKUP(G688,Sell!G:L,2,0),0)</f>
        <v>0</v>
      </c>
      <c r="O688" s="12">
        <f>IFERROR(VLOOKUP(G688,Sell!G:L,6,0),0)</f>
        <v>0</v>
      </c>
      <c r="P688" s="13">
        <f t="shared" si="70"/>
        <v>0</v>
      </c>
      <c r="Q688" s="12">
        <f t="shared" si="72"/>
        <v>0</v>
      </c>
      <c r="R688" s="12">
        <f t="shared" si="73"/>
        <v>0</v>
      </c>
      <c r="S688" s="12">
        <f t="shared" si="74"/>
        <v>0</v>
      </c>
      <c r="T688" s="12">
        <f t="shared" si="75"/>
        <v>0</v>
      </c>
      <c r="U688" s="14" t="str">
        <f t="shared" si="76"/>
        <v/>
      </c>
    </row>
    <row r="689" spans="12:21" x14ac:dyDescent="0.25">
      <c r="L689" s="18">
        <f t="shared" si="71"/>
        <v>0</v>
      </c>
      <c r="M689" s="13" t="e">
        <f>VLOOKUP(G689,Sell!G:L,1,0)</f>
        <v>#N/A</v>
      </c>
      <c r="N689" s="13">
        <f>IFERROR(VLOOKUP(G689,Sell!G:L,2,0),0)</f>
        <v>0</v>
      </c>
      <c r="O689" s="12">
        <f>IFERROR(VLOOKUP(G689,Sell!G:L,6,0),0)</f>
        <v>0</v>
      </c>
      <c r="P689" s="13">
        <f t="shared" si="70"/>
        <v>0</v>
      </c>
      <c r="Q689" s="12">
        <f t="shared" si="72"/>
        <v>0</v>
      </c>
      <c r="R689" s="12">
        <f t="shared" si="73"/>
        <v>0</v>
      </c>
      <c r="S689" s="12">
        <f t="shared" si="74"/>
        <v>0</v>
      </c>
      <c r="T689" s="12">
        <f t="shared" si="75"/>
        <v>0</v>
      </c>
      <c r="U689" s="14" t="str">
        <f t="shared" si="76"/>
        <v/>
      </c>
    </row>
    <row r="690" spans="12:21" x14ac:dyDescent="0.25">
      <c r="L690" s="18">
        <f t="shared" si="71"/>
        <v>0</v>
      </c>
      <c r="M690" s="13" t="e">
        <f>VLOOKUP(G690,Sell!G:L,1,0)</f>
        <v>#N/A</v>
      </c>
      <c r="N690" s="13">
        <f>IFERROR(VLOOKUP(G690,Sell!G:L,2,0),0)</f>
        <v>0</v>
      </c>
      <c r="O690" s="12">
        <f>IFERROR(VLOOKUP(G690,Sell!G:L,6,0),0)</f>
        <v>0</v>
      </c>
      <c r="P690" s="13">
        <f t="shared" si="70"/>
        <v>0</v>
      </c>
      <c r="Q690" s="12">
        <f t="shared" si="72"/>
        <v>0</v>
      </c>
      <c r="R690" s="12">
        <f t="shared" si="73"/>
        <v>0</v>
      </c>
      <c r="S690" s="12">
        <f t="shared" si="74"/>
        <v>0</v>
      </c>
      <c r="T690" s="12">
        <f t="shared" si="75"/>
        <v>0</v>
      </c>
      <c r="U690" s="14" t="str">
        <f t="shared" si="76"/>
        <v/>
      </c>
    </row>
    <row r="691" spans="12:21" x14ac:dyDescent="0.25">
      <c r="L691" s="18">
        <f t="shared" si="71"/>
        <v>0</v>
      </c>
      <c r="M691" s="13" t="e">
        <f>VLOOKUP(G691,Sell!G:L,1,0)</f>
        <v>#N/A</v>
      </c>
      <c r="N691" s="13">
        <f>IFERROR(VLOOKUP(G691,Sell!G:L,2,0),0)</f>
        <v>0</v>
      </c>
      <c r="O691" s="12">
        <f>IFERROR(VLOOKUP(G691,Sell!G:L,6,0),0)</f>
        <v>0</v>
      </c>
      <c r="P691" s="13">
        <f t="shared" si="70"/>
        <v>0</v>
      </c>
      <c r="Q691" s="12">
        <f t="shared" si="72"/>
        <v>0</v>
      </c>
      <c r="R691" s="12">
        <f t="shared" si="73"/>
        <v>0</v>
      </c>
      <c r="S691" s="12">
        <f t="shared" si="74"/>
        <v>0</v>
      </c>
      <c r="T691" s="12">
        <f t="shared" si="75"/>
        <v>0</v>
      </c>
      <c r="U691" s="14" t="str">
        <f t="shared" si="76"/>
        <v/>
      </c>
    </row>
    <row r="692" spans="12:21" x14ac:dyDescent="0.25">
      <c r="L692" s="18">
        <f t="shared" si="71"/>
        <v>0</v>
      </c>
      <c r="M692" s="13" t="e">
        <f>VLOOKUP(G692,Sell!G:L,1,0)</f>
        <v>#N/A</v>
      </c>
      <c r="N692" s="13">
        <f>IFERROR(VLOOKUP(G692,Sell!G:L,2,0),0)</f>
        <v>0</v>
      </c>
      <c r="O692" s="12">
        <f>IFERROR(VLOOKUP(G692,Sell!G:L,6,0),0)</f>
        <v>0</v>
      </c>
      <c r="P692" s="13">
        <f t="shared" si="70"/>
        <v>0</v>
      </c>
      <c r="Q692" s="12">
        <f t="shared" si="72"/>
        <v>0</v>
      </c>
      <c r="R692" s="12">
        <f t="shared" si="73"/>
        <v>0</v>
      </c>
      <c r="S692" s="12">
        <f t="shared" si="74"/>
        <v>0</v>
      </c>
      <c r="T692" s="12">
        <f t="shared" si="75"/>
        <v>0</v>
      </c>
      <c r="U692" s="14" t="str">
        <f t="shared" si="76"/>
        <v/>
      </c>
    </row>
    <row r="693" spans="12:21" x14ac:dyDescent="0.25">
      <c r="L693" s="18">
        <f t="shared" si="71"/>
        <v>0</v>
      </c>
      <c r="M693" s="13" t="e">
        <f>VLOOKUP(G693,Sell!G:L,1,0)</f>
        <v>#N/A</v>
      </c>
      <c r="N693" s="13">
        <f>IFERROR(VLOOKUP(G693,Sell!G:L,2,0),0)</f>
        <v>0</v>
      </c>
      <c r="O693" s="12">
        <f>IFERROR(VLOOKUP(G693,Sell!G:L,6,0),0)</f>
        <v>0</v>
      </c>
      <c r="P693" s="13">
        <f t="shared" si="70"/>
        <v>0</v>
      </c>
      <c r="Q693" s="12">
        <f t="shared" si="72"/>
        <v>0</v>
      </c>
      <c r="R693" s="12">
        <f t="shared" si="73"/>
        <v>0</v>
      </c>
      <c r="S693" s="12">
        <f t="shared" si="74"/>
        <v>0</v>
      </c>
      <c r="T693" s="12">
        <f t="shared" si="75"/>
        <v>0</v>
      </c>
      <c r="U693" s="14" t="str">
        <f t="shared" si="76"/>
        <v/>
      </c>
    </row>
    <row r="694" spans="12:21" x14ac:dyDescent="0.25">
      <c r="L694" s="18">
        <f t="shared" si="71"/>
        <v>0</v>
      </c>
      <c r="M694" s="13" t="e">
        <f>VLOOKUP(G694,Sell!G:L,1,0)</f>
        <v>#N/A</v>
      </c>
      <c r="N694" s="13">
        <f>IFERROR(VLOOKUP(G694,Sell!G:L,2,0),0)</f>
        <v>0</v>
      </c>
      <c r="O694" s="12">
        <f>IFERROR(VLOOKUP(G694,Sell!G:L,6,0),0)</f>
        <v>0</v>
      </c>
      <c r="P694" s="13">
        <f t="shared" si="70"/>
        <v>0</v>
      </c>
      <c r="Q694" s="12">
        <f t="shared" si="72"/>
        <v>0</v>
      </c>
      <c r="R694" s="12">
        <f t="shared" si="73"/>
        <v>0</v>
      </c>
      <c r="S694" s="12">
        <f t="shared" si="74"/>
        <v>0</v>
      </c>
      <c r="T694" s="12">
        <f t="shared" si="75"/>
        <v>0</v>
      </c>
      <c r="U694" s="14" t="str">
        <f t="shared" si="76"/>
        <v/>
      </c>
    </row>
    <row r="695" spans="12:21" x14ac:dyDescent="0.25">
      <c r="L695" s="18">
        <f t="shared" si="71"/>
        <v>0</v>
      </c>
      <c r="M695" s="13" t="e">
        <f>VLOOKUP(G695,Sell!G:L,1,0)</f>
        <v>#N/A</v>
      </c>
      <c r="N695" s="13">
        <f>IFERROR(VLOOKUP(G695,Sell!G:L,2,0),0)</f>
        <v>0</v>
      </c>
      <c r="O695" s="12">
        <f>IFERROR(VLOOKUP(G695,Sell!G:L,6,0),0)</f>
        <v>0</v>
      </c>
      <c r="P695" s="13">
        <f t="shared" si="70"/>
        <v>0</v>
      </c>
      <c r="Q695" s="12">
        <f t="shared" si="72"/>
        <v>0</v>
      </c>
      <c r="R695" s="12">
        <f t="shared" si="73"/>
        <v>0</v>
      </c>
      <c r="S695" s="12">
        <f t="shared" si="74"/>
        <v>0</v>
      </c>
      <c r="T695" s="12">
        <f t="shared" si="75"/>
        <v>0</v>
      </c>
      <c r="U695" s="14" t="str">
        <f t="shared" si="76"/>
        <v/>
      </c>
    </row>
    <row r="696" spans="12:21" x14ac:dyDescent="0.25">
      <c r="L696" s="18">
        <f t="shared" si="71"/>
        <v>0</v>
      </c>
      <c r="M696" s="13" t="e">
        <f>VLOOKUP(G696,Sell!G:L,1,0)</f>
        <v>#N/A</v>
      </c>
      <c r="N696" s="13">
        <f>IFERROR(VLOOKUP(G696,Sell!G:L,2,0),0)</f>
        <v>0</v>
      </c>
      <c r="O696" s="12">
        <f>IFERROR(VLOOKUP(G696,Sell!G:L,6,0),0)</f>
        <v>0</v>
      </c>
      <c r="P696" s="13">
        <f t="shared" si="70"/>
        <v>0</v>
      </c>
      <c r="Q696" s="12">
        <f t="shared" si="72"/>
        <v>0</v>
      </c>
      <c r="R696" s="12">
        <f t="shared" si="73"/>
        <v>0</v>
      </c>
      <c r="S696" s="12">
        <f t="shared" si="74"/>
        <v>0</v>
      </c>
      <c r="T696" s="12">
        <f t="shared" si="75"/>
        <v>0</v>
      </c>
      <c r="U696" s="14" t="str">
        <f t="shared" si="76"/>
        <v/>
      </c>
    </row>
    <row r="697" spans="12:21" x14ac:dyDescent="0.25">
      <c r="L697" s="18">
        <f t="shared" si="71"/>
        <v>0</v>
      </c>
      <c r="M697" s="13" t="e">
        <f>VLOOKUP(G697,Sell!G:L,1,0)</f>
        <v>#N/A</v>
      </c>
      <c r="N697" s="13">
        <f>IFERROR(VLOOKUP(G697,Sell!G:L,2,0),0)</f>
        <v>0</v>
      </c>
      <c r="O697" s="12">
        <f>IFERROR(VLOOKUP(G697,Sell!G:L,6,0),0)</f>
        <v>0</v>
      </c>
      <c r="P697" s="13">
        <f t="shared" si="70"/>
        <v>0</v>
      </c>
      <c r="Q697" s="12">
        <f t="shared" si="72"/>
        <v>0</v>
      </c>
      <c r="R697" s="12">
        <f t="shared" si="73"/>
        <v>0</v>
      </c>
      <c r="S697" s="12">
        <f t="shared" si="74"/>
        <v>0</v>
      </c>
      <c r="T697" s="12">
        <f t="shared" si="75"/>
        <v>0</v>
      </c>
      <c r="U697" s="14" t="str">
        <f t="shared" si="76"/>
        <v/>
      </c>
    </row>
    <row r="698" spans="12:21" x14ac:dyDescent="0.25">
      <c r="L698" s="18">
        <f t="shared" si="71"/>
        <v>0</v>
      </c>
      <c r="M698" s="13" t="e">
        <f>VLOOKUP(G698,Sell!G:L,1,0)</f>
        <v>#N/A</v>
      </c>
      <c r="N698" s="13">
        <f>IFERROR(VLOOKUP(G698,Sell!G:L,2,0),0)</f>
        <v>0</v>
      </c>
      <c r="O698" s="12">
        <f>IFERROR(VLOOKUP(G698,Sell!G:L,6,0),0)</f>
        <v>0</v>
      </c>
      <c r="P698" s="13">
        <f t="shared" si="70"/>
        <v>0</v>
      </c>
      <c r="Q698" s="12">
        <f t="shared" si="72"/>
        <v>0</v>
      </c>
      <c r="R698" s="12">
        <f t="shared" si="73"/>
        <v>0</v>
      </c>
      <c r="S698" s="12">
        <f t="shared" si="74"/>
        <v>0</v>
      </c>
      <c r="T698" s="12">
        <f t="shared" si="75"/>
        <v>0</v>
      </c>
      <c r="U698" s="14" t="str">
        <f t="shared" si="76"/>
        <v/>
      </c>
    </row>
    <row r="699" spans="12:21" x14ac:dyDescent="0.25">
      <c r="L699" s="18">
        <f t="shared" si="71"/>
        <v>0</v>
      </c>
      <c r="M699" s="13" t="e">
        <f>VLOOKUP(G699,Sell!G:L,1,0)</f>
        <v>#N/A</v>
      </c>
      <c r="N699" s="13">
        <f>IFERROR(VLOOKUP(G699,Sell!G:L,2,0),0)</f>
        <v>0</v>
      </c>
      <c r="O699" s="12">
        <f>IFERROR(VLOOKUP(G699,Sell!G:L,6,0),0)</f>
        <v>0</v>
      </c>
      <c r="P699" s="13">
        <f t="shared" si="70"/>
        <v>0</v>
      </c>
      <c r="Q699" s="12">
        <f t="shared" si="72"/>
        <v>0</v>
      </c>
      <c r="R699" s="12">
        <f t="shared" si="73"/>
        <v>0</v>
      </c>
      <c r="S699" s="12">
        <f t="shared" si="74"/>
        <v>0</v>
      </c>
      <c r="T699" s="12">
        <f t="shared" si="75"/>
        <v>0</v>
      </c>
      <c r="U699" s="14" t="str">
        <f t="shared" si="76"/>
        <v/>
      </c>
    </row>
    <row r="700" spans="12:21" x14ac:dyDescent="0.25">
      <c r="L700" s="18">
        <f t="shared" si="71"/>
        <v>0</v>
      </c>
      <c r="M700" s="13" t="e">
        <f>VLOOKUP(G700,Sell!G:L,1,0)</f>
        <v>#N/A</v>
      </c>
      <c r="N700" s="13">
        <f>IFERROR(VLOOKUP(G700,Sell!G:L,2,0),0)</f>
        <v>0</v>
      </c>
      <c r="O700" s="12">
        <f>IFERROR(VLOOKUP(G700,Sell!G:L,6,0),0)</f>
        <v>0</v>
      </c>
      <c r="P700" s="13">
        <f t="shared" si="70"/>
        <v>0</v>
      </c>
      <c r="Q700" s="12">
        <f t="shared" si="72"/>
        <v>0</v>
      </c>
      <c r="R700" s="12">
        <f t="shared" si="73"/>
        <v>0</v>
      </c>
      <c r="S700" s="12">
        <f t="shared" si="74"/>
        <v>0</v>
      </c>
      <c r="T700" s="12">
        <f t="shared" si="75"/>
        <v>0</v>
      </c>
      <c r="U700" s="14" t="str">
        <f t="shared" si="76"/>
        <v/>
      </c>
    </row>
    <row r="701" spans="12:21" x14ac:dyDescent="0.25">
      <c r="L701" s="18">
        <f t="shared" si="71"/>
        <v>0</v>
      </c>
      <c r="M701" s="13" t="e">
        <f>VLOOKUP(G701,Sell!G:L,1,0)</f>
        <v>#N/A</v>
      </c>
      <c r="N701" s="13">
        <f>IFERROR(VLOOKUP(G701,Sell!G:L,2,0),0)</f>
        <v>0</v>
      </c>
      <c r="O701" s="12">
        <f>IFERROR(VLOOKUP(G701,Sell!G:L,6,0),0)</f>
        <v>0</v>
      </c>
      <c r="P701" s="13">
        <f t="shared" si="70"/>
        <v>0</v>
      </c>
      <c r="Q701" s="12">
        <f t="shared" si="72"/>
        <v>0</v>
      </c>
      <c r="R701" s="12">
        <f t="shared" si="73"/>
        <v>0</v>
      </c>
      <c r="S701" s="12">
        <f t="shared" si="74"/>
        <v>0</v>
      </c>
      <c r="T701" s="12">
        <f t="shared" si="75"/>
        <v>0</v>
      </c>
      <c r="U701" s="14" t="str">
        <f t="shared" si="76"/>
        <v/>
      </c>
    </row>
    <row r="702" spans="12:21" x14ac:dyDescent="0.25">
      <c r="L702" s="18">
        <f t="shared" si="71"/>
        <v>0</v>
      </c>
      <c r="M702" s="13" t="e">
        <f>VLOOKUP(G702,Sell!G:L,1,0)</f>
        <v>#N/A</v>
      </c>
      <c r="N702" s="13">
        <f>IFERROR(VLOOKUP(G702,Sell!G:L,2,0),0)</f>
        <v>0</v>
      </c>
      <c r="O702" s="12">
        <f>IFERROR(VLOOKUP(G702,Sell!G:L,6,0),0)</f>
        <v>0</v>
      </c>
      <c r="P702" s="13">
        <f t="shared" si="70"/>
        <v>0</v>
      </c>
      <c r="Q702" s="12">
        <f t="shared" si="72"/>
        <v>0</v>
      </c>
      <c r="R702" s="12">
        <f t="shared" si="73"/>
        <v>0</v>
      </c>
      <c r="S702" s="12">
        <f t="shared" si="74"/>
        <v>0</v>
      </c>
      <c r="T702" s="12">
        <f t="shared" si="75"/>
        <v>0</v>
      </c>
      <c r="U702" s="14" t="str">
        <f t="shared" si="76"/>
        <v/>
      </c>
    </row>
    <row r="703" spans="12:21" x14ac:dyDescent="0.25">
      <c r="L703" s="18">
        <f t="shared" si="71"/>
        <v>0</v>
      </c>
      <c r="M703" s="13" t="e">
        <f>VLOOKUP(G703,Sell!G:L,1,0)</f>
        <v>#N/A</v>
      </c>
      <c r="N703" s="13">
        <f>IFERROR(VLOOKUP(G703,Sell!G:L,2,0),0)</f>
        <v>0</v>
      </c>
      <c r="O703" s="12">
        <f>IFERROR(VLOOKUP(G703,Sell!G:L,6,0),0)</f>
        <v>0</v>
      </c>
      <c r="P703" s="13">
        <f t="shared" si="70"/>
        <v>0</v>
      </c>
      <c r="Q703" s="12">
        <f t="shared" si="72"/>
        <v>0</v>
      </c>
      <c r="R703" s="12">
        <f t="shared" si="73"/>
        <v>0</v>
      </c>
      <c r="S703" s="12">
        <f t="shared" si="74"/>
        <v>0</v>
      </c>
      <c r="T703" s="12">
        <f t="shared" si="75"/>
        <v>0</v>
      </c>
      <c r="U703" s="14" t="str">
        <f t="shared" si="76"/>
        <v/>
      </c>
    </row>
    <row r="704" spans="12:21" x14ac:dyDescent="0.25">
      <c r="L704" s="18">
        <f t="shared" si="71"/>
        <v>0</v>
      </c>
      <c r="M704" s="13" t="e">
        <f>VLOOKUP(G704,Sell!G:L,1,0)</f>
        <v>#N/A</v>
      </c>
      <c r="N704" s="13">
        <f>IFERROR(VLOOKUP(G704,Sell!G:L,2,0),0)</f>
        <v>0</v>
      </c>
      <c r="O704" s="12">
        <f>IFERROR(VLOOKUP(G704,Sell!G:L,6,0),0)</f>
        <v>0</v>
      </c>
      <c r="P704" s="13">
        <f t="shared" si="70"/>
        <v>0</v>
      </c>
      <c r="Q704" s="12">
        <f t="shared" si="72"/>
        <v>0</v>
      </c>
      <c r="R704" s="12">
        <f t="shared" si="73"/>
        <v>0</v>
      </c>
      <c r="S704" s="12">
        <f t="shared" si="74"/>
        <v>0</v>
      </c>
      <c r="T704" s="12">
        <f t="shared" si="75"/>
        <v>0</v>
      </c>
      <c r="U704" s="14" t="str">
        <f t="shared" si="76"/>
        <v/>
      </c>
    </row>
    <row r="705" spans="12:21" x14ac:dyDescent="0.25">
      <c r="L705" s="18">
        <f t="shared" si="71"/>
        <v>0</v>
      </c>
      <c r="M705" s="13" t="e">
        <f>VLOOKUP(G705,Sell!G:L,1,0)</f>
        <v>#N/A</v>
      </c>
      <c r="N705" s="13">
        <f>IFERROR(VLOOKUP(G705,Sell!G:L,2,0),0)</f>
        <v>0</v>
      </c>
      <c r="O705" s="12">
        <f>IFERROR(VLOOKUP(G705,Sell!G:L,6,0),0)</f>
        <v>0</v>
      </c>
      <c r="P705" s="13">
        <f t="shared" si="70"/>
        <v>0</v>
      </c>
      <c r="Q705" s="12">
        <f t="shared" si="72"/>
        <v>0</v>
      </c>
      <c r="R705" s="12">
        <f t="shared" si="73"/>
        <v>0</v>
      </c>
      <c r="S705" s="12">
        <f t="shared" si="74"/>
        <v>0</v>
      </c>
      <c r="T705" s="12">
        <f t="shared" si="75"/>
        <v>0</v>
      </c>
      <c r="U705" s="14" t="str">
        <f t="shared" si="76"/>
        <v/>
      </c>
    </row>
    <row r="706" spans="12:21" x14ac:dyDescent="0.25">
      <c r="L706" s="18">
        <f t="shared" si="71"/>
        <v>0</v>
      </c>
      <c r="M706" s="13" t="e">
        <f>VLOOKUP(G706,Sell!G:L,1,0)</f>
        <v>#N/A</v>
      </c>
      <c r="N706" s="13">
        <f>IFERROR(VLOOKUP(G706,Sell!G:L,2,0),0)</f>
        <v>0</v>
      </c>
      <c r="O706" s="12">
        <f>IFERROR(VLOOKUP(G706,Sell!G:L,6,0),0)</f>
        <v>0</v>
      </c>
      <c r="P706" s="13">
        <f t="shared" si="70"/>
        <v>0</v>
      </c>
      <c r="Q706" s="12">
        <f t="shared" si="72"/>
        <v>0</v>
      </c>
      <c r="R706" s="12">
        <f t="shared" si="73"/>
        <v>0</v>
      </c>
      <c r="S706" s="12">
        <f t="shared" si="74"/>
        <v>0</v>
      </c>
      <c r="T706" s="12">
        <f t="shared" si="75"/>
        <v>0</v>
      </c>
      <c r="U706" s="14" t="str">
        <f t="shared" si="76"/>
        <v/>
      </c>
    </row>
    <row r="707" spans="12:21" x14ac:dyDescent="0.25">
      <c r="L707" s="18">
        <f t="shared" si="71"/>
        <v>0</v>
      </c>
      <c r="M707" s="13" t="e">
        <f>VLOOKUP(G707,Sell!G:L,1,0)</f>
        <v>#N/A</v>
      </c>
      <c r="N707" s="13">
        <f>IFERROR(VLOOKUP(G707,Sell!G:L,2,0),0)</f>
        <v>0</v>
      </c>
      <c r="O707" s="12">
        <f>IFERROR(VLOOKUP(G707,Sell!G:L,6,0),0)</f>
        <v>0</v>
      </c>
      <c r="P707" s="13">
        <f t="shared" si="70"/>
        <v>0</v>
      </c>
      <c r="Q707" s="12">
        <f t="shared" si="72"/>
        <v>0</v>
      </c>
      <c r="R707" s="12">
        <f t="shared" si="73"/>
        <v>0</v>
      </c>
      <c r="S707" s="12">
        <f t="shared" si="74"/>
        <v>0</v>
      </c>
      <c r="T707" s="12">
        <f t="shared" si="75"/>
        <v>0</v>
      </c>
      <c r="U707" s="14" t="str">
        <f t="shared" si="76"/>
        <v/>
      </c>
    </row>
    <row r="708" spans="12:21" x14ac:dyDescent="0.25">
      <c r="L708" s="18">
        <f t="shared" si="71"/>
        <v>0</v>
      </c>
      <c r="M708" s="13" t="e">
        <f>VLOOKUP(G708,Sell!G:L,1,0)</f>
        <v>#N/A</v>
      </c>
      <c r="N708" s="13">
        <f>IFERROR(VLOOKUP(G708,Sell!G:L,2,0),0)</f>
        <v>0</v>
      </c>
      <c r="O708" s="12">
        <f>IFERROR(VLOOKUP(G708,Sell!G:L,6,0),0)</f>
        <v>0</v>
      </c>
      <c r="P708" s="13">
        <f t="shared" si="70"/>
        <v>0</v>
      </c>
      <c r="Q708" s="12">
        <f t="shared" si="72"/>
        <v>0</v>
      </c>
      <c r="R708" s="12">
        <f t="shared" si="73"/>
        <v>0</v>
      </c>
      <c r="S708" s="12">
        <f t="shared" si="74"/>
        <v>0</v>
      </c>
      <c r="T708" s="12">
        <f t="shared" si="75"/>
        <v>0</v>
      </c>
      <c r="U708" s="14" t="str">
        <f t="shared" si="76"/>
        <v/>
      </c>
    </row>
    <row r="709" spans="12:21" x14ac:dyDescent="0.25">
      <c r="L709" s="18">
        <f t="shared" si="71"/>
        <v>0</v>
      </c>
      <c r="M709" s="13" t="e">
        <f>VLOOKUP(G709,Sell!G:L,1,0)</f>
        <v>#N/A</v>
      </c>
      <c r="N709" s="13">
        <f>IFERROR(VLOOKUP(G709,Sell!G:L,2,0),0)</f>
        <v>0</v>
      </c>
      <c r="O709" s="12">
        <f>IFERROR(VLOOKUP(G709,Sell!G:L,6,0),0)</f>
        <v>0</v>
      </c>
      <c r="P709" s="13">
        <f t="shared" si="70"/>
        <v>0</v>
      </c>
      <c r="Q709" s="12">
        <f t="shared" si="72"/>
        <v>0</v>
      </c>
      <c r="R709" s="12">
        <f t="shared" si="73"/>
        <v>0</v>
      </c>
      <c r="S709" s="12">
        <f t="shared" si="74"/>
        <v>0</v>
      </c>
      <c r="T709" s="12">
        <f t="shared" si="75"/>
        <v>0</v>
      </c>
      <c r="U709" s="14" t="str">
        <f t="shared" si="76"/>
        <v/>
      </c>
    </row>
    <row r="710" spans="12:21" x14ac:dyDescent="0.25">
      <c r="L710" s="18">
        <f t="shared" si="71"/>
        <v>0</v>
      </c>
      <c r="M710" s="13" t="e">
        <f>VLOOKUP(G710,Sell!G:L,1,0)</f>
        <v>#N/A</v>
      </c>
      <c r="N710" s="13">
        <f>IFERROR(VLOOKUP(G710,Sell!G:L,2,0),0)</f>
        <v>0</v>
      </c>
      <c r="O710" s="12">
        <f>IFERROR(VLOOKUP(G710,Sell!G:L,6,0),0)</f>
        <v>0</v>
      </c>
      <c r="P710" s="13">
        <f t="shared" si="70"/>
        <v>0</v>
      </c>
      <c r="Q710" s="12">
        <f t="shared" si="72"/>
        <v>0</v>
      </c>
      <c r="R710" s="12">
        <f t="shared" si="73"/>
        <v>0</v>
      </c>
      <c r="S710" s="12">
        <f t="shared" si="74"/>
        <v>0</v>
      </c>
      <c r="T710" s="12">
        <f t="shared" si="75"/>
        <v>0</v>
      </c>
      <c r="U710" s="14" t="str">
        <f t="shared" si="76"/>
        <v/>
      </c>
    </row>
    <row r="711" spans="12:21" x14ac:dyDescent="0.25">
      <c r="L711" s="18">
        <f t="shared" si="71"/>
        <v>0</v>
      </c>
      <c r="M711" s="13" t="e">
        <f>VLOOKUP(G711,Sell!G:L,1,0)</f>
        <v>#N/A</v>
      </c>
      <c r="N711" s="13">
        <f>IFERROR(VLOOKUP(G711,Sell!G:L,2,0),0)</f>
        <v>0</v>
      </c>
      <c r="O711" s="12">
        <f>IFERROR(VLOOKUP(G711,Sell!G:L,6,0),0)</f>
        <v>0</v>
      </c>
      <c r="P711" s="13">
        <f t="shared" si="70"/>
        <v>0</v>
      </c>
      <c r="Q711" s="12">
        <f t="shared" si="72"/>
        <v>0</v>
      </c>
      <c r="R711" s="12">
        <f t="shared" si="73"/>
        <v>0</v>
      </c>
      <c r="S711" s="12">
        <f t="shared" si="74"/>
        <v>0</v>
      </c>
      <c r="T711" s="12">
        <f t="shared" si="75"/>
        <v>0</v>
      </c>
      <c r="U711" s="14" t="str">
        <f t="shared" si="76"/>
        <v/>
      </c>
    </row>
    <row r="712" spans="12:21" x14ac:dyDescent="0.25">
      <c r="L712" s="18">
        <f t="shared" si="71"/>
        <v>0</v>
      </c>
      <c r="M712" s="13" t="e">
        <f>VLOOKUP(G712,Sell!G:L,1,0)</f>
        <v>#N/A</v>
      </c>
      <c r="N712" s="13">
        <f>IFERROR(VLOOKUP(G712,Sell!G:L,2,0),0)</f>
        <v>0</v>
      </c>
      <c r="O712" s="12">
        <f>IFERROR(VLOOKUP(G712,Sell!G:L,6,0),0)</f>
        <v>0</v>
      </c>
      <c r="P712" s="13">
        <f t="shared" si="70"/>
        <v>0</v>
      </c>
      <c r="Q712" s="12">
        <f t="shared" si="72"/>
        <v>0</v>
      </c>
      <c r="R712" s="12">
        <f t="shared" si="73"/>
        <v>0</v>
      </c>
      <c r="S712" s="12">
        <f t="shared" si="74"/>
        <v>0</v>
      </c>
      <c r="T712" s="12">
        <f t="shared" si="75"/>
        <v>0</v>
      </c>
      <c r="U712" s="14" t="str">
        <f t="shared" si="76"/>
        <v/>
      </c>
    </row>
    <row r="713" spans="12:21" x14ac:dyDescent="0.25">
      <c r="L713" s="18">
        <f t="shared" si="71"/>
        <v>0</v>
      </c>
      <c r="M713" s="13" t="e">
        <f>VLOOKUP(G713,Sell!G:L,1,0)</f>
        <v>#N/A</v>
      </c>
      <c r="N713" s="13">
        <f>IFERROR(VLOOKUP(G713,Sell!G:L,2,0),0)</f>
        <v>0</v>
      </c>
      <c r="O713" s="12">
        <f>IFERROR(VLOOKUP(G713,Sell!G:L,6,0),0)</f>
        <v>0</v>
      </c>
      <c r="P713" s="13">
        <f t="shared" si="70"/>
        <v>0</v>
      </c>
      <c r="Q713" s="12">
        <f t="shared" si="72"/>
        <v>0</v>
      </c>
      <c r="R713" s="12">
        <f t="shared" si="73"/>
        <v>0</v>
      </c>
      <c r="S713" s="12">
        <f t="shared" si="74"/>
        <v>0</v>
      </c>
      <c r="T713" s="12">
        <f t="shared" si="75"/>
        <v>0</v>
      </c>
      <c r="U713" s="14" t="str">
        <f t="shared" si="76"/>
        <v/>
      </c>
    </row>
    <row r="714" spans="12:21" x14ac:dyDescent="0.25">
      <c r="L714" s="18">
        <f t="shared" si="71"/>
        <v>0</v>
      </c>
      <c r="M714" s="13" t="e">
        <f>VLOOKUP(G714,Sell!G:L,1,0)</f>
        <v>#N/A</v>
      </c>
      <c r="N714" s="13">
        <f>IFERROR(VLOOKUP(G714,Sell!G:L,2,0),0)</f>
        <v>0</v>
      </c>
      <c r="O714" s="12">
        <f>IFERROR(VLOOKUP(G714,Sell!G:L,6,0),0)</f>
        <v>0</v>
      </c>
      <c r="P714" s="13">
        <f t="shared" ref="P714:P777" si="77">H714-N714</f>
        <v>0</v>
      </c>
      <c r="Q714" s="12">
        <f t="shared" si="72"/>
        <v>0</v>
      </c>
      <c r="R714" s="12">
        <f t="shared" si="73"/>
        <v>0</v>
      </c>
      <c r="S714" s="12">
        <f t="shared" si="74"/>
        <v>0</v>
      </c>
      <c r="T714" s="12">
        <f t="shared" si="75"/>
        <v>0</v>
      </c>
      <c r="U714" s="14" t="str">
        <f t="shared" si="76"/>
        <v/>
      </c>
    </row>
    <row r="715" spans="12:21" x14ac:dyDescent="0.25">
      <c r="L715" s="18">
        <f t="shared" ref="L715:L778" si="78">J715+K715</f>
        <v>0</v>
      </c>
      <c r="M715" s="13" t="e">
        <f>VLOOKUP(G715,Sell!G:L,1,0)</f>
        <v>#N/A</v>
      </c>
      <c r="N715" s="13">
        <f>IFERROR(VLOOKUP(G715,Sell!G:L,2,0),0)</f>
        <v>0</v>
      </c>
      <c r="O715" s="12">
        <f>IFERROR(VLOOKUP(G715,Sell!G:L,6,0),0)</f>
        <v>0</v>
      </c>
      <c r="P715" s="13">
        <f t="shared" si="77"/>
        <v>0</v>
      </c>
      <c r="Q715" s="12">
        <f t="shared" ref="Q715:Q778" si="79">O715-L715</f>
        <v>0</v>
      </c>
      <c r="R715" s="12">
        <f t="shared" ref="R715:R778" si="80">IF(P715=0,Q715,0)</f>
        <v>0</v>
      </c>
      <c r="S715" s="12">
        <f t="shared" ref="S715:S778" si="81">IF(R715&gt;0,R715,0)</f>
        <v>0</v>
      </c>
      <c r="T715" s="12">
        <f t="shared" ref="T715:T778" si="82">IF(R715&gt;0,0,R715)</f>
        <v>0</v>
      </c>
      <c r="U715" s="14" t="str">
        <f t="shared" ref="U715:U778" si="83">IF(AND(LEN(G715)&gt;0,R715=0),"Open","")</f>
        <v/>
      </c>
    </row>
    <row r="716" spans="12:21" x14ac:dyDescent="0.25">
      <c r="L716" s="18">
        <f t="shared" si="78"/>
        <v>0</v>
      </c>
      <c r="M716" s="13" t="e">
        <f>VLOOKUP(G716,Sell!G:L,1,0)</f>
        <v>#N/A</v>
      </c>
      <c r="N716" s="13">
        <f>IFERROR(VLOOKUP(G716,Sell!G:L,2,0),0)</f>
        <v>0</v>
      </c>
      <c r="O716" s="12">
        <f>IFERROR(VLOOKUP(G716,Sell!G:L,6,0),0)</f>
        <v>0</v>
      </c>
      <c r="P716" s="13">
        <f t="shared" si="77"/>
        <v>0</v>
      </c>
      <c r="Q716" s="12">
        <f t="shared" si="79"/>
        <v>0</v>
      </c>
      <c r="R716" s="12">
        <f t="shared" si="80"/>
        <v>0</v>
      </c>
      <c r="S716" s="12">
        <f t="shared" si="81"/>
        <v>0</v>
      </c>
      <c r="T716" s="12">
        <f t="shared" si="82"/>
        <v>0</v>
      </c>
      <c r="U716" s="14" t="str">
        <f t="shared" si="83"/>
        <v/>
      </c>
    </row>
    <row r="717" spans="12:21" x14ac:dyDescent="0.25">
      <c r="L717" s="18">
        <f t="shared" si="78"/>
        <v>0</v>
      </c>
      <c r="M717" s="13" t="e">
        <f>VLOOKUP(G717,Sell!G:L,1,0)</f>
        <v>#N/A</v>
      </c>
      <c r="N717" s="13">
        <f>IFERROR(VLOOKUP(G717,Sell!G:L,2,0),0)</f>
        <v>0</v>
      </c>
      <c r="O717" s="12">
        <f>IFERROR(VLOOKUP(G717,Sell!G:L,6,0),0)</f>
        <v>0</v>
      </c>
      <c r="P717" s="13">
        <f t="shared" si="77"/>
        <v>0</v>
      </c>
      <c r="Q717" s="12">
        <f t="shared" si="79"/>
        <v>0</v>
      </c>
      <c r="R717" s="12">
        <f t="shared" si="80"/>
        <v>0</v>
      </c>
      <c r="S717" s="12">
        <f t="shared" si="81"/>
        <v>0</v>
      </c>
      <c r="T717" s="12">
        <f t="shared" si="82"/>
        <v>0</v>
      </c>
      <c r="U717" s="14" t="str">
        <f t="shared" si="83"/>
        <v/>
      </c>
    </row>
    <row r="718" spans="12:21" x14ac:dyDescent="0.25">
      <c r="L718" s="18">
        <f t="shared" si="78"/>
        <v>0</v>
      </c>
      <c r="M718" s="13" t="e">
        <f>VLOOKUP(G718,Sell!G:L,1,0)</f>
        <v>#N/A</v>
      </c>
      <c r="N718" s="13">
        <f>IFERROR(VLOOKUP(G718,Sell!G:L,2,0),0)</f>
        <v>0</v>
      </c>
      <c r="O718" s="12">
        <f>IFERROR(VLOOKUP(G718,Sell!G:L,6,0),0)</f>
        <v>0</v>
      </c>
      <c r="P718" s="13">
        <f t="shared" si="77"/>
        <v>0</v>
      </c>
      <c r="Q718" s="12">
        <f t="shared" si="79"/>
        <v>0</v>
      </c>
      <c r="R718" s="12">
        <f t="shared" si="80"/>
        <v>0</v>
      </c>
      <c r="S718" s="12">
        <f t="shared" si="81"/>
        <v>0</v>
      </c>
      <c r="T718" s="12">
        <f t="shared" si="82"/>
        <v>0</v>
      </c>
      <c r="U718" s="14" t="str">
        <f t="shared" si="83"/>
        <v/>
      </c>
    </row>
    <row r="719" spans="12:21" x14ac:dyDescent="0.25">
      <c r="L719" s="18">
        <f t="shared" si="78"/>
        <v>0</v>
      </c>
      <c r="M719" s="13" t="e">
        <f>VLOOKUP(G719,Sell!G:L,1,0)</f>
        <v>#N/A</v>
      </c>
      <c r="N719" s="13">
        <f>IFERROR(VLOOKUP(G719,Sell!G:L,2,0),0)</f>
        <v>0</v>
      </c>
      <c r="O719" s="12">
        <f>IFERROR(VLOOKUP(G719,Sell!G:L,6,0),0)</f>
        <v>0</v>
      </c>
      <c r="P719" s="13">
        <f t="shared" si="77"/>
        <v>0</v>
      </c>
      <c r="Q719" s="12">
        <f t="shared" si="79"/>
        <v>0</v>
      </c>
      <c r="R719" s="12">
        <f t="shared" si="80"/>
        <v>0</v>
      </c>
      <c r="S719" s="12">
        <f t="shared" si="81"/>
        <v>0</v>
      </c>
      <c r="T719" s="12">
        <f t="shared" si="82"/>
        <v>0</v>
      </c>
      <c r="U719" s="14" t="str">
        <f t="shared" si="83"/>
        <v/>
      </c>
    </row>
    <row r="720" spans="12:21" x14ac:dyDescent="0.25">
      <c r="L720" s="18">
        <f t="shared" si="78"/>
        <v>0</v>
      </c>
      <c r="M720" s="13" t="e">
        <f>VLOOKUP(G720,Sell!G:L,1,0)</f>
        <v>#N/A</v>
      </c>
      <c r="N720" s="13">
        <f>IFERROR(VLOOKUP(G720,Sell!G:L,2,0),0)</f>
        <v>0</v>
      </c>
      <c r="O720" s="12">
        <f>IFERROR(VLOOKUP(G720,Sell!G:L,6,0),0)</f>
        <v>0</v>
      </c>
      <c r="P720" s="13">
        <f t="shared" si="77"/>
        <v>0</v>
      </c>
      <c r="Q720" s="12">
        <f t="shared" si="79"/>
        <v>0</v>
      </c>
      <c r="R720" s="12">
        <f t="shared" si="80"/>
        <v>0</v>
      </c>
      <c r="S720" s="12">
        <f t="shared" si="81"/>
        <v>0</v>
      </c>
      <c r="T720" s="12">
        <f t="shared" si="82"/>
        <v>0</v>
      </c>
      <c r="U720" s="14" t="str">
        <f t="shared" si="83"/>
        <v/>
      </c>
    </row>
    <row r="721" spans="12:21" x14ac:dyDescent="0.25">
      <c r="L721" s="18">
        <f t="shared" si="78"/>
        <v>0</v>
      </c>
      <c r="M721" s="13" t="e">
        <f>VLOOKUP(G721,Sell!G:L,1,0)</f>
        <v>#N/A</v>
      </c>
      <c r="N721" s="13">
        <f>IFERROR(VLOOKUP(G721,Sell!G:L,2,0),0)</f>
        <v>0</v>
      </c>
      <c r="O721" s="12">
        <f>IFERROR(VLOOKUP(G721,Sell!G:L,6,0),0)</f>
        <v>0</v>
      </c>
      <c r="P721" s="13">
        <f t="shared" si="77"/>
        <v>0</v>
      </c>
      <c r="Q721" s="12">
        <f t="shared" si="79"/>
        <v>0</v>
      </c>
      <c r="R721" s="12">
        <f t="shared" si="80"/>
        <v>0</v>
      </c>
      <c r="S721" s="12">
        <f t="shared" si="81"/>
        <v>0</v>
      </c>
      <c r="T721" s="12">
        <f t="shared" si="82"/>
        <v>0</v>
      </c>
      <c r="U721" s="14" t="str">
        <f t="shared" si="83"/>
        <v/>
      </c>
    </row>
    <row r="722" spans="12:21" x14ac:dyDescent="0.25">
      <c r="L722" s="18">
        <f t="shared" si="78"/>
        <v>0</v>
      </c>
      <c r="M722" s="13" t="e">
        <f>VLOOKUP(G722,Sell!G:L,1,0)</f>
        <v>#N/A</v>
      </c>
      <c r="N722" s="13">
        <f>IFERROR(VLOOKUP(G722,Sell!G:L,2,0),0)</f>
        <v>0</v>
      </c>
      <c r="O722" s="12">
        <f>IFERROR(VLOOKUP(G722,Sell!G:L,6,0),0)</f>
        <v>0</v>
      </c>
      <c r="P722" s="13">
        <f t="shared" si="77"/>
        <v>0</v>
      </c>
      <c r="Q722" s="12">
        <f t="shared" si="79"/>
        <v>0</v>
      </c>
      <c r="R722" s="12">
        <f t="shared" si="80"/>
        <v>0</v>
      </c>
      <c r="S722" s="12">
        <f t="shared" si="81"/>
        <v>0</v>
      </c>
      <c r="T722" s="12">
        <f t="shared" si="82"/>
        <v>0</v>
      </c>
      <c r="U722" s="14" t="str">
        <f t="shared" si="83"/>
        <v/>
      </c>
    </row>
    <row r="723" spans="12:21" x14ac:dyDescent="0.25">
      <c r="L723" s="18">
        <f t="shared" si="78"/>
        <v>0</v>
      </c>
      <c r="M723" s="13" t="e">
        <f>VLOOKUP(G723,Sell!G:L,1,0)</f>
        <v>#N/A</v>
      </c>
      <c r="N723" s="13">
        <f>IFERROR(VLOOKUP(G723,Sell!G:L,2,0),0)</f>
        <v>0</v>
      </c>
      <c r="O723" s="12">
        <f>IFERROR(VLOOKUP(G723,Sell!G:L,6,0),0)</f>
        <v>0</v>
      </c>
      <c r="P723" s="13">
        <f t="shared" si="77"/>
        <v>0</v>
      </c>
      <c r="Q723" s="12">
        <f t="shared" si="79"/>
        <v>0</v>
      </c>
      <c r="R723" s="12">
        <f t="shared" si="80"/>
        <v>0</v>
      </c>
      <c r="S723" s="12">
        <f t="shared" si="81"/>
        <v>0</v>
      </c>
      <c r="T723" s="12">
        <f t="shared" si="82"/>
        <v>0</v>
      </c>
      <c r="U723" s="14" t="str">
        <f t="shared" si="83"/>
        <v/>
      </c>
    </row>
    <row r="724" spans="12:21" x14ac:dyDescent="0.25">
      <c r="L724" s="18">
        <f t="shared" si="78"/>
        <v>0</v>
      </c>
      <c r="M724" s="13" t="e">
        <f>VLOOKUP(G724,Sell!G:L,1,0)</f>
        <v>#N/A</v>
      </c>
      <c r="N724" s="13">
        <f>IFERROR(VLOOKUP(G724,Sell!G:L,2,0),0)</f>
        <v>0</v>
      </c>
      <c r="O724" s="12">
        <f>IFERROR(VLOOKUP(G724,Sell!G:L,6,0),0)</f>
        <v>0</v>
      </c>
      <c r="P724" s="13">
        <f t="shared" si="77"/>
        <v>0</v>
      </c>
      <c r="Q724" s="12">
        <f t="shared" si="79"/>
        <v>0</v>
      </c>
      <c r="R724" s="12">
        <f t="shared" si="80"/>
        <v>0</v>
      </c>
      <c r="S724" s="12">
        <f t="shared" si="81"/>
        <v>0</v>
      </c>
      <c r="T724" s="12">
        <f t="shared" si="82"/>
        <v>0</v>
      </c>
      <c r="U724" s="14" t="str">
        <f t="shared" si="83"/>
        <v/>
      </c>
    </row>
    <row r="725" spans="12:21" x14ac:dyDescent="0.25">
      <c r="L725" s="18">
        <f t="shared" si="78"/>
        <v>0</v>
      </c>
      <c r="M725" s="13" t="e">
        <f>VLOOKUP(G725,Sell!G:L,1,0)</f>
        <v>#N/A</v>
      </c>
      <c r="N725" s="13">
        <f>IFERROR(VLOOKUP(G725,Sell!G:L,2,0),0)</f>
        <v>0</v>
      </c>
      <c r="O725" s="12">
        <f>IFERROR(VLOOKUP(G725,Sell!G:L,6,0),0)</f>
        <v>0</v>
      </c>
      <c r="P725" s="13">
        <f t="shared" si="77"/>
        <v>0</v>
      </c>
      <c r="Q725" s="12">
        <f t="shared" si="79"/>
        <v>0</v>
      </c>
      <c r="R725" s="12">
        <f t="shared" si="80"/>
        <v>0</v>
      </c>
      <c r="S725" s="12">
        <f t="shared" si="81"/>
        <v>0</v>
      </c>
      <c r="T725" s="12">
        <f t="shared" si="82"/>
        <v>0</v>
      </c>
      <c r="U725" s="14" t="str">
        <f t="shared" si="83"/>
        <v/>
      </c>
    </row>
    <row r="726" spans="12:21" x14ac:dyDescent="0.25">
      <c r="L726" s="18">
        <f t="shared" si="78"/>
        <v>0</v>
      </c>
      <c r="M726" s="13" t="e">
        <f>VLOOKUP(G726,Sell!G:L,1,0)</f>
        <v>#N/A</v>
      </c>
      <c r="N726" s="13">
        <f>IFERROR(VLOOKUP(G726,Sell!G:L,2,0),0)</f>
        <v>0</v>
      </c>
      <c r="O726" s="12">
        <f>IFERROR(VLOOKUP(G726,Sell!G:L,6,0),0)</f>
        <v>0</v>
      </c>
      <c r="P726" s="13">
        <f t="shared" si="77"/>
        <v>0</v>
      </c>
      <c r="Q726" s="12">
        <f t="shared" si="79"/>
        <v>0</v>
      </c>
      <c r="R726" s="12">
        <f t="shared" si="80"/>
        <v>0</v>
      </c>
      <c r="S726" s="12">
        <f t="shared" si="81"/>
        <v>0</v>
      </c>
      <c r="T726" s="12">
        <f t="shared" si="82"/>
        <v>0</v>
      </c>
      <c r="U726" s="14" t="str">
        <f t="shared" si="83"/>
        <v/>
      </c>
    </row>
    <row r="727" spans="12:21" x14ac:dyDescent="0.25">
      <c r="L727" s="18">
        <f t="shared" si="78"/>
        <v>0</v>
      </c>
      <c r="M727" s="13" t="e">
        <f>VLOOKUP(G727,Sell!G:L,1,0)</f>
        <v>#N/A</v>
      </c>
      <c r="N727" s="13">
        <f>IFERROR(VLOOKUP(G727,Sell!G:L,2,0),0)</f>
        <v>0</v>
      </c>
      <c r="O727" s="12">
        <f>IFERROR(VLOOKUP(G727,Sell!G:L,6,0),0)</f>
        <v>0</v>
      </c>
      <c r="P727" s="13">
        <f t="shared" si="77"/>
        <v>0</v>
      </c>
      <c r="Q727" s="12">
        <f t="shared" si="79"/>
        <v>0</v>
      </c>
      <c r="R727" s="12">
        <f t="shared" si="80"/>
        <v>0</v>
      </c>
      <c r="S727" s="12">
        <f t="shared" si="81"/>
        <v>0</v>
      </c>
      <c r="T727" s="12">
        <f t="shared" si="82"/>
        <v>0</v>
      </c>
      <c r="U727" s="14" t="str">
        <f t="shared" si="83"/>
        <v/>
      </c>
    </row>
    <row r="728" spans="12:21" x14ac:dyDescent="0.25">
      <c r="L728" s="18">
        <f t="shared" si="78"/>
        <v>0</v>
      </c>
      <c r="M728" s="13" t="e">
        <f>VLOOKUP(G728,Sell!G:L,1,0)</f>
        <v>#N/A</v>
      </c>
      <c r="N728" s="13">
        <f>IFERROR(VLOOKUP(G728,Sell!G:L,2,0),0)</f>
        <v>0</v>
      </c>
      <c r="O728" s="12">
        <f>IFERROR(VLOOKUP(G728,Sell!G:L,6,0),0)</f>
        <v>0</v>
      </c>
      <c r="P728" s="13">
        <f t="shared" si="77"/>
        <v>0</v>
      </c>
      <c r="Q728" s="12">
        <f t="shared" si="79"/>
        <v>0</v>
      </c>
      <c r="R728" s="12">
        <f t="shared" si="80"/>
        <v>0</v>
      </c>
      <c r="S728" s="12">
        <f t="shared" si="81"/>
        <v>0</v>
      </c>
      <c r="T728" s="12">
        <f t="shared" si="82"/>
        <v>0</v>
      </c>
      <c r="U728" s="14" t="str">
        <f t="shared" si="83"/>
        <v/>
      </c>
    </row>
    <row r="729" spans="12:21" x14ac:dyDescent="0.25">
      <c r="L729" s="18">
        <f t="shared" si="78"/>
        <v>0</v>
      </c>
      <c r="M729" s="13" t="e">
        <f>VLOOKUP(G729,Sell!G:L,1,0)</f>
        <v>#N/A</v>
      </c>
      <c r="N729" s="13">
        <f>IFERROR(VLOOKUP(G729,Sell!G:L,2,0),0)</f>
        <v>0</v>
      </c>
      <c r="O729" s="12">
        <f>IFERROR(VLOOKUP(G729,Sell!G:L,6,0),0)</f>
        <v>0</v>
      </c>
      <c r="P729" s="13">
        <f t="shared" si="77"/>
        <v>0</v>
      </c>
      <c r="Q729" s="12">
        <f t="shared" si="79"/>
        <v>0</v>
      </c>
      <c r="R729" s="12">
        <f t="shared" si="80"/>
        <v>0</v>
      </c>
      <c r="S729" s="12">
        <f t="shared" si="81"/>
        <v>0</v>
      </c>
      <c r="T729" s="12">
        <f t="shared" si="82"/>
        <v>0</v>
      </c>
      <c r="U729" s="14" t="str">
        <f t="shared" si="83"/>
        <v/>
      </c>
    </row>
    <row r="730" spans="12:21" x14ac:dyDescent="0.25">
      <c r="L730" s="18">
        <f t="shared" si="78"/>
        <v>0</v>
      </c>
      <c r="M730" s="13" t="e">
        <f>VLOOKUP(G730,Sell!G:L,1,0)</f>
        <v>#N/A</v>
      </c>
      <c r="N730" s="13">
        <f>IFERROR(VLOOKUP(G730,Sell!G:L,2,0),0)</f>
        <v>0</v>
      </c>
      <c r="O730" s="12">
        <f>IFERROR(VLOOKUP(G730,Sell!G:L,6,0),0)</f>
        <v>0</v>
      </c>
      <c r="P730" s="13">
        <f t="shared" si="77"/>
        <v>0</v>
      </c>
      <c r="Q730" s="12">
        <f t="shared" si="79"/>
        <v>0</v>
      </c>
      <c r="R730" s="12">
        <f t="shared" si="80"/>
        <v>0</v>
      </c>
      <c r="S730" s="12">
        <f t="shared" si="81"/>
        <v>0</v>
      </c>
      <c r="T730" s="12">
        <f t="shared" si="82"/>
        <v>0</v>
      </c>
      <c r="U730" s="14" t="str">
        <f t="shared" si="83"/>
        <v/>
      </c>
    </row>
    <row r="731" spans="12:21" x14ac:dyDescent="0.25">
      <c r="L731" s="18">
        <f t="shared" si="78"/>
        <v>0</v>
      </c>
      <c r="M731" s="13" t="e">
        <f>VLOOKUP(G731,Sell!G:L,1,0)</f>
        <v>#N/A</v>
      </c>
      <c r="N731" s="13">
        <f>IFERROR(VLOOKUP(G731,Sell!G:L,2,0),0)</f>
        <v>0</v>
      </c>
      <c r="O731" s="12">
        <f>IFERROR(VLOOKUP(G731,Sell!G:L,6,0),0)</f>
        <v>0</v>
      </c>
      <c r="P731" s="13">
        <f t="shared" si="77"/>
        <v>0</v>
      </c>
      <c r="Q731" s="12">
        <f t="shared" si="79"/>
        <v>0</v>
      </c>
      <c r="R731" s="12">
        <f t="shared" si="80"/>
        <v>0</v>
      </c>
      <c r="S731" s="12">
        <f t="shared" si="81"/>
        <v>0</v>
      </c>
      <c r="T731" s="12">
        <f t="shared" si="82"/>
        <v>0</v>
      </c>
      <c r="U731" s="14" t="str">
        <f t="shared" si="83"/>
        <v/>
      </c>
    </row>
    <row r="732" spans="12:21" x14ac:dyDescent="0.25">
      <c r="L732" s="18">
        <f t="shared" si="78"/>
        <v>0</v>
      </c>
      <c r="M732" s="13" t="e">
        <f>VLOOKUP(G732,Sell!G:L,1,0)</f>
        <v>#N/A</v>
      </c>
      <c r="N732" s="13">
        <f>IFERROR(VLOOKUP(G732,Sell!G:L,2,0),0)</f>
        <v>0</v>
      </c>
      <c r="O732" s="12">
        <f>IFERROR(VLOOKUP(G732,Sell!G:L,6,0),0)</f>
        <v>0</v>
      </c>
      <c r="P732" s="13">
        <f t="shared" si="77"/>
        <v>0</v>
      </c>
      <c r="Q732" s="12">
        <f t="shared" si="79"/>
        <v>0</v>
      </c>
      <c r="R732" s="12">
        <f t="shared" si="80"/>
        <v>0</v>
      </c>
      <c r="S732" s="12">
        <f t="shared" si="81"/>
        <v>0</v>
      </c>
      <c r="T732" s="12">
        <f t="shared" si="82"/>
        <v>0</v>
      </c>
      <c r="U732" s="14" t="str">
        <f t="shared" si="83"/>
        <v/>
      </c>
    </row>
    <row r="733" spans="12:21" x14ac:dyDescent="0.25">
      <c r="L733" s="18">
        <f t="shared" si="78"/>
        <v>0</v>
      </c>
      <c r="M733" s="13" t="e">
        <f>VLOOKUP(G733,Sell!G:L,1,0)</f>
        <v>#N/A</v>
      </c>
      <c r="N733" s="13">
        <f>IFERROR(VLOOKUP(G733,Sell!G:L,2,0),0)</f>
        <v>0</v>
      </c>
      <c r="O733" s="12">
        <f>IFERROR(VLOOKUP(G733,Sell!G:L,6,0),0)</f>
        <v>0</v>
      </c>
      <c r="P733" s="13">
        <f t="shared" si="77"/>
        <v>0</v>
      </c>
      <c r="Q733" s="12">
        <f t="shared" si="79"/>
        <v>0</v>
      </c>
      <c r="R733" s="12">
        <f t="shared" si="80"/>
        <v>0</v>
      </c>
      <c r="S733" s="12">
        <f t="shared" si="81"/>
        <v>0</v>
      </c>
      <c r="T733" s="12">
        <f t="shared" si="82"/>
        <v>0</v>
      </c>
      <c r="U733" s="14" t="str">
        <f t="shared" si="83"/>
        <v/>
      </c>
    </row>
    <row r="734" spans="12:21" x14ac:dyDescent="0.25">
      <c r="L734" s="18">
        <f t="shared" si="78"/>
        <v>0</v>
      </c>
      <c r="M734" s="13" t="e">
        <f>VLOOKUP(G734,Sell!G:L,1,0)</f>
        <v>#N/A</v>
      </c>
      <c r="N734" s="13">
        <f>IFERROR(VLOOKUP(G734,Sell!G:L,2,0),0)</f>
        <v>0</v>
      </c>
      <c r="O734" s="12">
        <f>IFERROR(VLOOKUP(G734,Sell!G:L,6,0),0)</f>
        <v>0</v>
      </c>
      <c r="P734" s="13">
        <f t="shared" si="77"/>
        <v>0</v>
      </c>
      <c r="Q734" s="12">
        <f t="shared" si="79"/>
        <v>0</v>
      </c>
      <c r="R734" s="12">
        <f t="shared" si="80"/>
        <v>0</v>
      </c>
      <c r="S734" s="12">
        <f t="shared" si="81"/>
        <v>0</v>
      </c>
      <c r="T734" s="12">
        <f t="shared" si="82"/>
        <v>0</v>
      </c>
      <c r="U734" s="14" t="str">
        <f t="shared" si="83"/>
        <v/>
      </c>
    </row>
    <row r="735" spans="12:21" x14ac:dyDescent="0.25">
      <c r="L735" s="18">
        <f t="shared" si="78"/>
        <v>0</v>
      </c>
      <c r="M735" s="13" t="e">
        <f>VLOOKUP(G735,Sell!G:L,1,0)</f>
        <v>#N/A</v>
      </c>
      <c r="N735" s="13">
        <f>IFERROR(VLOOKUP(G735,Sell!G:L,2,0),0)</f>
        <v>0</v>
      </c>
      <c r="O735" s="12">
        <f>IFERROR(VLOOKUP(G735,Sell!G:L,6,0),0)</f>
        <v>0</v>
      </c>
      <c r="P735" s="13">
        <f t="shared" si="77"/>
        <v>0</v>
      </c>
      <c r="Q735" s="12">
        <f t="shared" si="79"/>
        <v>0</v>
      </c>
      <c r="R735" s="12">
        <f t="shared" si="80"/>
        <v>0</v>
      </c>
      <c r="S735" s="12">
        <f t="shared" si="81"/>
        <v>0</v>
      </c>
      <c r="T735" s="12">
        <f t="shared" si="82"/>
        <v>0</v>
      </c>
      <c r="U735" s="14" t="str">
        <f t="shared" si="83"/>
        <v/>
      </c>
    </row>
    <row r="736" spans="12:21" x14ac:dyDescent="0.25">
      <c r="L736" s="18">
        <f t="shared" si="78"/>
        <v>0</v>
      </c>
      <c r="M736" s="13" t="e">
        <f>VLOOKUP(G736,Sell!G:L,1,0)</f>
        <v>#N/A</v>
      </c>
      <c r="N736" s="13">
        <f>IFERROR(VLOOKUP(G736,Sell!G:L,2,0),0)</f>
        <v>0</v>
      </c>
      <c r="O736" s="12">
        <f>IFERROR(VLOOKUP(G736,Sell!G:L,6,0),0)</f>
        <v>0</v>
      </c>
      <c r="P736" s="13">
        <f t="shared" si="77"/>
        <v>0</v>
      </c>
      <c r="Q736" s="12">
        <f t="shared" si="79"/>
        <v>0</v>
      </c>
      <c r="R736" s="12">
        <f t="shared" si="80"/>
        <v>0</v>
      </c>
      <c r="S736" s="12">
        <f t="shared" si="81"/>
        <v>0</v>
      </c>
      <c r="T736" s="12">
        <f t="shared" si="82"/>
        <v>0</v>
      </c>
      <c r="U736" s="14" t="str">
        <f t="shared" si="83"/>
        <v/>
      </c>
    </row>
    <row r="737" spans="12:21" x14ac:dyDescent="0.25">
      <c r="L737" s="18">
        <f t="shared" si="78"/>
        <v>0</v>
      </c>
      <c r="M737" s="13" t="e">
        <f>VLOOKUP(G737,Sell!G:L,1,0)</f>
        <v>#N/A</v>
      </c>
      <c r="N737" s="13">
        <f>IFERROR(VLOOKUP(G737,Sell!G:L,2,0),0)</f>
        <v>0</v>
      </c>
      <c r="O737" s="12">
        <f>IFERROR(VLOOKUP(G737,Sell!G:L,6,0),0)</f>
        <v>0</v>
      </c>
      <c r="P737" s="13">
        <f t="shared" si="77"/>
        <v>0</v>
      </c>
      <c r="Q737" s="12">
        <f t="shared" si="79"/>
        <v>0</v>
      </c>
      <c r="R737" s="12">
        <f t="shared" si="80"/>
        <v>0</v>
      </c>
      <c r="S737" s="12">
        <f t="shared" si="81"/>
        <v>0</v>
      </c>
      <c r="T737" s="12">
        <f t="shared" si="82"/>
        <v>0</v>
      </c>
      <c r="U737" s="14" t="str">
        <f t="shared" si="83"/>
        <v/>
      </c>
    </row>
    <row r="738" spans="12:21" x14ac:dyDescent="0.25">
      <c r="L738" s="18">
        <f t="shared" si="78"/>
        <v>0</v>
      </c>
      <c r="M738" s="13" t="e">
        <f>VLOOKUP(G738,Sell!G:L,1,0)</f>
        <v>#N/A</v>
      </c>
      <c r="N738" s="13">
        <f>IFERROR(VLOOKUP(G738,Sell!G:L,2,0),0)</f>
        <v>0</v>
      </c>
      <c r="O738" s="12">
        <f>IFERROR(VLOOKUP(G738,Sell!G:L,6,0),0)</f>
        <v>0</v>
      </c>
      <c r="P738" s="13">
        <f t="shared" si="77"/>
        <v>0</v>
      </c>
      <c r="Q738" s="12">
        <f t="shared" si="79"/>
        <v>0</v>
      </c>
      <c r="R738" s="12">
        <f t="shared" si="80"/>
        <v>0</v>
      </c>
      <c r="S738" s="12">
        <f t="shared" si="81"/>
        <v>0</v>
      </c>
      <c r="T738" s="12">
        <f t="shared" si="82"/>
        <v>0</v>
      </c>
      <c r="U738" s="14" t="str">
        <f t="shared" si="83"/>
        <v/>
      </c>
    </row>
    <row r="739" spans="12:21" x14ac:dyDescent="0.25">
      <c r="L739" s="18">
        <f t="shared" si="78"/>
        <v>0</v>
      </c>
      <c r="M739" s="13" t="e">
        <f>VLOOKUP(G739,Sell!G:L,1,0)</f>
        <v>#N/A</v>
      </c>
      <c r="N739" s="13">
        <f>IFERROR(VLOOKUP(G739,Sell!G:L,2,0),0)</f>
        <v>0</v>
      </c>
      <c r="O739" s="12">
        <f>IFERROR(VLOOKUP(G739,Sell!G:L,6,0),0)</f>
        <v>0</v>
      </c>
      <c r="P739" s="13">
        <f t="shared" si="77"/>
        <v>0</v>
      </c>
      <c r="Q739" s="12">
        <f t="shared" si="79"/>
        <v>0</v>
      </c>
      <c r="R739" s="12">
        <f t="shared" si="80"/>
        <v>0</v>
      </c>
      <c r="S739" s="12">
        <f t="shared" si="81"/>
        <v>0</v>
      </c>
      <c r="T739" s="12">
        <f t="shared" si="82"/>
        <v>0</v>
      </c>
      <c r="U739" s="14" t="str">
        <f t="shared" si="83"/>
        <v/>
      </c>
    </row>
    <row r="740" spans="12:21" x14ac:dyDescent="0.25">
      <c r="L740" s="18">
        <f t="shared" si="78"/>
        <v>0</v>
      </c>
      <c r="M740" s="13" t="e">
        <f>VLOOKUP(G740,Sell!G:L,1,0)</f>
        <v>#N/A</v>
      </c>
      <c r="N740" s="13">
        <f>IFERROR(VLOOKUP(G740,Sell!G:L,2,0),0)</f>
        <v>0</v>
      </c>
      <c r="O740" s="12">
        <f>IFERROR(VLOOKUP(G740,Sell!G:L,6,0),0)</f>
        <v>0</v>
      </c>
      <c r="P740" s="13">
        <f t="shared" si="77"/>
        <v>0</v>
      </c>
      <c r="Q740" s="12">
        <f t="shared" si="79"/>
        <v>0</v>
      </c>
      <c r="R740" s="12">
        <f t="shared" si="80"/>
        <v>0</v>
      </c>
      <c r="S740" s="12">
        <f t="shared" si="81"/>
        <v>0</v>
      </c>
      <c r="T740" s="12">
        <f t="shared" si="82"/>
        <v>0</v>
      </c>
      <c r="U740" s="14" t="str">
        <f t="shared" si="83"/>
        <v/>
      </c>
    </row>
    <row r="741" spans="12:21" x14ac:dyDescent="0.25">
      <c r="L741" s="18">
        <f t="shared" si="78"/>
        <v>0</v>
      </c>
      <c r="M741" s="13" t="e">
        <f>VLOOKUP(G741,Sell!G:L,1,0)</f>
        <v>#N/A</v>
      </c>
      <c r="N741" s="13">
        <f>IFERROR(VLOOKUP(G741,Sell!G:L,2,0),0)</f>
        <v>0</v>
      </c>
      <c r="O741" s="12">
        <f>IFERROR(VLOOKUP(G741,Sell!G:L,6,0),0)</f>
        <v>0</v>
      </c>
      <c r="P741" s="13">
        <f t="shared" si="77"/>
        <v>0</v>
      </c>
      <c r="Q741" s="12">
        <f t="shared" si="79"/>
        <v>0</v>
      </c>
      <c r="R741" s="12">
        <f t="shared" si="80"/>
        <v>0</v>
      </c>
      <c r="S741" s="12">
        <f t="shared" si="81"/>
        <v>0</v>
      </c>
      <c r="T741" s="12">
        <f t="shared" si="82"/>
        <v>0</v>
      </c>
      <c r="U741" s="14" t="str">
        <f t="shared" si="83"/>
        <v/>
      </c>
    </row>
    <row r="742" spans="12:21" x14ac:dyDescent="0.25">
      <c r="L742" s="18">
        <f t="shared" si="78"/>
        <v>0</v>
      </c>
      <c r="M742" s="13" t="e">
        <f>VLOOKUP(G742,Sell!G:L,1,0)</f>
        <v>#N/A</v>
      </c>
      <c r="N742" s="13">
        <f>IFERROR(VLOOKUP(G742,Sell!G:L,2,0),0)</f>
        <v>0</v>
      </c>
      <c r="O742" s="12">
        <f>IFERROR(VLOOKUP(G742,Sell!G:L,6,0),0)</f>
        <v>0</v>
      </c>
      <c r="P742" s="13">
        <f t="shared" si="77"/>
        <v>0</v>
      </c>
      <c r="Q742" s="12">
        <f t="shared" si="79"/>
        <v>0</v>
      </c>
      <c r="R742" s="12">
        <f t="shared" si="80"/>
        <v>0</v>
      </c>
      <c r="S742" s="12">
        <f t="shared" si="81"/>
        <v>0</v>
      </c>
      <c r="T742" s="12">
        <f t="shared" si="82"/>
        <v>0</v>
      </c>
      <c r="U742" s="14" t="str">
        <f t="shared" si="83"/>
        <v/>
      </c>
    </row>
    <row r="743" spans="12:21" x14ac:dyDescent="0.25">
      <c r="L743" s="18">
        <f t="shared" si="78"/>
        <v>0</v>
      </c>
      <c r="M743" s="13" t="e">
        <f>VLOOKUP(G743,Sell!G:L,1,0)</f>
        <v>#N/A</v>
      </c>
      <c r="N743" s="13">
        <f>IFERROR(VLOOKUP(G743,Sell!G:L,2,0),0)</f>
        <v>0</v>
      </c>
      <c r="O743" s="12">
        <f>IFERROR(VLOOKUP(G743,Sell!G:L,6,0),0)</f>
        <v>0</v>
      </c>
      <c r="P743" s="13">
        <f t="shared" si="77"/>
        <v>0</v>
      </c>
      <c r="Q743" s="12">
        <f t="shared" si="79"/>
        <v>0</v>
      </c>
      <c r="R743" s="12">
        <f t="shared" si="80"/>
        <v>0</v>
      </c>
      <c r="S743" s="12">
        <f t="shared" si="81"/>
        <v>0</v>
      </c>
      <c r="T743" s="12">
        <f t="shared" si="82"/>
        <v>0</v>
      </c>
      <c r="U743" s="14" t="str">
        <f t="shared" si="83"/>
        <v/>
      </c>
    </row>
    <row r="744" spans="12:21" x14ac:dyDescent="0.25">
      <c r="L744" s="18">
        <f t="shared" si="78"/>
        <v>0</v>
      </c>
      <c r="M744" s="13" t="e">
        <f>VLOOKUP(G744,Sell!G:L,1,0)</f>
        <v>#N/A</v>
      </c>
      <c r="N744" s="13">
        <f>IFERROR(VLOOKUP(G744,Sell!G:L,2,0),0)</f>
        <v>0</v>
      </c>
      <c r="O744" s="12">
        <f>IFERROR(VLOOKUP(G744,Sell!G:L,6,0),0)</f>
        <v>0</v>
      </c>
      <c r="P744" s="13">
        <f t="shared" si="77"/>
        <v>0</v>
      </c>
      <c r="Q744" s="12">
        <f t="shared" si="79"/>
        <v>0</v>
      </c>
      <c r="R744" s="12">
        <f t="shared" si="80"/>
        <v>0</v>
      </c>
      <c r="S744" s="12">
        <f t="shared" si="81"/>
        <v>0</v>
      </c>
      <c r="T744" s="12">
        <f t="shared" si="82"/>
        <v>0</v>
      </c>
      <c r="U744" s="14" t="str">
        <f t="shared" si="83"/>
        <v/>
      </c>
    </row>
    <row r="745" spans="12:21" x14ac:dyDescent="0.25">
      <c r="L745" s="18">
        <f t="shared" si="78"/>
        <v>0</v>
      </c>
      <c r="M745" s="13" t="e">
        <f>VLOOKUP(G745,Sell!G:L,1,0)</f>
        <v>#N/A</v>
      </c>
      <c r="N745" s="13">
        <f>IFERROR(VLOOKUP(G745,Sell!G:L,2,0),0)</f>
        <v>0</v>
      </c>
      <c r="O745" s="12">
        <f>IFERROR(VLOOKUP(G745,Sell!G:L,6,0),0)</f>
        <v>0</v>
      </c>
      <c r="P745" s="13">
        <f t="shared" si="77"/>
        <v>0</v>
      </c>
      <c r="Q745" s="12">
        <f t="shared" si="79"/>
        <v>0</v>
      </c>
      <c r="R745" s="12">
        <f t="shared" si="80"/>
        <v>0</v>
      </c>
      <c r="S745" s="12">
        <f t="shared" si="81"/>
        <v>0</v>
      </c>
      <c r="T745" s="12">
        <f t="shared" si="82"/>
        <v>0</v>
      </c>
      <c r="U745" s="14" t="str">
        <f t="shared" si="83"/>
        <v/>
      </c>
    </row>
    <row r="746" spans="12:21" x14ac:dyDescent="0.25">
      <c r="L746" s="18">
        <f t="shared" si="78"/>
        <v>0</v>
      </c>
      <c r="M746" s="13" t="e">
        <f>VLOOKUP(G746,Sell!G:L,1,0)</f>
        <v>#N/A</v>
      </c>
      <c r="N746" s="13">
        <f>IFERROR(VLOOKUP(G746,Sell!G:L,2,0),0)</f>
        <v>0</v>
      </c>
      <c r="O746" s="12">
        <f>IFERROR(VLOOKUP(G746,Sell!G:L,6,0),0)</f>
        <v>0</v>
      </c>
      <c r="P746" s="13">
        <f t="shared" si="77"/>
        <v>0</v>
      </c>
      <c r="Q746" s="12">
        <f t="shared" si="79"/>
        <v>0</v>
      </c>
      <c r="R746" s="12">
        <f t="shared" si="80"/>
        <v>0</v>
      </c>
      <c r="S746" s="12">
        <f t="shared" si="81"/>
        <v>0</v>
      </c>
      <c r="T746" s="12">
        <f t="shared" si="82"/>
        <v>0</v>
      </c>
      <c r="U746" s="14" t="str">
        <f t="shared" si="83"/>
        <v/>
      </c>
    </row>
    <row r="747" spans="12:21" x14ac:dyDescent="0.25">
      <c r="L747" s="18">
        <f t="shared" si="78"/>
        <v>0</v>
      </c>
      <c r="M747" s="13" t="e">
        <f>VLOOKUP(G747,Sell!G:L,1,0)</f>
        <v>#N/A</v>
      </c>
      <c r="N747" s="13">
        <f>IFERROR(VLOOKUP(G747,Sell!G:L,2,0),0)</f>
        <v>0</v>
      </c>
      <c r="O747" s="12">
        <f>IFERROR(VLOOKUP(G747,Sell!G:L,6,0),0)</f>
        <v>0</v>
      </c>
      <c r="P747" s="13">
        <f t="shared" si="77"/>
        <v>0</v>
      </c>
      <c r="Q747" s="12">
        <f t="shared" si="79"/>
        <v>0</v>
      </c>
      <c r="R747" s="12">
        <f t="shared" si="80"/>
        <v>0</v>
      </c>
      <c r="S747" s="12">
        <f t="shared" si="81"/>
        <v>0</v>
      </c>
      <c r="T747" s="12">
        <f t="shared" si="82"/>
        <v>0</v>
      </c>
      <c r="U747" s="14" t="str">
        <f t="shared" si="83"/>
        <v/>
      </c>
    </row>
    <row r="748" spans="12:21" x14ac:dyDescent="0.25">
      <c r="L748" s="18">
        <f t="shared" si="78"/>
        <v>0</v>
      </c>
      <c r="M748" s="13" t="e">
        <f>VLOOKUP(G748,Sell!G:L,1,0)</f>
        <v>#N/A</v>
      </c>
      <c r="N748" s="13">
        <f>IFERROR(VLOOKUP(G748,Sell!G:L,2,0),0)</f>
        <v>0</v>
      </c>
      <c r="O748" s="12">
        <f>IFERROR(VLOOKUP(G748,Sell!G:L,6,0),0)</f>
        <v>0</v>
      </c>
      <c r="P748" s="13">
        <f t="shared" si="77"/>
        <v>0</v>
      </c>
      <c r="Q748" s="12">
        <f t="shared" si="79"/>
        <v>0</v>
      </c>
      <c r="R748" s="12">
        <f t="shared" si="80"/>
        <v>0</v>
      </c>
      <c r="S748" s="12">
        <f t="shared" si="81"/>
        <v>0</v>
      </c>
      <c r="T748" s="12">
        <f t="shared" si="82"/>
        <v>0</v>
      </c>
      <c r="U748" s="14" t="str">
        <f t="shared" si="83"/>
        <v/>
      </c>
    </row>
    <row r="749" spans="12:21" x14ac:dyDescent="0.25">
      <c r="L749" s="18">
        <f t="shared" si="78"/>
        <v>0</v>
      </c>
      <c r="M749" s="13" t="e">
        <f>VLOOKUP(G749,Sell!G:L,1,0)</f>
        <v>#N/A</v>
      </c>
      <c r="N749" s="13">
        <f>IFERROR(VLOOKUP(G749,Sell!G:L,2,0),0)</f>
        <v>0</v>
      </c>
      <c r="O749" s="12">
        <f>IFERROR(VLOOKUP(G749,Sell!G:L,6,0),0)</f>
        <v>0</v>
      </c>
      <c r="P749" s="13">
        <f t="shared" si="77"/>
        <v>0</v>
      </c>
      <c r="Q749" s="12">
        <f t="shared" si="79"/>
        <v>0</v>
      </c>
      <c r="R749" s="12">
        <f t="shared" si="80"/>
        <v>0</v>
      </c>
      <c r="S749" s="12">
        <f t="shared" si="81"/>
        <v>0</v>
      </c>
      <c r="T749" s="12">
        <f t="shared" si="82"/>
        <v>0</v>
      </c>
      <c r="U749" s="14" t="str">
        <f t="shared" si="83"/>
        <v/>
      </c>
    </row>
    <row r="750" spans="12:21" x14ac:dyDescent="0.25">
      <c r="L750" s="18">
        <f t="shared" si="78"/>
        <v>0</v>
      </c>
      <c r="M750" s="13" t="e">
        <f>VLOOKUP(G750,Sell!G:L,1,0)</f>
        <v>#N/A</v>
      </c>
      <c r="N750" s="13">
        <f>IFERROR(VLOOKUP(G750,Sell!G:L,2,0),0)</f>
        <v>0</v>
      </c>
      <c r="O750" s="12">
        <f>IFERROR(VLOOKUP(G750,Sell!G:L,6,0),0)</f>
        <v>0</v>
      </c>
      <c r="P750" s="13">
        <f t="shared" si="77"/>
        <v>0</v>
      </c>
      <c r="Q750" s="12">
        <f t="shared" si="79"/>
        <v>0</v>
      </c>
      <c r="R750" s="12">
        <f t="shared" si="80"/>
        <v>0</v>
      </c>
      <c r="S750" s="12">
        <f t="shared" si="81"/>
        <v>0</v>
      </c>
      <c r="T750" s="12">
        <f t="shared" si="82"/>
        <v>0</v>
      </c>
      <c r="U750" s="14" t="str">
        <f t="shared" si="83"/>
        <v/>
      </c>
    </row>
    <row r="751" spans="12:21" x14ac:dyDescent="0.25">
      <c r="L751" s="18">
        <f t="shared" si="78"/>
        <v>0</v>
      </c>
      <c r="M751" s="13" t="e">
        <f>VLOOKUP(G751,Sell!G:L,1,0)</f>
        <v>#N/A</v>
      </c>
      <c r="N751" s="13">
        <f>IFERROR(VLOOKUP(G751,Sell!G:L,2,0),0)</f>
        <v>0</v>
      </c>
      <c r="O751" s="12">
        <f>IFERROR(VLOOKUP(G751,Sell!G:L,6,0),0)</f>
        <v>0</v>
      </c>
      <c r="P751" s="13">
        <f t="shared" si="77"/>
        <v>0</v>
      </c>
      <c r="Q751" s="12">
        <f t="shared" si="79"/>
        <v>0</v>
      </c>
      <c r="R751" s="12">
        <f t="shared" si="80"/>
        <v>0</v>
      </c>
      <c r="S751" s="12">
        <f t="shared" si="81"/>
        <v>0</v>
      </c>
      <c r="T751" s="12">
        <f t="shared" si="82"/>
        <v>0</v>
      </c>
      <c r="U751" s="14" t="str">
        <f t="shared" si="83"/>
        <v/>
      </c>
    </row>
    <row r="752" spans="12:21" x14ac:dyDescent="0.25">
      <c r="L752" s="18">
        <f t="shared" si="78"/>
        <v>0</v>
      </c>
      <c r="M752" s="13" t="e">
        <f>VLOOKUP(G752,Sell!G:L,1,0)</f>
        <v>#N/A</v>
      </c>
      <c r="N752" s="13">
        <f>IFERROR(VLOOKUP(G752,Sell!G:L,2,0),0)</f>
        <v>0</v>
      </c>
      <c r="O752" s="12">
        <f>IFERROR(VLOOKUP(G752,Sell!G:L,6,0),0)</f>
        <v>0</v>
      </c>
      <c r="P752" s="13">
        <f t="shared" si="77"/>
        <v>0</v>
      </c>
      <c r="Q752" s="12">
        <f t="shared" si="79"/>
        <v>0</v>
      </c>
      <c r="R752" s="12">
        <f t="shared" si="80"/>
        <v>0</v>
      </c>
      <c r="S752" s="12">
        <f t="shared" si="81"/>
        <v>0</v>
      </c>
      <c r="T752" s="12">
        <f t="shared" si="82"/>
        <v>0</v>
      </c>
      <c r="U752" s="14" t="str">
        <f t="shared" si="83"/>
        <v/>
      </c>
    </row>
    <row r="753" spans="12:21" x14ac:dyDescent="0.25">
      <c r="L753" s="18">
        <f t="shared" si="78"/>
        <v>0</v>
      </c>
      <c r="M753" s="13" t="e">
        <f>VLOOKUP(G753,Sell!G:L,1,0)</f>
        <v>#N/A</v>
      </c>
      <c r="N753" s="13">
        <f>IFERROR(VLOOKUP(G753,Sell!G:L,2,0),0)</f>
        <v>0</v>
      </c>
      <c r="O753" s="12">
        <f>IFERROR(VLOOKUP(G753,Sell!G:L,6,0),0)</f>
        <v>0</v>
      </c>
      <c r="P753" s="13">
        <f t="shared" si="77"/>
        <v>0</v>
      </c>
      <c r="Q753" s="12">
        <f t="shared" si="79"/>
        <v>0</v>
      </c>
      <c r="R753" s="12">
        <f t="shared" si="80"/>
        <v>0</v>
      </c>
      <c r="S753" s="12">
        <f t="shared" si="81"/>
        <v>0</v>
      </c>
      <c r="T753" s="12">
        <f t="shared" si="82"/>
        <v>0</v>
      </c>
      <c r="U753" s="14" t="str">
        <f t="shared" si="83"/>
        <v/>
      </c>
    </row>
    <row r="754" spans="12:21" x14ac:dyDescent="0.25">
      <c r="L754" s="18">
        <f t="shared" si="78"/>
        <v>0</v>
      </c>
      <c r="M754" s="13" t="e">
        <f>VLOOKUP(G754,Sell!G:L,1,0)</f>
        <v>#N/A</v>
      </c>
      <c r="N754" s="13">
        <f>IFERROR(VLOOKUP(G754,Sell!G:L,2,0),0)</f>
        <v>0</v>
      </c>
      <c r="O754" s="12">
        <f>IFERROR(VLOOKUP(G754,Sell!G:L,6,0),0)</f>
        <v>0</v>
      </c>
      <c r="P754" s="13">
        <f t="shared" si="77"/>
        <v>0</v>
      </c>
      <c r="Q754" s="12">
        <f t="shared" si="79"/>
        <v>0</v>
      </c>
      <c r="R754" s="12">
        <f t="shared" si="80"/>
        <v>0</v>
      </c>
      <c r="S754" s="12">
        <f t="shared" si="81"/>
        <v>0</v>
      </c>
      <c r="T754" s="12">
        <f t="shared" si="82"/>
        <v>0</v>
      </c>
      <c r="U754" s="14" t="str">
        <f t="shared" si="83"/>
        <v/>
      </c>
    </row>
    <row r="755" spans="12:21" x14ac:dyDescent="0.25">
      <c r="L755" s="18">
        <f t="shared" si="78"/>
        <v>0</v>
      </c>
      <c r="M755" s="13" t="e">
        <f>VLOOKUP(G755,Sell!G:L,1,0)</f>
        <v>#N/A</v>
      </c>
      <c r="N755" s="13">
        <f>IFERROR(VLOOKUP(G755,Sell!G:L,2,0),0)</f>
        <v>0</v>
      </c>
      <c r="O755" s="12">
        <f>IFERROR(VLOOKUP(G755,Sell!G:L,6,0),0)</f>
        <v>0</v>
      </c>
      <c r="P755" s="13">
        <f t="shared" si="77"/>
        <v>0</v>
      </c>
      <c r="Q755" s="12">
        <f t="shared" si="79"/>
        <v>0</v>
      </c>
      <c r="R755" s="12">
        <f t="shared" si="80"/>
        <v>0</v>
      </c>
      <c r="S755" s="12">
        <f t="shared" si="81"/>
        <v>0</v>
      </c>
      <c r="T755" s="12">
        <f t="shared" si="82"/>
        <v>0</v>
      </c>
      <c r="U755" s="14" t="str">
        <f t="shared" si="83"/>
        <v/>
      </c>
    </row>
    <row r="756" spans="12:21" x14ac:dyDescent="0.25">
      <c r="L756" s="18">
        <f t="shared" si="78"/>
        <v>0</v>
      </c>
      <c r="M756" s="13" t="e">
        <f>VLOOKUP(G756,Sell!G:L,1,0)</f>
        <v>#N/A</v>
      </c>
      <c r="N756" s="13">
        <f>IFERROR(VLOOKUP(G756,Sell!G:L,2,0),0)</f>
        <v>0</v>
      </c>
      <c r="O756" s="12">
        <f>IFERROR(VLOOKUP(G756,Sell!G:L,6,0),0)</f>
        <v>0</v>
      </c>
      <c r="P756" s="13">
        <f t="shared" si="77"/>
        <v>0</v>
      </c>
      <c r="Q756" s="12">
        <f t="shared" si="79"/>
        <v>0</v>
      </c>
      <c r="R756" s="12">
        <f t="shared" si="80"/>
        <v>0</v>
      </c>
      <c r="S756" s="12">
        <f t="shared" si="81"/>
        <v>0</v>
      </c>
      <c r="T756" s="12">
        <f t="shared" si="82"/>
        <v>0</v>
      </c>
      <c r="U756" s="14" t="str">
        <f t="shared" si="83"/>
        <v/>
      </c>
    </row>
    <row r="757" spans="12:21" x14ac:dyDescent="0.25">
      <c r="L757" s="18">
        <f t="shared" si="78"/>
        <v>0</v>
      </c>
      <c r="M757" s="13" t="e">
        <f>VLOOKUP(G757,Sell!G:L,1,0)</f>
        <v>#N/A</v>
      </c>
      <c r="N757" s="13">
        <f>IFERROR(VLOOKUP(G757,Sell!G:L,2,0),0)</f>
        <v>0</v>
      </c>
      <c r="O757" s="12">
        <f>IFERROR(VLOOKUP(G757,Sell!G:L,6,0),0)</f>
        <v>0</v>
      </c>
      <c r="P757" s="13">
        <f t="shared" si="77"/>
        <v>0</v>
      </c>
      <c r="Q757" s="12">
        <f t="shared" si="79"/>
        <v>0</v>
      </c>
      <c r="R757" s="12">
        <f t="shared" si="80"/>
        <v>0</v>
      </c>
      <c r="S757" s="12">
        <f t="shared" si="81"/>
        <v>0</v>
      </c>
      <c r="T757" s="12">
        <f t="shared" si="82"/>
        <v>0</v>
      </c>
      <c r="U757" s="14" t="str">
        <f t="shared" si="83"/>
        <v/>
      </c>
    </row>
    <row r="758" spans="12:21" x14ac:dyDescent="0.25">
      <c r="L758" s="18">
        <f t="shared" si="78"/>
        <v>0</v>
      </c>
      <c r="M758" s="13" t="e">
        <f>VLOOKUP(G758,Sell!G:L,1,0)</f>
        <v>#N/A</v>
      </c>
      <c r="N758" s="13">
        <f>IFERROR(VLOOKUP(G758,Sell!G:L,2,0),0)</f>
        <v>0</v>
      </c>
      <c r="O758" s="12">
        <f>IFERROR(VLOOKUP(G758,Sell!G:L,6,0),0)</f>
        <v>0</v>
      </c>
      <c r="P758" s="13">
        <f t="shared" si="77"/>
        <v>0</v>
      </c>
      <c r="Q758" s="12">
        <f t="shared" si="79"/>
        <v>0</v>
      </c>
      <c r="R758" s="12">
        <f t="shared" si="80"/>
        <v>0</v>
      </c>
      <c r="S758" s="12">
        <f t="shared" si="81"/>
        <v>0</v>
      </c>
      <c r="T758" s="12">
        <f t="shared" si="82"/>
        <v>0</v>
      </c>
      <c r="U758" s="14" t="str">
        <f t="shared" si="83"/>
        <v/>
      </c>
    </row>
    <row r="759" spans="12:21" x14ac:dyDescent="0.25">
      <c r="L759" s="18">
        <f t="shared" si="78"/>
        <v>0</v>
      </c>
      <c r="M759" s="13" t="e">
        <f>VLOOKUP(G759,Sell!G:L,1,0)</f>
        <v>#N/A</v>
      </c>
      <c r="N759" s="13">
        <f>IFERROR(VLOOKUP(G759,Sell!G:L,2,0),0)</f>
        <v>0</v>
      </c>
      <c r="O759" s="12">
        <f>IFERROR(VLOOKUP(G759,Sell!G:L,6,0),0)</f>
        <v>0</v>
      </c>
      <c r="P759" s="13">
        <f t="shared" si="77"/>
        <v>0</v>
      </c>
      <c r="Q759" s="12">
        <f t="shared" si="79"/>
        <v>0</v>
      </c>
      <c r="R759" s="12">
        <f t="shared" si="80"/>
        <v>0</v>
      </c>
      <c r="S759" s="12">
        <f t="shared" si="81"/>
        <v>0</v>
      </c>
      <c r="T759" s="12">
        <f t="shared" si="82"/>
        <v>0</v>
      </c>
      <c r="U759" s="14" t="str">
        <f t="shared" si="83"/>
        <v/>
      </c>
    </row>
    <row r="760" spans="12:21" x14ac:dyDescent="0.25">
      <c r="L760" s="18">
        <f t="shared" si="78"/>
        <v>0</v>
      </c>
      <c r="M760" s="13" t="e">
        <f>VLOOKUP(G760,Sell!G:L,1,0)</f>
        <v>#N/A</v>
      </c>
      <c r="N760" s="13">
        <f>IFERROR(VLOOKUP(G760,Sell!G:L,2,0),0)</f>
        <v>0</v>
      </c>
      <c r="O760" s="12">
        <f>IFERROR(VLOOKUP(G760,Sell!G:L,6,0),0)</f>
        <v>0</v>
      </c>
      <c r="P760" s="13">
        <f t="shared" si="77"/>
        <v>0</v>
      </c>
      <c r="Q760" s="12">
        <f t="shared" si="79"/>
        <v>0</v>
      </c>
      <c r="R760" s="12">
        <f t="shared" si="80"/>
        <v>0</v>
      </c>
      <c r="S760" s="12">
        <f t="shared" si="81"/>
        <v>0</v>
      </c>
      <c r="T760" s="12">
        <f t="shared" si="82"/>
        <v>0</v>
      </c>
      <c r="U760" s="14" t="str">
        <f t="shared" si="83"/>
        <v/>
      </c>
    </row>
    <row r="761" spans="12:21" x14ac:dyDescent="0.25">
      <c r="L761" s="18">
        <f t="shared" si="78"/>
        <v>0</v>
      </c>
      <c r="M761" s="13" t="e">
        <f>VLOOKUP(G761,Sell!G:L,1,0)</f>
        <v>#N/A</v>
      </c>
      <c r="N761" s="13">
        <f>IFERROR(VLOOKUP(G761,Sell!G:L,2,0),0)</f>
        <v>0</v>
      </c>
      <c r="O761" s="12">
        <f>IFERROR(VLOOKUP(G761,Sell!G:L,6,0),0)</f>
        <v>0</v>
      </c>
      <c r="P761" s="13">
        <f t="shared" si="77"/>
        <v>0</v>
      </c>
      <c r="Q761" s="12">
        <f t="shared" si="79"/>
        <v>0</v>
      </c>
      <c r="R761" s="12">
        <f t="shared" si="80"/>
        <v>0</v>
      </c>
      <c r="S761" s="12">
        <f t="shared" si="81"/>
        <v>0</v>
      </c>
      <c r="T761" s="12">
        <f t="shared" si="82"/>
        <v>0</v>
      </c>
      <c r="U761" s="14" t="str">
        <f t="shared" si="83"/>
        <v/>
      </c>
    </row>
    <row r="762" spans="12:21" x14ac:dyDescent="0.25">
      <c r="L762" s="18">
        <f t="shared" si="78"/>
        <v>0</v>
      </c>
      <c r="M762" s="13" t="e">
        <f>VLOOKUP(G762,Sell!G:L,1,0)</f>
        <v>#N/A</v>
      </c>
      <c r="N762" s="13">
        <f>IFERROR(VLOOKUP(G762,Sell!G:L,2,0),0)</f>
        <v>0</v>
      </c>
      <c r="O762" s="12">
        <f>IFERROR(VLOOKUP(G762,Sell!G:L,6,0),0)</f>
        <v>0</v>
      </c>
      <c r="P762" s="13">
        <f t="shared" si="77"/>
        <v>0</v>
      </c>
      <c r="Q762" s="12">
        <f t="shared" si="79"/>
        <v>0</v>
      </c>
      <c r="R762" s="12">
        <f t="shared" si="80"/>
        <v>0</v>
      </c>
      <c r="S762" s="12">
        <f t="shared" si="81"/>
        <v>0</v>
      </c>
      <c r="T762" s="12">
        <f t="shared" si="82"/>
        <v>0</v>
      </c>
      <c r="U762" s="14" t="str">
        <f t="shared" si="83"/>
        <v/>
      </c>
    </row>
    <row r="763" spans="12:21" x14ac:dyDescent="0.25">
      <c r="L763" s="18">
        <f t="shared" si="78"/>
        <v>0</v>
      </c>
      <c r="M763" s="13" t="e">
        <f>VLOOKUP(G763,Sell!G:L,1,0)</f>
        <v>#N/A</v>
      </c>
      <c r="N763" s="13">
        <f>IFERROR(VLOOKUP(G763,Sell!G:L,2,0),0)</f>
        <v>0</v>
      </c>
      <c r="O763" s="12">
        <f>IFERROR(VLOOKUP(G763,Sell!G:L,6,0),0)</f>
        <v>0</v>
      </c>
      <c r="P763" s="13">
        <f t="shared" si="77"/>
        <v>0</v>
      </c>
      <c r="Q763" s="12">
        <f t="shared" si="79"/>
        <v>0</v>
      </c>
      <c r="R763" s="12">
        <f t="shared" si="80"/>
        <v>0</v>
      </c>
      <c r="S763" s="12">
        <f t="shared" si="81"/>
        <v>0</v>
      </c>
      <c r="T763" s="12">
        <f t="shared" si="82"/>
        <v>0</v>
      </c>
      <c r="U763" s="14" t="str">
        <f t="shared" si="83"/>
        <v/>
      </c>
    </row>
    <row r="764" spans="12:21" x14ac:dyDescent="0.25">
      <c r="L764" s="18">
        <f t="shared" si="78"/>
        <v>0</v>
      </c>
      <c r="M764" s="13" t="e">
        <f>VLOOKUP(G764,Sell!G:L,1,0)</f>
        <v>#N/A</v>
      </c>
      <c r="N764" s="13">
        <f>IFERROR(VLOOKUP(G764,Sell!G:L,2,0),0)</f>
        <v>0</v>
      </c>
      <c r="O764" s="12">
        <f>IFERROR(VLOOKUP(G764,Sell!G:L,6,0),0)</f>
        <v>0</v>
      </c>
      <c r="P764" s="13">
        <f t="shared" si="77"/>
        <v>0</v>
      </c>
      <c r="Q764" s="12">
        <f t="shared" si="79"/>
        <v>0</v>
      </c>
      <c r="R764" s="12">
        <f t="shared" si="80"/>
        <v>0</v>
      </c>
      <c r="S764" s="12">
        <f t="shared" si="81"/>
        <v>0</v>
      </c>
      <c r="T764" s="12">
        <f t="shared" si="82"/>
        <v>0</v>
      </c>
      <c r="U764" s="14" t="str">
        <f t="shared" si="83"/>
        <v/>
      </c>
    </row>
    <row r="765" spans="12:21" x14ac:dyDescent="0.25">
      <c r="L765" s="18">
        <f t="shared" si="78"/>
        <v>0</v>
      </c>
      <c r="M765" s="13" t="e">
        <f>VLOOKUP(G765,Sell!G:L,1,0)</f>
        <v>#N/A</v>
      </c>
      <c r="N765" s="13">
        <f>IFERROR(VLOOKUP(G765,Sell!G:L,2,0),0)</f>
        <v>0</v>
      </c>
      <c r="O765" s="12">
        <f>IFERROR(VLOOKUP(G765,Sell!G:L,6,0),0)</f>
        <v>0</v>
      </c>
      <c r="P765" s="13">
        <f t="shared" si="77"/>
        <v>0</v>
      </c>
      <c r="Q765" s="12">
        <f t="shared" si="79"/>
        <v>0</v>
      </c>
      <c r="R765" s="12">
        <f t="shared" si="80"/>
        <v>0</v>
      </c>
      <c r="S765" s="12">
        <f t="shared" si="81"/>
        <v>0</v>
      </c>
      <c r="T765" s="12">
        <f t="shared" si="82"/>
        <v>0</v>
      </c>
      <c r="U765" s="14" t="str">
        <f t="shared" si="83"/>
        <v/>
      </c>
    </row>
    <row r="766" spans="12:21" x14ac:dyDescent="0.25">
      <c r="L766" s="18">
        <f t="shared" si="78"/>
        <v>0</v>
      </c>
      <c r="M766" s="13" t="e">
        <f>VLOOKUP(G766,Sell!G:L,1,0)</f>
        <v>#N/A</v>
      </c>
      <c r="N766" s="13">
        <f>IFERROR(VLOOKUP(G766,Sell!G:L,2,0),0)</f>
        <v>0</v>
      </c>
      <c r="O766" s="12">
        <f>IFERROR(VLOOKUP(G766,Sell!G:L,6,0),0)</f>
        <v>0</v>
      </c>
      <c r="P766" s="13">
        <f t="shared" si="77"/>
        <v>0</v>
      </c>
      <c r="Q766" s="12">
        <f t="shared" si="79"/>
        <v>0</v>
      </c>
      <c r="R766" s="12">
        <f t="shared" si="80"/>
        <v>0</v>
      </c>
      <c r="S766" s="12">
        <f t="shared" si="81"/>
        <v>0</v>
      </c>
      <c r="T766" s="12">
        <f t="shared" si="82"/>
        <v>0</v>
      </c>
      <c r="U766" s="14" t="str">
        <f t="shared" si="83"/>
        <v/>
      </c>
    </row>
    <row r="767" spans="12:21" x14ac:dyDescent="0.25">
      <c r="L767" s="18">
        <f t="shared" si="78"/>
        <v>0</v>
      </c>
      <c r="M767" s="13" t="e">
        <f>VLOOKUP(G767,Sell!G:L,1,0)</f>
        <v>#N/A</v>
      </c>
      <c r="N767" s="13">
        <f>IFERROR(VLOOKUP(G767,Sell!G:L,2,0),0)</f>
        <v>0</v>
      </c>
      <c r="O767" s="12">
        <f>IFERROR(VLOOKUP(G767,Sell!G:L,6,0),0)</f>
        <v>0</v>
      </c>
      <c r="P767" s="13">
        <f t="shared" si="77"/>
        <v>0</v>
      </c>
      <c r="Q767" s="12">
        <f t="shared" si="79"/>
        <v>0</v>
      </c>
      <c r="R767" s="12">
        <f t="shared" si="80"/>
        <v>0</v>
      </c>
      <c r="S767" s="12">
        <f t="shared" si="81"/>
        <v>0</v>
      </c>
      <c r="T767" s="12">
        <f t="shared" si="82"/>
        <v>0</v>
      </c>
      <c r="U767" s="14" t="str">
        <f t="shared" si="83"/>
        <v/>
      </c>
    </row>
    <row r="768" spans="12:21" x14ac:dyDescent="0.25">
      <c r="L768" s="18">
        <f t="shared" si="78"/>
        <v>0</v>
      </c>
      <c r="M768" s="13" t="e">
        <f>VLOOKUP(G768,Sell!G:L,1,0)</f>
        <v>#N/A</v>
      </c>
      <c r="N768" s="13">
        <f>IFERROR(VLOOKUP(G768,Sell!G:L,2,0),0)</f>
        <v>0</v>
      </c>
      <c r="O768" s="12">
        <f>IFERROR(VLOOKUP(G768,Sell!G:L,6,0),0)</f>
        <v>0</v>
      </c>
      <c r="P768" s="13">
        <f t="shared" si="77"/>
        <v>0</v>
      </c>
      <c r="Q768" s="12">
        <f t="shared" si="79"/>
        <v>0</v>
      </c>
      <c r="R768" s="12">
        <f t="shared" si="80"/>
        <v>0</v>
      </c>
      <c r="S768" s="12">
        <f t="shared" si="81"/>
        <v>0</v>
      </c>
      <c r="T768" s="12">
        <f t="shared" si="82"/>
        <v>0</v>
      </c>
      <c r="U768" s="14" t="str">
        <f t="shared" si="83"/>
        <v/>
      </c>
    </row>
    <row r="769" spans="12:21" x14ac:dyDescent="0.25">
      <c r="L769" s="18">
        <f t="shared" si="78"/>
        <v>0</v>
      </c>
      <c r="M769" s="13" t="e">
        <f>VLOOKUP(G769,Sell!G:L,1,0)</f>
        <v>#N/A</v>
      </c>
      <c r="N769" s="13">
        <f>IFERROR(VLOOKUP(G769,Sell!G:L,2,0),0)</f>
        <v>0</v>
      </c>
      <c r="O769" s="12">
        <f>IFERROR(VLOOKUP(G769,Sell!G:L,6,0),0)</f>
        <v>0</v>
      </c>
      <c r="P769" s="13">
        <f t="shared" si="77"/>
        <v>0</v>
      </c>
      <c r="Q769" s="12">
        <f t="shared" si="79"/>
        <v>0</v>
      </c>
      <c r="R769" s="12">
        <f t="shared" si="80"/>
        <v>0</v>
      </c>
      <c r="S769" s="12">
        <f t="shared" si="81"/>
        <v>0</v>
      </c>
      <c r="T769" s="12">
        <f t="shared" si="82"/>
        <v>0</v>
      </c>
      <c r="U769" s="14" t="str">
        <f t="shared" si="83"/>
        <v/>
      </c>
    </row>
    <row r="770" spans="12:21" x14ac:dyDescent="0.25">
      <c r="L770" s="18">
        <f t="shared" si="78"/>
        <v>0</v>
      </c>
      <c r="M770" s="13" t="e">
        <f>VLOOKUP(G770,Sell!G:L,1,0)</f>
        <v>#N/A</v>
      </c>
      <c r="N770" s="13">
        <f>IFERROR(VLOOKUP(G770,Sell!G:L,2,0),0)</f>
        <v>0</v>
      </c>
      <c r="O770" s="12">
        <f>IFERROR(VLOOKUP(G770,Sell!G:L,6,0),0)</f>
        <v>0</v>
      </c>
      <c r="P770" s="13">
        <f t="shared" si="77"/>
        <v>0</v>
      </c>
      <c r="Q770" s="12">
        <f t="shared" si="79"/>
        <v>0</v>
      </c>
      <c r="R770" s="12">
        <f t="shared" si="80"/>
        <v>0</v>
      </c>
      <c r="S770" s="12">
        <f t="shared" si="81"/>
        <v>0</v>
      </c>
      <c r="T770" s="12">
        <f t="shared" si="82"/>
        <v>0</v>
      </c>
      <c r="U770" s="14" t="str">
        <f t="shared" si="83"/>
        <v/>
      </c>
    </row>
    <row r="771" spans="12:21" x14ac:dyDescent="0.25">
      <c r="L771" s="18">
        <f t="shared" si="78"/>
        <v>0</v>
      </c>
      <c r="M771" s="13" t="e">
        <f>VLOOKUP(G771,Sell!G:L,1,0)</f>
        <v>#N/A</v>
      </c>
      <c r="N771" s="13">
        <f>IFERROR(VLOOKUP(G771,Sell!G:L,2,0),0)</f>
        <v>0</v>
      </c>
      <c r="O771" s="12">
        <f>IFERROR(VLOOKUP(G771,Sell!G:L,6,0),0)</f>
        <v>0</v>
      </c>
      <c r="P771" s="13">
        <f t="shared" si="77"/>
        <v>0</v>
      </c>
      <c r="Q771" s="12">
        <f t="shared" si="79"/>
        <v>0</v>
      </c>
      <c r="R771" s="12">
        <f t="shared" si="80"/>
        <v>0</v>
      </c>
      <c r="S771" s="12">
        <f t="shared" si="81"/>
        <v>0</v>
      </c>
      <c r="T771" s="12">
        <f t="shared" si="82"/>
        <v>0</v>
      </c>
      <c r="U771" s="14" t="str">
        <f t="shared" si="83"/>
        <v/>
      </c>
    </row>
    <row r="772" spans="12:21" x14ac:dyDescent="0.25">
      <c r="L772" s="18">
        <f t="shared" si="78"/>
        <v>0</v>
      </c>
      <c r="M772" s="13" t="e">
        <f>VLOOKUP(G772,Sell!G:L,1,0)</f>
        <v>#N/A</v>
      </c>
      <c r="N772" s="13">
        <f>IFERROR(VLOOKUP(G772,Sell!G:L,2,0),0)</f>
        <v>0</v>
      </c>
      <c r="O772" s="12">
        <f>IFERROR(VLOOKUP(G772,Sell!G:L,6,0),0)</f>
        <v>0</v>
      </c>
      <c r="P772" s="13">
        <f t="shared" si="77"/>
        <v>0</v>
      </c>
      <c r="Q772" s="12">
        <f t="shared" si="79"/>
        <v>0</v>
      </c>
      <c r="R772" s="12">
        <f t="shared" si="80"/>
        <v>0</v>
      </c>
      <c r="S772" s="12">
        <f t="shared" si="81"/>
        <v>0</v>
      </c>
      <c r="T772" s="12">
        <f t="shared" si="82"/>
        <v>0</v>
      </c>
      <c r="U772" s="14" t="str">
        <f t="shared" si="83"/>
        <v/>
      </c>
    </row>
    <row r="773" spans="12:21" x14ac:dyDescent="0.25">
      <c r="L773" s="18">
        <f t="shared" si="78"/>
        <v>0</v>
      </c>
      <c r="M773" s="13" t="e">
        <f>VLOOKUP(G773,Sell!G:L,1,0)</f>
        <v>#N/A</v>
      </c>
      <c r="N773" s="13">
        <f>IFERROR(VLOOKUP(G773,Sell!G:L,2,0),0)</f>
        <v>0</v>
      </c>
      <c r="O773" s="12">
        <f>IFERROR(VLOOKUP(G773,Sell!G:L,6,0),0)</f>
        <v>0</v>
      </c>
      <c r="P773" s="13">
        <f t="shared" si="77"/>
        <v>0</v>
      </c>
      <c r="Q773" s="12">
        <f t="shared" si="79"/>
        <v>0</v>
      </c>
      <c r="R773" s="12">
        <f t="shared" si="80"/>
        <v>0</v>
      </c>
      <c r="S773" s="12">
        <f t="shared" si="81"/>
        <v>0</v>
      </c>
      <c r="T773" s="12">
        <f t="shared" si="82"/>
        <v>0</v>
      </c>
      <c r="U773" s="14" t="str">
        <f t="shared" si="83"/>
        <v/>
      </c>
    </row>
    <row r="774" spans="12:21" x14ac:dyDescent="0.25">
      <c r="L774" s="18">
        <f t="shared" si="78"/>
        <v>0</v>
      </c>
      <c r="M774" s="13" t="e">
        <f>VLOOKUP(G774,Sell!G:L,1,0)</f>
        <v>#N/A</v>
      </c>
      <c r="N774" s="13">
        <f>IFERROR(VLOOKUP(G774,Sell!G:L,2,0),0)</f>
        <v>0</v>
      </c>
      <c r="O774" s="12">
        <f>IFERROR(VLOOKUP(G774,Sell!G:L,6,0),0)</f>
        <v>0</v>
      </c>
      <c r="P774" s="13">
        <f t="shared" si="77"/>
        <v>0</v>
      </c>
      <c r="Q774" s="12">
        <f t="shared" si="79"/>
        <v>0</v>
      </c>
      <c r="R774" s="12">
        <f t="shared" si="80"/>
        <v>0</v>
      </c>
      <c r="S774" s="12">
        <f t="shared" si="81"/>
        <v>0</v>
      </c>
      <c r="T774" s="12">
        <f t="shared" si="82"/>
        <v>0</v>
      </c>
      <c r="U774" s="14" t="str">
        <f t="shared" si="83"/>
        <v/>
      </c>
    </row>
    <row r="775" spans="12:21" x14ac:dyDescent="0.25">
      <c r="L775" s="18">
        <f t="shared" si="78"/>
        <v>0</v>
      </c>
      <c r="M775" s="13" t="e">
        <f>VLOOKUP(G775,Sell!G:L,1,0)</f>
        <v>#N/A</v>
      </c>
      <c r="N775" s="13">
        <f>IFERROR(VLOOKUP(G775,Sell!G:L,2,0),0)</f>
        <v>0</v>
      </c>
      <c r="O775" s="12">
        <f>IFERROR(VLOOKUP(G775,Sell!G:L,6,0),0)</f>
        <v>0</v>
      </c>
      <c r="P775" s="13">
        <f t="shared" si="77"/>
        <v>0</v>
      </c>
      <c r="Q775" s="12">
        <f t="shared" si="79"/>
        <v>0</v>
      </c>
      <c r="R775" s="12">
        <f t="shared" si="80"/>
        <v>0</v>
      </c>
      <c r="S775" s="12">
        <f t="shared" si="81"/>
        <v>0</v>
      </c>
      <c r="T775" s="12">
        <f t="shared" si="82"/>
        <v>0</v>
      </c>
      <c r="U775" s="14" t="str">
        <f t="shared" si="83"/>
        <v/>
      </c>
    </row>
    <row r="776" spans="12:21" x14ac:dyDescent="0.25">
      <c r="L776" s="18">
        <f t="shared" si="78"/>
        <v>0</v>
      </c>
      <c r="M776" s="13" t="e">
        <f>VLOOKUP(G776,Sell!G:L,1,0)</f>
        <v>#N/A</v>
      </c>
      <c r="N776" s="13">
        <f>IFERROR(VLOOKUP(G776,Sell!G:L,2,0),0)</f>
        <v>0</v>
      </c>
      <c r="O776" s="12">
        <f>IFERROR(VLOOKUP(G776,Sell!G:L,6,0),0)</f>
        <v>0</v>
      </c>
      <c r="P776" s="13">
        <f t="shared" si="77"/>
        <v>0</v>
      </c>
      <c r="Q776" s="12">
        <f t="shared" si="79"/>
        <v>0</v>
      </c>
      <c r="R776" s="12">
        <f t="shared" si="80"/>
        <v>0</v>
      </c>
      <c r="S776" s="12">
        <f t="shared" si="81"/>
        <v>0</v>
      </c>
      <c r="T776" s="12">
        <f t="shared" si="82"/>
        <v>0</v>
      </c>
      <c r="U776" s="14" t="str">
        <f t="shared" si="83"/>
        <v/>
      </c>
    </row>
    <row r="777" spans="12:21" x14ac:dyDescent="0.25">
      <c r="L777" s="18">
        <f t="shared" si="78"/>
        <v>0</v>
      </c>
      <c r="M777" s="13" t="e">
        <f>VLOOKUP(G777,Sell!G:L,1,0)</f>
        <v>#N/A</v>
      </c>
      <c r="N777" s="13">
        <f>IFERROR(VLOOKUP(G777,Sell!G:L,2,0),0)</f>
        <v>0</v>
      </c>
      <c r="O777" s="12">
        <f>IFERROR(VLOOKUP(G777,Sell!G:L,6,0),0)</f>
        <v>0</v>
      </c>
      <c r="P777" s="13">
        <f t="shared" si="77"/>
        <v>0</v>
      </c>
      <c r="Q777" s="12">
        <f t="shared" si="79"/>
        <v>0</v>
      </c>
      <c r="R777" s="12">
        <f t="shared" si="80"/>
        <v>0</v>
      </c>
      <c r="S777" s="12">
        <f t="shared" si="81"/>
        <v>0</v>
      </c>
      <c r="T777" s="12">
        <f t="shared" si="82"/>
        <v>0</v>
      </c>
      <c r="U777" s="14" t="str">
        <f t="shared" si="83"/>
        <v/>
      </c>
    </row>
    <row r="778" spans="12:21" x14ac:dyDescent="0.25">
      <c r="L778" s="18">
        <f t="shared" si="78"/>
        <v>0</v>
      </c>
      <c r="M778" s="13" t="e">
        <f>VLOOKUP(G778,Sell!G:L,1,0)</f>
        <v>#N/A</v>
      </c>
      <c r="N778" s="13">
        <f>IFERROR(VLOOKUP(G778,Sell!G:L,2,0),0)</f>
        <v>0</v>
      </c>
      <c r="O778" s="12">
        <f>IFERROR(VLOOKUP(G778,Sell!G:L,6,0),0)</f>
        <v>0</v>
      </c>
      <c r="P778" s="13">
        <f t="shared" ref="P778:P841" si="84">H778-N778</f>
        <v>0</v>
      </c>
      <c r="Q778" s="12">
        <f t="shared" si="79"/>
        <v>0</v>
      </c>
      <c r="R778" s="12">
        <f t="shared" si="80"/>
        <v>0</v>
      </c>
      <c r="S778" s="12">
        <f t="shared" si="81"/>
        <v>0</v>
      </c>
      <c r="T778" s="12">
        <f t="shared" si="82"/>
        <v>0</v>
      </c>
      <c r="U778" s="14" t="str">
        <f t="shared" si="83"/>
        <v/>
      </c>
    </row>
    <row r="779" spans="12:21" x14ac:dyDescent="0.25">
      <c r="L779" s="18">
        <f t="shared" ref="L779:L842" si="85">J779+K779</f>
        <v>0</v>
      </c>
      <c r="M779" s="13" t="e">
        <f>VLOOKUP(G779,Sell!G:L,1,0)</f>
        <v>#N/A</v>
      </c>
      <c r="N779" s="13">
        <f>IFERROR(VLOOKUP(G779,Sell!G:L,2,0),0)</f>
        <v>0</v>
      </c>
      <c r="O779" s="12">
        <f>IFERROR(VLOOKUP(G779,Sell!G:L,6,0),0)</f>
        <v>0</v>
      </c>
      <c r="P779" s="13">
        <f t="shared" si="84"/>
        <v>0</v>
      </c>
      <c r="Q779" s="12">
        <f t="shared" ref="Q779:Q842" si="86">O779-L779</f>
        <v>0</v>
      </c>
      <c r="R779" s="12">
        <f t="shared" ref="R779:R842" si="87">IF(P779=0,Q779,0)</f>
        <v>0</v>
      </c>
      <c r="S779" s="12">
        <f t="shared" ref="S779:S842" si="88">IF(R779&gt;0,R779,0)</f>
        <v>0</v>
      </c>
      <c r="T779" s="12">
        <f t="shared" ref="T779:T842" si="89">IF(R779&gt;0,0,R779)</f>
        <v>0</v>
      </c>
      <c r="U779" s="14" t="str">
        <f t="shared" ref="U779:U842" si="90">IF(AND(LEN(G779)&gt;0,R779=0),"Open","")</f>
        <v/>
      </c>
    </row>
    <row r="780" spans="12:21" x14ac:dyDescent="0.25">
      <c r="L780" s="18">
        <f t="shared" si="85"/>
        <v>0</v>
      </c>
      <c r="M780" s="13" t="e">
        <f>VLOOKUP(G780,Sell!G:L,1,0)</f>
        <v>#N/A</v>
      </c>
      <c r="N780" s="13">
        <f>IFERROR(VLOOKUP(G780,Sell!G:L,2,0),0)</f>
        <v>0</v>
      </c>
      <c r="O780" s="12">
        <f>IFERROR(VLOOKUP(G780,Sell!G:L,6,0),0)</f>
        <v>0</v>
      </c>
      <c r="P780" s="13">
        <f t="shared" si="84"/>
        <v>0</v>
      </c>
      <c r="Q780" s="12">
        <f t="shared" si="86"/>
        <v>0</v>
      </c>
      <c r="R780" s="12">
        <f t="shared" si="87"/>
        <v>0</v>
      </c>
      <c r="S780" s="12">
        <f t="shared" si="88"/>
        <v>0</v>
      </c>
      <c r="T780" s="12">
        <f t="shared" si="89"/>
        <v>0</v>
      </c>
      <c r="U780" s="14" t="str">
        <f t="shared" si="90"/>
        <v/>
      </c>
    </row>
    <row r="781" spans="12:21" x14ac:dyDescent="0.25">
      <c r="L781" s="18">
        <f t="shared" si="85"/>
        <v>0</v>
      </c>
      <c r="M781" s="13" t="e">
        <f>VLOOKUP(G781,Sell!G:L,1,0)</f>
        <v>#N/A</v>
      </c>
      <c r="N781" s="13">
        <f>IFERROR(VLOOKUP(G781,Sell!G:L,2,0),0)</f>
        <v>0</v>
      </c>
      <c r="O781" s="12">
        <f>IFERROR(VLOOKUP(G781,Sell!G:L,6,0),0)</f>
        <v>0</v>
      </c>
      <c r="P781" s="13">
        <f t="shared" si="84"/>
        <v>0</v>
      </c>
      <c r="Q781" s="12">
        <f t="shared" si="86"/>
        <v>0</v>
      </c>
      <c r="R781" s="12">
        <f t="shared" si="87"/>
        <v>0</v>
      </c>
      <c r="S781" s="12">
        <f t="shared" si="88"/>
        <v>0</v>
      </c>
      <c r="T781" s="12">
        <f t="shared" si="89"/>
        <v>0</v>
      </c>
      <c r="U781" s="14" t="str">
        <f t="shared" si="90"/>
        <v/>
      </c>
    </row>
    <row r="782" spans="12:21" x14ac:dyDescent="0.25">
      <c r="L782" s="18">
        <f t="shared" si="85"/>
        <v>0</v>
      </c>
      <c r="M782" s="13" t="e">
        <f>VLOOKUP(G782,Sell!G:L,1,0)</f>
        <v>#N/A</v>
      </c>
      <c r="N782" s="13">
        <f>IFERROR(VLOOKUP(G782,Sell!G:L,2,0),0)</f>
        <v>0</v>
      </c>
      <c r="O782" s="12">
        <f>IFERROR(VLOOKUP(G782,Sell!G:L,6,0),0)</f>
        <v>0</v>
      </c>
      <c r="P782" s="13">
        <f t="shared" si="84"/>
        <v>0</v>
      </c>
      <c r="Q782" s="12">
        <f t="shared" si="86"/>
        <v>0</v>
      </c>
      <c r="R782" s="12">
        <f t="shared" si="87"/>
        <v>0</v>
      </c>
      <c r="S782" s="12">
        <f t="shared" si="88"/>
        <v>0</v>
      </c>
      <c r="T782" s="12">
        <f t="shared" si="89"/>
        <v>0</v>
      </c>
      <c r="U782" s="14" t="str">
        <f t="shared" si="90"/>
        <v/>
      </c>
    </row>
    <row r="783" spans="12:21" x14ac:dyDescent="0.25">
      <c r="L783" s="18">
        <f t="shared" si="85"/>
        <v>0</v>
      </c>
      <c r="M783" s="13" t="e">
        <f>VLOOKUP(G783,Sell!G:L,1,0)</f>
        <v>#N/A</v>
      </c>
      <c r="N783" s="13">
        <f>IFERROR(VLOOKUP(G783,Sell!G:L,2,0),0)</f>
        <v>0</v>
      </c>
      <c r="O783" s="12">
        <f>IFERROR(VLOOKUP(G783,Sell!G:L,6,0),0)</f>
        <v>0</v>
      </c>
      <c r="P783" s="13">
        <f t="shared" si="84"/>
        <v>0</v>
      </c>
      <c r="Q783" s="12">
        <f t="shared" si="86"/>
        <v>0</v>
      </c>
      <c r="R783" s="12">
        <f t="shared" si="87"/>
        <v>0</v>
      </c>
      <c r="S783" s="12">
        <f t="shared" si="88"/>
        <v>0</v>
      </c>
      <c r="T783" s="12">
        <f t="shared" si="89"/>
        <v>0</v>
      </c>
      <c r="U783" s="14" t="str">
        <f t="shared" si="90"/>
        <v/>
      </c>
    </row>
    <row r="784" spans="12:21" x14ac:dyDescent="0.25">
      <c r="L784" s="18">
        <f t="shared" si="85"/>
        <v>0</v>
      </c>
      <c r="M784" s="13" t="e">
        <f>VLOOKUP(G784,Sell!G:L,1,0)</f>
        <v>#N/A</v>
      </c>
      <c r="N784" s="13">
        <f>IFERROR(VLOOKUP(G784,Sell!G:L,2,0),0)</f>
        <v>0</v>
      </c>
      <c r="O784" s="12">
        <f>IFERROR(VLOOKUP(G784,Sell!G:L,6,0),0)</f>
        <v>0</v>
      </c>
      <c r="P784" s="13">
        <f t="shared" si="84"/>
        <v>0</v>
      </c>
      <c r="Q784" s="12">
        <f t="shared" si="86"/>
        <v>0</v>
      </c>
      <c r="R784" s="12">
        <f t="shared" si="87"/>
        <v>0</v>
      </c>
      <c r="S784" s="12">
        <f t="shared" si="88"/>
        <v>0</v>
      </c>
      <c r="T784" s="12">
        <f t="shared" si="89"/>
        <v>0</v>
      </c>
      <c r="U784" s="14" t="str">
        <f t="shared" si="90"/>
        <v/>
      </c>
    </row>
    <row r="785" spans="12:21" x14ac:dyDescent="0.25">
      <c r="L785" s="18">
        <f t="shared" si="85"/>
        <v>0</v>
      </c>
      <c r="M785" s="13" t="e">
        <f>VLOOKUP(G785,Sell!G:L,1,0)</f>
        <v>#N/A</v>
      </c>
      <c r="N785" s="13">
        <f>IFERROR(VLOOKUP(G785,Sell!G:L,2,0),0)</f>
        <v>0</v>
      </c>
      <c r="O785" s="12">
        <f>IFERROR(VLOOKUP(G785,Sell!G:L,6,0),0)</f>
        <v>0</v>
      </c>
      <c r="P785" s="13">
        <f t="shared" si="84"/>
        <v>0</v>
      </c>
      <c r="Q785" s="12">
        <f t="shared" si="86"/>
        <v>0</v>
      </c>
      <c r="R785" s="12">
        <f t="shared" si="87"/>
        <v>0</v>
      </c>
      <c r="S785" s="12">
        <f t="shared" si="88"/>
        <v>0</v>
      </c>
      <c r="T785" s="12">
        <f t="shared" si="89"/>
        <v>0</v>
      </c>
      <c r="U785" s="14" t="str">
        <f t="shared" si="90"/>
        <v/>
      </c>
    </row>
    <row r="786" spans="12:21" x14ac:dyDescent="0.25">
      <c r="L786" s="18">
        <f t="shared" si="85"/>
        <v>0</v>
      </c>
      <c r="M786" s="13" t="e">
        <f>VLOOKUP(G786,Sell!G:L,1,0)</f>
        <v>#N/A</v>
      </c>
      <c r="N786" s="13">
        <f>IFERROR(VLOOKUP(G786,Sell!G:L,2,0),0)</f>
        <v>0</v>
      </c>
      <c r="O786" s="12">
        <f>IFERROR(VLOOKUP(G786,Sell!G:L,6,0),0)</f>
        <v>0</v>
      </c>
      <c r="P786" s="13">
        <f t="shared" si="84"/>
        <v>0</v>
      </c>
      <c r="Q786" s="12">
        <f t="shared" si="86"/>
        <v>0</v>
      </c>
      <c r="R786" s="12">
        <f t="shared" si="87"/>
        <v>0</v>
      </c>
      <c r="S786" s="12">
        <f t="shared" si="88"/>
        <v>0</v>
      </c>
      <c r="T786" s="12">
        <f t="shared" si="89"/>
        <v>0</v>
      </c>
      <c r="U786" s="14" t="str">
        <f t="shared" si="90"/>
        <v/>
      </c>
    </row>
    <row r="787" spans="12:21" x14ac:dyDescent="0.25">
      <c r="L787" s="18">
        <f t="shared" si="85"/>
        <v>0</v>
      </c>
      <c r="M787" s="13" t="e">
        <f>VLOOKUP(G787,Sell!G:L,1,0)</f>
        <v>#N/A</v>
      </c>
      <c r="N787" s="13">
        <f>IFERROR(VLOOKUP(G787,Sell!G:L,2,0),0)</f>
        <v>0</v>
      </c>
      <c r="O787" s="12">
        <f>IFERROR(VLOOKUP(G787,Sell!G:L,6,0),0)</f>
        <v>0</v>
      </c>
      <c r="P787" s="13">
        <f t="shared" si="84"/>
        <v>0</v>
      </c>
      <c r="Q787" s="12">
        <f t="shared" si="86"/>
        <v>0</v>
      </c>
      <c r="R787" s="12">
        <f t="shared" si="87"/>
        <v>0</v>
      </c>
      <c r="S787" s="12">
        <f t="shared" si="88"/>
        <v>0</v>
      </c>
      <c r="T787" s="12">
        <f t="shared" si="89"/>
        <v>0</v>
      </c>
      <c r="U787" s="14" t="str">
        <f t="shared" si="90"/>
        <v/>
      </c>
    </row>
    <row r="788" spans="12:21" x14ac:dyDescent="0.25">
      <c r="L788" s="18">
        <f t="shared" si="85"/>
        <v>0</v>
      </c>
      <c r="M788" s="13" t="e">
        <f>VLOOKUP(G788,Sell!G:L,1,0)</f>
        <v>#N/A</v>
      </c>
      <c r="N788" s="13">
        <f>IFERROR(VLOOKUP(G788,Sell!G:L,2,0),0)</f>
        <v>0</v>
      </c>
      <c r="O788" s="12">
        <f>IFERROR(VLOOKUP(G788,Sell!G:L,6,0),0)</f>
        <v>0</v>
      </c>
      <c r="P788" s="13">
        <f t="shared" si="84"/>
        <v>0</v>
      </c>
      <c r="Q788" s="12">
        <f t="shared" si="86"/>
        <v>0</v>
      </c>
      <c r="R788" s="12">
        <f t="shared" si="87"/>
        <v>0</v>
      </c>
      <c r="S788" s="12">
        <f t="shared" si="88"/>
        <v>0</v>
      </c>
      <c r="T788" s="12">
        <f t="shared" si="89"/>
        <v>0</v>
      </c>
      <c r="U788" s="14" t="str">
        <f t="shared" si="90"/>
        <v/>
      </c>
    </row>
    <row r="789" spans="12:21" x14ac:dyDescent="0.25">
      <c r="L789" s="18">
        <f t="shared" si="85"/>
        <v>0</v>
      </c>
      <c r="M789" s="13" t="e">
        <f>VLOOKUP(G789,Sell!G:L,1,0)</f>
        <v>#N/A</v>
      </c>
      <c r="N789" s="13">
        <f>IFERROR(VLOOKUP(G789,Sell!G:L,2,0),0)</f>
        <v>0</v>
      </c>
      <c r="O789" s="12">
        <f>IFERROR(VLOOKUP(G789,Sell!G:L,6,0),0)</f>
        <v>0</v>
      </c>
      <c r="P789" s="13">
        <f t="shared" si="84"/>
        <v>0</v>
      </c>
      <c r="Q789" s="12">
        <f t="shared" si="86"/>
        <v>0</v>
      </c>
      <c r="R789" s="12">
        <f t="shared" si="87"/>
        <v>0</v>
      </c>
      <c r="S789" s="12">
        <f t="shared" si="88"/>
        <v>0</v>
      </c>
      <c r="T789" s="12">
        <f t="shared" si="89"/>
        <v>0</v>
      </c>
      <c r="U789" s="14" t="str">
        <f t="shared" si="90"/>
        <v/>
      </c>
    </row>
    <row r="790" spans="12:21" x14ac:dyDescent="0.25">
      <c r="L790" s="18">
        <f t="shared" si="85"/>
        <v>0</v>
      </c>
      <c r="M790" s="13" t="e">
        <f>VLOOKUP(G790,Sell!G:L,1,0)</f>
        <v>#N/A</v>
      </c>
      <c r="N790" s="13">
        <f>IFERROR(VLOOKUP(G790,Sell!G:L,2,0),0)</f>
        <v>0</v>
      </c>
      <c r="O790" s="12">
        <f>IFERROR(VLOOKUP(G790,Sell!G:L,6,0),0)</f>
        <v>0</v>
      </c>
      <c r="P790" s="13">
        <f t="shared" si="84"/>
        <v>0</v>
      </c>
      <c r="Q790" s="12">
        <f t="shared" si="86"/>
        <v>0</v>
      </c>
      <c r="R790" s="12">
        <f t="shared" si="87"/>
        <v>0</v>
      </c>
      <c r="S790" s="12">
        <f t="shared" si="88"/>
        <v>0</v>
      </c>
      <c r="T790" s="12">
        <f t="shared" si="89"/>
        <v>0</v>
      </c>
      <c r="U790" s="14" t="str">
        <f t="shared" si="90"/>
        <v/>
      </c>
    </row>
    <row r="791" spans="12:21" x14ac:dyDescent="0.25">
      <c r="L791" s="18">
        <f t="shared" si="85"/>
        <v>0</v>
      </c>
      <c r="M791" s="13" t="e">
        <f>VLOOKUP(G791,Sell!G:L,1,0)</f>
        <v>#N/A</v>
      </c>
      <c r="N791" s="13">
        <f>IFERROR(VLOOKUP(G791,Sell!G:L,2,0),0)</f>
        <v>0</v>
      </c>
      <c r="O791" s="12">
        <f>IFERROR(VLOOKUP(G791,Sell!G:L,6,0),0)</f>
        <v>0</v>
      </c>
      <c r="P791" s="13">
        <f t="shared" si="84"/>
        <v>0</v>
      </c>
      <c r="Q791" s="12">
        <f t="shared" si="86"/>
        <v>0</v>
      </c>
      <c r="R791" s="12">
        <f t="shared" si="87"/>
        <v>0</v>
      </c>
      <c r="S791" s="12">
        <f t="shared" si="88"/>
        <v>0</v>
      </c>
      <c r="T791" s="12">
        <f t="shared" si="89"/>
        <v>0</v>
      </c>
      <c r="U791" s="14" t="str">
        <f t="shared" si="90"/>
        <v/>
      </c>
    </row>
    <row r="792" spans="12:21" x14ac:dyDescent="0.25">
      <c r="L792" s="18">
        <f t="shared" si="85"/>
        <v>0</v>
      </c>
      <c r="M792" s="13" t="e">
        <f>VLOOKUP(G792,Sell!G:L,1,0)</f>
        <v>#N/A</v>
      </c>
      <c r="N792" s="13">
        <f>IFERROR(VLOOKUP(G792,Sell!G:L,2,0),0)</f>
        <v>0</v>
      </c>
      <c r="O792" s="12">
        <f>IFERROR(VLOOKUP(G792,Sell!G:L,6,0),0)</f>
        <v>0</v>
      </c>
      <c r="P792" s="13">
        <f t="shared" si="84"/>
        <v>0</v>
      </c>
      <c r="Q792" s="12">
        <f t="shared" si="86"/>
        <v>0</v>
      </c>
      <c r="R792" s="12">
        <f t="shared" si="87"/>
        <v>0</v>
      </c>
      <c r="S792" s="12">
        <f t="shared" si="88"/>
        <v>0</v>
      </c>
      <c r="T792" s="12">
        <f t="shared" si="89"/>
        <v>0</v>
      </c>
      <c r="U792" s="14" t="str">
        <f t="shared" si="90"/>
        <v/>
      </c>
    </row>
    <row r="793" spans="12:21" x14ac:dyDescent="0.25">
      <c r="L793" s="18">
        <f t="shared" si="85"/>
        <v>0</v>
      </c>
      <c r="M793" s="13" t="e">
        <f>VLOOKUP(G793,Sell!G:L,1,0)</f>
        <v>#N/A</v>
      </c>
      <c r="N793" s="13">
        <f>IFERROR(VLOOKUP(G793,Sell!G:L,2,0),0)</f>
        <v>0</v>
      </c>
      <c r="O793" s="12">
        <f>IFERROR(VLOOKUP(G793,Sell!G:L,6,0),0)</f>
        <v>0</v>
      </c>
      <c r="P793" s="13">
        <f t="shared" si="84"/>
        <v>0</v>
      </c>
      <c r="Q793" s="12">
        <f t="shared" si="86"/>
        <v>0</v>
      </c>
      <c r="R793" s="12">
        <f t="shared" si="87"/>
        <v>0</v>
      </c>
      <c r="S793" s="12">
        <f t="shared" si="88"/>
        <v>0</v>
      </c>
      <c r="T793" s="12">
        <f t="shared" si="89"/>
        <v>0</v>
      </c>
      <c r="U793" s="14" t="str">
        <f t="shared" si="90"/>
        <v/>
      </c>
    </row>
    <row r="794" spans="12:21" x14ac:dyDescent="0.25">
      <c r="L794" s="18">
        <f t="shared" si="85"/>
        <v>0</v>
      </c>
      <c r="M794" s="13" t="e">
        <f>VLOOKUP(G794,Sell!G:L,1,0)</f>
        <v>#N/A</v>
      </c>
      <c r="N794" s="13">
        <f>IFERROR(VLOOKUP(G794,Sell!G:L,2,0),0)</f>
        <v>0</v>
      </c>
      <c r="O794" s="12">
        <f>IFERROR(VLOOKUP(G794,Sell!G:L,6,0),0)</f>
        <v>0</v>
      </c>
      <c r="P794" s="13">
        <f t="shared" si="84"/>
        <v>0</v>
      </c>
      <c r="Q794" s="12">
        <f t="shared" si="86"/>
        <v>0</v>
      </c>
      <c r="R794" s="12">
        <f t="shared" si="87"/>
        <v>0</v>
      </c>
      <c r="S794" s="12">
        <f t="shared" si="88"/>
        <v>0</v>
      </c>
      <c r="T794" s="12">
        <f t="shared" si="89"/>
        <v>0</v>
      </c>
      <c r="U794" s="14" t="str">
        <f t="shared" si="90"/>
        <v/>
      </c>
    </row>
    <row r="795" spans="12:21" x14ac:dyDescent="0.25">
      <c r="L795" s="18">
        <f t="shared" si="85"/>
        <v>0</v>
      </c>
      <c r="M795" s="13" t="e">
        <f>VLOOKUP(G795,Sell!G:L,1,0)</f>
        <v>#N/A</v>
      </c>
      <c r="N795" s="13">
        <f>IFERROR(VLOOKUP(G795,Sell!G:L,2,0),0)</f>
        <v>0</v>
      </c>
      <c r="O795" s="12">
        <f>IFERROR(VLOOKUP(G795,Sell!G:L,6,0),0)</f>
        <v>0</v>
      </c>
      <c r="P795" s="13">
        <f t="shared" si="84"/>
        <v>0</v>
      </c>
      <c r="Q795" s="12">
        <f t="shared" si="86"/>
        <v>0</v>
      </c>
      <c r="R795" s="12">
        <f t="shared" si="87"/>
        <v>0</v>
      </c>
      <c r="S795" s="12">
        <f t="shared" si="88"/>
        <v>0</v>
      </c>
      <c r="T795" s="12">
        <f t="shared" si="89"/>
        <v>0</v>
      </c>
      <c r="U795" s="14" t="str">
        <f t="shared" si="90"/>
        <v/>
      </c>
    </row>
    <row r="796" spans="12:21" x14ac:dyDescent="0.25">
      <c r="L796" s="18">
        <f t="shared" si="85"/>
        <v>0</v>
      </c>
      <c r="M796" s="13" t="e">
        <f>VLOOKUP(G796,Sell!G:L,1,0)</f>
        <v>#N/A</v>
      </c>
      <c r="N796" s="13">
        <f>IFERROR(VLOOKUP(G796,Sell!G:L,2,0),0)</f>
        <v>0</v>
      </c>
      <c r="O796" s="12">
        <f>IFERROR(VLOOKUP(G796,Sell!G:L,6,0),0)</f>
        <v>0</v>
      </c>
      <c r="P796" s="13">
        <f t="shared" si="84"/>
        <v>0</v>
      </c>
      <c r="Q796" s="12">
        <f t="shared" si="86"/>
        <v>0</v>
      </c>
      <c r="R796" s="12">
        <f t="shared" si="87"/>
        <v>0</v>
      </c>
      <c r="S796" s="12">
        <f t="shared" si="88"/>
        <v>0</v>
      </c>
      <c r="T796" s="12">
        <f t="shared" si="89"/>
        <v>0</v>
      </c>
      <c r="U796" s="14" t="str">
        <f t="shared" si="90"/>
        <v/>
      </c>
    </row>
    <row r="797" spans="12:21" x14ac:dyDescent="0.25">
      <c r="L797" s="18">
        <f t="shared" si="85"/>
        <v>0</v>
      </c>
      <c r="M797" s="13" t="e">
        <f>VLOOKUP(G797,Sell!G:L,1,0)</f>
        <v>#N/A</v>
      </c>
      <c r="N797" s="13">
        <f>IFERROR(VLOOKUP(G797,Sell!G:L,2,0),0)</f>
        <v>0</v>
      </c>
      <c r="O797" s="12">
        <f>IFERROR(VLOOKUP(G797,Sell!G:L,6,0),0)</f>
        <v>0</v>
      </c>
      <c r="P797" s="13">
        <f t="shared" si="84"/>
        <v>0</v>
      </c>
      <c r="Q797" s="12">
        <f t="shared" si="86"/>
        <v>0</v>
      </c>
      <c r="R797" s="12">
        <f t="shared" si="87"/>
        <v>0</v>
      </c>
      <c r="S797" s="12">
        <f t="shared" si="88"/>
        <v>0</v>
      </c>
      <c r="T797" s="12">
        <f t="shared" si="89"/>
        <v>0</v>
      </c>
      <c r="U797" s="14" t="str">
        <f t="shared" si="90"/>
        <v/>
      </c>
    </row>
    <row r="798" spans="12:21" x14ac:dyDescent="0.25">
      <c r="L798" s="18">
        <f t="shared" si="85"/>
        <v>0</v>
      </c>
      <c r="M798" s="13" t="e">
        <f>VLOOKUP(G798,Sell!G:L,1,0)</f>
        <v>#N/A</v>
      </c>
      <c r="N798" s="13">
        <f>IFERROR(VLOOKUP(G798,Sell!G:L,2,0),0)</f>
        <v>0</v>
      </c>
      <c r="O798" s="12">
        <f>IFERROR(VLOOKUP(G798,Sell!G:L,6,0),0)</f>
        <v>0</v>
      </c>
      <c r="P798" s="13">
        <f t="shared" si="84"/>
        <v>0</v>
      </c>
      <c r="Q798" s="12">
        <f t="shared" si="86"/>
        <v>0</v>
      </c>
      <c r="R798" s="12">
        <f t="shared" si="87"/>
        <v>0</v>
      </c>
      <c r="S798" s="12">
        <f t="shared" si="88"/>
        <v>0</v>
      </c>
      <c r="T798" s="12">
        <f t="shared" si="89"/>
        <v>0</v>
      </c>
      <c r="U798" s="14" t="str">
        <f t="shared" si="90"/>
        <v/>
      </c>
    </row>
    <row r="799" spans="12:21" x14ac:dyDescent="0.25">
      <c r="L799" s="18">
        <f t="shared" si="85"/>
        <v>0</v>
      </c>
      <c r="M799" s="13" t="e">
        <f>VLOOKUP(G799,Sell!G:L,1,0)</f>
        <v>#N/A</v>
      </c>
      <c r="N799" s="13">
        <f>IFERROR(VLOOKUP(G799,Sell!G:L,2,0),0)</f>
        <v>0</v>
      </c>
      <c r="O799" s="12">
        <f>IFERROR(VLOOKUP(G799,Sell!G:L,6,0),0)</f>
        <v>0</v>
      </c>
      <c r="P799" s="13">
        <f t="shared" si="84"/>
        <v>0</v>
      </c>
      <c r="Q799" s="12">
        <f t="shared" si="86"/>
        <v>0</v>
      </c>
      <c r="R799" s="12">
        <f t="shared" si="87"/>
        <v>0</v>
      </c>
      <c r="S799" s="12">
        <f t="shared" si="88"/>
        <v>0</v>
      </c>
      <c r="T799" s="12">
        <f t="shared" si="89"/>
        <v>0</v>
      </c>
      <c r="U799" s="14" t="str">
        <f t="shared" si="90"/>
        <v/>
      </c>
    </row>
    <row r="800" spans="12:21" x14ac:dyDescent="0.25">
      <c r="L800" s="18">
        <f t="shared" si="85"/>
        <v>0</v>
      </c>
      <c r="M800" s="13" t="e">
        <f>VLOOKUP(G800,Sell!G:L,1,0)</f>
        <v>#N/A</v>
      </c>
      <c r="N800" s="13">
        <f>IFERROR(VLOOKUP(G800,Sell!G:L,2,0),0)</f>
        <v>0</v>
      </c>
      <c r="O800" s="12">
        <f>IFERROR(VLOOKUP(G800,Sell!G:L,6,0),0)</f>
        <v>0</v>
      </c>
      <c r="P800" s="13">
        <f t="shared" si="84"/>
        <v>0</v>
      </c>
      <c r="Q800" s="12">
        <f t="shared" si="86"/>
        <v>0</v>
      </c>
      <c r="R800" s="12">
        <f t="shared" si="87"/>
        <v>0</v>
      </c>
      <c r="S800" s="12">
        <f t="shared" si="88"/>
        <v>0</v>
      </c>
      <c r="T800" s="12">
        <f t="shared" si="89"/>
        <v>0</v>
      </c>
      <c r="U800" s="14" t="str">
        <f t="shared" si="90"/>
        <v/>
      </c>
    </row>
    <row r="801" spans="12:21" x14ac:dyDescent="0.25">
      <c r="L801" s="18">
        <f t="shared" si="85"/>
        <v>0</v>
      </c>
      <c r="M801" s="13" t="e">
        <f>VLOOKUP(G801,Sell!G:L,1,0)</f>
        <v>#N/A</v>
      </c>
      <c r="N801" s="13">
        <f>IFERROR(VLOOKUP(G801,Sell!G:L,2,0),0)</f>
        <v>0</v>
      </c>
      <c r="O801" s="12">
        <f>IFERROR(VLOOKUP(G801,Sell!G:L,6,0),0)</f>
        <v>0</v>
      </c>
      <c r="P801" s="13">
        <f t="shared" si="84"/>
        <v>0</v>
      </c>
      <c r="Q801" s="12">
        <f t="shared" si="86"/>
        <v>0</v>
      </c>
      <c r="R801" s="12">
        <f t="shared" si="87"/>
        <v>0</v>
      </c>
      <c r="S801" s="12">
        <f t="shared" si="88"/>
        <v>0</v>
      </c>
      <c r="T801" s="12">
        <f t="shared" si="89"/>
        <v>0</v>
      </c>
      <c r="U801" s="14" t="str">
        <f t="shared" si="90"/>
        <v/>
      </c>
    </row>
    <row r="802" spans="12:21" x14ac:dyDescent="0.25">
      <c r="L802" s="18">
        <f t="shared" si="85"/>
        <v>0</v>
      </c>
      <c r="M802" s="13" t="e">
        <f>VLOOKUP(G802,Sell!G:L,1,0)</f>
        <v>#N/A</v>
      </c>
      <c r="N802" s="13">
        <f>IFERROR(VLOOKUP(G802,Sell!G:L,2,0),0)</f>
        <v>0</v>
      </c>
      <c r="O802" s="12">
        <f>IFERROR(VLOOKUP(G802,Sell!G:L,6,0),0)</f>
        <v>0</v>
      </c>
      <c r="P802" s="13">
        <f t="shared" si="84"/>
        <v>0</v>
      </c>
      <c r="Q802" s="12">
        <f t="shared" si="86"/>
        <v>0</v>
      </c>
      <c r="R802" s="12">
        <f t="shared" si="87"/>
        <v>0</v>
      </c>
      <c r="S802" s="12">
        <f t="shared" si="88"/>
        <v>0</v>
      </c>
      <c r="T802" s="12">
        <f t="shared" si="89"/>
        <v>0</v>
      </c>
      <c r="U802" s="14" t="str">
        <f t="shared" si="90"/>
        <v/>
      </c>
    </row>
    <row r="803" spans="12:21" x14ac:dyDescent="0.25">
      <c r="L803" s="18">
        <f t="shared" si="85"/>
        <v>0</v>
      </c>
      <c r="M803" s="13" t="e">
        <f>VLOOKUP(G803,Sell!G:L,1,0)</f>
        <v>#N/A</v>
      </c>
      <c r="N803" s="13">
        <f>IFERROR(VLOOKUP(G803,Sell!G:L,2,0),0)</f>
        <v>0</v>
      </c>
      <c r="O803" s="12">
        <f>IFERROR(VLOOKUP(G803,Sell!G:L,6,0),0)</f>
        <v>0</v>
      </c>
      <c r="P803" s="13">
        <f t="shared" si="84"/>
        <v>0</v>
      </c>
      <c r="Q803" s="12">
        <f t="shared" si="86"/>
        <v>0</v>
      </c>
      <c r="R803" s="12">
        <f t="shared" si="87"/>
        <v>0</v>
      </c>
      <c r="S803" s="12">
        <f t="shared" si="88"/>
        <v>0</v>
      </c>
      <c r="T803" s="12">
        <f t="shared" si="89"/>
        <v>0</v>
      </c>
      <c r="U803" s="14" t="str">
        <f t="shared" si="90"/>
        <v/>
      </c>
    </row>
    <row r="804" spans="12:21" x14ac:dyDescent="0.25">
      <c r="L804" s="18">
        <f t="shared" si="85"/>
        <v>0</v>
      </c>
      <c r="M804" s="13" t="e">
        <f>VLOOKUP(G804,Sell!G:L,1,0)</f>
        <v>#N/A</v>
      </c>
      <c r="N804" s="13">
        <f>IFERROR(VLOOKUP(G804,Sell!G:L,2,0),0)</f>
        <v>0</v>
      </c>
      <c r="O804" s="12">
        <f>IFERROR(VLOOKUP(G804,Sell!G:L,6,0),0)</f>
        <v>0</v>
      </c>
      <c r="P804" s="13">
        <f t="shared" si="84"/>
        <v>0</v>
      </c>
      <c r="Q804" s="12">
        <f t="shared" si="86"/>
        <v>0</v>
      </c>
      <c r="R804" s="12">
        <f t="shared" si="87"/>
        <v>0</v>
      </c>
      <c r="S804" s="12">
        <f t="shared" si="88"/>
        <v>0</v>
      </c>
      <c r="T804" s="12">
        <f t="shared" si="89"/>
        <v>0</v>
      </c>
      <c r="U804" s="14" t="str">
        <f t="shared" si="90"/>
        <v/>
      </c>
    </row>
    <row r="805" spans="12:21" x14ac:dyDescent="0.25">
      <c r="L805" s="18">
        <f t="shared" si="85"/>
        <v>0</v>
      </c>
      <c r="M805" s="13" t="e">
        <f>VLOOKUP(G805,Sell!G:L,1,0)</f>
        <v>#N/A</v>
      </c>
      <c r="N805" s="13">
        <f>IFERROR(VLOOKUP(G805,Sell!G:L,2,0),0)</f>
        <v>0</v>
      </c>
      <c r="O805" s="12">
        <f>IFERROR(VLOOKUP(G805,Sell!G:L,6,0),0)</f>
        <v>0</v>
      </c>
      <c r="P805" s="13">
        <f t="shared" si="84"/>
        <v>0</v>
      </c>
      <c r="Q805" s="12">
        <f t="shared" si="86"/>
        <v>0</v>
      </c>
      <c r="R805" s="12">
        <f t="shared" si="87"/>
        <v>0</v>
      </c>
      <c r="S805" s="12">
        <f t="shared" si="88"/>
        <v>0</v>
      </c>
      <c r="T805" s="12">
        <f t="shared" si="89"/>
        <v>0</v>
      </c>
      <c r="U805" s="14" t="str">
        <f t="shared" si="90"/>
        <v/>
      </c>
    </row>
    <row r="806" spans="12:21" x14ac:dyDescent="0.25">
      <c r="L806" s="18">
        <f t="shared" si="85"/>
        <v>0</v>
      </c>
      <c r="M806" s="13" t="e">
        <f>VLOOKUP(G806,Sell!G:L,1,0)</f>
        <v>#N/A</v>
      </c>
      <c r="N806" s="13">
        <f>IFERROR(VLOOKUP(G806,Sell!G:L,2,0),0)</f>
        <v>0</v>
      </c>
      <c r="O806" s="12">
        <f>IFERROR(VLOOKUP(G806,Sell!G:L,6,0),0)</f>
        <v>0</v>
      </c>
      <c r="P806" s="13">
        <f t="shared" si="84"/>
        <v>0</v>
      </c>
      <c r="Q806" s="12">
        <f t="shared" si="86"/>
        <v>0</v>
      </c>
      <c r="R806" s="12">
        <f t="shared" si="87"/>
        <v>0</v>
      </c>
      <c r="S806" s="12">
        <f t="shared" si="88"/>
        <v>0</v>
      </c>
      <c r="T806" s="12">
        <f t="shared" si="89"/>
        <v>0</v>
      </c>
      <c r="U806" s="14" t="str">
        <f t="shared" si="90"/>
        <v/>
      </c>
    </row>
    <row r="807" spans="12:21" x14ac:dyDescent="0.25">
      <c r="L807" s="18">
        <f t="shared" si="85"/>
        <v>0</v>
      </c>
      <c r="M807" s="13" t="e">
        <f>VLOOKUP(G807,Sell!G:L,1,0)</f>
        <v>#N/A</v>
      </c>
      <c r="N807" s="13">
        <f>IFERROR(VLOOKUP(G807,Sell!G:L,2,0),0)</f>
        <v>0</v>
      </c>
      <c r="O807" s="12">
        <f>IFERROR(VLOOKUP(G807,Sell!G:L,6,0),0)</f>
        <v>0</v>
      </c>
      <c r="P807" s="13">
        <f t="shared" si="84"/>
        <v>0</v>
      </c>
      <c r="Q807" s="12">
        <f t="shared" si="86"/>
        <v>0</v>
      </c>
      <c r="R807" s="12">
        <f t="shared" si="87"/>
        <v>0</v>
      </c>
      <c r="S807" s="12">
        <f t="shared" si="88"/>
        <v>0</v>
      </c>
      <c r="T807" s="12">
        <f t="shared" si="89"/>
        <v>0</v>
      </c>
      <c r="U807" s="14" t="str">
        <f t="shared" si="90"/>
        <v/>
      </c>
    </row>
    <row r="808" spans="12:21" x14ac:dyDescent="0.25">
      <c r="L808" s="18">
        <f t="shared" si="85"/>
        <v>0</v>
      </c>
      <c r="M808" s="13" t="e">
        <f>VLOOKUP(G808,Sell!G:L,1,0)</f>
        <v>#N/A</v>
      </c>
      <c r="N808" s="13">
        <f>IFERROR(VLOOKUP(G808,Sell!G:L,2,0),0)</f>
        <v>0</v>
      </c>
      <c r="O808" s="12">
        <f>IFERROR(VLOOKUP(G808,Sell!G:L,6,0),0)</f>
        <v>0</v>
      </c>
      <c r="P808" s="13">
        <f t="shared" si="84"/>
        <v>0</v>
      </c>
      <c r="Q808" s="12">
        <f t="shared" si="86"/>
        <v>0</v>
      </c>
      <c r="R808" s="12">
        <f t="shared" si="87"/>
        <v>0</v>
      </c>
      <c r="S808" s="12">
        <f t="shared" si="88"/>
        <v>0</v>
      </c>
      <c r="T808" s="12">
        <f t="shared" si="89"/>
        <v>0</v>
      </c>
      <c r="U808" s="14" t="str">
        <f t="shared" si="90"/>
        <v/>
      </c>
    </row>
    <row r="809" spans="12:21" x14ac:dyDescent="0.25">
      <c r="L809" s="18">
        <f t="shared" si="85"/>
        <v>0</v>
      </c>
      <c r="M809" s="13" t="e">
        <f>VLOOKUP(G809,Sell!G:L,1,0)</f>
        <v>#N/A</v>
      </c>
      <c r="N809" s="13">
        <f>IFERROR(VLOOKUP(G809,Sell!G:L,2,0),0)</f>
        <v>0</v>
      </c>
      <c r="O809" s="12">
        <f>IFERROR(VLOOKUP(G809,Sell!G:L,6,0),0)</f>
        <v>0</v>
      </c>
      <c r="P809" s="13">
        <f t="shared" si="84"/>
        <v>0</v>
      </c>
      <c r="Q809" s="12">
        <f t="shared" si="86"/>
        <v>0</v>
      </c>
      <c r="R809" s="12">
        <f t="shared" si="87"/>
        <v>0</v>
      </c>
      <c r="S809" s="12">
        <f t="shared" si="88"/>
        <v>0</v>
      </c>
      <c r="T809" s="12">
        <f t="shared" si="89"/>
        <v>0</v>
      </c>
      <c r="U809" s="14" t="str">
        <f t="shared" si="90"/>
        <v/>
      </c>
    </row>
    <row r="810" spans="12:21" x14ac:dyDescent="0.25">
      <c r="L810" s="18">
        <f t="shared" si="85"/>
        <v>0</v>
      </c>
      <c r="M810" s="13" t="e">
        <f>VLOOKUP(G810,Sell!G:L,1,0)</f>
        <v>#N/A</v>
      </c>
      <c r="N810" s="13">
        <f>IFERROR(VLOOKUP(G810,Sell!G:L,2,0),0)</f>
        <v>0</v>
      </c>
      <c r="O810" s="12">
        <f>IFERROR(VLOOKUP(G810,Sell!G:L,6,0),0)</f>
        <v>0</v>
      </c>
      <c r="P810" s="13">
        <f t="shared" si="84"/>
        <v>0</v>
      </c>
      <c r="Q810" s="12">
        <f t="shared" si="86"/>
        <v>0</v>
      </c>
      <c r="R810" s="12">
        <f t="shared" si="87"/>
        <v>0</v>
      </c>
      <c r="S810" s="12">
        <f t="shared" si="88"/>
        <v>0</v>
      </c>
      <c r="T810" s="12">
        <f t="shared" si="89"/>
        <v>0</v>
      </c>
      <c r="U810" s="14" t="str">
        <f t="shared" si="90"/>
        <v/>
      </c>
    </row>
    <row r="811" spans="12:21" x14ac:dyDescent="0.25">
      <c r="L811" s="18">
        <f t="shared" si="85"/>
        <v>0</v>
      </c>
      <c r="M811" s="13" t="e">
        <f>VLOOKUP(G811,Sell!G:L,1,0)</f>
        <v>#N/A</v>
      </c>
      <c r="N811" s="13">
        <f>IFERROR(VLOOKUP(G811,Sell!G:L,2,0),0)</f>
        <v>0</v>
      </c>
      <c r="O811" s="12">
        <f>IFERROR(VLOOKUP(G811,Sell!G:L,6,0),0)</f>
        <v>0</v>
      </c>
      <c r="P811" s="13">
        <f t="shared" si="84"/>
        <v>0</v>
      </c>
      <c r="Q811" s="12">
        <f t="shared" si="86"/>
        <v>0</v>
      </c>
      <c r="R811" s="12">
        <f t="shared" si="87"/>
        <v>0</v>
      </c>
      <c r="S811" s="12">
        <f t="shared" si="88"/>
        <v>0</v>
      </c>
      <c r="T811" s="12">
        <f t="shared" si="89"/>
        <v>0</v>
      </c>
      <c r="U811" s="14" t="str">
        <f t="shared" si="90"/>
        <v/>
      </c>
    </row>
    <row r="812" spans="12:21" x14ac:dyDescent="0.25">
      <c r="L812" s="18">
        <f t="shared" si="85"/>
        <v>0</v>
      </c>
      <c r="M812" s="13" t="e">
        <f>VLOOKUP(G812,Sell!G:L,1,0)</f>
        <v>#N/A</v>
      </c>
      <c r="N812" s="13">
        <f>IFERROR(VLOOKUP(G812,Sell!G:L,2,0),0)</f>
        <v>0</v>
      </c>
      <c r="O812" s="12">
        <f>IFERROR(VLOOKUP(G812,Sell!G:L,6,0),0)</f>
        <v>0</v>
      </c>
      <c r="P812" s="13">
        <f t="shared" si="84"/>
        <v>0</v>
      </c>
      <c r="Q812" s="12">
        <f t="shared" si="86"/>
        <v>0</v>
      </c>
      <c r="R812" s="12">
        <f t="shared" si="87"/>
        <v>0</v>
      </c>
      <c r="S812" s="12">
        <f t="shared" si="88"/>
        <v>0</v>
      </c>
      <c r="T812" s="12">
        <f t="shared" si="89"/>
        <v>0</v>
      </c>
      <c r="U812" s="14" t="str">
        <f t="shared" si="90"/>
        <v/>
      </c>
    </row>
    <row r="813" spans="12:21" x14ac:dyDescent="0.25">
      <c r="L813" s="18">
        <f t="shared" si="85"/>
        <v>0</v>
      </c>
      <c r="M813" s="13" t="e">
        <f>VLOOKUP(G813,Sell!G:L,1,0)</f>
        <v>#N/A</v>
      </c>
      <c r="N813" s="13">
        <f>IFERROR(VLOOKUP(G813,Sell!G:L,2,0),0)</f>
        <v>0</v>
      </c>
      <c r="O813" s="12">
        <f>IFERROR(VLOOKUP(G813,Sell!G:L,6,0),0)</f>
        <v>0</v>
      </c>
      <c r="P813" s="13">
        <f t="shared" si="84"/>
        <v>0</v>
      </c>
      <c r="Q813" s="12">
        <f t="shared" si="86"/>
        <v>0</v>
      </c>
      <c r="R813" s="12">
        <f t="shared" si="87"/>
        <v>0</v>
      </c>
      <c r="S813" s="12">
        <f t="shared" si="88"/>
        <v>0</v>
      </c>
      <c r="T813" s="12">
        <f t="shared" si="89"/>
        <v>0</v>
      </c>
      <c r="U813" s="14" t="str">
        <f t="shared" si="90"/>
        <v/>
      </c>
    </row>
    <row r="814" spans="12:21" x14ac:dyDescent="0.25">
      <c r="L814" s="18">
        <f t="shared" si="85"/>
        <v>0</v>
      </c>
      <c r="M814" s="13" t="e">
        <f>VLOOKUP(G814,Sell!G:L,1,0)</f>
        <v>#N/A</v>
      </c>
      <c r="N814" s="13">
        <f>IFERROR(VLOOKUP(G814,Sell!G:L,2,0),0)</f>
        <v>0</v>
      </c>
      <c r="O814" s="12">
        <f>IFERROR(VLOOKUP(G814,Sell!G:L,6,0),0)</f>
        <v>0</v>
      </c>
      <c r="P814" s="13">
        <f t="shared" si="84"/>
        <v>0</v>
      </c>
      <c r="Q814" s="12">
        <f t="shared" si="86"/>
        <v>0</v>
      </c>
      <c r="R814" s="12">
        <f t="shared" si="87"/>
        <v>0</v>
      </c>
      <c r="S814" s="12">
        <f t="shared" si="88"/>
        <v>0</v>
      </c>
      <c r="T814" s="12">
        <f t="shared" si="89"/>
        <v>0</v>
      </c>
      <c r="U814" s="14" t="str">
        <f t="shared" si="90"/>
        <v/>
      </c>
    </row>
    <row r="815" spans="12:21" x14ac:dyDescent="0.25">
      <c r="L815" s="18">
        <f t="shared" si="85"/>
        <v>0</v>
      </c>
      <c r="M815" s="13" t="e">
        <f>VLOOKUP(G815,Sell!G:L,1,0)</f>
        <v>#N/A</v>
      </c>
      <c r="N815" s="13">
        <f>IFERROR(VLOOKUP(G815,Sell!G:L,2,0),0)</f>
        <v>0</v>
      </c>
      <c r="O815" s="12">
        <f>IFERROR(VLOOKUP(G815,Sell!G:L,6,0),0)</f>
        <v>0</v>
      </c>
      <c r="P815" s="13">
        <f t="shared" si="84"/>
        <v>0</v>
      </c>
      <c r="Q815" s="12">
        <f t="shared" si="86"/>
        <v>0</v>
      </c>
      <c r="R815" s="12">
        <f t="shared" si="87"/>
        <v>0</v>
      </c>
      <c r="S815" s="12">
        <f t="shared" si="88"/>
        <v>0</v>
      </c>
      <c r="T815" s="12">
        <f t="shared" si="89"/>
        <v>0</v>
      </c>
      <c r="U815" s="14" t="str">
        <f t="shared" si="90"/>
        <v/>
      </c>
    </row>
    <row r="816" spans="12:21" x14ac:dyDescent="0.25">
      <c r="L816" s="18">
        <f t="shared" si="85"/>
        <v>0</v>
      </c>
      <c r="M816" s="13" t="e">
        <f>VLOOKUP(G816,Sell!G:L,1,0)</f>
        <v>#N/A</v>
      </c>
      <c r="N816" s="13">
        <f>IFERROR(VLOOKUP(G816,Sell!G:L,2,0),0)</f>
        <v>0</v>
      </c>
      <c r="O816" s="12">
        <f>IFERROR(VLOOKUP(G816,Sell!G:L,6,0),0)</f>
        <v>0</v>
      </c>
      <c r="P816" s="13">
        <f t="shared" si="84"/>
        <v>0</v>
      </c>
      <c r="Q816" s="12">
        <f t="shared" si="86"/>
        <v>0</v>
      </c>
      <c r="R816" s="12">
        <f t="shared" si="87"/>
        <v>0</v>
      </c>
      <c r="S816" s="12">
        <f t="shared" si="88"/>
        <v>0</v>
      </c>
      <c r="T816" s="12">
        <f t="shared" si="89"/>
        <v>0</v>
      </c>
      <c r="U816" s="14" t="str">
        <f t="shared" si="90"/>
        <v/>
      </c>
    </row>
    <row r="817" spans="12:21" x14ac:dyDescent="0.25">
      <c r="L817" s="18">
        <f t="shared" si="85"/>
        <v>0</v>
      </c>
      <c r="M817" s="13" t="e">
        <f>VLOOKUP(G817,Sell!G:L,1,0)</f>
        <v>#N/A</v>
      </c>
      <c r="N817" s="13">
        <f>IFERROR(VLOOKUP(G817,Sell!G:L,2,0),0)</f>
        <v>0</v>
      </c>
      <c r="O817" s="12">
        <f>IFERROR(VLOOKUP(G817,Sell!G:L,6,0),0)</f>
        <v>0</v>
      </c>
      <c r="P817" s="13">
        <f t="shared" si="84"/>
        <v>0</v>
      </c>
      <c r="Q817" s="12">
        <f t="shared" si="86"/>
        <v>0</v>
      </c>
      <c r="R817" s="12">
        <f t="shared" si="87"/>
        <v>0</v>
      </c>
      <c r="S817" s="12">
        <f t="shared" si="88"/>
        <v>0</v>
      </c>
      <c r="T817" s="12">
        <f t="shared" si="89"/>
        <v>0</v>
      </c>
      <c r="U817" s="14" t="str">
        <f t="shared" si="90"/>
        <v/>
      </c>
    </row>
    <row r="818" spans="12:21" x14ac:dyDescent="0.25">
      <c r="L818" s="18">
        <f t="shared" si="85"/>
        <v>0</v>
      </c>
      <c r="M818" s="13" t="e">
        <f>VLOOKUP(G818,Sell!G:L,1,0)</f>
        <v>#N/A</v>
      </c>
      <c r="N818" s="13">
        <f>IFERROR(VLOOKUP(G818,Sell!G:L,2,0),0)</f>
        <v>0</v>
      </c>
      <c r="O818" s="12">
        <f>IFERROR(VLOOKUP(G818,Sell!G:L,6,0),0)</f>
        <v>0</v>
      </c>
      <c r="P818" s="13">
        <f t="shared" si="84"/>
        <v>0</v>
      </c>
      <c r="Q818" s="12">
        <f t="shared" si="86"/>
        <v>0</v>
      </c>
      <c r="R818" s="12">
        <f t="shared" si="87"/>
        <v>0</v>
      </c>
      <c r="S818" s="12">
        <f t="shared" si="88"/>
        <v>0</v>
      </c>
      <c r="T818" s="12">
        <f t="shared" si="89"/>
        <v>0</v>
      </c>
      <c r="U818" s="14" t="str">
        <f t="shared" si="90"/>
        <v/>
      </c>
    </row>
    <row r="819" spans="12:21" x14ac:dyDescent="0.25">
      <c r="L819" s="18">
        <f t="shared" si="85"/>
        <v>0</v>
      </c>
      <c r="M819" s="13" t="e">
        <f>VLOOKUP(G819,Sell!G:L,1,0)</f>
        <v>#N/A</v>
      </c>
      <c r="N819" s="13">
        <f>IFERROR(VLOOKUP(G819,Sell!G:L,2,0),0)</f>
        <v>0</v>
      </c>
      <c r="O819" s="12">
        <f>IFERROR(VLOOKUP(G819,Sell!G:L,6,0),0)</f>
        <v>0</v>
      </c>
      <c r="P819" s="13">
        <f t="shared" si="84"/>
        <v>0</v>
      </c>
      <c r="Q819" s="12">
        <f t="shared" si="86"/>
        <v>0</v>
      </c>
      <c r="R819" s="12">
        <f t="shared" si="87"/>
        <v>0</v>
      </c>
      <c r="S819" s="12">
        <f t="shared" si="88"/>
        <v>0</v>
      </c>
      <c r="T819" s="12">
        <f t="shared" si="89"/>
        <v>0</v>
      </c>
      <c r="U819" s="14" t="str">
        <f t="shared" si="90"/>
        <v/>
      </c>
    </row>
    <row r="820" spans="12:21" x14ac:dyDescent="0.25">
      <c r="L820" s="18">
        <f t="shared" si="85"/>
        <v>0</v>
      </c>
      <c r="M820" s="13" t="e">
        <f>VLOOKUP(G820,Sell!G:L,1,0)</f>
        <v>#N/A</v>
      </c>
      <c r="N820" s="13">
        <f>IFERROR(VLOOKUP(G820,Sell!G:L,2,0),0)</f>
        <v>0</v>
      </c>
      <c r="O820" s="12">
        <f>IFERROR(VLOOKUP(G820,Sell!G:L,6,0),0)</f>
        <v>0</v>
      </c>
      <c r="P820" s="13">
        <f t="shared" si="84"/>
        <v>0</v>
      </c>
      <c r="Q820" s="12">
        <f t="shared" si="86"/>
        <v>0</v>
      </c>
      <c r="R820" s="12">
        <f t="shared" si="87"/>
        <v>0</v>
      </c>
      <c r="S820" s="12">
        <f t="shared" si="88"/>
        <v>0</v>
      </c>
      <c r="T820" s="12">
        <f t="shared" si="89"/>
        <v>0</v>
      </c>
      <c r="U820" s="14" t="str">
        <f t="shared" si="90"/>
        <v/>
      </c>
    </row>
    <row r="821" spans="12:21" x14ac:dyDescent="0.25">
      <c r="L821" s="18">
        <f t="shared" si="85"/>
        <v>0</v>
      </c>
      <c r="M821" s="13" t="e">
        <f>VLOOKUP(G821,Sell!G:L,1,0)</f>
        <v>#N/A</v>
      </c>
      <c r="N821" s="13">
        <f>IFERROR(VLOOKUP(G821,Sell!G:L,2,0),0)</f>
        <v>0</v>
      </c>
      <c r="O821" s="12">
        <f>IFERROR(VLOOKUP(G821,Sell!G:L,6,0),0)</f>
        <v>0</v>
      </c>
      <c r="P821" s="13">
        <f t="shared" si="84"/>
        <v>0</v>
      </c>
      <c r="Q821" s="12">
        <f t="shared" si="86"/>
        <v>0</v>
      </c>
      <c r="R821" s="12">
        <f t="shared" si="87"/>
        <v>0</v>
      </c>
      <c r="S821" s="12">
        <f t="shared" si="88"/>
        <v>0</v>
      </c>
      <c r="T821" s="12">
        <f t="shared" si="89"/>
        <v>0</v>
      </c>
      <c r="U821" s="14" t="str">
        <f t="shared" si="90"/>
        <v/>
      </c>
    </row>
    <row r="822" spans="12:21" x14ac:dyDescent="0.25">
      <c r="L822" s="18">
        <f t="shared" si="85"/>
        <v>0</v>
      </c>
      <c r="M822" s="13" t="e">
        <f>VLOOKUP(G822,Sell!G:L,1,0)</f>
        <v>#N/A</v>
      </c>
      <c r="N822" s="13">
        <f>IFERROR(VLOOKUP(G822,Sell!G:L,2,0),0)</f>
        <v>0</v>
      </c>
      <c r="O822" s="12">
        <f>IFERROR(VLOOKUP(G822,Sell!G:L,6,0),0)</f>
        <v>0</v>
      </c>
      <c r="P822" s="13">
        <f t="shared" si="84"/>
        <v>0</v>
      </c>
      <c r="Q822" s="12">
        <f t="shared" si="86"/>
        <v>0</v>
      </c>
      <c r="R822" s="12">
        <f t="shared" si="87"/>
        <v>0</v>
      </c>
      <c r="S822" s="12">
        <f t="shared" si="88"/>
        <v>0</v>
      </c>
      <c r="T822" s="12">
        <f t="shared" si="89"/>
        <v>0</v>
      </c>
      <c r="U822" s="14" t="str">
        <f t="shared" si="90"/>
        <v/>
      </c>
    </row>
    <row r="823" spans="12:21" x14ac:dyDescent="0.25">
      <c r="L823" s="18">
        <f t="shared" si="85"/>
        <v>0</v>
      </c>
      <c r="M823" s="13" t="e">
        <f>VLOOKUP(G823,Sell!G:L,1,0)</f>
        <v>#N/A</v>
      </c>
      <c r="N823" s="13">
        <f>IFERROR(VLOOKUP(G823,Sell!G:L,2,0),0)</f>
        <v>0</v>
      </c>
      <c r="O823" s="12">
        <f>IFERROR(VLOOKUP(G823,Sell!G:L,6,0),0)</f>
        <v>0</v>
      </c>
      <c r="P823" s="13">
        <f t="shared" si="84"/>
        <v>0</v>
      </c>
      <c r="Q823" s="12">
        <f t="shared" si="86"/>
        <v>0</v>
      </c>
      <c r="R823" s="12">
        <f t="shared" si="87"/>
        <v>0</v>
      </c>
      <c r="S823" s="12">
        <f t="shared" si="88"/>
        <v>0</v>
      </c>
      <c r="T823" s="12">
        <f t="shared" si="89"/>
        <v>0</v>
      </c>
      <c r="U823" s="14" t="str">
        <f t="shared" si="90"/>
        <v/>
      </c>
    </row>
    <row r="824" spans="12:21" x14ac:dyDescent="0.25">
      <c r="L824" s="18">
        <f t="shared" si="85"/>
        <v>0</v>
      </c>
      <c r="M824" s="13" t="e">
        <f>VLOOKUP(G824,Sell!G:L,1,0)</f>
        <v>#N/A</v>
      </c>
      <c r="N824" s="13">
        <f>IFERROR(VLOOKUP(G824,Sell!G:L,2,0),0)</f>
        <v>0</v>
      </c>
      <c r="O824" s="12">
        <f>IFERROR(VLOOKUP(G824,Sell!G:L,6,0),0)</f>
        <v>0</v>
      </c>
      <c r="P824" s="13">
        <f t="shared" si="84"/>
        <v>0</v>
      </c>
      <c r="Q824" s="12">
        <f t="shared" si="86"/>
        <v>0</v>
      </c>
      <c r="R824" s="12">
        <f t="shared" si="87"/>
        <v>0</v>
      </c>
      <c r="S824" s="12">
        <f t="shared" si="88"/>
        <v>0</v>
      </c>
      <c r="T824" s="12">
        <f t="shared" si="89"/>
        <v>0</v>
      </c>
      <c r="U824" s="14" t="str">
        <f t="shared" si="90"/>
        <v/>
      </c>
    </row>
    <row r="825" spans="12:21" x14ac:dyDescent="0.25">
      <c r="L825" s="18">
        <f t="shared" si="85"/>
        <v>0</v>
      </c>
      <c r="M825" s="13" t="e">
        <f>VLOOKUP(G825,Sell!G:L,1,0)</f>
        <v>#N/A</v>
      </c>
      <c r="N825" s="13">
        <f>IFERROR(VLOOKUP(G825,Sell!G:L,2,0),0)</f>
        <v>0</v>
      </c>
      <c r="O825" s="12">
        <f>IFERROR(VLOOKUP(G825,Sell!G:L,6,0),0)</f>
        <v>0</v>
      </c>
      <c r="P825" s="13">
        <f t="shared" si="84"/>
        <v>0</v>
      </c>
      <c r="Q825" s="12">
        <f t="shared" si="86"/>
        <v>0</v>
      </c>
      <c r="R825" s="12">
        <f t="shared" si="87"/>
        <v>0</v>
      </c>
      <c r="S825" s="12">
        <f t="shared" si="88"/>
        <v>0</v>
      </c>
      <c r="T825" s="12">
        <f t="shared" si="89"/>
        <v>0</v>
      </c>
      <c r="U825" s="14" t="str">
        <f t="shared" si="90"/>
        <v/>
      </c>
    </row>
    <row r="826" spans="12:21" x14ac:dyDescent="0.25">
      <c r="L826" s="18">
        <f t="shared" si="85"/>
        <v>0</v>
      </c>
      <c r="M826" s="13" t="e">
        <f>VLOOKUP(G826,Sell!G:L,1,0)</f>
        <v>#N/A</v>
      </c>
      <c r="N826" s="13">
        <f>IFERROR(VLOOKUP(G826,Sell!G:L,2,0),0)</f>
        <v>0</v>
      </c>
      <c r="O826" s="12">
        <f>IFERROR(VLOOKUP(G826,Sell!G:L,6,0),0)</f>
        <v>0</v>
      </c>
      <c r="P826" s="13">
        <f t="shared" si="84"/>
        <v>0</v>
      </c>
      <c r="Q826" s="12">
        <f t="shared" si="86"/>
        <v>0</v>
      </c>
      <c r="R826" s="12">
        <f t="shared" si="87"/>
        <v>0</v>
      </c>
      <c r="S826" s="12">
        <f t="shared" si="88"/>
        <v>0</v>
      </c>
      <c r="T826" s="12">
        <f t="shared" si="89"/>
        <v>0</v>
      </c>
      <c r="U826" s="14" t="str">
        <f t="shared" si="90"/>
        <v/>
      </c>
    </row>
    <row r="827" spans="12:21" x14ac:dyDescent="0.25">
      <c r="L827" s="18">
        <f t="shared" si="85"/>
        <v>0</v>
      </c>
      <c r="M827" s="13" t="e">
        <f>VLOOKUP(G827,Sell!G:L,1,0)</f>
        <v>#N/A</v>
      </c>
      <c r="N827" s="13">
        <f>IFERROR(VLOOKUP(G827,Sell!G:L,2,0),0)</f>
        <v>0</v>
      </c>
      <c r="O827" s="12">
        <f>IFERROR(VLOOKUP(G827,Sell!G:L,6,0),0)</f>
        <v>0</v>
      </c>
      <c r="P827" s="13">
        <f t="shared" si="84"/>
        <v>0</v>
      </c>
      <c r="Q827" s="12">
        <f t="shared" si="86"/>
        <v>0</v>
      </c>
      <c r="R827" s="12">
        <f t="shared" si="87"/>
        <v>0</v>
      </c>
      <c r="S827" s="12">
        <f t="shared" si="88"/>
        <v>0</v>
      </c>
      <c r="T827" s="12">
        <f t="shared" si="89"/>
        <v>0</v>
      </c>
      <c r="U827" s="14" t="str">
        <f t="shared" si="90"/>
        <v/>
      </c>
    </row>
    <row r="828" spans="12:21" x14ac:dyDescent="0.25">
      <c r="L828" s="18">
        <f t="shared" si="85"/>
        <v>0</v>
      </c>
      <c r="M828" s="13" t="e">
        <f>VLOOKUP(G828,Sell!G:L,1,0)</f>
        <v>#N/A</v>
      </c>
      <c r="N828" s="13">
        <f>IFERROR(VLOOKUP(G828,Sell!G:L,2,0),0)</f>
        <v>0</v>
      </c>
      <c r="O828" s="12">
        <f>IFERROR(VLOOKUP(G828,Sell!G:L,6,0),0)</f>
        <v>0</v>
      </c>
      <c r="P828" s="13">
        <f t="shared" si="84"/>
        <v>0</v>
      </c>
      <c r="Q828" s="12">
        <f t="shared" si="86"/>
        <v>0</v>
      </c>
      <c r="R828" s="12">
        <f t="shared" si="87"/>
        <v>0</v>
      </c>
      <c r="S828" s="12">
        <f t="shared" si="88"/>
        <v>0</v>
      </c>
      <c r="T828" s="12">
        <f t="shared" si="89"/>
        <v>0</v>
      </c>
      <c r="U828" s="14" t="str">
        <f t="shared" si="90"/>
        <v/>
      </c>
    </row>
    <row r="829" spans="12:21" x14ac:dyDescent="0.25">
      <c r="L829" s="18">
        <f t="shared" si="85"/>
        <v>0</v>
      </c>
      <c r="M829" s="13" t="e">
        <f>VLOOKUP(G829,Sell!G:L,1,0)</f>
        <v>#N/A</v>
      </c>
      <c r="N829" s="13">
        <f>IFERROR(VLOOKUP(G829,Sell!G:L,2,0),0)</f>
        <v>0</v>
      </c>
      <c r="O829" s="12">
        <f>IFERROR(VLOOKUP(G829,Sell!G:L,6,0),0)</f>
        <v>0</v>
      </c>
      <c r="P829" s="13">
        <f t="shared" si="84"/>
        <v>0</v>
      </c>
      <c r="Q829" s="12">
        <f t="shared" si="86"/>
        <v>0</v>
      </c>
      <c r="R829" s="12">
        <f t="shared" si="87"/>
        <v>0</v>
      </c>
      <c r="S829" s="12">
        <f t="shared" si="88"/>
        <v>0</v>
      </c>
      <c r="T829" s="12">
        <f t="shared" si="89"/>
        <v>0</v>
      </c>
      <c r="U829" s="14" t="str">
        <f t="shared" si="90"/>
        <v/>
      </c>
    </row>
    <row r="830" spans="12:21" x14ac:dyDescent="0.25">
      <c r="L830" s="18">
        <f t="shared" si="85"/>
        <v>0</v>
      </c>
      <c r="M830" s="13" t="e">
        <f>VLOOKUP(G830,Sell!G:L,1,0)</f>
        <v>#N/A</v>
      </c>
      <c r="N830" s="13">
        <f>IFERROR(VLOOKUP(G830,Sell!G:L,2,0),0)</f>
        <v>0</v>
      </c>
      <c r="O830" s="12">
        <f>IFERROR(VLOOKUP(G830,Sell!G:L,6,0),0)</f>
        <v>0</v>
      </c>
      <c r="P830" s="13">
        <f t="shared" si="84"/>
        <v>0</v>
      </c>
      <c r="Q830" s="12">
        <f t="shared" si="86"/>
        <v>0</v>
      </c>
      <c r="R830" s="12">
        <f t="shared" si="87"/>
        <v>0</v>
      </c>
      <c r="S830" s="12">
        <f t="shared" si="88"/>
        <v>0</v>
      </c>
      <c r="T830" s="12">
        <f t="shared" si="89"/>
        <v>0</v>
      </c>
      <c r="U830" s="14" t="str">
        <f t="shared" si="90"/>
        <v/>
      </c>
    </row>
    <row r="831" spans="12:21" x14ac:dyDescent="0.25">
      <c r="L831" s="18">
        <f t="shared" si="85"/>
        <v>0</v>
      </c>
      <c r="M831" s="13" t="e">
        <f>VLOOKUP(G831,Sell!G:L,1,0)</f>
        <v>#N/A</v>
      </c>
      <c r="N831" s="13">
        <f>IFERROR(VLOOKUP(G831,Sell!G:L,2,0),0)</f>
        <v>0</v>
      </c>
      <c r="O831" s="12">
        <f>IFERROR(VLOOKUP(G831,Sell!G:L,6,0),0)</f>
        <v>0</v>
      </c>
      <c r="P831" s="13">
        <f t="shared" si="84"/>
        <v>0</v>
      </c>
      <c r="Q831" s="12">
        <f t="shared" si="86"/>
        <v>0</v>
      </c>
      <c r="R831" s="12">
        <f t="shared" si="87"/>
        <v>0</v>
      </c>
      <c r="S831" s="12">
        <f t="shared" si="88"/>
        <v>0</v>
      </c>
      <c r="T831" s="12">
        <f t="shared" si="89"/>
        <v>0</v>
      </c>
      <c r="U831" s="14" t="str">
        <f t="shared" si="90"/>
        <v/>
      </c>
    </row>
    <row r="832" spans="12:21" x14ac:dyDescent="0.25">
      <c r="L832" s="18">
        <f t="shared" si="85"/>
        <v>0</v>
      </c>
      <c r="M832" s="13" t="e">
        <f>VLOOKUP(G832,Sell!G:L,1,0)</f>
        <v>#N/A</v>
      </c>
      <c r="N832" s="13">
        <f>IFERROR(VLOOKUP(G832,Sell!G:L,2,0),0)</f>
        <v>0</v>
      </c>
      <c r="O832" s="12">
        <f>IFERROR(VLOOKUP(G832,Sell!G:L,6,0),0)</f>
        <v>0</v>
      </c>
      <c r="P832" s="13">
        <f t="shared" si="84"/>
        <v>0</v>
      </c>
      <c r="Q832" s="12">
        <f t="shared" si="86"/>
        <v>0</v>
      </c>
      <c r="R832" s="12">
        <f t="shared" si="87"/>
        <v>0</v>
      </c>
      <c r="S832" s="12">
        <f t="shared" si="88"/>
        <v>0</v>
      </c>
      <c r="T832" s="12">
        <f t="shared" si="89"/>
        <v>0</v>
      </c>
      <c r="U832" s="14" t="str">
        <f t="shared" si="90"/>
        <v/>
      </c>
    </row>
    <row r="833" spans="12:21" x14ac:dyDescent="0.25">
      <c r="L833" s="18">
        <f t="shared" si="85"/>
        <v>0</v>
      </c>
      <c r="M833" s="13" t="e">
        <f>VLOOKUP(G833,Sell!G:L,1,0)</f>
        <v>#N/A</v>
      </c>
      <c r="N833" s="13">
        <f>IFERROR(VLOOKUP(G833,Sell!G:L,2,0),0)</f>
        <v>0</v>
      </c>
      <c r="O833" s="12">
        <f>IFERROR(VLOOKUP(G833,Sell!G:L,6,0),0)</f>
        <v>0</v>
      </c>
      <c r="P833" s="13">
        <f t="shared" si="84"/>
        <v>0</v>
      </c>
      <c r="Q833" s="12">
        <f t="shared" si="86"/>
        <v>0</v>
      </c>
      <c r="R833" s="12">
        <f t="shared" si="87"/>
        <v>0</v>
      </c>
      <c r="S833" s="12">
        <f t="shared" si="88"/>
        <v>0</v>
      </c>
      <c r="T833" s="12">
        <f t="shared" si="89"/>
        <v>0</v>
      </c>
      <c r="U833" s="14" t="str">
        <f t="shared" si="90"/>
        <v/>
      </c>
    </row>
    <row r="834" spans="12:21" x14ac:dyDescent="0.25">
      <c r="L834" s="18">
        <f t="shared" si="85"/>
        <v>0</v>
      </c>
      <c r="M834" s="13" t="e">
        <f>VLOOKUP(G834,Sell!G:L,1,0)</f>
        <v>#N/A</v>
      </c>
      <c r="N834" s="13">
        <f>IFERROR(VLOOKUP(G834,Sell!G:L,2,0),0)</f>
        <v>0</v>
      </c>
      <c r="O834" s="12">
        <f>IFERROR(VLOOKUP(G834,Sell!G:L,6,0),0)</f>
        <v>0</v>
      </c>
      <c r="P834" s="13">
        <f t="shared" si="84"/>
        <v>0</v>
      </c>
      <c r="Q834" s="12">
        <f t="shared" si="86"/>
        <v>0</v>
      </c>
      <c r="R834" s="12">
        <f t="shared" si="87"/>
        <v>0</v>
      </c>
      <c r="S834" s="12">
        <f t="shared" si="88"/>
        <v>0</v>
      </c>
      <c r="T834" s="12">
        <f t="shared" si="89"/>
        <v>0</v>
      </c>
      <c r="U834" s="14" t="str">
        <f t="shared" si="90"/>
        <v/>
      </c>
    </row>
    <row r="835" spans="12:21" x14ac:dyDescent="0.25">
      <c r="L835" s="18">
        <f t="shared" si="85"/>
        <v>0</v>
      </c>
      <c r="M835" s="13" t="e">
        <f>VLOOKUP(G835,Sell!G:L,1,0)</f>
        <v>#N/A</v>
      </c>
      <c r="N835" s="13">
        <f>IFERROR(VLOOKUP(G835,Sell!G:L,2,0),0)</f>
        <v>0</v>
      </c>
      <c r="O835" s="12">
        <f>IFERROR(VLOOKUP(G835,Sell!G:L,6,0),0)</f>
        <v>0</v>
      </c>
      <c r="P835" s="13">
        <f t="shared" si="84"/>
        <v>0</v>
      </c>
      <c r="Q835" s="12">
        <f t="shared" si="86"/>
        <v>0</v>
      </c>
      <c r="R835" s="12">
        <f t="shared" si="87"/>
        <v>0</v>
      </c>
      <c r="S835" s="12">
        <f t="shared" si="88"/>
        <v>0</v>
      </c>
      <c r="T835" s="12">
        <f t="shared" si="89"/>
        <v>0</v>
      </c>
      <c r="U835" s="14" t="str">
        <f t="shared" si="90"/>
        <v/>
      </c>
    </row>
    <row r="836" spans="12:21" x14ac:dyDescent="0.25">
      <c r="L836" s="18">
        <f t="shared" si="85"/>
        <v>0</v>
      </c>
      <c r="M836" s="13" t="e">
        <f>VLOOKUP(G836,Sell!G:L,1,0)</f>
        <v>#N/A</v>
      </c>
      <c r="N836" s="13">
        <f>IFERROR(VLOOKUP(G836,Sell!G:L,2,0),0)</f>
        <v>0</v>
      </c>
      <c r="O836" s="12">
        <f>IFERROR(VLOOKUP(G836,Sell!G:L,6,0),0)</f>
        <v>0</v>
      </c>
      <c r="P836" s="13">
        <f t="shared" si="84"/>
        <v>0</v>
      </c>
      <c r="Q836" s="12">
        <f t="shared" si="86"/>
        <v>0</v>
      </c>
      <c r="R836" s="12">
        <f t="shared" si="87"/>
        <v>0</v>
      </c>
      <c r="S836" s="12">
        <f t="shared" si="88"/>
        <v>0</v>
      </c>
      <c r="T836" s="12">
        <f t="shared" si="89"/>
        <v>0</v>
      </c>
      <c r="U836" s="14" t="str">
        <f t="shared" si="90"/>
        <v/>
      </c>
    </row>
    <row r="837" spans="12:21" x14ac:dyDescent="0.25">
      <c r="L837" s="18">
        <f t="shared" si="85"/>
        <v>0</v>
      </c>
      <c r="M837" s="13" t="e">
        <f>VLOOKUP(G837,Sell!G:L,1,0)</f>
        <v>#N/A</v>
      </c>
      <c r="N837" s="13">
        <f>IFERROR(VLOOKUP(G837,Sell!G:L,2,0),0)</f>
        <v>0</v>
      </c>
      <c r="O837" s="12">
        <f>IFERROR(VLOOKUP(G837,Sell!G:L,6,0),0)</f>
        <v>0</v>
      </c>
      <c r="P837" s="13">
        <f t="shared" si="84"/>
        <v>0</v>
      </c>
      <c r="Q837" s="12">
        <f t="shared" si="86"/>
        <v>0</v>
      </c>
      <c r="R837" s="12">
        <f t="shared" si="87"/>
        <v>0</v>
      </c>
      <c r="S837" s="12">
        <f t="shared" si="88"/>
        <v>0</v>
      </c>
      <c r="T837" s="12">
        <f t="shared" si="89"/>
        <v>0</v>
      </c>
      <c r="U837" s="14" t="str">
        <f t="shared" si="90"/>
        <v/>
      </c>
    </row>
    <row r="838" spans="12:21" x14ac:dyDescent="0.25">
      <c r="L838" s="18">
        <f t="shared" si="85"/>
        <v>0</v>
      </c>
      <c r="M838" s="13" t="e">
        <f>VLOOKUP(G838,Sell!G:L,1,0)</f>
        <v>#N/A</v>
      </c>
      <c r="N838" s="13">
        <f>IFERROR(VLOOKUP(G838,Sell!G:L,2,0),0)</f>
        <v>0</v>
      </c>
      <c r="O838" s="12">
        <f>IFERROR(VLOOKUP(G838,Sell!G:L,6,0),0)</f>
        <v>0</v>
      </c>
      <c r="P838" s="13">
        <f t="shared" si="84"/>
        <v>0</v>
      </c>
      <c r="Q838" s="12">
        <f t="shared" si="86"/>
        <v>0</v>
      </c>
      <c r="R838" s="12">
        <f t="shared" si="87"/>
        <v>0</v>
      </c>
      <c r="S838" s="12">
        <f t="shared" si="88"/>
        <v>0</v>
      </c>
      <c r="T838" s="12">
        <f t="shared" si="89"/>
        <v>0</v>
      </c>
      <c r="U838" s="14" t="str">
        <f t="shared" si="90"/>
        <v/>
      </c>
    </row>
    <row r="839" spans="12:21" x14ac:dyDescent="0.25">
      <c r="L839" s="18">
        <f t="shared" si="85"/>
        <v>0</v>
      </c>
      <c r="M839" s="13" t="e">
        <f>VLOOKUP(G839,Sell!G:L,1,0)</f>
        <v>#N/A</v>
      </c>
      <c r="N839" s="13">
        <f>IFERROR(VLOOKUP(G839,Sell!G:L,2,0),0)</f>
        <v>0</v>
      </c>
      <c r="O839" s="12">
        <f>IFERROR(VLOOKUP(G839,Sell!G:L,6,0),0)</f>
        <v>0</v>
      </c>
      <c r="P839" s="13">
        <f t="shared" si="84"/>
        <v>0</v>
      </c>
      <c r="Q839" s="12">
        <f t="shared" si="86"/>
        <v>0</v>
      </c>
      <c r="R839" s="12">
        <f t="shared" si="87"/>
        <v>0</v>
      </c>
      <c r="S839" s="12">
        <f t="shared" si="88"/>
        <v>0</v>
      </c>
      <c r="T839" s="12">
        <f t="shared" si="89"/>
        <v>0</v>
      </c>
      <c r="U839" s="14" t="str">
        <f t="shared" si="90"/>
        <v/>
      </c>
    </row>
    <row r="840" spans="12:21" x14ac:dyDescent="0.25">
      <c r="L840" s="18">
        <f t="shared" si="85"/>
        <v>0</v>
      </c>
      <c r="M840" s="13" t="e">
        <f>VLOOKUP(G840,Sell!G:L,1,0)</f>
        <v>#N/A</v>
      </c>
      <c r="N840" s="13">
        <f>IFERROR(VLOOKUP(G840,Sell!G:L,2,0),0)</f>
        <v>0</v>
      </c>
      <c r="O840" s="12">
        <f>IFERROR(VLOOKUP(G840,Sell!G:L,6,0),0)</f>
        <v>0</v>
      </c>
      <c r="P840" s="13">
        <f t="shared" si="84"/>
        <v>0</v>
      </c>
      <c r="Q840" s="12">
        <f t="shared" si="86"/>
        <v>0</v>
      </c>
      <c r="R840" s="12">
        <f t="shared" si="87"/>
        <v>0</v>
      </c>
      <c r="S840" s="12">
        <f t="shared" si="88"/>
        <v>0</v>
      </c>
      <c r="T840" s="12">
        <f t="shared" si="89"/>
        <v>0</v>
      </c>
      <c r="U840" s="14" t="str">
        <f t="shared" si="90"/>
        <v/>
      </c>
    </row>
    <row r="841" spans="12:21" x14ac:dyDescent="0.25">
      <c r="L841" s="18">
        <f t="shared" si="85"/>
        <v>0</v>
      </c>
      <c r="M841" s="13" t="e">
        <f>VLOOKUP(G841,Sell!G:L,1,0)</f>
        <v>#N/A</v>
      </c>
      <c r="N841" s="13">
        <f>IFERROR(VLOOKUP(G841,Sell!G:L,2,0),0)</f>
        <v>0</v>
      </c>
      <c r="O841" s="12">
        <f>IFERROR(VLOOKUP(G841,Sell!G:L,6,0),0)</f>
        <v>0</v>
      </c>
      <c r="P841" s="13">
        <f t="shared" si="84"/>
        <v>0</v>
      </c>
      <c r="Q841" s="12">
        <f t="shared" si="86"/>
        <v>0</v>
      </c>
      <c r="R841" s="12">
        <f t="shared" si="87"/>
        <v>0</v>
      </c>
      <c r="S841" s="12">
        <f t="shared" si="88"/>
        <v>0</v>
      </c>
      <c r="T841" s="12">
        <f t="shared" si="89"/>
        <v>0</v>
      </c>
      <c r="U841" s="14" t="str">
        <f t="shared" si="90"/>
        <v/>
      </c>
    </row>
    <row r="842" spans="12:21" x14ac:dyDescent="0.25">
      <c r="L842" s="18">
        <f t="shared" si="85"/>
        <v>0</v>
      </c>
      <c r="M842" s="13" t="e">
        <f>VLOOKUP(G842,Sell!G:L,1,0)</f>
        <v>#N/A</v>
      </c>
      <c r="N842" s="13">
        <f>IFERROR(VLOOKUP(G842,Sell!G:L,2,0),0)</f>
        <v>0</v>
      </c>
      <c r="O842" s="12">
        <f>IFERROR(VLOOKUP(G842,Sell!G:L,6,0),0)</f>
        <v>0</v>
      </c>
      <c r="P842" s="13">
        <f t="shared" ref="P842:P905" si="91">H842-N842</f>
        <v>0</v>
      </c>
      <c r="Q842" s="12">
        <f t="shared" si="86"/>
        <v>0</v>
      </c>
      <c r="R842" s="12">
        <f t="shared" si="87"/>
        <v>0</v>
      </c>
      <c r="S842" s="12">
        <f t="shared" si="88"/>
        <v>0</v>
      </c>
      <c r="T842" s="12">
        <f t="shared" si="89"/>
        <v>0</v>
      </c>
      <c r="U842" s="14" t="str">
        <f t="shared" si="90"/>
        <v/>
      </c>
    </row>
    <row r="843" spans="12:21" x14ac:dyDescent="0.25">
      <c r="L843" s="18">
        <f t="shared" ref="L843:L906" si="92">J843+K843</f>
        <v>0</v>
      </c>
      <c r="M843" s="13" t="e">
        <f>VLOOKUP(G843,Sell!G:L,1,0)</f>
        <v>#N/A</v>
      </c>
      <c r="N843" s="13">
        <f>IFERROR(VLOOKUP(G843,Sell!G:L,2,0),0)</f>
        <v>0</v>
      </c>
      <c r="O843" s="12">
        <f>IFERROR(VLOOKUP(G843,Sell!G:L,6,0),0)</f>
        <v>0</v>
      </c>
      <c r="P843" s="13">
        <f t="shared" si="91"/>
        <v>0</v>
      </c>
      <c r="Q843" s="12">
        <f t="shared" ref="Q843:Q906" si="93">O843-L843</f>
        <v>0</v>
      </c>
      <c r="R843" s="12">
        <f t="shared" ref="R843:R906" si="94">IF(P843=0,Q843,0)</f>
        <v>0</v>
      </c>
      <c r="S843" s="12">
        <f t="shared" ref="S843:S906" si="95">IF(R843&gt;0,R843,0)</f>
        <v>0</v>
      </c>
      <c r="T843" s="12">
        <f t="shared" ref="T843:T906" si="96">IF(R843&gt;0,0,R843)</f>
        <v>0</v>
      </c>
      <c r="U843" s="14" t="str">
        <f t="shared" ref="U843:U906" si="97">IF(AND(LEN(G843)&gt;0,R843=0),"Open","")</f>
        <v/>
      </c>
    </row>
    <row r="844" spans="12:21" x14ac:dyDescent="0.25">
      <c r="L844" s="18">
        <f t="shared" si="92"/>
        <v>0</v>
      </c>
      <c r="M844" s="13" t="e">
        <f>VLOOKUP(G844,Sell!G:L,1,0)</f>
        <v>#N/A</v>
      </c>
      <c r="N844" s="13">
        <f>IFERROR(VLOOKUP(G844,Sell!G:L,2,0),0)</f>
        <v>0</v>
      </c>
      <c r="O844" s="12">
        <f>IFERROR(VLOOKUP(G844,Sell!G:L,6,0),0)</f>
        <v>0</v>
      </c>
      <c r="P844" s="13">
        <f t="shared" si="91"/>
        <v>0</v>
      </c>
      <c r="Q844" s="12">
        <f t="shared" si="93"/>
        <v>0</v>
      </c>
      <c r="R844" s="12">
        <f t="shared" si="94"/>
        <v>0</v>
      </c>
      <c r="S844" s="12">
        <f t="shared" si="95"/>
        <v>0</v>
      </c>
      <c r="T844" s="12">
        <f t="shared" si="96"/>
        <v>0</v>
      </c>
      <c r="U844" s="14" t="str">
        <f t="shared" si="97"/>
        <v/>
      </c>
    </row>
    <row r="845" spans="12:21" x14ac:dyDescent="0.25">
      <c r="L845" s="18">
        <f t="shared" si="92"/>
        <v>0</v>
      </c>
      <c r="M845" s="13" t="e">
        <f>VLOOKUP(G845,Sell!G:L,1,0)</f>
        <v>#N/A</v>
      </c>
      <c r="N845" s="13">
        <f>IFERROR(VLOOKUP(G845,Sell!G:L,2,0),0)</f>
        <v>0</v>
      </c>
      <c r="O845" s="12">
        <f>IFERROR(VLOOKUP(G845,Sell!G:L,6,0),0)</f>
        <v>0</v>
      </c>
      <c r="P845" s="13">
        <f t="shared" si="91"/>
        <v>0</v>
      </c>
      <c r="Q845" s="12">
        <f t="shared" si="93"/>
        <v>0</v>
      </c>
      <c r="R845" s="12">
        <f t="shared" si="94"/>
        <v>0</v>
      </c>
      <c r="S845" s="12">
        <f t="shared" si="95"/>
        <v>0</v>
      </c>
      <c r="T845" s="12">
        <f t="shared" si="96"/>
        <v>0</v>
      </c>
      <c r="U845" s="14" t="str">
        <f t="shared" si="97"/>
        <v/>
      </c>
    </row>
    <row r="846" spans="12:21" x14ac:dyDescent="0.25">
      <c r="L846" s="18">
        <f t="shared" si="92"/>
        <v>0</v>
      </c>
      <c r="M846" s="13" t="e">
        <f>VLOOKUP(G846,Sell!G:L,1,0)</f>
        <v>#N/A</v>
      </c>
      <c r="N846" s="13">
        <f>IFERROR(VLOOKUP(G846,Sell!G:L,2,0),0)</f>
        <v>0</v>
      </c>
      <c r="O846" s="12">
        <f>IFERROR(VLOOKUP(G846,Sell!G:L,6,0),0)</f>
        <v>0</v>
      </c>
      <c r="P846" s="13">
        <f t="shared" si="91"/>
        <v>0</v>
      </c>
      <c r="Q846" s="12">
        <f t="shared" si="93"/>
        <v>0</v>
      </c>
      <c r="R846" s="12">
        <f t="shared" si="94"/>
        <v>0</v>
      </c>
      <c r="S846" s="12">
        <f t="shared" si="95"/>
        <v>0</v>
      </c>
      <c r="T846" s="12">
        <f t="shared" si="96"/>
        <v>0</v>
      </c>
      <c r="U846" s="14" t="str">
        <f t="shared" si="97"/>
        <v/>
      </c>
    </row>
    <row r="847" spans="12:21" x14ac:dyDescent="0.25">
      <c r="L847" s="18">
        <f t="shared" si="92"/>
        <v>0</v>
      </c>
      <c r="M847" s="13" t="e">
        <f>VLOOKUP(G847,Sell!G:L,1,0)</f>
        <v>#N/A</v>
      </c>
      <c r="N847" s="13">
        <f>IFERROR(VLOOKUP(G847,Sell!G:L,2,0),0)</f>
        <v>0</v>
      </c>
      <c r="O847" s="12">
        <f>IFERROR(VLOOKUP(G847,Sell!G:L,6,0),0)</f>
        <v>0</v>
      </c>
      <c r="P847" s="13">
        <f t="shared" si="91"/>
        <v>0</v>
      </c>
      <c r="Q847" s="12">
        <f t="shared" si="93"/>
        <v>0</v>
      </c>
      <c r="R847" s="12">
        <f t="shared" si="94"/>
        <v>0</v>
      </c>
      <c r="S847" s="12">
        <f t="shared" si="95"/>
        <v>0</v>
      </c>
      <c r="T847" s="12">
        <f t="shared" si="96"/>
        <v>0</v>
      </c>
      <c r="U847" s="14" t="str">
        <f t="shared" si="97"/>
        <v/>
      </c>
    </row>
    <row r="848" spans="12:21" x14ac:dyDescent="0.25">
      <c r="L848" s="18">
        <f t="shared" si="92"/>
        <v>0</v>
      </c>
      <c r="M848" s="13" t="e">
        <f>VLOOKUP(G848,Sell!G:L,1,0)</f>
        <v>#N/A</v>
      </c>
      <c r="N848" s="13">
        <f>IFERROR(VLOOKUP(G848,Sell!G:L,2,0),0)</f>
        <v>0</v>
      </c>
      <c r="O848" s="12">
        <f>IFERROR(VLOOKUP(G848,Sell!G:L,6,0),0)</f>
        <v>0</v>
      </c>
      <c r="P848" s="13">
        <f t="shared" si="91"/>
        <v>0</v>
      </c>
      <c r="Q848" s="12">
        <f t="shared" si="93"/>
        <v>0</v>
      </c>
      <c r="R848" s="12">
        <f t="shared" si="94"/>
        <v>0</v>
      </c>
      <c r="S848" s="12">
        <f t="shared" si="95"/>
        <v>0</v>
      </c>
      <c r="T848" s="12">
        <f t="shared" si="96"/>
        <v>0</v>
      </c>
      <c r="U848" s="14" t="str">
        <f t="shared" si="97"/>
        <v/>
      </c>
    </row>
    <row r="849" spans="12:21" x14ac:dyDescent="0.25">
      <c r="L849" s="18">
        <f t="shared" si="92"/>
        <v>0</v>
      </c>
      <c r="M849" s="13" t="e">
        <f>VLOOKUP(G849,Sell!G:L,1,0)</f>
        <v>#N/A</v>
      </c>
      <c r="N849" s="13">
        <f>IFERROR(VLOOKUP(G849,Sell!G:L,2,0),0)</f>
        <v>0</v>
      </c>
      <c r="O849" s="12">
        <f>IFERROR(VLOOKUP(G849,Sell!G:L,6,0),0)</f>
        <v>0</v>
      </c>
      <c r="P849" s="13">
        <f t="shared" si="91"/>
        <v>0</v>
      </c>
      <c r="Q849" s="12">
        <f t="shared" si="93"/>
        <v>0</v>
      </c>
      <c r="R849" s="12">
        <f t="shared" si="94"/>
        <v>0</v>
      </c>
      <c r="S849" s="12">
        <f t="shared" si="95"/>
        <v>0</v>
      </c>
      <c r="T849" s="12">
        <f t="shared" si="96"/>
        <v>0</v>
      </c>
      <c r="U849" s="14" t="str">
        <f t="shared" si="97"/>
        <v/>
      </c>
    </row>
    <row r="850" spans="12:21" x14ac:dyDescent="0.25">
      <c r="L850" s="18">
        <f t="shared" si="92"/>
        <v>0</v>
      </c>
      <c r="M850" s="13" t="e">
        <f>VLOOKUP(G850,Sell!G:L,1,0)</f>
        <v>#N/A</v>
      </c>
      <c r="N850" s="13">
        <f>IFERROR(VLOOKUP(G850,Sell!G:L,2,0),0)</f>
        <v>0</v>
      </c>
      <c r="O850" s="12">
        <f>IFERROR(VLOOKUP(G850,Sell!G:L,6,0),0)</f>
        <v>0</v>
      </c>
      <c r="P850" s="13">
        <f t="shared" si="91"/>
        <v>0</v>
      </c>
      <c r="Q850" s="12">
        <f t="shared" si="93"/>
        <v>0</v>
      </c>
      <c r="R850" s="12">
        <f t="shared" si="94"/>
        <v>0</v>
      </c>
      <c r="S850" s="12">
        <f t="shared" si="95"/>
        <v>0</v>
      </c>
      <c r="T850" s="12">
        <f t="shared" si="96"/>
        <v>0</v>
      </c>
      <c r="U850" s="14" t="str">
        <f t="shared" si="97"/>
        <v/>
      </c>
    </row>
    <row r="851" spans="12:21" x14ac:dyDescent="0.25">
      <c r="L851" s="18">
        <f t="shared" si="92"/>
        <v>0</v>
      </c>
      <c r="M851" s="13" t="e">
        <f>VLOOKUP(G851,Sell!G:L,1,0)</f>
        <v>#N/A</v>
      </c>
      <c r="N851" s="13">
        <f>IFERROR(VLOOKUP(G851,Sell!G:L,2,0),0)</f>
        <v>0</v>
      </c>
      <c r="O851" s="12">
        <f>IFERROR(VLOOKUP(G851,Sell!G:L,6,0),0)</f>
        <v>0</v>
      </c>
      <c r="P851" s="13">
        <f t="shared" si="91"/>
        <v>0</v>
      </c>
      <c r="Q851" s="12">
        <f t="shared" si="93"/>
        <v>0</v>
      </c>
      <c r="R851" s="12">
        <f t="shared" si="94"/>
        <v>0</v>
      </c>
      <c r="S851" s="12">
        <f t="shared" si="95"/>
        <v>0</v>
      </c>
      <c r="T851" s="12">
        <f t="shared" si="96"/>
        <v>0</v>
      </c>
      <c r="U851" s="14" t="str">
        <f t="shared" si="97"/>
        <v/>
      </c>
    </row>
    <row r="852" spans="12:21" x14ac:dyDescent="0.25">
      <c r="L852" s="18">
        <f t="shared" si="92"/>
        <v>0</v>
      </c>
      <c r="M852" s="13" t="e">
        <f>VLOOKUP(G852,Sell!G:L,1,0)</f>
        <v>#N/A</v>
      </c>
      <c r="N852" s="13">
        <f>IFERROR(VLOOKUP(G852,Sell!G:L,2,0),0)</f>
        <v>0</v>
      </c>
      <c r="O852" s="12">
        <f>IFERROR(VLOOKUP(G852,Sell!G:L,6,0),0)</f>
        <v>0</v>
      </c>
      <c r="P852" s="13">
        <f t="shared" si="91"/>
        <v>0</v>
      </c>
      <c r="Q852" s="12">
        <f t="shared" si="93"/>
        <v>0</v>
      </c>
      <c r="R852" s="12">
        <f t="shared" si="94"/>
        <v>0</v>
      </c>
      <c r="S852" s="12">
        <f t="shared" si="95"/>
        <v>0</v>
      </c>
      <c r="T852" s="12">
        <f t="shared" si="96"/>
        <v>0</v>
      </c>
      <c r="U852" s="14" t="str">
        <f t="shared" si="97"/>
        <v/>
      </c>
    </row>
    <row r="853" spans="12:21" x14ac:dyDescent="0.25">
      <c r="L853" s="18">
        <f t="shared" si="92"/>
        <v>0</v>
      </c>
      <c r="M853" s="13" t="e">
        <f>VLOOKUP(G853,Sell!G:L,1,0)</f>
        <v>#N/A</v>
      </c>
      <c r="N853" s="13">
        <f>IFERROR(VLOOKUP(G853,Sell!G:L,2,0),0)</f>
        <v>0</v>
      </c>
      <c r="O853" s="12">
        <f>IFERROR(VLOOKUP(G853,Sell!G:L,6,0),0)</f>
        <v>0</v>
      </c>
      <c r="P853" s="13">
        <f t="shared" si="91"/>
        <v>0</v>
      </c>
      <c r="Q853" s="12">
        <f t="shared" si="93"/>
        <v>0</v>
      </c>
      <c r="R853" s="12">
        <f t="shared" si="94"/>
        <v>0</v>
      </c>
      <c r="S853" s="12">
        <f t="shared" si="95"/>
        <v>0</v>
      </c>
      <c r="T853" s="12">
        <f t="shared" si="96"/>
        <v>0</v>
      </c>
      <c r="U853" s="14" t="str">
        <f t="shared" si="97"/>
        <v/>
      </c>
    </row>
    <row r="854" spans="12:21" x14ac:dyDescent="0.25">
      <c r="L854" s="18">
        <f t="shared" si="92"/>
        <v>0</v>
      </c>
      <c r="M854" s="13" t="e">
        <f>VLOOKUP(G854,Sell!G:L,1,0)</f>
        <v>#N/A</v>
      </c>
      <c r="N854" s="13">
        <f>IFERROR(VLOOKUP(G854,Sell!G:L,2,0),0)</f>
        <v>0</v>
      </c>
      <c r="O854" s="12">
        <f>IFERROR(VLOOKUP(G854,Sell!G:L,6,0),0)</f>
        <v>0</v>
      </c>
      <c r="P854" s="13">
        <f t="shared" si="91"/>
        <v>0</v>
      </c>
      <c r="Q854" s="12">
        <f t="shared" si="93"/>
        <v>0</v>
      </c>
      <c r="R854" s="12">
        <f t="shared" si="94"/>
        <v>0</v>
      </c>
      <c r="S854" s="12">
        <f t="shared" si="95"/>
        <v>0</v>
      </c>
      <c r="T854" s="12">
        <f t="shared" si="96"/>
        <v>0</v>
      </c>
      <c r="U854" s="14" t="str">
        <f t="shared" si="97"/>
        <v/>
      </c>
    </row>
    <row r="855" spans="12:21" x14ac:dyDescent="0.25">
      <c r="L855" s="18">
        <f t="shared" si="92"/>
        <v>0</v>
      </c>
      <c r="M855" s="13" t="e">
        <f>VLOOKUP(G855,Sell!G:L,1,0)</f>
        <v>#N/A</v>
      </c>
      <c r="N855" s="13">
        <f>IFERROR(VLOOKUP(G855,Sell!G:L,2,0),0)</f>
        <v>0</v>
      </c>
      <c r="O855" s="12">
        <f>IFERROR(VLOOKUP(G855,Sell!G:L,6,0),0)</f>
        <v>0</v>
      </c>
      <c r="P855" s="13">
        <f t="shared" si="91"/>
        <v>0</v>
      </c>
      <c r="Q855" s="12">
        <f t="shared" si="93"/>
        <v>0</v>
      </c>
      <c r="R855" s="12">
        <f t="shared" si="94"/>
        <v>0</v>
      </c>
      <c r="S855" s="12">
        <f t="shared" si="95"/>
        <v>0</v>
      </c>
      <c r="T855" s="12">
        <f t="shared" si="96"/>
        <v>0</v>
      </c>
      <c r="U855" s="14" t="str">
        <f t="shared" si="97"/>
        <v/>
      </c>
    </row>
    <row r="856" spans="12:21" x14ac:dyDescent="0.25">
      <c r="L856" s="18">
        <f t="shared" si="92"/>
        <v>0</v>
      </c>
      <c r="M856" s="13" t="e">
        <f>VLOOKUP(G856,Sell!G:L,1,0)</f>
        <v>#N/A</v>
      </c>
      <c r="N856" s="13">
        <f>IFERROR(VLOOKUP(G856,Sell!G:L,2,0),0)</f>
        <v>0</v>
      </c>
      <c r="O856" s="12">
        <f>IFERROR(VLOOKUP(G856,Sell!G:L,6,0),0)</f>
        <v>0</v>
      </c>
      <c r="P856" s="13">
        <f t="shared" si="91"/>
        <v>0</v>
      </c>
      <c r="Q856" s="12">
        <f t="shared" si="93"/>
        <v>0</v>
      </c>
      <c r="R856" s="12">
        <f t="shared" si="94"/>
        <v>0</v>
      </c>
      <c r="S856" s="12">
        <f t="shared" si="95"/>
        <v>0</v>
      </c>
      <c r="T856" s="12">
        <f t="shared" si="96"/>
        <v>0</v>
      </c>
      <c r="U856" s="14" t="str">
        <f t="shared" si="97"/>
        <v/>
      </c>
    </row>
    <row r="857" spans="12:21" x14ac:dyDescent="0.25">
      <c r="L857" s="18">
        <f t="shared" si="92"/>
        <v>0</v>
      </c>
      <c r="M857" s="13" t="e">
        <f>VLOOKUP(G857,Sell!G:L,1,0)</f>
        <v>#N/A</v>
      </c>
      <c r="N857" s="13">
        <f>IFERROR(VLOOKUP(G857,Sell!G:L,2,0),0)</f>
        <v>0</v>
      </c>
      <c r="O857" s="12">
        <f>IFERROR(VLOOKUP(G857,Sell!G:L,6,0),0)</f>
        <v>0</v>
      </c>
      <c r="P857" s="13">
        <f t="shared" si="91"/>
        <v>0</v>
      </c>
      <c r="Q857" s="12">
        <f t="shared" si="93"/>
        <v>0</v>
      </c>
      <c r="R857" s="12">
        <f t="shared" si="94"/>
        <v>0</v>
      </c>
      <c r="S857" s="12">
        <f t="shared" si="95"/>
        <v>0</v>
      </c>
      <c r="T857" s="12">
        <f t="shared" si="96"/>
        <v>0</v>
      </c>
      <c r="U857" s="14" t="str">
        <f t="shared" si="97"/>
        <v/>
      </c>
    </row>
    <row r="858" spans="12:21" x14ac:dyDescent="0.25">
      <c r="L858" s="18">
        <f t="shared" si="92"/>
        <v>0</v>
      </c>
      <c r="M858" s="13" t="e">
        <f>VLOOKUP(G858,Sell!G:L,1,0)</f>
        <v>#N/A</v>
      </c>
      <c r="N858" s="13">
        <f>IFERROR(VLOOKUP(G858,Sell!G:L,2,0),0)</f>
        <v>0</v>
      </c>
      <c r="O858" s="12">
        <f>IFERROR(VLOOKUP(G858,Sell!G:L,6,0),0)</f>
        <v>0</v>
      </c>
      <c r="P858" s="13">
        <f t="shared" si="91"/>
        <v>0</v>
      </c>
      <c r="Q858" s="12">
        <f t="shared" si="93"/>
        <v>0</v>
      </c>
      <c r="R858" s="12">
        <f t="shared" si="94"/>
        <v>0</v>
      </c>
      <c r="S858" s="12">
        <f t="shared" si="95"/>
        <v>0</v>
      </c>
      <c r="T858" s="12">
        <f t="shared" si="96"/>
        <v>0</v>
      </c>
      <c r="U858" s="14" t="str">
        <f t="shared" si="97"/>
        <v/>
      </c>
    </row>
    <row r="859" spans="12:21" x14ac:dyDescent="0.25">
      <c r="L859" s="18">
        <f t="shared" si="92"/>
        <v>0</v>
      </c>
      <c r="M859" s="13" t="e">
        <f>VLOOKUP(G859,Sell!G:L,1,0)</f>
        <v>#N/A</v>
      </c>
      <c r="N859" s="13">
        <f>IFERROR(VLOOKUP(G859,Sell!G:L,2,0),0)</f>
        <v>0</v>
      </c>
      <c r="O859" s="12">
        <f>IFERROR(VLOOKUP(G859,Sell!G:L,6,0),0)</f>
        <v>0</v>
      </c>
      <c r="P859" s="13">
        <f t="shared" si="91"/>
        <v>0</v>
      </c>
      <c r="Q859" s="12">
        <f t="shared" si="93"/>
        <v>0</v>
      </c>
      <c r="R859" s="12">
        <f t="shared" si="94"/>
        <v>0</v>
      </c>
      <c r="S859" s="12">
        <f t="shared" si="95"/>
        <v>0</v>
      </c>
      <c r="T859" s="12">
        <f t="shared" si="96"/>
        <v>0</v>
      </c>
      <c r="U859" s="14" t="str">
        <f t="shared" si="97"/>
        <v/>
      </c>
    </row>
    <row r="860" spans="12:21" x14ac:dyDescent="0.25">
      <c r="L860" s="18">
        <f t="shared" si="92"/>
        <v>0</v>
      </c>
      <c r="M860" s="13" t="e">
        <f>VLOOKUP(G860,Sell!G:L,1,0)</f>
        <v>#N/A</v>
      </c>
      <c r="N860" s="13">
        <f>IFERROR(VLOOKUP(G860,Sell!G:L,2,0),0)</f>
        <v>0</v>
      </c>
      <c r="O860" s="12">
        <f>IFERROR(VLOOKUP(G860,Sell!G:L,6,0),0)</f>
        <v>0</v>
      </c>
      <c r="P860" s="13">
        <f t="shared" si="91"/>
        <v>0</v>
      </c>
      <c r="Q860" s="12">
        <f t="shared" si="93"/>
        <v>0</v>
      </c>
      <c r="R860" s="12">
        <f t="shared" si="94"/>
        <v>0</v>
      </c>
      <c r="S860" s="12">
        <f t="shared" si="95"/>
        <v>0</v>
      </c>
      <c r="T860" s="12">
        <f t="shared" si="96"/>
        <v>0</v>
      </c>
      <c r="U860" s="14" t="str">
        <f t="shared" si="97"/>
        <v/>
      </c>
    </row>
    <row r="861" spans="12:21" x14ac:dyDescent="0.25">
      <c r="L861" s="18">
        <f t="shared" si="92"/>
        <v>0</v>
      </c>
      <c r="M861" s="13" t="e">
        <f>VLOOKUP(G861,Sell!G:L,1,0)</f>
        <v>#N/A</v>
      </c>
      <c r="N861" s="13">
        <f>IFERROR(VLOOKUP(G861,Sell!G:L,2,0),0)</f>
        <v>0</v>
      </c>
      <c r="O861" s="12">
        <f>IFERROR(VLOOKUP(G861,Sell!G:L,6,0),0)</f>
        <v>0</v>
      </c>
      <c r="P861" s="13">
        <f t="shared" si="91"/>
        <v>0</v>
      </c>
      <c r="Q861" s="12">
        <f t="shared" si="93"/>
        <v>0</v>
      </c>
      <c r="R861" s="12">
        <f t="shared" si="94"/>
        <v>0</v>
      </c>
      <c r="S861" s="12">
        <f t="shared" si="95"/>
        <v>0</v>
      </c>
      <c r="T861" s="12">
        <f t="shared" si="96"/>
        <v>0</v>
      </c>
      <c r="U861" s="14" t="str">
        <f t="shared" si="97"/>
        <v/>
      </c>
    </row>
    <row r="862" spans="12:21" x14ac:dyDescent="0.25">
      <c r="L862" s="18">
        <f t="shared" si="92"/>
        <v>0</v>
      </c>
      <c r="M862" s="13" t="e">
        <f>VLOOKUP(G862,Sell!G:L,1,0)</f>
        <v>#N/A</v>
      </c>
      <c r="N862" s="13">
        <f>IFERROR(VLOOKUP(G862,Sell!G:L,2,0),0)</f>
        <v>0</v>
      </c>
      <c r="O862" s="12">
        <f>IFERROR(VLOOKUP(G862,Sell!G:L,6,0),0)</f>
        <v>0</v>
      </c>
      <c r="P862" s="13">
        <f t="shared" si="91"/>
        <v>0</v>
      </c>
      <c r="Q862" s="12">
        <f t="shared" si="93"/>
        <v>0</v>
      </c>
      <c r="R862" s="12">
        <f t="shared" si="94"/>
        <v>0</v>
      </c>
      <c r="S862" s="12">
        <f t="shared" si="95"/>
        <v>0</v>
      </c>
      <c r="T862" s="12">
        <f t="shared" si="96"/>
        <v>0</v>
      </c>
      <c r="U862" s="14" t="str">
        <f t="shared" si="97"/>
        <v/>
      </c>
    </row>
    <row r="863" spans="12:21" x14ac:dyDescent="0.25">
      <c r="L863" s="18">
        <f t="shared" si="92"/>
        <v>0</v>
      </c>
      <c r="M863" s="13" t="e">
        <f>VLOOKUP(G863,Sell!G:L,1,0)</f>
        <v>#N/A</v>
      </c>
      <c r="N863" s="13">
        <f>IFERROR(VLOOKUP(G863,Sell!G:L,2,0),0)</f>
        <v>0</v>
      </c>
      <c r="O863" s="12">
        <f>IFERROR(VLOOKUP(G863,Sell!G:L,6,0),0)</f>
        <v>0</v>
      </c>
      <c r="P863" s="13">
        <f t="shared" si="91"/>
        <v>0</v>
      </c>
      <c r="Q863" s="12">
        <f t="shared" si="93"/>
        <v>0</v>
      </c>
      <c r="R863" s="12">
        <f t="shared" si="94"/>
        <v>0</v>
      </c>
      <c r="S863" s="12">
        <f t="shared" si="95"/>
        <v>0</v>
      </c>
      <c r="T863" s="12">
        <f t="shared" si="96"/>
        <v>0</v>
      </c>
      <c r="U863" s="14" t="str">
        <f t="shared" si="97"/>
        <v/>
      </c>
    </row>
    <row r="864" spans="12:21" x14ac:dyDescent="0.25">
      <c r="L864" s="18">
        <f t="shared" si="92"/>
        <v>0</v>
      </c>
      <c r="M864" s="13" t="e">
        <f>VLOOKUP(G864,Sell!G:L,1,0)</f>
        <v>#N/A</v>
      </c>
      <c r="N864" s="13">
        <f>IFERROR(VLOOKUP(G864,Sell!G:L,2,0),0)</f>
        <v>0</v>
      </c>
      <c r="O864" s="12">
        <f>IFERROR(VLOOKUP(G864,Sell!G:L,6,0),0)</f>
        <v>0</v>
      </c>
      <c r="P864" s="13">
        <f t="shared" si="91"/>
        <v>0</v>
      </c>
      <c r="Q864" s="12">
        <f t="shared" si="93"/>
        <v>0</v>
      </c>
      <c r="R864" s="12">
        <f t="shared" si="94"/>
        <v>0</v>
      </c>
      <c r="S864" s="12">
        <f t="shared" si="95"/>
        <v>0</v>
      </c>
      <c r="T864" s="12">
        <f t="shared" si="96"/>
        <v>0</v>
      </c>
      <c r="U864" s="14" t="str">
        <f t="shared" si="97"/>
        <v/>
      </c>
    </row>
    <row r="865" spans="12:21" x14ac:dyDescent="0.25">
      <c r="L865" s="18">
        <f t="shared" si="92"/>
        <v>0</v>
      </c>
      <c r="M865" s="13" t="e">
        <f>VLOOKUP(G865,Sell!G:L,1,0)</f>
        <v>#N/A</v>
      </c>
      <c r="N865" s="13">
        <f>IFERROR(VLOOKUP(G865,Sell!G:L,2,0),0)</f>
        <v>0</v>
      </c>
      <c r="O865" s="12">
        <f>IFERROR(VLOOKUP(G865,Sell!G:L,6,0),0)</f>
        <v>0</v>
      </c>
      <c r="P865" s="13">
        <f t="shared" si="91"/>
        <v>0</v>
      </c>
      <c r="Q865" s="12">
        <f t="shared" si="93"/>
        <v>0</v>
      </c>
      <c r="R865" s="12">
        <f t="shared" si="94"/>
        <v>0</v>
      </c>
      <c r="S865" s="12">
        <f t="shared" si="95"/>
        <v>0</v>
      </c>
      <c r="T865" s="12">
        <f t="shared" si="96"/>
        <v>0</v>
      </c>
      <c r="U865" s="14" t="str">
        <f t="shared" si="97"/>
        <v/>
      </c>
    </row>
    <row r="866" spans="12:21" x14ac:dyDescent="0.25">
      <c r="L866" s="18">
        <f t="shared" si="92"/>
        <v>0</v>
      </c>
      <c r="M866" s="13" t="e">
        <f>VLOOKUP(G866,Sell!G:L,1,0)</f>
        <v>#N/A</v>
      </c>
      <c r="N866" s="13">
        <f>IFERROR(VLOOKUP(G866,Sell!G:L,2,0),0)</f>
        <v>0</v>
      </c>
      <c r="O866" s="12">
        <f>IFERROR(VLOOKUP(G866,Sell!G:L,6,0),0)</f>
        <v>0</v>
      </c>
      <c r="P866" s="13">
        <f t="shared" si="91"/>
        <v>0</v>
      </c>
      <c r="Q866" s="12">
        <f t="shared" si="93"/>
        <v>0</v>
      </c>
      <c r="R866" s="12">
        <f t="shared" si="94"/>
        <v>0</v>
      </c>
      <c r="S866" s="12">
        <f t="shared" si="95"/>
        <v>0</v>
      </c>
      <c r="T866" s="12">
        <f t="shared" si="96"/>
        <v>0</v>
      </c>
      <c r="U866" s="14" t="str">
        <f t="shared" si="97"/>
        <v/>
      </c>
    </row>
    <row r="867" spans="12:21" x14ac:dyDescent="0.25">
      <c r="L867" s="18">
        <f t="shared" si="92"/>
        <v>0</v>
      </c>
      <c r="M867" s="13" t="e">
        <f>VLOOKUP(G867,Sell!G:L,1,0)</f>
        <v>#N/A</v>
      </c>
      <c r="N867" s="13">
        <f>IFERROR(VLOOKUP(G867,Sell!G:L,2,0),0)</f>
        <v>0</v>
      </c>
      <c r="O867" s="12">
        <f>IFERROR(VLOOKUP(G867,Sell!G:L,6,0),0)</f>
        <v>0</v>
      </c>
      <c r="P867" s="13">
        <f t="shared" si="91"/>
        <v>0</v>
      </c>
      <c r="Q867" s="12">
        <f t="shared" si="93"/>
        <v>0</v>
      </c>
      <c r="R867" s="12">
        <f t="shared" si="94"/>
        <v>0</v>
      </c>
      <c r="S867" s="12">
        <f t="shared" si="95"/>
        <v>0</v>
      </c>
      <c r="T867" s="12">
        <f t="shared" si="96"/>
        <v>0</v>
      </c>
      <c r="U867" s="14" t="str">
        <f t="shared" si="97"/>
        <v/>
      </c>
    </row>
    <row r="868" spans="12:21" x14ac:dyDescent="0.25">
      <c r="L868" s="18">
        <f t="shared" si="92"/>
        <v>0</v>
      </c>
      <c r="M868" s="13" t="e">
        <f>VLOOKUP(G868,Sell!G:L,1,0)</f>
        <v>#N/A</v>
      </c>
      <c r="N868" s="13">
        <f>IFERROR(VLOOKUP(G868,Sell!G:L,2,0),0)</f>
        <v>0</v>
      </c>
      <c r="O868" s="12">
        <f>IFERROR(VLOOKUP(G868,Sell!G:L,6,0),0)</f>
        <v>0</v>
      </c>
      <c r="P868" s="13">
        <f t="shared" si="91"/>
        <v>0</v>
      </c>
      <c r="Q868" s="12">
        <f t="shared" si="93"/>
        <v>0</v>
      </c>
      <c r="R868" s="12">
        <f t="shared" si="94"/>
        <v>0</v>
      </c>
      <c r="S868" s="12">
        <f t="shared" si="95"/>
        <v>0</v>
      </c>
      <c r="T868" s="12">
        <f t="shared" si="96"/>
        <v>0</v>
      </c>
      <c r="U868" s="14" t="str">
        <f t="shared" si="97"/>
        <v/>
      </c>
    </row>
    <row r="869" spans="12:21" x14ac:dyDescent="0.25">
      <c r="L869" s="18">
        <f t="shared" si="92"/>
        <v>0</v>
      </c>
      <c r="M869" s="13" t="e">
        <f>VLOOKUP(G869,Sell!G:L,1,0)</f>
        <v>#N/A</v>
      </c>
      <c r="N869" s="13">
        <f>IFERROR(VLOOKUP(G869,Sell!G:L,2,0),0)</f>
        <v>0</v>
      </c>
      <c r="O869" s="12">
        <f>IFERROR(VLOOKUP(G869,Sell!G:L,6,0),0)</f>
        <v>0</v>
      </c>
      <c r="P869" s="13">
        <f t="shared" si="91"/>
        <v>0</v>
      </c>
      <c r="Q869" s="12">
        <f t="shared" si="93"/>
        <v>0</v>
      </c>
      <c r="R869" s="12">
        <f t="shared" si="94"/>
        <v>0</v>
      </c>
      <c r="S869" s="12">
        <f t="shared" si="95"/>
        <v>0</v>
      </c>
      <c r="T869" s="12">
        <f t="shared" si="96"/>
        <v>0</v>
      </c>
      <c r="U869" s="14" t="str">
        <f t="shared" si="97"/>
        <v/>
      </c>
    </row>
    <row r="870" spans="12:21" x14ac:dyDescent="0.25">
      <c r="L870" s="18">
        <f t="shared" si="92"/>
        <v>0</v>
      </c>
      <c r="M870" s="13" t="e">
        <f>VLOOKUP(G870,Sell!G:L,1,0)</f>
        <v>#N/A</v>
      </c>
      <c r="N870" s="13">
        <f>IFERROR(VLOOKUP(G870,Sell!G:L,2,0),0)</f>
        <v>0</v>
      </c>
      <c r="O870" s="12">
        <f>IFERROR(VLOOKUP(G870,Sell!G:L,6,0),0)</f>
        <v>0</v>
      </c>
      <c r="P870" s="13">
        <f t="shared" si="91"/>
        <v>0</v>
      </c>
      <c r="Q870" s="12">
        <f t="shared" si="93"/>
        <v>0</v>
      </c>
      <c r="R870" s="12">
        <f t="shared" si="94"/>
        <v>0</v>
      </c>
      <c r="S870" s="12">
        <f t="shared" si="95"/>
        <v>0</v>
      </c>
      <c r="T870" s="12">
        <f t="shared" si="96"/>
        <v>0</v>
      </c>
      <c r="U870" s="14" t="str">
        <f t="shared" si="97"/>
        <v/>
      </c>
    </row>
    <row r="871" spans="12:21" x14ac:dyDescent="0.25">
      <c r="L871" s="18">
        <f t="shared" si="92"/>
        <v>0</v>
      </c>
      <c r="M871" s="13" t="e">
        <f>VLOOKUP(G871,Sell!G:L,1,0)</f>
        <v>#N/A</v>
      </c>
      <c r="N871" s="13">
        <f>IFERROR(VLOOKUP(G871,Sell!G:L,2,0),0)</f>
        <v>0</v>
      </c>
      <c r="O871" s="12">
        <f>IFERROR(VLOOKUP(G871,Sell!G:L,6,0),0)</f>
        <v>0</v>
      </c>
      <c r="P871" s="13">
        <f t="shared" si="91"/>
        <v>0</v>
      </c>
      <c r="Q871" s="12">
        <f t="shared" si="93"/>
        <v>0</v>
      </c>
      <c r="R871" s="12">
        <f t="shared" si="94"/>
        <v>0</v>
      </c>
      <c r="S871" s="12">
        <f t="shared" si="95"/>
        <v>0</v>
      </c>
      <c r="T871" s="12">
        <f t="shared" si="96"/>
        <v>0</v>
      </c>
      <c r="U871" s="14" t="str">
        <f t="shared" si="97"/>
        <v/>
      </c>
    </row>
    <row r="872" spans="12:21" x14ac:dyDescent="0.25">
      <c r="L872" s="18">
        <f t="shared" si="92"/>
        <v>0</v>
      </c>
      <c r="M872" s="13" t="e">
        <f>VLOOKUP(G872,Sell!G:L,1,0)</f>
        <v>#N/A</v>
      </c>
      <c r="N872" s="13">
        <f>IFERROR(VLOOKUP(G872,Sell!G:L,2,0),0)</f>
        <v>0</v>
      </c>
      <c r="O872" s="12">
        <f>IFERROR(VLOOKUP(G872,Sell!G:L,6,0),0)</f>
        <v>0</v>
      </c>
      <c r="P872" s="13">
        <f t="shared" si="91"/>
        <v>0</v>
      </c>
      <c r="Q872" s="12">
        <f t="shared" si="93"/>
        <v>0</v>
      </c>
      <c r="R872" s="12">
        <f t="shared" si="94"/>
        <v>0</v>
      </c>
      <c r="S872" s="12">
        <f t="shared" si="95"/>
        <v>0</v>
      </c>
      <c r="T872" s="12">
        <f t="shared" si="96"/>
        <v>0</v>
      </c>
      <c r="U872" s="14" t="str">
        <f t="shared" si="97"/>
        <v/>
      </c>
    </row>
    <row r="873" spans="12:21" x14ac:dyDescent="0.25">
      <c r="L873" s="18">
        <f t="shared" si="92"/>
        <v>0</v>
      </c>
      <c r="M873" s="13" t="e">
        <f>VLOOKUP(G873,Sell!G:L,1,0)</f>
        <v>#N/A</v>
      </c>
      <c r="N873" s="13">
        <f>IFERROR(VLOOKUP(G873,Sell!G:L,2,0),0)</f>
        <v>0</v>
      </c>
      <c r="O873" s="12">
        <f>IFERROR(VLOOKUP(G873,Sell!G:L,6,0),0)</f>
        <v>0</v>
      </c>
      <c r="P873" s="13">
        <f t="shared" si="91"/>
        <v>0</v>
      </c>
      <c r="Q873" s="12">
        <f t="shared" si="93"/>
        <v>0</v>
      </c>
      <c r="R873" s="12">
        <f t="shared" si="94"/>
        <v>0</v>
      </c>
      <c r="S873" s="12">
        <f t="shared" si="95"/>
        <v>0</v>
      </c>
      <c r="T873" s="12">
        <f t="shared" si="96"/>
        <v>0</v>
      </c>
      <c r="U873" s="14" t="str">
        <f t="shared" si="97"/>
        <v/>
      </c>
    </row>
    <row r="874" spans="12:21" x14ac:dyDescent="0.25">
      <c r="L874" s="18">
        <f t="shared" si="92"/>
        <v>0</v>
      </c>
      <c r="M874" s="13" t="e">
        <f>VLOOKUP(G874,Sell!G:L,1,0)</f>
        <v>#N/A</v>
      </c>
      <c r="N874" s="13">
        <f>IFERROR(VLOOKUP(G874,Sell!G:L,2,0),0)</f>
        <v>0</v>
      </c>
      <c r="O874" s="12">
        <f>IFERROR(VLOOKUP(G874,Sell!G:L,6,0),0)</f>
        <v>0</v>
      </c>
      <c r="P874" s="13">
        <f t="shared" si="91"/>
        <v>0</v>
      </c>
      <c r="Q874" s="12">
        <f t="shared" si="93"/>
        <v>0</v>
      </c>
      <c r="R874" s="12">
        <f t="shared" si="94"/>
        <v>0</v>
      </c>
      <c r="S874" s="12">
        <f t="shared" si="95"/>
        <v>0</v>
      </c>
      <c r="T874" s="12">
        <f t="shared" si="96"/>
        <v>0</v>
      </c>
      <c r="U874" s="14" t="str">
        <f t="shared" si="97"/>
        <v/>
      </c>
    </row>
    <row r="875" spans="12:21" x14ac:dyDescent="0.25">
      <c r="L875" s="18">
        <f t="shared" si="92"/>
        <v>0</v>
      </c>
      <c r="M875" s="13" t="e">
        <f>VLOOKUP(G875,Sell!G:L,1,0)</f>
        <v>#N/A</v>
      </c>
      <c r="N875" s="13">
        <f>IFERROR(VLOOKUP(G875,Sell!G:L,2,0),0)</f>
        <v>0</v>
      </c>
      <c r="O875" s="12">
        <f>IFERROR(VLOOKUP(G875,Sell!G:L,6,0),0)</f>
        <v>0</v>
      </c>
      <c r="P875" s="13">
        <f t="shared" si="91"/>
        <v>0</v>
      </c>
      <c r="Q875" s="12">
        <f t="shared" si="93"/>
        <v>0</v>
      </c>
      <c r="R875" s="12">
        <f t="shared" si="94"/>
        <v>0</v>
      </c>
      <c r="S875" s="12">
        <f t="shared" si="95"/>
        <v>0</v>
      </c>
      <c r="T875" s="12">
        <f t="shared" si="96"/>
        <v>0</v>
      </c>
      <c r="U875" s="14" t="str">
        <f t="shared" si="97"/>
        <v/>
      </c>
    </row>
    <row r="876" spans="12:21" x14ac:dyDescent="0.25">
      <c r="L876" s="18">
        <f t="shared" si="92"/>
        <v>0</v>
      </c>
      <c r="M876" s="13" t="e">
        <f>VLOOKUP(G876,Sell!G:L,1,0)</f>
        <v>#N/A</v>
      </c>
      <c r="N876" s="13">
        <f>IFERROR(VLOOKUP(G876,Sell!G:L,2,0),0)</f>
        <v>0</v>
      </c>
      <c r="O876" s="12">
        <f>IFERROR(VLOOKUP(G876,Sell!G:L,6,0),0)</f>
        <v>0</v>
      </c>
      <c r="P876" s="13">
        <f t="shared" si="91"/>
        <v>0</v>
      </c>
      <c r="Q876" s="12">
        <f t="shared" si="93"/>
        <v>0</v>
      </c>
      <c r="R876" s="12">
        <f t="shared" si="94"/>
        <v>0</v>
      </c>
      <c r="S876" s="12">
        <f t="shared" si="95"/>
        <v>0</v>
      </c>
      <c r="T876" s="12">
        <f t="shared" si="96"/>
        <v>0</v>
      </c>
      <c r="U876" s="14" t="str">
        <f t="shared" si="97"/>
        <v/>
      </c>
    </row>
    <row r="877" spans="12:21" x14ac:dyDescent="0.25">
      <c r="L877" s="18">
        <f t="shared" si="92"/>
        <v>0</v>
      </c>
      <c r="M877" s="13" t="e">
        <f>VLOOKUP(G877,Sell!G:L,1,0)</f>
        <v>#N/A</v>
      </c>
      <c r="N877" s="13">
        <f>IFERROR(VLOOKUP(G877,Sell!G:L,2,0),0)</f>
        <v>0</v>
      </c>
      <c r="O877" s="12">
        <f>IFERROR(VLOOKUP(G877,Sell!G:L,6,0),0)</f>
        <v>0</v>
      </c>
      <c r="P877" s="13">
        <f t="shared" si="91"/>
        <v>0</v>
      </c>
      <c r="Q877" s="12">
        <f t="shared" si="93"/>
        <v>0</v>
      </c>
      <c r="R877" s="12">
        <f t="shared" si="94"/>
        <v>0</v>
      </c>
      <c r="S877" s="12">
        <f t="shared" si="95"/>
        <v>0</v>
      </c>
      <c r="T877" s="12">
        <f t="shared" si="96"/>
        <v>0</v>
      </c>
      <c r="U877" s="14" t="str">
        <f t="shared" si="97"/>
        <v/>
      </c>
    </row>
    <row r="878" spans="12:21" x14ac:dyDescent="0.25">
      <c r="L878" s="18">
        <f t="shared" si="92"/>
        <v>0</v>
      </c>
      <c r="M878" s="13" t="e">
        <f>VLOOKUP(G878,Sell!G:L,1,0)</f>
        <v>#N/A</v>
      </c>
      <c r="N878" s="13">
        <f>IFERROR(VLOOKUP(G878,Sell!G:L,2,0),0)</f>
        <v>0</v>
      </c>
      <c r="O878" s="12">
        <f>IFERROR(VLOOKUP(G878,Sell!G:L,6,0),0)</f>
        <v>0</v>
      </c>
      <c r="P878" s="13">
        <f t="shared" si="91"/>
        <v>0</v>
      </c>
      <c r="Q878" s="12">
        <f t="shared" si="93"/>
        <v>0</v>
      </c>
      <c r="R878" s="12">
        <f t="shared" si="94"/>
        <v>0</v>
      </c>
      <c r="S878" s="12">
        <f t="shared" si="95"/>
        <v>0</v>
      </c>
      <c r="T878" s="12">
        <f t="shared" si="96"/>
        <v>0</v>
      </c>
      <c r="U878" s="14" t="str">
        <f t="shared" si="97"/>
        <v/>
      </c>
    </row>
    <row r="879" spans="12:21" x14ac:dyDescent="0.25">
      <c r="L879" s="18">
        <f t="shared" si="92"/>
        <v>0</v>
      </c>
      <c r="M879" s="13" t="e">
        <f>VLOOKUP(G879,Sell!G:L,1,0)</f>
        <v>#N/A</v>
      </c>
      <c r="N879" s="13">
        <f>IFERROR(VLOOKUP(G879,Sell!G:L,2,0),0)</f>
        <v>0</v>
      </c>
      <c r="O879" s="12">
        <f>IFERROR(VLOOKUP(G879,Sell!G:L,6,0),0)</f>
        <v>0</v>
      </c>
      <c r="P879" s="13">
        <f t="shared" si="91"/>
        <v>0</v>
      </c>
      <c r="Q879" s="12">
        <f t="shared" si="93"/>
        <v>0</v>
      </c>
      <c r="R879" s="12">
        <f t="shared" si="94"/>
        <v>0</v>
      </c>
      <c r="S879" s="12">
        <f t="shared" si="95"/>
        <v>0</v>
      </c>
      <c r="T879" s="12">
        <f t="shared" si="96"/>
        <v>0</v>
      </c>
      <c r="U879" s="14" t="str">
        <f t="shared" si="97"/>
        <v/>
      </c>
    </row>
    <row r="880" spans="12:21" x14ac:dyDescent="0.25">
      <c r="L880" s="18">
        <f t="shared" si="92"/>
        <v>0</v>
      </c>
      <c r="M880" s="13" t="e">
        <f>VLOOKUP(G880,Sell!G:L,1,0)</f>
        <v>#N/A</v>
      </c>
      <c r="N880" s="13">
        <f>IFERROR(VLOOKUP(G880,Sell!G:L,2,0),0)</f>
        <v>0</v>
      </c>
      <c r="O880" s="12">
        <f>IFERROR(VLOOKUP(G880,Sell!G:L,6,0),0)</f>
        <v>0</v>
      </c>
      <c r="P880" s="13">
        <f t="shared" si="91"/>
        <v>0</v>
      </c>
      <c r="Q880" s="12">
        <f t="shared" si="93"/>
        <v>0</v>
      </c>
      <c r="R880" s="12">
        <f t="shared" si="94"/>
        <v>0</v>
      </c>
      <c r="S880" s="12">
        <f t="shared" si="95"/>
        <v>0</v>
      </c>
      <c r="T880" s="12">
        <f t="shared" si="96"/>
        <v>0</v>
      </c>
      <c r="U880" s="14" t="str">
        <f t="shared" si="97"/>
        <v/>
      </c>
    </row>
    <row r="881" spans="12:21" x14ac:dyDescent="0.25">
      <c r="L881" s="18">
        <f t="shared" si="92"/>
        <v>0</v>
      </c>
      <c r="M881" s="13" t="e">
        <f>VLOOKUP(G881,Sell!G:L,1,0)</f>
        <v>#N/A</v>
      </c>
      <c r="N881" s="13">
        <f>IFERROR(VLOOKUP(G881,Sell!G:L,2,0),0)</f>
        <v>0</v>
      </c>
      <c r="O881" s="12">
        <f>IFERROR(VLOOKUP(G881,Sell!G:L,6,0),0)</f>
        <v>0</v>
      </c>
      <c r="P881" s="13">
        <f t="shared" si="91"/>
        <v>0</v>
      </c>
      <c r="Q881" s="12">
        <f t="shared" si="93"/>
        <v>0</v>
      </c>
      <c r="R881" s="12">
        <f t="shared" si="94"/>
        <v>0</v>
      </c>
      <c r="S881" s="12">
        <f t="shared" si="95"/>
        <v>0</v>
      </c>
      <c r="T881" s="12">
        <f t="shared" si="96"/>
        <v>0</v>
      </c>
      <c r="U881" s="14" t="str">
        <f t="shared" si="97"/>
        <v/>
      </c>
    </row>
    <row r="882" spans="12:21" x14ac:dyDescent="0.25">
      <c r="L882" s="18">
        <f t="shared" si="92"/>
        <v>0</v>
      </c>
      <c r="M882" s="13" t="e">
        <f>VLOOKUP(G882,Sell!G:L,1,0)</f>
        <v>#N/A</v>
      </c>
      <c r="N882" s="13">
        <f>IFERROR(VLOOKUP(G882,Sell!G:L,2,0),0)</f>
        <v>0</v>
      </c>
      <c r="O882" s="12">
        <f>IFERROR(VLOOKUP(G882,Sell!G:L,6,0),0)</f>
        <v>0</v>
      </c>
      <c r="P882" s="13">
        <f t="shared" si="91"/>
        <v>0</v>
      </c>
      <c r="Q882" s="12">
        <f t="shared" si="93"/>
        <v>0</v>
      </c>
      <c r="R882" s="12">
        <f t="shared" si="94"/>
        <v>0</v>
      </c>
      <c r="S882" s="12">
        <f t="shared" si="95"/>
        <v>0</v>
      </c>
      <c r="T882" s="12">
        <f t="shared" si="96"/>
        <v>0</v>
      </c>
      <c r="U882" s="14" t="str">
        <f t="shared" si="97"/>
        <v/>
      </c>
    </row>
    <row r="883" spans="12:21" x14ac:dyDescent="0.25">
      <c r="L883" s="18">
        <f t="shared" si="92"/>
        <v>0</v>
      </c>
      <c r="M883" s="13" t="e">
        <f>VLOOKUP(G883,Sell!G:L,1,0)</f>
        <v>#N/A</v>
      </c>
      <c r="N883" s="13">
        <f>IFERROR(VLOOKUP(G883,Sell!G:L,2,0),0)</f>
        <v>0</v>
      </c>
      <c r="O883" s="12">
        <f>IFERROR(VLOOKUP(G883,Sell!G:L,6,0),0)</f>
        <v>0</v>
      </c>
      <c r="P883" s="13">
        <f t="shared" si="91"/>
        <v>0</v>
      </c>
      <c r="Q883" s="12">
        <f t="shared" si="93"/>
        <v>0</v>
      </c>
      <c r="R883" s="12">
        <f t="shared" si="94"/>
        <v>0</v>
      </c>
      <c r="S883" s="12">
        <f t="shared" si="95"/>
        <v>0</v>
      </c>
      <c r="T883" s="12">
        <f t="shared" si="96"/>
        <v>0</v>
      </c>
      <c r="U883" s="14" t="str">
        <f t="shared" si="97"/>
        <v/>
      </c>
    </row>
    <row r="884" spans="12:21" x14ac:dyDescent="0.25">
      <c r="L884" s="18">
        <f t="shared" si="92"/>
        <v>0</v>
      </c>
      <c r="M884" s="13" t="e">
        <f>VLOOKUP(G884,Sell!G:L,1,0)</f>
        <v>#N/A</v>
      </c>
      <c r="N884" s="13">
        <f>IFERROR(VLOOKUP(G884,Sell!G:L,2,0),0)</f>
        <v>0</v>
      </c>
      <c r="O884" s="12">
        <f>IFERROR(VLOOKUP(G884,Sell!G:L,6,0),0)</f>
        <v>0</v>
      </c>
      <c r="P884" s="13">
        <f t="shared" si="91"/>
        <v>0</v>
      </c>
      <c r="Q884" s="12">
        <f t="shared" si="93"/>
        <v>0</v>
      </c>
      <c r="R884" s="12">
        <f t="shared" si="94"/>
        <v>0</v>
      </c>
      <c r="S884" s="12">
        <f t="shared" si="95"/>
        <v>0</v>
      </c>
      <c r="T884" s="12">
        <f t="shared" si="96"/>
        <v>0</v>
      </c>
      <c r="U884" s="14" t="str">
        <f t="shared" si="97"/>
        <v/>
      </c>
    </row>
    <row r="885" spans="12:21" x14ac:dyDescent="0.25">
      <c r="L885" s="18">
        <f t="shared" si="92"/>
        <v>0</v>
      </c>
      <c r="M885" s="13" t="e">
        <f>VLOOKUP(G885,Sell!G:L,1,0)</f>
        <v>#N/A</v>
      </c>
      <c r="N885" s="13">
        <f>IFERROR(VLOOKUP(G885,Sell!G:L,2,0),0)</f>
        <v>0</v>
      </c>
      <c r="O885" s="12">
        <f>IFERROR(VLOOKUP(G885,Sell!G:L,6,0),0)</f>
        <v>0</v>
      </c>
      <c r="P885" s="13">
        <f t="shared" si="91"/>
        <v>0</v>
      </c>
      <c r="Q885" s="12">
        <f t="shared" si="93"/>
        <v>0</v>
      </c>
      <c r="R885" s="12">
        <f t="shared" si="94"/>
        <v>0</v>
      </c>
      <c r="S885" s="12">
        <f t="shared" si="95"/>
        <v>0</v>
      </c>
      <c r="T885" s="12">
        <f t="shared" si="96"/>
        <v>0</v>
      </c>
      <c r="U885" s="14" t="str">
        <f t="shared" si="97"/>
        <v/>
      </c>
    </row>
    <row r="886" spans="12:21" x14ac:dyDescent="0.25">
      <c r="L886" s="18">
        <f t="shared" si="92"/>
        <v>0</v>
      </c>
      <c r="M886" s="13" t="e">
        <f>VLOOKUP(G886,Sell!G:L,1,0)</f>
        <v>#N/A</v>
      </c>
      <c r="N886" s="13">
        <f>IFERROR(VLOOKUP(G886,Sell!G:L,2,0),0)</f>
        <v>0</v>
      </c>
      <c r="O886" s="12">
        <f>IFERROR(VLOOKUP(G886,Sell!G:L,6,0),0)</f>
        <v>0</v>
      </c>
      <c r="P886" s="13">
        <f t="shared" si="91"/>
        <v>0</v>
      </c>
      <c r="Q886" s="12">
        <f t="shared" si="93"/>
        <v>0</v>
      </c>
      <c r="R886" s="12">
        <f t="shared" si="94"/>
        <v>0</v>
      </c>
      <c r="S886" s="12">
        <f t="shared" si="95"/>
        <v>0</v>
      </c>
      <c r="T886" s="12">
        <f t="shared" si="96"/>
        <v>0</v>
      </c>
      <c r="U886" s="14" t="str">
        <f t="shared" si="97"/>
        <v/>
      </c>
    </row>
    <row r="887" spans="12:21" x14ac:dyDescent="0.25">
      <c r="L887" s="18">
        <f t="shared" si="92"/>
        <v>0</v>
      </c>
      <c r="M887" s="13" t="e">
        <f>VLOOKUP(G887,Sell!G:L,1,0)</f>
        <v>#N/A</v>
      </c>
      <c r="N887" s="13">
        <f>IFERROR(VLOOKUP(G887,Sell!G:L,2,0),0)</f>
        <v>0</v>
      </c>
      <c r="O887" s="12">
        <f>IFERROR(VLOOKUP(G887,Sell!G:L,6,0),0)</f>
        <v>0</v>
      </c>
      <c r="P887" s="13">
        <f t="shared" si="91"/>
        <v>0</v>
      </c>
      <c r="Q887" s="12">
        <f t="shared" si="93"/>
        <v>0</v>
      </c>
      <c r="R887" s="12">
        <f t="shared" si="94"/>
        <v>0</v>
      </c>
      <c r="S887" s="12">
        <f t="shared" si="95"/>
        <v>0</v>
      </c>
      <c r="T887" s="12">
        <f t="shared" si="96"/>
        <v>0</v>
      </c>
      <c r="U887" s="14" t="str">
        <f t="shared" si="97"/>
        <v/>
      </c>
    </row>
    <row r="888" spans="12:21" x14ac:dyDescent="0.25">
      <c r="L888" s="18">
        <f t="shared" si="92"/>
        <v>0</v>
      </c>
      <c r="M888" s="13" t="e">
        <f>VLOOKUP(G888,Sell!G:L,1,0)</f>
        <v>#N/A</v>
      </c>
      <c r="N888" s="13">
        <f>IFERROR(VLOOKUP(G888,Sell!G:L,2,0),0)</f>
        <v>0</v>
      </c>
      <c r="O888" s="12">
        <f>IFERROR(VLOOKUP(G888,Sell!G:L,6,0),0)</f>
        <v>0</v>
      </c>
      <c r="P888" s="13">
        <f t="shared" si="91"/>
        <v>0</v>
      </c>
      <c r="Q888" s="12">
        <f t="shared" si="93"/>
        <v>0</v>
      </c>
      <c r="R888" s="12">
        <f t="shared" si="94"/>
        <v>0</v>
      </c>
      <c r="S888" s="12">
        <f t="shared" si="95"/>
        <v>0</v>
      </c>
      <c r="T888" s="12">
        <f t="shared" si="96"/>
        <v>0</v>
      </c>
      <c r="U888" s="14" t="str">
        <f t="shared" si="97"/>
        <v/>
      </c>
    </row>
    <row r="889" spans="12:21" x14ac:dyDescent="0.25">
      <c r="L889" s="18">
        <f t="shared" si="92"/>
        <v>0</v>
      </c>
      <c r="M889" s="13" t="e">
        <f>VLOOKUP(G889,Sell!G:L,1,0)</f>
        <v>#N/A</v>
      </c>
      <c r="N889" s="13">
        <f>IFERROR(VLOOKUP(G889,Sell!G:L,2,0),0)</f>
        <v>0</v>
      </c>
      <c r="O889" s="12">
        <f>IFERROR(VLOOKUP(G889,Sell!G:L,6,0),0)</f>
        <v>0</v>
      </c>
      <c r="P889" s="13">
        <f t="shared" si="91"/>
        <v>0</v>
      </c>
      <c r="Q889" s="12">
        <f t="shared" si="93"/>
        <v>0</v>
      </c>
      <c r="R889" s="12">
        <f t="shared" si="94"/>
        <v>0</v>
      </c>
      <c r="S889" s="12">
        <f t="shared" si="95"/>
        <v>0</v>
      </c>
      <c r="T889" s="12">
        <f t="shared" si="96"/>
        <v>0</v>
      </c>
      <c r="U889" s="14" t="str">
        <f t="shared" si="97"/>
        <v/>
      </c>
    </row>
    <row r="890" spans="12:21" x14ac:dyDescent="0.25">
      <c r="L890" s="18">
        <f t="shared" si="92"/>
        <v>0</v>
      </c>
      <c r="M890" s="13" t="e">
        <f>VLOOKUP(G890,Sell!G:L,1,0)</f>
        <v>#N/A</v>
      </c>
      <c r="N890" s="13">
        <f>IFERROR(VLOOKUP(G890,Sell!G:L,2,0),0)</f>
        <v>0</v>
      </c>
      <c r="O890" s="12">
        <f>IFERROR(VLOOKUP(G890,Sell!G:L,6,0),0)</f>
        <v>0</v>
      </c>
      <c r="P890" s="13">
        <f t="shared" si="91"/>
        <v>0</v>
      </c>
      <c r="Q890" s="12">
        <f t="shared" si="93"/>
        <v>0</v>
      </c>
      <c r="R890" s="12">
        <f t="shared" si="94"/>
        <v>0</v>
      </c>
      <c r="S890" s="12">
        <f t="shared" si="95"/>
        <v>0</v>
      </c>
      <c r="T890" s="12">
        <f t="shared" si="96"/>
        <v>0</v>
      </c>
      <c r="U890" s="14" t="str">
        <f t="shared" si="97"/>
        <v/>
      </c>
    </row>
    <row r="891" spans="12:21" x14ac:dyDescent="0.25">
      <c r="L891" s="18">
        <f t="shared" si="92"/>
        <v>0</v>
      </c>
      <c r="M891" s="13" t="e">
        <f>VLOOKUP(G891,Sell!G:L,1,0)</f>
        <v>#N/A</v>
      </c>
      <c r="N891" s="13">
        <f>IFERROR(VLOOKUP(G891,Sell!G:L,2,0),0)</f>
        <v>0</v>
      </c>
      <c r="O891" s="12">
        <f>IFERROR(VLOOKUP(G891,Sell!G:L,6,0),0)</f>
        <v>0</v>
      </c>
      <c r="P891" s="13">
        <f t="shared" si="91"/>
        <v>0</v>
      </c>
      <c r="Q891" s="12">
        <f t="shared" si="93"/>
        <v>0</v>
      </c>
      <c r="R891" s="12">
        <f t="shared" si="94"/>
        <v>0</v>
      </c>
      <c r="S891" s="12">
        <f t="shared" si="95"/>
        <v>0</v>
      </c>
      <c r="T891" s="12">
        <f t="shared" si="96"/>
        <v>0</v>
      </c>
      <c r="U891" s="14" t="str">
        <f t="shared" si="97"/>
        <v/>
      </c>
    </row>
    <row r="892" spans="12:21" x14ac:dyDescent="0.25">
      <c r="L892" s="18">
        <f t="shared" si="92"/>
        <v>0</v>
      </c>
      <c r="M892" s="13" t="e">
        <f>VLOOKUP(G892,Sell!G:L,1,0)</f>
        <v>#N/A</v>
      </c>
      <c r="N892" s="13">
        <f>IFERROR(VLOOKUP(G892,Sell!G:L,2,0),0)</f>
        <v>0</v>
      </c>
      <c r="O892" s="12">
        <f>IFERROR(VLOOKUP(G892,Sell!G:L,6,0),0)</f>
        <v>0</v>
      </c>
      <c r="P892" s="13">
        <f t="shared" si="91"/>
        <v>0</v>
      </c>
      <c r="Q892" s="12">
        <f t="shared" si="93"/>
        <v>0</v>
      </c>
      <c r="R892" s="12">
        <f t="shared" si="94"/>
        <v>0</v>
      </c>
      <c r="S892" s="12">
        <f t="shared" si="95"/>
        <v>0</v>
      </c>
      <c r="T892" s="12">
        <f t="shared" si="96"/>
        <v>0</v>
      </c>
      <c r="U892" s="14" t="str">
        <f t="shared" si="97"/>
        <v/>
      </c>
    </row>
    <row r="893" spans="12:21" x14ac:dyDescent="0.25">
      <c r="L893" s="18">
        <f t="shared" si="92"/>
        <v>0</v>
      </c>
      <c r="M893" s="13" t="e">
        <f>VLOOKUP(G893,Sell!G:L,1,0)</f>
        <v>#N/A</v>
      </c>
      <c r="N893" s="13">
        <f>IFERROR(VLOOKUP(G893,Sell!G:L,2,0),0)</f>
        <v>0</v>
      </c>
      <c r="O893" s="12">
        <f>IFERROR(VLOOKUP(G893,Sell!G:L,6,0),0)</f>
        <v>0</v>
      </c>
      <c r="P893" s="13">
        <f t="shared" si="91"/>
        <v>0</v>
      </c>
      <c r="Q893" s="12">
        <f t="shared" si="93"/>
        <v>0</v>
      </c>
      <c r="R893" s="12">
        <f t="shared" si="94"/>
        <v>0</v>
      </c>
      <c r="S893" s="12">
        <f t="shared" si="95"/>
        <v>0</v>
      </c>
      <c r="T893" s="12">
        <f t="shared" si="96"/>
        <v>0</v>
      </c>
      <c r="U893" s="14" t="str">
        <f t="shared" si="97"/>
        <v/>
      </c>
    </row>
    <row r="894" spans="12:21" x14ac:dyDescent="0.25">
      <c r="L894" s="18">
        <f t="shared" si="92"/>
        <v>0</v>
      </c>
      <c r="M894" s="13" t="e">
        <f>VLOOKUP(G894,Sell!G:L,1,0)</f>
        <v>#N/A</v>
      </c>
      <c r="N894" s="13">
        <f>IFERROR(VLOOKUP(G894,Sell!G:L,2,0),0)</f>
        <v>0</v>
      </c>
      <c r="O894" s="12">
        <f>IFERROR(VLOOKUP(G894,Sell!G:L,6,0),0)</f>
        <v>0</v>
      </c>
      <c r="P894" s="13">
        <f t="shared" si="91"/>
        <v>0</v>
      </c>
      <c r="Q894" s="12">
        <f t="shared" si="93"/>
        <v>0</v>
      </c>
      <c r="R894" s="12">
        <f t="shared" si="94"/>
        <v>0</v>
      </c>
      <c r="S894" s="12">
        <f t="shared" si="95"/>
        <v>0</v>
      </c>
      <c r="T894" s="12">
        <f t="shared" si="96"/>
        <v>0</v>
      </c>
      <c r="U894" s="14" t="str">
        <f t="shared" si="97"/>
        <v/>
      </c>
    </row>
    <row r="895" spans="12:21" x14ac:dyDescent="0.25">
      <c r="L895" s="18">
        <f t="shared" si="92"/>
        <v>0</v>
      </c>
      <c r="M895" s="13" t="e">
        <f>VLOOKUP(G895,Sell!G:L,1,0)</f>
        <v>#N/A</v>
      </c>
      <c r="N895" s="13">
        <f>IFERROR(VLOOKUP(G895,Sell!G:L,2,0),0)</f>
        <v>0</v>
      </c>
      <c r="O895" s="12">
        <f>IFERROR(VLOOKUP(G895,Sell!G:L,6,0),0)</f>
        <v>0</v>
      </c>
      <c r="P895" s="13">
        <f t="shared" si="91"/>
        <v>0</v>
      </c>
      <c r="Q895" s="12">
        <f t="shared" si="93"/>
        <v>0</v>
      </c>
      <c r="R895" s="12">
        <f t="shared" si="94"/>
        <v>0</v>
      </c>
      <c r="S895" s="12">
        <f t="shared" si="95"/>
        <v>0</v>
      </c>
      <c r="T895" s="12">
        <f t="shared" si="96"/>
        <v>0</v>
      </c>
      <c r="U895" s="14" t="str">
        <f t="shared" si="97"/>
        <v/>
      </c>
    </row>
    <row r="896" spans="12:21" x14ac:dyDescent="0.25">
      <c r="L896" s="18">
        <f t="shared" si="92"/>
        <v>0</v>
      </c>
      <c r="M896" s="13" t="e">
        <f>VLOOKUP(G896,Sell!G:L,1,0)</f>
        <v>#N/A</v>
      </c>
      <c r="N896" s="13">
        <f>IFERROR(VLOOKUP(G896,Sell!G:L,2,0),0)</f>
        <v>0</v>
      </c>
      <c r="O896" s="12">
        <f>IFERROR(VLOOKUP(G896,Sell!G:L,6,0),0)</f>
        <v>0</v>
      </c>
      <c r="P896" s="13">
        <f t="shared" si="91"/>
        <v>0</v>
      </c>
      <c r="Q896" s="12">
        <f t="shared" si="93"/>
        <v>0</v>
      </c>
      <c r="R896" s="12">
        <f t="shared" si="94"/>
        <v>0</v>
      </c>
      <c r="S896" s="12">
        <f t="shared" si="95"/>
        <v>0</v>
      </c>
      <c r="T896" s="12">
        <f t="shared" si="96"/>
        <v>0</v>
      </c>
      <c r="U896" s="14" t="str">
        <f t="shared" si="97"/>
        <v/>
      </c>
    </row>
    <row r="897" spans="12:21" x14ac:dyDescent="0.25">
      <c r="L897" s="18">
        <f t="shared" si="92"/>
        <v>0</v>
      </c>
      <c r="M897" s="13" t="e">
        <f>VLOOKUP(G897,Sell!G:L,1,0)</f>
        <v>#N/A</v>
      </c>
      <c r="N897" s="13">
        <f>IFERROR(VLOOKUP(G897,Sell!G:L,2,0),0)</f>
        <v>0</v>
      </c>
      <c r="O897" s="12">
        <f>IFERROR(VLOOKUP(G897,Sell!G:L,6,0),0)</f>
        <v>0</v>
      </c>
      <c r="P897" s="13">
        <f t="shared" si="91"/>
        <v>0</v>
      </c>
      <c r="Q897" s="12">
        <f t="shared" si="93"/>
        <v>0</v>
      </c>
      <c r="R897" s="12">
        <f t="shared" si="94"/>
        <v>0</v>
      </c>
      <c r="S897" s="12">
        <f t="shared" si="95"/>
        <v>0</v>
      </c>
      <c r="T897" s="12">
        <f t="shared" si="96"/>
        <v>0</v>
      </c>
      <c r="U897" s="14" t="str">
        <f t="shared" si="97"/>
        <v/>
      </c>
    </row>
    <row r="898" spans="12:21" x14ac:dyDescent="0.25">
      <c r="L898" s="18">
        <f t="shared" si="92"/>
        <v>0</v>
      </c>
      <c r="M898" s="13" t="e">
        <f>VLOOKUP(G898,Sell!G:L,1,0)</f>
        <v>#N/A</v>
      </c>
      <c r="N898" s="13">
        <f>IFERROR(VLOOKUP(G898,Sell!G:L,2,0),0)</f>
        <v>0</v>
      </c>
      <c r="O898" s="12">
        <f>IFERROR(VLOOKUP(G898,Sell!G:L,6,0),0)</f>
        <v>0</v>
      </c>
      <c r="P898" s="13">
        <f t="shared" si="91"/>
        <v>0</v>
      </c>
      <c r="Q898" s="12">
        <f t="shared" si="93"/>
        <v>0</v>
      </c>
      <c r="R898" s="12">
        <f t="shared" si="94"/>
        <v>0</v>
      </c>
      <c r="S898" s="12">
        <f t="shared" si="95"/>
        <v>0</v>
      </c>
      <c r="T898" s="12">
        <f t="shared" si="96"/>
        <v>0</v>
      </c>
      <c r="U898" s="14" t="str">
        <f t="shared" si="97"/>
        <v/>
      </c>
    </row>
    <row r="899" spans="12:21" x14ac:dyDescent="0.25">
      <c r="L899" s="18">
        <f t="shared" si="92"/>
        <v>0</v>
      </c>
      <c r="M899" s="13" t="e">
        <f>VLOOKUP(G899,Sell!G:L,1,0)</f>
        <v>#N/A</v>
      </c>
      <c r="N899" s="13">
        <f>IFERROR(VLOOKUP(G899,Sell!G:L,2,0),0)</f>
        <v>0</v>
      </c>
      <c r="O899" s="12">
        <f>IFERROR(VLOOKUP(G899,Sell!G:L,6,0),0)</f>
        <v>0</v>
      </c>
      <c r="P899" s="13">
        <f t="shared" si="91"/>
        <v>0</v>
      </c>
      <c r="Q899" s="12">
        <f t="shared" si="93"/>
        <v>0</v>
      </c>
      <c r="R899" s="12">
        <f t="shared" si="94"/>
        <v>0</v>
      </c>
      <c r="S899" s="12">
        <f t="shared" si="95"/>
        <v>0</v>
      </c>
      <c r="T899" s="12">
        <f t="shared" si="96"/>
        <v>0</v>
      </c>
      <c r="U899" s="14" t="str">
        <f t="shared" si="97"/>
        <v/>
      </c>
    </row>
    <row r="900" spans="12:21" x14ac:dyDescent="0.25">
      <c r="L900" s="18">
        <f t="shared" si="92"/>
        <v>0</v>
      </c>
      <c r="M900" s="13" t="e">
        <f>VLOOKUP(G900,Sell!G:L,1,0)</f>
        <v>#N/A</v>
      </c>
      <c r="N900" s="13">
        <f>IFERROR(VLOOKUP(G900,Sell!G:L,2,0),0)</f>
        <v>0</v>
      </c>
      <c r="O900" s="12">
        <f>IFERROR(VLOOKUP(G900,Sell!G:L,6,0),0)</f>
        <v>0</v>
      </c>
      <c r="P900" s="13">
        <f t="shared" si="91"/>
        <v>0</v>
      </c>
      <c r="Q900" s="12">
        <f t="shared" si="93"/>
        <v>0</v>
      </c>
      <c r="R900" s="12">
        <f t="shared" si="94"/>
        <v>0</v>
      </c>
      <c r="S900" s="12">
        <f t="shared" si="95"/>
        <v>0</v>
      </c>
      <c r="T900" s="12">
        <f t="shared" si="96"/>
        <v>0</v>
      </c>
      <c r="U900" s="14" t="str">
        <f t="shared" si="97"/>
        <v/>
      </c>
    </row>
    <row r="901" spans="12:21" x14ac:dyDescent="0.25">
      <c r="L901" s="18">
        <f t="shared" si="92"/>
        <v>0</v>
      </c>
      <c r="M901" s="13" t="e">
        <f>VLOOKUP(G901,Sell!G:L,1,0)</f>
        <v>#N/A</v>
      </c>
      <c r="N901" s="13">
        <f>IFERROR(VLOOKUP(G901,Sell!G:L,2,0),0)</f>
        <v>0</v>
      </c>
      <c r="O901" s="12">
        <f>IFERROR(VLOOKUP(G901,Sell!G:L,6,0),0)</f>
        <v>0</v>
      </c>
      <c r="P901" s="13">
        <f t="shared" si="91"/>
        <v>0</v>
      </c>
      <c r="Q901" s="12">
        <f t="shared" si="93"/>
        <v>0</v>
      </c>
      <c r="R901" s="12">
        <f t="shared" si="94"/>
        <v>0</v>
      </c>
      <c r="S901" s="12">
        <f t="shared" si="95"/>
        <v>0</v>
      </c>
      <c r="T901" s="12">
        <f t="shared" si="96"/>
        <v>0</v>
      </c>
      <c r="U901" s="14" t="str">
        <f t="shared" si="97"/>
        <v/>
      </c>
    </row>
    <row r="902" spans="12:21" x14ac:dyDescent="0.25">
      <c r="L902" s="18">
        <f t="shared" si="92"/>
        <v>0</v>
      </c>
      <c r="M902" s="13" t="e">
        <f>VLOOKUP(G902,Sell!G:L,1,0)</f>
        <v>#N/A</v>
      </c>
      <c r="N902" s="13">
        <f>IFERROR(VLOOKUP(G902,Sell!G:L,2,0),0)</f>
        <v>0</v>
      </c>
      <c r="O902" s="12">
        <f>IFERROR(VLOOKUP(G902,Sell!G:L,6,0),0)</f>
        <v>0</v>
      </c>
      <c r="P902" s="13">
        <f t="shared" si="91"/>
        <v>0</v>
      </c>
      <c r="Q902" s="12">
        <f t="shared" si="93"/>
        <v>0</v>
      </c>
      <c r="R902" s="12">
        <f t="shared" si="94"/>
        <v>0</v>
      </c>
      <c r="S902" s="12">
        <f t="shared" si="95"/>
        <v>0</v>
      </c>
      <c r="T902" s="12">
        <f t="shared" si="96"/>
        <v>0</v>
      </c>
      <c r="U902" s="14" t="str">
        <f t="shared" si="97"/>
        <v/>
      </c>
    </row>
    <row r="903" spans="12:21" x14ac:dyDescent="0.25">
      <c r="L903" s="18">
        <f t="shared" si="92"/>
        <v>0</v>
      </c>
      <c r="M903" s="13" t="e">
        <f>VLOOKUP(G903,Sell!G:L,1,0)</f>
        <v>#N/A</v>
      </c>
      <c r="N903" s="13">
        <f>IFERROR(VLOOKUP(G903,Sell!G:L,2,0),0)</f>
        <v>0</v>
      </c>
      <c r="O903" s="12">
        <f>IFERROR(VLOOKUP(G903,Sell!G:L,6,0),0)</f>
        <v>0</v>
      </c>
      <c r="P903" s="13">
        <f t="shared" si="91"/>
        <v>0</v>
      </c>
      <c r="Q903" s="12">
        <f t="shared" si="93"/>
        <v>0</v>
      </c>
      <c r="R903" s="12">
        <f t="shared" si="94"/>
        <v>0</v>
      </c>
      <c r="S903" s="12">
        <f t="shared" si="95"/>
        <v>0</v>
      </c>
      <c r="T903" s="12">
        <f t="shared" si="96"/>
        <v>0</v>
      </c>
      <c r="U903" s="14" t="str">
        <f t="shared" si="97"/>
        <v/>
      </c>
    </row>
    <row r="904" spans="12:21" x14ac:dyDescent="0.25">
      <c r="L904" s="18">
        <f t="shared" si="92"/>
        <v>0</v>
      </c>
      <c r="M904" s="13" t="e">
        <f>VLOOKUP(G904,Sell!G:L,1,0)</f>
        <v>#N/A</v>
      </c>
      <c r="N904" s="13">
        <f>IFERROR(VLOOKUP(G904,Sell!G:L,2,0),0)</f>
        <v>0</v>
      </c>
      <c r="O904" s="12">
        <f>IFERROR(VLOOKUP(G904,Sell!G:L,6,0),0)</f>
        <v>0</v>
      </c>
      <c r="P904" s="13">
        <f t="shared" si="91"/>
        <v>0</v>
      </c>
      <c r="Q904" s="12">
        <f t="shared" si="93"/>
        <v>0</v>
      </c>
      <c r="R904" s="12">
        <f t="shared" si="94"/>
        <v>0</v>
      </c>
      <c r="S904" s="12">
        <f t="shared" si="95"/>
        <v>0</v>
      </c>
      <c r="T904" s="12">
        <f t="shared" si="96"/>
        <v>0</v>
      </c>
      <c r="U904" s="14" t="str">
        <f t="shared" si="97"/>
        <v/>
      </c>
    </row>
    <row r="905" spans="12:21" x14ac:dyDescent="0.25">
      <c r="L905" s="18">
        <f t="shared" si="92"/>
        <v>0</v>
      </c>
      <c r="M905" s="13" t="e">
        <f>VLOOKUP(G905,Sell!G:L,1,0)</f>
        <v>#N/A</v>
      </c>
      <c r="N905" s="13">
        <f>IFERROR(VLOOKUP(G905,Sell!G:L,2,0),0)</f>
        <v>0</v>
      </c>
      <c r="O905" s="12">
        <f>IFERROR(VLOOKUP(G905,Sell!G:L,6,0),0)</f>
        <v>0</v>
      </c>
      <c r="P905" s="13">
        <f t="shared" si="91"/>
        <v>0</v>
      </c>
      <c r="Q905" s="12">
        <f t="shared" si="93"/>
        <v>0</v>
      </c>
      <c r="R905" s="12">
        <f t="shared" si="94"/>
        <v>0</v>
      </c>
      <c r="S905" s="12">
        <f t="shared" si="95"/>
        <v>0</v>
      </c>
      <c r="T905" s="12">
        <f t="shared" si="96"/>
        <v>0</v>
      </c>
      <c r="U905" s="14" t="str">
        <f t="shared" si="97"/>
        <v/>
      </c>
    </row>
    <row r="906" spans="12:21" x14ac:dyDescent="0.25">
      <c r="L906" s="18">
        <f t="shared" si="92"/>
        <v>0</v>
      </c>
      <c r="M906" s="13" t="e">
        <f>VLOOKUP(G906,Sell!G:L,1,0)</f>
        <v>#N/A</v>
      </c>
      <c r="N906" s="13">
        <f>IFERROR(VLOOKUP(G906,Sell!G:L,2,0),0)</f>
        <v>0</v>
      </c>
      <c r="O906" s="12">
        <f>IFERROR(VLOOKUP(G906,Sell!G:L,6,0),0)</f>
        <v>0</v>
      </c>
      <c r="P906" s="13">
        <f t="shared" ref="P906:P969" si="98">H906-N906</f>
        <v>0</v>
      </c>
      <c r="Q906" s="12">
        <f t="shared" si="93"/>
        <v>0</v>
      </c>
      <c r="R906" s="12">
        <f t="shared" si="94"/>
        <v>0</v>
      </c>
      <c r="S906" s="12">
        <f t="shared" si="95"/>
        <v>0</v>
      </c>
      <c r="T906" s="12">
        <f t="shared" si="96"/>
        <v>0</v>
      </c>
      <c r="U906" s="14" t="str">
        <f t="shared" si="97"/>
        <v/>
      </c>
    </row>
    <row r="907" spans="12:21" x14ac:dyDescent="0.25">
      <c r="L907" s="18">
        <f t="shared" ref="L907:L970" si="99">J907+K907</f>
        <v>0</v>
      </c>
      <c r="M907" s="13" t="e">
        <f>VLOOKUP(G907,Sell!G:L,1,0)</f>
        <v>#N/A</v>
      </c>
      <c r="N907" s="13">
        <f>IFERROR(VLOOKUP(G907,Sell!G:L,2,0),0)</f>
        <v>0</v>
      </c>
      <c r="O907" s="12">
        <f>IFERROR(VLOOKUP(G907,Sell!G:L,6,0),0)</f>
        <v>0</v>
      </c>
      <c r="P907" s="13">
        <f t="shared" si="98"/>
        <v>0</v>
      </c>
      <c r="Q907" s="12">
        <f t="shared" ref="Q907:Q970" si="100">O907-L907</f>
        <v>0</v>
      </c>
      <c r="R907" s="12">
        <f t="shared" ref="R907:R970" si="101">IF(P907=0,Q907,0)</f>
        <v>0</v>
      </c>
      <c r="S907" s="12">
        <f t="shared" ref="S907:S970" si="102">IF(R907&gt;0,R907,0)</f>
        <v>0</v>
      </c>
      <c r="T907" s="12">
        <f t="shared" ref="T907:T970" si="103">IF(R907&gt;0,0,R907)</f>
        <v>0</v>
      </c>
      <c r="U907" s="14" t="str">
        <f t="shared" ref="U907:U970" si="104">IF(AND(LEN(G907)&gt;0,R907=0),"Open","")</f>
        <v/>
      </c>
    </row>
    <row r="908" spans="12:21" x14ac:dyDescent="0.25">
      <c r="L908" s="18">
        <f t="shared" si="99"/>
        <v>0</v>
      </c>
      <c r="M908" s="13" t="e">
        <f>VLOOKUP(G908,Sell!G:L,1,0)</f>
        <v>#N/A</v>
      </c>
      <c r="N908" s="13">
        <f>IFERROR(VLOOKUP(G908,Sell!G:L,2,0),0)</f>
        <v>0</v>
      </c>
      <c r="O908" s="12">
        <f>IFERROR(VLOOKUP(G908,Sell!G:L,6,0),0)</f>
        <v>0</v>
      </c>
      <c r="P908" s="13">
        <f t="shared" si="98"/>
        <v>0</v>
      </c>
      <c r="Q908" s="12">
        <f t="shared" si="100"/>
        <v>0</v>
      </c>
      <c r="R908" s="12">
        <f t="shared" si="101"/>
        <v>0</v>
      </c>
      <c r="S908" s="12">
        <f t="shared" si="102"/>
        <v>0</v>
      </c>
      <c r="T908" s="12">
        <f t="shared" si="103"/>
        <v>0</v>
      </c>
      <c r="U908" s="14" t="str">
        <f t="shared" si="104"/>
        <v/>
      </c>
    </row>
    <row r="909" spans="12:21" x14ac:dyDescent="0.25">
      <c r="L909" s="18">
        <f t="shared" si="99"/>
        <v>0</v>
      </c>
      <c r="M909" s="13" t="e">
        <f>VLOOKUP(G909,Sell!G:L,1,0)</f>
        <v>#N/A</v>
      </c>
      <c r="N909" s="13">
        <f>IFERROR(VLOOKUP(G909,Sell!G:L,2,0),0)</f>
        <v>0</v>
      </c>
      <c r="O909" s="12">
        <f>IFERROR(VLOOKUP(G909,Sell!G:L,6,0),0)</f>
        <v>0</v>
      </c>
      <c r="P909" s="13">
        <f t="shared" si="98"/>
        <v>0</v>
      </c>
      <c r="Q909" s="12">
        <f t="shared" si="100"/>
        <v>0</v>
      </c>
      <c r="R909" s="12">
        <f t="shared" si="101"/>
        <v>0</v>
      </c>
      <c r="S909" s="12">
        <f t="shared" si="102"/>
        <v>0</v>
      </c>
      <c r="T909" s="12">
        <f t="shared" si="103"/>
        <v>0</v>
      </c>
      <c r="U909" s="14" t="str">
        <f t="shared" si="104"/>
        <v/>
      </c>
    </row>
    <row r="910" spans="12:21" x14ac:dyDescent="0.25">
      <c r="L910" s="18">
        <f t="shared" si="99"/>
        <v>0</v>
      </c>
      <c r="M910" s="13" t="e">
        <f>VLOOKUP(G910,Sell!G:L,1,0)</f>
        <v>#N/A</v>
      </c>
      <c r="N910" s="13">
        <f>IFERROR(VLOOKUP(G910,Sell!G:L,2,0),0)</f>
        <v>0</v>
      </c>
      <c r="O910" s="12">
        <f>IFERROR(VLOOKUP(G910,Sell!G:L,6,0),0)</f>
        <v>0</v>
      </c>
      <c r="P910" s="13">
        <f t="shared" si="98"/>
        <v>0</v>
      </c>
      <c r="Q910" s="12">
        <f t="shared" si="100"/>
        <v>0</v>
      </c>
      <c r="R910" s="12">
        <f t="shared" si="101"/>
        <v>0</v>
      </c>
      <c r="S910" s="12">
        <f t="shared" si="102"/>
        <v>0</v>
      </c>
      <c r="T910" s="12">
        <f t="shared" si="103"/>
        <v>0</v>
      </c>
      <c r="U910" s="14" t="str">
        <f t="shared" si="104"/>
        <v/>
      </c>
    </row>
    <row r="911" spans="12:21" x14ac:dyDescent="0.25">
      <c r="L911" s="18">
        <f t="shared" si="99"/>
        <v>0</v>
      </c>
      <c r="M911" s="13" t="e">
        <f>VLOOKUP(G911,Sell!G:L,1,0)</f>
        <v>#N/A</v>
      </c>
      <c r="N911" s="13">
        <f>IFERROR(VLOOKUP(G911,Sell!G:L,2,0),0)</f>
        <v>0</v>
      </c>
      <c r="O911" s="12">
        <f>IFERROR(VLOOKUP(G911,Sell!G:L,6,0),0)</f>
        <v>0</v>
      </c>
      <c r="P911" s="13">
        <f t="shared" si="98"/>
        <v>0</v>
      </c>
      <c r="Q911" s="12">
        <f t="shared" si="100"/>
        <v>0</v>
      </c>
      <c r="R911" s="12">
        <f t="shared" si="101"/>
        <v>0</v>
      </c>
      <c r="S911" s="12">
        <f t="shared" si="102"/>
        <v>0</v>
      </c>
      <c r="T911" s="12">
        <f t="shared" si="103"/>
        <v>0</v>
      </c>
      <c r="U911" s="14" t="str">
        <f t="shared" si="104"/>
        <v/>
      </c>
    </row>
    <row r="912" spans="12:21" x14ac:dyDescent="0.25">
      <c r="L912" s="18">
        <f t="shared" si="99"/>
        <v>0</v>
      </c>
      <c r="M912" s="13" t="e">
        <f>VLOOKUP(G912,Sell!G:L,1,0)</f>
        <v>#N/A</v>
      </c>
      <c r="N912" s="13">
        <f>IFERROR(VLOOKUP(G912,Sell!G:L,2,0),0)</f>
        <v>0</v>
      </c>
      <c r="O912" s="12">
        <f>IFERROR(VLOOKUP(G912,Sell!G:L,6,0),0)</f>
        <v>0</v>
      </c>
      <c r="P912" s="13">
        <f t="shared" si="98"/>
        <v>0</v>
      </c>
      <c r="Q912" s="12">
        <f t="shared" si="100"/>
        <v>0</v>
      </c>
      <c r="R912" s="12">
        <f t="shared" si="101"/>
        <v>0</v>
      </c>
      <c r="S912" s="12">
        <f t="shared" si="102"/>
        <v>0</v>
      </c>
      <c r="T912" s="12">
        <f t="shared" si="103"/>
        <v>0</v>
      </c>
      <c r="U912" s="14" t="str">
        <f t="shared" si="104"/>
        <v/>
      </c>
    </row>
    <row r="913" spans="12:21" x14ac:dyDescent="0.25">
      <c r="L913" s="18">
        <f t="shared" si="99"/>
        <v>0</v>
      </c>
      <c r="M913" s="13" t="e">
        <f>VLOOKUP(G913,Sell!G:L,1,0)</f>
        <v>#N/A</v>
      </c>
      <c r="N913" s="13">
        <f>IFERROR(VLOOKUP(G913,Sell!G:L,2,0),0)</f>
        <v>0</v>
      </c>
      <c r="O913" s="12">
        <f>IFERROR(VLOOKUP(G913,Sell!G:L,6,0),0)</f>
        <v>0</v>
      </c>
      <c r="P913" s="13">
        <f t="shared" si="98"/>
        <v>0</v>
      </c>
      <c r="Q913" s="12">
        <f t="shared" si="100"/>
        <v>0</v>
      </c>
      <c r="R913" s="12">
        <f t="shared" si="101"/>
        <v>0</v>
      </c>
      <c r="S913" s="12">
        <f t="shared" si="102"/>
        <v>0</v>
      </c>
      <c r="T913" s="12">
        <f t="shared" si="103"/>
        <v>0</v>
      </c>
      <c r="U913" s="14" t="str">
        <f t="shared" si="104"/>
        <v/>
      </c>
    </row>
    <row r="914" spans="12:21" x14ac:dyDescent="0.25">
      <c r="L914" s="18">
        <f t="shared" si="99"/>
        <v>0</v>
      </c>
      <c r="M914" s="13" t="e">
        <f>VLOOKUP(G914,Sell!G:L,1,0)</f>
        <v>#N/A</v>
      </c>
      <c r="N914" s="13">
        <f>IFERROR(VLOOKUP(G914,Sell!G:L,2,0),0)</f>
        <v>0</v>
      </c>
      <c r="O914" s="12">
        <f>IFERROR(VLOOKUP(G914,Sell!G:L,6,0),0)</f>
        <v>0</v>
      </c>
      <c r="P914" s="13">
        <f t="shared" si="98"/>
        <v>0</v>
      </c>
      <c r="Q914" s="12">
        <f t="shared" si="100"/>
        <v>0</v>
      </c>
      <c r="R914" s="12">
        <f t="shared" si="101"/>
        <v>0</v>
      </c>
      <c r="S914" s="12">
        <f t="shared" si="102"/>
        <v>0</v>
      </c>
      <c r="T914" s="12">
        <f t="shared" si="103"/>
        <v>0</v>
      </c>
      <c r="U914" s="14" t="str">
        <f t="shared" si="104"/>
        <v/>
      </c>
    </row>
    <row r="915" spans="12:21" x14ac:dyDescent="0.25">
      <c r="L915" s="18">
        <f t="shared" si="99"/>
        <v>0</v>
      </c>
      <c r="M915" s="13" t="e">
        <f>VLOOKUP(G915,Sell!G:L,1,0)</f>
        <v>#N/A</v>
      </c>
      <c r="N915" s="13">
        <f>IFERROR(VLOOKUP(G915,Sell!G:L,2,0),0)</f>
        <v>0</v>
      </c>
      <c r="O915" s="12">
        <f>IFERROR(VLOOKUP(G915,Sell!G:L,6,0),0)</f>
        <v>0</v>
      </c>
      <c r="P915" s="13">
        <f t="shared" si="98"/>
        <v>0</v>
      </c>
      <c r="Q915" s="12">
        <f t="shared" si="100"/>
        <v>0</v>
      </c>
      <c r="R915" s="12">
        <f t="shared" si="101"/>
        <v>0</v>
      </c>
      <c r="S915" s="12">
        <f t="shared" si="102"/>
        <v>0</v>
      </c>
      <c r="T915" s="12">
        <f t="shared" si="103"/>
        <v>0</v>
      </c>
      <c r="U915" s="14" t="str">
        <f t="shared" si="104"/>
        <v/>
      </c>
    </row>
    <row r="916" spans="12:21" x14ac:dyDescent="0.25">
      <c r="L916" s="18">
        <f t="shared" si="99"/>
        <v>0</v>
      </c>
      <c r="M916" s="13" t="e">
        <f>VLOOKUP(G916,Sell!G:L,1,0)</f>
        <v>#N/A</v>
      </c>
      <c r="N916" s="13">
        <f>IFERROR(VLOOKUP(G916,Sell!G:L,2,0),0)</f>
        <v>0</v>
      </c>
      <c r="O916" s="12">
        <f>IFERROR(VLOOKUP(G916,Sell!G:L,6,0),0)</f>
        <v>0</v>
      </c>
      <c r="P916" s="13">
        <f t="shared" si="98"/>
        <v>0</v>
      </c>
      <c r="Q916" s="12">
        <f t="shared" si="100"/>
        <v>0</v>
      </c>
      <c r="R916" s="12">
        <f t="shared" si="101"/>
        <v>0</v>
      </c>
      <c r="S916" s="12">
        <f t="shared" si="102"/>
        <v>0</v>
      </c>
      <c r="T916" s="12">
        <f t="shared" si="103"/>
        <v>0</v>
      </c>
      <c r="U916" s="14" t="str">
        <f t="shared" si="104"/>
        <v/>
      </c>
    </row>
    <row r="917" spans="12:21" x14ac:dyDescent="0.25">
      <c r="L917" s="18">
        <f t="shared" si="99"/>
        <v>0</v>
      </c>
      <c r="M917" s="13" t="e">
        <f>VLOOKUP(G917,Sell!G:L,1,0)</f>
        <v>#N/A</v>
      </c>
      <c r="N917" s="13">
        <f>IFERROR(VLOOKUP(G917,Sell!G:L,2,0),0)</f>
        <v>0</v>
      </c>
      <c r="O917" s="12">
        <f>IFERROR(VLOOKUP(G917,Sell!G:L,6,0),0)</f>
        <v>0</v>
      </c>
      <c r="P917" s="13">
        <f t="shared" si="98"/>
        <v>0</v>
      </c>
      <c r="Q917" s="12">
        <f t="shared" si="100"/>
        <v>0</v>
      </c>
      <c r="R917" s="12">
        <f t="shared" si="101"/>
        <v>0</v>
      </c>
      <c r="S917" s="12">
        <f t="shared" si="102"/>
        <v>0</v>
      </c>
      <c r="T917" s="12">
        <f t="shared" si="103"/>
        <v>0</v>
      </c>
      <c r="U917" s="14" t="str">
        <f t="shared" si="104"/>
        <v/>
      </c>
    </row>
    <row r="918" spans="12:21" x14ac:dyDescent="0.25">
      <c r="L918" s="18">
        <f t="shared" si="99"/>
        <v>0</v>
      </c>
      <c r="M918" s="13" t="e">
        <f>VLOOKUP(G918,Sell!G:L,1,0)</f>
        <v>#N/A</v>
      </c>
      <c r="N918" s="13">
        <f>IFERROR(VLOOKUP(G918,Sell!G:L,2,0),0)</f>
        <v>0</v>
      </c>
      <c r="O918" s="12">
        <f>IFERROR(VLOOKUP(G918,Sell!G:L,6,0),0)</f>
        <v>0</v>
      </c>
      <c r="P918" s="13">
        <f t="shared" si="98"/>
        <v>0</v>
      </c>
      <c r="Q918" s="12">
        <f t="shared" si="100"/>
        <v>0</v>
      </c>
      <c r="R918" s="12">
        <f t="shared" si="101"/>
        <v>0</v>
      </c>
      <c r="S918" s="12">
        <f t="shared" si="102"/>
        <v>0</v>
      </c>
      <c r="T918" s="12">
        <f t="shared" si="103"/>
        <v>0</v>
      </c>
      <c r="U918" s="14" t="str">
        <f t="shared" si="104"/>
        <v/>
      </c>
    </row>
    <row r="919" spans="12:21" x14ac:dyDescent="0.25">
      <c r="L919" s="18">
        <f t="shared" si="99"/>
        <v>0</v>
      </c>
      <c r="M919" s="13" t="e">
        <f>VLOOKUP(G919,Sell!G:L,1,0)</f>
        <v>#N/A</v>
      </c>
      <c r="N919" s="13">
        <f>IFERROR(VLOOKUP(G919,Sell!G:L,2,0),0)</f>
        <v>0</v>
      </c>
      <c r="O919" s="12">
        <f>IFERROR(VLOOKUP(G919,Sell!G:L,6,0),0)</f>
        <v>0</v>
      </c>
      <c r="P919" s="13">
        <f t="shared" si="98"/>
        <v>0</v>
      </c>
      <c r="Q919" s="12">
        <f t="shared" si="100"/>
        <v>0</v>
      </c>
      <c r="R919" s="12">
        <f t="shared" si="101"/>
        <v>0</v>
      </c>
      <c r="S919" s="12">
        <f t="shared" si="102"/>
        <v>0</v>
      </c>
      <c r="T919" s="12">
        <f t="shared" si="103"/>
        <v>0</v>
      </c>
      <c r="U919" s="14" t="str">
        <f t="shared" si="104"/>
        <v/>
      </c>
    </row>
    <row r="920" spans="12:21" x14ac:dyDescent="0.25">
      <c r="L920" s="18">
        <f t="shared" si="99"/>
        <v>0</v>
      </c>
      <c r="M920" s="13" t="e">
        <f>VLOOKUP(G920,Sell!G:L,1,0)</f>
        <v>#N/A</v>
      </c>
      <c r="N920" s="13">
        <f>IFERROR(VLOOKUP(G920,Sell!G:L,2,0),0)</f>
        <v>0</v>
      </c>
      <c r="O920" s="12">
        <f>IFERROR(VLOOKUP(G920,Sell!G:L,6,0),0)</f>
        <v>0</v>
      </c>
      <c r="P920" s="13">
        <f t="shared" si="98"/>
        <v>0</v>
      </c>
      <c r="Q920" s="12">
        <f t="shared" si="100"/>
        <v>0</v>
      </c>
      <c r="R920" s="12">
        <f t="shared" si="101"/>
        <v>0</v>
      </c>
      <c r="S920" s="12">
        <f t="shared" si="102"/>
        <v>0</v>
      </c>
      <c r="T920" s="12">
        <f t="shared" si="103"/>
        <v>0</v>
      </c>
      <c r="U920" s="14" t="str">
        <f t="shared" si="104"/>
        <v/>
      </c>
    </row>
    <row r="921" spans="12:21" x14ac:dyDescent="0.25">
      <c r="L921" s="18">
        <f t="shared" si="99"/>
        <v>0</v>
      </c>
      <c r="M921" s="13" t="e">
        <f>VLOOKUP(G921,Sell!G:L,1,0)</f>
        <v>#N/A</v>
      </c>
      <c r="N921" s="13">
        <f>IFERROR(VLOOKUP(G921,Sell!G:L,2,0),0)</f>
        <v>0</v>
      </c>
      <c r="O921" s="12">
        <f>IFERROR(VLOOKUP(G921,Sell!G:L,6,0),0)</f>
        <v>0</v>
      </c>
      <c r="P921" s="13">
        <f t="shared" si="98"/>
        <v>0</v>
      </c>
      <c r="Q921" s="12">
        <f t="shared" si="100"/>
        <v>0</v>
      </c>
      <c r="R921" s="12">
        <f t="shared" si="101"/>
        <v>0</v>
      </c>
      <c r="S921" s="12">
        <f t="shared" si="102"/>
        <v>0</v>
      </c>
      <c r="T921" s="12">
        <f t="shared" si="103"/>
        <v>0</v>
      </c>
      <c r="U921" s="14" t="str">
        <f t="shared" si="104"/>
        <v/>
      </c>
    </row>
    <row r="922" spans="12:21" x14ac:dyDescent="0.25">
      <c r="L922" s="18">
        <f t="shared" si="99"/>
        <v>0</v>
      </c>
      <c r="M922" s="13" t="e">
        <f>VLOOKUP(G922,Sell!G:L,1,0)</f>
        <v>#N/A</v>
      </c>
      <c r="N922" s="13">
        <f>IFERROR(VLOOKUP(G922,Sell!G:L,2,0),0)</f>
        <v>0</v>
      </c>
      <c r="O922" s="12">
        <f>IFERROR(VLOOKUP(G922,Sell!G:L,6,0),0)</f>
        <v>0</v>
      </c>
      <c r="P922" s="13">
        <f t="shared" si="98"/>
        <v>0</v>
      </c>
      <c r="Q922" s="12">
        <f t="shared" si="100"/>
        <v>0</v>
      </c>
      <c r="R922" s="12">
        <f t="shared" si="101"/>
        <v>0</v>
      </c>
      <c r="S922" s="12">
        <f t="shared" si="102"/>
        <v>0</v>
      </c>
      <c r="T922" s="12">
        <f t="shared" si="103"/>
        <v>0</v>
      </c>
      <c r="U922" s="14" t="str">
        <f t="shared" si="104"/>
        <v/>
      </c>
    </row>
    <row r="923" spans="12:21" x14ac:dyDescent="0.25">
      <c r="L923" s="18">
        <f t="shared" si="99"/>
        <v>0</v>
      </c>
      <c r="M923" s="13" t="e">
        <f>VLOOKUP(G923,Sell!G:L,1,0)</f>
        <v>#N/A</v>
      </c>
      <c r="N923" s="13">
        <f>IFERROR(VLOOKUP(G923,Sell!G:L,2,0),0)</f>
        <v>0</v>
      </c>
      <c r="O923" s="12">
        <f>IFERROR(VLOOKUP(G923,Sell!G:L,6,0),0)</f>
        <v>0</v>
      </c>
      <c r="P923" s="13">
        <f t="shared" si="98"/>
        <v>0</v>
      </c>
      <c r="Q923" s="12">
        <f t="shared" si="100"/>
        <v>0</v>
      </c>
      <c r="R923" s="12">
        <f t="shared" si="101"/>
        <v>0</v>
      </c>
      <c r="S923" s="12">
        <f t="shared" si="102"/>
        <v>0</v>
      </c>
      <c r="T923" s="12">
        <f t="shared" si="103"/>
        <v>0</v>
      </c>
      <c r="U923" s="14" t="str">
        <f t="shared" si="104"/>
        <v/>
      </c>
    </row>
    <row r="924" spans="12:21" x14ac:dyDescent="0.25">
      <c r="L924" s="18">
        <f t="shared" si="99"/>
        <v>0</v>
      </c>
      <c r="M924" s="13" t="e">
        <f>VLOOKUP(G924,Sell!G:L,1,0)</f>
        <v>#N/A</v>
      </c>
      <c r="N924" s="13">
        <f>IFERROR(VLOOKUP(G924,Sell!G:L,2,0),0)</f>
        <v>0</v>
      </c>
      <c r="O924" s="12">
        <f>IFERROR(VLOOKUP(G924,Sell!G:L,6,0),0)</f>
        <v>0</v>
      </c>
      <c r="P924" s="13">
        <f t="shared" si="98"/>
        <v>0</v>
      </c>
      <c r="Q924" s="12">
        <f t="shared" si="100"/>
        <v>0</v>
      </c>
      <c r="R924" s="12">
        <f t="shared" si="101"/>
        <v>0</v>
      </c>
      <c r="S924" s="12">
        <f t="shared" si="102"/>
        <v>0</v>
      </c>
      <c r="T924" s="12">
        <f t="shared" si="103"/>
        <v>0</v>
      </c>
      <c r="U924" s="14" t="str">
        <f t="shared" si="104"/>
        <v/>
      </c>
    </row>
    <row r="925" spans="12:21" x14ac:dyDescent="0.25">
      <c r="L925" s="18">
        <f t="shared" si="99"/>
        <v>0</v>
      </c>
      <c r="M925" s="13" t="e">
        <f>VLOOKUP(G925,Sell!G:L,1,0)</f>
        <v>#N/A</v>
      </c>
      <c r="N925" s="13">
        <f>IFERROR(VLOOKUP(G925,Sell!G:L,2,0),0)</f>
        <v>0</v>
      </c>
      <c r="O925" s="12">
        <f>IFERROR(VLOOKUP(G925,Sell!G:L,6,0),0)</f>
        <v>0</v>
      </c>
      <c r="P925" s="13">
        <f t="shared" si="98"/>
        <v>0</v>
      </c>
      <c r="Q925" s="12">
        <f t="shared" si="100"/>
        <v>0</v>
      </c>
      <c r="R925" s="12">
        <f t="shared" si="101"/>
        <v>0</v>
      </c>
      <c r="S925" s="12">
        <f t="shared" si="102"/>
        <v>0</v>
      </c>
      <c r="T925" s="12">
        <f t="shared" si="103"/>
        <v>0</v>
      </c>
      <c r="U925" s="14" t="str">
        <f t="shared" si="104"/>
        <v/>
      </c>
    </row>
    <row r="926" spans="12:21" x14ac:dyDescent="0.25">
      <c r="L926" s="18">
        <f t="shared" si="99"/>
        <v>0</v>
      </c>
      <c r="M926" s="13" t="e">
        <f>VLOOKUP(G926,Sell!G:L,1,0)</f>
        <v>#N/A</v>
      </c>
      <c r="N926" s="13">
        <f>IFERROR(VLOOKUP(G926,Sell!G:L,2,0),0)</f>
        <v>0</v>
      </c>
      <c r="O926" s="12">
        <f>IFERROR(VLOOKUP(G926,Sell!G:L,6,0),0)</f>
        <v>0</v>
      </c>
      <c r="P926" s="13">
        <f t="shared" si="98"/>
        <v>0</v>
      </c>
      <c r="Q926" s="12">
        <f t="shared" si="100"/>
        <v>0</v>
      </c>
      <c r="R926" s="12">
        <f t="shared" si="101"/>
        <v>0</v>
      </c>
      <c r="S926" s="12">
        <f t="shared" si="102"/>
        <v>0</v>
      </c>
      <c r="T926" s="12">
        <f t="shared" si="103"/>
        <v>0</v>
      </c>
      <c r="U926" s="14" t="str">
        <f t="shared" si="104"/>
        <v/>
      </c>
    </row>
    <row r="927" spans="12:21" x14ac:dyDescent="0.25">
      <c r="L927" s="18">
        <f t="shared" si="99"/>
        <v>0</v>
      </c>
      <c r="M927" s="13" t="e">
        <f>VLOOKUP(G927,Sell!G:L,1,0)</f>
        <v>#N/A</v>
      </c>
      <c r="N927" s="13">
        <f>IFERROR(VLOOKUP(G927,Sell!G:L,2,0),0)</f>
        <v>0</v>
      </c>
      <c r="O927" s="12">
        <f>IFERROR(VLOOKUP(G927,Sell!G:L,6,0),0)</f>
        <v>0</v>
      </c>
      <c r="P927" s="13">
        <f t="shared" si="98"/>
        <v>0</v>
      </c>
      <c r="Q927" s="12">
        <f t="shared" si="100"/>
        <v>0</v>
      </c>
      <c r="R927" s="12">
        <f t="shared" si="101"/>
        <v>0</v>
      </c>
      <c r="S927" s="12">
        <f t="shared" si="102"/>
        <v>0</v>
      </c>
      <c r="T927" s="12">
        <f t="shared" si="103"/>
        <v>0</v>
      </c>
      <c r="U927" s="14" t="str">
        <f t="shared" si="104"/>
        <v/>
      </c>
    </row>
    <row r="928" spans="12:21" x14ac:dyDescent="0.25">
      <c r="L928" s="18">
        <f t="shared" si="99"/>
        <v>0</v>
      </c>
      <c r="M928" s="13" t="e">
        <f>VLOOKUP(G928,Sell!G:L,1,0)</f>
        <v>#N/A</v>
      </c>
      <c r="N928" s="13">
        <f>IFERROR(VLOOKUP(G928,Sell!G:L,2,0),0)</f>
        <v>0</v>
      </c>
      <c r="O928" s="12">
        <f>IFERROR(VLOOKUP(G928,Sell!G:L,6,0),0)</f>
        <v>0</v>
      </c>
      <c r="P928" s="13">
        <f t="shared" si="98"/>
        <v>0</v>
      </c>
      <c r="Q928" s="12">
        <f t="shared" si="100"/>
        <v>0</v>
      </c>
      <c r="R928" s="12">
        <f t="shared" si="101"/>
        <v>0</v>
      </c>
      <c r="S928" s="12">
        <f t="shared" si="102"/>
        <v>0</v>
      </c>
      <c r="T928" s="12">
        <f t="shared" si="103"/>
        <v>0</v>
      </c>
      <c r="U928" s="14" t="str">
        <f t="shared" si="104"/>
        <v/>
      </c>
    </row>
    <row r="929" spans="12:21" x14ac:dyDescent="0.25">
      <c r="L929" s="18">
        <f t="shared" si="99"/>
        <v>0</v>
      </c>
      <c r="M929" s="13" t="e">
        <f>VLOOKUP(G929,Sell!G:L,1,0)</f>
        <v>#N/A</v>
      </c>
      <c r="N929" s="13">
        <f>IFERROR(VLOOKUP(G929,Sell!G:L,2,0),0)</f>
        <v>0</v>
      </c>
      <c r="O929" s="12">
        <f>IFERROR(VLOOKUP(G929,Sell!G:L,6,0),0)</f>
        <v>0</v>
      </c>
      <c r="P929" s="13">
        <f t="shared" si="98"/>
        <v>0</v>
      </c>
      <c r="Q929" s="12">
        <f t="shared" si="100"/>
        <v>0</v>
      </c>
      <c r="R929" s="12">
        <f t="shared" si="101"/>
        <v>0</v>
      </c>
      <c r="S929" s="12">
        <f t="shared" si="102"/>
        <v>0</v>
      </c>
      <c r="T929" s="12">
        <f t="shared" si="103"/>
        <v>0</v>
      </c>
      <c r="U929" s="14" t="str">
        <f t="shared" si="104"/>
        <v/>
      </c>
    </row>
    <row r="930" spans="12:21" x14ac:dyDescent="0.25">
      <c r="L930" s="18">
        <f t="shared" si="99"/>
        <v>0</v>
      </c>
      <c r="M930" s="13" t="e">
        <f>VLOOKUP(G930,Sell!G:L,1,0)</f>
        <v>#N/A</v>
      </c>
      <c r="N930" s="13">
        <f>IFERROR(VLOOKUP(G930,Sell!G:L,2,0),0)</f>
        <v>0</v>
      </c>
      <c r="O930" s="12">
        <f>IFERROR(VLOOKUP(G930,Sell!G:L,6,0),0)</f>
        <v>0</v>
      </c>
      <c r="P930" s="13">
        <f t="shared" si="98"/>
        <v>0</v>
      </c>
      <c r="Q930" s="12">
        <f t="shared" si="100"/>
        <v>0</v>
      </c>
      <c r="R930" s="12">
        <f t="shared" si="101"/>
        <v>0</v>
      </c>
      <c r="S930" s="12">
        <f t="shared" si="102"/>
        <v>0</v>
      </c>
      <c r="T930" s="12">
        <f t="shared" si="103"/>
        <v>0</v>
      </c>
      <c r="U930" s="14" t="str">
        <f t="shared" si="104"/>
        <v/>
      </c>
    </row>
    <row r="931" spans="12:21" x14ac:dyDescent="0.25">
      <c r="L931" s="18">
        <f t="shared" si="99"/>
        <v>0</v>
      </c>
      <c r="M931" s="13" t="e">
        <f>VLOOKUP(G931,Sell!G:L,1,0)</f>
        <v>#N/A</v>
      </c>
      <c r="N931" s="13">
        <f>IFERROR(VLOOKUP(G931,Sell!G:L,2,0),0)</f>
        <v>0</v>
      </c>
      <c r="O931" s="12">
        <f>IFERROR(VLOOKUP(G931,Sell!G:L,6,0),0)</f>
        <v>0</v>
      </c>
      <c r="P931" s="13">
        <f t="shared" si="98"/>
        <v>0</v>
      </c>
      <c r="Q931" s="12">
        <f t="shared" si="100"/>
        <v>0</v>
      </c>
      <c r="R931" s="12">
        <f t="shared" si="101"/>
        <v>0</v>
      </c>
      <c r="S931" s="12">
        <f t="shared" si="102"/>
        <v>0</v>
      </c>
      <c r="T931" s="12">
        <f t="shared" si="103"/>
        <v>0</v>
      </c>
      <c r="U931" s="14" t="str">
        <f t="shared" si="104"/>
        <v/>
      </c>
    </row>
    <row r="932" spans="12:21" x14ac:dyDescent="0.25">
      <c r="L932" s="18">
        <f t="shared" si="99"/>
        <v>0</v>
      </c>
      <c r="M932" s="13" t="e">
        <f>VLOOKUP(G932,Sell!G:L,1,0)</f>
        <v>#N/A</v>
      </c>
      <c r="N932" s="13">
        <f>IFERROR(VLOOKUP(G932,Sell!G:L,2,0),0)</f>
        <v>0</v>
      </c>
      <c r="O932" s="12">
        <f>IFERROR(VLOOKUP(G932,Sell!G:L,6,0),0)</f>
        <v>0</v>
      </c>
      <c r="P932" s="13">
        <f t="shared" si="98"/>
        <v>0</v>
      </c>
      <c r="Q932" s="12">
        <f t="shared" si="100"/>
        <v>0</v>
      </c>
      <c r="R932" s="12">
        <f t="shared" si="101"/>
        <v>0</v>
      </c>
      <c r="S932" s="12">
        <f t="shared" si="102"/>
        <v>0</v>
      </c>
      <c r="T932" s="12">
        <f t="shared" si="103"/>
        <v>0</v>
      </c>
      <c r="U932" s="14" t="str">
        <f t="shared" si="104"/>
        <v/>
      </c>
    </row>
    <row r="933" spans="12:21" x14ac:dyDescent="0.25">
      <c r="L933" s="18">
        <f t="shared" si="99"/>
        <v>0</v>
      </c>
      <c r="M933" s="13" t="e">
        <f>VLOOKUP(G933,Sell!G:L,1,0)</f>
        <v>#N/A</v>
      </c>
      <c r="N933" s="13">
        <f>IFERROR(VLOOKUP(G933,Sell!G:L,2,0),0)</f>
        <v>0</v>
      </c>
      <c r="O933" s="12">
        <f>IFERROR(VLOOKUP(G933,Sell!G:L,6,0),0)</f>
        <v>0</v>
      </c>
      <c r="P933" s="13">
        <f t="shared" si="98"/>
        <v>0</v>
      </c>
      <c r="Q933" s="12">
        <f t="shared" si="100"/>
        <v>0</v>
      </c>
      <c r="R933" s="12">
        <f t="shared" si="101"/>
        <v>0</v>
      </c>
      <c r="S933" s="12">
        <f t="shared" si="102"/>
        <v>0</v>
      </c>
      <c r="T933" s="12">
        <f t="shared" si="103"/>
        <v>0</v>
      </c>
      <c r="U933" s="14" t="str">
        <f t="shared" si="104"/>
        <v/>
      </c>
    </row>
    <row r="934" spans="12:21" x14ac:dyDescent="0.25">
      <c r="L934" s="18">
        <f t="shared" si="99"/>
        <v>0</v>
      </c>
      <c r="M934" s="13" t="e">
        <f>VLOOKUP(G934,Sell!G:L,1,0)</f>
        <v>#N/A</v>
      </c>
      <c r="N934" s="13">
        <f>IFERROR(VLOOKUP(G934,Sell!G:L,2,0),0)</f>
        <v>0</v>
      </c>
      <c r="O934" s="12">
        <f>IFERROR(VLOOKUP(G934,Sell!G:L,6,0),0)</f>
        <v>0</v>
      </c>
      <c r="P934" s="13">
        <f t="shared" si="98"/>
        <v>0</v>
      </c>
      <c r="Q934" s="12">
        <f t="shared" si="100"/>
        <v>0</v>
      </c>
      <c r="R934" s="12">
        <f t="shared" si="101"/>
        <v>0</v>
      </c>
      <c r="S934" s="12">
        <f t="shared" si="102"/>
        <v>0</v>
      </c>
      <c r="T934" s="12">
        <f t="shared" si="103"/>
        <v>0</v>
      </c>
      <c r="U934" s="14" t="str">
        <f t="shared" si="104"/>
        <v/>
      </c>
    </row>
    <row r="935" spans="12:21" x14ac:dyDescent="0.25">
      <c r="L935" s="18">
        <f t="shared" si="99"/>
        <v>0</v>
      </c>
      <c r="M935" s="13" t="e">
        <f>VLOOKUP(G935,Sell!G:L,1,0)</f>
        <v>#N/A</v>
      </c>
      <c r="N935" s="13">
        <f>IFERROR(VLOOKUP(G935,Sell!G:L,2,0),0)</f>
        <v>0</v>
      </c>
      <c r="O935" s="12">
        <f>IFERROR(VLOOKUP(G935,Sell!G:L,6,0),0)</f>
        <v>0</v>
      </c>
      <c r="P935" s="13">
        <f t="shared" si="98"/>
        <v>0</v>
      </c>
      <c r="Q935" s="12">
        <f t="shared" si="100"/>
        <v>0</v>
      </c>
      <c r="R935" s="12">
        <f t="shared" si="101"/>
        <v>0</v>
      </c>
      <c r="S935" s="12">
        <f t="shared" si="102"/>
        <v>0</v>
      </c>
      <c r="T935" s="12">
        <f t="shared" si="103"/>
        <v>0</v>
      </c>
      <c r="U935" s="14" t="str">
        <f t="shared" si="104"/>
        <v/>
      </c>
    </row>
    <row r="936" spans="12:21" x14ac:dyDescent="0.25">
      <c r="L936" s="18">
        <f t="shared" si="99"/>
        <v>0</v>
      </c>
      <c r="M936" s="13" t="e">
        <f>VLOOKUP(G936,Sell!G:L,1,0)</f>
        <v>#N/A</v>
      </c>
      <c r="N936" s="13">
        <f>IFERROR(VLOOKUP(G936,Sell!G:L,2,0),0)</f>
        <v>0</v>
      </c>
      <c r="O936" s="12">
        <f>IFERROR(VLOOKUP(G936,Sell!G:L,6,0),0)</f>
        <v>0</v>
      </c>
      <c r="P936" s="13">
        <f t="shared" si="98"/>
        <v>0</v>
      </c>
      <c r="Q936" s="12">
        <f t="shared" si="100"/>
        <v>0</v>
      </c>
      <c r="R936" s="12">
        <f t="shared" si="101"/>
        <v>0</v>
      </c>
      <c r="S936" s="12">
        <f t="shared" si="102"/>
        <v>0</v>
      </c>
      <c r="T936" s="12">
        <f t="shared" si="103"/>
        <v>0</v>
      </c>
      <c r="U936" s="14" t="str">
        <f t="shared" si="104"/>
        <v/>
      </c>
    </row>
    <row r="937" spans="12:21" x14ac:dyDescent="0.25">
      <c r="L937" s="18">
        <f t="shared" si="99"/>
        <v>0</v>
      </c>
      <c r="M937" s="13" t="e">
        <f>VLOOKUP(G937,Sell!G:L,1,0)</f>
        <v>#N/A</v>
      </c>
      <c r="N937" s="13">
        <f>IFERROR(VLOOKUP(G937,Sell!G:L,2,0),0)</f>
        <v>0</v>
      </c>
      <c r="O937" s="12">
        <f>IFERROR(VLOOKUP(G937,Sell!G:L,6,0),0)</f>
        <v>0</v>
      </c>
      <c r="P937" s="13">
        <f t="shared" si="98"/>
        <v>0</v>
      </c>
      <c r="Q937" s="12">
        <f t="shared" si="100"/>
        <v>0</v>
      </c>
      <c r="R937" s="12">
        <f t="shared" si="101"/>
        <v>0</v>
      </c>
      <c r="S937" s="12">
        <f t="shared" si="102"/>
        <v>0</v>
      </c>
      <c r="T937" s="12">
        <f t="shared" si="103"/>
        <v>0</v>
      </c>
      <c r="U937" s="14" t="str">
        <f t="shared" si="104"/>
        <v/>
      </c>
    </row>
    <row r="938" spans="12:21" x14ac:dyDescent="0.25">
      <c r="L938" s="18">
        <f t="shared" si="99"/>
        <v>0</v>
      </c>
      <c r="M938" s="13" t="e">
        <f>VLOOKUP(G938,Sell!G:L,1,0)</f>
        <v>#N/A</v>
      </c>
      <c r="N938" s="13">
        <f>IFERROR(VLOOKUP(G938,Sell!G:L,2,0),0)</f>
        <v>0</v>
      </c>
      <c r="O938" s="12">
        <f>IFERROR(VLOOKUP(G938,Sell!G:L,6,0),0)</f>
        <v>0</v>
      </c>
      <c r="P938" s="13">
        <f t="shared" si="98"/>
        <v>0</v>
      </c>
      <c r="Q938" s="12">
        <f t="shared" si="100"/>
        <v>0</v>
      </c>
      <c r="R938" s="12">
        <f t="shared" si="101"/>
        <v>0</v>
      </c>
      <c r="S938" s="12">
        <f t="shared" si="102"/>
        <v>0</v>
      </c>
      <c r="T938" s="12">
        <f t="shared" si="103"/>
        <v>0</v>
      </c>
      <c r="U938" s="14" t="str">
        <f t="shared" si="104"/>
        <v/>
      </c>
    </row>
    <row r="939" spans="12:21" x14ac:dyDescent="0.25">
      <c r="L939" s="18">
        <f t="shared" si="99"/>
        <v>0</v>
      </c>
      <c r="M939" s="13" t="e">
        <f>VLOOKUP(G939,Sell!G:L,1,0)</f>
        <v>#N/A</v>
      </c>
      <c r="N939" s="13">
        <f>IFERROR(VLOOKUP(G939,Sell!G:L,2,0),0)</f>
        <v>0</v>
      </c>
      <c r="O939" s="12">
        <f>IFERROR(VLOOKUP(G939,Sell!G:L,6,0),0)</f>
        <v>0</v>
      </c>
      <c r="P939" s="13">
        <f t="shared" si="98"/>
        <v>0</v>
      </c>
      <c r="Q939" s="12">
        <f t="shared" si="100"/>
        <v>0</v>
      </c>
      <c r="R939" s="12">
        <f t="shared" si="101"/>
        <v>0</v>
      </c>
      <c r="S939" s="12">
        <f t="shared" si="102"/>
        <v>0</v>
      </c>
      <c r="T939" s="12">
        <f t="shared" si="103"/>
        <v>0</v>
      </c>
      <c r="U939" s="14" t="str">
        <f t="shared" si="104"/>
        <v/>
      </c>
    </row>
    <row r="940" spans="12:21" x14ac:dyDescent="0.25">
      <c r="L940" s="18">
        <f t="shared" si="99"/>
        <v>0</v>
      </c>
      <c r="M940" s="13" t="e">
        <f>VLOOKUP(G940,Sell!G:L,1,0)</f>
        <v>#N/A</v>
      </c>
      <c r="N940" s="13">
        <f>IFERROR(VLOOKUP(G940,Sell!G:L,2,0),0)</f>
        <v>0</v>
      </c>
      <c r="O940" s="12">
        <f>IFERROR(VLOOKUP(G940,Sell!G:L,6,0),0)</f>
        <v>0</v>
      </c>
      <c r="P940" s="13">
        <f t="shared" si="98"/>
        <v>0</v>
      </c>
      <c r="Q940" s="12">
        <f t="shared" si="100"/>
        <v>0</v>
      </c>
      <c r="R940" s="12">
        <f t="shared" si="101"/>
        <v>0</v>
      </c>
      <c r="S940" s="12">
        <f t="shared" si="102"/>
        <v>0</v>
      </c>
      <c r="T940" s="12">
        <f t="shared" si="103"/>
        <v>0</v>
      </c>
      <c r="U940" s="14" t="str">
        <f t="shared" si="104"/>
        <v/>
      </c>
    </row>
    <row r="941" spans="12:21" x14ac:dyDescent="0.25">
      <c r="L941" s="18">
        <f t="shared" si="99"/>
        <v>0</v>
      </c>
      <c r="M941" s="13" t="e">
        <f>VLOOKUP(G941,Sell!G:L,1,0)</f>
        <v>#N/A</v>
      </c>
      <c r="N941" s="13">
        <f>IFERROR(VLOOKUP(G941,Sell!G:L,2,0),0)</f>
        <v>0</v>
      </c>
      <c r="O941" s="12">
        <f>IFERROR(VLOOKUP(G941,Sell!G:L,6,0),0)</f>
        <v>0</v>
      </c>
      <c r="P941" s="13">
        <f t="shared" si="98"/>
        <v>0</v>
      </c>
      <c r="Q941" s="12">
        <f t="shared" si="100"/>
        <v>0</v>
      </c>
      <c r="R941" s="12">
        <f t="shared" si="101"/>
        <v>0</v>
      </c>
      <c r="S941" s="12">
        <f t="shared" si="102"/>
        <v>0</v>
      </c>
      <c r="T941" s="12">
        <f t="shared" si="103"/>
        <v>0</v>
      </c>
      <c r="U941" s="14" t="str">
        <f t="shared" si="104"/>
        <v/>
      </c>
    </row>
    <row r="942" spans="12:21" x14ac:dyDescent="0.25">
      <c r="L942" s="18">
        <f t="shared" si="99"/>
        <v>0</v>
      </c>
      <c r="M942" s="13" t="e">
        <f>VLOOKUP(G942,Sell!G:L,1,0)</f>
        <v>#N/A</v>
      </c>
      <c r="N942" s="13">
        <f>IFERROR(VLOOKUP(G942,Sell!G:L,2,0),0)</f>
        <v>0</v>
      </c>
      <c r="O942" s="12">
        <f>IFERROR(VLOOKUP(G942,Sell!G:L,6,0),0)</f>
        <v>0</v>
      </c>
      <c r="P942" s="13">
        <f t="shared" si="98"/>
        <v>0</v>
      </c>
      <c r="Q942" s="12">
        <f t="shared" si="100"/>
        <v>0</v>
      </c>
      <c r="R942" s="12">
        <f t="shared" si="101"/>
        <v>0</v>
      </c>
      <c r="S942" s="12">
        <f t="shared" si="102"/>
        <v>0</v>
      </c>
      <c r="T942" s="12">
        <f t="shared" si="103"/>
        <v>0</v>
      </c>
      <c r="U942" s="14" t="str">
        <f t="shared" si="104"/>
        <v/>
      </c>
    </row>
    <row r="943" spans="12:21" x14ac:dyDescent="0.25">
      <c r="L943" s="18">
        <f t="shared" si="99"/>
        <v>0</v>
      </c>
      <c r="M943" s="13" t="e">
        <f>VLOOKUP(G943,Sell!G:L,1,0)</f>
        <v>#N/A</v>
      </c>
      <c r="N943" s="13">
        <f>IFERROR(VLOOKUP(G943,Sell!G:L,2,0),0)</f>
        <v>0</v>
      </c>
      <c r="O943" s="12">
        <f>IFERROR(VLOOKUP(G943,Sell!G:L,6,0),0)</f>
        <v>0</v>
      </c>
      <c r="P943" s="13">
        <f t="shared" si="98"/>
        <v>0</v>
      </c>
      <c r="Q943" s="12">
        <f t="shared" si="100"/>
        <v>0</v>
      </c>
      <c r="R943" s="12">
        <f t="shared" si="101"/>
        <v>0</v>
      </c>
      <c r="S943" s="12">
        <f t="shared" si="102"/>
        <v>0</v>
      </c>
      <c r="T943" s="12">
        <f t="shared" si="103"/>
        <v>0</v>
      </c>
      <c r="U943" s="14" t="str">
        <f t="shared" si="104"/>
        <v/>
      </c>
    </row>
    <row r="944" spans="12:21" x14ac:dyDescent="0.25">
      <c r="L944" s="18">
        <f t="shared" si="99"/>
        <v>0</v>
      </c>
      <c r="M944" s="13" t="e">
        <f>VLOOKUP(G944,Sell!G:L,1,0)</f>
        <v>#N/A</v>
      </c>
      <c r="N944" s="13">
        <f>IFERROR(VLOOKUP(G944,Sell!G:L,2,0),0)</f>
        <v>0</v>
      </c>
      <c r="O944" s="12">
        <f>IFERROR(VLOOKUP(G944,Sell!G:L,6,0),0)</f>
        <v>0</v>
      </c>
      <c r="P944" s="13">
        <f t="shared" si="98"/>
        <v>0</v>
      </c>
      <c r="Q944" s="12">
        <f t="shared" si="100"/>
        <v>0</v>
      </c>
      <c r="R944" s="12">
        <f t="shared" si="101"/>
        <v>0</v>
      </c>
      <c r="S944" s="12">
        <f t="shared" si="102"/>
        <v>0</v>
      </c>
      <c r="T944" s="12">
        <f t="shared" si="103"/>
        <v>0</v>
      </c>
      <c r="U944" s="14" t="str">
        <f t="shared" si="104"/>
        <v/>
      </c>
    </row>
    <row r="945" spans="12:21" x14ac:dyDescent="0.25">
      <c r="L945" s="18">
        <f t="shared" si="99"/>
        <v>0</v>
      </c>
      <c r="M945" s="13" t="e">
        <f>VLOOKUP(G945,Sell!G:L,1,0)</f>
        <v>#N/A</v>
      </c>
      <c r="N945" s="13">
        <f>IFERROR(VLOOKUP(G945,Sell!G:L,2,0),0)</f>
        <v>0</v>
      </c>
      <c r="O945" s="12">
        <f>IFERROR(VLOOKUP(G945,Sell!G:L,6,0),0)</f>
        <v>0</v>
      </c>
      <c r="P945" s="13">
        <f t="shared" si="98"/>
        <v>0</v>
      </c>
      <c r="Q945" s="12">
        <f t="shared" si="100"/>
        <v>0</v>
      </c>
      <c r="R945" s="12">
        <f t="shared" si="101"/>
        <v>0</v>
      </c>
      <c r="S945" s="12">
        <f t="shared" si="102"/>
        <v>0</v>
      </c>
      <c r="T945" s="12">
        <f t="shared" si="103"/>
        <v>0</v>
      </c>
      <c r="U945" s="14" t="str">
        <f t="shared" si="104"/>
        <v/>
      </c>
    </row>
    <row r="946" spans="12:21" x14ac:dyDescent="0.25">
      <c r="L946" s="18">
        <f t="shared" si="99"/>
        <v>0</v>
      </c>
      <c r="M946" s="13" t="e">
        <f>VLOOKUP(G946,Sell!G:L,1,0)</f>
        <v>#N/A</v>
      </c>
      <c r="N946" s="13">
        <f>IFERROR(VLOOKUP(G946,Sell!G:L,2,0),0)</f>
        <v>0</v>
      </c>
      <c r="O946" s="12">
        <f>IFERROR(VLOOKUP(G946,Sell!G:L,6,0),0)</f>
        <v>0</v>
      </c>
      <c r="P946" s="13">
        <f t="shared" si="98"/>
        <v>0</v>
      </c>
      <c r="Q946" s="12">
        <f t="shared" si="100"/>
        <v>0</v>
      </c>
      <c r="R946" s="12">
        <f t="shared" si="101"/>
        <v>0</v>
      </c>
      <c r="S946" s="12">
        <f t="shared" si="102"/>
        <v>0</v>
      </c>
      <c r="T946" s="12">
        <f t="shared" si="103"/>
        <v>0</v>
      </c>
      <c r="U946" s="14" t="str">
        <f t="shared" si="104"/>
        <v/>
      </c>
    </row>
    <row r="947" spans="12:21" x14ac:dyDescent="0.25">
      <c r="L947" s="18">
        <f t="shared" si="99"/>
        <v>0</v>
      </c>
      <c r="M947" s="13" t="e">
        <f>VLOOKUP(G947,Sell!G:L,1,0)</f>
        <v>#N/A</v>
      </c>
      <c r="N947" s="13">
        <f>IFERROR(VLOOKUP(G947,Sell!G:L,2,0),0)</f>
        <v>0</v>
      </c>
      <c r="O947" s="12">
        <f>IFERROR(VLOOKUP(G947,Sell!G:L,6,0),0)</f>
        <v>0</v>
      </c>
      <c r="P947" s="13">
        <f t="shared" si="98"/>
        <v>0</v>
      </c>
      <c r="Q947" s="12">
        <f t="shared" si="100"/>
        <v>0</v>
      </c>
      <c r="R947" s="12">
        <f t="shared" si="101"/>
        <v>0</v>
      </c>
      <c r="S947" s="12">
        <f t="shared" si="102"/>
        <v>0</v>
      </c>
      <c r="T947" s="12">
        <f t="shared" si="103"/>
        <v>0</v>
      </c>
      <c r="U947" s="14" t="str">
        <f t="shared" si="104"/>
        <v/>
      </c>
    </row>
    <row r="948" spans="12:21" x14ac:dyDescent="0.25">
      <c r="L948" s="18">
        <f t="shared" si="99"/>
        <v>0</v>
      </c>
      <c r="M948" s="13" t="e">
        <f>VLOOKUP(G948,Sell!G:L,1,0)</f>
        <v>#N/A</v>
      </c>
      <c r="N948" s="13">
        <f>IFERROR(VLOOKUP(G948,Sell!G:L,2,0),0)</f>
        <v>0</v>
      </c>
      <c r="O948" s="12">
        <f>IFERROR(VLOOKUP(G948,Sell!G:L,6,0),0)</f>
        <v>0</v>
      </c>
      <c r="P948" s="13">
        <f t="shared" si="98"/>
        <v>0</v>
      </c>
      <c r="Q948" s="12">
        <f t="shared" si="100"/>
        <v>0</v>
      </c>
      <c r="R948" s="12">
        <f t="shared" si="101"/>
        <v>0</v>
      </c>
      <c r="S948" s="12">
        <f t="shared" si="102"/>
        <v>0</v>
      </c>
      <c r="T948" s="12">
        <f t="shared" si="103"/>
        <v>0</v>
      </c>
      <c r="U948" s="14" t="str">
        <f t="shared" si="104"/>
        <v/>
      </c>
    </row>
    <row r="949" spans="12:21" x14ac:dyDescent="0.25">
      <c r="L949" s="18">
        <f t="shared" si="99"/>
        <v>0</v>
      </c>
      <c r="M949" s="13" t="e">
        <f>VLOOKUP(G949,Sell!G:L,1,0)</f>
        <v>#N/A</v>
      </c>
      <c r="N949" s="13">
        <f>IFERROR(VLOOKUP(G949,Sell!G:L,2,0),0)</f>
        <v>0</v>
      </c>
      <c r="O949" s="12">
        <f>IFERROR(VLOOKUP(G949,Sell!G:L,6,0),0)</f>
        <v>0</v>
      </c>
      <c r="P949" s="13">
        <f t="shared" si="98"/>
        <v>0</v>
      </c>
      <c r="Q949" s="12">
        <f t="shared" si="100"/>
        <v>0</v>
      </c>
      <c r="R949" s="12">
        <f t="shared" si="101"/>
        <v>0</v>
      </c>
      <c r="S949" s="12">
        <f t="shared" si="102"/>
        <v>0</v>
      </c>
      <c r="T949" s="12">
        <f t="shared" si="103"/>
        <v>0</v>
      </c>
      <c r="U949" s="14" t="str">
        <f t="shared" si="104"/>
        <v/>
      </c>
    </row>
    <row r="950" spans="12:21" x14ac:dyDescent="0.25">
      <c r="L950" s="18">
        <f t="shared" si="99"/>
        <v>0</v>
      </c>
      <c r="M950" s="13" t="e">
        <f>VLOOKUP(G950,Sell!G:L,1,0)</f>
        <v>#N/A</v>
      </c>
      <c r="N950" s="13">
        <f>IFERROR(VLOOKUP(G950,Sell!G:L,2,0),0)</f>
        <v>0</v>
      </c>
      <c r="O950" s="12">
        <f>IFERROR(VLOOKUP(G950,Sell!G:L,6,0),0)</f>
        <v>0</v>
      </c>
      <c r="P950" s="13">
        <f t="shared" si="98"/>
        <v>0</v>
      </c>
      <c r="Q950" s="12">
        <f t="shared" si="100"/>
        <v>0</v>
      </c>
      <c r="R950" s="12">
        <f t="shared" si="101"/>
        <v>0</v>
      </c>
      <c r="S950" s="12">
        <f t="shared" si="102"/>
        <v>0</v>
      </c>
      <c r="T950" s="12">
        <f t="shared" si="103"/>
        <v>0</v>
      </c>
      <c r="U950" s="14" t="str">
        <f t="shared" si="104"/>
        <v/>
      </c>
    </row>
    <row r="951" spans="12:21" x14ac:dyDescent="0.25">
      <c r="L951" s="18">
        <f t="shared" si="99"/>
        <v>0</v>
      </c>
      <c r="M951" s="13" t="e">
        <f>VLOOKUP(G951,Sell!G:L,1,0)</f>
        <v>#N/A</v>
      </c>
      <c r="N951" s="13">
        <f>IFERROR(VLOOKUP(G951,Sell!G:L,2,0),0)</f>
        <v>0</v>
      </c>
      <c r="O951" s="12">
        <f>IFERROR(VLOOKUP(G951,Sell!G:L,6,0),0)</f>
        <v>0</v>
      </c>
      <c r="P951" s="13">
        <f t="shared" si="98"/>
        <v>0</v>
      </c>
      <c r="Q951" s="12">
        <f t="shared" si="100"/>
        <v>0</v>
      </c>
      <c r="R951" s="12">
        <f t="shared" si="101"/>
        <v>0</v>
      </c>
      <c r="S951" s="12">
        <f t="shared" si="102"/>
        <v>0</v>
      </c>
      <c r="T951" s="12">
        <f t="shared" si="103"/>
        <v>0</v>
      </c>
      <c r="U951" s="14" t="str">
        <f t="shared" si="104"/>
        <v/>
      </c>
    </row>
    <row r="952" spans="12:21" x14ac:dyDescent="0.25">
      <c r="L952" s="18">
        <f t="shared" si="99"/>
        <v>0</v>
      </c>
      <c r="M952" s="13" t="e">
        <f>VLOOKUP(G952,Sell!G:L,1,0)</f>
        <v>#N/A</v>
      </c>
      <c r="N952" s="13">
        <f>IFERROR(VLOOKUP(G952,Sell!G:L,2,0),0)</f>
        <v>0</v>
      </c>
      <c r="O952" s="12">
        <f>IFERROR(VLOOKUP(G952,Sell!G:L,6,0),0)</f>
        <v>0</v>
      </c>
      <c r="P952" s="13">
        <f t="shared" si="98"/>
        <v>0</v>
      </c>
      <c r="Q952" s="12">
        <f t="shared" si="100"/>
        <v>0</v>
      </c>
      <c r="R952" s="12">
        <f t="shared" si="101"/>
        <v>0</v>
      </c>
      <c r="S952" s="12">
        <f t="shared" si="102"/>
        <v>0</v>
      </c>
      <c r="T952" s="12">
        <f t="shared" si="103"/>
        <v>0</v>
      </c>
      <c r="U952" s="14" t="str">
        <f t="shared" si="104"/>
        <v/>
      </c>
    </row>
    <row r="953" spans="12:21" x14ac:dyDescent="0.25">
      <c r="L953" s="18">
        <f t="shared" si="99"/>
        <v>0</v>
      </c>
      <c r="M953" s="13" t="e">
        <f>VLOOKUP(G953,Sell!G:L,1,0)</f>
        <v>#N/A</v>
      </c>
      <c r="N953" s="13">
        <f>IFERROR(VLOOKUP(G953,Sell!G:L,2,0),0)</f>
        <v>0</v>
      </c>
      <c r="O953" s="12">
        <f>IFERROR(VLOOKUP(G953,Sell!G:L,6,0),0)</f>
        <v>0</v>
      </c>
      <c r="P953" s="13">
        <f t="shared" si="98"/>
        <v>0</v>
      </c>
      <c r="Q953" s="12">
        <f t="shared" si="100"/>
        <v>0</v>
      </c>
      <c r="R953" s="12">
        <f t="shared" si="101"/>
        <v>0</v>
      </c>
      <c r="S953" s="12">
        <f t="shared" si="102"/>
        <v>0</v>
      </c>
      <c r="T953" s="12">
        <f t="shared" si="103"/>
        <v>0</v>
      </c>
      <c r="U953" s="14" t="str">
        <f t="shared" si="104"/>
        <v/>
      </c>
    </row>
    <row r="954" spans="12:21" x14ac:dyDescent="0.25">
      <c r="L954" s="18">
        <f t="shared" si="99"/>
        <v>0</v>
      </c>
      <c r="M954" s="13" t="e">
        <f>VLOOKUP(G954,Sell!G:L,1,0)</f>
        <v>#N/A</v>
      </c>
      <c r="N954" s="13">
        <f>IFERROR(VLOOKUP(G954,Sell!G:L,2,0),0)</f>
        <v>0</v>
      </c>
      <c r="O954" s="12">
        <f>IFERROR(VLOOKUP(G954,Sell!G:L,6,0),0)</f>
        <v>0</v>
      </c>
      <c r="P954" s="13">
        <f t="shared" si="98"/>
        <v>0</v>
      </c>
      <c r="Q954" s="12">
        <f t="shared" si="100"/>
        <v>0</v>
      </c>
      <c r="R954" s="12">
        <f t="shared" si="101"/>
        <v>0</v>
      </c>
      <c r="S954" s="12">
        <f t="shared" si="102"/>
        <v>0</v>
      </c>
      <c r="T954" s="12">
        <f t="shared" si="103"/>
        <v>0</v>
      </c>
      <c r="U954" s="14" t="str">
        <f t="shared" si="104"/>
        <v/>
      </c>
    </row>
    <row r="955" spans="12:21" x14ac:dyDescent="0.25">
      <c r="L955" s="18">
        <f t="shared" si="99"/>
        <v>0</v>
      </c>
      <c r="M955" s="13" t="e">
        <f>VLOOKUP(G955,Sell!G:L,1,0)</f>
        <v>#N/A</v>
      </c>
      <c r="N955" s="13">
        <f>IFERROR(VLOOKUP(G955,Sell!G:L,2,0),0)</f>
        <v>0</v>
      </c>
      <c r="O955" s="12">
        <f>IFERROR(VLOOKUP(G955,Sell!G:L,6,0),0)</f>
        <v>0</v>
      </c>
      <c r="P955" s="13">
        <f t="shared" si="98"/>
        <v>0</v>
      </c>
      <c r="Q955" s="12">
        <f t="shared" si="100"/>
        <v>0</v>
      </c>
      <c r="R955" s="12">
        <f t="shared" si="101"/>
        <v>0</v>
      </c>
      <c r="S955" s="12">
        <f t="shared" si="102"/>
        <v>0</v>
      </c>
      <c r="T955" s="12">
        <f t="shared" si="103"/>
        <v>0</v>
      </c>
      <c r="U955" s="14" t="str">
        <f t="shared" si="104"/>
        <v/>
      </c>
    </row>
    <row r="956" spans="12:21" x14ac:dyDescent="0.25">
      <c r="L956" s="18">
        <f t="shared" si="99"/>
        <v>0</v>
      </c>
      <c r="M956" s="13" t="e">
        <f>VLOOKUP(G956,Sell!G:L,1,0)</f>
        <v>#N/A</v>
      </c>
      <c r="N956" s="13">
        <f>IFERROR(VLOOKUP(G956,Sell!G:L,2,0),0)</f>
        <v>0</v>
      </c>
      <c r="O956" s="12">
        <f>IFERROR(VLOOKUP(G956,Sell!G:L,6,0),0)</f>
        <v>0</v>
      </c>
      <c r="P956" s="13">
        <f t="shared" si="98"/>
        <v>0</v>
      </c>
      <c r="Q956" s="12">
        <f t="shared" si="100"/>
        <v>0</v>
      </c>
      <c r="R956" s="12">
        <f t="shared" si="101"/>
        <v>0</v>
      </c>
      <c r="S956" s="12">
        <f t="shared" si="102"/>
        <v>0</v>
      </c>
      <c r="T956" s="12">
        <f t="shared" si="103"/>
        <v>0</v>
      </c>
      <c r="U956" s="14" t="str">
        <f t="shared" si="104"/>
        <v/>
      </c>
    </row>
    <row r="957" spans="12:21" x14ac:dyDescent="0.25">
      <c r="L957" s="18">
        <f t="shared" si="99"/>
        <v>0</v>
      </c>
      <c r="M957" s="13" t="e">
        <f>VLOOKUP(G957,Sell!G:L,1,0)</f>
        <v>#N/A</v>
      </c>
      <c r="N957" s="13">
        <f>IFERROR(VLOOKUP(G957,Sell!G:L,2,0),0)</f>
        <v>0</v>
      </c>
      <c r="O957" s="12">
        <f>IFERROR(VLOOKUP(G957,Sell!G:L,6,0),0)</f>
        <v>0</v>
      </c>
      <c r="P957" s="13">
        <f t="shared" si="98"/>
        <v>0</v>
      </c>
      <c r="Q957" s="12">
        <f t="shared" si="100"/>
        <v>0</v>
      </c>
      <c r="R957" s="12">
        <f t="shared" si="101"/>
        <v>0</v>
      </c>
      <c r="S957" s="12">
        <f t="shared" si="102"/>
        <v>0</v>
      </c>
      <c r="T957" s="12">
        <f t="shared" si="103"/>
        <v>0</v>
      </c>
      <c r="U957" s="14" t="str">
        <f t="shared" si="104"/>
        <v/>
      </c>
    </row>
    <row r="958" spans="12:21" x14ac:dyDescent="0.25">
      <c r="L958" s="18">
        <f t="shared" si="99"/>
        <v>0</v>
      </c>
      <c r="M958" s="13" t="e">
        <f>VLOOKUP(G958,Sell!G:L,1,0)</f>
        <v>#N/A</v>
      </c>
      <c r="N958" s="13">
        <f>IFERROR(VLOOKUP(G958,Sell!G:L,2,0),0)</f>
        <v>0</v>
      </c>
      <c r="O958" s="12">
        <f>IFERROR(VLOOKUP(G958,Sell!G:L,6,0),0)</f>
        <v>0</v>
      </c>
      <c r="P958" s="13">
        <f t="shared" si="98"/>
        <v>0</v>
      </c>
      <c r="Q958" s="12">
        <f t="shared" si="100"/>
        <v>0</v>
      </c>
      <c r="R958" s="12">
        <f t="shared" si="101"/>
        <v>0</v>
      </c>
      <c r="S958" s="12">
        <f t="shared" si="102"/>
        <v>0</v>
      </c>
      <c r="T958" s="12">
        <f t="shared" si="103"/>
        <v>0</v>
      </c>
      <c r="U958" s="14" t="str">
        <f t="shared" si="104"/>
        <v/>
      </c>
    </row>
    <row r="959" spans="12:21" x14ac:dyDescent="0.25">
      <c r="L959" s="18">
        <f t="shared" si="99"/>
        <v>0</v>
      </c>
      <c r="M959" s="13" t="e">
        <f>VLOOKUP(G959,Sell!G:L,1,0)</f>
        <v>#N/A</v>
      </c>
      <c r="N959" s="13">
        <f>IFERROR(VLOOKUP(G959,Sell!G:L,2,0),0)</f>
        <v>0</v>
      </c>
      <c r="O959" s="12">
        <f>IFERROR(VLOOKUP(G959,Sell!G:L,6,0),0)</f>
        <v>0</v>
      </c>
      <c r="P959" s="13">
        <f t="shared" si="98"/>
        <v>0</v>
      </c>
      <c r="Q959" s="12">
        <f t="shared" si="100"/>
        <v>0</v>
      </c>
      <c r="R959" s="12">
        <f t="shared" si="101"/>
        <v>0</v>
      </c>
      <c r="S959" s="12">
        <f t="shared" si="102"/>
        <v>0</v>
      </c>
      <c r="T959" s="12">
        <f t="shared" si="103"/>
        <v>0</v>
      </c>
      <c r="U959" s="14" t="str">
        <f t="shared" si="104"/>
        <v/>
      </c>
    </row>
    <row r="960" spans="12:21" x14ac:dyDescent="0.25">
      <c r="L960" s="18">
        <f t="shared" si="99"/>
        <v>0</v>
      </c>
      <c r="M960" s="13" t="e">
        <f>VLOOKUP(G960,Sell!G:L,1,0)</f>
        <v>#N/A</v>
      </c>
      <c r="N960" s="13">
        <f>IFERROR(VLOOKUP(G960,Sell!G:L,2,0),0)</f>
        <v>0</v>
      </c>
      <c r="O960" s="12">
        <f>IFERROR(VLOOKUP(G960,Sell!G:L,6,0),0)</f>
        <v>0</v>
      </c>
      <c r="P960" s="13">
        <f t="shared" si="98"/>
        <v>0</v>
      </c>
      <c r="Q960" s="12">
        <f t="shared" si="100"/>
        <v>0</v>
      </c>
      <c r="R960" s="12">
        <f t="shared" si="101"/>
        <v>0</v>
      </c>
      <c r="S960" s="12">
        <f t="shared" si="102"/>
        <v>0</v>
      </c>
      <c r="T960" s="12">
        <f t="shared" si="103"/>
        <v>0</v>
      </c>
      <c r="U960" s="14" t="str">
        <f t="shared" si="104"/>
        <v/>
      </c>
    </row>
    <row r="961" spans="12:21" x14ac:dyDescent="0.25">
      <c r="L961" s="18">
        <f t="shared" si="99"/>
        <v>0</v>
      </c>
      <c r="M961" s="13" t="e">
        <f>VLOOKUP(G961,Sell!G:L,1,0)</f>
        <v>#N/A</v>
      </c>
      <c r="N961" s="13">
        <f>IFERROR(VLOOKUP(G961,Sell!G:L,2,0),0)</f>
        <v>0</v>
      </c>
      <c r="O961" s="12">
        <f>IFERROR(VLOOKUP(G961,Sell!G:L,6,0),0)</f>
        <v>0</v>
      </c>
      <c r="P961" s="13">
        <f t="shared" si="98"/>
        <v>0</v>
      </c>
      <c r="Q961" s="12">
        <f t="shared" si="100"/>
        <v>0</v>
      </c>
      <c r="R961" s="12">
        <f t="shared" si="101"/>
        <v>0</v>
      </c>
      <c r="S961" s="12">
        <f t="shared" si="102"/>
        <v>0</v>
      </c>
      <c r="T961" s="12">
        <f t="shared" si="103"/>
        <v>0</v>
      </c>
      <c r="U961" s="14" t="str">
        <f t="shared" si="104"/>
        <v/>
      </c>
    </row>
    <row r="962" spans="12:21" x14ac:dyDescent="0.25">
      <c r="L962" s="18">
        <f t="shared" si="99"/>
        <v>0</v>
      </c>
      <c r="M962" s="13" t="e">
        <f>VLOOKUP(G962,Sell!G:L,1,0)</f>
        <v>#N/A</v>
      </c>
      <c r="N962" s="13">
        <f>IFERROR(VLOOKUP(G962,Sell!G:L,2,0),0)</f>
        <v>0</v>
      </c>
      <c r="O962" s="12">
        <f>IFERROR(VLOOKUP(G962,Sell!G:L,6,0),0)</f>
        <v>0</v>
      </c>
      <c r="P962" s="13">
        <f t="shared" si="98"/>
        <v>0</v>
      </c>
      <c r="Q962" s="12">
        <f t="shared" si="100"/>
        <v>0</v>
      </c>
      <c r="R962" s="12">
        <f t="shared" si="101"/>
        <v>0</v>
      </c>
      <c r="S962" s="12">
        <f t="shared" si="102"/>
        <v>0</v>
      </c>
      <c r="T962" s="12">
        <f t="shared" si="103"/>
        <v>0</v>
      </c>
      <c r="U962" s="14" t="str">
        <f t="shared" si="104"/>
        <v/>
      </c>
    </row>
    <row r="963" spans="12:21" x14ac:dyDescent="0.25">
      <c r="L963" s="18">
        <f t="shared" si="99"/>
        <v>0</v>
      </c>
      <c r="M963" s="13" t="e">
        <f>VLOOKUP(G963,Sell!G:L,1,0)</f>
        <v>#N/A</v>
      </c>
      <c r="N963" s="13">
        <f>IFERROR(VLOOKUP(G963,Sell!G:L,2,0),0)</f>
        <v>0</v>
      </c>
      <c r="O963" s="12">
        <f>IFERROR(VLOOKUP(G963,Sell!G:L,6,0),0)</f>
        <v>0</v>
      </c>
      <c r="P963" s="13">
        <f t="shared" si="98"/>
        <v>0</v>
      </c>
      <c r="Q963" s="12">
        <f t="shared" si="100"/>
        <v>0</v>
      </c>
      <c r="R963" s="12">
        <f t="shared" si="101"/>
        <v>0</v>
      </c>
      <c r="S963" s="12">
        <f t="shared" si="102"/>
        <v>0</v>
      </c>
      <c r="T963" s="12">
        <f t="shared" si="103"/>
        <v>0</v>
      </c>
      <c r="U963" s="14" t="str">
        <f t="shared" si="104"/>
        <v/>
      </c>
    </row>
    <row r="964" spans="12:21" x14ac:dyDescent="0.25">
      <c r="L964" s="18">
        <f t="shared" si="99"/>
        <v>0</v>
      </c>
      <c r="M964" s="13" t="e">
        <f>VLOOKUP(G964,Sell!G:L,1,0)</f>
        <v>#N/A</v>
      </c>
      <c r="N964" s="13">
        <f>IFERROR(VLOOKUP(G964,Sell!G:L,2,0),0)</f>
        <v>0</v>
      </c>
      <c r="O964" s="12">
        <f>IFERROR(VLOOKUP(G964,Sell!G:L,6,0),0)</f>
        <v>0</v>
      </c>
      <c r="P964" s="13">
        <f t="shared" si="98"/>
        <v>0</v>
      </c>
      <c r="Q964" s="12">
        <f t="shared" si="100"/>
        <v>0</v>
      </c>
      <c r="R964" s="12">
        <f t="shared" si="101"/>
        <v>0</v>
      </c>
      <c r="S964" s="12">
        <f t="shared" si="102"/>
        <v>0</v>
      </c>
      <c r="T964" s="12">
        <f t="shared" si="103"/>
        <v>0</v>
      </c>
      <c r="U964" s="14" t="str">
        <f t="shared" si="104"/>
        <v/>
      </c>
    </row>
    <row r="965" spans="12:21" x14ac:dyDescent="0.25">
      <c r="L965" s="18">
        <f t="shared" si="99"/>
        <v>0</v>
      </c>
      <c r="M965" s="13" t="e">
        <f>VLOOKUP(G965,Sell!G:L,1,0)</f>
        <v>#N/A</v>
      </c>
      <c r="N965" s="13">
        <f>IFERROR(VLOOKUP(G965,Sell!G:L,2,0),0)</f>
        <v>0</v>
      </c>
      <c r="O965" s="12">
        <f>IFERROR(VLOOKUP(G965,Sell!G:L,6,0),0)</f>
        <v>0</v>
      </c>
      <c r="P965" s="13">
        <f t="shared" si="98"/>
        <v>0</v>
      </c>
      <c r="Q965" s="12">
        <f t="shared" si="100"/>
        <v>0</v>
      </c>
      <c r="R965" s="12">
        <f t="shared" si="101"/>
        <v>0</v>
      </c>
      <c r="S965" s="12">
        <f t="shared" si="102"/>
        <v>0</v>
      </c>
      <c r="T965" s="12">
        <f t="shared" si="103"/>
        <v>0</v>
      </c>
      <c r="U965" s="14" t="str">
        <f t="shared" si="104"/>
        <v/>
      </c>
    </row>
    <row r="966" spans="12:21" x14ac:dyDescent="0.25">
      <c r="L966" s="18">
        <f t="shared" si="99"/>
        <v>0</v>
      </c>
      <c r="M966" s="13" t="e">
        <f>VLOOKUP(G966,Sell!G:L,1,0)</f>
        <v>#N/A</v>
      </c>
      <c r="N966" s="13">
        <f>IFERROR(VLOOKUP(G966,Sell!G:L,2,0),0)</f>
        <v>0</v>
      </c>
      <c r="O966" s="12">
        <f>IFERROR(VLOOKUP(G966,Sell!G:L,6,0),0)</f>
        <v>0</v>
      </c>
      <c r="P966" s="13">
        <f t="shared" si="98"/>
        <v>0</v>
      </c>
      <c r="Q966" s="12">
        <f t="shared" si="100"/>
        <v>0</v>
      </c>
      <c r="R966" s="12">
        <f t="shared" si="101"/>
        <v>0</v>
      </c>
      <c r="S966" s="12">
        <f t="shared" si="102"/>
        <v>0</v>
      </c>
      <c r="T966" s="12">
        <f t="shared" si="103"/>
        <v>0</v>
      </c>
      <c r="U966" s="14" t="str">
        <f t="shared" si="104"/>
        <v/>
      </c>
    </row>
    <row r="967" spans="12:21" x14ac:dyDescent="0.25">
      <c r="L967" s="18">
        <f t="shared" si="99"/>
        <v>0</v>
      </c>
      <c r="M967" s="13" t="e">
        <f>VLOOKUP(G967,Sell!G:L,1,0)</f>
        <v>#N/A</v>
      </c>
      <c r="N967" s="13">
        <f>IFERROR(VLOOKUP(G967,Sell!G:L,2,0),0)</f>
        <v>0</v>
      </c>
      <c r="O967" s="12">
        <f>IFERROR(VLOOKUP(G967,Sell!G:L,6,0),0)</f>
        <v>0</v>
      </c>
      <c r="P967" s="13">
        <f t="shared" si="98"/>
        <v>0</v>
      </c>
      <c r="Q967" s="12">
        <f t="shared" si="100"/>
        <v>0</v>
      </c>
      <c r="R967" s="12">
        <f t="shared" si="101"/>
        <v>0</v>
      </c>
      <c r="S967" s="12">
        <f t="shared" si="102"/>
        <v>0</v>
      </c>
      <c r="T967" s="12">
        <f t="shared" si="103"/>
        <v>0</v>
      </c>
      <c r="U967" s="14" t="str">
        <f t="shared" si="104"/>
        <v/>
      </c>
    </row>
    <row r="968" spans="12:21" x14ac:dyDescent="0.25">
      <c r="L968" s="18">
        <f t="shared" si="99"/>
        <v>0</v>
      </c>
      <c r="M968" s="13" t="e">
        <f>VLOOKUP(G968,Sell!G:L,1,0)</f>
        <v>#N/A</v>
      </c>
      <c r="N968" s="13">
        <f>IFERROR(VLOOKUP(G968,Sell!G:L,2,0),0)</f>
        <v>0</v>
      </c>
      <c r="O968" s="12">
        <f>IFERROR(VLOOKUP(G968,Sell!G:L,6,0),0)</f>
        <v>0</v>
      </c>
      <c r="P968" s="13">
        <f t="shared" si="98"/>
        <v>0</v>
      </c>
      <c r="Q968" s="12">
        <f t="shared" si="100"/>
        <v>0</v>
      </c>
      <c r="R968" s="12">
        <f t="shared" si="101"/>
        <v>0</v>
      </c>
      <c r="S968" s="12">
        <f t="shared" si="102"/>
        <v>0</v>
      </c>
      <c r="T968" s="12">
        <f t="shared" si="103"/>
        <v>0</v>
      </c>
      <c r="U968" s="14" t="str">
        <f t="shared" si="104"/>
        <v/>
      </c>
    </row>
    <row r="969" spans="12:21" x14ac:dyDescent="0.25">
      <c r="L969" s="18">
        <f t="shared" si="99"/>
        <v>0</v>
      </c>
      <c r="M969" s="13" t="e">
        <f>VLOOKUP(G969,Sell!G:L,1,0)</f>
        <v>#N/A</v>
      </c>
      <c r="N969" s="13">
        <f>IFERROR(VLOOKUP(G969,Sell!G:L,2,0),0)</f>
        <v>0</v>
      </c>
      <c r="O969" s="12">
        <f>IFERROR(VLOOKUP(G969,Sell!G:L,6,0),0)</f>
        <v>0</v>
      </c>
      <c r="P969" s="13">
        <f t="shared" si="98"/>
        <v>0</v>
      </c>
      <c r="Q969" s="12">
        <f t="shared" si="100"/>
        <v>0</v>
      </c>
      <c r="R969" s="12">
        <f t="shared" si="101"/>
        <v>0</v>
      </c>
      <c r="S969" s="12">
        <f t="shared" si="102"/>
        <v>0</v>
      </c>
      <c r="T969" s="12">
        <f t="shared" si="103"/>
        <v>0</v>
      </c>
      <c r="U969" s="14" t="str">
        <f t="shared" si="104"/>
        <v/>
      </c>
    </row>
    <row r="970" spans="12:21" x14ac:dyDescent="0.25">
      <c r="L970" s="18">
        <f t="shared" si="99"/>
        <v>0</v>
      </c>
      <c r="M970" s="13" t="e">
        <f>VLOOKUP(G970,Sell!G:L,1,0)</f>
        <v>#N/A</v>
      </c>
      <c r="N970" s="13">
        <f>IFERROR(VLOOKUP(G970,Sell!G:L,2,0),0)</f>
        <v>0</v>
      </c>
      <c r="O970" s="12">
        <f>IFERROR(VLOOKUP(G970,Sell!G:L,6,0),0)</f>
        <v>0</v>
      </c>
      <c r="P970" s="13">
        <f t="shared" ref="P970:P1000" si="105">H970-N970</f>
        <v>0</v>
      </c>
      <c r="Q970" s="12">
        <f t="shared" si="100"/>
        <v>0</v>
      </c>
      <c r="R970" s="12">
        <f t="shared" si="101"/>
        <v>0</v>
      </c>
      <c r="S970" s="12">
        <f t="shared" si="102"/>
        <v>0</v>
      </c>
      <c r="T970" s="12">
        <f t="shared" si="103"/>
        <v>0</v>
      </c>
      <c r="U970" s="14" t="str">
        <f t="shared" si="104"/>
        <v/>
      </c>
    </row>
    <row r="971" spans="12:21" x14ac:dyDescent="0.25">
      <c r="L971" s="18">
        <f t="shared" ref="L971:L1000" si="106">J971+K971</f>
        <v>0</v>
      </c>
      <c r="M971" s="13" t="e">
        <f>VLOOKUP(G971,Sell!G:L,1,0)</f>
        <v>#N/A</v>
      </c>
      <c r="N971" s="13">
        <f>IFERROR(VLOOKUP(G971,Sell!G:L,2,0),0)</f>
        <v>0</v>
      </c>
      <c r="O971" s="12">
        <f>IFERROR(VLOOKUP(G971,Sell!G:L,6,0),0)</f>
        <v>0</v>
      </c>
      <c r="P971" s="13">
        <f t="shared" si="105"/>
        <v>0</v>
      </c>
      <c r="Q971" s="12">
        <f t="shared" ref="Q971:Q1000" si="107">O971-L971</f>
        <v>0</v>
      </c>
      <c r="R971" s="12">
        <f t="shared" ref="R971:R1000" si="108">IF(P971=0,Q971,0)</f>
        <v>0</v>
      </c>
      <c r="S971" s="12">
        <f t="shared" ref="S971:S1000" si="109">IF(R971&gt;0,R971,0)</f>
        <v>0</v>
      </c>
      <c r="T971" s="12">
        <f t="shared" ref="T971:T1000" si="110">IF(R971&gt;0,0,R971)</f>
        <v>0</v>
      </c>
      <c r="U971" s="14" t="str">
        <f t="shared" ref="U971:U1000" si="111">IF(AND(LEN(G971)&gt;0,R971=0),"Open","")</f>
        <v/>
      </c>
    </row>
    <row r="972" spans="12:21" x14ac:dyDescent="0.25">
      <c r="L972" s="18">
        <f t="shared" si="106"/>
        <v>0</v>
      </c>
      <c r="M972" s="13" t="e">
        <f>VLOOKUP(G972,Sell!G:L,1,0)</f>
        <v>#N/A</v>
      </c>
      <c r="N972" s="13">
        <f>IFERROR(VLOOKUP(G972,Sell!G:L,2,0),0)</f>
        <v>0</v>
      </c>
      <c r="O972" s="12">
        <f>IFERROR(VLOOKUP(G972,Sell!G:L,6,0),0)</f>
        <v>0</v>
      </c>
      <c r="P972" s="13">
        <f t="shared" si="105"/>
        <v>0</v>
      </c>
      <c r="Q972" s="12">
        <f t="shared" si="107"/>
        <v>0</v>
      </c>
      <c r="R972" s="12">
        <f t="shared" si="108"/>
        <v>0</v>
      </c>
      <c r="S972" s="12">
        <f t="shared" si="109"/>
        <v>0</v>
      </c>
      <c r="T972" s="12">
        <f t="shared" si="110"/>
        <v>0</v>
      </c>
      <c r="U972" s="14" t="str">
        <f t="shared" si="111"/>
        <v/>
      </c>
    </row>
    <row r="973" spans="12:21" x14ac:dyDescent="0.25">
      <c r="L973" s="18">
        <f t="shared" si="106"/>
        <v>0</v>
      </c>
      <c r="M973" s="13" t="e">
        <f>VLOOKUP(G973,Sell!G:L,1,0)</f>
        <v>#N/A</v>
      </c>
      <c r="N973" s="13">
        <f>IFERROR(VLOOKUP(G973,Sell!G:L,2,0),0)</f>
        <v>0</v>
      </c>
      <c r="O973" s="12">
        <f>IFERROR(VLOOKUP(G973,Sell!G:L,6,0),0)</f>
        <v>0</v>
      </c>
      <c r="P973" s="13">
        <f t="shared" si="105"/>
        <v>0</v>
      </c>
      <c r="Q973" s="12">
        <f t="shared" si="107"/>
        <v>0</v>
      </c>
      <c r="R973" s="12">
        <f t="shared" si="108"/>
        <v>0</v>
      </c>
      <c r="S973" s="12">
        <f t="shared" si="109"/>
        <v>0</v>
      </c>
      <c r="T973" s="12">
        <f t="shared" si="110"/>
        <v>0</v>
      </c>
      <c r="U973" s="14" t="str">
        <f t="shared" si="111"/>
        <v/>
      </c>
    </row>
    <row r="974" spans="12:21" x14ac:dyDescent="0.25">
      <c r="L974" s="18">
        <f t="shared" si="106"/>
        <v>0</v>
      </c>
      <c r="M974" s="13" t="e">
        <f>VLOOKUP(G974,Sell!G:L,1,0)</f>
        <v>#N/A</v>
      </c>
      <c r="N974" s="13">
        <f>IFERROR(VLOOKUP(G974,Sell!G:L,2,0),0)</f>
        <v>0</v>
      </c>
      <c r="O974" s="12">
        <f>IFERROR(VLOOKUP(G974,Sell!G:L,6,0),0)</f>
        <v>0</v>
      </c>
      <c r="P974" s="13">
        <f t="shared" si="105"/>
        <v>0</v>
      </c>
      <c r="Q974" s="12">
        <f t="shared" si="107"/>
        <v>0</v>
      </c>
      <c r="R974" s="12">
        <f t="shared" si="108"/>
        <v>0</v>
      </c>
      <c r="S974" s="12">
        <f t="shared" si="109"/>
        <v>0</v>
      </c>
      <c r="T974" s="12">
        <f t="shared" si="110"/>
        <v>0</v>
      </c>
      <c r="U974" s="14" t="str">
        <f t="shared" si="111"/>
        <v/>
      </c>
    </row>
    <row r="975" spans="12:21" x14ac:dyDescent="0.25">
      <c r="L975" s="18">
        <f t="shared" si="106"/>
        <v>0</v>
      </c>
      <c r="M975" s="13" t="e">
        <f>VLOOKUP(G975,Sell!G:L,1,0)</f>
        <v>#N/A</v>
      </c>
      <c r="N975" s="13">
        <f>IFERROR(VLOOKUP(G975,Sell!G:L,2,0),0)</f>
        <v>0</v>
      </c>
      <c r="O975" s="12">
        <f>IFERROR(VLOOKUP(G975,Sell!G:L,6,0),0)</f>
        <v>0</v>
      </c>
      <c r="P975" s="13">
        <f t="shared" si="105"/>
        <v>0</v>
      </c>
      <c r="Q975" s="12">
        <f t="shared" si="107"/>
        <v>0</v>
      </c>
      <c r="R975" s="12">
        <f t="shared" si="108"/>
        <v>0</v>
      </c>
      <c r="S975" s="12">
        <f t="shared" si="109"/>
        <v>0</v>
      </c>
      <c r="T975" s="12">
        <f t="shared" si="110"/>
        <v>0</v>
      </c>
      <c r="U975" s="14" t="str">
        <f t="shared" si="111"/>
        <v/>
      </c>
    </row>
    <row r="976" spans="12:21" x14ac:dyDescent="0.25">
      <c r="L976" s="18">
        <f t="shared" si="106"/>
        <v>0</v>
      </c>
      <c r="M976" s="13" t="e">
        <f>VLOOKUP(G976,Sell!G:L,1,0)</f>
        <v>#N/A</v>
      </c>
      <c r="N976" s="13">
        <f>IFERROR(VLOOKUP(G976,Sell!G:L,2,0),0)</f>
        <v>0</v>
      </c>
      <c r="O976" s="12">
        <f>IFERROR(VLOOKUP(G976,Sell!G:L,6,0),0)</f>
        <v>0</v>
      </c>
      <c r="P976" s="13">
        <f t="shared" si="105"/>
        <v>0</v>
      </c>
      <c r="Q976" s="12">
        <f t="shared" si="107"/>
        <v>0</v>
      </c>
      <c r="R976" s="12">
        <f t="shared" si="108"/>
        <v>0</v>
      </c>
      <c r="S976" s="12">
        <f t="shared" si="109"/>
        <v>0</v>
      </c>
      <c r="T976" s="12">
        <f t="shared" si="110"/>
        <v>0</v>
      </c>
      <c r="U976" s="14" t="str">
        <f t="shared" si="111"/>
        <v/>
      </c>
    </row>
    <row r="977" spans="12:21" x14ac:dyDescent="0.25">
      <c r="L977" s="18">
        <f t="shared" si="106"/>
        <v>0</v>
      </c>
      <c r="M977" s="13" t="e">
        <f>VLOOKUP(G977,Sell!G:L,1,0)</f>
        <v>#N/A</v>
      </c>
      <c r="N977" s="13">
        <f>IFERROR(VLOOKUP(G977,Sell!G:L,2,0),0)</f>
        <v>0</v>
      </c>
      <c r="O977" s="12">
        <f>IFERROR(VLOOKUP(G977,Sell!G:L,6,0),0)</f>
        <v>0</v>
      </c>
      <c r="P977" s="13">
        <f t="shared" si="105"/>
        <v>0</v>
      </c>
      <c r="Q977" s="12">
        <f t="shared" si="107"/>
        <v>0</v>
      </c>
      <c r="R977" s="12">
        <f t="shared" si="108"/>
        <v>0</v>
      </c>
      <c r="S977" s="12">
        <f t="shared" si="109"/>
        <v>0</v>
      </c>
      <c r="T977" s="12">
        <f t="shared" si="110"/>
        <v>0</v>
      </c>
      <c r="U977" s="14" t="str">
        <f t="shared" si="111"/>
        <v/>
      </c>
    </row>
    <row r="978" spans="12:21" x14ac:dyDescent="0.25">
      <c r="L978" s="18">
        <f t="shared" si="106"/>
        <v>0</v>
      </c>
      <c r="M978" s="13" t="e">
        <f>VLOOKUP(G978,Sell!G:L,1,0)</f>
        <v>#N/A</v>
      </c>
      <c r="N978" s="13">
        <f>IFERROR(VLOOKUP(G978,Sell!G:L,2,0),0)</f>
        <v>0</v>
      </c>
      <c r="O978" s="12">
        <f>IFERROR(VLOOKUP(G978,Sell!G:L,6,0),0)</f>
        <v>0</v>
      </c>
      <c r="P978" s="13">
        <f t="shared" si="105"/>
        <v>0</v>
      </c>
      <c r="Q978" s="12">
        <f t="shared" si="107"/>
        <v>0</v>
      </c>
      <c r="R978" s="12">
        <f t="shared" si="108"/>
        <v>0</v>
      </c>
      <c r="S978" s="12">
        <f t="shared" si="109"/>
        <v>0</v>
      </c>
      <c r="T978" s="12">
        <f t="shared" si="110"/>
        <v>0</v>
      </c>
      <c r="U978" s="14" t="str">
        <f t="shared" si="111"/>
        <v/>
      </c>
    </row>
    <row r="979" spans="12:21" x14ac:dyDescent="0.25">
      <c r="L979" s="18">
        <f t="shared" si="106"/>
        <v>0</v>
      </c>
      <c r="M979" s="13" t="e">
        <f>VLOOKUP(G979,Sell!G:L,1,0)</f>
        <v>#N/A</v>
      </c>
      <c r="N979" s="13">
        <f>IFERROR(VLOOKUP(G979,Sell!G:L,2,0),0)</f>
        <v>0</v>
      </c>
      <c r="O979" s="12">
        <f>IFERROR(VLOOKUP(G979,Sell!G:L,6,0),0)</f>
        <v>0</v>
      </c>
      <c r="P979" s="13">
        <f t="shared" si="105"/>
        <v>0</v>
      </c>
      <c r="Q979" s="12">
        <f t="shared" si="107"/>
        <v>0</v>
      </c>
      <c r="R979" s="12">
        <f t="shared" si="108"/>
        <v>0</v>
      </c>
      <c r="S979" s="12">
        <f t="shared" si="109"/>
        <v>0</v>
      </c>
      <c r="T979" s="12">
        <f t="shared" si="110"/>
        <v>0</v>
      </c>
      <c r="U979" s="14" t="str">
        <f t="shared" si="111"/>
        <v/>
      </c>
    </row>
    <row r="980" spans="12:21" x14ac:dyDescent="0.25">
      <c r="L980" s="18">
        <f t="shared" si="106"/>
        <v>0</v>
      </c>
      <c r="M980" s="13" t="e">
        <f>VLOOKUP(G980,Sell!G:L,1,0)</f>
        <v>#N/A</v>
      </c>
      <c r="N980" s="13">
        <f>IFERROR(VLOOKUP(G980,Sell!G:L,2,0),0)</f>
        <v>0</v>
      </c>
      <c r="O980" s="12">
        <f>IFERROR(VLOOKUP(G980,Sell!G:L,6,0),0)</f>
        <v>0</v>
      </c>
      <c r="P980" s="13">
        <f t="shared" si="105"/>
        <v>0</v>
      </c>
      <c r="Q980" s="12">
        <f t="shared" si="107"/>
        <v>0</v>
      </c>
      <c r="R980" s="12">
        <f t="shared" si="108"/>
        <v>0</v>
      </c>
      <c r="S980" s="12">
        <f t="shared" si="109"/>
        <v>0</v>
      </c>
      <c r="T980" s="12">
        <f t="shared" si="110"/>
        <v>0</v>
      </c>
      <c r="U980" s="14" t="str">
        <f t="shared" si="111"/>
        <v/>
      </c>
    </row>
    <row r="981" spans="12:21" x14ac:dyDescent="0.25">
      <c r="L981" s="18">
        <f t="shared" si="106"/>
        <v>0</v>
      </c>
      <c r="M981" s="13" t="e">
        <f>VLOOKUP(G981,Sell!G:L,1,0)</f>
        <v>#N/A</v>
      </c>
      <c r="N981" s="13">
        <f>IFERROR(VLOOKUP(G981,Sell!G:L,2,0),0)</f>
        <v>0</v>
      </c>
      <c r="O981" s="12">
        <f>IFERROR(VLOOKUP(G981,Sell!G:L,6,0),0)</f>
        <v>0</v>
      </c>
      <c r="P981" s="13">
        <f t="shared" si="105"/>
        <v>0</v>
      </c>
      <c r="Q981" s="12">
        <f t="shared" si="107"/>
        <v>0</v>
      </c>
      <c r="R981" s="12">
        <f t="shared" si="108"/>
        <v>0</v>
      </c>
      <c r="S981" s="12">
        <f t="shared" si="109"/>
        <v>0</v>
      </c>
      <c r="T981" s="12">
        <f t="shared" si="110"/>
        <v>0</v>
      </c>
      <c r="U981" s="14" t="str">
        <f t="shared" si="111"/>
        <v/>
      </c>
    </row>
    <row r="982" spans="12:21" x14ac:dyDescent="0.25">
      <c r="L982" s="18">
        <f t="shared" si="106"/>
        <v>0</v>
      </c>
      <c r="M982" s="13" t="e">
        <f>VLOOKUP(G982,Sell!G:L,1,0)</f>
        <v>#N/A</v>
      </c>
      <c r="N982" s="13">
        <f>IFERROR(VLOOKUP(G982,Sell!G:L,2,0),0)</f>
        <v>0</v>
      </c>
      <c r="O982" s="12">
        <f>IFERROR(VLOOKUP(G982,Sell!G:L,6,0),0)</f>
        <v>0</v>
      </c>
      <c r="P982" s="13">
        <f t="shared" si="105"/>
        <v>0</v>
      </c>
      <c r="Q982" s="12">
        <f t="shared" si="107"/>
        <v>0</v>
      </c>
      <c r="R982" s="12">
        <f t="shared" si="108"/>
        <v>0</v>
      </c>
      <c r="S982" s="12">
        <f t="shared" si="109"/>
        <v>0</v>
      </c>
      <c r="T982" s="12">
        <f t="shared" si="110"/>
        <v>0</v>
      </c>
      <c r="U982" s="14" t="str">
        <f t="shared" si="111"/>
        <v/>
      </c>
    </row>
    <row r="983" spans="12:21" x14ac:dyDescent="0.25">
      <c r="L983" s="18">
        <f t="shared" si="106"/>
        <v>0</v>
      </c>
      <c r="M983" s="13" t="e">
        <f>VLOOKUP(G983,Sell!G:L,1,0)</f>
        <v>#N/A</v>
      </c>
      <c r="N983" s="13">
        <f>IFERROR(VLOOKUP(G983,Sell!G:L,2,0),0)</f>
        <v>0</v>
      </c>
      <c r="O983" s="12">
        <f>IFERROR(VLOOKUP(G983,Sell!G:L,6,0),0)</f>
        <v>0</v>
      </c>
      <c r="P983" s="13">
        <f t="shared" si="105"/>
        <v>0</v>
      </c>
      <c r="Q983" s="12">
        <f t="shared" si="107"/>
        <v>0</v>
      </c>
      <c r="R983" s="12">
        <f t="shared" si="108"/>
        <v>0</v>
      </c>
      <c r="S983" s="12">
        <f t="shared" si="109"/>
        <v>0</v>
      </c>
      <c r="T983" s="12">
        <f t="shared" si="110"/>
        <v>0</v>
      </c>
      <c r="U983" s="14" t="str">
        <f t="shared" si="111"/>
        <v/>
      </c>
    </row>
    <row r="984" spans="12:21" x14ac:dyDescent="0.25">
      <c r="L984" s="18">
        <f t="shared" si="106"/>
        <v>0</v>
      </c>
      <c r="M984" s="13" t="e">
        <f>VLOOKUP(G984,Sell!G:L,1,0)</f>
        <v>#N/A</v>
      </c>
      <c r="N984" s="13">
        <f>IFERROR(VLOOKUP(G984,Sell!G:L,2,0),0)</f>
        <v>0</v>
      </c>
      <c r="O984" s="12">
        <f>IFERROR(VLOOKUP(G984,Sell!G:L,6,0),0)</f>
        <v>0</v>
      </c>
      <c r="P984" s="13">
        <f t="shared" si="105"/>
        <v>0</v>
      </c>
      <c r="Q984" s="12">
        <f t="shared" si="107"/>
        <v>0</v>
      </c>
      <c r="R984" s="12">
        <f t="shared" si="108"/>
        <v>0</v>
      </c>
      <c r="S984" s="12">
        <f t="shared" si="109"/>
        <v>0</v>
      </c>
      <c r="T984" s="12">
        <f t="shared" si="110"/>
        <v>0</v>
      </c>
      <c r="U984" s="14" t="str">
        <f t="shared" si="111"/>
        <v/>
      </c>
    </row>
    <row r="985" spans="12:21" x14ac:dyDescent="0.25">
      <c r="L985" s="18">
        <f t="shared" si="106"/>
        <v>0</v>
      </c>
      <c r="M985" s="13" t="e">
        <f>VLOOKUP(G985,Sell!G:L,1,0)</f>
        <v>#N/A</v>
      </c>
      <c r="N985" s="13">
        <f>IFERROR(VLOOKUP(G985,Sell!G:L,2,0),0)</f>
        <v>0</v>
      </c>
      <c r="O985" s="12">
        <f>IFERROR(VLOOKUP(G985,Sell!G:L,6,0),0)</f>
        <v>0</v>
      </c>
      <c r="P985" s="13">
        <f t="shared" si="105"/>
        <v>0</v>
      </c>
      <c r="Q985" s="12">
        <f t="shared" si="107"/>
        <v>0</v>
      </c>
      <c r="R985" s="12">
        <f t="shared" si="108"/>
        <v>0</v>
      </c>
      <c r="S985" s="12">
        <f t="shared" si="109"/>
        <v>0</v>
      </c>
      <c r="T985" s="12">
        <f t="shared" si="110"/>
        <v>0</v>
      </c>
      <c r="U985" s="14" t="str">
        <f t="shared" si="111"/>
        <v/>
      </c>
    </row>
    <row r="986" spans="12:21" x14ac:dyDescent="0.25">
      <c r="L986" s="18">
        <f t="shared" si="106"/>
        <v>0</v>
      </c>
      <c r="M986" s="13" t="e">
        <f>VLOOKUP(G986,Sell!G:L,1,0)</f>
        <v>#N/A</v>
      </c>
      <c r="N986" s="13">
        <f>IFERROR(VLOOKUP(G986,Sell!G:L,2,0),0)</f>
        <v>0</v>
      </c>
      <c r="O986" s="12">
        <f>IFERROR(VLOOKUP(G986,Sell!G:L,6,0),0)</f>
        <v>0</v>
      </c>
      <c r="P986" s="13">
        <f t="shared" si="105"/>
        <v>0</v>
      </c>
      <c r="Q986" s="12">
        <f t="shared" si="107"/>
        <v>0</v>
      </c>
      <c r="R986" s="12">
        <f t="shared" si="108"/>
        <v>0</v>
      </c>
      <c r="S986" s="12">
        <f t="shared" si="109"/>
        <v>0</v>
      </c>
      <c r="T986" s="12">
        <f t="shared" si="110"/>
        <v>0</v>
      </c>
      <c r="U986" s="14" t="str">
        <f t="shared" si="111"/>
        <v/>
      </c>
    </row>
    <row r="987" spans="12:21" x14ac:dyDescent="0.25">
      <c r="L987" s="18">
        <f t="shared" si="106"/>
        <v>0</v>
      </c>
      <c r="M987" s="13" t="e">
        <f>VLOOKUP(G987,Sell!G:L,1,0)</f>
        <v>#N/A</v>
      </c>
      <c r="N987" s="13">
        <f>IFERROR(VLOOKUP(G987,Sell!G:L,2,0),0)</f>
        <v>0</v>
      </c>
      <c r="O987" s="12">
        <f>IFERROR(VLOOKUP(G987,Sell!G:L,6,0),0)</f>
        <v>0</v>
      </c>
      <c r="P987" s="13">
        <f t="shared" si="105"/>
        <v>0</v>
      </c>
      <c r="Q987" s="12">
        <f t="shared" si="107"/>
        <v>0</v>
      </c>
      <c r="R987" s="12">
        <f t="shared" si="108"/>
        <v>0</v>
      </c>
      <c r="S987" s="12">
        <f t="shared" si="109"/>
        <v>0</v>
      </c>
      <c r="T987" s="12">
        <f t="shared" si="110"/>
        <v>0</v>
      </c>
      <c r="U987" s="14" t="str">
        <f t="shared" si="111"/>
        <v/>
      </c>
    </row>
    <row r="988" spans="12:21" x14ac:dyDescent="0.25">
      <c r="L988" s="18">
        <f t="shared" si="106"/>
        <v>0</v>
      </c>
      <c r="M988" s="13" t="e">
        <f>VLOOKUP(G988,Sell!G:L,1,0)</f>
        <v>#N/A</v>
      </c>
      <c r="N988" s="13">
        <f>IFERROR(VLOOKUP(G988,Sell!G:L,2,0),0)</f>
        <v>0</v>
      </c>
      <c r="O988" s="12">
        <f>IFERROR(VLOOKUP(G988,Sell!G:L,6,0),0)</f>
        <v>0</v>
      </c>
      <c r="P988" s="13">
        <f t="shared" si="105"/>
        <v>0</v>
      </c>
      <c r="Q988" s="12">
        <f t="shared" si="107"/>
        <v>0</v>
      </c>
      <c r="R988" s="12">
        <f t="shared" si="108"/>
        <v>0</v>
      </c>
      <c r="S988" s="12">
        <f t="shared" si="109"/>
        <v>0</v>
      </c>
      <c r="T988" s="12">
        <f t="shared" si="110"/>
        <v>0</v>
      </c>
      <c r="U988" s="14" t="str">
        <f t="shared" si="111"/>
        <v/>
      </c>
    </row>
    <row r="989" spans="12:21" x14ac:dyDescent="0.25">
      <c r="L989" s="18">
        <f t="shared" si="106"/>
        <v>0</v>
      </c>
      <c r="M989" s="13" t="e">
        <f>VLOOKUP(G989,Sell!G:L,1,0)</f>
        <v>#N/A</v>
      </c>
      <c r="N989" s="13">
        <f>IFERROR(VLOOKUP(G989,Sell!G:L,2,0),0)</f>
        <v>0</v>
      </c>
      <c r="O989" s="12">
        <f>IFERROR(VLOOKUP(G989,Sell!G:L,6,0),0)</f>
        <v>0</v>
      </c>
      <c r="P989" s="13">
        <f t="shared" si="105"/>
        <v>0</v>
      </c>
      <c r="Q989" s="12">
        <f t="shared" si="107"/>
        <v>0</v>
      </c>
      <c r="R989" s="12">
        <f t="shared" si="108"/>
        <v>0</v>
      </c>
      <c r="S989" s="12">
        <f t="shared" si="109"/>
        <v>0</v>
      </c>
      <c r="T989" s="12">
        <f t="shared" si="110"/>
        <v>0</v>
      </c>
      <c r="U989" s="14" t="str">
        <f t="shared" si="111"/>
        <v/>
      </c>
    </row>
    <row r="990" spans="12:21" x14ac:dyDescent="0.25">
      <c r="L990" s="18">
        <f t="shared" si="106"/>
        <v>0</v>
      </c>
      <c r="M990" s="13" t="e">
        <f>VLOOKUP(G990,Sell!G:L,1,0)</f>
        <v>#N/A</v>
      </c>
      <c r="N990" s="13">
        <f>IFERROR(VLOOKUP(G990,Sell!G:L,2,0),0)</f>
        <v>0</v>
      </c>
      <c r="O990" s="12">
        <f>IFERROR(VLOOKUP(G990,Sell!G:L,6,0),0)</f>
        <v>0</v>
      </c>
      <c r="P990" s="13">
        <f t="shared" si="105"/>
        <v>0</v>
      </c>
      <c r="Q990" s="12">
        <f t="shared" si="107"/>
        <v>0</v>
      </c>
      <c r="R990" s="12">
        <f t="shared" si="108"/>
        <v>0</v>
      </c>
      <c r="S990" s="12">
        <f t="shared" si="109"/>
        <v>0</v>
      </c>
      <c r="T990" s="12">
        <f t="shared" si="110"/>
        <v>0</v>
      </c>
      <c r="U990" s="14" t="str">
        <f t="shared" si="111"/>
        <v/>
      </c>
    </row>
    <row r="991" spans="12:21" x14ac:dyDescent="0.25">
      <c r="L991" s="18">
        <f t="shared" si="106"/>
        <v>0</v>
      </c>
      <c r="M991" s="13" t="e">
        <f>VLOOKUP(G991,Sell!G:L,1,0)</f>
        <v>#N/A</v>
      </c>
      <c r="N991" s="13">
        <f>IFERROR(VLOOKUP(G991,Sell!G:L,2,0),0)</f>
        <v>0</v>
      </c>
      <c r="O991" s="12">
        <f>IFERROR(VLOOKUP(G991,Sell!G:L,6,0),0)</f>
        <v>0</v>
      </c>
      <c r="P991" s="13">
        <f t="shared" si="105"/>
        <v>0</v>
      </c>
      <c r="Q991" s="12">
        <f t="shared" si="107"/>
        <v>0</v>
      </c>
      <c r="R991" s="12">
        <f t="shared" si="108"/>
        <v>0</v>
      </c>
      <c r="S991" s="12">
        <f t="shared" si="109"/>
        <v>0</v>
      </c>
      <c r="T991" s="12">
        <f t="shared" si="110"/>
        <v>0</v>
      </c>
      <c r="U991" s="14" t="str">
        <f t="shared" si="111"/>
        <v/>
      </c>
    </row>
    <row r="992" spans="12:21" x14ac:dyDescent="0.25">
      <c r="L992" s="18">
        <f t="shared" si="106"/>
        <v>0</v>
      </c>
      <c r="M992" s="13" t="e">
        <f>VLOOKUP(G992,Sell!G:L,1,0)</f>
        <v>#N/A</v>
      </c>
      <c r="N992" s="13">
        <f>IFERROR(VLOOKUP(G992,Sell!G:L,2,0),0)</f>
        <v>0</v>
      </c>
      <c r="O992" s="12">
        <f>IFERROR(VLOOKUP(G992,Sell!G:L,6,0),0)</f>
        <v>0</v>
      </c>
      <c r="P992" s="13">
        <f t="shared" si="105"/>
        <v>0</v>
      </c>
      <c r="Q992" s="12">
        <f t="shared" si="107"/>
        <v>0</v>
      </c>
      <c r="R992" s="12">
        <f t="shared" si="108"/>
        <v>0</v>
      </c>
      <c r="S992" s="12">
        <f t="shared" si="109"/>
        <v>0</v>
      </c>
      <c r="T992" s="12">
        <f t="shared" si="110"/>
        <v>0</v>
      </c>
      <c r="U992" s="14" t="str">
        <f t="shared" si="111"/>
        <v/>
      </c>
    </row>
    <row r="993" spans="12:21" x14ac:dyDescent="0.25">
      <c r="L993" s="18">
        <f t="shared" si="106"/>
        <v>0</v>
      </c>
      <c r="M993" s="13" t="e">
        <f>VLOOKUP(G993,Sell!G:L,1,0)</f>
        <v>#N/A</v>
      </c>
      <c r="N993" s="13">
        <f>IFERROR(VLOOKUP(G993,Sell!G:L,2,0),0)</f>
        <v>0</v>
      </c>
      <c r="O993" s="12">
        <f>IFERROR(VLOOKUP(G993,Sell!G:L,6,0),0)</f>
        <v>0</v>
      </c>
      <c r="P993" s="13">
        <f t="shared" si="105"/>
        <v>0</v>
      </c>
      <c r="Q993" s="12">
        <f t="shared" si="107"/>
        <v>0</v>
      </c>
      <c r="R993" s="12">
        <f t="shared" si="108"/>
        <v>0</v>
      </c>
      <c r="S993" s="12">
        <f t="shared" si="109"/>
        <v>0</v>
      </c>
      <c r="T993" s="12">
        <f t="shared" si="110"/>
        <v>0</v>
      </c>
      <c r="U993" s="14" t="str">
        <f t="shared" si="111"/>
        <v/>
      </c>
    </row>
    <row r="994" spans="12:21" x14ac:dyDescent="0.25">
      <c r="L994" s="18">
        <f t="shared" si="106"/>
        <v>0</v>
      </c>
      <c r="M994" s="13" t="e">
        <f>VLOOKUP(G994,Sell!G:L,1,0)</f>
        <v>#N/A</v>
      </c>
      <c r="N994" s="13">
        <f>IFERROR(VLOOKUP(G994,Sell!G:L,2,0),0)</f>
        <v>0</v>
      </c>
      <c r="O994" s="12">
        <f>IFERROR(VLOOKUP(G994,Sell!G:L,6,0),0)</f>
        <v>0</v>
      </c>
      <c r="P994" s="13">
        <f t="shared" si="105"/>
        <v>0</v>
      </c>
      <c r="Q994" s="12">
        <f t="shared" si="107"/>
        <v>0</v>
      </c>
      <c r="R994" s="12">
        <f t="shared" si="108"/>
        <v>0</v>
      </c>
      <c r="S994" s="12">
        <f t="shared" si="109"/>
        <v>0</v>
      </c>
      <c r="T994" s="12">
        <f t="shared" si="110"/>
        <v>0</v>
      </c>
      <c r="U994" s="14" t="str">
        <f t="shared" si="111"/>
        <v/>
      </c>
    </row>
    <row r="995" spans="12:21" x14ac:dyDescent="0.25">
      <c r="L995" s="18">
        <f t="shared" si="106"/>
        <v>0</v>
      </c>
      <c r="M995" s="13" t="e">
        <f>VLOOKUP(G995,Sell!G:L,1,0)</f>
        <v>#N/A</v>
      </c>
      <c r="N995" s="13">
        <f>IFERROR(VLOOKUP(G995,Sell!G:L,2,0),0)</f>
        <v>0</v>
      </c>
      <c r="O995" s="12">
        <f>IFERROR(VLOOKUP(G995,Sell!G:L,6,0),0)</f>
        <v>0</v>
      </c>
      <c r="P995" s="13">
        <f t="shared" si="105"/>
        <v>0</v>
      </c>
      <c r="Q995" s="12">
        <f t="shared" si="107"/>
        <v>0</v>
      </c>
      <c r="R995" s="12">
        <f t="shared" si="108"/>
        <v>0</v>
      </c>
      <c r="S995" s="12">
        <f t="shared" si="109"/>
        <v>0</v>
      </c>
      <c r="T995" s="12">
        <f t="shared" si="110"/>
        <v>0</v>
      </c>
      <c r="U995" s="14" t="str">
        <f t="shared" si="111"/>
        <v/>
      </c>
    </row>
    <row r="996" spans="12:21" x14ac:dyDescent="0.25">
      <c r="L996" s="18">
        <f t="shared" si="106"/>
        <v>0</v>
      </c>
      <c r="M996" s="13" t="e">
        <f>VLOOKUP(G996,Sell!G:L,1,0)</f>
        <v>#N/A</v>
      </c>
      <c r="N996" s="13">
        <f>IFERROR(VLOOKUP(G996,Sell!G:L,2,0),0)</f>
        <v>0</v>
      </c>
      <c r="O996" s="12">
        <f>IFERROR(VLOOKUP(G996,Sell!G:L,6,0),0)</f>
        <v>0</v>
      </c>
      <c r="P996" s="13">
        <f t="shared" si="105"/>
        <v>0</v>
      </c>
      <c r="Q996" s="12">
        <f t="shared" si="107"/>
        <v>0</v>
      </c>
      <c r="R996" s="12">
        <f t="shared" si="108"/>
        <v>0</v>
      </c>
      <c r="S996" s="12">
        <f t="shared" si="109"/>
        <v>0</v>
      </c>
      <c r="T996" s="12">
        <f t="shared" si="110"/>
        <v>0</v>
      </c>
      <c r="U996" s="14" t="str">
        <f t="shared" si="111"/>
        <v/>
      </c>
    </row>
    <row r="997" spans="12:21" x14ac:dyDescent="0.25">
      <c r="L997" s="18">
        <f t="shared" si="106"/>
        <v>0</v>
      </c>
      <c r="M997" s="13" t="e">
        <f>VLOOKUP(G997,Sell!G:L,1,0)</f>
        <v>#N/A</v>
      </c>
      <c r="N997" s="13">
        <f>IFERROR(VLOOKUP(G997,Sell!G:L,2,0),0)</f>
        <v>0</v>
      </c>
      <c r="O997" s="12">
        <f>IFERROR(VLOOKUP(G997,Sell!G:L,6,0),0)</f>
        <v>0</v>
      </c>
      <c r="P997" s="13">
        <f t="shared" si="105"/>
        <v>0</v>
      </c>
      <c r="Q997" s="12">
        <f t="shared" si="107"/>
        <v>0</v>
      </c>
      <c r="R997" s="12">
        <f t="shared" si="108"/>
        <v>0</v>
      </c>
      <c r="S997" s="12">
        <f t="shared" si="109"/>
        <v>0</v>
      </c>
      <c r="T997" s="12">
        <f t="shared" si="110"/>
        <v>0</v>
      </c>
      <c r="U997" s="14" t="str">
        <f t="shared" si="111"/>
        <v/>
      </c>
    </row>
    <row r="998" spans="12:21" x14ac:dyDescent="0.25">
      <c r="L998" s="18">
        <f t="shared" si="106"/>
        <v>0</v>
      </c>
      <c r="M998" s="13" t="e">
        <f>VLOOKUP(G998,Sell!G:L,1,0)</f>
        <v>#N/A</v>
      </c>
      <c r="N998" s="13">
        <f>IFERROR(VLOOKUP(G998,Sell!G:L,2,0),0)</f>
        <v>0</v>
      </c>
      <c r="O998" s="12">
        <f>IFERROR(VLOOKUP(G998,Sell!G:L,6,0),0)</f>
        <v>0</v>
      </c>
      <c r="P998" s="13">
        <f t="shared" si="105"/>
        <v>0</v>
      </c>
      <c r="Q998" s="12">
        <f t="shared" si="107"/>
        <v>0</v>
      </c>
      <c r="R998" s="12">
        <f t="shared" si="108"/>
        <v>0</v>
      </c>
      <c r="S998" s="12">
        <f t="shared" si="109"/>
        <v>0</v>
      </c>
      <c r="T998" s="12">
        <f t="shared" si="110"/>
        <v>0</v>
      </c>
      <c r="U998" s="14" t="str">
        <f t="shared" si="111"/>
        <v/>
      </c>
    </row>
    <row r="999" spans="12:21" x14ac:dyDescent="0.25">
      <c r="L999" s="18">
        <f t="shared" si="106"/>
        <v>0</v>
      </c>
      <c r="M999" s="13" t="e">
        <f>VLOOKUP(G999,Sell!G:L,1,0)</f>
        <v>#N/A</v>
      </c>
      <c r="N999" s="13">
        <f>IFERROR(VLOOKUP(G999,Sell!G:L,2,0),0)</f>
        <v>0</v>
      </c>
      <c r="O999" s="12">
        <f>IFERROR(VLOOKUP(G999,Sell!G:L,6,0),0)</f>
        <v>0</v>
      </c>
      <c r="P999" s="13">
        <f t="shared" si="105"/>
        <v>0</v>
      </c>
      <c r="Q999" s="12">
        <f t="shared" si="107"/>
        <v>0</v>
      </c>
      <c r="R999" s="12">
        <f t="shared" si="108"/>
        <v>0</v>
      </c>
      <c r="S999" s="12">
        <f t="shared" si="109"/>
        <v>0</v>
      </c>
      <c r="T999" s="12">
        <f t="shared" si="110"/>
        <v>0</v>
      </c>
      <c r="U999" s="14" t="str">
        <f t="shared" si="111"/>
        <v/>
      </c>
    </row>
    <row r="1000" spans="12:21" x14ac:dyDescent="0.25">
      <c r="L1000" s="18">
        <f t="shared" si="106"/>
        <v>0</v>
      </c>
      <c r="M1000" s="13" t="e">
        <f>VLOOKUP(G1000,Sell!G:L,1,0)</f>
        <v>#N/A</v>
      </c>
      <c r="N1000" s="13">
        <f>IFERROR(VLOOKUP(G1000,Sell!G:L,2,0),0)</f>
        <v>0</v>
      </c>
      <c r="O1000" s="12">
        <f>IFERROR(VLOOKUP(G1000,Sell!G:L,6,0),0)</f>
        <v>0</v>
      </c>
      <c r="P1000" s="13">
        <f t="shared" si="105"/>
        <v>0</v>
      </c>
      <c r="Q1000" s="12">
        <f t="shared" si="107"/>
        <v>0</v>
      </c>
      <c r="R1000" s="12">
        <f t="shared" si="108"/>
        <v>0</v>
      </c>
      <c r="S1000" s="12">
        <f t="shared" si="109"/>
        <v>0</v>
      </c>
      <c r="T1000" s="12">
        <f t="shared" si="110"/>
        <v>0</v>
      </c>
      <c r="U1000" s="14" t="str">
        <f t="shared" si="111"/>
        <v/>
      </c>
    </row>
  </sheetData>
  <mergeCells count="2">
    <mergeCell ref="M8:O8"/>
    <mergeCell ref="P8:U8"/>
  </mergeCells>
  <conditionalFormatting sqref="R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85" workbookViewId="0">
      <selection activeCell="G112" sqref="G112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1.2851562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</cols>
  <sheetData>
    <row r="1" spans="1:12" x14ac:dyDescent="0.25">
      <c r="A1" s="1" t="s">
        <v>2</v>
      </c>
      <c r="B1" t="s">
        <v>23</v>
      </c>
    </row>
    <row r="3" spans="1:12" x14ac:dyDescent="0.25">
      <c r="B3" s="1" t="s">
        <v>157</v>
      </c>
      <c r="G3" s="3"/>
      <c r="H3" s="3" t="s">
        <v>157</v>
      </c>
      <c r="I3" s="3"/>
      <c r="J3" s="3"/>
      <c r="K3" s="3"/>
    </row>
    <row r="4" spans="1:12" x14ac:dyDescent="0.25">
      <c r="A4" s="1" t="s">
        <v>154</v>
      </c>
      <c r="B4" t="s">
        <v>159</v>
      </c>
      <c r="C4" t="s">
        <v>160</v>
      </c>
      <c r="D4" t="s">
        <v>156</v>
      </c>
      <c r="E4" t="s">
        <v>158</v>
      </c>
      <c r="G4" s="4" t="s">
        <v>154</v>
      </c>
      <c r="H4" s="4" t="s">
        <v>159</v>
      </c>
      <c r="I4" s="4" t="s">
        <v>160</v>
      </c>
      <c r="J4" s="4" t="s">
        <v>156</v>
      </c>
      <c r="K4" s="4" t="s">
        <v>158</v>
      </c>
      <c r="L4" s="8" t="s">
        <v>165</v>
      </c>
    </row>
    <row r="5" spans="1:12" x14ac:dyDescent="0.25">
      <c r="A5" s="2" t="s">
        <v>54</v>
      </c>
      <c r="B5">
        <v>100</v>
      </c>
      <c r="C5">
        <v>373</v>
      </c>
      <c r="D5">
        <v>37300</v>
      </c>
      <c r="E5">
        <v>278.15089999999998</v>
      </c>
      <c r="G5" s="2" t="s">
        <v>54</v>
      </c>
      <c r="H5">
        <v>100</v>
      </c>
      <c r="I5">
        <v>373</v>
      </c>
      <c r="J5">
        <v>37300</v>
      </c>
      <c r="K5">
        <v>278.15089999999998</v>
      </c>
      <c r="L5" s="7">
        <f>J5-K5</f>
        <v>37021.849099999999</v>
      </c>
    </row>
    <row r="6" spans="1:12" x14ac:dyDescent="0.25">
      <c r="A6" s="2" t="s">
        <v>100</v>
      </c>
      <c r="B6">
        <v>8450</v>
      </c>
      <c r="C6">
        <v>1026.24</v>
      </c>
      <c r="D6">
        <v>1007879.8</v>
      </c>
      <c r="E6">
        <v>1075.1056999999998</v>
      </c>
      <c r="G6" s="2" t="s">
        <v>100</v>
      </c>
      <c r="H6">
        <v>8450</v>
      </c>
      <c r="I6">
        <v>1026.24</v>
      </c>
      <c r="J6">
        <v>1007879.8</v>
      </c>
      <c r="K6">
        <v>1075.1056999999998</v>
      </c>
      <c r="L6" s="7">
        <f t="shared" ref="L6:L69" si="0">J6-K6</f>
        <v>1006804.6943000001</v>
      </c>
    </row>
    <row r="7" spans="1:12" x14ac:dyDescent="0.25">
      <c r="A7" s="2" t="s">
        <v>98</v>
      </c>
      <c r="B7">
        <v>349</v>
      </c>
      <c r="C7">
        <v>159.19999999999999</v>
      </c>
      <c r="D7">
        <v>27900</v>
      </c>
      <c r="E7">
        <v>231.0026</v>
      </c>
      <c r="G7" s="2" t="s">
        <v>98</v>
      </c>
      <c r="H7">
        <v>349</v>
      </c>
      <c r="I7">
        <v>159.19999999999999</v>
      </c>
      <c r="J7">
        <v>27900</v>
      </c>
      <c r="K7">
        <v>231.0026</v>
      </c>
      <c r="L7" s="7">
        <f t="shared" si="0"/>
        <v>27668.9974</v>
      </c>
    </row>
    <row r="8" spans="1:12" x14ac:dyDescent="0.25">
      <c r="A8" s="2" t="s">
        <v>26</v>
      </c>
      <c r="B8">
        <v>13139</v>
      </c>
      <c r="C8">
        <v>2026.9799999999998</v>
      </c>
      <c r="D8">
        <v>1703019.5999999999</v>
      </c>
      <c r="E8">
        <v>3889.2426</v>
      </c>
      <c r="G8" s="2" t="s">
        <v>26</v>
      </c>
      <c r="H8">
        <v>13139</v>
      </c>
      <c r="I8">
        <v>2026.9799999999998</v>
      </c>
      <c r="J8">
        <v>1703019.5999999999</v>
      </c>
      <c r="K8">
        <v>3889.2426</v>
      </c>
      <c r="L8" s="7">
        <f t="shared" si="0"/>
        <v>1699130.3573999999</v>
      </c>
    </row>
    <row r="9" spans="1:12" x14ac:dyDescent="0.25">
      <c r="A9" s="2" t="s">
        <v>29</v>
      </c>
      <c r="B9">
        <v>25325</v>
      </c>
      <c r="C9">
        <v>145.36000000000001</v>
      </c>
      <c r="D9">
        <v>421590</v>
      </c>
      <c r="E9">
        <v>2132.6961999999999</v>
      </c>
      <c r="G9" s="2" t="s">
        <v>29</v>
      </c>
      <c r="H9">
        <v>25325</v>
      </c>
      <c r="I9">
        <v>145.36000000000001</v>
      </c>
      <c r="J9">
        <v>421590</v>
      </c>
      <c r="K9">
        <v>2132.6961999999999</v>
      </c>
      <c r="L9" s="7">
        <f t="shared" si="0"/>
        <v>419457.30379999999</v>
      </c>
    </row>
    <row r="10" spans="1:12" x14ac:dyDescent="0.25">
      <c r="A10" s="2" t="s">
        <v>119</v>
      </c>
      <c r="B10">
        <v>500</v>
      </c>
      <c r="C10">
        <v>81</v>
      </c>
      <c r="D10">
        <v>40500</v>
      </c>
      <c r="E10">
        <v>299.58800000000002</v>
      </c>
      <c r="G10" s="2" t="s">
        <v>119</v>
      </c>
      <c r="H10">
        <v>500</v>
      </c>
      <c r="I10">
        <v>81</v>
      </c>
      <c r="J10">
        <v>40500</v>
      </c>
      <c r="K10">
        <v>299.58800000000002</v>
      </c>
      <c r="L10" s="7">
        <f t="shared" si="0"/>
        <v>40200.411999999997</v>
      </c>
    </row>
    <row r="11" spans="1:12" x14ac:dyDescent="0.25">
      <c r="A11" s="2" t="s">
        <v>74</v>
      </c>
      <c r="B11">
        <v>300</v>
      </c>
      <c r="C11">
        <v>2702</v>
      </c>
      <c r="D11">
        <v>270200</v>
      </c>
      <c r="E11">
        <v>1003.6591999999999</v>
      </c>
      <c r="G11" s="2" t="s">
        <v>74</v>
      </c>
      <c r="H11">
        <v>300</v>
      </c>
      <c r="I11">
        <v>2702</v>
      </c>
      <c r="J11">
        <v>270200</v>
      </c>
      <c r="K11">
        <v>1003.6591999999999</v>
      </c>
      <c r="L11" s="7">
        <f t="shared" si="0"/>
        <v>269196.34080000001</v>
      </c>
    </row>
    <row r="12" spans="1:12" x14ac:dyDescent="0.25">
      <c r="A12" s="2" t="s">
        <v>115</v>
      </c>
      <c r="B12">
        <v>500</v>
      </c>
      <c r="C12">
        <v>83.5</v>
      </c>
      <c r="D12">
        <v>41750</v>
      </c>
      <c r="E12">
        <v>305.56270000000001</v>
      </c>
      <c r="G12" s="2" t="s">
        <v>115</v>
      </c>
      <c r="H12">
        <v>500</v>
      </c>
      <c r="I12">
        <v>83.5</v>
      </c>
      <c r="J12">
        <v>41750</v>
      </c>
      <c r="K12">
        <v>305.56270000000001</v>
      </c>
      <c r="L12" s="7">
        <f t="shared" si="0"/>
        <v>41444.437299999998</v>
      </c>
    </row>
    <row r="13" spans="1:12" x14ac:dyDescent="0.25">
      <c r="A13" s="2" t="s">
        <v>89</v>
      </c>
      <c r="B13">
        <v>3000</v>
      </c>
      <c r="C13">
        <v>23.4</v>
      </c>
      <c r="D13">
        <v>33750</v>
      </c>
      <c r="E13">
        <v>250.9846</v>
      </c>
      <c r="G13" s="2" t="s">
        <v>89</v>
      </c>
      <c r="H13">
        <v>3000</v>
      </c>
      <c r="I13">
        <v>23.4</v>
      </c>
      <c r="J13">
        <v>33750</v>
      </c>
      <c r="K13">
        <v>250.9846</v>
      </c>
      <c r="L13" s="7">
        <f t="shared" si="0"/>
        <v>33499.015399999997</v>
      </c>
    </row>
    <row r="14" spans="1:12" x14ac:dyDescent="0.25">
      <c r="A14" s="2" t="s">
        <v>51</v>
      </c>
      <c r="B14">
        <v>1381</v>
      </c>
      <c r="C14">
        <v>1615.44</v>
      </c>
      <c r="D14">
        <v>424303.55</v>
      </c>
      <c r="E14">
        <v>832.78390000000002</v>
      </c>
      <c r="G14" s="2" t="s">
        <v>51</v>
      </c>
      <c r="H14">
        <v>1381</v>
      </c>
      <c r="I14">
        <v>1615.44</v>
      </c>
      <c r="J14">
        <v>424303.55</v>
      </c>
      <c r="K14">
        <v>832.78390000000002</v>
      </c>
      <c r="L14" s="7">
        <f t="shared" si="0"/>
        <v>423470.76610000001</v>
      </c>
    </row>
    <row r="15" spans="1:12" x14ac:dyDescent="0.25">
      <c r="A15" s="2" t="s">
        <v>22</v>
      </c>
      <c r="B15">
        <v>1000</v>
      </c>
      <c r="C15">
        <v>71.349999999999994</v>
      </c>
      <c r="D15">
        <v>71345.05</v>
      </c>
      <c r="E15">
        <v>539.16869999999994</v>
      </c>
      <c r="G15" s="2" t="s">
        <v>22</v>
      </c>
      <c r="H15">
        <v>1000</v>
      </c>
      <c r="I15">
        <v>71.349999999999994</v>
      </c>
      <c r="J15">
        <v>71345.05</v>
      </c>
      <c r="K15">
        <v>539.16869999999994</v>
      </c>
      <c r="L15" s="7">
        <f t="shared" si="0"/>
        <v>70805.881300000008</v>
      </c>
    </row>
    <row r="16" spans="1:12" x14ac:dyDescent="0.25">
      <c r="A16" s="2" t="s">
        <v>131</v>
      </c>
      <c r="B16">
        <v>3000</v>
      </c>
      <c r="C16">
        <v>14.6</v>
      </c>
      <c r="D16">
        <v>21200</v>
      </c>
      <c r="E16">
        <v>188.14319999999998</v>
      </c>
      <c r="G16" s="2" t="s">
        <v>131</v>
      </c>
      <c r="H16">
        <v>3000</v>
      </c>
      <c r="I16">
        <v>14.6</v>
      </c>
      <c r="J16">
        <v>21200</v>
      </c>
      <c r="K16">
        <v>188.14319999999998</v>
      </c>
      <c r="L16" s="7">
        <f t="shared" si="0"/>
        <v>21011.856800000001</v>
      </c>
    </row>
    <row r="17" spans="1:12" x14ac:dyDescent="0.25">
      <c r="A17" s="2" t="s">
        <v>16</v>
      </c>
      <c r="B17">
        <v>23250</v>
      </c>
      <c r="C17">
        <v>878.17000000000007</v>
      </c>
      <c r="D17">
        <v>1058820</v>
      </c>
      <c r="E17">
        <v>2673.3061000000002</v>
      </c>
      <c r="G17" s="2" t="s">
        <v>16</v>
      </c>
      <c r="H17">
        <v>23250</v>
      </c>
      <c r="I17">
        <v>878.17000000000007</v>
      </c>
      <c r="J17">
        <v>1058820</v>
      </c>
      <c r="K17">
        <v>2673.3061000000002</v>
      </c>
      <c r="L17" s="7">
        <f t="shared" si="0"/>
        <v>1056146.6939000001</v>
      </c>
    </row>
    <row r="18" spans="1:12" x14ac:dyDescent="0.25">
      <c r="A18" s="2" t="s">
        <v>46</v>
      </c>
      <c r="B18">
        <v>100</v>
      </c>
      <c r="C18">
        <v>97.5</v>
      </c>
      <c r="D18">
        <v>9750</v>
      </c>
      <c r="E18">
        <v>79.5017</v>
      </c>
      <c r="G18" s="2" t="s">
        <v>46</v>
      </c>
      <c r="H18">
        <v>100</v>
      </c>
      <c r="I18">
        <v>97.5</v>
      </c>
      <c r="J18">
        <v>9750</v>
      </c>
      <c r="K18">
        <v>79.5017</v>
      </c>
      <c r="L18" s="7">
        <f t="shared" si="0"/>
        <v>9670.4982999999993</v>
      </c>
    </row>
    <row r="19" spans="1:12" x14ac:dyDescent="0.25">
      <c r="A19" s="2" t="s">
        <v>56</v>
      </c>
      <c r="B19">
        <v>1920</v>
      </c>
      <c r="C19">
        <v>6358.36</v>
      </c>
      <c r="D19">
        <v>1728108.3499999999</v>
      </c>
      <c r="E19">
        <v>2378.8754999999996</v>
      </c>
      <c r="G19" s="2" t="s">
        <v>56</v>
      </c>
      <c r="H19">
        <v>1920</v>
      </c>
      <c r="I19">
        <v>6358.36</v>
      </c>
      <c r="J19">
        <v>1728108.3499999999</v>
      </c>
      <c r="K19">
        <v>2378.8754999999996</v>
      </c>
      <c r="L19" s="7">
        <f t="shared" si="0"/>
        <v>1725729.4744999998</v>
      </c>
    </row>
    <row r="20" spans="1:12" x14ac:dyDescent="0.25">
      <c r="A20" s="2" t="s">
        <v>128</v>
      </c>
      <c r="B20">
        <v>4823</v>
      </c>
      <c r="C20">
        <v>3316.57</v>
      </c>
      <c r="D20">
        <v>1928358.4</v>
      </c>
      <c r="E20">
        <v>5032.0422999999992</v>
      </c>
      <c r="G20" s="2" t="s">
        <v>128</v>
      </c>
      <c r="H20">
        <v>4823</v>
      </c>
      <c r="I20">
        <v>3316.57</v>
      </c>
      <c r="J20">
        <v>1928358.4</v>
      </c>
      <c r="K20">
        <v>5032.0422999999992</v>
      </c>
      <c r="L20" s="7">
        <f t="shared" si="0"/>
        <v>1923326.3576999998</v>
      </c>
    </row>
    <row r="21" spans="1:12" x14ac:dyDescent="0.25">
      <c r="A21" s="2" t="s">
        <v>122</v>
      </c>
      <c r="B21">
        <v>700</v>
      </c>
      <c r="C21">
        <v>20.399999999999999</v>
      </c>
      <c r="D21">
        <v>14280</v>
      </c>
      <c r="E21">
        <v>103.0441</v>
      </c>
      <c r="G21" s="2" t="s">
        <v>122</v>
      </c>
      <c r="H21">
        <v>700</v>
      </c>
      <c r="I21">
        <v>20.399999999999999</v>
      </c>
      <c r="J21">
        <v>14280</v>
      </c>
      <c r="K21">
        <v>103.0441</v>
      </c>
      <c r="L21" s="7">
        <f t="shared" si="0"/>
        <v>14176.955900000001</v>
      </c>
    </row>
    <row r="22" spans="1:12" x14ac:dyDescent="0.25">
      <c r="A22" s="2" t="s">
        <v>65</v>
      </c>
      <c r="B22">
        <v>5500</v>
      </c>
      <c r="C22">
        <v>544.09999999999991</v>
      </c>
      <c r="D22">
        <v>475868.89999999997</v>
      </c>
      <c r="E22">
        <v>878.03850000000011</v>
      </c>
      <c r="G22" s="2" t="s">
        <v>65</v>
      </c>
      <c r="H22">
        <v>5500</v>
      </c>
      <c r="I22">
        <v>544.09999999999991</v>
      </c>
      <c r="J22">
        <v>475868.89999999997</v>
      </c>
      <c r="K22">
        <v>878.03850000000011</v>
      </c>
      <c r="L22" s="7">
        <f t="shared" si="0"/>
        <v>474990.86149999994</v>
      </c>
    </row>
    <row r="23" spans="1:12" x14ac:dyDescent="0.25">
      <c r="A23" s="2" t="s">
        <v>35</v>
      </c>
      <c r="B23">
        <v>11500</v>
      </c>
      <c r="C23">
        <v>617.76</v>
      </c>
      <c r="D23">
        <v>730813</v>
      </c>
      <c r="E23">
        <v>4972.6286</v>
      </c>
      <c r="G23" s="2" t="s">
        <v>35</v>
      </c>
      <c r="H23">
        <v>11500</v>
      </c>
      <c r="I23">
        <v>617.76</v>
      </c>
      <c r="J23">
        <v>730813</v>
      </c>
      <c r="K23">
        <v>4972.6286</v>
      </c>
      <c r="L23" s="7">
        <f t="shared" si="0"/>
        <v>725840.37139999995</v>
      </c>
    </row>
    <row r="24" spans="1:12" x14ac:dyDescent="0.25">
      <c r="A24" s="2" t="s">
        <v>105</v>
      </c>
      <c r="B24">
        <v>575</v>
      </c>
      <c r="C24">
        <v>66.099999999999994</v>
      </c>
      <c r="D24">
        <v>38007.5</v>
      </c>
      <c r="E24">
        <v>274.29629999999997</v>
      </c>
      <c r="G24" s="2" t="s">
        <v>105</v>
      </c>
      <c r="H24">
        <v>575</v>
      </c>
      <c r="I24">
        <v>66.099999999999994</v>
      </c>
      <c r="J24">
        <v>38007.5</v>
      </c>
      <c r="K24">
        <v>274.29629999999997</v>
      </c>
      <c r="L24" s="7">
        <f t="shared" si="0"/>
        <v>37733.203699999998</v>
      </c>
    </row>
    <row r="25" spans="1:12" x14ac:dyDescent="0.25">
      <c r="A25" s="2" t="s">
        <v>80</v>
      </c>
      <c r="B25">
        <v>410</v>
      </c>
      <c r="C25">
        <v>1200.3</v>
      </c>
      <c r="D25">
        <v>124055.5</v>
      </c>
      <c r="E25">
        <v>713.83339999999998</v>
      </c>
      <c r="G25" s="2" t="s">
        <v>80</v>
      </c>
      <c r="H25">
        <v>410</v>
      </c>
      <c r="I25">
        <v>1200.3</v>
      </c>
      <c r="J25">
        <v>124055.5</v>
      </c>
      <c r="K25">
        <v>713.83339999999998</v>
      </c>
      <c r="L25" s="7">
        <f t="shared" si="0"/>
        <v>123341.6666</v>
      </c>
    </row>
    <row r="26" spans="1:12" x14ac:dyDescent="0.25">
      <c r="A26" s="2" t="s">
        <v>111</v>
      </c>
      <c r="B26">
        <v>1640</v>
      </c>
      <c r="C26">
        <v>3577.4500000000003</v>
      </c>
      <c r="D26">
        <v>690458.95000000007</v>
      </c>
      <c r="E26">
        <v>860.98739999999987</v>
      </c>
      <c r="G26" s="2" t="s">
        <v>111</v>
      </c>
      <c r="H26">
        <v>1640</v>
      </c>
      <c r="I26">
        <v>3577.4500000000003</v>
      </c>
      <c r="J26">
        <v>690458.95000000007</v>
      </c>
      <c r="K26">
        <v>860.98739999999987</v>
      </c>
      <c r="L26" s="7">
        <f t="shared" si="0"/>
        <v>689597.96260000009</v>
      </c>
    </row>
    <row r="27" spans="1:12" x14ac:dyDescent="0.25">
      <c r="A27" s="2" t="s">
        <v>68</v>
      </c>
      <c r="B27">
        <v>1000</v>
      </c>
      <c r="C27">
        <v>130.94999999999999</v>
      </c>
      <c r="D27">
        <v>70195.25</v>
      </c>
      <c r="E27">
        <v>532.2165</v>
      </c>
      <c r="G27" s="2" t="s">
        <v>68</v>
      </c>
      <c r="H27">
        <v>1000</v>
      </c>
      <c r="I27">
        <v>130.94999999999999</v>
      </c>
      <c r="J27">
        <v>70195.25</v>
      </c>
      <c r="K27">
        <v>532.2165</v>
      </c>
      <c r="L27" s="7">
        <f t="shared" si="0"/>
        <v>69663.033500000005</v>
      </c>
    </row>
    <row r="28" spans="1:12" x14ac:dyDescent="0.25">
      <c r="A28" s="2" t="s">
        <v>49</v>
      </c>
      <c r="B28">
        <v>200</v>
      </c>
      <c r="C28">
        <v>799.21</v>
      </c>
      <c r="D28">
        <v>79920.600000000006</v>
      </c>
      <c r="E28">
        <v>588.06740000000002</v>
      </c>
      <c r="G28" s="2" t="s">
        <v>49</v>
      </c>
      <c r="H28">
        <v>200</v>
      </c>
      <c r="I28">
        <v>799.21</v>
      </c>
      <c r="J28">
        <v>79920.600000000006</v>
      </c>
      <c r="K28">
        <v>588.06740000000002</v>
      </c>
      <c r="L28" s="7">
        <f t="shared" si="0"/>
        <v>79332.532600000006</v>
      </c>
    </row>
    <row r="29" spans="1:12" x14ac:dyDescent="0.25">
      <c r="A29" s="2" t="s">
        <v>177</v>
      </c>
      <c r="B29">
        <v>27500</v>
      </c>
      <c r="C29">
        <v>126.4</v>
      </c>
      <c r="D29">
        <v>438504.3</v>
      </c>
      <c r="E29">
        <v>2249.1113999999998</v>
      </c>
      <c r="G29" s="2" t="s">
        <v>177</v>
      </c>
      <c r="H29">
        <v>27500</v>
      </c>
      <c r="I29">
        <v>126.4</v>
      </c>
      <c r="J29">
        <v>438504.3</v>
      </c>
      <c r="K29">
        <v>2249.1113999999998</v>
      </c>
      <c r="L29" s="7">
        <f t="shared" si="0"/>
        <v>436255.18859999999</v>
      </c>
    </row>
    <row r="30" spans="1:12" x14ac:dyDescent="0.25">
      <c r="A30" s="2" t="s">
        <v>179</v>
      </c>
      <c r="B30">
        <v>9850</v>
      </c>
      <c r="C30">
        <v>550.4</v>
      </c>
      <c r="D30">
        <v>692380</v>
      </c>
      <c r="E30">
        <v>3336.6655000000001</v>
      </c>
      <c r="G30" s="2" t="s">
        <v>179</v>
      </c>
      <c r="H30">
        <v>9850</v>
      </c>
      <c r="I30">
        <v>550.4</v>
      </c>
      <c r="J30">
        <v>692380</v>
      </c>
      <c r="K30">
        <v>3336.6655000000001</v>
      </c>
      <c r="L30" s="7">
        <f t="shared" si="0"/>
        <v>689043.3345</v>
      </c>
    </row>
    <row r="31" spans="1:12" x14ac:dyDescent="0.25">
      <c r="A31" s="2" t="s">
        <v>187</v>
      </c>
      <c r="B31">
        <v>5000</v>
      </c>
      <c r="C31">
        <v>23.65</v>
      </c>
      <c r="D31">
        <v>118250</v>
      </c>
      <c r="E31">
        <v>104.3032</v>
      </c>
      <c r="G31" s="2" t="s">
        <v>187</v>
      </c>
      <c r="H31">
        <v>5000</v>
      </c>
      <c r="I31">
        <v>23.65</v>
      </c>
      <c r="J31">
        <v>118250</v>
      </c>
      <c r="K31">
        <v>104.3032</v>
      </c>
      <c r="L31" s="7">
        <f t="shared" si="0"/>
        <v>118145.69680000001</v>
      </c>
    </row>
    <row r="32" spans="1:12" x14ac:dyDescent="0.25">
      <c r="A32" s="2" t="s">
        <v>190</v>
      </c>
      <c r="B32">
        <v>10000</v>
      </c>
      <c r="C32">
        <v>17.579999999999998</v>
      </c>
      <c r="D32">
        <v>87900</v>
      </c>
      <c r="E32">
        <v>823.27449999999999</v>
      </c>
      <c r="G32" s="2" t="s">
        <v>190</v>
      </c>
      <c r="H32">
        <v>10000</v>
      </c>
      <c r="I32">
        <v>17.579999999999998</v>
      </c>
      <c r="J32">
        <v>87900</v>
      </c>
      <c r="K32">
        <v>823.27449999999999</v>
      </c>
      <c r="L32" s="7">
        <f t="shared" si="0"/>
        <v>87076.7255</v>
      </c>
    </row>
    <row r="33" spans="1:12" x14ac:dyDescent="0.25">
      <c r="A33" s="2" t="s">
        <v>192</v>
      </c>
      <c r="B33">
        <v>100</v>
      </c>
      <c r="C33">
        <v>37.6</v>
      </c>
      <c r="D33">
        <v>3760</v>
      </c>
      <c r="E33">
        <v>30.642199999999999</v>
      </c>
      <c r="G33" s="2" t="s">
        <v>192</v>
      </c>
      <c r="H33">
        <v>100</v>
      </c>
      <c r="I33">
        <v>37.6</v>
      </c>
      <c r="J33">
        <v>3760</v>
      </c>
      <c r="K33">
        <v>30.642199999999999</v>
      </c>
      <c r="L33" s="7">
        <f t="shared" si="0"/>
        <v>3729.3578000000002</v>
      </c>
    </row>
    <row r="34" spans="1:12" x14ac:dyDescent="0.25">
      <c r="A34" s="2" t="s">
        <v>195</v>
      </c>
      <c r="B34">
        <v>1000</v>
      </c>
      <c r="C34">
        <v>104</v>
      </c>
      <c r="D34">
        <v>104000</v>
      </c>
      <c r="E34">
        <v>782.95</v>
      </c>
      <c r="G34" s="2" t="s">
        <v>195</v>
      </c>
      <c r="H34">
        <v>1000</v>
      </c>
      <c r="I34">
        <v>104</v>
      </c>
      <c r="J34">
        <v>104000</v>
      </c>
      <c r="K34">
        <v>782.95</v>
      </c>
      <c r="L34" s="7">
        <f t="shared" si="0"/>
        <v>103217.05</v>
      </c>
    </row>
    <row r="35" spans="1:12" x14ac:dyDescent="0.25">
      <c r="A35" s="2" t="s">
        <v>205</v>
      </c>
      <c r="B35">
        <v>13780</v>
      </c>
      <c r="C35">
        <v>589.96999999999991</v>
      </c>
      <c r="D35">
        <v>798695.25000000012</v>
      </c>
      <c r="E35">
        <v>2469.7743999999998</v>
      </c>
      <c r="G35" s="2" t="s">
        <v>205</v>
      </c>
      <c r="H35">
        <v>13780</v>
      </c>
      <c r="I35">
        <v>589.96999999999991</v>
      </c>
      <c r="J35">
        <v>798695.25000000012</v>
      </c>
      <c r="K35">
        <v>2469.7743999999998</v>
      </c>
      <c r="L35" s="7">
        <f t="shared" si="0"/>
        <v>796225.47560000012</v>
      </c>
    </row>
    <row r="36" spans="1:12" x14ac:dyDescent="0.25">
      <c r="A36" s="2" t="s">
        <v>207</v>
      </c>
      <c r="B36">
        <v>1000</v>
      </c>
      <c r="C36">
        <v>79.25</v>
      </c>
      <c r="D36">
        <v>79250</v>
      </c>
      <c r="E36">
        <v>69.395600000000002</v>
      </c>
      <c r="G36" s="2" t="s">
        <v>207</v>
      </c>
      <c r="H36">
        <v>1000</v>
      </c>
      <c r="I36">
        <v>79.25</v>
      </c>
      <c r="J36">
        <v>79250</v>
      </c>
      <c r="K36">
        <v>69.395600000000002</v>
      </c>
      <c r="L36" s="7">
        <f t="shared" si="0"/>
        <v>79180.604399999997</v>
      </c>
    </row>
    <row r="37" spans="1:12" x14ac:dyDescent="0.25">
      <c r="A37" s="2" t="s">
        <v>214</v>
      </c>
      <c r="B37">
        <v>1000</v>
      </c>
      <c r="C37">
        <v>115.58</v>
      </c>
      <c r="D37">
        <v>115580</v>
      </c>
      <c r="E37">
        <v>101.3963</v>
      </c>
      <c r="G37" s="2" t="s">
        <v>214</v>
      </c>
      <c r="H37">
        <v>1000</v>
      </c>
      <c r="I37">
        <v>115.58</v>
      </c>
      <c r="J37">
        <v>115580</v>
      </c>
      <c r="K37">
        <v>101.3963</v>
      </c>
      <c r="L37" s="7">
        <f t="shared" si="0"/>
        <v>115478.60370000001</v>
      </c>
    </row>
    <row r="38" spans="1:12" x14ac:dyDescent="0.25">
      <c r="A38" s="2" t="s">
        <v>226</v>
      </c>
      <c r="B38">
        <v>2600</v>
      </c>
      <c r="C38">
        <v>2288.1800000000003</v>
      </c>
      <c r="D38">
        <v>1209052.1000000001</v>
      </c>
      <c r="E38">
        <v>4986.6812</v>
      </c>
      <c r="G38" s="2" t="s">
        <v>226</v>
      </c>
      <c r="H38">
        <v>2600</v>
      </c>
      <c r="I38">
        <v>2288.1800000000003</v>
      </c>
      <c r="J38">
        <v>1209052.1000000001</v>
      </c>
      <c r="K38">
        <v>4986.6812</v>
      </c>
      <c r="L38" s="7">
        <f t="shared" si="0"/>
        <v>1204065.4188000001</v>
      </c>
    </row>
    <row r="39" spans="1:12" x14ac:dyDescent="0.25">
      <c r="A39" s="2" t="s">
        <v>230</v>
      </c>
      <c r="B39">
        <v>1000</v>
      </c>
      <c r="C39">
        <v>62.88</v>
      </c>
      <c r="D39">
        <v>62875</v>
      </c>
      <c r="E39">
        <v>55.363599999999998</v>
      </c>
      <c r="G39" s="2" t="s">
        <v>230</v>
      </c>
      <c r="H39">
        <v>1000</v>
      </c>
      <c r="I39">
        <v>62.88</v>
      </c>
      <c r="J39">
        <v>62875</v>
      </c>
      <c r="K39">
        <v>55.363599999999998</v>
      </c>
      <c r="L39" s="7">
        <f t="shared" si="0"/>
        <v>62819.636400000003</v>
      </c>
    </row>
    <row r="40" spans="1:12" x14ac:dyDescent="0.25">
      <c r="A40" s="2" t="s">
        <v>233</v>
      </c>
      <c r="B40">
        <v>110</v>
      </c>
      <c r="C40">
        <v>2277</v>
      </c>
      <c r="D40">
        <v>108630</v>
      </c>
      <c r="E40">
        <v>117.18680000000001</v>
      </c>
      <c r="G40" s="2" t="s">
        <v>233</v>
      </c>
      <c r="H40">
        <v>110</v>
      </c>
      <c r="I40">
        <v>2277</v>
      </c>
      <c r="J40">
        <v>108630</v>
      </c>
      <c r="K40">
        <v>117.18680000000001</v>
      </c>
      <c r="L40" s="7">
        <f t="shared" si="0"/>
        <v>108512.8132</v>
      </c>
    </row>
    <row r="41" spans="1:12" x14ac:dyDescent="0.25">
      <c r="A41" s="2" t="s">
        <v>237</v>
      </c>
      <c r="B41">
        <v>4500</v>
      </c>
      <c r="C41">
        <v>2221.87</v>
      </c>
      <c r="D41">
        <v>1253535.05</v>
      </c>
      <c r="E41">
        <v>1104.3441</v>
      </c>
      <c r="G41" s="2" t="s">
        <v>237</v>
      </c>
      <c r="H41">
        <v>4500</v>
      </c>
      <c r="I41">
        <v>2221.87</v>
      </c>
      <c r="J41">
        <v>1253535.05</v>
      </c>
      <c r="K41">
        <v>1104.3441</v>
      </c>
      <c r="L41" s="7">
        <f t="shared" si="0"/>
        <v>1252430.7058999999</v>
      </c>
    </row>
    <row r="42" spans="1:12" x14ac:dyDescent="0.25">
      <c r="A42" s="2" t="s">
        <v>245</v>
      </c>
      <c r="B42">
        <v>1000</v>
      </c>
      <c r="C42">
        <v>100.98</v>
      </c>
      <c r="D42">
        <v>100979.45</v>
      </c>
      <c r="E42">
        <v>809.62170000000003</v>
      </c>
      <c r="G42" s="2" t="s">
        <v>245</v>
      </c>
      <c r="H42">
        <v>1000</v>
      </c>
      <c r="I42">
        <v>100.98</v>
      </c>
      <c r="J42">
        <v>100979.45</v>
      </c>
      <c r="K42">
        <v>809.62170000000003</v>
      </c>
      <c r="L42" s="7">
        <f t="shared" si="0"/>
        <v>100169.82829999999</v>
      </c>
    </row>
    <row r="43" spans="1:12" x14ac:dyDescent="0.25">
      <c r="A43" s="2" t="s">
        <v>247</v>
      </c>
      <c r="B43">
        <v>1100</v>
      </c>
      <c r="C43">
        <v>890.55</v>
      </c>
      <c r="D43">
        <v>458550.55</v>
      </c>
      <c r="E43">
        <v>418.80090000000001</v>
      </c>
      <c r="G43" s="2" t="s">
        <v>247</v>
      </c>
      <c r="H43">
        <v>1100</v>
      </c>
      <c r="I43">
        <v>890.55</v>
      </c>
      <c r="J43">
        <v>458550.55</v>
      </c>
      <c r="K43">
        <v>418.80090000000001</v>
      </c>
      <c r="L43" s="7">
        <f t="shared" si="0"/>
        <v>458131.74910000002</v>
      </c>
    </row>
    <row r="44" spans="1:12" x14ac:dyDescent="0.25">
      <c r="A44" s="2" t="s">
        <v>251</v>
      </c>
      <c r="B44">
        <v>1000</v>
      </c>
      <c r="C44">
        <v>241.76</v>
      </c>
      <c r="D44">
        <v>241762.5</v>
      </c>
      <c r="E44">
        <v>213.91739999999999</v>
      </c>
      <c r="G44" s="2" t="s">
        <v>251</v>
      </c>
      <c r="H44">
        <v>1000</v>
      </c>
      <c r="I44">
        <v>241.76</v>
      </c>
      <c r="J44">
        <v>241762.5</v>
      </c>
      <c r="K44">
        <v>213.91739999999999</v>
      </c>
      <c r="L44" s="7">
        <f t="shared" si="0"/>
        <v>241548.58259999999</v>
      </c>
    </row>
    <row r="45" spans="1:12" x14ac:dyDescent="0.25">
      <c r="A45" s="2" t="s">
        <v>256</v>
      </c>
      <c r="B45">
        <v>7587</v>
      </c>
      <c r="C45">
        <v>4186.6499999999996</v>
      </c>
      <c r="D45">
        <v>3108341.9</v>
      </c>
      <c r="E45">
        <v>2766.6851999999999</v>
      </c>
      <c r="G45" s="2" t="s">
        <v>256</v>
      </c>
      <c r="H45">
        <v>7587</v>
      </c>
      <c r="I45">
        <v>4186.6499999999996</v>
      </c>
      <c r="J45">
        <v>3108341.9</v>
      </c>
      <c r="K45">
        <v>2766.6851999999999</v>
      </c>
      <c r="L45" s="7">
        <f t="shared" si="0"/>
        <v>3105575.2147999997</v>
      </c>
    </row>
    <row r="46" spans="1:12" x14ac:dyDescent="0.25">
      <c r="A46" s="2" t="s">
        <v>268</v>
      </c>
      <c r="B46">
        <v>6000</v>
      </c>
      <c r="C46">
        <v>1593.3</v>
      </c>
      <c r="D46">
        <v>1589050</v>
      </c>
      <c r="E46">
        <v>1395.5097000000001</v>
      </c>
      <c r="G46" s="2" t="s">
        <v>268</v>
      </c>
      <c r="H46">
        <v>6000</v>
      </c>
      <c r="I46">
        <v>1593.3</v>
      </c>
      <c r="J46">
        <v>1589050</v>
      </c>
      <c r="K46">
        <v>1395.5097000000001</v>
      </c>
      <c r="L46" s="7">
        <f t="shared" si="0"/>
        <v>1587654.4902999999</v>
      </c>
    </row>
    <row r="47" spans="1:12" x14ac:dyDescent="0.25">
      <c r="A47" s="2" t="s">
        <v>270</v>
      </c>
      <c r="B47">
        <v>6850</v>
      </c>
      <c r="C47">
        <v>1325.5</v>
      </c>
      <c r="D47">
        <v>883800</v>
      </c>
      <c r="E47">
        <v>883.55890000000011</v>
      </c>
      <c r="G47" s="2" t="s">
        <v>270</v>
      </c>
      <c r="H47">
        <v>6850</v>
      </c>
      <c r="I47">
        <v>1325.5</v>
      </c>
      <c r="J47">
        <v>883800</v>
      </c>
      <c r="K47">
        <v>883.55890000000011</v>
      </c>
      <c r="L47" s="7">
        <f t="shared" si="0"/>
        <v>882916.44110000005</v>
      </c>
    </row>
    <row r="48" spans="1:12" x14ac:dyDescent="0.25">
      <c r="A48" s="2" t="s">
        <v>276</v>
      </c>
      <c r="B48">
        <v>2500</v>
      </c>
      <c r="C48">
        <v>118.26</v>
      </c>
      <c r="D48">
        <v>295649.8</v>
      </c>
      <c r="E48">
        <v>260.19830000000002</v>
      </c>
      <c r="G48" s="2" t="s">
        <v>276</v>
      </c>
      <c r="H48">
        <v>2500</v>
      </c>
      <c r="I48">
        <v>118.26</v>
      </c>
      <c r="J48">
        <v>295649.8</v>
      </c>
      <c r="K48">
        <v>260.19830000000002</v>
      </c>
      <c r="L48" s="7">
        <f t="shared" si="0"/>
        <v>295389.6017</v>
      </c>
    </row>
    <row r="49" spans="1:12" x14ac:dyDescent="0.25">
      <c r="A49" s="2" t="s">
        <v>279</v>
      </c>
      <c r="B49">
        <v>10550</v>
      </c>
      <c r="C49">
        <v>6038.69</v>
      </c>
      <c r="D49">
        <v>3284653.95</v>
      </c>
      <c r="E49">
        <v>2943.7910999999999</v>
      </c>
      <c r="G49" s="2" t="s">
        <v>279</v>
      </c>
      <c r="H49">
        <v>10550</v>
      </c>
      <c r="I49">
        <v>6038.69</v>
      </c>
      <c r="J49">
        <v>3284653.95</v>
      </c>
      <c r="K49">
        <v>2943.7910999999999</v>
      </c>
      <c r="L49" s="7">
        <f t="shared" si="0"/>
        <v>3281710.1589000002</v>
      </c>
    </row>
    <row r="50" spans="1:12" x14ac:dyDescent="0.25">
      <c r="A50" s="2" t="s">
        <v>282</v>
      </c>
      <c r="B50">
        <v>19450</v>
      </c>
      <c r="C50">
        <v>28941.839999999997</v>
      </c>
      <c r="D50">
        <v>10853179.550000001</v>
      </c>
      <c r="E50">
        <v>22943.639500000008</v>
      </c>
      <c r="G50" s="2" t="s">
        <v>282</v>
      </c>
      <c r="H50">
        <v>19450</v>
      </c>
      <c r="I50">
        <v>28941.839999999997</v>
      </c>
      <c r="J50">
        <v>10853179.550000001</v>
      </c>
      <c r="K50">
        <v>22943.639500000008</v>
      </c>
      <c r="L50" s="7">
        <f t="shared" si="0"/>
        <v>10830235.910500001</v>
      </c>
    </row>
    <row r="51" spans="1:12" x14ac:dyDescent="0.25">
      <c r="A51" s="2" t="s">
        <v>288</v>
      </c>
      <c r="B51">
        <v>600</v>
      </c>
      <c r="C51">
        <v>23.5</v>
      </c>
      <c r="D51">
        <v>14100</v>
      </c>
      <c r="E51">
        <v>106.1131</v>
      </c>
      <c r="G51" s="2" t="s">
        <v>288</v>
      </c>
      <c r="H51">
        <v>600</v>
      </c>
      <c r="I51">
        <v>23.5</v>
      </c>
      <c r="J51">
        <v>14100</v>
      </c>
      <c r="K51">
        <v>106.1131</v>
      </c>
      <c r="L51" s="7">
        <f t="shared" si="0"/>
        <v>13993.8869</v>
      </c>
    </row>
    <row r="52" spans="1:12" x14ac:dyDescent="0.25">
      <c r="A52" s="2" t="s">
        <v>291</v>
      </c>
      <c r="B52">
        <v>3500</v>
      </c>
      <c r="C52">
        <v>514.25</v>
      </c>
      <c r="D52">
        <v>420998.85</v>
      </c>
      <c r="E52">
        <v>1414.3365000000001</v>
      </c>
      <c r="G52" s="2" t="s">
        <v>291</v>
      </c>
      <c r="H52">
        <v>3500</v>
      </c>
      <c r="I52">
        <v>514.25</v>
      </c>
      <c r="J52">
        <v>420998.85</v>
      </c>
      <c r="K52">
        <v>1414.3365000000001</v>
      </c>
      <c r="L52" s="7">
        <f t="shared" si="0"/>
        <v>419584.5135</v>
      </c>
    </row>
    <row r="53" spans="1:12" x14ac:dyDescent="0.25">
      <c r="A53" s="2" t="s">
        <v>296</v>
      </c>
      <c r="B53">
        <v>750</v>
      </c>
      <c r="C53">
        <v>38.85</v>
      </c>
      <c r="D53">
        <v>29137.5</v>
      </c>
      <c r="E53">
        <v>219.2741</v>
      </c>
      <c r="G53" s="2" t="s">
        <v>296</v>
      </c>
      <c r="H53">
        <v>750</v>
      </c>
      <c r="I53">
        <v>38.85</v>
      </c>
      <c r="J53">
        <v>29137.5</v>
      </c>
      <c r="K53">
        <v>219.2741</v>
      </c>
      <c r="L53" s="7">
        <f t="shared" si="0"/>
        <v>28918.225900000001</v>
      </c>
    </row>
    <row r="54" spans="1:12" x14ac:dyDescent="0.25">
      <c r="A54" s="2" t="s">
        <v>321</v>
      </c>
      <c r="B54">
        <v>17775</v>
      </c>
      <c r="C54">
        <v>8811.43</v>
      </c>
      <c r="D54">
        <v>5181216.0500000007</v>
      </c>
      <c r="E54">
        <v>6950.6158000000005</v>
      </c>
      <c r="G54" s="2" t="s">
        <v>321</v>
      </c>
      <c r="H54">
        <v>17775</v>
      </c>
      <c r="I54">
        <v>8811.43</v>
      </c>
      <c r="J54">
        <v>5181216.0500000007</v>
      </c>
      <c r="K54">
        <v>6950.6158000000005</v>
      </c>
      <c r="L54" s="7">
        <f t="shared" si="0"/>
        <v>5174265.4342000009</v>
      </c>
    </row>
    <row r="55" spans="1:12" x14ac:dyDescent="0.25">
      <c r="A55" s="2" t="s">
        <v>324</v>
      </c>
      <c r="B55">
        <v>70</v>
      </c>
      <c r="C55">
        <v>1589.3</v>
      </c>
      <c r="D55">
        <v>55216</v>
      </c>
      <c r="E55">
        <v>162.60570000000001</v>
      </c>
      <c r="G55" s="2" t="s">
        <v>324</v>
      </c>
      <c r="H55">
        <v>70</v>
      </c>
      <c r="I55">
        <v>1589.3</v>
      </c>
      <c r="J55">
        <v>55216</v>
      </c>
      <c r="K55">
        <v>162.60570000000001</v>
      </c>
      <c r="L55" s="7">
        <f t="shared" si="0"/>
        <v>55053.3943</v>
      </c>
    </row>
    <row r="56" spans="1:12" x14ac:dyDescent="0.25">
      <c r="A56" s="2" t="s">
        <v>379</v>
      </c>
      <c r="B56">
        <v>7722</v>
      </c>
      <c r="C56">
        <v>2083.6799999999998</v>
      </c>
      <c r="D56">
        <v>1263609.75</v>
      </c>
      <c r="E56">
        <v>1188.2401</v>
      </c>
      <c r="G56" s="2" t="s">
        <v>379</v>
      </c>
      <c r="H56">
        <v>7722</v>
      </c>
      <c r="I56">
        <v>2083.6799999999998</v>
      </c>
      <c r="J56">
        <v>1263609.75</v>
      </c>
      <c r="K56">
        <v>1188.2401</v>
      </c>
      <c r="L56" s="7">
        <f t="shared" si="0"/>
        <v>1262421.5098999999</v>
      </c>
    </row>
    <row r="57" spans="1:12" x14ac:dyDescent="0.25">
      <c r="A57" s="2" t="s">
        <v>387</v>
      </c>
      <c r="B57">
        <v>1000</v>
      </c>
      <c r="C57">
        <v>62.71</v>
      </c>
      <c r="D57">
        <v>62705.9</v>
      </c>
      <c r="E57">
        <v>55.071399999999997</v>
      </c>
      <c r="G57" s="2" t="s">
        <v>387</v>
      </c>
      <c r="H57">
        <v>1000</v>
      </c>
      <c r="I57">
        <v>62.71</v>
      </c>
      <c r="J57">
        <v>62705.9</v>
      </c>
      <c r="K57">
        <v>55.071399999999997</v>
      </c>
      <c r="L57" s="7">
        <f t="shared" si="0"/>
        <v>62650.828600000001</v>
      </c>
    </row>
    <row r="58" spans="1:12" x14ac:dyDescent="0.25">
      <c r="A58" s="2" t="s">
        <v>392</v>
      </c>
      <c r="B58">
        <v>25</v>
      </c>
      <c r="C58">
        <v>1830.7</v>
      </c>
      <c r="D58">
        <v>45767.5</v>
      </c>
      <c r="E58">
        <v>42.603000000000002</v>
      </c>
      <c r="G58" s="2" t="s">
        <v>392</v>
      </c>
      <c r="H58">
        <v>25</v>
      </c>
      <c r="I58">
        <v>1830.7</v>
      </c>
      <c r="J58">
        <v>45767.5</v>
      </c>
      <c r="K58">
        <v>42.603000000000002</v>
      </c>
      <c r="L58" s="7">
        <f t="shared" si="0"/>
        <v>45724.896999999997</v>
      </c>
    </row>
    <row r="59" spans="1:12" x14ac:dyDescent="0.25">
      <c r="A59" s="2" t="s">
        <v>397</v>
      </c>
      <c r="B59">
        <v>4292</v>
      </c>
      <c r="C59">
        <v>3914.3199999999997</v>
      </c>
      <c r="D59">
        <v>1139530.5</v>
      </c>
      <c r="E59">
        <v>1554.4</v>
      </c>
      <c r="G59" s="2" t="s">
        <v>397</v>
      </c>
      <c r="H59">
        <v>4292</v>
      </c>
      <c r="I59">
        <v>3914.3199999999997</v>
      </c>
      <c r="J59">
        <v>1139530.5</v>
      </c>
      <c r="K59">
        <v>1554.4</v>
      </c>
      <c r="L59" s="7">
        <f t="shared" si="0"/>
        <v>1137976.1000000001</v>
      </c>
    </row>
    <row r="60" spans="1:12" x14ac:dyDescent="0.25">
      <c r="A60" s="2" t="s">
        <v>404</v>
      </c>
      <c r="B60">
        <v>10</v>
      </c>
      <c r="C60">
        <v>285.55</v>
      </c>
      <c r="D60">
        <v>2855.5</v>
      </c>
      <c r="E60">
        <v>44.265700000000002</v>
      </c>
      <c r="G60" s="2" t="s">
        <v>404</v>
      </c>
      <c r="H60">
        <v>10</v>
      </c>
      <c r="I60">
        <v>285.55</v>
      </c>
      <c r="J60">
        <v>2855.5</v>
      </c>
      <c r="K60">
        <v>44.265700000000002</v>
      </c>
      <c r="L60" s="7">
        <f t="shared" si="0"/>
        <v>2811.2343000000001</v>
      </c>
    </row>
    <row r="61" spans="1:12" x14ac:dyDescent="0.25">
      <c r="A61" s="2" t="s">
        <v>433</v>
      </c>
      <c r="B61">
        <v>79200</v>
      </c>
      <c r="C61">
        <v>368.7</v>
      </c>
      <c r="D61">
        <v>1340399.5999999999</v>
      </c>
      <c r="E61">
        <v>3815.3447999999999</v>
      </c>
      <c r="G61" s="2" t="s">
        <v>433</v>
      </c>
      <c r="H61">
        <v>79200</v>
      </c>
      <c r="I61">
        <v>368.7</v>
      </c>
      <c r="J61">
        <v>1340399.5999999999</v>
      </c>
      <c r="K61">
        <v>3815.3447999999999</v>
      </c>
      <c r="L61" s="7">
        <f t="shared" si="0"/>
        <v>1336584.2551999998</v>
      </c>
    </row>
    <row r="62" spans="1:12" x14ac:dyDescent="0.25">
      <c r="A62" s="2" t="s">
        <v>471</v>
      </c>
      <c r="B62">
        <v>4000</v>
      </c>
      <c r="C62">
        <v>183.85</v>
      </c>
      <c r="D62">
        <v>367625</v>
      </c>
      <c r="E62">
        <v>335.75800000000004</v>
      </c>
      <c r="G62" s="2" t="s">
        <v>471</v>
      </c>
      <c r="H62">
        <v>4000</v>
      </c>
      <c r="I62">
        <v>183.85</v>
      </c>
      <c r="J62">
        <v>367625</v>
      </c>
      <c r="K62">
        <v>335.75800000000004</v>
      </c>
      <c r="L62" s="7">
        <f t="shared" si="0"/>
        <v>367289.24200000003</v>
      </c>
    </row>
    <row r="63" spans="1:12" x14ac:dyDescent="0.25">
      <c r="A63" s="2" t="s">
        <v>480</v>
      </c>
      <c r="B63">
        <v>87500</v>
      </c>
      <c r="C63">
        <v>2854.15</v>
      </c>
      <c r="D63">
        <v>7269303.8999999994</v>
      </c>
      <c r="E63">
        <v>6637.4753999999984</v>
      </c>
      <c r="G63" s="2" t="s">
        <v>480</v>
      </c>
      <c r="H63">
        <v>87500</v>
      </c>
      <c r="I63">
        <v>2854.15</v>
      </c>
      <c r="J63">
        <v>7269303.8999999994</v>
      </c>
      <c r="K63">
        <v>6637.4753999999984</v>
      </c>
      <c r="L63" s="7">
        <f t="shared" si="0"/>
        <v>7262666.4245999996</v>
      </c>
    </row>
    <row r="64" spans="1:12" x14ac:dyDescent="0.25">
      <c r="A64" s="2" t="s">
        <v>575</v>
      </c>
      <c r="B64">
        <v>1100</v>
      </c>
      <c r="C64">
        <v>62.4</v>
      </c>
      <c r="D64">
        <v>68640</v>
      </c>
      <c r="E64">
        <v>60.069200000000002</v>
      </c>
      <c r="G64" s="2" t="s">
        <v>575</v>
      </c>
      <c r="H64">
        <v>1100</v>
      </c>
      <c r="I64">
        <v>62.4</v>
      </c>
      <c r="J64">
        <v>68640</v>
      </c>
      <c r="K64">
        <v>60.069200000000002</v>
      </c>
      <c r="L64" s="7">
        <f t="shared" si="0"/>
        <v>68579.930800000002</v>
      </c>
    </row>
    <row r="65" spans="1:12" x14ac:dyDescent="0.25">
      <c r="A65" s="2" t="s">
        <v>594</v>
      </c>
      <c r="B65">
        <v>10</v>
      </c>
      <c r="C65">
        <v>130.9</v>
      </c>
      <c r="D65">
        <v>1309</v>
      </c>
      <c r="E65">
        <v>39.959299999999999</v>
      </c>
      <c r="G65" s="2" t="s">
        <v>594</v>
      </c>
      <c r="H65">
        <v>10</v>
      </c>
      <c r="I65">
        <v>130.9</v>
      </c>
      <c r="J65">
        <v>1309</v>
      </c>
      <c r="K65">
        <v>39.959299999999999</v>
      </c>
      <c r="L65" s="7">
        <f t="shared" si="0"/>
        <v>1269.0407</v>
      </c>
    </row>
    <row r="66" spans="1:12" x14ac:dyDescent="0.25">
      <c r="A66" s="2" t="s">
        <v>644</v>
      </c>
      <c r="B66">
        <v>1500</v>
      </c>
      <c r="C66">
        <v>57.85</v>
      </c>
      <c r="D66">
        <v>86775</v>
      </c>
      <c r="E66">
        <v>76.273300000000006</v>
      </c>
      <c r="G66" s="2" t="s">
        <v>644</v>
      </c>
      <c r="H66">
        <v>1500</v>
      </c>
      <c r="I66">
        <v>57.85</v>
      </c>
      <c r="J66">
        <v>86775</v>
      </c>
      <c r="K66">
        <v>76.273300000000006</v>
      </c>
      <c r="L66" s="7">
        <f t="shared" si="0"/>
        <v>86698.726699999999</v>
      </c>
    </row>
    <row r="67" spans="1:12" x14ac:dyDescent="0.25">
      <c r="A67" s="2" t="s">
        <v>659</v>
      </c>
      <c r="B67">
        <v>12350</v>
      </c>
      <c r="C67">
        <v>1583.1</v>
      </c>
      <c r="D67">
        <v>1802740.05</v>
      </c>
      <c r="E67">
        <v>1625.3606</v>
      </c>
      <c r="G67" s="2" t="s">
        <v>659</v>
      </c>
      <c r="H67">
        <v>12350</v>
      </c>
      <c r="I67">
        <v>1583.1</v>
      </c>
      <c r="J67">
        <v>1802740.05</v>
      </c>
      <c r="K67">
        <v>1625.3606</v>
      </c>
      <c r="L67" s="7">
        <f t="shared" si="0"/>
        <v>1801114.6894</v>
      </c>
    </row>
    <row r="68" spans="1:12" x14ac:dyDescent="0.25">
      <c r="A68" s="2" t="s">
        <v>665</v>
      </c>
      <c r="B68">
        <v>2900</v>
      </c>
      <c r="C68">
        <v>1155.3499999999997</v>
      </c>
      <c r="D68">
        <v>249365.7</v>
      </c>
      <c r="E68">
        <v>278.1397</v>
      </c>
      <c r="G68" s="2" t="s">
        <v>665</v>
      </c>
      <c r="H68">
        <v>2900</v>
      </c>
      <c r="I68">
        <v>1155.3499999999997</v>
      </c>
      <c r="J68">
        <v>249365.7</v>
      </c>
      <c r="K68">
        <v>278.1397</v>
      </c>
      <c r="L68" s="7">
        <f t="shared" si="0"/>
        <v>249087.56030000001</v>
      </c>
    </row>
    <row r="69" spans="1:12" x14ac:dyDescent="0.25">
      <c r="A69" s="2" t="s">
        <v>677</v>
      </c>
      <c r="B69">
        <v>2050</v>
      </c>
      <c r="C69">
        <v>1726.4299999999998</v>
      </c>
      <c r="D69">
        <v>467903.44999999995</v>
      </c>
      <c r="E69">
        <v>504.89850000000001</v>
      </c>
      <c r="G69" s="2" t="s">
        <v>677</v>
      </c>
      <c r="H69">
        <v>2050</v>
      </c>
      <c r="I69">
        <v>1726.4299999999998</v>
      </c>
      <c r="J69">
        <v>467903.44999999995</v>
      </c>
      <c r="K69">
        <v>504.89850000000001</v>
      </c>
      <c r="L69" s="7">
        <f t="shared" si="0"/>
        <v>467398.55149999994</v>
      </c>
    </row>
    <row r="70" spans="1:12" x14ac:dyDescent="0.25">
      <c r="A70" s="2" t="s">
        <v>683</v>
      </c>
      <c r="B70">
        <v>10</v>
      </c>
      <c r="C70">
        <v>96.3</v>
      </c>
      <c r="D70">
        <v>963</v>
      </c>
      <c r="E70">
        <v>29.399000000000001</v>
      </c>
      <c r="G70" s="2" t="s">
        <v>683</v>
      </c>
      <c r="H70">
        <v>10</v>
      </c>
      <c r="I70">
        <v>96.3</v>
      </c>
      <c r="J70">
        <v>963</v>
      </c>
      <c r="K70">
        <v>29.399000000000001</v>
      </c>
      <c r="L70" s="7">
        <f t="shared" ref="L70:L133" si="1">J70-K70</f>
        <v>933.601</v>
      </c>
    </row>
    <row r="71" spans="1:12" x14ac:dyDescent="0.25">
      <c r="A71" s="2" t="s">
        <v>697</v>
      </c>
      <c r="B71">
        <v>1000</v>
      </c>
      <c r="C71">
        <v>39.6</v>
      </c>
      <c r="D71">
        <v>39600</v>
      </c>
      <c r="E71">
        <v>40.387999999999998</v>
      </c>
      <c r="G71" s="2" t="s">
        <v>697</v>
      </c>
      <c r="H71">
        <v>1000</v>
      </c>
      <c r="I71">
        <v>39.6</v>
      </c>
      <c r="J71">
        <v>39600</v>
      </c>
      <c r="K71">
        <v>40.387999999999998</v>
      </c>
      <c r="L71" s="7">
        <f t="shared" si="1"/>
        <v>39559.612000000001</v>
      </c>
    </row>
    <row r="72" spans="1:12" x14ac:dyDescent="0.25">
      <c r="A72" s="2" t="s">
        <v>706</v>
      </c>
      <c r="B72">
        <v>2000</v>
      </c>
      <c r="C72">
        <v>954</v>
      </c>
      <c r="D72">
        <v>954000</v>
      </c>
      <c r="E72">
        <v>893.17049999999995</v>
      </c>
      <c r="G72" s="2" t="s">
        <v>706</v>
      </c>
      <c r="H72">
        <v>2000</v>
      </c>
      <c r="I72">
        <v>954</v>
      </c>
      <c r="J72">
        <v>954000</v>
      </c>
      <c r="K72">
        <v>893.17049999999995</v>
      </c>
      <c r="L72" s="7">
        <f t="shared" si="1"/>
        <v>953106.82949999999</v>
      </c>
    </row>
    <row r="73" spans="1:12" x14ac:dyDescent="0.25">
      <c r="A73" s="2" t="s">
        <v>738</v>
      </c>
      <c r="B73">
        <v>84100</v>
      </c>
      <c r="C73">
        <v>13238.55</v>
      </c>
      <c r="D73">
        <v>30402278.650000002</v>
      </c>
      <c r="E73">
        <v>28214.564400000003</v>
      </c>
      <c r="G73" s="2" t="s">
        <v>738</v>
      </c>
      <c r="H73">
        <v>84100</v>
      </c>
      <c r="I73">
        <v>13238.55</v>
      </c>
      <c r="J73">
        <v>30402278.650000002</v>
      </c>
      <c r="K73">
        <v>28214.564400000003</v>
      </c>
      <c r="L73" s="7">
        <f t="shared" si="1"/>
        <v>30374064.085600004</v>
      </c>
    </row>
    <row r="74" spans="1:12" x14ac:dyDescent="0.25">
      <c r="A74" s="2" t="s">
        <v>800</v>
      </c>
      <c r="B74">
        <v>5100</v>
      </c>
      <c r="C74">
        <v>1923</v>
      </c>
      <c r="D74">
        <v>1614300</v>
      </c>
      <c r="E74">
        <v>1429.2492000000002</v>
      </c>
      <c r="G74" s="2" t="s">
        <v>800</v>
      </c>
      <c r="H74">
        <v>5100</v>
      </c>
      <c r="I74">
        <v>1923</v>
      </c>
      <c r="J74">
        <v>1614300</v>
      </c>
      <c r="K74">
        <v>1429.2492000000002</v>
      </c>
      <c r="L74" s="7">
        <f t="shared" si="1"/>
        <v>1612870.7508</v>
      </c>
    </row>
    <row r="75" spans="1:12" x14ac:dyDescent="0.25">
      <c r="A75" s="2" t="s">
        <v>849</v>
      </c>
      <c r="B75">
        <v>4220</v>
      </c>
      <c r="C75">
        <v>4068.7599999999998</v>
      </c>
      <c r="D75">
        <v>858192.2</v>
      </c>
      <c r="E75">
        <v>1022.1639</v>
      </c>
      <c r="G75" s="2" t="s">
        <v>849</v>
      </c>
      <c r="H75">
        <v>4220</v>
      </c>
      <c r="I75">
        <v>4068.7599999999998</v>
      </c>
      <c r="J75">
        <v>858192.2</v>
      </c>
      <c r="K75">
        <v>1022.1639</v>
      </c>
      <c r="L75" s="7">
        <f t="shared" si="1"/>
        <v>857170.03609999991</v>
      </c>
    </row>
    <row r="76" spans="1:12" x14ac:dyDescent="0.25">
      <c r="A76" s="2" t="s">
        <v>862</v>
      </c>
      <c r="B76">
        <v>2952</v>
      </c>
      <c r="C76">
        <v>3844.71</v>
      </c>
      <c r="D76">
        <v>821116.1</v>
      </c>
      <c r="E76">
        <v>861.46469999999999</v>
      </c>
      <c r="G76" s="2" t="s">
        <v>862</v>
      </c>
      <c r="H76">
        <v>2952</v>
      </c>
      <c r="I76">
        <v>3844.71</v>
      </c>
      <c r="J76">
        <v>821116.1</v>
      </c>
      <c r="K76">
        <v>861.46469999999999</v>
      </c>
      <c r="L76" s="7">
        <f t="shared" si="1"/>
        <v>820254.63529999997</v>
      </c>
    </row>
    <row r="77" spans="1:12" x14ac:dyDescent="0.25">
      <c r="A77" s="2" t="s">
        <v>871</v>
      </c>
      <c r="B77">
        <v>6450</v>
      </c>
      <c r="C77">
        <v>1047.29</v>
      </c>
      <c r="D77">
        <v>1117185.1499999999</v>
      </c>
      <c r="E77">
        <v>1096.1189999999999</v>
      </c>
      <c r="G77" s="2" t="s">
        <v>871</v>
      </c>
      <c r="H77">
        <v>6450</v>
      </c>
      <c r="I77">
        <v>1047.29</v>
      </c>
      <c r="J77">
        <v>1117185.1499999999</v>
      </c>
      <c r="K77">
        <v>1096.1189999999999</v>
      </c>
      <c r="L77" s="7">
        <f t="shared" si="1"/>
        <v>1116089.031</v>
      </c>
    </row>
    <row r="78" spans="1:12" x14ac:dyDescent="0.25">
      <c r="A78" s="2" t="s">
        <v>888</v>
      </c>
      <c r="B78">
        <v>50</v>
      </c>
      <c r="C78">
        <v>1220.3</v>
      </c>
      <c r="D78">
        <v>61015</v>
      </c>
      <c r="E78">
        <v>53.078899999999997</v>
      </c>
      <c r="G78" s="2" t="s">
        <v>888</v>
      </c>
      <c r="H78">
        <v>50</v>
      </c>
      <c r="I78">
        <v>1220.3</v>
      </c>
      <c r="J78">
        <v>61015</v>
      </c>
      <c r="K78">
        <v>53.078899999999997</v>
      </c>
      <c r="L78" s="7">
        <f t="shared" si="1"/>
        <v>60961.9211</v>
      </c>
    </row>
    <row r="79" spans="1:12" x14ac:dyDescent="0.25">
      <c r="A79" s="2" t="s">
        <v>944</v>
      </c>
      <c r="B79">
        <v>1000</v>
      </c>
      <c r="C79">
        <v>55.15</v>
      </c>
      <c r="D79">
        <v>55150</v>
      </c>
      <c r="E79">
        <v>48.552999999999997</v>
      </c>
      <c r="G79" s="2" t="s">
        <v>944</v>
      </c>
      <c r="H79">
        <v>1000</v>
      </c>
      <c r="I79">
        <v>55.15</v>
      </c>
      <c r="J79">
        <v>55150</v>
      </c>
      <c r="K79">
        <v>48.552999999999997</v>
      </c>
      <c r="L79" s="7">
        <f t="shared" si="1"/>
        <v>55101.447</v>
      </c>
    </row>
    <row r="80" spans="1:12" x14ac:dyDescent="0.25">
      <c r="A80" s="2" t="s">
        <v>981</v>
      </c>
      <c r="B80">
        <v>12964</v>
      </c>
      <c r="C80">
        <v>3722.8700000000003</v>
      </c>
      <c r="D80">
        <v>2021139.35</v>
      </c>
      <c r="E80">
        <v>1985.5824000000002</v>
      </c>
      <c r="G80" s="2" t="s">
        <v>981</v>
      </c>
      <c r="H80">
        <v>12964</v>
      </c>
      <c r="I80">
        <v>3722.8700000000003</v>
      </c>
      <c r="J80">
        <v>2021139.35</v>
      </c>
      <c r="K80">
        <v>1985.5824000000002</v>
      </c>
      <c r="L80" s="7">
        <f t="shared" si="1"/>
        <v>2019153.7676000001</v>
      </c>
    </row>
    <row r="81" spans="1:12" x14ac:dyDescent="0.25">
      <c r="A81" s="2" t="s">
        <v>1023</v>
      </c>
      <c r="B81">
        <v>30500</v>
      </c>
      <c r="C81">
        <v>276.20000000000005</v>
      </c>
      <c r="D81">
        <v>852550</v>
      </c>
      <c r="E81">
        <v>832.07210000000009</v>
      </c>
      <c r="G81" s="2" t="s">
        <v>1023</v>
      </c>
      <c r="H81">
        <v>30500</v>
      </c>
      <c r="I81">
        <v>276.20000000000005</v>
      </c>
      <c r="J81">
        <v>852550</v>
      </c>
      <c r="K81">
        <v>832.07210000000009</v>
      </c>
      <c r="L81" s="7">
        <f t="shared" si="1"/>
        <v>851717.92790000001</v>
      </c>
    </row>
    <row r="82" spans="1:12" x14ac:dyDescent="0.25">
      <c r="A82" s="2" t="s">
        <v>1034</v>
      </c>
      <c r="B82">
        <v>5100</v>
      </c>
      <c r="C82">
        <v>766.4</v>
      </c>
      <c r="D82">
        <v>1388315.7</v>
      </c>
      <c r="E82">
        <v>1337.6895999999999</v>
      </c>
      <c r="G82" s="2" t="s">
        <v>1034</v>
      </c>
      <c r="H82">
        <v>5100</v>
      </c>
      <c r="I82">
        <v>766.4</v>
      </c>
      <c r="J82">
        <v>1388315.7</v>
      </c>
      <c r="K82">
        <v>1337.6895999999999</v>
      </c>
      <c r="L82" s="7">
        <f t="shared" si="1"/>
        <v>1386978.0104</v>
      </c>
    </row>
    <row r="83" spans="1:12" x14ac:dyDescent="0.25">
      <c r="A83" s="2" t="s">
        <v>1037</v>
      </c>
      <c r="B83">
        <v>800</v>
      </c>
      <c r="C83">
        <v>2453.4899999999998</v>
      </c>
      <c r="D83">
        <v>489047.65</v>
      </c>
      <c r="E83">
        <v>431.77600000000007</v>
      </c>
      <c r="G83" s="2" t="s">
        <v>1037</v>
      </c>
      <c r="H83">
        <v>800</v>
      </c>
      <c r="I83">
        <v>2453.4899999999998</v>
      </c>
      <c r="J83">
        <v>489047.65</v>
      </c>
      <c r="K83">
        <v>431.77600000000007</v>
      </c>
      <c r="L83" s="7">
        <f t="shared" si="1"/>
        <v>488615.87400000001</v>
      </c>
    </row>
    <row r="84" spans="1:12" x14ac:dyDescent="0.25">
      <c r="A84" s="2" t="s">
        <v>1050</v>
      </c>
      <c r="B84">
        <v>300</v>
      </c>
      <c r="C84">
        <v>357</v>
      </c>
      <c r="D84">
        <v>53600</v>
      </c>
      <c r="E84">
        <v>74.639600000000002</v>
      </c>
      <c r="G84" s="2" t="s">
        <v>1050</v>
      </c>
      <c r="H84">
        <v>300</v>
      </c>
      <c r="I84">
        <v>357</v>
      </c>
      <c r="J84">
        <v>53600</v>
      </c>
      <c r="K84">
        <v>74.639600000000002</v>
      </c>
      <c r="L84" s="7">
        <f t="shared" si="1"/>
        <v>53525.360399999998</v>
      </c>
    </row>
    <row r="85" spans="1:12" x14ac:dyDescent="0.25">
      <c r="A85" s="2" t="s">
        <v>1054</v>
      </c>
      <c r="B85">
        <v>3200</v>
      </c>
      <c r="C85">
        <v>1928.25</v>
      </c>
      <c r="D85">
        <v>1537250</v>
      </c>
      <c r="E85">
        <v>1422.1315</v>
      </c>
      <c r="G85" s="2" t="s">
        <v>1054</v>
      </c>
      <c r="H85">
        <v>3200</v>
      </c>
      <c r="I85">
        <v>1928.25</v>
      </c>
      <c r="J85">
        <v>1537250</v>
      </c>
      <c r="K85">
        <v>1422.1315</v>
      </c>
      <c r="L85" s="7">
        <f t="shared" si="1"/>
        <v>1535827.8685000001</v>
      </c>
    </row>
    <row r="86" spans="1:12" x14ac:dyDescent="0.25">
      <c r="A86" s="2" t="s">
        <v>1066</v>
      </c>
      <c r="B86">
        <v>500</v>
      </c>
      <c r="C86">
        <v>59.1</v>
      </c>
      <c r="D86">
        <v>29550</v>
      </c>
      <c r="E86">
        <v>38.093899999999998</v>
      </c>
      <c r="G86" s="2" t="s">
        <v>1066</v>
      </c>
      <c r="H86">
        <v>500</v>
      </c>
      <c r="I86">
        <v>59.1</v>
      </c>
      <c r="J86">
        <v>29550</v>
      </c>
      <c r="K86">
        <v>38.093899999999998</v>
      </c>
      <c r="L86" s="7">
        <f t="shared" si="1"/>
        <v>29511.9061</v>
      </c>
    </row>
    <row r="87" spans="1:12" x14ac:dyDescent="0.25">
      <c r="A87" s="2" t="s">
        <v>1077</v>
      </c>
      <c r="B87">
        <v>500</v>
      </c>
      <c r="C87">
        <v>104.5</v>
      </c>
      <c r="D87">
        <v>52250</v>
      </c>
      <c r="E87">
        <v>46.161099999999998</v>
      </c>
      <c r="G87" s="2" t="s">
        <v>1077</v>
      </c>
      <c r="H87">
        <v>500</v>
      </c>
      <c r="I87">
        <v>104.5</v>
      </c>
      <c r="J87">
        <v>52250</v>
      </c>
      <c r="K87">
        <v>46.161099999999998</v>
      </c>
      <c r="L87" s="7">
        <f t="shared" si="1"/>
        <v>52203.838900000002</v>
      </c>
    </row>
    <row r="88" spans="1:12" x14ac:dyDescent="0.25">
      <c r="A88" s="2" t="s">
        <v>1081</v>
      </c>
      <c r="B88">
        <v>8000</v>
      </c>
      <c r="C88">
        <v>265.10000000000002</v>
      </c>
      <c r="D88">
        <v>706200</v>
      </c>
      <c r="E88">
        <v>654.84319999999991</v>
      </c>
      <c r="G88" s="2" t="s">
        <v>1081</v>
      </c>
      <c r="H88">
        <v>8000</v>
      </c>
      <c r="I88">
        <v>265.10000000000002</v>
      </c>
      <c r="J88">
        <v>706200</v>
      </c>
      <c r="K88">
        <v>654.84319999999991</v>
      </c>
      <c r="L88" s="7">
        <f t="shared" si="1"/>
        <v>705545.1568</v>
      </c>
    </row>
    <row r="89" spans="1:12" x14ac:dyDescent="0.25">
      <c r="A89" s="2" t="s">
        <v>1086</v>
      </c>
      <c r="B89">
        <v>25500</v>
      </c>
      <c r="C89">
        <v>969.94999999999993</v>
      </c>
      <c r="D89">
        <v>1626330.4</v>
      </c>
      <c r="E89">
        <v>1434.0232000000001</v>
      </c>
      <c r="G89" s="2" t="s">
        <v>1086</v>
      </c>
      <c r="H89">
        <v>25500</v>
      </c>
      <c r="I89">
        <v>969.94999999999993</v>
      </c>
      <c r="J89">
        <v>1626330.4</v>
      </c>
      <c r="K89">
        <v>1434.0232000000001</v>
      </c>
      <c r="L89" s="7">
        <f t="shared" si="1"/>
        <v>1624896.3768</v>
      </c>
    </row>
    <row r="90" spans="1:12" x14ac:dyDescent="0.25">
      <c r="A90" s="2" t="s">
        <v>1091</v>
      </c>
      <c r="B90">
        <v>100</v>
      </c>
      <c r="C90">
        <v>327.23</v>
      </c>
      <c r="D90">
        <v>32723.25</v>
      </c>
      <c r="E90">
        <v>39.048000000000002</v>
      </c>
      <c r="G90" s="2" t="s">
        <v>1091</v>
      </c>
      <c r="H90">
        <v>100</v>
      </c>
      <c r="I90">
        <v>327.23</v>
      </c>
      <c r="J90">
        <v>32723.25</v>
      </c>
      <c r="K90">
        <v>39.048000000000002</v>
      </c>
      <c r="L90" s="7">
        <f t="shared" si="1"/>
        <v>32684.202000000001</v>
      </c>
    </row>
    <row r="91" spans="1:12" x14ac:dyDescent="0.25">
      <c r="A91" s="2" t="s">
        <v>1096</v>
      </c>
      <c r="B91">
        <v>10</v>
      </c>
      <c r="C91">
        <v>3511</v>
      </c>
      <c r="D91">
        <v>35110</v>
      </c>
      <c r="E91">
        <v>39.804000000000002</v>
      </c>
      <c r="G91" s="2" t="s">
        <v>1096</v>
      </c>
      <c r="H91">
        <v>10</v>
      </c>
      <c r="I91">
        <v>3511</v>
      </c>
      <c r="J91">
        <v>35110</v>
      </c>
      <c r="K91">
        <v>39.804000000000002</v>
      </c>
      <c r="L91" s="7">
        <f t="shared" si="1"/>
        <v>35070.196000000004</v>
      </c>
    </row>
    <row r="92" spans="1:12" x14ac:dyDescent="0.25">
      <c r="A92" s="2" t="s">
        <v>1098</v>
      </c>
      <c r="B92">
        <v>100</v>
      </c>
      <c r="C92">
        <v>2687</v>
      </c>
      <c r="D92">
        <v>134350</v>
      </c>
      <c r="E92">
        <v>118.5067</v>
      </c>
      <c r="G92" s="2" t="s">
        <v>1098</v>
      </c>
      <c r="H92">
        <v>100</v>
      </c>
      <c r="I92">
        <v>2687</v>
      </c>
      <c r="J92">
        <v>134350</v>
      </c>
      <c r="K92">
        <v>118.5067</v>
      </c>
      <c r="L92" s="7">
        <f t="shared" si="1"/>
        <v>134231.4933</v>
      </c>
    </row>
    <row r="93" spans="1:12" x14ac:dyDescent="0.25">
      <c r="A93" s="2" t="s">
        <v>1101</v>
      </c>
      <c r="B93">
        <v>100</v>
      </c>
      <c r="C93">
        <v>412</v>
      </c>
      <c r="D93">
        <v>41200</v>
      </c>
      <c r="E93">
        <v>41.533200000000001</v>
      </c>
      <c r="G93" s="2" t="s">
        <v>1101</v>
      </c>
      <c r="H93">
        <v>100</v>
      </c>
      <c r="I93">
        <v>412</v>
      </c>
      <c r="J93">
        <v>41200</v>
      </c>
      <c r="K93">
        <v>41.533200000000001</v>
      </c>
      <c r="L93" s="7">
        <f t="shared" si="1"/>
        <v>41158.466800000002</v>
      </c>
    </row>
    <row r="94" spans="1:12" x14ac:dyDescent="0.25">
      <c r="A94" s="2" t="s">
        <v>1105</v>
      </c>
      <c r="B94">
        <v>350</v>
      </c>
      <c r="C94">
        <v>3589.26</v>
      </c>
      <c r="D94">
        <v>312426.05</v>
      </c>
      <c r="E94">
        <v>283.51750000000004</v>
      </c>
      <c r="G94" s="2" t="s">
        <v>1105</v>
      </c>
      <c r="H94">
        <v>350</v>
      </c>
      <c r="I94">
        <v>3589.26</v>
      </c>
      <c r="J94">
        <v>312426.05</v>
      </c>
      <c r="K94">
        <v>283.51750000000004</v>
      </c>
      <c r="L94" s="7">
        <f t="shared" si="1"/>
        <v>312142.53249999997</v>
      </c>
    </row>
    <row r="95" spans="1:12" x14ac:dyDescent="0.25">
      <c r="A95" s="2" t="s">
        <v>1107</v>
      </c>
      <c r="B95">
        <v>590</v>
      </c>
      <c r="C95">
        <v>186.5</v>
      </c>
      <c r="D95">
        <v>110035</v>
      </c>
      <c r="E95">
        <v>97.131299999999996</v>
      </c>
      <c r="G95" s="2" t="s">
        <v>1107</v>
      </c>
      <c r="H95">
        <v>590</v>
      </c>
      <c r="I95">
        <v>186.5</v>
      </c>
      <c r="J95">
        <v>110035</v>
      </c>
      <c r="K95">
        <v>97.131299999999996</v>
      </c>
      <c r="L95" s="7">
        <f t="shared" si="1"/>
        <v>109937.86870000001</v>
      </c>
    </row>
    <row r="96" spans="1:12" x14ac:dyDescent="0.25">
      <c r="A96" s="2" t="s">
        <v>1109</v>
      </c>
      <c r="B96">
        <v>400</v>
      </c>
      <c r="C96">
        <v>314.5</v>
      </c>
      <c r="D96">
        <v>62900</v>
      </c>
      <c r="E96">
        <v>77.414400000000001</v>
      </c>
      <c r="G96" s="2" t="s">
        <v>1109</v>
      </c>
      <c r="H96">
        <v>400</v>
      </c>
      <c r="I96">
        <v>314.5</v>
      </c>
      <c r="J96">
        <v>62900</v>
      </c>
      <c r="K96">
        <v>77.414400000000001</v>
      </c>
      <c r="L96" s="7">
        <f t="shared" si="1"/>
        <v>62822.585599999999</v>
      </c>
    </row>
    <row r="97" spans="1:12" x14ac:dyDescent="0.25">
      <c r="A97" s="2" t="s">
        <v>1115</v>
      </c>
      <c r="B97">
        <v>574</v>
      </c>
      <c r="C97">
        <v>303.3</v>
      </c>
      <c r="D97">
        <v>87302.7</v>
      </c>
      <c r="E97">
        <v>99.863</v>
      </c>
      <c r="G97" s="2" t="s">
        <v>1115</v>
      </c>
      <c r="H97">
        <v>574</v>
      </c>
      <c r="I97">
        <v>303.3</v>
      </c>
      <c r="J97">
        <v>87302.7</v>
      </c>
      <c r="K97">
        <v>99.863</v>
      </c>
      <c r="L97" s="7">
        <f t="shared" si="1"/>
        <v>87202.837</v>
      </c>
    </row>
    <row r="98" spans="1:12" x14ac:dyDescent="0.25">
      <c r="A98" s="2" t="s">
        <v>1121</v>
      </c>
      <c r="B98">
        <v>325</v>
      </c>
      <c r="C98">
        <v>4874.21</v>
      </c>
      <c r="D98">
        <v>530747.80000000005</v>
      </c>
      <c r="E98">
        <v>483.1653</v>
      </c>
      <c r="G98" s="2" t="s">
        <v>1121</v>
      </c>
      <c r="H98">
        <v>325</v>
      </c>
      <c r="I98">
        <v>4874.21</v>
      </c>
      <c r="J98">
        <v>530747.80000000005</v>
      </c>
      <c r="K98">
        <v>483.1653</v>
      </c>
      <c r="L98" s="7">
        <f t="shared" si="1"/>
        <v>530264.63470000005</v>
      </c>
    </row>
    <row r="99" spans="1:12" x14ac:dyDescent="0.25">
      <c r="A99" s="2" t="s">
        <v>1128</v>
      </c>
      <c r="B99">
        <v>1500</v>
      </c>
      <c r="C99">
        <v>247.95</v>
      </c>
      <c r="D99">
        <v>179950</v>
      </c>
      <c r="E99">
        <v>158.37809999999999</v>
      </c>
      <c r="G99" s="2" t="s">
        <v>1128</v>
      </c>
      <c r="H99">
        <v>1500</v>
      </c>
      <c r="I99">
        <v>247.95</v>
      </c>
      <c r="J99">
        <v>179950</v>
      </c>
      <c r="K99">
        <v>158.37809999999999</v>
      </c>
      <c r="L99" s="7">
        <f t="shared" si="1"/>
        <v>179791.6219</v>
      </c>
    </row>
    <row r="100" spans="1:12" x14ac:dyDescent="0.25">
      <c r="A100" s="2" t="s">
        <v>1131</v>
      </c>
      <c r="B100">
        <v>1500</v>
      </c>
      <c r="C100">
        <v>375.75</v>
      </c>
      <c r="D100">
        <v>563625</v>
      </c>
      <c r="E100">
        <v>497.12079999999997</v>
      </c>
      <c r="G100" s="2" t="s">
        <v>1131</v>
      </c>
      <c r="H100">
        <v>1500</v>
      </c>
      <c r="I100">
        <v>375.75</v>
      </c>
      <c r="J100">
        <v>563625</v>
      </c>
      <c r="K100">
        <v>497.12079999999997</v>
      </c>
      <c r="L100" s="7">
        <f t="shared" si="1"/>
        <v>563127.87919999997</v>
      </c>
    </row>
    <row r="101" spans="1:12" x14ac:dyDescent="0.25">
      <c r="A101" s="2" t="s">
        <v>1136</v>
      </c>
      <c r="B101">
        <v>300</v>
      </c>
      <c r="C101">
        <v>478.3</v>
      </c>
      <c r="D101">
        <v>71710</v>
      </c>
      <c r="E101">
        <v>79.961700000000008</v>
      </c>
      <c r="G101" s="2" t="s">
        <v>1136</v>
      </c>
      <c r="H101">
        <v>300</v>
      </c>
      <c r="I101">
        <v>478.3</v>
      </c>
      <c r="J101">
        <v>71710</v>
      </c>
      <c r="K101">
        <v>79.961700000000008</v>
      </c>
      <c r="L101" s="7">
        <f t="shared" si="1"/>
        <v>71630.0383</v>
      </c>
    </row>
    <row r="102" spans="1:12" x14ac:dyDescent="0.25">
      <c r="A102" s="2" t="s">
        <v>1147</v>
      </c>
      <c r="B102">
        <v>1850</v>
      </c>
      <c r="C102">
        <v>638.5</v>
      </c>
      <c r="D102">
        <v>354025</v>
      </c>
      <c r="E102">
        <v>1861.7910999999999</v>
      </c>
      <c r="G102" s="2" t="s">
        <v>1147</v>
      </c>
      <c r="H102">
        <v>1850</v>
      </c>
      <c r="I102">
        <v>638.5</v>
      </c>
      <c r="J102">
        <v>354025</v>
      </c>
      <c r="K102">
        <v>1861.7910999999999</v>
      </c>
      <c r="L102" s="7">
        <f t="shared" si="1"/>
        <v>352163.20890000003</v>
      </c>
    </row>
    <row r="103" spans="1:12" x14ac:dyDescent="0.25">
      <c r="A103" s="2" t="s">
        <v>1153</v>
      </c>
      <c r="B103">
        <v>100</v>
      </c>
      <c r="C103">
        <v>1090.02</v>
      </c>
      <c r="D103">
        <v>109002.2</v>
      </c>
      <c r="E103">
        <v>127.0545</v>
      </c>
      <c r="G103" s="2" t="s">
        <v>1153</v>
      </c>
      <c r="H103">
        <v>100</v>
      </c>
      <c r="I103">
        <v>1090.02</v>
      </c>
      <c r="J103">
        <v>109002.2</v>
      </c>
      <c r="K103">
        <v>127.0545</v>
      </c>
      <c r="L103" s="7">
        <f t="shared" si="1"/>
        <v>108875.1455</v>
      </c>
    </row>
    <row r="104" spans="1:12" x14ac:dyDescent="0.25">
      <c r="A104" s="2" t="s">
        <v>1156</v>
      </c>
      <c r="B104">
        <v>43775</v>
      </c>
      <c r="C104">
        <v>1477.75</v>
      </c>
      <c r="D104">
        <v>2795463.75</v>
      </c>
      <c r="E104">
        <v>2520.7015999999999</v>
      </c>
      <c r="G104" s="2" t="s">
        <v>1156</v>
      </c>
      <c r="H104">
        <v>43775</v>
      </c>
      <c r="I104">
        <v>1477.75</v>
      </c>
      <c r="J104">
        <v>2795463.75</v>
      </c>
      <c r="K104">
        <v>2520.7015999999999</v>
      </c>
      <c r="L104" s="7">
        <f t="shared" si="1"/>
        <v>2792943.0484000002</v>
      </c>
    </row>
    <row r="105" spans="1:12" x14ac:dyDescent="0.25">
      <c r="A105" s="2" t="s">
        <v>1165</v>
      </c>
      <c r="B105">
        <v>300</v>
      </c>
      <c r="C105">
        <v>1071.5</v>
      </c>
      <c r="D105">
        <v>161100</v>
      </c>
      <c r="E105">
        <v>142.3296</v>
      </c>
      <c r="G105" s="2" t="s">
        <v>1165</v>
      </c>
      <c r="H105">
        <v>300</v>
      </c>
      <c r="I105">
        <v>1071.5</v>
      </c>
      <c r="J105">
        <v>161100</v>
      </c>
      <c r="K105">
        <v>142.3296</v>
      </c>
      <c r="L105" s="7">
        <f t="shared" si="1"/>
        <v>160957.6704</v>
      </c>
    </row>
    <row r="106" spans="1:12" x14ac:dyDescent="0.25">
      <c r="A106" s="2" t="s">
        <v>1174</v>
      </c>
      <c r="B106">
        <v>2000</v>
      </c>
      <c r="C106">
        <v>274.75</v>
      </c>
      <c r="D106">
        <v>170125</v>
      </c>
      <c r="E106">
        <v>159.83449999999999</v>
      </c>
      <c r="G106" s="2" t="s">
        <v>1174</v>
      </c>
      <c r="H106">
        <v>2000</v>
      </c>
      <c r="I106">
        <v>274.75</v>
      </c>
      <c r="J106">
        <v>170125</v>
      </c>
      <c r="K106">
        <v>159.83449999999999</v>
      </c>
      <c r="L106" s="7">
        <f t="shared" si="1"/>
        <v>169965.1655</v>
      </c>
    </row>
    <row r="107" spans="1:12" x14ac:dyDescent="0.25">
      <c r="A107" s="2" t="s">
        <v>1329</v>
      </c>
      <c r="B107">
        <v>500</v>
      </c>
      <c r="C107">
        <v>559.14</v>
      </c>
      <c r="D107">
        <v>93828.6</v>
      </c>
      <c r="E107">
        <v>114.5142</v>
      </c>
      <c r="G107" s="2" t="s">
        <v>1329</v>
      </c>
      <c r="H107">
        <v>500</v>
      </c>
      <c r="I107">
        <v>559.14</v>
      </c>
      <c r="J107">
        <v>93828.6</v>
      </c>
      <c r="K107">
        <v>114.5142</v>
      </c>
      <c r="L107" s="7">
        <f t="shared" si="1"/>
        <v>93714.085800000001</v>
      </c>
    </row>
    <row r="108" spans="1:12" x14ac:dyDescent="0.25">
      <c r="A108" s="2" t="s">
        <v>1366</v>
      </c>
      <c r="B108">
        <v>100</v>
      </c>
      <c r="C108">
        <v>772</v>
      </c>
      <c r="D108">
        <v>77200</v>
      </c>
      <c r="E108">
        <v>68.099199999999996</v>
      </c>
      <c r="G108" s="2" t="s">
        <v>1366</v>
      </c>
      <c r="H108">
        <v>100</v>
      </c>
      <c r="I108">
        <v>772</v>
      </c>
      <c r="J108">
        <v>77200</v>
      </c>
      <c r="K108">
        <v>68.099199999999996</v>
      </c>
      <c r="L108" s="7">
        <f t="shared" si="1"/>
        <v>77131.900800000003</v>
      </c>
    </row>
    <row r="109" spans="1:12" x14ac:dyDescent="0.25">
      <c r="A109" s="2" t="s">
        <v>1394</v>
      </c>
      <c r="B109">
        <v>250</v>
      </c>
      <c r="C109">
        <v>124</v>
      </c>
      <c r="D109">
        <v>31000</v>
      </c>
      <c r="E109">
        <v>40.915999999999997</v>
      </c>
      <c r="G109" s="2" t="s">
        <v>1394</v>
      </c>
      <c r="H109">
        <v>250</v>
      </c>
      <c r="I109">
        <v>124</v>
      </c>
      <c r="J109">
        <v>31000</v>
      </c>
      <c r="K109">
        <v>40.915999999999997</v>
      </c>
      <c r="L109" s="7">
        <f t="shared" si="1"/>
        <v>30959.083999999999</v>
      </c>
    </row>
    <row r="110" spans="1:12" x14ac:dyDescent="0.25">
      <c r="A110" s="2" t="s">
        <v>1407</v>
      </c>
      <c r="B110">
        <v>100</v>
      </c>
      <c r="C110">
        <v>627.35</v>
      </c>
      <c r="D110">
        <v>62735</v>
      </c>
      <c r="E110">
        <v>59.6081</v>
      </c>
      <c r="G110" s="2" t="s">
        <v>1407</v>
      </c>
      <c r="H110">
        <v>100</v>
      </c>
      <c r="I110">
        <v>627.35</v>
      </c>
      <c r="J110">
        <v>62735</v>
      </c>
      <c r="K110">
        <v>59.6081</v>
      </c>
      <c r="L110" s="7">
        <f t="shared" si="1"/>
        <v>62675.391900000002</v>
      </c>
    </row>
    <row r="111" spans="1:12" x14ac:dyDescent="0.25">
      <c r="A111" s="2" t="s">
        <v>1411</v>
      </c>
      <c r="B111">
        <v>250</v>
      </c>
      <c r="C111">
        <v>147.15</v>
      </c>
      <c r="D111">
        <v>36787.5</v>
      </c>
      <c r="E111">
        <v>40.234400000000001</v>
      </c>
      <c r="G111" s="2" t="s">
        <v>1411</v>
      </c>
      <c r="H111">
        <v>250</v>
      </c>
      <c r="I111">
        <v>147.15</v>
      </c>
      <c r="J111">
        <v>36787.5</v>
      </c>
      <c r="K111">
        <v>40.234400000000001</v>
      </c>
      <c r="L111" s="7">
        <f t="shared" si="1"/>
        <v>36747.265599999999</v>
      </c>
    </row>
    <row r="112" spans="1:12" x14ac:dyDescent="0.25">
      <c r="A112" s="2" t="s">
        <v>1476</v>
      </c>
      <c r="B112">
        <v>1000</v>
      </c>
      <c r="C112">
        <v>630.63</v>
      </c>
      <c r="D112">
        <v>206525.85</v>
      </c>
      <c r="E112">
        <v>0</v>
      </c>
      <c r="G112" s="2" t="s">
        <v>1476</v>
      </c>
      <c r="H112">
        <v>1000</v>
      </c>
      <c r="I112">
        <v>630.63</v>
      </c>
      <c r="J112">
        <v>206525.85</v>
      </c>
      <c r="K112">
        <v>0</v>
      </c>
      <c r="L112" s="7">
        <f t="shared" si="1"/>
        <v>206525.85</v>
      </c>
    </row>
    <row r="113" spans="1:12" x14ac:dyDescent="0.25">
      <c r="A113" s="2" t="s">
        <v>155</v>
      </c>
      <c r="B113">
        <v>718813</v>
      </c>
      <c r="C113">
        <v>167248.16000000003</v>
      </c>
      <c r="D113">
        <v>107746859</v>
      </c>
      <c r="E113">
        <v>153186.23220000011</v>
      </c>
      <c r="G113" s="5"/>
      <c r="H113" s="6"/>
      <c r="I113" s="6"/>
      <c r="J113" s="6"/>
      <c r="K113" s="6"/>
      <c r="L113" s="7">
        <f t="shared" si="1"/>
        <v>0</v>
      </c>
    </row>
    <row r="114" spans="1:12" x14ac:dyDescent="0.25">
      <c r="L114" s="7">
        <f t="shared" si="1"/>
        <v>0</v>
      </c>
    </row>
    <row r="115" spans="1:12" x14ac:dyDescent="0.25">
      <c r="L115" s="7">
        <f t="shared" si="1"/>
        <v>0</v>
      </c>
    </row>
    <row r="116" spans="1:12" x14ac:dyDescent="0.25">
      <c r="L116" s="7">
        <f t="shared" si="1"/>
        <v>0</v>
      </c>
    </row>
    <row r="117" spans="1:12" x14ac:dyDescent="0.25">
      <c r="L117" s="7">
        <f t="shared" si="1"/>
        <v>0</v>
      </c>
    </row>
    <row r="118" spans="1:12" x14ac:dyDescent="0.25">
      <c r="L118" s="7">
        <f t="shared" si="1"/>
        <v>0</v>
      </c>
    </row>
    <row r="119" spans="1:12" x14ac:dyDescent="0.25">
      <c r="L119" s="7">
        <f t="shared" si="1"/>
        <v>0</v>
      </c>
    </row>
    <row r="120" spans="1:12" x14ac:dyDescent="0.25">
      <c r="L120" s="7">
        <f t="shared" si="1"/>
        <v>0</v>
      </c>
    </row>
    <row r="121" spans="1:12" x14ac:dyDescent="0.25">
      <c r="L121" s="7">
        <f t="shared" si="1"/>
        <v>0</v>
      </c>
    </row>
    <row r="122" spans="1:12" x14ac:dyDescent="0.25">
      <c r="L122" s="7">
        <f t="shared" si="1"/>
        <v>0</v>
      </c>
    </row>
    <row r="123" spans="1:12" x14ac:dyDescent="0.25">
      <c r="L123" s="7">
        <f t="shared" si="1"/>
        <v>0</v>
      </c>
    </row>
    <row r="124" spans="1:12" x14ac:dyDescent="0.25">
      <c r="L124" s="7">
        <f t="shared" si="1"/>
        <v>0</v>
      </c>
    </row>
    <row r="125" spans="1:12" x14ac:dyDescent="0.25">
      <c r="L125" s="7">
        <f t="shared" si="1"/>
        <v>0</v>
      </c>
    </row>
    <row r="126" spans="1:12" x14ac:dyDescent="0.25">
      <c r="L126" s="7">
        <f t="shared" si="1"/>
        <v>0</v>
      </c>
    </row>
    <row r="127" spans="1:12" x14ac:dyDescent="0.25">
      <c r="L127" s="7">
        <f t="shared" si="1"/>
        <v>0</v>
      </c>
    </row>
    <row r="128" spans="1:12" x14ac:dyDescent="0.25">
      <c r="L128" s="7">
        <f t="shared" si="1"/>
        <v>0</v>
      </c>
    </row>
    <row r="129" spans="12:12" x14ac:dyDescent="0.25">
      <c r="L129" s="7">
        <f t="shared" si="1"/>
        <v>0</v>
      </c>
    </row>
    <row r="130" spans="12:12" x14ac:dyDescent="0.25">
      <c r="L130" s="7">
        <f t="shared" si="1"/>
        <v>0</v>
      </c>
    </row>
    <row r="131" spans="12:12" x14ac:dyDescent="0.25">
      <c r="L131" s="7">
        <f t="shared" si="1"/>
        <v>0</v>
      </c>
    </row>
    <row r="132" spans="12:12" x14ac:dyDescent="0.25">
      <c r="L132" s="7">
        <f t="shared" si="1"/>
        <v>0</v>
      </c>
    </row>
    <row r="133" spans="12:12" x14ac:dyDescent="0.25">
      <c r="L133" s="7">
        <f t="shared" si="1"/>
        <v>0</v>
      </c>
    </row>
    <row r="134" spans="12:12" x14ac:dyDescent="0.25">
      <c r="L134" s="7">
        <f t="shared" ref="L134:L197" si="2">J134-K134</f>
        <v>0</v>
      </c>
    </row>
    <row r="135" spans="12:12" x14ac:dyDescent="0.25">
      <c r="L135" s="7">
        <f t="shared" si="2"/>
        <v>0</v>
      </c>
    </row>
    <row r="136" spans="12:12" x14ac:dyDescent="0.25">
      <c r="L136" s="7">
        <f t="shared" si="2"/>
        <v>0</v>
      </c>
    </row>
    <row r="137" spans="12:12" x14ac:dyDescent="0.25">
      <c r="L137" s="7">
        <f t="shared" si="2"/>
        <v>0</v>
      </c>
    </row>
    <row r="138" spans="12:12" x14ac:dyDescent="0.25">
      <c r="L138" s="7">
        <f t="shared" si="2"/>
        <v>0</v>
      </c>
    </row>
    <row r="139" spans="12:12" x14ac:dyDescent="0.25">
      <c r="L139" s="7">
        <f t="shared" si="2"/>
        <v>0</v>
      </c>
    </row>
    <row r="140" spans="12:12" x14ac:dyDescent="0.25">
      <c r="L140" s="7">
        <f t="shared" si="2"/>
        <v>0</v>
      </c>
    </row>
    <row r="141" spans="12:12" x14ac:dyDescent="0.25">
      <c r="L141" s="7">
        <f t="shared" si="2"/>
        <v>0</v>
      </c>
    </row>
    <row r="142" spans="12:12" x14ac:dyDescent="0.25">
      <c r="L142" s="7">
        <f t="shared" si="2"/>
        <v>0</v>
      </c>
    </row>
    <row r="143" spans="12:12" x14ac:dyDescent="0.25">
      <c r="L143" s="7">
        <f t="shared" si="2"/>
        <v>0</v>
      </c>
    </row>
    <row r="144" spans="12:12" x14ac:dyDescent="0.25">
      <c r="L144" s="7">
        <f t="shared" si="2"/>
        <v>0</v>
      </c>
    </row>
    <row r="145" spans="12:12" x14ac:dyDescent="0.25">
      <c r="L145" s="7">
        <f t="shared" si="2"/>
        <v>0</v>
      </c>
    </row>
    <row r="146" spans="12:12" x14ac:dyDescent="0.25">
      <c r="L146" s="7">
        <f t="shared" si="2"/>
        <v>0</v>
      </c>
    </row>
    <row r="147" spans="12:12" x14ac:dyDescent="0.25">
      <c r="L147" s="7">
        <f t="shared" si="2"/>
        <v>0</v>
      </c>
    </row>
    <row r="148" spans="12:12" x14ac:dyDescent="0.25">
      <c r="L148" s="7">
        <f t="shared" si="2"/>
        <v>0</v>
      </c>
    </row>
    <row r="149" spans="12:12" x14ac:dyDescent="0.25">
      <c r="L149" s="7">
        <f t="shared" si="2"/>
        <v>0</v>
      </c>
    </row>
    <row r="150" spans="12:12" x14ac:dyDescent="0.25">
      <c r="L150" s="7">
        <f t="shared" si="2"/>
        <v>0</v>
      </c>
    </row>
    <row r="151" spans="12:12" x14ac:dyDescent="0.25">
      <c r="L151" s="7">
        <f t="shared" si="2"/>
        <v>0</v>
      </c>
    </row>
    <row r="152" spans="12:12" x14ac:dyDescent="0.25">
      <c r="L152" s="7">
        <f t="shared" si="2"/>
        <v>0</v>
      </c>
    </row>
    <row r="153" spans="12:12" x14ac:dyDescent="0.25">
      <c r="L153" s="7">
        <f t="shared" si="2"/>
        <v>0</v>
      </c>
    </row>
    <row r="154" spans="12:12" x14ac:dyDescent="0.25">
      <c r="L154" s="7">
        <f t="shared" si="2"/>
        <v>0</v>
      </c>
    </row>
    <row r="155" spans="12:12" x14ac:dyDescent="0.25">
      <c r="L155" s="7">
        <f t="shared" si="2"/>
        <v>0</v>
      </c>
    </row>
    <row r="156" spans="12:12" x14ac:dyDescent="0.25">
      <c r="L156" s="7">
        <f t="shared" si="2"/>
        <v>0</v>
      </c>
    </row>
    <row r="157" spans="12:12" x14ac:dyDescent="0.25">
      <c r="L157" s="7">
        <f t="shared" si="2"/>
        <v>0</v>
      </c>
    </row>
    <row r="158" spans="12:12" x14ac:dyDescent="0.25">
      <c r="L158" s="7">
        <f t="shared" si="2"/>
        <v>0</v>
      </c>
    </row>
    <row r="159" spans="12:12" x14ac:dyDescent="0.25">
      <c r="L159" s="7">
        <f t="shared" si="2"/>
        <v>0</v>
      </c>
    </row>
    <row r="160" spans="12:12" x14ac:dyDescent="0.25">
      <c r="L160" s="7">
        <f t="shared" si="2"/>
        <v>0</v>
      </c>
    </row>
    <row r="161" spans="12:12" x14ac:dyDescent="0.25">
      <c r="L161" s="7">
        <f t="shared" si="2"/>
        <v>0</v>
      </c>
    </row>
    <row r="162" spans="12:12" x14ac:dyDescent="0.25">
      <c r="L162" s="7">
        <f t="shared" si="2"/>
        <v>0</v>
      </c>
    </row>
    <row r="163" spans="12:12" x14ac:dyDescent="0.25">
      <c r="L163" s="7">
        <f t="shared" si="2"/>
        <v>0</v>
      </c>
    </row>
    <row r="164" spans="12:12" x14ac:dyDescent="0.25">
      <c r="L164" s="7">
        <f t="shared" si="2"/>
        <v>0</v>
      </c>
    </row>
    <row r="165" spans="12:12" x14ac:dyDescent="0.25">
      <c r="L165" s="7">
        <f t="shared" si="2"/>
        <v>0</v>
      </c>
    </row>
    <row r="166" spans="12:12" x14ac:dyDescent="0.25">
      <c r="L166" s="7">
        <f t="shared" si="2"/>
        <v>0</v>
      </c>
    </row>
    <row r="167" spans="12:12" x14ac:dyDescent="0.25">
      <c r="L167" s="7">
        <f t="shared" si="2"/>
        <v>0</v>
      </c>
    </row>
    <row r="168" spans="12:12" x14ac:dyDescent="0.25">
      <c r="L168" s="7">
        <f t="shared" si="2"/>
        <v>0</v>
      </c>
    </row>
    <row r="169" spans="12:12" x14ac:dyDescent="0.25">
      <c r="L169" s="7">
        <f t="shared" si="2"/>
        <v>0</v>
      </c>
    </row>
    <row r="170" spans="12:12" x14ac:dyDescent="0.25">
      <c r="L170" s="7">
        <f t="shared" si="2"/>
        <v>0</v>
      </c>
    </row>
    <row r="171" spans="12:12" x14ac:dyDescent="0.25">
      <c r="L171" s="7">
        <f t="shared" si="2"/>
        <v>0</v>
      </c>
    </row>
    <row r="172" spans="12:12" x14ac:dyDescent="0.25">
      <c r="L172" s="7">
        <f t="shared" si="2"/>
        <v>0</v>
      </c>
    </row>
    <row r="173" spans="12:12" x14ac:dyDescent="0.25">
      <c r="L173" s="7">
        <f t="shared" si="2"/>
        <v>0</v>
      </c>
    </row>
    <row r="174" spans="12:12" x14ac:dyDescent="0.25">
      <c r="L174" s="7">
        <f t="shared" si="2"/>
        <v>0</v>
      </c>
    </row>
    <row r="175" spans="12:12" x14ac:dyDescent="0.25">
      <c r="L175" s="7">
        <f t="shared" si="2"/>
        <v>0</v>
      </c>
    </row>
    <row r="176" spans="12:12" x14ac:dyDescent="0.25">
      <c r="L176" s="7">
        <f t="shared" si="2"/>
        <v>0</v>
      </c>
    </row>
    <row r="177" spans="12:12" x14ac:dyDescent="0.25">
      <c r="L177" s="7">
        <f t="shared" si="2"/>
        <v>0</v>
      </c>
    </row>
    <row r="178" spans="12:12" x14ac:dyDescent="0.25">
      <c r="L178" s="7">
        <f t="shared" si="2"/>
        <v>0</v>
      </c>
    </row>
    <row r="179" spans="12:12" x14ac:dyDescent="0.25">
      <c r="L179" s="7">
        <f t="shared" si="2"/>
        <v>0</v>
      </c>
    </row>
    <row r="180" spans="12:12" x14ac:dyDescent="0.25">
      <c r="L180" s="7">
        <f t="shared" si="2"/>
        <v>0</v>
      </c>
    </row>
    <row r="181" spans="12:12" x14ac:dyDescent="0.25">
      <c r="L181" s="7">
        <f t="shared" si="2"/>
        <v>0</v>
      </c>
    </row>
    <row r="182" spans="12:12" x14ac:dyDescent="0.25">
      <c r="L182" s="7">
        <f t="shared" si="2"/>
        <v>0</v>
      </c>
    </row>
    <row r="183" spans="12:12" x14ac:dyDescent="0.25">
      <c r="L183" s="7">
        <f t="shared" si="2"/>
        <v>0</v>
      </c>
    </row>
    <row r="184" spans="12:12" x14ac:dyDescent="0.25">
      <c r="L184" s="7">
        <f t="shared" si="2"/>
        <v>0</v>
      </c>
    </row>
    <row r="185" spans="12:12" x14ac:dyDescent="0.25">
      <c r="L185" s="7">
        <f t="shared" si="2"/>
        <v>0</v>
      </c>
    </row>
    <row r="186" spans="12:12" x14ac:dyDescent="0.25">
      <c r="L186" s="7">
        <f t="shared" si="2"/>
        <v>0</v>
      </c>
    </row>
    <row r="187" spans="12:12" x14ac:dyDescent="0.25">
      <c r="L187" s="7">
        <f t="shared" si="2"/>
        <v>0</v>
      </c>
    </row>
    <row r="188" spans="12:12" x14ac:dyDescent="0.25">
      <c r="L188" s="7">
        <f t="shared" si="2"/>
        <v>0</v>
      </c>
    </row>
    <row r="189" spans="12:12" x14ac:dyDescent="0.25">
      <c r="L189" s="7">
        <f t="shared" si="2"/>
        <v>0</v>
      </c>
    </row>
    <row r="190" spans="12:12" x14ac:dyDescent="0.25">
      <c r="L190" s="7">
        <f t="shared" si="2"/>
        <v>0</v>
      </c>
    </row>
    <row r="191" spans="12:12" x14ac:dyDescent="0.25">
      <c r="L191" s="7">
        <f t="shared" si="2"/>
        <v>0</v>
      </c>
    </row>
    <row r="192" spans="12:12" x14ac:dyDescent="0.25">
      <c r="L192" s="7">
        <f t="shared" si="2"/>
        <v>0</v>
      </c>
    </row>
    <row r="193" spans="12:12" x14ac:dyDescent="0.25">
      <c r="L193" s="7">
        <f t="shared" si="2"/>
        <v>0</v>
      </c>
    </row>
    <row r="194" spans="12:12" x14ac:dyDescent="0.25">
      <c r="L194" s="7">
        <f t="shared" si="2"/>
        <v>0</v>
      </c>
    </row>
    <row r="195" spans="12:12" x14ac:dyDescent="0.25">
      <c r="L195" s="7">
        <f t="shared" si="2"/>
        <v>0</v>
      </c>
    </row>
    <row r="196" spans="12:12" x14ac:dyDescent="0.25">
      <c r="L196" s="7">
        <f t="shared" si="2"/>
        <v>0</v>
      </c>
    </row>
    <row r="197" spans="12:12" x14ac:dyDescent="0.25">
      <c r="L197" s="7">
        <f t="shared" si="2"/>
        <v>0</v>
      </c>
    </row>
    <row r="198" spans="12:12" x14ac:dyDescent="0.25">
      <c r="L198" s="7">
        <f t="shared" ref="L198:L261" si="3">J198-K198</f>
        <v>0</v>
      </c>
    </row>
    <row r="199" spans="12:12" x14ac:dyDescent="0.25">
      <c r="L199" s="7">
        <f t="shared" si="3"/>
        <v>0</v>
      </c>
    </row>
    <row r="200" spans="12:12" x14ac:dyDescent="0.25">
      <c r="L200" s="7">
        <f t="shared" si="3"/>
        <v>0</v>
      </c>
    </row>
    <row r="201" spans="12:12" x14ac:dyDescent="0.25">
      <c r="L201" s="7">
        <f t="shared" si="3"/>
        <v>0</v>
      </c>
    </row>
    <row r="202" spans="12:12" x14ac:dyDescent="0.25">
      <c r="L202" s="7">
        <f t="shared" si="3"/>
        <v>0</v>
      </c>
    </row>
    <row r="203" spans="12:12" x14ac:dyDescent="0.25">
      <c r="L203" s="7">
        <f t="shared" si="3"/>
        <v>0</v>
      </c>
    </row>
    <row r="204" spans="12:12" x14ac:dyDescent="0.25">
      <c r="L204" s="7">
        <f t="shared" si="3"/>
        <v>0</v>
      </c>
    </row>
    <row r="205" spans="12:12" x14ac:dyDescent="0.25">
      <c r="L205" s="7">
        <f t="shared" si="3"/>
        <v>0</v>
      </c>
    </row>
    <row r="206" spans="12:12" x14ac:dyDescent="0.25">
      <c r="L206" s="7">
        <f t="shared" si="3"/>
        <v>0</v>
      </c>
    </row>
    <row r="207" spans="12:12" x14ac:dyDescent="0.25">
      <c r="L207" s="7">
        <f t="shared" si="3"/>
        <v>0</v>
      </c>
    </row>
    <row r="208" spans="12:12" x14ac:dyDescent="0.25">
      <c r="L208" s="7">
        <f t="shared" si="3"/>
        <v>0</v>
      </c>
    </row>
    <row r="209" spans="12:12" x14ac:dyDescent="0.25">
      <c r="L209" s="7">
        <f t="shared" si="3"/>
        <v>0</v>
      </c>
    </row>
    <row r="210" spans="12:12" x14ac:dyDescent="0.25">
      <c r="L210" s="7">
        <f t="shared" si="3"/>
        <v>0</v>
      </c>
    </row>
    <row r="211" spans="12:12" x14ac:dyDescent="0.25">
      <c r="L211" s="7">
        <f t="shared" si="3"/>
        <v>0</v>
      </c>
    </row>
    <row r="212" spans="12:12" x14ac:dyDescent="0.25">
      <c r="L212" s="7">
        <f t="shared" si="3"/>
        <v>0</v>
      </c>
    </row>
    <row r="213" spans="12:12" x14ac:dyDescent="0.25">
      <c r="L213" s="7">
        <f t="shared" si="3"/>
        <v>0</v>
      </c>
    </row>
    <row r="214" spans="12:12" x14ac:dyDescent="0.25">
      <c r="L214" s="7">
        <f t="shared" si="3"/>
        <v>0</v>
      </c>
    </row>
    <row r="215" spans="12:12" x14ac:dyDescent="0.25">
      <c r="L215" s="7">
        <f t="shared" si="3"/>
        <v>0</v>
      </c>
    </row>
    <row r="216" spans="12:12" x14ac:dyDescent="0.25">
      <c r="L216" s="7">
        <f t="shared" si="3"/>
        <v>0</v>
      </c>
    </row>
    <row r="217" spans="12:12" x14ac:dyDescent="0.25">
      <c r="L217" s="7">
        <f t="shared" si="3"/>
        <v>0</v>
      </c>
    </row>
    <row r="218" spans="12:12" x14ac:dyDescent="0.25">
      <c r="L218" s="7">
        <f t="shared" si="3"/>
        <v>0</v>
      </c>
    </row>
    <row r="219" spans="12:12" x14ac:dyDescent="0.25">
      <c r="L219" s="7">
        <f t="shared" si="3"/>
        <v>0</v>
      </c>
    </row>
    <row r="220" spans="12:12" x14ac:dyDescent="0.25">
      <c r="L220" s="7">
        <f t="shared" si="3"/>
        <v>0</v>
      </c>
    </row>
    <row r="221" spans="12:12" x14ac:dyDescent="0.25">
      <c r="L221" s="7">
        <f t="shared" si="3"/>
        <v>0</v>
      </c>
    </row>
    <row r="222" spans="12:12" x14ac:dyDescent="0.25">
      <c r="L222" s="7">
        <f t="shared" si="3"/>
        <v>0</v>
      </c>
    </row>
    <row r="223" spans="12:12" x14ac:dyDescent="0.25">
      <c r="L223" s="7">
        <f t="shared" si="3"/>
        <v>0</v>
      </c>
    </row>
    <row r="224" spans="12:12" x14ac:dyDescent="0.25">
      <c r="L224" s="7">
        <f t="shared" si="3"/>
        <v>0</v>
      </c>
    </row>
    <row r="225" spans="12:12" x14ac:dyDescent="0.25">
      <c r="L225" s="7">
        <f t="shared" si="3"/>
        <v>0</v>
      </c>
    </row>
    <row r="226" spans="12:12" x14ac:dyDescent="0.25">
      <c r="L226" s="7">
        <f t="shared" si="3"/>
        <v>0</v>
      </c>
    </row>
    <row r="227" spans="12:12" x14ac:dyDescent="0.25">
      <c r="L227" s="7">
        <f t="shared" si="3"/>
        <v>0</v>
      </c>
    </row>
    <row r="228" spans="12:12" x14ac:dyDescent="0.25">
      <c r="L228" s="7">
        <f t="shared" si="3"/>
        <v>0</v>
      </c>
    </row>
    <row r="229" spans="12:12" x14ac:dyDescent="0.25">
      <c r="L229" s="7">
        <f t="shared" si="3"/>
        <v>0</v>
      </c>
    </row>
    <row r="230" spans="12:12" x14ac:dyDescent="0.25">
      <c r="L230" s="7">
        <f t="shared" si="3"/>
        <v>0</v>
      </c>
    </row>
    <row r="231" spans="12:12" x14ac:dyDescent="0.25">
      <c r="L231" s="7">
        <f t="shared" si="3"/>
        <v>0</v>
      </c>
    </row>
    <row r="232" spans="12:12" x14ac:dyDescent="0.25">
      <c r="L232" s="7">
        <f t="shared" si="3"/>
        <v>0</v>
      </c>
    </row>
    <row r="233" spans="12:12" x14ac:dyDescent="0.25">
      <c r="L233" s="7">
        <f t="shared" si="3"/>
        <v>0</v>
      </c>
    </row>
    <row r="234" spans="12:12" x14ac:dyDescent="0.25">
      <c r="L234" s="7">
        <f t="shared" si="3"/>
        <v>0</v>
      </c>
    </row>
    <row r="235" spans="12:12" x14ac:dyDescent="0.25">
      <c r="L235" s="7">
        <f t="shared" si="3"/>
        <v>0</v>
      </c>
    </row>
    <row r="236" spans="12:12" x14ac:dyDescent="0.25">
      <c r="L236" s="7">
        <f t="shared" si="3"/>
        <v>0</v>
      </c>
    </row>
    <row r="237" spans="12:12" x14ac:dyDescent="0.25">
      <c r="L237" s="7">
        <f t="shared" si="3"/>
        <v>0</v>
      </c>
    </row>
    <row r="238" spans="12:12" x14ac:dyDescent="0.25">
      <c r="L238" s="7">
        <f t="shared" si="3"/>
        <v>0</v>
      </c>
    </row>
    <row r="239" spans="12:12" x14ac:dyDescent="0.25">
      <c r="L239" s="7">
        <f t="shared" si="3"/>
        <v>0</v>
      </c>
    </row>
    <row r="240" spans="12:12" x14ac:dyDescent="0.25">
      <c r="L240" s="7">
        <f t="shared" si="3"/>
        <v>0</v>
      </c>
    </row>
    <row r="241" spans="12:12" x14ac:dyDescent="0.25">
      <c r="L241" s="7">
        <f t="shared" si="3"/>
        <v>0</v>
      </c>
    </row>
    <row r="242" spans="12:12" x14ac:dyDescent="0.25">
      <c r="L242" s="7">
        <f t="shared" si="3"/>
        <v>0</v>
      </c>
    </row>
    <row r="243" spans="12:12" x14ac:dyDescent="0.25">
      <c r="L243" s="7">
        <f t="shared" si="3"/>
        <v>0</v>
      </c>
    </row>
    <row r="244" spans="12:12" x14ac:dyDescent="0.25">
      <c r="L244" s="7">
        <f t="shared" si="3"/>
        <v>0</v>
      </c>
    </row>
    <row r="245" spans="12:12" x14ac:dyDescent="0.25">
      <c r="L245" s="7">
        <f t="shared" si="3"/>
        <v>0</v>
      </c>
    </row>
    <row r="246" spans="12:12" x14ac:dyDescent="0.25">
      <c r="L246" s="7">
        <f t="shared" si="3"/>
        <v>0</v>
      </c>
    </row>
    <row r="247" spans="12:12" x14ac:dyDescent="0.25">
      <c r="L247" s="7">
        <f t="shared" si="3"/>
        <v>0</v>
      </c>
    </row>
    <row r="248" spans="12:12" x14ac:dyDescent="0.25">
      <c r="L248" s="7">
        <f t="shared" si="3"/>
        <v>0</v>
      </c>
    </row>
    <row r="249" spans="12:12" x14ac:dyDescent="0.25">
      <c r="L249" s="7">
        <f t="shared" si="3"/>
        <v>0</v>
      </c>
    </row>
    <row r="250" spans="12:12" x14ac:dyDescent="0.25">
      <c r="L250" s="7">
        <f t="shared" si="3"/>
        <v>0</v>
      </c>
    </row>
    <row r="251" spans="12:12" x14ac:dyDescent="0.25">
      <c r="L251" s="7">
        <f t="shared" si="3"/>
        <v>0</v>
      </c>
    </row>
    <row r="252" spans="12:12" x14ac:dyDescent="0.25">
      <c r="L252" s="7">
        <f t="shared" si="3"/>
        <v>0</v>
      </c>
    </row>
    <row r="253" spans="12:12" x14ac:dyDescent="0.25">
      <c r="L253" s="7">
        <f t="shared" si="3"/>
        <v>0</v>
      </c>
    </row>
    <row r="254" spans="12:12" x14ac:dyDescent="0.25">
      <c r="L254" s="7">
        <f t="shared" si="3"/>
        <v>0</v>
      </c>
    </row>
    <row r="255" spans="12:12" x14ac:dyDescent="0.25">
      <c r="L255" s="7">
        <f t="shared" si="3"/>
        <v>0</v>
      </c>
    </row>
    <row r="256" spans="12:12" x14ac:dyDescent="0.25">
      <c r="L256" s="7">
        <f t="shared" si="3"/>
        <v>0</v>
      </c>
    </row>
    <row r="257" spans="12:12" x14ac:dyDescent="0.25">
      <c r="L257" s="7">
        <f t="shared" si="3"/>
        <v>0</v>
      </c>
    </row>
    <row r="258" spans="12:12" x14ac:dyDescent="0.25">
      <c r="L258" s="7">
        <f t="shared" si="3"/>
        <v>0</v>
      </c>
    </row>
    <row r="259" spans="12:12" x14ac:dyDescent="0.25">
      <c r="L259" s="7">
        <f t="shared" si="3"/>
        <v>0</v>
      </c>
    </row>
    <row r="260" spans="12:12" x14ac:dyDescent="0.25">
      <c r="L260" s="7">
        <f t="shared" si="3"/>
        <v>0</v>
      </c>
    </row>
    <row r="261" spans="12:12" x14ac:dyDescent="0.25">
      <c r="L261" s="7">
        <f t="shared" si="3"/>
        <v>0</v>
      </c>
    </row>
    <row r="262" spans="12:12" x14ac:dyDescent="0.25">
      <c r="L262" s="7">
        <f t="shared" ref="L262:L325" si="4">J262-K262</f>
        <v>0</v>
      </c>
    </row>
    <row r="263" spans="12:12" x14ac:dyDescent="0.25">
      <c r="L263" s="7">
        <f t="shared" si="4"/>
        <v>0</v>
      </c>
    </row>
    <row r="264" spans="12:12" x14ac:dyDescent="0.25">
      <c r="L264" s="7">
        <f t="shared" si="4"/>
        <v>0</v>
      </c>
    </row>
    <row r="265" spans="12:12" x14ac:dyDescent="0.25">
      <c r="L265" s="7">
        <f t="shared" si="4"/>
        <v>0</v>
      </c>
    </row>
    <row r="266" spans="12:12" x14ac:dyDescent="0.25">
      <c r="L266" s="7">
        <f t="shared" si="4"/>
        <v>0</v>
      </c>
    </row>
    <row r="267" spans="12:12" x14ac:dyDescent="0.25">
      <c r="L267" s="7">
        <f t="shared" si="4"/>
        <v>0</v>
      </c>
    </row>
    <row r="268" spans="12:12" x14ac:dyDescent="0.25">
      <c r="L268" s="7">
        <f t="shared" si="4"/>
        <v>0</v>
      </c>
    </row>
    <row r="269" spans="12:12" x14ac:dyDescent="0.25">
      <c r="L269" s="7">
        <f t="shared" si="4"/>
        <v>0</v>
      </c>
    </row>
    <row r="270" spans="12:12" x14ac:dyDescent="0.25">
      <c r="L270" s="7">
        <f t="shared" si="4"/>
        <v>0</v>
      </c>
    </row>
    <row r="271" spans="12:12" x14ac:dyDescent="0.25">
      <c r="L271" s="7">
        <f t="shared" si="4"/>
        <v>0</v>
      </c>
    </row>
    <row r="272" spans="12:12" x14ac:dyDescent="0.25">
      <c r="L272" s="7">
        <f t="shared" si="4"/>
        <v>0</v>
      </c>
    </row>
    <row r="273" spans="12:12" x14ac:dyDescent="0.25">
      <c r="L273" s="7">
        <f t="shared" si="4"/>
        <v>0</v>
      </c>
    </row>
    <row r="274" spans="12:12" x14ac:dyDescent="0.25">
      <c r="L274" s="7">
        <f t="shared" si="4"/>
        <v>0</v>
      </c>
    </row>
    <row r="275" spans="12:12" x14ac:dyDescent="0.25">
      <c r="L275" s="7">
        <f t="shared" si="4"/>
        <v>0</v>
      </c>
    </row>
    <row r="276" spans="12:12" x14ac:dyDescent="0.25">
      <c r="L276" s="7">
        <f t="shared" si="4"/>
        <v>0</v>
      </c>
    </row>
    <row r="277" spans="12:12" x14ac:dyDescent="0.25">
      <c r="L277" s="7">
        <f t="shared" si="4"/>
        <v>0</v>
      </c>
    </row>
    <row r="278" spans="12:12" x14ac:dyDescent="0.25">
      <c r="L278" s="7">
        <f t="shared" si="4"/>
        <v>0</v>
      </c>
    </row>
    <row r="279" spans="12:12" x14ac:dyDescent="0.25">
      <c r="L279" s="7">
        <f t="shared" si="4"/>
        <v>0</v>
      </c>
    </row>
    <row r="280" spans="12:12" x14ac:dyDescent="0.25">
      <c r="L280" s="7">
        <f t="shared" si="4"/>
        <v>0</v>
      </c>
    </row>
    <row r="281" spans="12:12" x14ac:dyDescent="0.25">
      <c r="L281" s="7">
        <f t="shared" si="4"/>
        <v>0</v>
      </c>
    </row>
    <row r="282" spans="12:12" x14ac:dyDescent="0.25">
      <c r="L282" s="7">
        <f t="shared" si="4"/>
        <v>0</v>
      </c>
    </row>
    <row r="283" spans="12:12" x14ac:dyDescent="0.25">
      <c r="L283" s="7">
        <f t="shared" si="4"/>
        <v>0</v>
      </c>
    </row>
    <row r="284" spans="12:12" x14ac:dyDescent="0.25">
      <c r="L284" s="7">
        <f t="shared" si="4"/>
        <v>0</v>
      </c>
    </row>
    <row r="285" spans="12:12" x14ac:dyDescent="0.25">
      <c r="L285" s="7">
        <f t="shared" si="4"/>
        <v>0</v>
      </c>
    </row>
    <row r="286" spans="12:12" x14ac:dyDescent="0.25">
      <c r="L286" s="7">
        <f t="shared" si="4"/>
        <v>0</v>
      </c>
    </row>
    <row r="287" spans="12:12" x14ac:dyDescent="0.25">
      <c r="L287" s="7">
        <f t="shared" si="4"/>
        <v>0</v>
      </c>
    </row>
    <row r="288" spans="12:12" x14ac:dyDescent="0.25">
      <c r="L288" s="7">
        <f t="shared" si="4"/>
        <v>0</v>
      </c>
    </row>
    <row r="289" spans="12:12" x14ac:dyDescent="0.25">
      <c r="L289" s="7">
        <f t="shared" si="4"/>
        <v>0</v>
      </c>
    </row>
    <row r="290" spans="12:12" x14ac:dyDescent="0.25">
      <c r="L290" s="7">
        <f t="shared" si="4"/>
        <v>0</v>
      </c>
    </row>
    <row r="291" spans="12:12" x14ac:dyDescent="0.25">
      <c r="L291" s="7">
        <f t="shared" si="4"/>
        <v>0</v>
      </c>
    </row>
    <row r="292" spans="12:12" x14ac:dyDescent="0.25">
      <c r="L292" s="7">
        <f t="shared" si="4"/>
        <v>0</v>
      </c>
    </row>
    <row r="293" spans="12:12" x14ac:dyDescent="0.25">
      <c r="L293" s="7">
        <f t="shared" si="4"/>
        <v>0</v>
      </c>
    </row>
    <row r="294" spans="12:12" x14ac:dyDescent="0.25">
      <c r="L294" s="7">
        <f t="shared" si="4"/>
        <v>0</v>
      </c>
    </row>
    <row r="295" spans="12:12" x14ac:dyDescent="0.25">
      <c r="L295" s="7">
        <f t="shared" si="4"/>
        <v>0</v>
      </c>
    </row>
    <row r="296" spans="12:12" x14ac:dyDescent="0.25">
      <c r="L296" s="7">
        <f t="shared" si="4"/>
        <v>0</v>
      </c>
    </row>
    <row r="297" spans="12:12" x14ac:dyDescent="0.25">
      <c r="L297" s="7">
        <f t="shared" si="4"/>
        <v>0</v>
      </c>
    </row>
    <row r="298" spans="12:12" x14ac:dyDescent="0.25">
      <c r="L298" s="7">
        <f t="shared" si="4"/>
        <v>0</v>
      </c>
    </row>
    <row r="299" spans="12:12" x14ac:dyDescent="0.25">
      <c r="L299" s="7">
        <f t="shared" si="4"/>
        <v>0</v>
      </c>
    </row>
    <row r="300" spans="12:12" x14ac:dyDescent="0.25">
      <c r="L300" s="7">
        <f t="shared" si="4"/>
        <v>0</v>
      </c>
    </row>
    <row r="301" spans="12:12" x14ac:dyDescent="0.25">
      <c r="L301" s="7">
        <f t="shared" si="4"/>
        <v>0</v>
      </c>
    </row>
    <row r="302" spans="12:12" x14ac:dyDescent="0.25">
      <c r="L302" s="7">
        <f t="shared" si="4"/>
        <v>0</v>
      </c>
    </row>
    <row r="303" spans="12:12" x14ac:dyDescent="0.25">
      <c r="L303" s="7">
        <f t="shared" si="4"/>
        <v>0</v>
      </c>
    </row>
    <row r="304" spans="12:12" x14ac:dyDescent="0.25">
      <c r="L304" s="7">
        <f t="shared" si="4"/>
        <v>0</v>
      </c>
    </row>
    <row r="305" spans="12:12" x14ac:dyDescent="0.25">
      <c r="L305" s="7">
        <f t="shared" si="4"/>
        <v>0</v>
      </c>
    </row>
    <row r="306" spans="12:12" x14ac:dyDescent="0.25">
      <c r="L306" s="7">
        <f t="shared" si="4"/>
        <v>0</v>
      </c>
    </row>
    <row r="307" spans="12:12" x14ac:dyDescent="0.25">
      <c r="L307" s="7">
        <f t="shared" si="4"/>
        <v>0</v>
      </c>
    </row>
    <row r="308" spans="12:12" x14ac:dyDescent="0.25">
      <c r="L308" s="7">
        <f t="shared" si="4"/>
        <v>0</v>
      </c>
    </row>
    <row r="309" spans="12:12" x14ac:dyDescent="0.25">
      <c r="L309" s="7">
        <f t="shared" si="4"/>
        <v>0</v>
      </c>
    </row>
    <row r="310" spans="12:12" x14ac:dyDescent="0.25">
      <c r="L310" s="7">
        <f t="shared" si="4"/>
        <v>0</v>
      </c>
    </row>
    <row r="311" spans="12:12" x14ac:dyDescent="0.25">
      <c r="L311" s="7">
        <f t="shared" si="4"/>
        <v>0</v>
      </c>
    </row>
    <row r="312" spans="12:12" x14ac:dyDescent="0.25">
      <c r="L312" s="7">
        <f t="shared" si="4"/>
        <v>0</v>
      </c>
    </row>
    <row r="313" spans="12:12" x14ac:dyDescent="0.25">
      <c r="L313" s="7">
        <f t="shared" si="4"/>
        <v>0</v>
      </c>
    </row>
    <row r="314" spans="12:12" x14ac:dyDescent="0.25">
      <c r="L314" s="7">
        <f t="shared" si="4"/>
        <v>0</v>
      </c>
    </row>
    <row r="315" spans="12:12" x14ac:dyDescent="0.25">
      <c r="L315" s="7">
        <f t="shared" si="4"/>
        <v>0</v>
      </c>
    </row>
    <row r="316" spans="12:12" x14ac:dyDescent="0.25">
      <c r="L316" s="7">
        <f t="shared" si="4"/>
        <v>0</v>
      </c>
    </row>
    <row r="317" spans="12:12" x14ac:dyDescent="0.25">
      <c r="L317" s="7">
        <f t="shared" si="4"/>
        <v>0</v>
      </c>
    </row>
    <row r="318" spans="12:12" x14ac:dyDescent="0.25">
      <c r="L318" s="7">
        <f t="shared" si="4"/>
        <v>0</v>
      </c>
    </row>
    <row r="319" spans="12:12" x14ac:dyDescent="0.25">
      <c r="L319" s="7">
        <f t="shared" si="4"/>
        <v>0</v>
      </c>
    </row>
    <row r="320" spans="12:12" x14ac:dyDescent="0.25">
      <c r="L320" s="7">
        <f t="shared" si="4"/>
        <v>0</v>
      </c>
    </row>
    <row r="321" spans="12:12" x14ac:dyDescent="0.25">
      <c r="L321" s="7">
        <f t="shared" si="4"/>
        <v>0</v>
      </c>
    </row>
    <row r="322" spans="12:12" x14ac:dyDescent="0.25">
      <c r="L322" s="7">
        <f t="shared" si="4"/>
        <v>0</v>
      </c>
    </row>
    <row r="323" spans="12:12" x14ac:dyDescent="0.25">
      <c r="L323" s="7">
        <f t="shared" si="4"/>
        <v>0</v>
      </c>
    </row>
    <row r="324" spans="12:12" x14ac:dyDescent="0.25">
      <c r="L324" s="7">
        <f t="shared" si="4"/>
        <v>0</v>
      </c>
    </row>
    <row r="325" spans="12:12" x14ac:dyDescent="0.25">
      <c r="L325" s="7">
        <f t="shared" si="4"/>
        <v>0</v>
      </c>
    </row>
    <row r="326" spans="12:12" x14ac:dyDescent="0.25">
      <c r="L326" s="7">
        <f t="shared" ref="L326:L389" si="5">J326-K326</f>
        <v>0</v>
      </c>
    </row>
    <row r="327" spans="12:12" x14ac:dyDescent="0.25">
      <c r="L327" s="7">
        <f t="shared" si="5"/>
        <v>0</v>
      </c>
    </row>
    <row r="328" spans="12:12" x14ac:dyDescent="0.25">
      <c r="L328" s="7">
        <f t="shared" si="5"/>
        <v>0</v>
      </c>
    </row>
    <row r="329" spans="12:12" x14ac:dyDescent="0.25">
      <c r="L329" s="7">
        <f t="shared" si="5"/>
        <v>0</v>
      </c>
    </row>
    <row r="330" spans="12:12" x14ac:dyDescent="0.25">
      <c r="L330" s="7">
        <f t="shared" si="5"/>
        <v>0</v>
      </c>
    </row>
    <row r="331" spans="12:12" x14ac:dyDescent="0.25">
      <c r="L331" s="7">
        <f t="shared" si="5"/>
        <v>0</v>
      </c>
    </row>
    <row r="332" spans="12:12" x14ac:dyDescent="0.25">
      <c r="L332" s="7">
        <f t="shared" si="5"/>
        <v>0</v>
      </c>
    </row>
    <row r="333" spans="12:12" x14ac:dyDescent="0.25">
      <c r="L333" s="7">
        <f t="shared" si="5"/>
        <v>0</v>
      </c>
    </row>
    <row r="334" spans="12:12" x14ac:dyDescent="0.25">
      <c r="L334" s="7">
        <f t="shared" si="5"/>
        <v>0</v>
      </c>
    </row>
    <row r="335" spans="12:12" x14ac:dyDescent="0.25">
      <c r="L335" s="7">
        <f t="shared" si="5"/>
        <v>0</v>
      </c>
    </row>
    <row r="336" spans="12:12" x14ac:dyDescent="0.25">
      <c r="L336" s="7">
        <f t="shared" si="5"/>
        <v>0</v>
      </c>
    </row>
    <row r="337" spans="12:12" x14ac:dyDescent="0.25">
      <c r="L337" s="7">
        <f t="shared" si="5"/>
        <v>0</v>
      </c>
    </row>
    <row r="338" spans="12:12" x14ac:dyDescent="0.25">
      <c r="L338" s="7">
        <f t="shared" si="5"/>
        <v>0</v>
      </c>
    </row>
    <row r="339" spans="12:12" x14ac:dyDescent="0.25">
      <c r="L339" s="7">
        <f t="shared" si="5"/>
        <v>0</v>
      </c>
    </row>
    <row r="340" spans="12:12" x14ac:dyDescent="0.25">
      <c r="L340" s="7">
        <f t="shared" si="5"/>
        <v>0</v>
      </c>
    </row>
    <row r="341" spans="12:12" x14ac:dyDescent="0.25">
      <c r="L341" s="7">
        <f t="shared" si="5"/>
        <v>0</v>
      </c>
    </row>
    <row r="342" spans="12:12" x14ac:dyDescent="0.25">
      <c r="L342" s="7">
        <f t="shared" si="5"/>
        <v>0</v>
      </c>
    </row>
    <row r="343" spans="12:12" x14ac:dyDescent="0.25">
      <c r="L343" s="7">
        <f t="shared" si="5"/>
        <v>0</v>
      </c>
    </row>
    <row r="344" spans="12:12" x14ac:dyDescent="0.25">
      <c r="L344" s="7">
        <f t="shared" si="5"/>
        <v>0</v>
      </c>
    </row>
    <row r="345" spans="12:12" x14ac:dyDescent="0.25">
      <c r="L345" s="7">
        <f t="shared" si="5"/>
        <v>0</v>
      </c>
    </row>
    <row r="346" spans="12:12" x14ac:dyDescent="0.25">
      <c r="L346" s="7">
        <f t="shared" si="5"/>
        <v>0</v>
      </c>
    </row>
    <row r="347" spans="12:12" x14ac:dyDescent="0.25">
      <c r="L347" s="7">
        <f t="shared" si="5"/>
        <v>0</v>
      </c>
    </row>
    <row r="348" spans="12:12" x14ac:dyDescent="0.25">
      <c r="L348" s="7">
        <f t="shared" si="5"/>
        <v>0</v>
      </c>
    </row>
    <row r="349" spans="12:12" x14ac:dyDescent="0.25">
      <c r="L349" s="7">
        <f t="shared" si="5"/>
        <v>0</v>
      </c>
    </row>
    <row r="350" spans="12:12" x14ac:dyDescent="0.25">
      <c r="L350" s="7">
        <f t="shared" si="5"/>
        <v>0</v>
      </c>
    </row>
    <row r="351" spans="12:12" x14ac:dyDescent="0.25">
      <c r="L351" s="7">
        <f t="shared" si="5"/>
        <v>0</v>
      </c>
    </row>
    <row r="352" spans="12:12" x14ac:dyDescent="0.25">
      <c r="L352" s="7">
        <f t="shared" si="5"/>
        <v>0</v>
      </c>
    </row>
    <row r="353" spans="12:12" x14ac:dyDescent="0.25">
      <c r="L353" s="7">
        <f t="shared" si="5"/>
        <v>0</v>
      </c>
    </row>
    <row r="354" spans="12:12" x14ac:dyDescent="0.25">
      <c r="L354" s="7">
        <f t="shared" si="5"/>
        <v>0</v>
      </c>
    </row>
    <row r="355" spans="12:12" x14ac:dyDescent="0.25">
      <c r="L355" s="7">
        <f t="shared" si="5"/>
        <v>0</v>
      </c>
    </row>
    <row r="356" spans="12:12" x14ac:dyDescent="0.25">
      <c r="L356" s="7">
        <f t="shared" si="5"/>
        <v>0</v>
      </c>
    </row>
    <row r="357" spans="12:12" x14ac:dyDescent="0.25">
      <c r="L357" s="7">
        <f t="shared" si="5"/>
        <v>0</v>
      </c>
    </row>
    <row r="358" spans="12:12" x14ac:dyDescent="0.25">
      <c r="L358" s="7">
        <f t="shared" si="5"/>
        <v>0</v>
      </c>
    </row>
    <row r="359" spans="12:12" x14ac:dyDescent="0.25">
      <c r="L359" s="7">
        <f t="shared" si="5"/>
        <v>0</v>
      </c>
    </row>
    <row r="360" spans="12:12" x14ac:dyDescent="0.25">
      <c r="L360" s="7">
        <f t="shared" si="5"/>
        <v>0</v>
      </c>
    </row>
    <row r="361" spans="12:12" x14ac:dyDescent="0.25">
      <c r="L361" s="7">
        <f t="shared" si="5"/>
        <v>0</v>
      </c>
    </row>
    <row r="362" spans="12:12" x14ac:dyDescent="0.25">
      <c r="L362" s="7">
        <f t="shared" si="5"/>
        <v>0</v>
      </c>
    </row>
    <row r="363" spans="12:12" x14ac:dyDescent="0.25">
      <c r="L363" s="7">
        <f t="shared" si="5"/>
        <v>0</v>
      </c>
    </row>
    <row r="364" spans="12:12" x14ac:dyDescent="0.25">
      <c r="L364" s="7">
        <f t="shared" si="5"/>
        <v>0</v>
      </c>
    </row>
    <row r="365" spans="12:12" x14ac:dyDescent="0.25">
      <c r="L365" s="7">
        <f t="shared" si="5"/>
        <v>0</v>
      </c>
    </row>
    <row r="366" spans="12:12" x14ac:dyDescent="0.25">
      <c r="L366" s="7">
        <f t="shared" si="5"/>
        <v>0</v>
      </c>
    </row>
    <row r="367" spans="12:12" x14ac:dyDescent="0.25">
      <c r="L367" s="7">
        <f t="shared" si="5"/>
        <v>0</v>
      </c>
    </row>
    <row r="368" spans="12:12" x14ac:dyDescent="0.25">
      <c r="L368" s="7">
        <f t="shared" si="5"/>
        <v>0</v>
      </c>
    </row>
    <row r="369" spans="12:12" x14ac:dyDescent="0.25">
      <c r="L369" s="7">
        <f t="shared" si="5"/>
        <v>0</v>
      </c>
    </row>
    <row r="370" spans="12:12" x14ac:dyDescent="0.25">
      <c r="L370" s="7">
        <f t="shared" si="5"/>
        <v>0</v>
      </c>
    </row>
    <row r="371" spans="12:12" x14ac:dyDescent="0.25">
      <c r="L371" s="7">
        <f t="shared" si="5"/>
        <v>0</v>
      </c>
    </row>
    <row r="372" spans="12:12" x14ac:dyDescent="0.25">
      <c r="L372" s="7">
        <f t="shared" si="5"/>
        <v>0</v>
      </c>
    </row>
    <row r="373" spans="12:12" x14ac:dyDescent="0.25">
      <c r="L373" s="7">
        <f t="shared" si="5"/>
        <v>0</v>
      </c>
    </row>
    <row r="374" spans="12:12" x14ac:dyDescent="0.25">
      <c r="L374" s="7">
        <f t="shared" si="5"/>
        <v>0</v>
      </c>
    </row>
    <row r="375" spans="12:12" x14ac:dyDescent="0.25">
      <c r="L375" s="7">
        <f t="shared" si="5"/>
        <v>0</v>
      </c>
    </row>
    <row r="376" spans="12:12" x14ac:dyDescent="0.25">
      <c r="L376" s="7">
        <f t="shared" si="5"/>
        <v>0</v>
      </c>
    </row>
    <row r="377" spans="12:12" x14ac:dyDescent="0.25">
      <c r="L377" s="7">
        <f t="shared" si="5"/>
        <v>0</v>
      </c>
    </row>
    <row r="378" spans="12:12" x14ac:dyDescent="0.25">
      <c r="L378" s="7">
        <f t="shared" si="5"/>
        <v>0</v>
      </c>
    </row>
    <row r="379" spans="12:12" x14ac:dyDescent="0.25">
      <c r="L379" s="7">
        <f t="shared" si="5"/>
        <v>0</v>
      </c>
    </row>
    <row r="380" spans="12:12" x14ac:dyDescent="0.25">
      <c r="L380" s="7">
        <f t="shared" si="5"/>
        <v>0</v>
      </c>
    </row>
    <row r="381" spans="12:12" x14ac:dyDescent="0.25">
      <c r="L381" s="7">
        <f t="shared" si="5"/>
        <v>0</v>
      </c>
    </row>
    <row r="382" spans="12:12" x14ac:dyDescent="0.25">
      <c r="L382" s="7">
        <f t="shared" si="5"/>
        <v>0</v>
      </c>
    </row>
    <row r="383" spans="12:12" x14ac:dyDescent="0.25">
      <c r="L383" s="7">
        <f t="shared" si="5"/>
        <v>0</v>
      </c>
    </row>
    <row r="384" spans="12:12" x14ac:dyDescent="0.25">
      <c r="L384" s="7">
        <f t="shared" si="5"/>
        <v>0</v>
      </c>
    </row>
    <row r="385" spans="12:12" x14ac:dyDescent="0.25">
      <c r="L385" s="7">
        <f t="shared" si="5"/>
        <v>0</v>
      </c>
    </row>
    <row r="386" spans="12:12" x14ac:dyDescent="0.25">
      <c r="L386" s="7">
        <f t="shared" si="5"/>
        <v>0</v>
      </c>
    </row>
    <row r="387" spans="12:12" x14ac:dyDescent="0.25">
      <c r="L387" s="7">
        <f t="shared" si="5"/>
        <v>0</v>
      </c>
    </row>
    <row r="388" spans="12:12" x14ac:dyDescent="0.25">
      <c r="L388" s="7">
        <f t="shared" si="5"/>
        <v>0</v>
      </c>
    </row>
    <row r="389" spans="12:12" x14ac:dyDescent="0.25">
      <c r="L389" s="7">
        <f t="shared" si="5"/>
        <v>0</v>
      </c>
    </row>
    <row r="390" spans="12:12" x14ac:dyDescent="0.25">
      <c r="L390" s="7">
        <f t="shared" ref="L390:L453" si="6">J390-K390</f>
        <v>0</v>
      </c>
    </row>
    <row r="391" spans="12:12" x14ac:dyDescent="0.25">
      <c r="L391" s="7">
        <f t="shared" si="6"/>
        <v>0</v>
      </c>
    </row>
    <row r="392" spans="12:12" x14ac:dyDescent="0.25">
      <c r="L392" s="7">
        <f t="shared" si="6"/>
        <v>0</v>
      </c>
    </row>
    <row r="393" spans="12:12" x14ac:dyDescent="0.25">
      <c r="L393" s="7">
        <f t="shared" si="6"/>
        <v>0</v>
      </c>
    </row>
    <row r="394" spans="12:12" x14ac:dyDescent="0.25">
      <c r="L394" s="7">
        <f t="shared" si="6"/>
        <v>0</v>
      </c>
    </row>
    <row r="395" spans="12:12" x14ac:dyDescent="0.25">
      <c r="L395" s="7">
        <f t="shared" si="6"/>
        <v>0</v>
      </c>
    </row>
    <row r="396" spans="12:12" x14ac:dyDescent="0.25">
      <c r="L396" s="7">
        <f t="shared" si="6"/>
        <v>0</v>
      </c>
    </row>
    <row r="397" spans="12:12" x14ac:dyDescent="0.25">
      <c r="L397" s="7">
        <f t="shared" si="6"/>
        <v>0</v>
      </c>
    </row>
    <row r="398" spans="12:12" x14ac:dyDescent="0.25">
      <c r="L398" s="7">
        <f t="shared" si="6"/>
        <v>0</v>
      </c>
    </row>
    <row r="399" spans="12:12" x14ac:dyDescent="0.25">
      <c r="L399" s="7">
        <f t="shared" si="6"/>
        <v>0</v>
      </c>
    </row>
    <row r="400" spans="12:12" x14ac:dyDescent="0.25">
      <c r="L400" s="7">
        <f t="shared" si="6"/>
        <v>0</v>
      </c>
    </row>
    <row r="401" spans="12:12" x14ac:dyDescent="0.25">
      <c r="L401" s="7">
        <f t="shared" si="6"/>
        <v>0</v>
      </c>
    </row>
    <row r="402" spans="12:12" x14ac:dyDescent="0.25">
      <c r="L402" s="7">
        <f t="shared" si="6"/>
        <v>0</v>
      </c>
    </row>
    <row r="403" spans="12:12" x14ac:dyDescent="0.25">
      <c r="L403" s="7">
        <f t="shared" si="6"/>
        <v>0</v>
      </c>
    </row>
    <row r="404" spans="12:12" x14ac:dyDescent="0.25">
      <c r="L404" s="7">
        <f t="shared" si="6"/>
        <v>0</v>
      </c>
    </row>
    <row r="405" spans="12:12" x14ac:dyDescent="0.25">
      <c r="L405" s="7">
        <f t="shared" si="6"/>
        <v>0</v>
      </c>
    </row>
    <row r="406" spans="12:12" x14ac:dyDescent="0.25">
      <c r="L406" s="7">
        <f t="shared" si="6"/>
        <v>0</v>
      </c>
    </row>
    <row r="407" spans="12:12" x14ac:dyDescent="0.25">
      <c r="L407" s="7">
        <f t="shared" si="6"/>
        <v>0</v>
      </c>
    </row>
    <row r="408" spans="12:12" x14ac:dyDescent="0.25">
      <c r="L408" s="7">
        <f t="shared" si="6"/>
        <v>0</v>
      </c>
    </row>
    <row r="409" spans="12:12" x14ac:dyDescent="0.25">
      <c r="L409" s="7">
        <f t="shared" si="6"/>
        <v>0</v>
      </c>
    </row>
    <row r="410" spans="12:12" x14ac:dyDescent="0.25">
      <c r="L410" s="7">
        <f t="shared" si="6"/>
        <v>0</v>
      </c>
    </row>
    <row r="411" spans="12:12" x14ac:dyDescent="0.25">
      <c r="L411" s="7">
        <f t="shared" si="6"/>
        <v>0</v>
      </c>
    </row>
    <row r="412" spans="12:12" x14ac:dyDescent="0.25">
      <c r="L412" s="7">
        <f t="shared" si="6"/>
        <v>0</v>
      </c>
    </row>
    <row r="413" spans="12:12" x14ac:dyDescent="0.25">
      <c r="L413" s="7">
        <f t="shared" si="6"/>
        <v>0</v>
      </c>
    </row>
    <row r="414" spans="12:12" x14ac:dyDescent="0.25">
      <c r="L414" s="7">
        <f t="shared" si="6"/>
        <v>0</v>
      </c>
    </row>
    <row r="415" spans="12:12" x14ac:dyDescent="0.25">
      <c r="L415" s="7">
        <f t="shared" si="6"/>
        <v>0</v>
      </c>
    </row>
    <row r="416" spans="12:12" x14ac:dyDescent="0.25">
      <c r="L416" s="7">
        <f t="shared" si="6"/>
        <v>0</v>
      </c>
    </row>
    <row r="417" spans="12:12" x14ac:dyDescent="0.25">
      <c r="L417" s="7">
        <f t="shared" si="6"/>
        <v>0</v>
      </c>
    </row>
    <row r="418" spans="12:12" x14ac:dyDescent="0.25">
      <c r="L418" s="7">
        <f t="shared" si="6"/>
        <v>0</v>
      </c>
    </row>
    <row r="419" spans="12:12" x14ac:dyDescent="0.25">
      <c r="L419" s="7">
        <f t="shared" si="6"/>
        <v>0</v>
      </c>
    </row>
    <row r="420" spans="12:12" x14ac:dyDescent="0.25">
      <c r="L420" s="7">
        <f t="shared" si="6"/>
        <v>0</v>
      </c>
    </row>
    <row r="421" spans="12:12" x14ac:dyDescent="0.25">
      <c r="L421" s="7">
        <f t="shared" si="6"/>
        <v>0</v>
      </c>
    </row>
    <row r="422" spans="12:12" x14ac:dyDescent="0.25">
      <c r="L422" s="7">
        <f t="shared" si="6"/>
        <v>0</v>
      </c>
    </row>
    <row r="423" spans="12:12" x14ac:dyDescent="0.25">
      <c r="L423" s="7">
        <f t="shared" si="6"/>
        <v>0</v>
      </c>
    </row>
    <row r="424" spans="12:12" x14ac:dyDescent="0.25">
      <c r="L424" s="7">
        <f t="shared" si="6"/>
        <v>0</v>
      </c>
    </row>
    <row r="425" spans="12:12" x14ac:dyDescent="0.25">
      <c r="L425" s="7">
        <f t="shared" si="6"/>
        <v>0</v>
      </c>
    </row>
    <row r="426" spans="12:12" x14ac:dyDescent="0.25">
      <c r="L426" s="7">
        <f t="shared" si="6"/>
        <v>0</v>
      </c>
    </row>
    <row r="427" spans="12:12" x14ac:dyDescent="0.25">
      <c r="L427" s="7">
        <f t="shared" si="6"/>
        <v>0</v>
      </c>
    </row>
    <row r="428" spans="12:12" x14ac:dyDescent="0.25">
      <c r="L428" s="7">
        <f t="shared" si="6"/>
        <v>0</v>
      </c>
    </row>
    <row r="429" spans="12:12" x14ac:dyDescent="0.25">
      <c r="L429" s="7">
        <f t="shared" si="6"/>
        <v>0</v>
      </c>
    </row>
    <row r="430" spans="12:12" x14ac:dyDescent="0.25">
      <c r="L430" s="7">
        <f t="shared" si="6"/>
        <v>0</v>
      </c>
    </row>
    <row r="431" spans="12:12" x14ac:dyDescent="0.25">
      <c r="L431" s="7">
        <f t="shared" si="6"/>
        <v>0</v>
      </c>
    </row>
    <row r="432" spans="12:12" x14ac:dyDescent="0.25">
      <c r="L432" s="7">
        <f t="shared" si="6"/>
        <v>0</v>
      </c>
    </row>
    <row r="433" spans="12:12" x14ac:dyDescent="0.25">
      <c r="L433" s="7">
        <f t="shared" si="6"/>
        <v>0</v>
      </c>
    </row>
    <row r="434" spans="12:12" x14ac:dyDescent="0.25">
      <c r="L434" s="7">
        <f t="shared" si="6"/>
        <v>0</v>
      </c>
    </row>
    <row r="435" spans="12:12" x14ac:dyDescent="0.25">
      <c r="L435" s="7">
        <f t="shared" si="6"/>
        <v>0</v>
      </c>
    </row>
    <row r="436" spans="12:12" x14ac:dyDescent="0.25">
      <c r="L436" s="7">
        <f t="shared" si="6"/>
        <v>0</v>
      </c>
    </row>
    <row r="437" spans="12:12" x14ac:dyDescent="0.25">
      <c r="L437" s="7">
        <f t="shared" si="6"/>
        <v>0</v>
      </c>
    </row>
    <row r="438" spans="12:12" x14ac:dyDescent="0.25">
      <c r="L438" s="7">
        <f t="shared" si="6"/>
        <v>0</v>
      </c>
    </row>
    <row r="439" spans="12:12" x14ac:dyDescent="0.25">
      <c r="L439" s="7">
        <f t="shared" si="6"/>
        <v>0</v>
      </c>
    </row>
    <row r="440" spans="12:12" x14ac:dyDescent="0.25">
      <c r="L440" s="7">
        <f t="shared" si="6"/>
        <v>0</v>
      </c>
    </row>
    <row r="441" spans="12:12" x14ac:dyDescent="0.25">
      <c r="L441" s="7">
        <f t="shared" si="6"/>
        <v>0</v>
      </c>
    </row>
    <row r="442" spans="12:12" x14ac:dyDescent="0.25">
      <c r="L442" s="7">
        <f t="shared" si="6"/>
        <v>0</v>
      </c>
    </row>
    <row r="443" spans="12:12" x14ac:dyDescent="0.25">
      <c r="L443" s="7">
        <f t="shared" si="6"/>
        <v>0</v>
      </c>
    </row>
    <row r="444" spans="12:12" x14ac:dyDescent="0.25">
      <c r="L444" s="7">
        <f t="shared" si="6"/>
        <v>0</v>
      </c>
    </row>
    <row r="445" spans="12:12" x14ac:dyDescent="0.25">
      <c r="L445" s="7">
        <f t="shared" si="6"/>
        <v>0</v>
      </c>
    </row>
    <row r="446" spans="12:12" x14ac:dyDescent="0.25">
      <c r="L446" s="7">
        <f t="shared" si="6"/>
        <v>0</v>
      </c>
    </row>
    <row r="447" spans="12:12" x14ac:dyDescent="0.25">
      <c r="L447" s="7">
        <f t="shared" si="6"/>
        <v>0</v>
      </c>
    </row>
    <row r="448" spans="12:12" x14ac:dyDescent="0.25">
      <c r="L448" s="7">
        <f t="shared" si="6"/>
        <v>0</v>
      </c>
    </row>
    <row r="449" spans="12:12" x14ac:dyDescent="0.25">
      <c r="L449" s="7">
        <f t="shared" si="6"/>
        <v>0</v>
      </c>
    </row>
    <row r="450" spans="12:12" x14ac:dyDescent="0.25">
      <c r="L450" s="7">
        <f t="shared" si="6"/>
        <v>0</v>
      </c>
    </row>
    <row r="451" spans="12:12" x14ac:dyDescent="0.25">
      <c r="L451" s="7">
        <f t="shared" si="6"/>
        <v>0</v>
      </c>
    </row>
    <row r="452" spans="12:12" x14ac:dyDescent="0.25">
      <c r="L452" s="7">
        <f t="shared" si="6"/>
        <v>0</v>
      </c>
    </row>
    <row r="453" spans="12:12" x14ac:dyDescent="0.25">
      <c r="L453" s="7">
        <f t="shared" si="6"/>
        <v>0</v>
      </c>
    </row>
    <row r="454" spans="12:12" x14ac:dyDescent="0.25">
      <c r="L454" s="7">
        <f t="shared" ref="L454:L517" si="7">J454-K454</f>
        <v>0</v>
      </c>
    </row>
    <row r="455" spans="12:12" x14ac:dyDescent="0.25">
      <c r="L455" s="7">
        <f t="shared" si="7"/>
        <v>0</v>
      </c>
    </row>
    <row r="456" spans="12:12" x14ac:dyDescent="0.25">
      <c r="L456" s="7">
        <f t="shared" si="7"/>
        <v>0</v>
      </c>
    </row>
    <row r="457" spans="12:12" x14ac:dyDescent="0.25">
      <c r="L457" s="7">
        <f t="shared" si="7"/>
        <v>0</v>
      </c>
    </row>
    <row r="458" spans="12:12" x14ac:dyDescent="0.25">
      <c r="L458" s="7">
        <f t="shared" si="7"/>
        <v>0</v>
      </c>
    </row>
    <row r="459" spans="12:12" x14ac:dyDescent="0.25">
      <c r="L459" s="7">
        <f t="shared" si="7"/>
        <v>0</v>
      </c>
    </row>
    <row r="460" spans="12:12" x14ac:dyDescent="0.25">
      <c r="L460" s="7">
        <f t="shared" si="7"/>
        <v>0</v>
      </c>
    </row>
    <row r="461" spans="12:12" x14ac:dyDescent="0.25">
      <c r="L461" s="7">
        <f t="shared" si="7"/>
        <v>0</v>
      </c>
    </row>
    <row r="462" spans="12:12" x14ac:dyDescent="0.25">
      <c r="L462" s="7">
        <f t="shared" si="7"/>
        <v>0</v>
      </c>
    </row>
    <row r="463" spans="12:12" x14ac:dyDescent="0.25">
      <c r="L463" s="7">
        <f t="shared" si="7"/>
        <v>0</v>
      </c>
    </row>
    <row r="464" spans="12:12" x14ac:dyDescent="0.25">
      <c r="L464" s="7">
        <f t="shared" si="7"/>
        <v>0</v>
      </c>
    </row>
    <row r="465" spans="12:12" x14ac:dyDescent="0.25">
      <c r="L465" s="7">
        <f t="shared" si="7"/>
        <v>0</v>
      </c>
    </row>
    <row r="466" spans="12:12" x14ac:dyDescent="0.25">
      <c r="L466" s="7">
        <f t="shared" si="7"/>
        <v>0</v>
      </c>
    </row>
    <row r="467" spans="12:12" x14ac:dyDescent="0.25">
      <c r="L467" s="7">
        <f t="shared" si="7"/>
        <v>0</v>
      </c>
    </row>
    <row r="468" spans="12:12" x14ac:dyDescent="0.25">
      <c r="L468" s="7">
        <f t="shared" si="7"/>
        <v>0</v>
      </c>
    </row>
    <row r="469" spans="12:12" x14ac:dyDescent="0.25">
      <c r="L469" s="7">
        <f t="shared" si="7"/>
        <v>0</v>
      </c>
    </row>
    <row r="470" spans="12:12" x14ac:dyDescent="0.25">
      <c r="L470" s="7">
        <f t="shared" si="7"/>
        <v>0</v>
      </c>
    </row>
    <row r="471" spans="12:12" x14ac:dyDescent="0.25">
      <c r="L471" s="7">
        <f t="shared" si="7"/>
        <v>0</v>
      </c>
    </row>
    <row r="472" spans="12:12" x14ac:dyDescent="0.25">
      <c r="L472" s="7">
        <f t="shared" si="7"/>
        <v>0</v>
      </c>
    </row>
    <row r="473" spans="12:12" x14ac:dyDescent="0.25">
      <c r="L473" s="7">
        <f t="shared" si="7"/>
        <v>0</v>
      </c>
    </row>
    <row r="474" spans="12:12" x14ac:dyDescent="0.25">
      <c r="L474" s="7">
        <f t="shared" si="7"/>
        <v>0</v>
      </c>
    </row>
    <row r="475" spans="12:12" x14ac:dyDescent="0.25">
      <c r="L475" s="7">
        <f t="shared" si="7"/>
        <v>0</v>
      </c>
    </row>
    <row r="476" spans="12:12" x14ac:dyDescent="0.25">
      <c r="L476" s="7">
        <f t="shared" si="7"/>
        <v>0</v>
      </c>
    </row>
    <row r="477" spans="12:12" x14ac:dyDescent="0.25">
      <c r="L477" s="7">
        <f t="shared" si="7"/>
        <v>0</v>
      </c>
    </row>
    <row r="478" spans="12:12" x14ac:dyDescent="0.25">
      <c r="L478" s="7">
        <f t="shared" si="7"/>
        <v>0</v>
      </c>
    </row>
    <row r="479" spans="12:12" x14ac:dyDescent="0.25">
      <c r="L479" s="7">
        <f t="shared" si="7"/>
        <v>0</v>
      </c>
    </row>
    <row r="480" spans="12:12" x14ac:dyDescent="0.25">
      <c r="L480" s="7">
        <f t="shared" si="7"/>
        <v>0</v>
      </c>
    </row>
    <row r="481" spans="12:12" x14ac:dyDescent="0.25">
      <c r="L481" s="7">
        <f t="shared" si="7"/>
        <v>0</v>
      </c>
    </row>
    <row r="482" spans="12:12" x14ac:dyDescent="0.25">
      <c r="L482" s="7">
        <f t="shared" si="7"/>
        <v>0</v>
      </c>
    </row>
    <row r="483" spans="12:12" x14ac:dyDescent="0.25">
      <c r="L483" s="7">
        <f t="shared" si="7"/>
        <v>0</v>
      </c>
    </row>
    <row r="484" spans="12:12" x14ac:dyDescent="0.25">
      <c r="L484" s="7">
        <f t="shared" si="7"/>
        <v>0</v>
      </c>
    </row>
    <row r="485" spans="12:12" x14ac:dyDescent="0.25">
      <c r="L485" s="7">
        <f t="shared" si="7"/>
        <v>0</v>
      </c>
    </row>
    <row r="486" spans="12:12" x14ac:dyDescent="0.25">
      <c r="L486" s="7">
        <f t="shared" si="7"/>
        <v>0</v>
      </c>
    </row>
    <row r="487" spans="12:12" x14ac:dyDescent="0.25">
      <c r="L487" s="7">
        <f t="shared" si="7"/>
        <v>0</v>
      </c>
    </row>
    <row r="488" spans="12:12" x14ac:dyDescent="0.25">
      <c r="L488" s="7">
        <f t="shared" si="7"/>
        <v>0</v>
      </c>
    </row>
    <row r="489" spans="12:12" x14ac:dyDescent="0.25">
      <c r="L489" s="7">
        <f t="shared" si="7"/>
        <v>0</v>
      </c>
    </row>
    <row r="490" spans="12:12" x14ac:dyDescent="0.25">
      <c r="L490" s="7">
        <f t="shared" si="7"/>
        <v>0</v>
      </c>
    </row>
    <row r="491" spans="12:12" x14ac:dyDescent="0.25">
      <c r="L491" s="7">
        <f t="shared" si="7"/>
        <v>0</v>
      </c>
    </row>
    <row r="492" spans="12:12" x14ac:dyDescent="0.25">
      <c r="L492" s="7">
        <f t="shared" si="7"/>
        <v>0</v>
      </c>
    </row>
    <row r="493" spans="12:12" x14ac:dyDescent="0.25">
      <c r="L493" s="7">
        <f t="shared" si="7"/>
        <v>0</v>
      </c>
    </row>
    <row r="494" spans="12:12" x14ac:dyDescent="0.25">
      <c r="L494" s="7">
        <f t="shared" si="7"/>
        <v>0</v>
      </c>
    </row>
    <row r="495" spans="12:12" x14ac:dyDescent="0.25">
      <c r="L495" s="7">
        <f t="shared" si="7"/>
        <v>0</v>
      </c>
    </row>
    <row r="496" spans="12:12" x14ac:dyDescent="0.25">
      <c r="L496" s="7">
        <f t="shared" si="7"/>
        <v>0</v>
      </c>
    </row>
    <row r="497" spans="12:12" x14ac:dyDescent="0.25">
      <c r="L497" s="7">
        <f t="shared" si="7"/>
        <v>0</v>
      </c>
    </row>
    <row r="498" spans="12:12" x14ac:dyDescent="0.25">
      <c r="L498" s="7">
        <f t="shared" si="7"/>
        <v>0</v>
      </c>
    </row>
    <row r="499" spans="12:12" x14ac:dyDescent="0.25">
      <c r="L499" s="7">
        <f t="shared" si="7"/>
        <v>0</v>
      </c>
    </row>
    <row r="500" spans="12:12" x14ac:dyDescent="0.25">
      <c r="L500" s="7">
        <f t="shared" si="7"/>
        <v>0</v>
      </c>
    </row>
    <row r="501" spans="12:12" x14ac:dyDescent="0.25">
      <c r="L501" s="7">
        <f t="shared" si="7"/>
        <v>0</v>
      </c>
    </row>
    <row r="502" spans="12:12" x14ac:dyDescent="0.25">
      <c r="L502" s="7">
        <f t="shared" si="7"/>
        <v>0</v>
      </c>
    </row>
    <row r="503" spans="12:12" x14ac:dyDescent="0.25">
      <c r="L503" s="7">
        <f t="shared" si="7"/>
        <v>0</v>
      </c>
    </row>
    <row r="504" spans="12:12" x14ac:dyDescent="0.25">
      <c r="L504" s="7">
        <f t="shared" si="7"/>
        <v>0</v>
      </c>
    </row>
    <row r="505" spans="12:12" x14ac:dyDescent="0.25">
      <c r="L505" s="7">
        <f t="shared" si="7"/>
        <v>0</v>
      </c>
    </row>
    <row r="506" spans="12:12" x14ac:dyDescent="0.25">
      <c r="L506" s="7">
        <f t="shared" si="7"/>
        <v>0</v>
      </c>
    </row>
    <row r="507" spans="12:12" x14ac:dyDescent="0.25">
      <c r="L507" s="7">
        <f t="shared" si="7"/>
        <v>0</v>
      </c>
    </row>
    <row r="508" spans="12:12" x14ac:dyDescent="0.25">
      <c r="L508" s="7">
        <f t="shared" si="7"/>
        <v>0</v>
      </c>
    </row>
    <row r="509" spans="12:12" x14ac:dyDescent="0.25">
      <c r="L509" s="7">
        <f t="shared" si="7"/>
        <v>0</v>
      </c>
    </row>
    <row r="510" spans="12:12" x14ac:dyDescent="0.25">
      <c r="L510" s="7">
        <f t="shared" si="7"/>
        <v>0</v>
      </c>
    </row>
    <row r="511" spans="12:12" x14ac:dyDescent="0.25">
      <c r="L511" s="7">
        <f t="shared" si="7"/>
        <v>0</v>
      </c>
    </row>
    <row r="512" spans="12:12" x14ac:dyDescent="0.25">
      <c r="L512" s="7">
        <f t="shared" si="7"/>
        <v>0</v>
      </c>
    </row>
    <row r="513" spans="12:12" x14ac:dyDescent="0.25">
      <c r="L513" s="7">
        <f t="shared" si="7"/>
        <v>0</v>
      </c>
    </row>
    <row r="514" spans="12:12" x14ac:dyDescent="0.25">
      <c r="L514" s="7">
        <f t="shared" si="7"/>
        <v>0</v>
      </c>
    </row>
    <row r="515" spans="12:12" x14ac:dyDescent="0.25">
      <c r="L515" s="7">
        <f t="shared" si="7"/>
        <v>0</v>
      </c>
    </row>
    <row r="516" spans="12:12" x14ac:dyDescent="0.25">
      <c r="L516" s="7">
        <f t="shared" si="7"/>
        <v>0</v>
      </c>
    </row>
    <row r="517" spans="12:12" x14ac:dyDescent="0.25">
      <c r="L517" s="7">
        <f t="shared" si="7"/>
        <v>0</v>
      </c>
    </row>
    <row r="518" spans="12:12" x14ac:dyDescent="0.25">
      <c r="L518" s="7">
        <f t="shared" ref="L518:L581" si="8">J518-K518</f>
        <v>0</v>
      </c>
    </row>
    <row r="519" spans="12:12" x14ac:dyDescent="0.25">
      <c r="L519" s="7">
        <f t="shared" si="8"/>
        <v>0</v>
      </c>
    </row>
    <row r="520" spans="12:12" x14ac:dyDescent="0.25">
      <c r="L520" s="7">
        <f t="shared" si="8"/>
        <v>0</v>
      </c>
    </row>
    <row r="521" spans="12:12" x14ac:dyDescent="0.25">
      <c r="L521" s="7">
        <f t="shared" si="8"/>
        <v>0</v>
      </c>
    </row>
    <row r="522" spans="12:12" x14ac:dyDescent="0.25">
      <c r="L522" s="7">
        <f t="shared" si="8"/>
        <v>0</v>
      </c>
    </row>
    <row r="523" spans="12:12" x14ac:dyDescent="0.25">
      <c r="L523" s="7">
        <f t="shared" si="8"/>
        <v>0</v>
      </c>
    </row>
    <row r="524" spans="12:12" x14ac:dyDescent="0.25">
      <c r="L524" s="7">
        <f t="shared" si="8"/>
        <v>0</v>
      </c>
    </row>
    <row r="525" spans="12:12" x14ac:dyDescent="0.25">
      <c r="L525" s="7">
        <f t="shared" si="8"/>
        <v>0</v>
      </c>
    </row>
    <row r="526" spans="12:12" x14ac:dyDescent="0.25">
      <c r="L526" s="7">
        <f t="shared" si="8"/>
        <v>0</v>
      </c>
    </row>
    <row r="527" spans="12:12" x14ac:dyDescent="0.25">
      <c r="L527" s="7">
        <f t="shared" si="8"/>
        <v>0</v>
      </c>
    </row>
    <row r="528" spans="12:12" x14ac:dyDescent="0.25">
      <c r="L528" s="7">
        <f t="shared" si="8"/>
        <v>0</v>
      </c>
    </row>
    <row r="529" spans="12:12" x14ac:dyDescent="0.25">
      <c r="L529" s="7">
        <f t="shared" si="8"/>
        <v>0</v>
      </c>
    </row>
    <row r="530" spans="12:12" x14ac:dyDescent="0.25">
      <c r="L530" s="7">
        <f t="shared" si="8"/>
        <v>0</v>
      </c>
    </row>
    <row r="531" spans="12:12" x14ac:dyDescent="0.25">
      <c r="L531" s="7">
        <f t="shared" si="8"/>
        <v>0</v>
      </c>
    </row>
    <row r="532" spans="12:12" x14ac:dyDescent="0.25">
      <c r="L532" s="7">
        <f t="shared" si="8"/>
        <v>0</v>
      </c>
    </row>
    <row r="533" spans="12:12" x14ac:dyDescent="0.25">
      <c r="L533" s="7">
        <f t="shared" si="8"/>
        <v>0</v>
      </c>
    </row>
    <row r="534" spans="12:12" x14ac:dyDescent="0.25">
      <c r="L534" s="7">
        <f t="shared" si="8"/>
        <v>0</v>
      </c>
    </row>
    <row r="535" spans="12:12" x14ac:dyDescent="0.25">
      <c r="L535" s="7">
        <f t="shared" si="8"/>
        <v>0</v>
      </c>
    </row>
    <row r="536" spans="12:12" x14ac:dyDescent="0.25">
      <c r="L536" s="7">
        <f t="shared" si="8"/>
        <v>0</v>
      </c>
    </row>
    <row r="537" spans="12:12" x14ac:dyDescent="0.25">
      <c r="L537" s="7">
        <f t="shared" si="8"/>
        <v>0</v>
      </c>
    </row>
    <row r="538" spans="12:12" x14ac:dyDescent="0.25">
      <c r="L538" s="7">
        <f t="shared" si="8"/>
        <v>0</v>
      </c>
    </row>
    <row r="539" spans="12:12" x14ac:dyDescent="0.25">
      <c r="L539" s="7">
        <f t="shared" si="8"/>
        <v>0</v>
      </c>
    </row>
    <row r="540" spans="12:12" x14ac:dyDescent="0.25">
      <c r="L540" s="7">
        <f t="shared" si="8"/>
        <v>0</v>
      </c>
    </row>
    <row r="541" spans="12:12" x14ac:dyDescent="0.25">
      <c r="L541" s="7">
        <f t="shared" si="8"/>
        <v>0</v>
      </c>
    </row>
    <row r="542" spans="12:12" x14ac:dyDescent="0.25">
      <c r="L542" s="7">
        <f t="shared" si="8"/>
        <v>0</v>
      </c>
    </row>
    <row r="543" spans="12:12" x14ac:dyDescent="0.25">
      <c r="L543" s="7">
        <f t="shared" si="8"/>
        <v>0</v>
      </c>
    </row>
    <row r="544" spans="12:12" x14ac:dyDescent="0.25">
      <c r="L544" s="7">
        <f t="shared" si="8"/>
        <v>0</v>
      </c>
    </row>
    <row r="545" spans="12:12" x14ac:dyDescent="0.25">
      <c r="L545" s="7">
        <f t="shared" si="8"/>
        <v>0</v>
      </c>
    </row>
    <row r="546" spans="12:12" x14ac:dyDescent="0.25">
      <c r="L546" s="7">
        <f t="shared" si="8"/>
        <v>0</v>
      </c>
    </row>
    <row r="547" spans="12:12" x14ac:dyDescent="0.25">
      <c r="L547" s="7">
        <f t="shared" si="8"/>
        <v>0</v>
      </c>
    </row>
    <row r="548" spans="12:12" x14ac:dyDescent="0.25">
      <c r="L548" s="7">
        <f t="shared" si="8"/>
        <v>0</v>
      </c>
    </row>
    <row r="549" spans="12:12" x14ac:dyDescent="0.25">
      <c r="L549" s="7">
        <f t="shared" si="8"/>
        <v>0</v>
      </c>
    </row>
    <row r="550" spans="12:12" x14ac:dyDescent="0.25">
      <c r="L550" s="7">
        <f t="shared" si="8"/>
        <v>0</v>
      </c>
    </row>
    <row r="551" spans="12:12" x14ac:dyDescent="0.25">
      <c r="L551" s="7">
        <f t="shared" si="8"/>
        <v>0</v>
      </c>
    </row>
    <row r="552" spans="12:12" x14ac:dyDescent="0.25">
      <c r="L552" s="7">
        <f t="shared" si="8"/>
        <v>0</v>
      </c>
    </row>
    <row r="553" spans="12:12" x14ac:dyDescent="0.25">
      <c r="L553" s="7">
        <f t="shared" si="8"/>
        <v>0</v>
      </c>
    </row>
    <row r="554" spans="12:12" x14ac:dyDescent="0.25">
      <c r="L554" s="7">
        <f t="shared" si="8"/>
        <v>0</v>
      </c>
    </row>
    <row r="555" spans="12:12" x14ac:dyDescent="0.25">
      <c r="L555" s="7">
        <f t="shared" si="8"/>
        <v>0</v>
      </c>
    </row>
    <row r="556" spans="12:12" x14ac:dyDescent="0.25">
      <c r="L556" s="7">
        <f t="shared" si="8"/>
        <v>0</v>
      </c>
    </row>
    <row r="557" spans="12:12" x14ac:dyDescent="0.25">
      <c r="L557" s="7">
        <f t="shared" si="8"/>
        <v>0</v>
      </c>
    </row>
    <row r="558" spans="12:12" x14ac:dyDescent="0.25">
      <c r="L558" s="7">
        <f t="shared" si="8"/>
        <v>0</v>
      </c>
    </row>
    <row r="559" spans="12:12" x14ac:dyDescent="0.25">
      <c r="L559" s="7">
        <f t="shared" si="8"/>
        <v>0</v>
      </c>
    </row>
    <row r="560" spans="12:12" x14ac:dyDescent="0.25">
      <c r="L560" s="7">
        <f t="shared" si="8"/>
        <v>0</v>
      </c>
    </row>
    <row r="561" spans="12:12" x14ac:dyDescent="0.25">
      <c r="L561" s="7">
        <f t="shared" si="8"/>
        <v>0</v>
      </c>
    </row>
    <row r="562" spans="12:12" x14ac:dyDescent="0.25">
      <c r="L562" s="7">
        <f t="shared" si="8"/>
        <v>0</v>
      </c>
    </row>
    <row r="563" spans="12:12" x14ac:dyDescent="0.25">
      <c r="L563" s="7">
        <f t="shared" si="8"/>
        <v>0</v>
      </c>
    </row>
    <row r="564" spans="12:12" x14ac:dyDescent="0.25">
      <c r="L564" s="7">
        <f t="shared" si="8"/>
        <v>0</v>
      </c>
    </row>
    <row r="565" spans="12:12" x14ac:dyDescent="0.25">
      <c r="L565" s="7">
        <f t="shared" si="8"/>
        <v>0</v>
      </c>
    </row>
    <row r="566" spans="12:12" x14ac:dyDescent="0.25">
      <c r="L566" s="7">
        <f t="shared" si="8"/>
        <v>0</v>
      </c>
    </row>
    <row r="567" spans="12:12" x14ac:dyDescent="0.25">
      <c r="L567" s="7">
        <f t="shared" si="8"/>
        <v>0</v>
      </c>
    </row>
    <row r="568" spans="12:12" x14ac:dyDescent="0.25">
      <c r="L568" s="7">
        <f t="shared" si="8"/>
        <v>0</v>
      </c>
    </row>
    <row r="569" spans="12:12" x14ac:dyDescent="0.25">
      <c r="L569" s="7">
        <f t="shared" si="8"/>
        <v>0</v>
      </c>
    </row>
    <row r="570" spans="12:12" x14ac:dyDescent="0.25">
      <c r="L570" s="7">
        <f t="shared" si="8"/>
        <v>0</v>
      </c>
    </row>
    <row r="571" spans="12:12" x14ac:dyDescent="0.25">
      <c r="L571" s="7">
        <f t="shared" si="8"/>
        <v>0</v>
      </c>
    </row>
    <row r="572" spans="12:12" x14ac:dyDescent="0.25">
      <c r="L572" s="7">
        <f t="shared" si="8"/>
        <v>0</v>
      </c>
    </row>
    <row r="573" spans="12:12" x14ac:dyDescent="0.25">
      <c r="L573" s="7">
        <f t="shared" si="8"/>
        <v>0</v>
      </c>
    </row>
    <row r="574" spans="12:12" x14ac:dyDescent="0.25">
      <c r="L574" s="7">
        <f t="shared" si="8"/>
        <v>0</v>
      </c>
    </row>
    <row r="575" spans="12:12" x14ac:dyDescent="0.25">
      <c r="L575" s="7">
        <f t="shared" si="8"/>
        <v>0</v>
      </c>
    </row>
    <row r="576" spans="12:12" x14ac:dyDescent="0.25">
      <c r="L576" s="7">
        <f t="shared" si="8"/>
        <v>0</v>
      </c>
    </row>
    <row r="577" spans="12:12" x14ac:dyDescent="0.25">
      <c r="L577" s="7">
        <f t="shared" si="8"/>
        <v>0</v>
      </c>
    </row>
    <row r="578" spans="12:12" x14ac:dyDescent="0.25">
      <c r="L578" s="7">
        <f t="shared" si="8"/>
        <v>0</v>
      </c>
    </row>
    <row r="579" spans="12:12" x14ac:dyDescent="0.25">
      <c r="L579" s="7">
        <f t="shared" si="8"/>
        <v>0</v>
      </c>
    </row>
    <row r="580" spans="12:12" x14ac:dyDescent="0.25">
      <c r="L580" s="7">
        <f t="shared" si="8"/>
        <v>0</v>
      </c>
    </row>
    <row r="581" spans="12:12" x14ac:dyDescent="0.25">
      <c r="L581" s="7">
        <f t="shared" si="8"/>
        <v>0</v>
      </c>
    </row>
    <row r="582" spans="12:12" x14ac:dyDescent="0.25">
      <c r="L582" s="7">
        <f t="shared" ref="L582:L645" si="9">J582-K582</f>
        <v>0</v>
      </c>
    </row>
    <row r="583" spans="12:12" x14ac:dyDescent="0.25">
      <c r="L583" s="7">
        <f t="shared" si="9"/>
        <v>0</v>
      </c>
    </row>
    <row r="584" spans="12:12" x14ac:dyDescent="0.25">
      <c r="L584" s="7">
        <f t="shared" si="9"/>
        <v>0</v>
      </c>
    </row>
    <row r="585" spans="12:12" x14ac:dyDescent="0.25">
      <c r="L585" s="7">
        <f t="shared" si="9"/>
        <v>0</v>
      </c>
    </row>
    <row r="586" spans="12:12" x14ac:dyDescent="0.25">
      <c r="L586" s="7">
        <f t="shared" si="9"/>
        <v>0</v>
      </c>
    </row>
    <row r="587" spans="12:12" x14ac:dyDescent="0.25">
      <c r="L587" s="7">
        <f t="shared" si="9"/>
        <v>0</v>
      </c>
    </row>
    <row r="588" spans="12:12" x14ac:dyDescent="0.25">
      <c r="L588" s="7">
        <f t="shared" si="9"/>
        <v>0</v>
      </c>
    </row>
    <row r="589" spans="12:12" x14ac:dyDescent="0.25">
      <c r="L589" s="7">
        <f t="shared" si="9"/>
        <v>0</v>
      </c>
    </row>
    <row r="590" spans="12:12" x14ac:dyDescent="0.25">
      <c r="L590" s="7">
        <f t="shared" si="9"/>
        <v>0</v>
      </c>
    </row>
    <row r="591" spans="12:12" x14ac:dyDescent="0.25">
      <c r="L591" s="7">
        <f t="shared" si="9"/>
        <v>0</v>
      </c>
    </row>
    <row r="592" spans="12:12" x14ac:dyDescent="0.25">
      <c r="L592" s="7">
        <f t="shared" si="9"/>
        <v>0</v>
      </c>
    </row>
    <row r="593" spans="12:12" x14ac:dyDescent="0.25">
      <c r="L593" s="7">
        <f t="shared" si="9"/>
        <v>0</v>
      </c>
    </row>
    <row r="594" spans="12:12" x14ac:dyDescent="0.25">
      <c r="L594" s="7">
        <f t="shared" si="9"/>
        <v>0</v>
      </c>
    </row>
    <row r="595" spans="12:12" x14ac:dyDescent="0.25">
      <c r="L595" s="7">
        <f t="shared" si="9"/>
        <v>0</v>
      </c>
    </row>
    <row r="596" spans="12:12" x14ac:dyDescent="0.25">
      <c r="L596" s="7">
        <f t="shared" si="9"/>
        <v>0</v>
      </c>
    </row>
    <row r="597" spans="12:12" x14ac:dyDescent="0.25">
      <c r="L597" s="7">
        <f t="shared" si="9"/>
        <v>0</v>
      </c>
    </row>
    <row r="598" spans="12:12" x14ac:dyDescent="0.25">
      <c r="L598" s="7">
        <f t="shared" si="9"/>
        <v>0</v>
      </c>
    </row>
    <row r="599" spans="12:12" x14ac:dyDescent="0.25">
      <c r="L599" s="7">
        <f t="shared" si="9"/>
        <v>0</v>
      </c>
    </row>
    <row r="600" spans="12:12" x14ac:dyDescent="0.25">
      <c r="L600" s="7">
        <f t="shared" si="9"/>
        <v>0</v>
      </c>
    </row>
    <row r="601" spans="12:12" x14ac:dyDescent="0.25">
      <c r="L601" s="7">
        <f t="shared" si="9"/>
        <v>0</v>
      </c>
    </row>
    <row r="602" spans="12:12" x14ac:dyDescent="0.25">
      <c r="L602" s="7">
        <f t="shared" si="9"/>
        <v>0</v>
      </c>
    </row>
    <row r="603" spans="12:12" x14ac:dyDescent="0.25">
      <c r="L603" s="7">
        <f t="shared" si="9"/>
        <v>0</v>
      </c>
    </row>
    <row r="604" spans="12:12" x14ac:dyDescent="0.25">
      <c r="L604" s="7">
        <f t="shared" si="9"/>
        <v>0</v>
      </c>
    </row>
    <row r="605" spans="12:12" x14ac:dyDescent="0.25">
      <c r="L605" s="7">
        <f t="shared" si="9"/>
        <v>0</v>
      </c>
    </row>
    <row r="606" spans="12:12" x14ac:dyDescent="0.25">
      <c r="L606" s="7">
        <f t="shared" si="9"/>
        <v>0</v>
      </c>
    </row>
    <row r="607" spans="12:12" x14ac:dyDescent="0.25">
      <c r="L607" s="7">
        <f t="shared" si="9"/>
        <v>0</v>
      </c>
    </row>
    <row r="608" spans="12:12" x14ac:dyDescent="0.25">
      <c r="L608" s="7">
        <f t="shared" si="9"/>
        <v>0</v>
      </c>
    </row>
    <row r="609" spans="12:12" x14ac:dyDescent="0.25">
      <c r="L609" s="7">
        <f t="shared" si="9"/>
        <v>0</v>
      </c>
    </row>
    <row r="610" spans="12:12" x14ac:dyDescent="0.25">
      <c r="L610" s="7">
        <f t="shared" si="9"/>
        <v>0</v>
      </c>
    </row>
    <row r="611" spans="12:12" x14ac:dyDescent="0.25">
      <c r="L611" s="7">
        <f t="shared" si="9"/>
        <v>0</v>
      </c>
    </row>
    <row r="612" spans="12:12" x14ac:dyDescent="0.25">
      <c r="L612" s="7">
        <f t="shared" si="9"/>
        <v>0</v>
      </c>
    </row>
    <row r="613" spans="12:12" x14ac:dyDescent="0.25">
      <c r="L613" s="7">
        <f t="shared" si="9"/>
        <v>0</v>
      </c>
    </row>
    <row r="614" spans="12:12" x14ac:dyDescent="0.25">
      <c r="L614" s="7">
        <f t="shared" si="9"/>
        <v>0</v>
      </c>
    </row>
    <row r="615" spans="12:12" x14ac:dyDescent="0.25">
      <c r="L615" s="7">
        <f t="shared" si="9"/>
        <v>0</v>
      </c>
    </row>
    <row r="616" spans="12:12" x14ac:dyDescent="0.25">
      <c r="L616" s="7">
        <f t="shared" si="9"/>
        <v>0</v>
      </c>
    </row>
    <row r="617" spans="12:12" x14ac:dyDescent="0.25">
      <c r="L617" s="7">
        <f t="shared" si="9"/>
        <v>0</v>
      </c>
    </row>
    <row r="618" spans="12:12" x14ac:dyDescent="0.25">
      <c r="L618" s="7">
        <f t="shared" si="9"/>
        <v>0</v>
      </c>
    </row>
    <row r="619" spans="12:12" x14ac:dyDescent="0.25">
      <c r="L619" s="7">
        <f t="shared" si="9"/>
        <v>0</v>
      </c>
    </row>
    <row r="620" spans="12:12" x14ac:dyDescent="0.25">
      <c r="L620" s="7">
        <f t="shared" si="9"/>
        <v>0</v>
      </c>
    </row>
    <row r="621" spans="12:12" x14ac:dyDescent="0.25">
      <c r="L621" s="7">
        <f t="shared" si="9"/>
        <v>0</v>
      </c>
    </row>
    <row r="622" spans="12:12" x14ac:dyDescent="0.25">
      <c r="L622" s="7">
        <f t="shared" si="9"/>
        <v>0</v>
      </c>
    </row>
    <row r="623" spans="12:12" x14ac:dyDescent="0.25">
      <c r="L623" s="7">
        <f t="shared" si="9"/>
        <v>0</v>
      </c>
    </row>
    <row r="624" spans="12:12" x14ac:dyDescent="0.25">
      <c r="L624" s="7">
        <f t="shared" si="9"/>
        <v>0</v>
      </c>
    </row>
    <row r="625" spans="12:12" x14ac:dyDescent="0.25">
      <c r="L625" s="7">
        <f t="shared" si="9"/>
        <v>0</v>
      </c>
    </row>
    <row r="626" spans="12:12" x14ac:dyDescent="0.25">
      <c r="L626" s="7">
        <f t="shared" si="9"/>
        <v>0</v>
      </c>
    </row>
    <row r="627" spans="12:12" x14ac:dyDescent="0.25">
      <c r="L627" s="7">
        <f t="shared" si="9"/>
        <v>0</v>
      </c>
    </row>
    <row r="628" spans="12:12" x14ac:dyDescent="0.25">
      <c r="L628" s="7">
        <f t="shared" si="9"/>
        <v>0</v>
      </c>
    </row>
    <row r="629" spans="12:12" x14ac:dyDescent="0.25">
      <c r="L629" s="7">
        <f t="shared" si="9"/>
        <v>0</v>
      </c>
    </row>
    <row r="630" spans="12:12" x14ac:dyDescent="0.25">
      <c r="L630" s="7">
        <f t="shared" si="9"/>
        <v>0</v>
      </c>
    </row>
    <row r="631" spans="12:12" x14ac:dyDescent="0.25">
      <c r="L631" s="7">
        <f t="shared" si="9"/>
        <v>0</v>
      </c>
    </row>
    <row r="632" spans="12:12" x14ac:dyDescent="0.25">
      <c r="L632" s="7">
        <f t="shared" si="9"/>
        <v>0</v>
      </c>
    </row>
    <row r="633" spans="12:12" x14ac:dyDescent="0.25">
      <c r="L633" s="7">
        <f t="shared" si="9"/>
        <v>0</v>
      </c>
    </row>
    <row r="634" spans="12:12" x14ac:dyDescent="0.25">
      <c r="L634" s="7">
        <f t="shared" si="9"/>
        <v>0</v>
      </c>
    </row>
    <row r="635" spans="12:12" x14ac:dyDescent="0.25">
      <c r="L635" s="7">
        <f t="shared" si="9"/>
        <v>0</v>
      </c>
    </row>
    <row r="636" spans="12:12" x14ac:dyDescent="0.25">
      <c r="L636" s="7">
        <f t="shared" si="9"/>
        <v>0</v>
      </c>
    </row>
    <row r="637" spans="12:12" x14ac:dyDescent="0.25">
      <c r="L637" s="7">
        <f t="shared" si="9"/>
        <v>0</v>
      </c>
    </row>
    <row r="638" spans="12:12" x14ac:dyDescent="0.25">
      <c r="L638" s="7">
        <f t="shared" si="9"/>
        <v>0</v>
      </c>
    </row>
    <row r="639" spans="12:12" x14ac:dyDescent="0.25">
      <c r="L639" s="7">
        <f t="shared" si="9"/>
        <v>0</v>
      </c>
    </row>
    <row r="640" spans="12:12" x14ac:dyDescent="0.25">
      <c r="L640" s="7">
        <f t="shared" si="9"/>
        <v>0</v>
      </c>
    </row>
    <row r="641" spans="12:12" x14ac:dyDescent="0.25">
      <c r="L641" s="7">
        <f t="shared" si="9"/>
        <v>0</v>
      </c>
    </row>
    <row r="642" spans="12:12" x14ac:dyDescent="0.25">
      <c r="L642" s="7">
        <f t="shared" si="9"/>
        <v>0</v>
      </c>
    </row>
    <row r="643" spans="12:12" x14ac:dyDescent="0.25">
      <c r="L643" s="7">
        <f t="shared" si="9"/>
        <v>0</v>
      </c>
    </row>
    <row r="644" spans="12:12" x14ac:dyDescent="0.25">
      <c r="L644" s="7">
        <f t="shared" si="9"/>
        <v>0</v>
      </c>
    </row>
    <row r="645" spans="12:12" x14ac:dyDescent="0.25">
      <c r="L645" s="7">
        <f t="shared" si="9"/>
        <v>0</v>
      </c>
    </row>
    <row r="646" spans="12:12" x14ac:dyDescent="0.25">
      <c r="L646" s="7">
        <f t="shared" ref="L646:L709" si="10">J646-K646</f>
        <v>0</v>
      </c>
    </row>
    <row r="647" spans="12:12" x14ac:dyDescent="0.25">
      <c r="L647" s="7">
        <f t="shared" si="10"/>
        <v>0</v>
      </c>
    </row>
    <row r="648" spans="12:12" x14ac:dyDescent="0.25">
      <c r="L648" s="7">
        <f t="shared" si="10"/>
        <v>0</v>
      </c>
    </row>
    <row r="649" spans="12:12" x14ac:dyDescent="0.25">
      <c r="L649" s="7">
        <f t="shared" si="10"/>
        <v>0</v>
      </c>
    </row>
    <row r="650" spans="12:12" x14ac:dyDescent="0.25">
      <c r="L650" s="7">
        <f t="shared" si="10"/>
        <v>0</v>
      </c>
    </row>
    <row r="651" spans="12:12" x14ac:dyDescent="0.25">
      <c r="L651" s="7">
        <f t="shared" si="10"/>
        <v>0</v>
      </c>
    </row>
    <row r="652" spans="12:12" x14ac:dyDescent="0.25">
      <c r="L652" s="7">
        <f t="shared" si="10"/>
        <v>0</v>
      </c>
    </row>
    <row r="653" spans="12:12" x14ac:dyDescent="0.25">
      <c r="L653" s="7">
        <f t="shared" si="10"/>
        <v>0</v>
      </c>
    </row>
    <row r="654" spans="12:12" x14ac:dyDescent="0.25">
      <c r="L654" s="7">
        <f t="shared" si="10"/>
        <v>0</v>
      </c>
    </row>
    <row r="655" spans="12:12" x14ac:dyDescent="0.25">
      <c r="L655" s="7">
        <f t="shared" si="10"/>
        <v>0</v>
      </c>
    </row>
    <row r="656" spans="12:12" x14ac:dyDescent="0.25">
      <c r="L656" s="7">
        <f t="shared" si="10"/>
        <v>0</v>
      </c>
    </row>
    <row r="657" spans="12:12" x14ac:dyDescent="0.25">
      <c r="L657" s="7">
        <f t="shared" si="10"/>
        <v>0</v>
      </c>
    </row>
    <row r="658" spans="12:12" x14ac:dyDescent="0.25">
      <c r="L658" s="7">
        <f t="shared" si="10"/>
        <v>0</v>
      </c>
    </row>
    <row r="659" spans="12:12" x14ac:dyDescent="0.25">
      <c r="L659" s="7">
        <f t="shared" si="10"/>
        <v>0</v>
      </c>
    </row>
    <row r="660" spans="12:12" x14ac:dyDescent="0.25">
      <c r="L660" s="7">
        <f t="shared" si="10"/>
        <v>0</v>
      </c>
    </row>
    <row r="661" spans="12:12" x14ac:dyDescent="0.25">
      <c r="L661" s="7">
        <f t="shared" si="10"/>
        <v>0</v>
      </c>
    </row>
    <row r="662" spans="12:12" x14ac:dyDescent="0.25">
      <c r="L662" s="7">
        <f t="shared" si="10"/>
        <v>0</v>
      </c>
    </row>
    <row r="663" spans="12:12" x14ac:dyDescent="0.25">
      <c r="L663" s="7">
        <f t="shared" si="10"/>
        <v>0</v>
      </c>
    </row>
    <row r="664" spans="12:12" x14ac:dyDescent="0.25">
      <c r="L664" s="7">
        <f t="shared" si="10"/>
        <v>0</v>
      </c>
    </row>
    <row r="665" spans="12:12" x14ac:dyDescent="0.25">
      <c r="L665" s="7">
        <f t="shared" si="10"/>
        <v>0</v>
      </c>
    </row>
    <row r="666" spans="12:12" x14ac:dyDescent="0.25">
      <c r="L666" s="7">
        <f t="shared" si="10"/>
        <v>0</v>
      </c>
    </row>
    <row r="667" spans="12:12" x14ac:dyDescent="0.25">
      <c r="L667" s="7">
        <f t="shared" si="10"/>
        <v>0</v>
      </c>
    </row>
    <row r="668" spans="12:12" x14ac:dyDescent="0.25">
      <c r="L668" s="7">
        <f t="shared" si="10"/>
        <v>0</v>
      </c>
    </row>
    <row r="669" spans="12:12" x14ac:dyDescent="0.25">
      <c r="L669" s="7">
        <f t="shared" si="10"/>
        <v>0</v>
      </c>
    </row>
    <row r="670" spans="12:12" x14ac:dyDescent="0.25">
      <c r="L670" s="7">
        <f t="shared" si="10"/>
        <v>0</v>
      </c>
    </row>
    <row r="671" spans="12:12" x14ac:dyDescent="0.25">
      <c r="L671" s="7">
        <f t="shared" si="10"/>
        <v>0</v>
      </c>
    </row>
    <row r="672" spans="12:12" x14ac:dyDescent="0.25">
      <c r="L672" s="7">
        <f t="shared" si="10"/>
        <v>0</v>
      </c>
    </row>
    <row r="673" spans="12:12" x14ac:dyDescent="0.25">
      <c r="L673" s="7">
        <f t="shared" si="10"/>
        <v>0</v>
      </c>
    </row>
    <row r="674" spans="12:12" x14ac:dyDescent="0.25">
      <c r="L674" s="7">
        <f t="shared" si="10"/>
        <v>0</v>
      </c>
    </row>
    <row r="675" spans="12:12" x14ac:dyDescent="0.25">
      <c r="L675" s="7">
        <f t="shared" si="10"/>
        <v>0</v>
      </c>
    </row>
    <row r="676" spans="12:12" x14ac:dyDescent="0.25">
      <c r="L676" s="7">
        <f t="shared" si="10"/>
        <v>0</v>
      </c>
    </row>
    <row r="677" spans="12:12" x14ac:dyDescent="0.25">
      <c r="L677" s="7">
        <f t="shared" si="10"/>
        <v>0</v>
      </c>
    </row>
    <row r="678" spans="12:12" x14ac:dyDescent="0.25">
      <c r="L678" s="7">
        <f t="shared" si="10"/>
        <v>0</v>
      </c>
    </row>
    <row r="679" spans="12:12" x14ac:dyDescent="0.25">
      <c r="L679" s="7">
        <f t="shared" si="10"/>
        <v>0</v>
      </c>
    </row>
    <row r="680" spans="12:12" x14ac:dyDescent="0.25">
      <c r="L680" s="7">
        <f t="shared" si="10"/>
        <v>0</v>
      </c>
    </row>
    <row r="681" spans="12:12" x14ac:dyDescent="0.25">
      <c r="L681" s="7">
        <f t="shared" si="10"/>
        <v>0</v>
      </c>
    </row>
    <row r="682" spans="12:12" x14ac:dyDescent="0.25">
      <c r="L682" s="7">
        <f t="shared" si="10"/>
        <v>0</v>
      </c>
    </row>
    <row r="683" spans="12:12" x14ac:dyDescent="0.25">
      <c r="L683" s="7">
        <f t="shared" si="10"/>
        <v>0</v>
      </c>
    </row>
    <row r="684" spans="12:12" x14ac:dyDescent="0.25">
      <c r="L684" s="7">
        <f t="shared" si="10"/>
        <v>0</v>
      </c>
    </row>
    <row r="685" spans="12:12" x14ac:dyDescent="0.25">
      <c r="L685" s="7">
        <f t="shared" si="10"/>
        <v>0</v>
      </c>
    </row>
    <row r="686" spans="12:12" x14ac:dyDescent="0.25">
      <c r="L686" s="7">
        <f t="shared" si="10"/>
        <v>0</v>
      </c>
    </row>
    <row r="687" spans="12:12" x14ac:dyDescent="0.25">
      <c r="L687" s="7">
        <f t="shared" si="10"/>
        <v>0</v>
      </c>
    </row>
    <row r="688" spans="12:12" x14ac:dyDescent="0.25">
      <c r="L688" s="7">
        <f t="shared" si="10"/>
        <v>0</v>
      </c>
    </row>
    <row r="689" spans="12:12" x14ac:dyDescent="0.25">
      <c r="L689" s="7">
        <f t="shared" si="10"/>
        <v>0</v>
      </c>
    </row>
    <row r="690" spans="12:12" x14ac:dyDescent="0.25">
      <c r="L690" s="7">
        <f t="shared" si="10"/>
        <v>0</v>
      </c>
    </row>
    <row r="691" spans="12:12" x14ac:dyDescent="0.25">
      <c r="L691" s="7">
        <f t="shared" si="10"/>
        <v>0</v>
      </c>
    </row>
    <row r="692" spans="12:12" x14ac:dyDescent="0.25">
      <c r="L692" s="7">
        <f t="shared" si="10"/>
        <v>0</v>
      </c>
    </row>
    <row r="693" spans="12:12" x14ac:dyDescent="0.25">
      <c r="L693" s="7">
        <f t="shared" si="10"/>
        <v>0</v>
      </c>
    </row>
    <row r="694" spans="12:12" x14ac:dyDescent="0.25">
      <c r="L694" s="7">
        <f t="shared" si="10"/>
        <v>0</v>
      </c>
    </row>
    <row r="695" spans="12:12" x14ac:dyDescent="0.25">
      <c r="L695" s="7">
        <f t="shared" si="10"/>
        <v>0</v>
      </c>
    </row>
    <row r="696" spans="12:12" x14ac:dyDescent="0.25">
      <c r="L696" s="7">
        <f t="shared" si="10"/>
        <v>0</v>
      </c>
    </row>
    <row r="697" spans="12:12" x14ac:dyDescent="0.25">
      <c r="L697" s="7">
        <f t="shared" si="10"/>
        <v>0</v>
      </c>
    </row>
    <row r="698" spans="12:12" x14ac:dyDescent="0.25">
      <c r="L698" s="7">
        <f t="shared" si="10"/>
        <v>0</v>
      </c>
    </row>
    <row r="699" spans="12:12" x14ac:dyDescent="0.25">
      <c r="L699" s="7">
        <f t="shared" si="10"/>
        <v>0</v>
      </c>
    </row>
    <row r="700" spans="12:12" x14ac:dyDescent="0.25">
      <c r="L700" s="7">
        <f t="shared" si="10"/>
        <v>0</v>
      </c>
    </row>
    <row r="701" spans="12:12" x14ac:dyDescent="0.25">
      <c r="L701" s="7">
        <f t="shared" si="10"/>
        <v>0</v>
      </c>
    </row>
    <row r="702" spans="12:12" x14ac:dyDescent="0.25">
      <c r="L702" s="7">
        <f t="shared" si="10"/>
        <v>0</v>
      </c>
    </row>
    <row r="703" spans="12:12" x14ac:dyDescent="0.25">
      <c r="L703" s="7">
        <f t="shared" si="10"/>
        <v>0</v>
      </c>
    </row>
    <row r="704" spans="12:12" x14ac:dyDescent="0.25">
      <c r="L704" s="7">
        <f t="shared" si="10"/>
        <v>0</v>
      </c>
    </row>
    <row r="705" spans="12:12" x14ac:dyDescent="0.25">
      <c r="L705" s="7">
        <f t="shared" si="10"/>
        <v>0</v>
      </c>
    </row>
    <row r="706" spans="12:12" x14ac:dyDescent="0.25">
      <c r="L706" s="7">
        <f t="shared" si="10"/>
        <v>0</v>
      </c>
    </row>
    <row r="707" spans="12:12" x14ac:dyDescent="0.25">
      <c r="L707" s="7">
        <f t="shared" si="10"/>
        <v>0</v>
      </c>
    </row>
    <row r="708" spans="12:12" x14ac:dyDescent="0.25">
      <c r="L708" s="7">
        <f t="shared" si="10"/>
        <v>0</v>
      </c>
    </row>
    <row r="709" spans="12:12" x14ac:dyDescent="0.25">
      <c r="L709" s="7">
        <f t="shared" si="10"/>
        <v>0</v>
      </c>
    </row>
    <row r="710" spans="12:12" x14ac:dyDescent="0.25">
      <c r="L710" s="7">
        <f t="shared" ref="L710:L773" si="11">J710-K710</f>
        <v>0</v>
      </c>
    </row>
    <row r="711" spans="12:12" x14ac:dyDescent="0.25">
      <c r="L711" s="7">
        <f t="shared" si="11"/>
        <v>0</v>
      </c>
    </row>
    <row r="712" spans="12:12" x14ac:dyDescent="0.25">
      <c r="L712" s="7">
        <f t="shared" si="11"/>
        <v>0</v>
      </c>
    </row>
    <row r="713" spans="12:12" x14ac:dyDescent="0.25">
      <c r="L713" s="7">
        <f t="shared" si="11"/>
        <v>0</v>
      </c>
    </row>
    <row r="714" spans="12:12" x14ac:dyDescent="0.25">
      <c r="L714" s="7">
        <f t="shared" si="11"/>
        <v>0</v>
      </c>
    </row>
    <row r="715" spans="12:12" x14ac:dyDescent="0.25">
      <c r="L715" s="7">
        <f t="shared" si="11"/>
        <v>0</v>
      </c>
    </row>
    <row r="716" spans="12:12" x14ac:dyDescent="0.25">
      <c r="L716" s="7">
        <f t="shared" si="11"/>
        <v>0</v>
      </c>
    </row>
    <row r="717" spans="12:12" x14ac:dyDescent="0.25">
      <c r="L717" s="7">
        <f t="shared" si="11"/>
        <v>0</v>
      </c>
    </row>
    <row r="718" spans="12:12" x14ac:dyDescent="0.25">
      <c r="L718" s="7">
        <f t="shared" si="11"/>
        <v>0</v>
      </c>
    </row>
    <row r="719" spans="12:12" x14ac:dyDescent="0.25">
      <c r="L719" s="7">
        <f t="shared" si="11"/>
        <v>0</v>
      </c>
    </row>
    <row r="720" spans="12:12" x14ac:dyDescent="0.25">
      <c r="L720" s="7">
        <f t="shared" si="11"/>
        <v>0</v>
      </c>
    </row>
    <row r="721" spans="12:12" x14ac:dyDescent="0.25">
      <c r="L721" s="7">
        <f t="shared" si="11"/>
        <v>0</v>
      </c>
    </row>
    <row r="722" spans="12:12" x14ac:dyDescent="0.25">
      <c r="L722" s="7">
        <f t="shared" si="11"/>
        <v>0</v>
      </c>
    </row>
    <row r="723" spans="12:12" x14ac:dyDescent="0.25">
      <c r="L723" s="7">
        <f t="shared" si="11"/>
        <v>0</v>
      </c>
    </row>
    <row r="724" spans="12:12" x14ac:dyDescent="0.25">
      <c r="L724" s="7">
        <f t="shared" si="11"/>
        <v>0</v>
      </c>
    </row>
    <row r="725" spans="12:12" x14ac:dyDescent="0.25">
      <c r="L725" s="7">
        <f t="shared" si="11"/>
        <v>0</v>
      </c>
    </row>
    <row r="726" spans="12:12" x14ac:dyDescent="0.25">
      <c r="L726" s="7">
        <f t="shared" si="11"/>
        <v>0</v>
      </c>
    </row>
    <row r="727" spans="12:12" x14ac:dyDescent="0.25">
      <c r="L727" s="7">
        <f t="shared" si="11"/>
        <v>0</v>
      </c>
    </row>
    <row r="728" spans="12:12" x14ac:dyDescent="0.25">
      <c r="L728" s="7">
        <f t="shared" si="11"/>
        <v>0</v>
      </c>
    </row>
    <row r="729" spans="12:12" x14ac:dyDescent="0.25">
      <c r="L729" s="7">
        <f t="shared" si="11"/>
        <v>0</v>
      </c>
    </row>
    <row r="730" spans="12:12" x14ac:dyDescent="0.25">
      <c r="L730" s="7">
        <f t="shared" si="11"/>
        <v>0</v>
      </c>
    </row>
    <row r="731" spans="12:12" x14ac:dyDescent="0.25">
      <c r="L731" s="7">
        <f t="shared" si="11"/>
        <v>0</v>
      </c>
    </row>
    <row r="732" spans="12:12" x14ac:dyDescent="0.25">
      <c r="L732" s="7">
        <f t="shared" si="11"/>
        <v>0</v>
      </c>
    </row>
    <row r="733" spans="12:12" x14ac:dyDescent="0.25">
      <c r="L733" s="7">
        <f t="shared" si="11"/>
        <v>0</v>
      </c>
    </row>
    <row r="734" spans="12:12" x14ac:dyDescent="0.25">
      <c r="L734" s="7">
        <f t="shared" si="11"/>
        <v>0</v>
      </c>
    </row>
    <row r="735" spans="12:12" x14ac:dyDescent="0.25">
      <c r="L735" s="7">
        <f t="shared" si="11"/>
        <v>0</v>
      </c>
    </row>
    <row r="736" spans="12:12" x14ac:dyDescent="0.25">
      <c r="L736" s="7">
        <f t="shared" si="11"/>
        <v>0</v>
      </c>
    </row>
    <row r="737" spans="12:12" x14ac:dyDescent="0.25">
      <c r="L737" s="7">
        <f t="shared" si="11"/>
        <v>0</v>
      </c>
    </row>
    <row r="738" spans="12:12" x14ac:dyDescent="0.25">
      <c r="L738" s="7">
        <f t="shared" si="11"/>
        <v>0</v>
      </c>
    </row>
    <row r="739" spans="12:12" x14ac:dyDescent="0.25">
      <c r="L739" s="7">
        <f t="shared" si="11"/>
        <v>0</v>
      </c>
    </row>
    <row r="740" spans="12:12" x14ac:dyDescent="0.25">
      <c r="L740" s="7">
        <f t="shared" si="11"/>
        <v>0</v>
      </c>
    </row>
    <row r="741" spans="12:12" x14ac:dyDescent="0.25">
      <c r="L741" s="7">
        <f t="shared" si="11"/>
        <v>0</v>
      </c>
    </row>
    <row r="742" spans="12:12" x14ac:dyDescent="0.25">
      <c r="L742" s="7">
        <f t="shared" si="11"/>
        <v>0</v>
      </c>
    </row>
    <row r="743" spans="12:12" x14ac:dyDescent="0.25">
      <c r="L743" s="7">
        <f t="shared" si="11"/>
        <v>0</v>
      </c>
    </row>
    <row r="744" spans="12:12" x14ac:dyDescent="0.25">
      <c r="L744" s="7">
        <f t="shared" si="11"/>
        <v>0</v>
      </c>
    </row>
    <row r="745" spans="12:12" x14ac:dyDescent="0.25">
      <c r="L745" s="7">
        <f t="shared" si="11"/>
        <v>0</v>
      </c>
    </row>
    <row r="746" spans="12:12" x14ac:dyDescent="0.25">
      <c r="L746" s="7">
        <f t="shared" si="11"/>
        <v>0</v>
      </c>
    </row>
    <row r="747" spans="12:12" x14ac:dyDescent="0.25">
      <c r="L747" s="7">
        <f t="shared" si="11"/>
        <v>0</v>
      </c>
    </row>
    <row r="748" spans="12:12" x14ac:dyDescent="0.25">
      <c r="L748" s="7">
        <f t="shared" si="11"/>
        <v>0</v>
      </c>
    </row>
    <row r="749" spans="12:12" x14ac:dyDescent="0.25">
      <c r="L749" s="7">
        <f t="shared" si="11"/>
        <v>0</v>
      </c>
    </row>
    <row r="750" spans="12:12" x14ac:dyDescent="0.25">
      <c r="L750" s="7">
        <f t="shared" si="11"/>
        <v>0</v>
      </c>
    </row>
    <row r="751" spans="12:12" x14ac:dyDescent="0.25">
      <c r="L751" s="7">
        <f t="shared" si="11"/>
        <v>0</v>
      </c>
    </row>
    <row r="752" spans="12:12" x14ac:dyDescent="0.25">
      <c r="L752" s="7">
        <f t="shared" si="11"/>
        <v>0</v>
      </c>
    </row>
    <row r="753" spans="12:12" x14ac:dyDescent="0.25">
      <c r="L753" s="7">
        <f t="shared" si="11"/>
        <v>0</v>
      </c>
    </row>
    <row r="754" spans="12:12" x14ac:dyDescent="0.25">
      <c r="L754" s="7">
        <f t="shared" si="11"/>
        <v>0</v>
      </c>
    </row>
    <row r="755" spans="12:12" x14ac:dyDescent="0.25">
      <c r="L755" s="7">
        <f t="shared" si="11"/>
        <v>0</v>
      </c>
    </row>
    <row r="756" spans="12:12" x14ac:dyDescent="0.25">
      <c r="L756" s="7">
        <f t="shared" si="11"/>
        <v>0</v>
      </c>
    </row>
    <row r="757" spans="12:12" x14ac:dyDescent="0.25">
      <c r="L757" s="7">
        <f t="shared" si="11"/>
        <v>0</v>
      </c>
    </row>
    <row r="758" spans="12:12" x14ac:dyDescent="0.25">
      <c r="L758" s="7">
        <f t="shared" si="11"/>
        <v>0</v>
      </c>
    </row>
    <row r="759" spans="12:12" x14ac:dyDescent="0.25">
      <c r="L759" s="7">
        <f t="shared" si="11"/>
        <v>0</v>
      </c>
    </row>
    <row r="760" spans="12:12" x14ac:dyDescent="0.25">
      <c r="L760" s="7">
        <f t="shared" si="11"/>
        <v>0</v>
      </c>
    </row>
    <row r="761" spans="12:12" x14ac:dyDescent="0.25">
      <c r="L761" s="7">
        <f t="shared" si="11"/>
        <v>0</v>
      </c>
    </row>
    <row r="762" spans="12:12" x14ac:dyDescent="0.25">
      <c r="L762" s="7">
        <f t="shared" si="11"/>
        <v>0</v>
      </c>
    </row>
    <row r="763" spans="12:12" x14ac:dyDescent="0.25">
      <c r="L763" s="7">
        <f t="shared" si="11"/>
        <v>0</v>
      </c>
    </row>
    <row r="764" spans="12:12" x14ac:dyDescent="0.25">
      <c r="L764" s="7">
        <f t="shared" si="11"/>
        <v>0</v>
      </c>
    </row>
    <row r="765" spans="12:12" x14ac:dyDescent="0.25">
      <c r="L765" s="7">
        <f t="shared" si="11"/>
        <v>0</v>
      </c>
    </row>
    <row r="766" spans="12:12" x14ac:dyDescent="0.25">
      <c r="L766" s="7">
        <f t="shared" si="11"/>
        <v>0</v>
      </c>
    </row>
    <row r="767" spans="12:12" x14ac:dyDescent="0.25">
      <c r="L767" s="7">
        <f t="shared" si="11"/>
        <v>0</v>
      </c>
    </row>
    <row r="768" spans="12:12" x14ac:dyDescent="0.25">
      <c r="L768" s="7">
        <f t="shared" si="11"/>
        <v>0</v>
      </c>
    </row>
    <row r="769" spans="12:12" x14ac:dyDescent="0.25">
      <c r="L769" s="7">
        <f t="shared" si="11"/>
        <v>0</v>
      </c>
    </row>
    <row r="770" spans="12:12" x14ac:dyDescent="0.25">
      <c r="L770" s="7">
        <f t="shared" si="11"/>
        <v>0</v>
      </c>
    </row>
    <row r="771" spans="12:12" x14ac:dyDescent="0.25">
      <c r="L771" s="7">
        <f t="shared" si="11"/>
        <v>0</v>
      </c>
    </row>
    <row r="772" spans="12:12" x14ac:dyDescent="0.25">
      <c r="L772" s="7">
        <f t="shared" si="11"/>
        <v>0</v>
      </c>
    </row>
    <row r="773" spans="12:12" x14ac:dyDescent="0.25">
      <c r="L773" s="7">
        <f t="shared" si="11"/>
        <v>0</v>
      </c>
    </row>
    <row r="774" spans="12:12" x14ac:dyDescent="0.25">
      <c r="L774" s="7">
        <f t="shared" ref="L774:L837" si="12">J774-K774</f>
        <v>0</v>
      </c>
    </row>
    <row r="775" spans="12:12" x14ac:dyDescent="0.25">
      <c r="L775" s="7">
        <f t="shared" si="12"/>
        <v>0</v>
      </c>
    </row>
    <row r="776" spans="12:12" x14ac:dyDescent="0.25">
      <c r="L776" s="7">
        <f t="shared" si="12"/>
        <v>0</v>
      </c>
    </row>
    <row r="777" spans="12:12" x14ac:dyDescent="0.25">
      <c r="L777" s="7">
        <f t="shared" si="12"/>
        <v>0</v>
      </c>
    </row>
    <row r="778" spans="12:12" x14ac:dyDescent="0.25">
      <c r="L778" s="7">
        <f t="shared" si="12"/>
        <v>0</v>
      </c>
    </row>
    <row r="779" spans="12:12" x14ac:dyDescent="0.25">
      <c r="L779" s="7">
        <f t="shared" si="12"/>
        <v>0</v>
      </c>
    </row>
    <row r="780" spans="12:12" x14ac:dyDescent="0.25">
      <c r="L780" s="7">
        <f t="shared" si="12"/>
        <v>0</v>
      </c>
    </row>
    <row r="781" spans="12:12" x14ac:dyDescent="0.25">
      <c r="L781" s="7">
        <f t="shared" si="12"/>
        <v>0</v>
      </c>
    </row>
    <row r="782" spans="12:12" x14ac:dyDescent="0.25">
      <c r="L782" s="7">
        <f t="shared" si="12"/>
        <v>0</v>
      </c>
    </row>
    <row r="783" spans="12:12" x14ac:dyDescent="0.25">
      <c r="L783" s="7">
        <f t="shared" si="12"/>
        <v>0</v>
      </c>
    </row>
    <row r="784" spans="12:12" x14ac:dyDescent="0.25">
      <c r="L784" s="7">
        <f t="shared" si="12"/>
        <v>0</v>
      </c>
    </row>
    <row r="785" spans="12:12" x14ac:dyDescent="0.25">
      <c r="L785" s="7">
        <f t="shared" si="12"/>
        <v>0</v>
      </c>
    </row>
    <row r="786" spans="12:12" x14ac:dyDescent="0.25">
      <c r="L786" s="7">
        <f t="shared" si="12"/>
        <v>0</v>
      </c>
    </row>
    <row r="787" spans="12:12" x14ac:dyDescent="0.25">
      <c r="L787" s="7">
        <f t="shared" si="12"/>
        <v>0</v>
      </c>
    </row>
    <row r="788" spans="12:12" x14ac:dyDescent="0.25">
      <c r="L788" s="7">
        <f t="shared" si="12"/>
        <v>0</v>
      </c>
    </row>
    <row r="789" spans="12:12" x14ac:dyDescent="0.25">
      <c r="L789" s="7">
        <f t="shared" si="12"/>
        <v>0</v>
      </c>
    </row>
    <row r="790" spans="12:12" x14ac:dyDescent="0.25">
      <c r="L790" s="7">
        <f t="shared" si="12"/>
        <v>0</v>
      </c>
    </row>
    <row r="791" spans="12:12" x14ac:dyDescent="0.25">
      <c r="L791" s="7">
        <f t="shared" si="12"/>
        <v>0</v>
      </c>
    </row>
    <row r="792" spans="12:12" x14ac:dyDescent="0.25">
      <c r="L792" s="7">
        <f t="shared" si="12"/>
        <v>0</v>
      </c>
    </row>
    <row r="793" spans="12:12" x14ac:dyDescent="0.25">
      <c r="L793" s="7">
        <f t="shared" si="12"/>
        <v>0</v>
      </c>
    </row>
    <row r="794" spans="12:12" x14ac:dyDescent="0.25">
      <c r="L794" s="7">
        <f t="shared" si="12"/>
        <v>0</v>
      </c>
    </row>
    <row r="795" spans="12:12" x14ac:dyDescent="0.25">
      <c r="L795" s="7">
        <f t="shared" si="12"/>
        <v>0</v>
      </c>
    </row>
    <row r="796" spans="12:12" x14ac:dyDescent="0.25">
      <c r="L796" s="7">
        <f t="shared" si="12"/>
        <v>0</v>
      </c>
    </row>
    <row r="797" spans="12:12" x14ac:dyDescent="0.25">
      <c r="L797" s="7">
        <f t="shared" si="12"/>
        <v>0</v>
      </c>
    </row>
    <row r="798" spans="12:12" x14ac:dyDescent="0.25">
      <c r="L798" s="7">
        <f t="shared" si="12"/>
        <v>0</v>
      </c>
    </row>
    <row r="799" spans="12:12" x14ac:dyDescent="0.25">
      <c r="L799" s="7">
        <f t="shared" si="12"/>
        <v>0</v>
      </c>
    </row>
    <row r="800" spans="12:12" x14ac:dyDescent="0.25">
      <c r="L800" s="7">
        <f t="shared" si="12"/>
        <v>0</v>
      </c>
    </row>
    <row r="801" spans="12:12" x14ac:dyDescent="0.25">
      <c r="L801" s="7">
        <f t="shared" si="12"/>
        <v>0</v>
      </c>
    </row>
    <row r="802" spans="12:12" x14ac:dyDescent="0.25">
      <c r="L802" s="7">
        <f t="shared" si="12"/>
        <v>0</v>
      </c>
    </row>
    <row r="803" spans="12:12" x14ac:dyDescent="0.25">
      <c r="L803" s="7">
        <f t="shared" si="12"/>
        <v>0</v>
      </c>
    </row>
    <row r="804" spans="12:12" x14ac:dyDescent="0.25">
      <c r="L804" s="7">
        <f t="shared" si="12"/>
        <v>0</v>
      </c>
    </row>
    <row r="805" spans="12:12" x14ac:dyDescent="0.25">
      <c r="L805" s="7">
        <f t="shared" si="12"/>
        <v>0</v>
      </c>
    </row>
    <row r="806" spans="12:12" x14ac:dyDescent="0.25">
      <c r="L806" s="7">
        <f t="shared" si="12"/>
        <v>0</v>
      </c>
    </row>
    <row r="807" spans="12:12" x14ac:dyDescent="0.25">
      <c r="L807" s="7">
        <f t="shared" si="12"/>
        <v>0</v>
      </c>
    </row>
    <row r="808" spans="12:12" x14ac:dyDescent="0.25">
      <c r="L808" s="7">
        <f t="shared" si="12"/>
        <v>0</v>
      </c>
    </row>
    <row r="809" spans="12:12" x14ac:dyDescent="0.25">
      <c r="L809" s="7">
        <f t="shared" si="12"/>
        <v>0</v>
      </c>
    </row>
    <row r="810" spans="12:12" x14ac:dyDescent="0.25">
      <c r="L810" s="7">
        <f t="shared" si="12"/>
        <v>0</v>
      </c>
    </row>
    <row r="811" spans="12:12" x14ac:dyDescent="0.25">
      <c r="L811" s="7">
        <f t="shared" si="12"/>
        <v>0</v>
      </c>
    </row>
    <row r="812" spans="12:12" x14ac:dyDescent="0.25">
      <c r="L812" s="7">
        <f t="shared" si="12"/>
        <v>0</v>
      </c>
    </row>
    <row r="813" spans="12:12" x14ac:dyDescent="0.25">
      <c r="L813" s="7">
        <f t="shared" si="12"/>
        <v>0</v>
      </c>
    </row>
    <row r="814" spans="12:12" x14ac:dyDescent="0.25">
      <c r="L814" s="7">
        <f t="shared" si="12"/>
        <v>0</v>
      </c>
    </row>
    <row r="815" spans="12:12" x14ac:dyDescent="0.25">
      <c r="L815" s="7">
        <f t="shared" si="12"/>
        <v>0</v>
      </c>
    </row>
    <row r="816" spans="12:12" x14ac:dyDescent="0.25">
      <c r="L816" s="7">
        <f t="shared" si="12"/>
        <v>0</v>
      </c>
    </row>
    <row r="817" spans="12:12" x14ac:dyDescent="0.25">
      <c r="L817" s="7">
        <f t="shared" si="12"/>
        <v>0</v>
      </c>
    </row>
    <row r="818" spans="12:12" x14ac:dyDescent="0.25">
      <c r="L818" s="7">
        <f t="shared" si="12"/>
        <v>0</v>
      </c>
    </row>
    <row r="819" spans="12:12" x14ac:dyDescent="0.25">
      <c r="L819" s="7">
        <f t="shared" si="12"/>
        <v>0</v>
      </c>
    </row>
    <row r="820" spans="12:12" x14ac:dyDescent="0.25">
      <c r="L820" s="7">
        <f t="shared" si="12"/>
        <v>0</v>
      </c>
    </row>
    <row r="821" spans="12:12" x14ac:dyDescent="0.25">
      <c r="L821" s="7">
        <f t="shared" si="12"/>
        <v>0</v>
      </c>
    </row>
    <row r="822" spans="12:12" x14ac:dyDescent="0.25">
      <c r="L822" s="7">
        <f t="shared" si="12"/>
        <v>0</v>
      </c>
    </row>
    <row r="823" spans="12:12" x14ac:dyDescent="0.25">
      <c r="L823" s="7">
        <f t="shared" si="12"/>
        <v>0</v>
      </c>
    </row>
    <row r="824" spans="12:12" x14ac:dyDescent="0.25">
      <c r="L824" s="7">
        <f t="shared" si="12"/>
        <v>0</v>
      </c>
    </row>
    <row r="825" spans="12:12" x14ac:dyDescent="0.25">
      <c r="L825" s="7">
        <f t="shared" si="12"/>
        <v>0</v>
      </c>
    </row>
    <row r="826" spans="12:12" x14ac:dyDescent="0.25">
      <c r="L826" s="7">
        <f t="shared" si="12"/>
        <v>0</v>
      </c>
    </row>
    <row r="827" spans="12:12" x14ac:dyDescent="0.25">
      <c r="L827" s="7">
        <f t="shared" si="12"/>
        <v>0</v>
      </c>
    </row>
    <row r="828" spans="12:12" x14ac:dyDescent="0.25">
      <c r="L828" s="7">
        <f t="shared" si="12"/>
        <v>0</v>
      </c>
    </row>
    <row r="829" spans="12:12" x14ac:dyDescent="0.25">
      <c r="L829" s="7">
        <f t="shared" si="12"/>
        <v>0</v>
      </c>
    </row>
    <row r="830" spans="12:12" x14ac:dyDescent="0.25">
      <c r="L830" s="7">
        <f t="shared" si="12"/>
        <v>0</v>
      </c>
    </row>
    <row r="831" spans="12:12" x14ac:dyDescent="0.25">
      <c r="L831" s="7">
        <f t="shared" si="12"/>
        <v>0</v>
      </c>
    </row>
    <row r="832" spans="12:12" x14ac:dyDescent="0.25">
      <c r="L832" s="7">
        <f t="shared" si="12"/>
        <v>0</v>
      </c>
    </row>
    <row r="833" spans="12:12" x14ac:dyDescent="0.25">
      <c r="L833" s="7">
        <f t="shared" si="12"/>
        <v>0</v>
      </c>
    </row>
    <row r="834" spans="12:12" x14ac:dyDescent="0.25">
      <c r="L834" s="7">
        <f t="shared" si="12"/>
        <v>0</v>
      </c>
    </row>
    <row r="835" spans="12:12" x14ac:dyDescent="0.25">
      <c r="L835" s="7">
        <f t="shared" si="12"/>
        <v>0</v>
      </c>
    </row>
    <row r="836" spans="12:12" x14ac:dyDescent="0.25">
      <c r="L836" s="7">
        <f t="shared" si="12"/>
        <v>0</v>
      </c>
    </row>
    <row r="837" spans="12:12" x14ac:dyDescent="0.25">
      <c r="L837" s="7">
        <f t="shared" si="12"/>
        <v>0</v>
      </c>
    </row>
    <row r="838" spans="12:12" x14ac:dyDescent="0.25">
      <c r="L838" s="7">
        <f t="shared" ref="L838:L901" si="13">J838-K838</f>
        <v>0</v>
      </c>
    </row>
    <row r="839" spans="12:12" x14ac:dyDescent="0.25">
      <c r="L839" s="7">
        <f t="shared" si="13"/>
        <v>0</v>
      </c>
    </row>
    <row r="840" spans="12:12" x14ac:dyDescent="0.25">
      <c r="L840" s="7">
        <f t="shared" si="13"/>
        <v>0</v>
      </c>
    </row>
    <row r="841" spans="12:12" x14ac:dyDescent="0.25">
      <c r="L841" s="7">
        <f t="shared" si="13"/>
        <v>0</v>
      </c>
    </row>
    <row r="842" spans="12:12" x14ac:dyDescent="0.25">
      <c r="L842" s="7">
        <f t="shared" si="13"/>
        <v>0</v>
      </c>
    </row>
    <row r="843" spans="12:12" x14ac:dyDescent="0.25">
      <c r="L843" s="7">
        <f t="shared" si="13"/>
        <v>0</v>
      </c>
    </row>
    <row r="844" spans="12:12" x14ac:dyDescent="0.25">
      <c r="L844" s="7">
        <f t="shared" si="13"/>
        <v>0</v>
      </c>
    </row>
    <row r="845" spans="12:12" x14ac:dyDescent="0.25">
      <c r="L845" s="7">
        <f t="shared" si="13"/>
        <v>0</v>
      </c>
    </row>
    <row r="846" spans="12:12" x14ac:dyDescent="0.25">
      <c r="L846" s="7">
        <f t="shared" si="13"/>
        <v>0</v>
      </c>
    </row>
    <row r="847" spans="12:12" x14ac:dyDescent="0.25">
      <c r="L847" s="7">
        <f t="shared" si="13"/>
        <v>0</v>
      </c>
    </row>
    <row r="848" spans="12:12" x14ac:dyDescent="0.25">
      <c r="L848" s="7">
        <f t="shared" si="13"/>
        <v>0</v>
      </c>
    </row>
    <row r="849" spans="12:12" x14ac:dyDescent="0.25">
      <c r="L849" s="7">
        <f t="shared" si="13"/>
        <v>0</v>
      </c>
    </row>
    <row r="850" spans="12:12" x14ac:dyDescent="0.25">
      <c r="L850" s="7">
        <f t="shared" si="13"/>
        <v>0</v>
      </c>
    </row>
    <row r="851" spans="12:12" x14ac:dyDescent="0.25">
      <c r="L851" s="7">
        <f t="shared" si="13"/>
        <v>0</v>
      </c>
    </row>
    <row r="852" spans="12:12" x14ac:dyDescent="0.25">
      <c r="L852" s="7">
        <f t="shared" si="13"/>
        <v>0</v>
      </c>
    </row>
    <row r="853" spans="12:12" x14ac:dyDescent="0.25">
      <c r="L853" s="7">
        <f t="shared" si="13"/>
        <v>0</v>
      </c>
    </row>
    <row r="854" spans="12:12" x14ac:dyDescent="0.25">
      <c r="L854" s="7">
        <f t="shared" si="13"/>
        <v>0</v>
      </c>
    </row>
    <row r="855" spans="12:12" x14ac:dyDescent="0.25">
      <c r="L855" s="7">
        <f t="shared" si="13"/>
        <v>0</v>
      </c>
    </row>
    <row r="856" spans="12:12" x14ac:dyDescent="0.25">
      <c r="L856" s="7">
        <f t="shared" si="13"/>
        <v>0</v>
      </c>
    </row>
    <row r="857" spans="12:12" x14ac:dyDescent="0.25">
      <c r="L857" s="7">
        <f t="shared" si="13"/>
        <v>0</v>
      </c>
    </row>
    <row r="858" spans="12:12" x14ac:dyDescent="0.25">
      <c r="L858" s="7">
        <f t="shared" si="13"/>
        <v>0</v>
      </c>
    </row>
    <row r="859" spans="12:12" x14ac:dyDescent="0.25">
      <c r="L859" s="7">
        <f t="shared" si="13"/>
        <v>0</v>
      </c>
    </row>
    <row r="860" spans="12:12" x14ac:dyDescent="0.25">
      <c r="L860" s="7">
        <f t="shared" si="13"/>
        <v>0</v>
      </c>
    </row>
    <row r="861" spans="12:12" x14ac:dyDescent="0.25">
      <c r="L861" s="7">
        <f t="shared" si="13"/>
        <v>0</v>
      </c>
    </row>
    <row r="862" spans="12:12" x14ac:dyDescent="0.25">
      <c r="L862" s="7">
        <f t="shared" si="13"/>
        <v>0</v>
      </c>
    </row>
    <row r="863" spans="12:12" x14ac:dyDescent="0.25">
      <c r="L863" s="7">
        <f t="shared" si="13"/>
        <v>0</v>
      </c>
    </row>
    <row r="864" spans="12:12" x14ac:dyDescent="0.25">
      <c r="L864" s="7">
        <f t="shared" si="13"/>
        <v>0</v>
      </c>
    </row>
    <row r="865" spans="12:12" x14ac:dyDescent="0.25">
      <c r="L865" s="7">
        <f t="shared" si="13"/>
        <v>0</v>
      </c>
    </row>
    <row r="866" spans="12:12" x14ac:dyDescent="0.25">
      <c r="L866" s="7">
        <f t="shared" si="13"/>
        <v>0</v>
      </c>
    </row>
    <row r="867" spans="12:12" x14ac:dyDescent="0.25">
      <c r="L867" s="7">
        <f t="shared" si="13"/>
        <v>0</v>
      </c>
    </row>
    <row r="868" spans="12:12" x14ac:dyDescent="0.25">
      <c r="L868" s="7">
        <f t="shared" si="13"/>
        <v>0</v>
      </c>
    </row>
    <row r="869" spans="12:12" x14ac:dyDescent="0.25">
      <c r="L869" s="7">
        <f t="shared" si="13"/>
        <v>0</v>
      </c>
    </row>
    <row r="870" spans="12:12" x14ac:dyDescent="0.25">
      <c r="L870" s="7">
        <f t="shared" si="13"/>
        <v>0</v>
      </c>
    </row>
    <row r="871" spans="12:12" x14ac:dyDescent="0.25">
      <c r="L871" s="7">
        <f t="shared" si="13"/>
        <v>0</v>
      </c>
    </row>
    <row r="872" spans="12:12" x14ac:dyDescent="0.25">
      <c r="L872" s="7">
        <f t="shared" si="13"/>
        <v>0</v>
      </c>
    </row>
    <row r="873" spans="12:12" x14ac:dyDescent="0.25">
      <c r="L873" s="7">
        <f t="shared" si="13"/>
        <v>0</v>
      </c>
    </row>
    <row r="874" spans="12:12" x14ac:dyDescent="0.25">
      <c r="L874" s="7">
        <f t="shared" si="13"/>
        <v>0</v>
      </c>
    </row>
    <row r="875" spans="12:12" x14ac:dyDescent="0.25">
      <c r="L875" s="7">
        <f t="shared" si="13"/>
        <v>0</v>
      </c>
    </row>
    <row r="876" spans="12:12" x14ac:dyDescent="0.25">
      <c r="L876" s="7">
        <f t="shared" si="13"/>
        <v>0</v>
      </c>
    </row>
    <row r="877" spans="12:12" x14ac:dyDescent="0.25">
      <c r="L877" s="7">
        <f t="shared" si="13"/>
        <v>0</v>
      </c>
    </row>
    <row r="878" spans="12:12" x14ac:dyDescent="0.25">
      <c r="L878" s="7">
        <f t="shared" si="13"/>
        <v>0</v>
      </c>
    </row>
    <row r="879" spans="12:12" x14ac:dyDescent="0.25">
      <c r="L879" s="7">
        <f t="shared" si="13"/>
        <v>0</v>
      </c>
    </row>
    <row r="880" spans="12:12" x14ac:dyDescent="0.25">
      <c r="L880" s="7">
        <f t="shared" si="13"/>
        <v>0</v>
      </c>
    </row>
    <row r="881" spans="12:12" x14ac:dyDescent="0.25">
      <c r="L881" s="7">
        <f t="shared" si="13"/>
        <v>0</v>
      </c>
    </row>
    <row r="882" spans="12:12" x14ac:dyDescent="0.25">
      <c r="L882" s="7">
        <f t="shared" si="13"/>
        <v>0</v>
      </c>
    </row>
    <row r="883" spans="12:12" x14ac:dyDescent="0.25">
      <c r="L883" s="7">
        <f t="shared" si="13"/>
        <v>0</v>
      </c>
    </row>
    <row r="884" spans="12:12" x14ac:dyDescent="0.25">
      <c r="L884" s="7">
        <f t="shared" si="13"/>
        <v>0</v>
      </c>
    </row>
    <row r="885" spans="12:12" x14ac:dyDescent="0.25">
      <c r="L885" s="7">
        <f t="shared" si="13"/>
        <v>0</v>
      </c>
    </row>
    <row r="886" spans="12:12" x14ac:dyDescent="0.25">
      <c r="L886" s="7">
        <f t="shared" si="13"/>
        <v>0</v>
      </c>
    </row>
    <row r="887" spans="12:12" x14ac:dyDescent="0.25">
      <c r="L887" s="7">
        <f t="shared" si="13"/>
        <v>0</v>
      </c>
    </row>
    <row r="888" spans="12:12" x14ac:dyDescent="0.25">
      <c r="L888" s="7">
        <f t="shared" si="13"/>
        <v>0</v>
      </c>
    </row>
    <row r="889" spans="12:12" x14ac:dyDescent="0.25">
      <c r="L889" s="7">
        <f t="shared" si="13"/>
        <v>0</v>
      </c>
    </row>
    <row r="890" spans="12:12" x14ac:dyDescent="0.25">
      <c r="L890" s="7">
        <f t="shared" si="13"/>
        <v>0</v>
      </c>
    </row>
    <row r="891" spans="12:12" x14ac:dyDescent="0.25">
      <c r="L891" s="7">
        <f t="shared" si="13"/>
        <v>0</v>
      </c>
    </row>
    <row r="892" spans="12:12" x14ac:dyDescent="0.25">
      <c r="L892" s="7">
        <f t="shared" si="13"/>
        <v>0</v>
      </c>
    </row>
    <row r="893" spans="12:12" x14ac:dyDescent="0.25">
      <c r="L893" s="7">
        <f t="shared" si="13"/>
        <v>0</v>
      </c>
    </row>
    <row r="894" spans="12:12" x14ac:dyDescent="0.25">
      <c r="L894" s="7">
        <f t="shared" si="13"/>
        <v>0</v>
      </c>
    </row>
    <row r="895" spans="12:12" x14ac:dyDescent="0.25">
      <c r="L895" s="7">
        <f t="shared" si="13"/>
        <v>0</v>
      </c>
    </row>
    <row r="896" spans="12:12" x14ac:dyDescent="0.25">
      <c r="L896" s="7">
        <f t="shared" si="13"/>
        <v>0</v>
      </c>
    </row>
    <row r="897" spans="12:12" x14ac:dyDescent="0.25">
      <c r="L897" s="7">
        <f t="shared" si="13"/>
        <v>0</v>
      </c>
    </row>
    <row r="898" spans="12:12" x14ac:dyDescent="0.25">
      <c r="L898" s="7">
        <f t="shared" si="13"/>
        <v>0</v>
      </c>
    </row>
    <row r="899" spans="12:12" x14ac:dyDescent="0.25">
      <c r="L899" s="7">
        <f t="shared" si="13"/>
        <v>0</v>
      </c>
    </row>
    <row r="900" spans="12:12" x14ac:dyDescent="0.25">
      <c r="L900" s="7">
        <f t="shared" si="13"/>
        <v>0</v>
      </c>
    </row>
    <row r="901" spans="12:12" x14ac:dyDescent="0.25">
      <c r="L901" s="7">
        <f t="shared" si="13"/>
        <v>0</v>
      </c>
    </row>
    <row r="902" spans="12:12" x14ac:dyDescent="0.25">
      <c r="L902" s="7">
        <f t="shared" ref="L902:L965" si="14">J902-K902</f>
        <v>0</v>
      </c>
    </row>
    <row r="903" spans="12:12" x14ac:dyDescent="0.25">
      <c r="L903" s="7">
        <f t="shared" si="14"/>
        <v>0</v>
      </c>
    </row>
    <row r="904" spans="12:12" x14ac:dyDescent="0.25">
      <c r="L904" s="7">
        <f t="shared" si="14"/>
        <v>0</v>
      </c>
    </row>
    <row r="905" spans="12:12" x14ac:dyDescent="0.25">
      <c r="L905" s="7">
        <f t="shared" si="14"/>
        <v>0</v>
      </c>
    </row>
    <row r="906" spans="12:12" x14ac:dyDescent="0.25">
      <c r="L906" s="7">
        <f t="shared" si="14"/>
        <v>0</v>
      </c>
    </row>
    <row r="907" spans="12:12" x14ac:dyDescent="0.25">
      <c r="L907" s="7">
        <f t="shared" si="14"/>
        <v>0</v>
      </c>
    </row>
    <row r="908" spans="12:12" x14ac:dyDescent="0.25">
      <c r="L908" s="7">
        <f t="shared" si="14"/>
        <v>0</v>
      </c>
    </row>
    <row r="909" spans="12:12" x14ac:dyDescent="0.25">
      <c r="L909" s="7">
        <f t="shared" si="14"/>
        <v>0</v>
      </c>
    </row>
    <row r="910" spans="12:12" x14ac:dyDescent="0.25">
      <c r="L910" s="7">
        <f t="shared" si="14"/>
        <v>0</v>
      </c>
    </row>
    <row r="911" spans="12:12" x14ac:dyDescent="0.25">
      <c r="L911" s="7">
        <f t="shared" si="14"/>
        <v>0</v>
      </c>
    </row>
    <row r="912" spans="12:12" x14ac:dyDescent="0.25">
      <c r="L912" s="7">
        <f t="shared" si="14"/>
        <v>0</v>
      </c>
    </row>
    <row r="913" spans="12:12" x14ac:dyDescent="0.25">
      <c r="L913" s="7">
        <f t="shared" si="14"/>
        <v>0</v>
      </c>
    </row>
    <row r="914" spans="12:12" x14ac:dyDescent="0.25">
      <c r="L914" s="7">
        <f t="shared" si="14"/>
        <v>0</v>
      </c>
    </row>
    <row r="915" spans="12:12" x14ac:dyDescent="0.25">
      <c r="L915" s="7">
        <f t="shared" si="14"/>
        <v>0</v>
      </c>
    </row>
    <row r="916" spans="12:12" x14ac:dyDescent="0.25">
      <c r="L916" s="7">
        <f t="shared" si="14"/>
        <v>0</v>
      </c>
    </row>
    <row r="917" spans="12:12" x14ac:dyDescent="0.25">
      <c r="L917" s="7">
        <f t="shared" si="14"/>
        <v>0</v>
      </c>
    </row>
    <row r="918" spans="12:12" x14ac:dyDescent="0.25">
      <c r="L918" s="7">
        <f t="shared" si="14"/>
        <v>0</v>
      </c>
    </row>
    <row r="919" spans="12:12" x14ac:dyDescent="0.25">
      <c r="L919" s="7">
        <f t="shared" si="14"/>
        <v>0</v>
      </c>
    </row>
    <row r="920" spans="12:12" x14ac:dyDescent="0.25">
      <c r="L920" s="7">
        <f t="shared" si="14"/>
        <v>0</v>
      </c>
    </row>
    <row r="921" spans="12:12" x14ac:dyDescent="0.25">
      <c r="L921" s="7">
        <f t="shared" si="14"/>
        <v>0</v>
      </c>
    </row>
    <row r="922" spans="12:12" x14ac:dyDescent="0.25">
      <c r="L922" s="7">
        <f t="shared" si="14"/>
        <v>0</v>
      </c>
    </row>
    <row r="923" spans="12:12" x14ac:dyDescent="0.25">
      <c r="L923" s="7">
        <f t="shared" si="14"/>
        <v>0</v>
      </c>
    </row>
    <row r="924" spans="12:12" x14ac:dyDescent="0.25">
      <c r="L924" s="7">
        <f t="shared" si="14"/>
        <v>0</v>
      </c>
    </row>
    <row r="925" spans="12:12" x14ac:dyDescent="0.25">
      <c r="L925" s="7">
        <f t="shared" si="14"/>
        <v>0</v>
      </c>
    </row>
    <row r="926" spans="12:12" x14ac:dyDescent="0.25">
      <c r="L926" s="7">
        <f t="shared" si="14"/>
        <v>0</v>
      </c>
    </row>
    <row r="927" spans="12:12" x14ac:dyDescent="0.25">
      <c r="L927" s="7">
        <f t="shared" si="14"/>
        <v>0</v>
      </c>
    </row>
    <row r="928" spans="12:12" x14ac:dyDescent="0.25">
      <c r="L928" s="7">
        <f t="shared" si="14"/>
        <v>0</v>
      </c>
    </row>
    <row r="929" spans="12:12" x14ac:dyDescent="0.25">
      <c r="L929" s="7">
        <f t="shared" si="14"/>
        <v>0</v>
      </c>
    </row>
    <row r="930" spans="12:12" x14ac:dyDescent="0.25">
      <c r="L930" s="7">
        <f t="shared" si="14"/>
        <v>0</v>
      </c>
    </row>
    <row r="931" spans="12:12" x14ac:dyDescent="0.25">
      <c r="L931" s="7">
        <f t="shared" si="14"/>
        <v>0</v>
      </c>
    </row>
    <row r="932" spans="12:12" x14ac:dyDescent="0.25">
      <c r="L932" s="7">
        <f t="shared" si="14"/>
        <v>0</v>
      </c>
    </row>
    <row r="933" spans="12:12" x14ac:dyDescent="0.25">
      <c r="L933" s="7">
        <f t="shared" si="14"/>
        <v>0</v>
      </c>
    </row>
    <row r="934" spans="12:12" x14ac:dyDescent="0.25">
      <c r="L934" s="7">
        <f t="shared" si="14"/>
        <v>0</v>
      </c>
    </row>
    <row r="935" spans="12:12" x14ac:dyDescent="0.25">
      <c r="L935" s="7">
        <f t="shared" si="14"/>
        <v>0</v>
      </c>
    </row>
    <row r="936" spans="12:12" x14ac:dyDescent="0.25">
      <c r="L936" s="7">
        <f t="shared" si="14"/>
        <v>0</v>
      </c>
    </row>
    <row r="937" spans="12:12" x14ac:dyDescent="0.25">
      <c r="L937" s="7">
        <f t="shared" si="14"/>
        <v>0</v>
      </c>
    </row>
    <row r="938" spans="12:12" x14ac:dyDescent="0.25">
      <c r="L938" s="7">
        <f t="shared" si="14"/>
        <v>0</v>
      </c>
    </row>
    <row r="939" spans="12:12" x14ac:dyDescent="0.25">
      <c r="L939" s="7">
        <f t="shared" si="14"/>
        <v>0</v>
      </c>
    </row>
    <row r="940" spans="12:12" x14ac:dyDescent="0.25">
      <c r="L940" s="7">
        <f t="shared" si="14"/>
        <v>0</v>
      </c>
    </row>
    <row r="941" spans="12:12" x14ac:dyDescent="0.25">
      <c r="L941" s="7">
        <f t="shared" si="14"/>
        <v>0</v>
      </c>
    </row>
    <row r="942" spans="12:12" x14ac:dyDescent="0.25">
      <c r="L942" s="7">
        <f t="shared" si="14"/>
        <v>0</v>
      </c>
    </row>
    <row r="943" spans="12:12" x14ac:dyDescent="0.25">
      <c r="L943" s="7">
        <f t="shared" si="14"/>
        <v>0</v>
      </c>
    </row>
    <row r="944" spans="12:12" x14ac:dyDescent="0.25">
      <c r="L944" s="7">
        <f t="shared" si="14"/>
        <v>0</v>
      </c>
    </row>
    <row r="945" spans="12:12" x14ac:dyDescent="0.25">
      <c r="L945" s="7">
        <f t="shared" si="14"/>
        <v>0</v>
      </c>
    </row>
    <row r="946" spans="12:12" x14ac:dyDescent="0.25">
      <c r="L946" s="7">
        <f t="shared" si="14"/>
        <v>0</v>
      </c>
    </row>
    <row r="947" spans="12:12" x14ac:dyDescent="0.25">
      <c r="L947" s="7">
        <f t="shared" si="14"/>
        <v>0</v>
      </c>
    </row>
    <row r="948" spans="12:12" x14ac:dyDescent="0.25">
      <c r="L948" s="7">
        <f t="shared" si="14"/>
        <v>0</v>
      </c>
    </row>
    <row r="949" spans="12:12" x14ac:dyDescent="0.25">
      <c r="L949" s="7">
        <f t="shared" si="14"/>
        <v>0</v>
      </c>
    </row>
    <row r="950" spans="12:12" x14ac:dyDescent="0.25">
      <c r="L950" s="7">
        <f t="shared" si="14"/>
        <v>0</v>
      </c>
    </row>
    <row r="951" spans="12:12" x14ac:dyDescent="0.25">
      <c r="L951" s="7">
        <f t="shared" si="14"/>
        <v>0</v>
      </c>
    </row>
    <row r="952" spans="12:12" x14ac:dyDescent="0.25">
      <c r="L952" s="7">
        <f t="shared" si="14"/>
        <v>0</v>
      </c>
    </row>
    <row r="953" spans="12:12" x14ac:dyDescent="0.25">
      <c r="L953" s="7">
        <f t="shared" si="14"/>
        <v>0</v>
      </c>
    </row>
    <row r="954" spans="12:12" x14ac:dyDescent="0.25">
      <c r="L954" s="7">
        <f t="shared" si="14"/>
        <v>0</v>
      </c>
    </row>
    <row r="955" spans="12:12" x14ac:dyDescent="0.25">
      <c r="L955" s="7">
        <f t="shared" si="14"/>
        <v>0</v>
      </c>
    </row>
    <row r="956" spans="12:12" x14ac:dyDescent="0.25">
      <c r="L956" s="7">
        <f t="shared" si="14"/>
        <v>0</v>
      </c>
    </row>
    <row r="957" spans="12:12" x14ac:dyDescent="0.25">
      <c r="L957" s="7">
        <f t="shared" si="14"/>
        <v>0</v>
      </c>
    </row>
    <row r="958" spans="12:12" x14ac:dyDescent="0.25">
      <c r="L958" s="7">
        <f t="shared" si="14"/>
        <v>0</v>
      </c>
    </row>
    <row r="959" spans="12:12" x14ac:dyDescent="0.25">
      <c r="L959" s="7">
        <f t="shared" si="14"/>
        <v>0</v>
      </c>
    </row>
    <row r="960" spans="12:12" x14ac:dyDescent="0.25">
      <c r="L960" s="7">
        <f t="shared" si="14"/>
        <v>0</v>
      </c>
    </row>
    <row r="961" spans="12:12" x14ac:dyDescent="0.25">
      <c r="L961" s="7">
        <f t="shared" si="14"/>
        <v>0</v>
      </c>
    </row>
    <row r="962" spans="12:12" x14ac:dyDescent="0.25">
      <c r="L962" s="7">
        <f t="shared" si="14"/>
        <v>0</v>
      </c>
    </row>
    <row r="963" spans="12:12" x14ac:dyDescent="0.25">
      <c r="L963" s="7">
        <f t="shared" si="14"/>
        <v>0</v>
      </c>
    </row>
    <row r="964" spans="12:12" x14ac:dyDescent="0.25">
      <c r="L964" s="7">
        <f t="shared" si="14"/>
        <v>0</v>
      </c>
    </row>
    <row r="965" spans="12:12" x14ac:dyDescent="0.25">
      <c r="L965" s="7">
        <f t="shared" si="14"/>
        <v>0</v>
      </c>
    </row>
    <row r="966" spans="12:12" x14ac:dyDescent="0.25">
      <c r="L966" s="7">
        <f t="shared" ref="L966:L1000" si="15">J966-K966</f>
        <v>0</v>
      </c>
    </row>
    <row r="967" spans="12:12" x14ac:dyDescent="0.25">
      <c r="L967" s="7">
        <f t="shared" si="15"/>
        <v>0</v>
      </c>
    </row>
    <row r="968" spans="12:12" x14ac:dyDescent="0.25">
      <c r="L968" s="7">
        <f t="shared" si="15"/>
        <v>0</v>
      </c>
    </row>
    <row r="969" spans="12:12" x14ac:dyDescent="0.25">
      <c r="L969" s="7">
        <f t="shared" si="15"/>
        <v>0</v>
      </c>
    </row>
    <row r="970" spans="12:12" x14ac:dyDescent="0.25">
      <c r="L970" s="7">
        <f t="shared" si="15"/>
        <v>0</v>
      </c>
    </row>
    <row r="971" spans="12:12" x14ac:dyDescent="0.25">
      <c r="L971" s="7">
        <f t="shared" si="15"/>
        <v>0</v>
      </c>
    </row>
    <row r="972" spans="12:12" x14ac:dyDescent="0.25">
      <c r="L972" s="7">
        <f t="shared" si="15"/>
        <v>0</v>
      </c>
    </row>
    <row r="973" spans="12:12" x14ac:dyDescent="0.25">
      <c r="L973" s="7">
        <f t="shared" si="15"/>
        <v>0</v>
      </c>
    </row>
    <row r="974" spans="12:12" x14ac:dyDescent="0.25">
      <c r="L974" s="7">
        <f t="shared" si="15"/>
        <v>0</v>
      </c>
    </row>
    <row r="975" spans="12:12" x14ac:dyDescent="0.25">
      <c r="L975" s="7">
        <f t="shared" si="15"/>
        <v>0</v>
      </c>
    </row>
    <row r="976" spans="12:12" x14ac:dyDescent="0.25">
      <c r="L976" s="7">
        <f t="shared" si="15"/>
        <v>0</v>
      </c>
    </row>
    <row r="977" spans="12:12" x14ac:dyDescent="0.25">
      <c r="L977" s="7">
        <f t="shared" si="15"/>
        <v>0</v>
      </c>
    </row>
    <row r="978" spans="12:12" x14ac:dyDescent="0.25">
      <c r="L978" s="7">
        <f t="shared" si="15"/>
        <v>0</v>
      </c>
    </row>
    <row r="979" spans="12:12" x14ac:dyDescent="0.25">
      <c r="L979" s="7">
        <f t="shared" si="15"/>
        <v>0</v>
      </c>
    </row>
    <row r="980" spans="12:12" x14ac:dyDescent="0.25">
      <c r="L980" s="7">
        <f t="shared" si="15"/>
        <v>0</v>
      </c>
    </row>
    <row r="981" spans="12:12" x14ac:dyDescent="0.25">
      <c r="L981" s="7">
        <f t="shared" si="15"/>
        <v>0</v>
      </c>
    </row>
    <row r="982" spans="12:12" x14ac:dyDescent="0.25">
      <c r="L982" s="7">
        <f t="shared" si="15"/>
        <v>0</v>
      </c>
    </row>
    <row r="983" spans="12:12" x14ac:dyDescent="0.25">
      <c r="L983" s="7">
        <f t="shared" si="15"/>
        <v>0</v>
      </c>
    </row>
    <row r="984" spans="12:12" x14ac:dyDescent="0.25">
      <c r="L984" s="7">
        <f t="shared" si="15"/>
        <v>0</v>
      </c>
    </row>
    <row r="985" spans="12:12" x14ac:dyDescent="0.25">
      <c r="L985" s="7">
        <f t="shared" si="15"/>
        <v>0</v>
      </c>
    </row>
    <row r="986" spans="12:12" x14ac:dyDescent="0.25">
      <c r="L986" s="7">
        <f t="shared" si="15"/>
        <v>0</v>
      </c>
    </row>
    <row r="987" spans="12:12" x14ac:dyDescent="0.25">
      <c r="L987" s="7">
        <f t="shared" si="15"/>
        <v>0</v>
      </c>
    </row>
    <row r="988" spans="12:12" x14ac:dyDescent="0.25">
      <c r="L988" s="7">
        <f t="shared" si="15"/>
        <v>0</v>
      </c>
    </row>
    <row r="989" spans="12:12" x14ac:dyDescent="0.25">
      <c r="L989" s="7">
        <f t="shared" si="15"/>
        <v>0</v>
      </c>
    </row>
    <row r="990" spans="12:12" x14ac:dyDescent="0.25">
      <c r="L990" s="7">
        <f t="shared" si="15"/>
        <v>0</v>
      </c>
    </row>
    <row r="991" spans="12:12" x14ac:dyDescent="0.25">
      <c r="L991" s="7">
        <f t="shared" si="15"/>
        <v>0</v>
      </c>
    </row>
    <row r="992" spans="12:12" x14ac:dyDescent="0.25">
      <c r="L992" s="7">
        <f t="shared" si="15"/>
        <v>0</v>
      </c>
    </row>
    <row r="993" spans="12:12" x14ac:dyDescent="0.25">
      <c r="L993" s="7">
        <f t="shared" si="15"/>
        <v>0</v>
      </c>
    </row>
    <row r="994" spans="12:12" x14ac:dyDescent="0.25">
      <c r="L994" s="7">
        <f t="shared" si="15"/>
        <v>0</v>
      </c>
    </row>
    <row r="995" spans="12:12" x14ac:dyDescent="0.25">
      <c r="L995" s="7">
        <f t="shared" si="15"/>
        <v>0</v>
      </c>
    </row>
    <row r="996" spans="12:12" x14ac:dyDescent="0.25">
      <c r="L996" s="7">
        <f t="shared" si="15"/>
        <v>0</v>
      </c>
    </row>
    <row r="997" spans="12:12" x14ac:dyDescent="0.25">
      <c r="L997" s="7">
        <f t="shared" si="15"/>
        <v>0</v>
      </c>
    </row>
    <row r="998" spans="12:12" x14ac:dyDescent="0.25">
      <c r="L998" s="7">
        <f t="shared" si="15"/>
        <v>0</v>
      </c>
    </row>
    <row r="999" spans="12:12" x14ac:dyDescent="0.25">
      <c r="L999" s="7">
        <f t="shared" si="15"/>
        <v>0</v>
      </c>
    </row>
    <row r="1000" spans="12:12" x14ac:dyDescent="0.25">
      <c r="L1000" s="7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3"/>
  <sheetViews>
    <sheetView topLeftCell="A2" workbookViewId="0">
      <selection activeCell="G8" sqref="G8"/>
    </sheetView>
  </sheetViews>
  <sheetFormatPr defaultRowHeight="15" x14ac:dyDescent="0.25"/>
  <cols>
    <col min="1" max="1" width="13.140625" bestFit="1" customWidth="1"/>
    <col min="2" max="2" width="10.42578125" style="9" bestFit="1" customWidth="1"/>
    <col min="6" max="6" width="13.140625" bestFit="1" customWidth="1"/>
    <col min="7" max="7" width="9.140625" style="9"/>
  </cols>
  <sheetData>
    <row r="1" spans="1:7" x14ac:dyDescent="0.25">
      <c r="A1" s="1" t="s">
        <v>693</v>
      </c>
      <c r="B1"/>
    </row>
    <row r="3" spans="1:7" x14ac:dyDescent="0.25">
      <c r="A3" s="1" t="s">
        <v>154</v>
      </c>
      <c r="B3" s="9" t="s">
        <v>695</v>
      </c>
      <c r="F3" t="s">
        <v>154</v>
      </c>
      <c r="G3" s="9" t="s">
        <v>695</v>
      </c>
    </row>
    <row r="4" spans="1:7" x14ac:dyDescent="0.25">
      <c r="A4" s="2" t="s">
        <v>594</v>
      </c>
      <c r="B4" s="9">
        <v>433.81640000000004</v>
      </c>
      <c r="F4" t="s">
        <v>738</v>
      </c>
      <c r="G4" s="9">
        <v>-88856.136199999601</v>
      </c>
    </row>
    <row r="5" spans="1:7" x14ac:dyDescent="0.25">
      <c r="A5" s="2" t="s">
        <v>54</v>
      </c>
      <c r="B5" s="9">
        <v>1050.6909999999989</v>
      </c>
      <c r="F5" t="s">
        <v>205</v>
      </c>
      <c r="G5" s="9">
        <v>-77773.548599999864</v>
      </c>
    </row>
    <row r="6" spans="1:7" x14ac:dyDescent="0.25">
      <c r="A6" s="2" t="s">
        <v>100</v>
      </c>
      <c r="B6" s="9">
        <v>-14867.491199999931</v>
      </c>
      <c r="F6" t="s">
        <v>26</v>
      </c>
      <c r="G6" s="9">
        <v>-62065.465000000084</v>
      </c>
    </row>
    <row r="7" spans="1:7" x14ac:dyDescent="0.25">
      <c r="A7" s="2" t="s">
        <v>270</v>
      </c>
      <c r="B7" s="9">
        <v>-3590.2206000000006</v>
      </c>
      <c r="F7" t="s">
        <v>56</v>
      </c>
      <c r="G7" s="9">
        <v>-42993.52770000021</v>
      </c>
    </row>
    <row r="8" spans="1:7" x14ac:dyDescent="0.25">
      <c r="A8" s="2" t="s">
        <v>187</v>
      </c>
      <c r="B8" s="9">
        <v>-1936.9032000000007</v>
      </c>
      <c r="F8" t="s">
        <v>29</v>
      </c>
      <c r="G8" s="9">
        <v>-35544.769100000034</v>
      </c>
    </row>
    <row r="9" spans="1:7" x14ac:dyDescent="0.25">
      <c r="A9" s="2" t="s">
        <v>291</v>
      </c>
      <c r="B9" s="9">
        <v>-16431.700499999977</v>
      </c>
      <c r="F9" t="s">
        <v>321</v>
      </c>
      <c r="G9" s="9">
        <v>-33094.948999999091</v>
      </c>
    </row>
    <row r="10" spans="1:7" x14ac:dyDescent="0.25">
      <c r="A10" s="2" t="s">
        <v>195</v>
      </c>
      <c r="B10" s="9">
        <v>3821.0238000000099</v>
      </c>
      <c r="F10" t="s">
        <v>279</v>
      </c>
      <c r="G10" s="9">
        <v>-29205.768499999773</v>
      </c>
    </row>
    <row r="11" spans="1:7" x14ac:dyDescent="0.25">
      <c r="A11" s="2" t="s">
        <v>296</v>
      </c>
      <c r="B11" s="9">
        <v>-13399.066199999997</v>
      </c>
      <c r="F11" t="s">
        <v>128</v>
      </c>
      <c r="G11" s="9">
        <v>-28917.591400000034</v>
      </c>
    </row>
    <row r="12" spans="1:7" x14ac:dyDescent="0.25">
      <c r="A12" s="2" t="s">
        <v>190</v>
      </c>
      <c r="B12" s="9">
        <v>-28608.626399999994</v>
      </c>
      <c r="F12" t="s">
        <v>190</v>
      </c>
      <c r="G12" s="9">
        <v>-28608.626399999994</v>
      </c>
    </row>
    <row r="13" spans="1:7" x14ac:dyDescent="0.25">
      <c r="A13" s="2" t="s">
        <v>279</v>
      </c>
      <c r="B13" s="9">
        <v>-29205.768499999773</v>
      </c>
      <c r="F13" t="s">
        <v>480</v>
      </c>
      <c r="G13" s="9">
        <v>-28238.223100000061</v>
      </c>
    </row>
    <row r="14" spans="1:7" x14ac:dyDescent="0.25">
      <c r="A14" s="2" t="s">
        <v>98</v>
      </c>
      <c r="B14" s="9">
        <v>3314.8372999999992</v>
      </c>
      <c r="F14" t="s">
        <v>105</v>
      </c>
      <c r="G14" s="9">
        <v>-23207.974800000004</v>
      </c>
    </row>
    <row r="15" spans="1:7" x14ac:dyDescent="0.25">
      <c r="A15" s="2" t="s">
        <v>644</v>
      </c>
      <c r="B15" s="9">
        <v>1.6077999999979511</v>
      </c>
      <c r="F15" t="s">
        <v>1086</v>
      </c>
      <c r="G15" s="9">
        <v>-22830.282300000079</v>
      </c>
    </row>
    <row r="16" spans="1:7" x14ac:dyDescent="0.25">
      <c r="A16" s="2" t="s">
        <v>665</v>
      </c>
      <c r="B16" s="9">
        <v>-1366.3570999999938</v>
      </c>
      <c r="F16" t="s">
        <v>433</v>
      </c>
      <c r="G16" s="9">
        <v>-19613.268100000219</v>
      </c>
    </row>
    <row r="17" spans="1:7" x14ac:dyDescent="0.25">
      <c r="A17" s="2" t="s">
        <v>207</v>
      </c>
      <c r="B17" s="9">
        <v>1631.905700000003</v>
      </c>
      <c r="F17" t="s">
        <v>51</v>
      </c>
      <c r="G17" s="9">
        <v>-18378.877199999988</v>
      </c>
    </row>
    <row r="18" spans="1:7" x14ac:dyDescent="0.25">
      <c r="A18" s="2" t="s">
        <v>397</v>
      </c>
      <c r="B18" s="9">
        <v>-9512.1228000000119</v>
      </c>
      <c r="F18" t="s">
        <v>800</v>
      </c>
      <c r="G18" s="9">
        <v>-17338.964699999895</v>
      </c>
    </row>
    <row r="19" spans="1:7" x14ac:dyDescent="0.25">
      <c r="A19" s="2" t="s">
        <v>480</v>
      </c>
      <c r="B19" s="9">
        <v>-28238.223100000061</v>
      </c>
      <c r="F19" t="s">
        <v>291</v>
      </c>
      <c r="G19" s="9">
        <v>-16431.700499999977</v>
      </c>
    </row>
    <row r="20" spans="1:7" x14ac:dyDescent="0.25">
      <c r="A20" s="2" t="s">
        <v>26</v>
      </c>
      <c r="B20" s="9">
        <v>-62065.465000000084</v>
      </c>
      <c r="F20" t="s">
        <v>100</v>
      </c>
      <c r="G20" s="9">
        <v>-14867.491199999931</v>
      </c>
    </row>
    <row r="21" spans="1:7" x14ac:dyDescent="0.25">
      <c r="A21" s="2" t="s">
        <v>29</v>
      </c>
      <c r="B21" s="9">
        <v>-35544.769100000034</v>
      </c>
      <c r="F21" t="s">
        <v>296</v>
      </c>
      <c r="G21" s="9">
        <v>-13399.066199999997</v>
      </c>
    </row>
    <row r="22" spans="1:7" x14ac:dyDescent="0.25">
      <c r="A22" s="2" t="s">
        <v>392</v>
      </c>
      <c r="B22" s="9">
        <v>-437.43579999999929</v>
      </c>
      <c r="F22" t="s">
        <v>1023</v>
      </c>
      <c r="G22" s="9">
        <v>-13304.893199999933</v>
      </c>
    </row>
    <row r="23" spans="1:7" x14ac:dyDescent="0.25">
      <c r="A23" s="2" t="s">
        <v>119</v>
      </c>
      <c r="B23" s="9">
        <v>1418.4100999999937</v>
      </c>
      <c r="F23" t="s">
        <v>89</v>
      </c>
      <c r="G23" s="9">
        <v>-13036.612000000001</v>
      </c>
    </row>
    <row r="24" spans="1:7" x14ac:dyDescent="0.25">
      <c r="A24" s="2" t="s">
        <v>321</v>
      </c>
      <c r="B24" s="9">
        <v>-33094.948999999091</v>
      </c>
      <c r="F24" t="s">
        <v>397</v>
      </c>
      <c r="G24" s="9">
        <v>-9512.1228000000119</v>
      </c>
    </row>
    <row r="25" spans="1:7" x14ac:dyDescent="0.25">
      <c r="A25" s="2" t="s">
        <v>214</v>
      </c>
      <c r="B25" s="9">
        <v>751.13850000001548</v>
      </c>
      <c r="F25" t="s">
        <v>251</v>
      </c>
      <c r="G25" s="9">
        <v>-9412.2980999999854</v>
      </c>
    </row>
    <row r="26" spans="1:7" x14ac:dyDescent="0.25">
      <c r="A26" s="2" t="s">
        <v>575</v>
      </c>
      <c r="B26" s="9">
        <v>54.29660000000149</v>
      </c>
      <c r="F26" t="s">
        <v>80</v>
      </c>
      <c r="G26" s="9">
        <v>-8687.9977000000072</v>
      </c>
    </row>
    <row r="27" spans="1:7" x14ac:dyDescent="0.25">
      <c r="A27" s="2" t="s">
        <v>74</v>
      </c>
      <c r="B27" s="9">
        <v>209.82819999998901</v>
      </c>
      <c r="F27" t="s">
        <v>1147</v>
      </c>
      <c r="G27" s="9">
        <v>-8660.2085999999545</v>
      </c>
    </row>
    <row r="28" spans="1:7" x14ac:dyDescent="0.25">
      <c r="A28" s="2" t="s">
        <v>115</v>
      </c>
      <c r="B28" s="9">
        <v>8205.8192999999956</v>
      </c>
      <c r="F28" t="s">
        <v>65</v>
      </c>
      <c r="G28" s="9">
        <v>-8590.9382000000332</v>
      </c>
    </row>
    <row r="29" spans="1:7" x14ac:dyDescent="0.25">
      <c r="A29" s="2" t="s">
        <v>89</v>
      </c>
      <c r="B29" s="9">
        <v>-13036.612000000001</v>
      </c>
      <c r="F29" t="s">
        <v>22</v>
      </c>
      <c r="G29" s="9">
        <v>-8440.4546999999875</v>
      </c>
    </row>
    <row r="30" spans="1:7" x14ac:dyDescent="0.25">
      <c r="A30" s="2" t="s">
        <v>51</v>
      </c>
      <c r="B30" s="9">
        <v>-18378.877199999988</v>
      </c>
      <c r="F30" t="s">
        <v>237</v>
      </c>
      <c r="G30" s="9">
        <v>-7077.3889999999665</v>
      </c>
    </row>
    <row r="31" spans="1:7" x14ac:dyDescent="0.25">
      <c r="A31" s="2" t="s">
        <v>237</v>
      </c>
      <c r="B31" s="9">
        <v>-7077.3889999999665</v>
      </c>
      <c r="F31" t="s">
        <v>1034</v>
      </c>
      <c r="G31" s="9">
        <v>-7069.4629999999888</v>
      </c>
    </row>
    <row r="32" spans="1:7" x14ac:dyDescent="0.25">
      <c r="A32" s="2" t="s">
        <v>324</v>
      </c>
      <c r="B32" s="9">
        <v>-1990.292300000001</v>
      </c>
      <c r="F32" t="s">
        <v>862</v>
      </c>
      <c r="G32" s="9">
        <v>-6733.422499999986</v>
      </c>
    </row>
    <row r="33" spans="1:7" x14ac:dyDescent="0.25">
      <c r="A33" s="2" t="s">
        <v>677</v>
      </c>
      <c r="B33" s="9">
        <v>-1823.7952000000514</v>
      </c>
      <c r="F33" t="s">
        <v>247</v>
      </c>
      <c r="G33" s="9">
        <v>-5509.8855999999796</v>
      </c>
    </row>
    <row r="34" spans="1:7" x14ac:dyDescent="0.25">
      <c r="A34" s="2" t="s">
        <v>22</v>
      </c>
      <c r="B34" s="9">
        <v>-8440.4546999999875</v>
      </c>
      <c r="F34" t="s">
        <v>177</v>
      </c>
      <c r="G34" s="9">
        <v>-5314.5313000000315</v>
      </c>
    </row>
    <row r="35" spans="1:7" x14ac:dyDescent="0.25">
      <c r="A35" s="2" t="s">
        <v>131</v>
      </c>
      <c r="B35" s="9">
        <v>-1366.8091999999997</v>
      </c>
      <c r="F35" t="s">
        <v>471</v>
      </c>
      <c r="G35" s="9">
        <v>-5203.8855999999796</v>
      </c>
    </row>
    <row r="36" spans="1:7" x14ac:dyDescent="0.25">
      <c r="A36" s="2" t="s">
        <v>46</v>
      </c>
      <c r="B36" s="9">
        <v>402.0046999999995</v>
      </c>
      <c r="F36" t="s">
        <v>245</v>
      </c>
      <c r="G36" s="9">
        <v>-5043.1356000000087</v>
      </c>
    </row>
    <row r="37" spans="1:7" x14ac:dyDescent="0.25">
      <c r="A37" s="2" t="s">
        <v>247</v>
      </c>
      <c r="B37" s="9">
        <v>-5509.8855999999796</v>
      </c>
      <c r="F37" t="s">
        <v>871</v>
      </c>
      <c r="G37" s="9">
        <v>-4877.7480000001378</v>
      </c>
    </row>
    <row r="38" spans="1:7" x14ac:dyDescent="0.25">
      <c r="A38" s="2" t="s">
        <v>276</v>
      </c>
      <c r="B38" s="9">
        <v>-4798.8983000000007</v>
      </c>
      <c r="F38" t="s">
        <v>226</v>
      </c>
      <c r="G38" s="9">
        <v>-4809.121399999829</v>
      </c>
    </row>
    <row r="39" spans="1:7" x14ac:dyDescent="0.25">
      <c r="A39" s="2" t="s">
        <v>56</v>
      </c>
      <c r="B39" s="9">
        <v>-42993.52770000021</v>
      </c>
      <c r="F39" t="s">
        <v>276</v>
      </c>
      <c r="G39" s="9">
        <v>-4798.8983000000007</v>
      </c>
    </row>
    <row r="40" spans="1:7" x14ac:dyDescent="0.25">
      <c r="A40" s="2" t="s">
        <v>128</v>
      </c>
      <c r="B40" s="9">
        <v>-28917.591400000034</v>
      </c>
      <c r="F40" t="s">
        <v>1037</v>
      </c>
      <c r="G40" s="9">
        <v>-3765.3305999999866</v>
      </c>
    </row>
    <row r="41" spans="1:7" x14ac:dyDescent="0.25">
      <c r="A41" s="2" t="s">
        <v>230</v>
      </c>
      <c r="B41" s="9">
        <v>-1170.541999999994</v>
      </c>
      <c r="F41" t="s">
        <v>270</v>
      </c>
      <c r="G41" s="9">
        <v>-3590.2206000000006</v>
      </c>
    </row>
    <row r="42" spans="1:7" x14ac:dyDescent="0.25">
      <c r="A42" s="2" t="s">
        <v>122</v>
      </c>
      <c r="B42" s="9">
        <v>74.531899999999951</v>
      </c>
      <c r="F42" t="s">
        <v>111</v>
      </c>
      <c r="G42" s="9">
        <v>-3367.7698999999557</v>
      </c>
    </row>
    <row r="43" spans="1:7" x14ac:dyDescent="0.25">
      <c r="A43" s="2" t="s">
        <v>256</v>
      </c>
      <c r="B43" s="9">
        <v>-3077.3005000003614</v>
      </c>
      <c r="F43" t="s">
        <v>256</v>
      </c>
      <c r="G43" s="9">
        <v>-3077.3005000003614</v>
      </c>
    </row>
    <row r="44" spans="1:7" x14ac:dyDescent="0.25">
      <c r="A44" s="2" t="s">
        <v>471</v>
      </c>
      <c r="B44" s="9">
        <v>-5203.8855999999796</v>
      </c>
      <c r="F44" t="s">
        <v>379</v>
      </c>
      <c r="G44" s="9">
        <v>-2715.1606000000611</v>
      </c>
    </row>
    <row r="45" spans="1:7" x14ac:dyDescent="0.25">
      <c r="A45" s="2" t="s">
        <v>251</v>
      </c>
      <c r="B45" s="9">
        <v>-9412.2980999999854</v>
      </c>
      <c r="F45" t="s">
        <v>324</v>
      </c>
      <c r="G45" s="9">
        <v>-1990.292300000001</v>
      </c>
    </row>
    <row r="46" spans="1:7" x14ac:dyDescent="0.25">
      <c r="A46" s="2" t="s">
        <v>65</v>
      </c>
      <c r="B46" s="9">
        <v>-8590.9382000000332</v>
      </c>
      <c r="F46" t="s">
        <v>187</v>
      </c>
      <c r="G46" s="9">
        <v>-1936.9032000000007</v>
      </c>
    </row>
    <row r="47" spans="1:7" x14ac:dyDescent="0.25">
      <c r="A47" s="2" t="s">
        <v>433</v>
      </c>
      <c r="B47" s="9">
        <v>-19613.268100000219</v>
      </c>
      <c r="F47" t="s">
        <v>677</v>
      </c>
      <c r="G47" s="9">
        <v>-1823.7952000000514</v>
      </c>
    </row>
    <row r="48" spans="1:7" x14ac:dyDescent="0.25">
      <c r="A48" s="2" t="s">
        <v>35</v>
      </c>
      <c r="B48" s="9">
        <v>46542.243699999875</v>
      </c>
      <c r="F48" t="s">
        <v>1107</v>
      </c>
      <c r="G48" s="9">
        <v>-1669.6556999999884</v>
      </c>
    </row>
    <row r="49" spans="1:7" x14ac:dyDescent="0.25">
      <c r="A49" s="2" t="s">
        <v>387</v>
      </c>
      <c r="B49" s="9">
        <v>-1639.3589999999967</v>
      </c>
      <c r="F49" t="s">
        <v>387</v>
      </c>
      <c r="G49" s="9">
        <v>-1639.3589999999967</v>
      </c>
    </row>
    <row r="50" spans="1:7" x14ac:dyDescent="0.25">
      <c r="A50" s="2" t="s">
        <v>233</v>
      </c>
      <c r="B50" s="9">
        <v>-377.33890000000247</v>
      </c>
      <c r="F50" t="s">
        <v>1165</v>
      </c>
      <c r="G50" s="9">
        <v>-1505.014599999995</v>
      </c>
    </row>
    <row r="51" spans="1:7" x14ac:dyDescent="0.25">
      <c r="A51" s="2" t="s">
        <v>105</v>
      </c>
      <c r="B51" s="9">
        <v>-23207.974800000004</v>
      </c>
      <c r="F51" t="s">
        <v>131</v>
      </c>
      <c r="G51" s="9">
        <v>-1366.8091999999997</v>
      </c>
    </row>
    <row r="52" spans="1:7" x14ac:dyDescent="0.25">
      <c r="A52" s="2" t="s">
        <v>205</v>
      </c>
      <c r="B52" s="9">
        <v>-77773.548599999864</v>
      </c>
      <c r="F52" t="s">
        <v>665</v>
      </c>
      <c r="G52" s="9">
        <v>-1366.3570999999938</v>
      </c>
    </row>
    <row r="53" spans="1:7" x14ac:dyDescent="0.25">
      <c r="A53" s="2" t="s">
        <v>192</v>
      </c>
      <c r="B53" s="9">
        <v>-170.58799999999974</v>
      </c>
      <c r="F53" t="s">
        <v>230</v>
      </c>
      <c r="G53" s="9">
        <v>-1170.541999999994</v>
      </c>
    </row>
    <row r="54" spans="1:7" x14ac:dyDescent="0.25">
      <c r="A54" s="2" t="s">
        <v>245</v>
      </c>
      <c r="B54" s="9">
        <v>-5043.1356000000087</v>
      </c>
      <c r="F54" t="s">
        <v>1329</v>
      </c>
      <c r="G54" s="9">
        <v>-1150.9698000000062</v>
      </c>
    </row>
    <row r="55" spans="1:7" x14ac:dyDescent="0.25">
      <c r="A55" s="2" t="s">
        <v>268</v>
      </c>
      <c r="B55" s="9">
        <v>2575.1674999999814</v>
      </c>
      <c r="F55" t="s">
        <v>404</v>
      </c>
      <c r="G55" s="9">
        <v>-1037.0297</v>
      </c>
    </row>
    <row r="56" spans="1:7" x14ac:dyDescent="0.25">
      <c r="A56" s="2" t="s">
        <v>80</v>
      </c>
      <c r="B56" s="9">
        <v>-8687.9977000000072</v>
      </c>
      <c r="F56" t="s">
        <v>888</v>
      </c>
      <c r="G56" s="9">
        <v>-980.60310000000027</v>
      </c>
    </row>
    <row r="57" spans="1:7" x14ac:dyDescent="0.25">
      <c r="A57" s="2" t="s">
        <v>111</v>
      </c>
      <c r="B57" s="9">
        <v>-3367.7698999999557</v>
      </c>
      <c r="F57" t="s">
        <v>1153</v>
      </c>
      <c r="G57" s="9">
        <v>-784.49980000000505</v>
      </c>
    </row>
    <row r="58" spans="1:7" x14ac:dyDescent="0.25">
      <c r="A58" s="2" t="s">
        <v>177</v>
      </c>
      <c r="B58" s="9">
        <v>-5314.5313000000315</v>
      </c>
      <c r="F58" t="s">
        <v>1077</v>
      </c>
      <c r="G58" s="9">
        <v>-479.45659999999771</v>
      </c>
    </row>
    <row r="59" spans="1:7" x14ac:dyDescent="0.25">
      <c r="A59" s="2" t="s">
        <v>68</v>
      </c>
      <c r="B59" s="9">
        <v>150.22639999999956</v>
      </c>
      <c r="F59" t="s">
        <v>1394</v>
      </c>
      <c r="G59" s="9">
        <v>-446.7455000000009</v>
      </c>
    </row>
    <row r="60" spans="1:7" x14ac:dyDescent="0.25">
      <c r="A60" s="2" t="s">
        <v>379</v>
      </c>
      <c r="B60" s="9">
        <v>-2715.1606000000611</v>
      </c>
      <c r="F60" t="s">
        <v>1121</v>
      </c>
      <c r="G60" s="9">
        <v>-438.39459999999963</v>
      </c>
    </row>
    <row r="61" spans="1:7" x14ac:dyDescent="0.25">
      <c r="A61" s="2" t="s">
        <v>49</v>
      </c>
      <c r="B61" s="9">
        <v>1960.7185999999929</v>
      </c>
      <c r="F61" t="s">
        <v>392</v>
      </c>
      <c r="G61" s="9">
        <v>-437.43579999999929</v>
      </c>
    </row>
    <row r="62" spans="1:7" x14ac:dyDescent="0.25">
      <c r="A62" s="2" t="s">
        <v>226</v>
      </c>
      <c r="B62" s="9">
        <v>-4809.121399999829</v>
      </c>
      <c r="F62" t="s">
        <v>233</v>
      </c>
      <c r="G62" s="9">
        <v>-377.33890000000247</v>
      </c>
    </row>
    <row r="63" spans="1:7" x14ac:dyDescent="0.25">
      <c r="A63" s="2" t="s">
        <v>694</v>
      </c>
      <c r="B63" s="9">
        <v>0</v>
      </c>
      <c r="F63" t="s">
        <v>1096</v>
      </c>
      <c r="G63" s="9">
        <v>-320.80699999999342</v>
      </c>
    </row>
    <row r="64" spans="1:7" x14ac:dyDescent="0.25">
      <c r="A64" s="2" t="s">
        <v>697</v>
      </c>
      <c r="B64" s="9">
        <v>228.72290000000066</v>
      </c>
      <c r="F64" t="s">
        <v>1109</v>
      </c>
      <c r="G64" s="9">
        <v>-294.7045999999973</v>
      </c>
    </row>
    <row r="65" spans="1:7" x14ac:dyDescent="0.25">
      <c r="A65" s="2" t="s">
        <v>706</v>
      </c>
      <c r="B65" s="9">
        <v>1529.7605999999214</v>
      </c>
      <c r="F65" t="s">
        <v>1091</v>
      </c>
      <c r="G65" s="9">
        <v>-246.69239999999627</v>
      </c>
    </row>
    <row r="66" spans="1:7" x14ac:dyDescent="0.25">
      <c r="A66" s="2" t="s">
        <v>738</v>
      </c>
      <c r="B66" s="9">
        <v>-88856.136199999601</v>
      </c>
      <c r="F66" t="s">
        <v>683</v>
      </c>
      <c r="G66" s="9">
        <v>-215.11250000000007</v>
      </c>
    </row>
    <row r="67" spans="1:7" x14ac:dyDescent="0.25">
      <c r="A67" s="2" t="s">
        <v>404</v>
      </c>
      <c r="B67" s="9">
        <v>-1037.0297</v>
      </c>
      <c r="F67" t="s">
        <v>192</v>
      </c>
      <c r="G67" s="9">
        <v>-170.58799999999974</v>
      </c>
    </row>
    <row r="68" spans="1:7" x14ac:dyDescent="0.25">
      <c r="A68" s="2" t="s">
        <v>683</v>
      </c>
      <c r="B68" s="9">
        <v>-215.11250000000007</v>
      </c>
      <c r="F68" t="s">
        <v>1407</v>
      </c>
      <c r="G68" s="9">
        <v>-164.32890000000043</v>
      </c>
    </row>
    <row r="69" spans="1:7" x14ac:dyDescent="0.25">
      <c r="A69" s="2" t="s">
        <v>800</v>
      </c>
      <c r="B69" s="9">
        <v>-17338.964699999895</v>
      </c>
      <c r="F69" t="s">
        <v>1105</v>
      </c>
      <c r="G69" s="9">
        <v>-98.270800000056624</v>
      </c>
    </row>
    <row r="70" spans="1:7" x14ac:dyDescent="0.25">
      <c r="A70" s="2" t="s">
        <v>849</v>
      </c>
      <c r="B70" s="9">
        <v>1503.4363000000594</v>
      </c>
      <c r="F70" t="s">
        <v>1136</v>
      </c>
      <c r="G70" s="9">
        <v>-77.128700000001118</v>
      </c>
    </row>
    <row r="71" spans="1:7" x14ac:dyDescent="0.25">
      <c r="A71" s="2" t="s">
        <v>862</v>
      </c>
      <c r="B71" s="9">
        <v>-6733.422499999986</v>
      </c>
      <c r="F71" t="s">
        <v>644</v>
      </c>
      <c r="G71" s="9">
        <v>1.6077999999979511</v>
      </c>
    </row>
    <row r="72" spans="1:7" x14ac:dyDescent="0.25">
      <c r="A72" s="2" t="s">
        <v>871</v>
      </c>
      <c r="B72" s="9">
        <v>-4877.7480000001378</v>
      </c>
      <c r="F72" t="s">
        <v>1366</v>
      </c>
      <c r="G72" s="9">
        <v>33.718900000007125</v>
      </c>
    </row>
    <row r="73" spans="1:7" x14ac:dyDescent="0.25">
      <c r="A73" s="2" t="s">
        <v>888</v>
      </c>
      <c r="B73" s="9">
        <v>-980.60310000000027</v>
      </c>
      <c r="F73" t="s">
        <v>575</v>
      </c>
      <c r="G73" s="9">
        <v>54.29660000000149</v>
      </c>
    </row>
    <row r="74" spans="1:7" x14ac:dyDescent="0.25">
      <c r="A74" s="2" t="s">
        <v>944</v>
      </c>
      <c r="B74" s="9">
        <v>1067.2660000000033</v>
      </c>
      <c r="F74" t="s">
        <v>122</v>
      </c>
      <c r="G74" s="9">
        <v>74.531899999999951</v>
      </c>
    </row>
    <row r="75" spans="1:7" x14ac:dyDescent="0.25">
      <c r="A75" s="2" t="s">
        <v>1023</v>
      </c>
      <c r="B75" s="9">
        <v>-13304.893199999933</v>
      </c>
      <c r="F75" t="s">
        <v>1101</v>
      </c>
      <c r="G75" s="9">
        <v>127.22080000000278</v>
      </c>
    </row>
    <row r="76" spans="1:7" x14ac:dyDescent="0.25">
      <c r="A76" s="2" t="s">
        <v>1034</v>
      </c>
      <c r="B76" s="9">
        <v>-7069.4629999999888</v>
      </c>
      <c r="F76" t="s">
        <v>1098</v>
      </c>
      <c r="G76" s="9">
        <v>146.73930000001565</v>
      </c>
    </row>
    <row r="77" spans="1:7" x14ac:dyDescent="0.25">
      <c r="A77" s="2" t="s">
        <v>1037</v>
      </c>
      <c r="B77" s="9">
        <v>-3765.3305999999866</v>
      </c>
      <c r="F77" t="s">
        <v>68</v>
      </c>
      <c r="G77" s="9">
        <v>150.22639999999956</v>
      </c>
    </row>
    <row r="78" spans="1:7" x14ac:dyDescent="0.25">
      <c r="A78" s="2" t="s">
        <v>1050</v>
      </c>
      <c r="B78" s="9">
        <v>165.15179999999964</v>
      </c>
      <c r="F78" t="s">
        <v>1050</v>
      </c>
      <c r="G78" s="9">
        <v>165.15179999999964</v>
      </c>
    </row>
    <row r="79" spans="1:7" x14ac:dyDescent="0.25">
      <c r="A79" s="2" t="s">
        <v>1054</v>
      </c>
      <c r="B79" s="9">
        <v>1681.4342000002507</v>
      </c>
      <c r="F79" t="s">
        <v>1411</v>
      </c>
      <c r="G79" s="9">
        <v>178.71020000000135</v>
      </c>
    </row>
    <row r="80" spans="1:7" x14ac:dyDescent="0.25">
      <c r="A80" s="2" t="s">
        <v>1066</v>
      </c>
      <c r="B80" s="9">
        <v>281.16489999999976</v>
      </c>
      <c r="F80" t="s">
        <v>74</v>
      </c>
      <c r="G80" s="9">
        <v>209.82819999998901</v>
      </c>
    </row>
    <row r="81" spans="1:7" x14ac:dyDescent="0.25">
      <c r="A81" s="2" t="s">
        <v>1077</v>
      </c>
      <c r="B81" s="9">
        <v>-479.45659999999771</v>
      </c>
      <c r="F81" t="s">
        <v>697</v>
      </c>
      <c r="G81" s="9">
        <v>228.72290000000066</v>
      </c>
    </row>
    <row r="82" spans="1:7" x14ac:dyDescent="0.25">
      <c r="A82" s="2" t="s">
        <v>1081</v>
      </c>
      <c r="B82" s="9">
        <v>1368.563300000038</v>
      </c>
      <c r="F82" t="s">
        <v>1066</v>
      </c>
      <c r="G82" s="9">
        <v>281.16489999999976</v>
      </c>
    </row>
    <row r="83" spans="1:7" x14ac:dyDescent="0.25">
      <c r="A83" s="2" t="s">
        <v>1086</v>
      </c>
      <c r="B83" s="9">
        <v>-22830.282300000079</v>
      </c>
      <c r="F83" t="s">
        <v>46</v>
      </c>
      <c r="G83" s="9">
        <v>402.0046999999995</v>
      </c>
    </row>
    <row r="84" spans="1:7" x14ac:dyDescent="0.25">
      <c r="A84" s="2" t="s">
        <v>1091</v>
      </c>
      <c r="B84" s="9">
        <v>-246.69239999999627</v>
      </c>
      <c r="F84" t="s">
        <v>594</v>
      </c>
      <c r="G84" s="9">
        <v>433.81640000000004</v>
      </c>
    </row>
    <row r="85" spans="1:7" x14ac:dyDescent="0.25">
      <c r="A85" s="2" t="s">
        <v>1096</v>
      </c>
      <c r="B85" s="9">
        <v>-320.80699999999342</v>
      </c>
      <c r="F85" t="s">
        <v>1156</v>
      </c>
      <c r="G85" s="9">
        <v>477.48500000033528</v>
      </c>
    </row>
    <row r="86" spans="1:7" x14ac:dyDescent="0.25">
      <c r="A86" s="2" t="s">
        <v>1098</v>
      </c>
      <c r="B86" s="9">
        <v>146.73930000001565</v>
      </c>
      <c r="F86" t="s">
        <v>1115</v>
      </c>
      <c r="G86" s="9">
        <v>506.61879999999655</v>
      </c>
    </row>
    <row r="87" spans="1:7" x14ac:dyDescent="0.25">
      <c r="A87" s="2" t="s">
        <v>1101</v>
      </c>
      <c r="B87" s="9">
        <v>127.22080000000278</v>
      </c>
      <c r="F87" t="s">
        <v>214</v>
      </c>
      <c r="G87" s="9">
        <v>751.13850000001548</v>
      </c>
    </row>
    <row r="88" spans="1:7" x14ac:dyDescent="0.25">
      <c r="A88" s="2" t="s">
        <v>1105</v>
      </c>
      <c r="B88" s="9">
        <v>-98.270800000056624</v>
      </c>
      <c r="F88" t="s">
        <v>54</v>
      </c>
      <c r="G88" s="9">
        <v>1050.6909999999989</v>
      </c>
    </row>
    <row r="89" spans="1:7" x14ac:dyDescent="0.25">
      <c r="A89" s="2" t="s">
        <v>1107</v>
      </c>
      <c r="B89" s="9">
        <v>-1669.6556999999884</v>
      </c>
      <c r="F89" t="s">
        <v>944</v>
      </c>
      <c r="G89" s="9">
        <v>1067.2660000000033</v>
      </c>
    </row>
    <row r="90" spans="1:7" x14ac:dyDescent="0.25">
      <c r="A90" s="2" t="s">
        <v>1109</v>
      </c>
      <c r="B90" s="9">
        <v>-294.7045999999973</v>
      </c>
      <c r="F90" t="s">
        <v>1131</v>
      </c>
      <c r="G90" s="9">
        <v>1144.310999999987</v>
      </c>
    </row>
    <row r="91" spans="1:7" x14ac:dyDescent="0.25">
      <c r="A91" s="2" t="s">
        <v>1115</v>
      </c>
      <c r="B91" s="9">
        <v>506.61879999999655</v>
      </c>
      <c r="F91" t="s">
        <v>1081</v>
      </c>
      <c r="G91" s="9">
        <v>1368.563300000038</v>
      </c>
    </row>
    <row r="92" spans="1:7" x14ac:dyDescent="0.25">
      <c r="A92" s="2" t="s">
        <v>1121</v>
      </c>
      <c r="B92" s="9">
        <v>-438.39459999999963</v>
      </c>
      <c r="F92" t="s">
        <v>119</v>
      </c>
      <c r="G92" s="9">
        <v>1418.4100999999937</v>
      </c>
    </row>
    <row r="93" spans="1:7" x14ac:dyDescent="0.25">
      <c r="A93" s="2" t="s">
        <v>1128</v>
      </c>
      <c r="B93" s="9">
        <v>1779.1173999999883</v>
      </c>
      <c r="F93" t="s">
        <v>849</v>
      </c>
      <c r="G93" s="9">
        <v>1503.4363000000594</v>
      </c>
    </row>
    <row r="94" spans="1:7" x14ac:dyDescent="0.25">
      <c r="A94" s="2" t="s">
        <v>1131</v>
      </c>
      <c r="B94" s="9">
        <v>1144.310999999987</v>
      </c>
      <c r="F94" t="s">
        <v>706</v>
      </c>
      <c r="G94" s="9">
        <v>1529.7605999999214</v>
      </c>
    </row>
    <row r="95" spans="1:7" x14ac:dyDescent="0.25">
      <c r="A95" s="2" t="s">
        <v>1136</v>
      </c>
      <c r="B95" s="9">
        <v>-77.128700000001118</v>
      </c>
      <c r="F95" t="s">
        <v>207</v>
      </c>
      <c r="G95" s="9">
        <v>1631.905700000003</v>
      </c>
    </row>
    <row r="96" spans="1:7" x14ac:dyDescent="0.25">
      <c r="A96" s="2" t="s">
        <v>1147</v>
      </c>
      <c r="B96" s="9">
        <v>-8660.2085999999545</v>
      </c>
      <c r="F96" t="s">
        <v>1054</v>
      </c>
      <c r="G96" s="9">
        <v>1681.4342000002507</v>
      </c>
    </row>
    <row r="97" spans="1:7" x14ac:dyDescent="0.25">
      <c r="A97" s="2" t="s">
        <v>1153</v>
      </c>
      <c r="B97" s="9">
        <v>-784.49980000000505</v>
      </c>
      <c r="F97" t="s">
        <v>1174</v>
      </c>
      <c r="G97" s="9">
        <v>1721.9829000000027</v>
      </c>
    </row>
    <row r="98" spans="1:7" x14ac:dyDescent="0.25">
      <c r="A98" s="2" t="s">
        <v>1156</v>
      </c>
      <c r="B98" s="9">
        <v>477.48500000033528</v>
      </c>
      <c r="F98" t="s">
        <v>1128</v>
      </c>
      <c r="G98" s="9">
        <v>1779.1173999999883</v>
      </c>
    </row>
    <row r="99" spans="1:7" x14ac:dyDescent="0.25">
      <c r="A99" s="2" t="s">
        <v>1165</v>
      </c>
      <c r="B99" s="9">
        <v>-1505.014599999995</v>
      </c>
      <c r="F99" t="s">
        <v>49</v>
      </c>
      <c r="G99" s="9">
        <v>1960.7185999999929</v>
      </c>
    </row>
    <row r="100" spans="1:7" x14ac:dyDescent="0.25">
      <c r="A100" s="2" t="s">
        <v>1174</v>
      </c>
      <c r="B100" s="9">
        <v>1721.9829000000027</v>
      </c>
      <c r="F100" t="s">
        <v>268</v>
      </c>
      <c r="G100" s="9">
        <v>2575.1674999999814</v>
      </c>
    </row>
    <row r="101" spans="1:7" x14ac:dyDescent="0.25">
      <c r="A101" s="2" t="s">
        <v>1329</v>
      </c>
      <c r="B101" s="9">
        <v>-1150.9698000000062</v>
      </c>
      <c r="F101" t="s">
        <v>98</v>
      </c>
      <c r="G101" s="9">
        <v>3314.8372999999992</v>
      </c>
    </row>
    <row r="102" spans="1:7" x14ac:dyDescent="0.25">
      <c r="A102" s="2" t="s">
        <v>1366</v>
      </c>
      <c r="B102" s="9">
        <v>33.718900000007125</v>
      </c>
      <c r="F102" t="s">
        <v>195</v>
      </c>
      <c r="G102" s="9">
        <v>3821.0238000000099</v>
      </c>
    </row>
    <row r="103" spans="1:7" x14ac:dyDescent="0.25">
      <c r="A103" s="2" t="s">
        <v>1394</v>
      </c>
      <c r="B103" s="9">
        <v>-446.7455000000009</v>
      </c>
      <c r="F103" t="s">
        <v>1476</v>
      </c>
      <c r="G103" s="9">
        <v>3966.9500000000116</v>
      </c>
    </row>
    <row r="104" spans="1:7" x14ac:dyDescent="0.25">
      <c r="A104" s="2" t="s">
        <v>1407</v>
      </c>
      <c r="B104" s="9">
        <v>-164.32890000000043</v>
      </c>
      <c r="F104" t="s">
        <v>115</v>
      </c>
      <c r="G104" s="9">
        <v>8205.8192999999956</v>
      </c>
    </row>
    <row r="105" spans="1:7" x14ac:dyDescent="0.25">
      <c r="A105" s="2" t="s">
        <v>1411</v>
      </c>
      <c r="B105" s="9">
        <v>178.71020000000135</v>
      </c>
      <c r="F105" t="s">
        <v>35</v>
      </c>
      <c r="G105" s="9">
        <v>46542.243699999875</v>
      </c>
    </row>
    <row r="106" spans="1:7" x14ac:dyDescent="0.25">
      <c r="A106" s="2" t="s">
        <v>1476</v>
      </c>
      <c r="B106" s="9">
        <v>3966.9500000000116</v>
      </c>
    </row>
    <row r="107" spans="1:7" x14ac:dyDescent="0.25">
      <c r="A107" s="2" t="s">
        <v>155</v>
      </c>
      <c r="B107" s="9">
        <v>-685647.23099999852</v>
      </c>
    </row>
    <row r="108" spans="1:7" x14ac:dyDescent="0.25">
      <c r="B108"/>
    </row>
    <row r="109" spans="1:7" x14ac:dyDescent="0.25">
      <c r="B109"/>
    </row>
    <row r="110" spans="1:7" x14ac:dyDescent="0.25">
      <c r="B110"/>
    </row>
    <row r="111" spans="1:7" x14ac:dyDescent="0.25">
      <c r="B111"/>
    </row>
    <row r="112" spans="1:7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</sheetData>
  <autoFilter ref="F3:G105" xr:uid="{00000000-0009-0000-0000-000003000000}">
    <sortState xmlns:xlrd2="http://schemas.microsoft.com/office/spreadsheetml/2017/richdata2" ref="F4:G105">
      <sortCondition ref="G3:G105"/>
    </sortState>
  </autoFilter>
  <pageMargins left="0.7" right="0.7" top="0.75" bottom="0.75" header="0.3" footer="0.3"/>
  <pageSetup orientation="portrait" r:id="rId2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8502271974_TradeBook</vt:lpstr>
      <vt:lpstr>Buy</vt:lpstr>
      <vt:lpstr>Sell</vt:lpstr>
      <vt:lpstr>P and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Admin</dc:creator>
  <cp:lastModifiedBy>Vasanth Kumar</cp:lastModifiedBy>
  <dcterms:created xsi:type="dcterms:W3CDTF">2017-12-14T08:43:12Z</dcterms:created>
  <dcterms:modified xsi:type="dcterms:W3CDTF">2025-04-10T06:00:36Z</dcterms:modified>
</cp:coreProperties>
</file>